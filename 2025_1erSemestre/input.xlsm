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27636" documentId="13_ncr:1_{9B24B71E-FFD0-4440-8E71-4E6657E2ADB7}" xr6:coauthVersionLast="47" xr6:coauthVersionMax="47" xr10:uidLastSave="{EEFA4697-CA59-445B-9B95-1146C782B0B9}"/>
  <bookViews>
    <workbookView xWindow="-108" yWindow="-108" windowWidth="23256" windowHeight="12456" activeTab="5" xr2:uid="{00000000-000D-0000-FFFF-FFFF00000000}"/>
  </bookViews>
  <sheets>
    <sheet name="materias" sheetId="84" r:id="rId1"/>
    <sheet name="electivas" sheetId="347" state="hidden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aca" sheetId="246" r:id="rId8"/>
    <sheet name="ad" sheetId="247" r:id="rId9"/>
    <sheet name="adr" sheetId="248" r:id="rId10"/>
    <sheet name="am" sheetId="249" r:id="rId11"/>
    <sheet name="ame" sheetId="250" r:id="rId12"/>
    <sheet name="an" sheetId="251" r:id="rId13"/>
    <sheet name="ap" sheetId="252" r:id="rId14"/>
    <sheet name="apa" sheetId="253" r:id="rId15"/>
    <sheet name="apr" sheetId="254" r:id="rId16"/>
    <sheet name="as" sheetId="255" r:id="rId17"/>
    <sheet name="cp" sheetId="257" r:id="rId18"/>
    <sheet name="cr" sheetId="258" r:id="rId19"/>
    <sheet name="db" sheetId="259" r:id="rId20"/>
    <sheet name="dc" sheetId="260" r:id="rId21"/>
    <sheet name="dd" sheetId="261" r:id="rId22"/>
    <sheet name="dj" sheetId="262" r:id="rId23"/>
    <sheet name="dl" sheetId="263" r:id="rId24"/>
    <sheet name="dm" sheetId="264" r:id="rId25"/>
    <sheet name="ds" sheetId="265" r:id="rId26"/>
    <sheet name="ep" sheetId="345" r:id="rId27"/>
    <sheet name="epe" sheetId="267" r:id="rId28"/>
    <sheet name="es" sheetId="268" r:id="rId29"/>
    <sheet name="fb" sheetId="269" r:id="rId30"/>
    <sheet name="gaa" sheetId="270" r:id="rId31"/>
    <sheet name="gb" sheetId="271" r:id="rId32"/>
    <sheet name="gba" sheetId="272" r:id="rId33"/>
    <sheet name="gc" sheetId="273" r:id="rId34"/>
    <sheet name="gd" sheetId="274" r:id="rId35"/>
    <sheet name="gdo" sheetId="275" r:id="rId36"/>
    <sheet name="gp" sheetId="276" r:id="rId37"/>
    <sheet name="gq" sheetId="277" r:id="rId38"/>
    <sheet name="gs" sheetId="330" r:id="rId39"/>
    <sheet name="guc" sheetId="278" r:id="rId40"/>
    <sheet name="hf" sheetId="279" r:id="rId41"/>
    <sheet name="hr" sheetId="280" r:id="rId42"/>
    <sheet name="jam" sheetId="281" r:id="rId43"/>
    <sheet name="jcc" sheetId="282" r:id="rId44"/>
    <sheet name="jd" sheetId="283" r:id="rId45"/>
    <sheet name="jds" sheetId="284" r:id="rId46"/>
    <sheet name="jf" sheetId="285" r:id="rId47"/>
    <sheet name="jj" sheetId="286" r:id="rId48"/>
    <sheet name="jk" sheetId="287" r:id="rId49"/>
    <sheet name="jl" sheetId="288" r:id="rId50"/>
    <sheet name="jm" sheetId="289" r:id="rId51"/>
    <sheet name="jmi" sheetId="290" r:id="rId52"/>
    <sheet name="jpa" sheetId="291" r:id="rId53"/>
    <sheet name="jpe" sheetId="292" r:id="rId54"/>
    <sheet name="jpf" sheetId="293" r:id="rId55"/>
    <sheet name="jpi" sheetId="294" r:id="rId56"/>
    <sheet name="kb" sheetId="295" r:id="rId57"/>
    <sheet name="lc" sheetId="296" r:id="rId58"/>
    <sheet name="lg" sheetId="298" r:id="rId59"/>
    <sheet name="mb" sheetId="299" r:id="rId60"/>
    <sheet name="mbo" sheetId="300" r:id="rId61"/>
    <sheet name="mc" sheetId="301" r:id="rId62"/>
    <sheet name="md" sheetId="302" r:id="rId63"/>
    <sheet name="mf" sheetId="333" r:id="rId64"/>
    <sheet name="mjc" sheetId="304" r:id="rId65"/>
    <sheet name="mp" sheetId="305" r:id="rId66"/>
    <sheet name="mpi" sheetId="306" r:id="rId67"/>
    <sheet name="mpr" sheetId="307" r:id="rId68"/>
    <sheet name="mr" sheetId="308" r:id="rId69"/>
    <sheet name="mre" sheetId="309" r:id="rId70"/>
    <sheet name="mz" sheetId="310" r:id="rId71"/>
    <sheet name="nd" sheetId="311" r:id="rId72"/>
    <sheet name="nn" sheetId="312" r:id="rId73"/>
    <sheet name="ns" sheetId="313" r:id="rId74"/>
    <sheet name="ok" sheetId="314" r:id="rId75"/>
    <sheet name="pn" sheetId="315" r:id="rId76"/>
    <sheet name="po" sheetId="316" r:id="rId77"/>
    <sheet name="ps" sheetId="317" r:id="rId78"/>
    <sheet name="pu" sheetId="318" r:id="rId79"/>
    <sheet name="rc" sheetId="319" r:id="rId80"/>
    <sheet name="rl" sheetId="320" r:id="rId81"/>
    <sheet name="rr" sheetId="321" r:id="rId82"/>
    <sheet name="rs" sheetId="322" r:id="rId83"/>
    <sheet name="sb" sheetId="323" r:id="rId84"/>
    <sheet name="sgp" sheetId="324" r:id="rId85"/>
    <sheet name="sp" sheetId="325" r:id="rId86"/>
    <sheet name="svi" sheetId="326" r:id="rId87"/>
    <sheet name="svv" sheetId="327" r:id="rId88"/>
    <sheet name="th" sheetId="328" r:id="rId89"/>
    <sheet name="vt" sheetId="329" r:id="rId90"/>
    <sheet name="icc1" sheetId="331" r:id="rId91"/>
    <sheet name="icc2" sheetId="332" r:id="rId92"/>
    <sheet name="xm" sheetId="334" r:id="rId93"/>
    <sheet name="icc3" sheetId="335" r:id="rId94"/>
    <sheet name="p1a" sheetId="336" r:id="rId95"/>
    <sheet name="p1b" sheetId="337" r:id="rId96"/>
    <sheet name="p1c" sheetId="355" r:id="rId97"/>
    <sheet name="jg" sheetId="338" r:id="rId98"/>
    <sheet name="ms" sheetId="339" r:id="rId99"/>
    <sheet name="fr" sheetId="340" r:id="rId100"/>
    <sheet name="adc" sheetId="341" r:id="rId101"/>
    <sheet name="mk" sheetId="343" r:id="rId102"/>
    <sheet name="ar" sheetId="344" r:id="rId103"/>
    <sheet name="df" sheetId="346" r:id="rId104"/>
    <sheet name="ht" sheetId="348" r:id="rId105"/>
    <sheet name="gg" sheetId="349" r:id="rId106"/>
    <sheet name="cm" sheetId="350" r:id="rId107"/>
    <sheet name="ma" sheetId="351" r:id="rId108"/>
    <sheet name="mg" sheetId="352" r:id="rId109"/>
    <sheet name="anp" sheetId="353" r:id="rId110"/>
    <sheet name="er" sheetId="354" r:id="rId111"/>
    <sheet name="pp" sheetId="356" r:id="rId112"/>
    <sheet name="gca" sheetId="357" r:id="rId113"/>
  </sheets>
  <definedNames>
    <definedName name="_xlnm.Print_Area" localSheetId="2">profesores!#REF!</definedName>
    <definedName name="_xlnm.Print_Area" localSheetId="5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6" i="1" l="1"/>
  <c r="Q106" i="1"/>
  <c r="O88" i="1"/>
  <c r="Q88" i="1"/>
  <c r="O94" i="1"/>
  <c r="Q94" i="1"/>
  <c r="M17" i="119" a="1"/>
  <c r="M17" i="119" s="1"/>
  <c r="M14" i="119" a="1"/>
  <c r="M14" i="119" s="1"/>
  <c r="M13" i="119" a="1"/>
  <c r="M13" i="119" s="1"/>
  <c r="M15" i="119" s="1"/>
  <c r="M11" i="119"/>
  <c r="M10" i="119" a="1"/>
  <c r="M10" i="119" s="1"/>
  <c r="M9" i="119" a="1"/>
  <c r="M9" i="119" s="1"/>
  <c r="G1" i="347" a="1"/>
  <c r="G1" i="347" s="1"/>
  <c r="O104" i="1"/>
  <c r="Q104" i="1"/>
  <c r="O105" i="1"/>
  <c r="Q105" i="1"/>
  <c r="U20" i="84"/>
  <c r="O103" i="1" l="1"/>
  <c r="Q103" i="1"/>
  <c r="O102" i="1"/>
  <c r="Q102" i="1"/>
  <c r="O100" i="1"/>
  <c r="Q100" i="1"/>
  <c r="O101" i="1"/>
  <c r="Q101" i="1"/>
  <c r="U5" i="84"/>
  <c r="U6" i="84"/>
  <c r="U7" i="84"/>
  <c r="U8" i="84"/>
  <c r="U4" i="84"/>
  <c r="O99" i="1"/>
  <c r="Q99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9" i="1"/>
  <c r="O90" i="1"/>
  <c r="O91" i="1"/>
  <c r="O92" i="1"/>
  <c r="O93" i="1"/>
  <c r="O95" i="1"/>
  <c r="O96" i="1"/>
  <c r="O97" i="1"/>
  <c r="O98" i="1"/>
  <c r="O107" i="1"/>
  <c r="O2" i="1"/>
  <c r="Y5" i="84"/>
  <c r="Y6" i="84"/>
  <c r="Y7" i="84"/>
  <c r="Y8" i="84"/>
  <c r="Y9" i="84"/>
  <c r="Y10" i="84"/>
  <c r="Y4" i="84"/>
  <c r="AB96" i="84"/>
  <c r="AB107" i="84"/>
  <c r="Q107" i="1"/>
  <c r="Q98" i="1"/>
  <c r="Q97" i="1"/>
  <c r="Q91" i="1"/>
  <c r="Q92" i="1"/>
  <c r="Q93" i="1"/>
  <c r="Q95" i="1"/>
  <c r="Q96" i="1"/>
  <c r="Q90" i="1"/>
  <c r="O110" i="1" l="1"/>
  <c r="Y12" i="84" a="1"/>
  <c r="Y12" i="84" s="1"/>
  <c r="U10" i="84" a="1"/>
  <c r="U10" i="84" s="1"/>
  <c r="O111" i="1"/>
  <c r="Q84" i="1"/>
  <c r="Q85" i="1"/>
  <c r="Q86" i="1"/>
  <c r="Q87" i="1"/>
  <c r="Q89" i="1"/>
  <c r="Q83" i="1"/>
  <c r="Q81" i="1"/>
  <c r="Q82" i="1"/>
  <c r="A3" i="230" a="1"/>
  <c r="A3" i="230" s="1"/>
  <c r="Q76" i="1" l="1"/>
  <c r="Q77" i="1"/>
  <c r="Q78" i="1"/>
  <c r="Q79" i="1"/>
  <c r="Q80" i="1"/>
  <c r="Q75" i="1"/>
  <c r="Q71" i="1"/>
  <c r="Q72" i="1"/>
  <c r="Q73" i="1"/>
  <c r="Q74" i="1"/>
  <c r="T30" i="84"/>
  <c r="X83" i="84"/>
  <c r="T83" i="84"/>
  <c r="X69" i="84"/>
  <c r="T69" i="84"/>
  <c r="Q66" i="1"/>
  <c r="Q67" i="1"/>
  <c r="Q68" i="1"/>
  <c r="Q69" i="1"/>
  <c r="Q70" i="1"/>
  <c r="Q65" i="1"/>
  <c r="Q64" i="1"/>
  <c r="Q63" i="1"/>
  <c r="Q60" i="1"/>
  <c r="Q61" i="1"/>
  <c r="Q62" i="1"/>
  <c r="A25" i="119"/>
  <c r="Q58" i="1"/>
  <c r="Q5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31" i="119"/>
  <c r="A6" i="119"/>
  <c r="A9" i="119"/>
  <c r="A2" i="119"/>
  <c r="A3" i="119"/>
  <c r="A4" i="119"/>
  <c r="A5" i="119"/>
  <c r="A10" i="119"/>
  <c r="A11" i="119"/>
  <c r="A12" i="119"/>
  <c r="A13" i="119"/>
  <c r="O117" i="1" l="1"/>
  <c r="O115" i="1"/>
  <c r="O114" i="1"/>
  <c r="O113" i="1"/>
  <c r="O112" i="1"/>
  <c r="O116" i="1"/>
  <c r="O118" i="1" l="1" a="1"/>
  <c r="O11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tc={4B61C5F6-EDAC-4526-92C9-219FB8C0EC39}</author>
    <author>tc={593D5C6E-D2C6-4948-A243-89725A7C0F64}</author>
    <author>tc={4C163CC1-E3EC-482F-B92B-53B8FA7D17E9}</author>
    <author>tc={9C8A45CC-305C-4B73-ADD0-1D5F4446221C}</author>
    <author>tc={B0F64D09-F8B5-43AB-B2BE-149D3AD62FD0}</author>
  </authors>
  <commentList>
    <comment ref="B132" authorId="0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B133" authorId="1" shapeId="0" xr:uid="{593D5C6E-D2C6-4948-A243-89725A7C0F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G135" authorId="2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B140" authorId="3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B148" authorId="4" shapeId="0" xr:uid="{B0F64D09-F8B5-43AB-B2BE-149D3AD62F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limitada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<sst xmlns="http://schemas.openxmlformats.org/spreadsheetml/2006/main" count="15978" uniqueCount="779">
  <si>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</si>
  <si>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</si>
  <si>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</si>
  <si>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</si>
  <si>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</si>
  <si>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</si>
  <si>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</si>
  <si>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</si>
  <si>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</si>
  <si>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</si>
  <si>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</si>
  <si>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</si>
  <si>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jf</t>
  </si>
  <si>
    <t>gc</t>
  </si>
  <si>
    <t>as</t>
  </si>
  <si>
    <t>ds</t>
  </si>
  <si>
    <t>lg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</si>
  <si>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</si>
  <si>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</si>
  <si>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</si>
  <si>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</si>
  <si>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</si>
  <si>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</si>
  <si>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</si>
  <si>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</si>
  <si>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</si>
  <si>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</si>
  <si>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</si>
  <si>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</si>
  <si>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</si>
  <si>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</si>
  <si>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</si>
  <si>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</si>
  <si>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</si>
  <si>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</si>
  <si>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</si>
  <si>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</si>
  <si>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</si>
  <si>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</si>
  <si>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</si>
  <si>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</si>
  <si>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</si>
  <si>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gb</t>
  </si>
  <si>
    <t>dl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</si>
  <si>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</si>
  <si>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</si>
  <si>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</si>
  <si>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</si>
  <si>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</si>
  <si>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</si>
  <si>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</si>
  <si>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</si>
  <si>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</si>
  <si>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</si>
  <si>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</si>
  <si>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</si>
  <si>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</si>
  <si>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</si>
  <si>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</si>
  <si>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</si>
  <si>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</si>
  <si>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</si>
  <si>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ps</t>
  </si>
  <si>
    <t>nn</t>
  </si>
  <si>
    <t>mjc</t>
  </si>
  <si>
    <t>dc</t>
  </si>
  <si>
    <t>jpe</t>
  </si>
  <si>
    <t>jds</t>
  </si>
  <si>
    <t>mpi</t>
  </si>
  <si>
    <t>sp</t>
  </si>
  <si>
    <t>jpa</t>
  </si>
  <si>
    <t>mpr</t>
  </si>
  <si>
    <t>dj</t>
  </si>
  <si>
    <t>mr</t>
  </si>
  <si>
    <t>guc</t>
  </si>
  <si>
    <t>Prob</t>
  </si>
  <si>
    <t>ProbP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</si>
  <si>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</si>
  <si>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</si>
  <si>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</si>
  <si>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</si>
  <si>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</si>
  <si>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</si>
  <si>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</si>
  <si>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</si>
  <si>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</si>
  <si>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</si>
  <si>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</si>
  <si>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MPD</t>
  </si>
  <si>
    <t>OE</t>
  </si>
  <si>
    <t>SD</t>
  </si>
  <si>
    <t>AD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</si>
  <si>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</si>
  <si>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</si>
  <si>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</si>
  <si>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</si>
  <si>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</si>
  <si>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</si>
  <si>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</si>
  <si>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</si>
  <si>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</si>
  <si>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</si>
  <si>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</si>
  <si>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</si>
  <si>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</si>
  <si>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</si>
  <si>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</si>
  <si>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</si>
  <si>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</si>
  <si>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</si>
  <si>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</si>
  <si>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</si>
  <si>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</si>
  <si>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</si>
  <si>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</si>
  <si>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</si>
  <si>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</si>
  <si>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</si>
  <si>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</si>
  <si>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</si>
  <si>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</si>
  <si>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</si>
  <si>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</si>
  <si>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</si>
  <si>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</si>
  <si>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</si>
  <si>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</si>
  <si>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</si>
  <si>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</si>
  <si>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</si>
  <si>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</si>
  <si>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</si>
  <si>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</si>
  <si>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</si>
  <si>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</si>
  <si>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</si>
  <si>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</si>
  <si>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</si>
  <si>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</si>
  <si>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</si>
  <si>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</si>
  <si>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</si>
  <si>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</si>
  <si>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</si>
  <si>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</si>
  <si>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</si>
  <si>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</si>
  <si>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</si>
  <si>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</si>
  <si>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</si>
  <si>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</si>
  <si>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</si>
  <si>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</si>
  <si>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</si>
  <si>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</si>
  <si>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</si>
  <si>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</si>
  <si>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</si>
  <si>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</si>
  <si>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</si>
  <si>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</si>
  <si>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Observaciones</t>
  </si>
  <si>
    <t>Observacion 1</t>
  </si>
  <si>
    <t>Observacion 2</t>
  </si>
  <si>
    <t>lun</t>
  </si>
  <si>
    <t>mar</t>
  </si>
  <si>
    <t>mie</t>
  </si>
  <si>
    <t>jue</t>
  </si>
  <si>
    <t>vie</t>
  </si>
  <si>
    <t>14:00-14:50</t>
  </si>
  <si>
    <t>14:50-15:40</t>
  </si>
  <si>
    <t>15:50-16:40</t>
  </si>
  <si>
    <t>16:40-17:30</t>
  </si>
  <si>
    <t>dummy</t>
  </si>
  <si>
    <t>Auxiliar</t>
  </si>
  <si>
    <t>ProgAvP</t>
  </si>
  <si>
    <t>PC/O1</t>
  </si>
  <si>
    <t>Maximo Gurmendez</t>
  </si>
  <si>
    <t>Juan Cruz Carrau</t>
  </si>
  <si>
    <t>jcc</t>
  </si>
  <si>
    <t>Mateo Borrazas</t>
  </si>
  <si>
    <t>mb</t>
  </si>
  <si>
    <t>Lucia Etchecopar</t>
  </si>
  <si>
    <t xml:space="preserve"> Profesor:  jd</t>
  </si>
  <si>
    <t xml:space="preserve"> Profesor:  gc</t>
  </si>
  <si>
    <t xml:space="preserve"> Profesor:  am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</si>
  <si>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</si>
  <si>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</si>
  <si>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</si>
  <si>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</si>
  <si>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</si>
  <si>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</si>
  <si>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</si>
  <si>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</si>
  <si>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</si>
  <si>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</si>
  <si>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</si>
  <si>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</si>
  <si>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</si>
  <si>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</si>
  <si>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</si>
  <si>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</si>
  <si>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</si>
  <si>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</si>
  <si>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</si>
  <si>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</si>
  <si>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</si>
  <si>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</si>
  <si>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</si>
  <si>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</si>
  <si>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</si>
  <si>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</si>
  <si>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</si>
  <si>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</si>
  <si>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</si>
  <si>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</si>
  <si>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</si>
  <si>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</si>
  <si>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</si>
  <si>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</si>
  <si>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</si>
  <si>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</si>
  <si>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</si>
  <si>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</si>
  <si>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</si>
  <si>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</si>
  <si>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</si>
  <si>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</si>
  <si>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</si>
  <si>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</si>
  <si>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</si>
  <si>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</si>
  <si>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</si>
  <si>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</si>
  <si>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</si>
  <si>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Minimizar dias</t>
  </si>
  <si>
    <t>Sergio Veintemilla</t>
  </si>
  <si>
    <t>X</t>
  </si>
  <si>
    <t xml:space="preserve"> Profesor:  sv</t>
  </si>
  <si>
    <t>cantidad de profesores</t>
  </si>
  <si>
    <t>cantidad de cursos</t>
  </si>
  <si>
    <t>carga horaria</t>
  </si>
  <si>
    <t>LIC</t>
  </si>
  <si>
    <t>MAT1</t>
  </si>
  <si>
    <t>IAL</t>
  </si>
  <si>
    <t>IALp</t>
  </si>
  <si>
    <t>Alumnos</t>
  </si>
  <si>
    <t>cp</t>
  </si>
  <si>
    <t>Carlos Presa</t>
  </si>
  <si>
    <t>Lara Cuadrado</t>
  </si>
  <si>
    <t>lc</t>
  </si>
  <si>
    <t>PComp</t>
  </si>
  <si>
    <t>pn</t>
  </si>
  <si>
    <t>Pablo Navas</t>
  </si>
  <si>
    <t>ILic</t>
  </si>
  <si>
    <t>Pablo Urquizó</t>
  </si>
  <si>
    <t>pu</t>
  </si>
  <si>
    <t>IMD</t>
  </si>
  <si>
    <t>1LIC</t>
  </si>
  <si>
    <t>Prog2</t>
  </si>
  <si>
    <t>2LIC</t>
  </si>
  <si>
    <t>HC</t>
  </si>
  <si>
    <t>Teo</t>
  </si>
  <si>
    <t>3LIC</t>
  </si>
  <si>
    <t>apa</t>
  </si>
  <si>
    <t>Grupo 4</t>
  </si>
  <si>
    <t>Grupo 5</t>
  </si>
  <si>
    <t>Nombre</t>
  </si>
  <si>
    <t>UIUX</t>
  </si>
  <si>
    <t>Javier López</t>
  </si>
  <si>
    <t>jl</t>
  </si>
  <si>
    <t>InfrInf</t>
  </si>
  <si>
    <t>ad</t>
  </si>
  <si>
    <t>Alejandro Draper</t>
  </si>
  <si>
    <t>ArqAp</t>
  </si>
  <si>
    <t>Sofía Vila</t>
  </si>
  <si>
    <t>EG</t>
  </si>
  <si>
    <t>Teo/Prac</t>
  </si>
  <si>
    <t>teo</t>
  </si>
  <si>
    <t>prac</t>
  </si>
  <si>
    <t>Electiva</t>
  </si>
  <si>
    <t>QC</t>
  </si>
  <si>
    <t>BPMN</t>
  </si>
  <si>
    <t>DBD3</t>
  </si>
  <si>
    <t>svi</t>
  </si>
  <si>
    <t>13:10 - 14:00</t>
  </si>
  <si>
    <t>t1</t>
  </si>
  <si>
    <t>15:50 - 16:40</t>
  </si>
  <si>
    <t>17:40 - 18:30</t>
  </si>
  <si>
    <t>14:00 - 14:50</t>
  </si>
  <si>
    <t>18:40 - 19:30</t>
  </si>
  <si>
    <t>16:40 - 17:30</t>
  </si>
  <si>
    <t>14:50 - 15:40</t>
  </si>
  <si>
    <t>19:50 - 20:40</t>
  </si>
  <si>
    <t>#</t>
  </si>
  <si>
    <t>13:20 - 14:10</t>
  </si>
  <si>
    <t>t2</t>
  </si>
  <si>
    <t>15:10 - 16:00</t>
  </si>
  <si>
    <t>16:10 - 17:00</t>
  </si>
  <si>
    <t>17:00 - 17:50</t>
  </si>
  <si>
    <t>18:00 - 18:50</t>
  </si>
  <si>
    <t>t3</t>
  </si>
  <si>
    <t>18:50 - 19:40</t>
  </si>
  <si>
    <t>20:40 - 21:30</t>
  </si>
  <si>
    <t>21:40 - 22:30</t>
  </si>
  <si>
    <t>1ro, 2do, 3ro</t>
  </si>
  <si>
    <t>4to, 5to</t>
  </si>
  <si>
    <t>tall, rec, g4</t>
  </si>
  <si>
    <t>lic</t>
  </si>
  <si>
    <t>14:10 - 15:00</t>
  </si>
  <si>
    <t>11</t>
  </si>
  <si>
    <t>12</t>
  </si>
  <si>
    <t>13</t>
  </si>
  <si>
    <t>14</t>
  </si>
  <si>
    <t>Prog1</t>
  </si>
  <si>
    <t>vt</t>
  </si>
  <si>
    <t>Victoria Tejera</t>
  </si>
  <si>
    <t>Karen Baz</t>
  </si>
  <si>
    <t>kb</t>
  </si>
  <si>
    <t>Inicio</t>
  </si>
  <si>
    <t>Fin</t>
  </si>
  <si>
    <t>Turno 1</t>
  </si>
  <si>
    <t>Turno 2</t>
  </si>
  <si>
    <t>Turno 3</t>
  </si>
  <si>
    <t>Turno 4</t>
  </si>
  <si>
    <t>AM3</t>
  </si>
  <si>
    <t>AM3p</t>
  </si>
  <si>
    <t>2CIV</t>
  </si>
  <si>
    <t>2IND</t>
  </si>
  <si>
    <t>2TEL</t>
  </si>
  <si>
    <t>2INF1</t>
  </si>
  <si>
    <t>2INF2</t>
  </si>
  <si>
    <t>Marco Zunino</t>
  </si>
  <si>
    <t>mz</t>
  </si>
  <si>
    <t>TermoD</t>
  </si>
  <si>
    <t>Mec1</t>
  </si>
  <si>
    <t>CadBim</t>
  </si>
  <si>
    <t>db</t>
  </si>
  <si>
    <t>Daniel Belandria</t>
  </si>
  <si>
    <t>PdO</t>
  </si>
  <si>
    <t>Elio Santilli</t>
  </si>
  <si>
    <t>es</t>
  </si>
  <si>
    <t>Eco</t>
  </si>
  <si>
    <t>Héber Francia</t>
  </si>
  <si>
    <t>hf</t>
  </si>
  <si>
    <t>IntInd</t>
  </si>
  <si>
    <t>Ricardo Cosentino</t>
  </si>
  <si>
    <t>rc</t>
  </si>
  <si>
    <t>MD</t>
  </si>
  <si>
    <t>MDp</t>
  </si>
  <si>
    <t>Log</t>
  </si>
  <si>
    <t>Pablo Ortiz</t>
  </si>
  <si>
    <t>po</t>
  </si>
  <si>
    <t>SDig</t>
  </si>
  <si>
    <t>ame</t>
  </si>
  <si>
    <t>Andrés Merello</t>
  </si>
  <si>
    <t>DBD2</t>
  </si>
  <si>
    <t>Germán Abu Arab</t>
  </si>
  <si>
    <t>gaa</t>
  </si>
  <si>
    <t>MIE</t>
  </si>
  <si>
    <t>Andrés Cardozo</t>
  </si>
  <si>
    <t>aca</t>
  </si>
  <si>
    <t>IO</t>
  </si>
  <si>
    <t>Claudio Ruibal</t>
  </si>
  <si>
    <t>cr</t>
  </si>
  <si>
    <t>3CIV</t>
  </si>
  <si>
    <t>3IND</t>
  </si>
  <si>
    <t>3TEL</t>
  </si>
  <si>
    <t>3INF1</t>
  </si>
  <si>
    <t>3INF2</t>
  </si>
  <si>
    <t>IdM</t>
  </si>
  <si>
    <t>Gustavo Domínguez</t>
  </si>
  <si>
    <t>gd</t>
  </si>
  <si>
    <t>RM2</t>
  </si>
  <si>
    <t>Hid</t>
  </si>
  <si>
    <t>PdO2</t>
  </si>
  <si>
    <t>EM</t>
  </si>
  <si>
    <t>Eduardo Peñalva</t>
  </si>
  <si>
    <t>epe</t>
  </si>
  <si>
    <t>ITerm</t>
  </si>
  <si>
    <t>SO</t>
  </si>
  <si>
    <t>Gerardo Quincke</t>
  </si>
  <si>
    <t>gq</t>
  </si>
  <si>
    <t>Hernán Rohner</t>
  </si>
  <si>
    <t>hr</t>
  </si>
  <si>
    <t>RD2</t>
  </si>
  <si>
    <t>IngSW1</t>
  </si>
  <si>
    <t>Gonzalo Balatti</t>
  </si>
  <si>
    <t>gba</t>
  </si>
  <si>
    <t>4CIV</t>
  </si>
  <si>
    <t>4IND</t>
  </si>
  <si>
    <t>4TEL</t>
  </si>
  <si>
    <t>4INF1</t>
  </si>
  <si>
    <t>4INF2</t>
  </si>
  <si>
    <t>MecS2</t>
  </si>
  <si>
    <t>SyMH</t>
  </si>
  <si>
    <t>Rafael Sotelo</t>
  </si>
  <si>
    <t>rs</t>
  </si>
  <si>
    <t>MaqT</t>
  </si>
  <si>
    <t>Marcelo Berglavaz</t>
  </si>
  <si>
    <t>mbo</t>
  </si>
  <si>
    <t>InstEl</t>
  </si>
  <si>
    <t>Rubens Ramponi</t>
  </si>
  <si>
    <t>rr</t>
  </si>
  <si>
    <t>apr</t>
  </si>
  <si>
    <t>TecFP</t>
  </si>
  <si>
    <t>Fabrizzio Bagnasco</t>
  </si>
  <si>
    <t>fb</t>
  </si>
  <si>
    <t>dm</t>
  </si>
  <si>
    <t>Diego Moratorio</t>
  </si>
  <si>
    <t>SegInf</t>
  </si>
  <si>
    <t>GAD</t>
  </si>
  <si>
    <t>TestQA</t>
  </si>
  <si>
    <t>TIC2</t>
  </si>
  <si>
    <t>Diego Durán</t>
  </si>
  <si>
    <t>dd</t>
  </si>
  <si>
    <t>Nicolás Sosa</t>
  </si>
  <si>
    <t>ns</t>
  </si>
  <si>
    <t>jam</t>
  </si>
  <si>
    <t>ModS</t>
  </si>
  <si>
    <t>Thomas Hobbins</t>
  </si>
  <si>
    <t>th</t>
  </si>
  <si>
    <t>IA</t>
  </si>
  <si>
    <t>adr</t>
  </si>
  <si>
    <t>Andrea Durlacher</t>
  </si>
  <si>
    <t>ETec</t>
  </si>
  <si>
    <t>Arianne Palau</t>
  </si>
  <si>
    <t>Adhemar Prieto</t>
  </si>
  <si>
    <t>Adrián Santilli</t>
  </si>
  <si>
    <t>Diego López</t>
  </si>
  <si>
    <t>Juan Andrés Mezzera</t>
  </si>
  <si>
    <t>José Díaz</t>
  </si>
  <si>
    <t>Joaquín da Silva</t>
  </si>
  <si>
    <t>Jazmín Finot</t>
  </si>
  <si>
    <t>Mateo Borrazás</t>
  </si>
  <si>
    <t>María Jesús Cresci</t>
  </si>
  <si>
    <t>Nelson Demarco</t>
  </si>
  <si>
    <t>nd</t>
  </si>
  <si>
    <t>Nicolás Navarro</t>
  </si>
  <si>
    <t>Rodrigo López</t>
  </si>
  <si>
    <t>Sebastián García Parra</t>
  </si>
  <si>
    <t>+DAT</t>
  </si>
  <si>
    <t>José Joskowicz</t>
  </si>
  <si>
    <t>jj</t>
  </si>
  <si>
    <t>REC</t>
  </si>
  <si>
    <t>1REC1</t>
  </si>
  <si>
    <t>1REC2</t>
  </si>
  <si>
    <t>2INF</t>
  </si>
  <si>
    <t>2+2</t>
  </si>
  <si>
    <t>3+2</t>
  </si>
  <si>
    <t>Sdig</t>
  </si>
  <si>
    <t>3+3</t>
  </si>
  <si>
    <t>T_ing</t>
  </si>
  <si>
    <t>LUN</t>
  </si>
  <si>
    <t>MAR</t>
  </si>
  <si>
    <t>JUE</t>
  </si>
  <si>
    <t>VIE</t>
  </si>
  <si>
    <t>3x6 + 2x6</t>
  </si>
  <si>
    <t>PROG2</t>
  </si>
  <si>
    <t>ECO</t>
  </si>
  <si>
    <t>AM3P</t>
  </si>
  <si>
    <t>SDIG</t>
  </si>
  <si>
    <t>IngTran</t>
  </si>
  <si>
    <t>IngSan2</t>
  </si>
  <si>
    <t>PInv</t>
  </si>
  <si>
    <t>EstMM</t>
  </si>
  <si>
    <t>ACInd</t>
  </si>
  <si>
    <t>Maq3</t>
  </si>
  <si>
    <t>DEMaq</t>
  </si>
  <si>
    <t>SdT</t>
  </si>
  <si>
    <t>TIC6</t>
  </si>
  <si>
    <t>Andrés Nieto</t>
  </si>
  <si>
    <t>an</t>
  </si>
  <si>
    <t>Julio Molinolo</t>
  </si>
  <si>
    <t>jm</t>
  </si>
  <si>
    <t>Marcos Rey</t>
  </si>
  <si>
    <t>mre</t>
  </si>
  <si>
    <t>Michelle Dovat</t>
  </si>
  <si>
    <t>md</t>
  </si>
  <si>
    <t>Gastón Puga</t>
  </si>
  <si>
    <t>gp</t>
  </si>
  <si>
    <t>Juan Míguez</t>
  </si>
  <si>
    <t>jmi</t>
  </si>
  <si>
    <t>Miguel Causa</t>
  </si>
  <si>
    <t>mc</t>
  </si>
  <si>
    <t>Oliver Kraus</t>
  </si>
  <si>
    <t>ok</t>
  </si>
  <si>
    <t>Juan Piaggio</t>
  </si>
  <si>
    <t>jpi</t>
  </si>
  <si>
    <t>Guillermo Dornelles</t>
  </si>
  <si>
    <t>gdo</t>
  </si>
  <si>
    <t>5CIV</t>
  </si>
  <si>
    <t>5IND</t>
  </si>
  <si>
    <t>5TEL</t>
  </si>
  <si>
    <t>5INF</t>
  </si>
  <si>
    <t>ICC 1</t>
  </si>
  <si>
    <t>icc1</t>
  </si>
  <si>
    <t>icc2</t>
  </si>
  <si>
    <t>ICC 2</t>
  </si>
  <si>
    <t>maximo 3 dias</t>
  </si>
  <si>
    <t>solo 1 dia despues de 17hs</t>
  </si>
  <si>
    <t>evitar puentes</t>
  </si>
  <si>
    <t>no mas de 2 horas seguidas</t>
  </si>
  <si>
    <t>Marcelo Fontan</t>
  </si>
  <si>
    <t>mf</t>
  </si>
  <si>
    <t>lunes xor viernes</t>
  </si>
  <si>
    <t>Xavier Masdeu</t>
  </si>
  <si>
    <t>xm</t>
  </si>
  <si>
    <t>ICC 3</t>
  </si>
  <si>
    <t>icc3</t>
  </si>
  <si>
    <t>no dias consecutivos ADA</t>
  </si>
  <si>
    <t>4LIC</t>
  </si>
  <si>
    <t>Prog1 A</t>
  </si>
  <si>
    <t>p1a</t>
  </si>
  <si>
    <t>p1b</t>
  </si>
  <si>
    <t>Prog1 B</t>
  </si>
  <si>
    <t>TIngA</t>
  </si>
  <si>
    <t>TIngB</t>
  </si>
  <si>
    <t>arqap</t>
  </si>
  <si>
    <t>Arq Aplic</t>
  </si>
  <si>
    <t>jg</t>
  </si>
  <si>
    <t>Milenka Sojachenksi</t>
  </si>
  <si>
    <t>ms</t>
  </si>
  <si>
    <t>todo el mismo dia</t>
  </si>
  <si>
    <t>Fernando Requena</t>
  </si>
  <si>
    <t>fr</t>
  </si>
  <si>
    <t>Adrián Carballo</t>
  </si>
  <si>
    <t>adc</t>
  </si>
  <si>
    <t>Martín Kasek</t>
  </si>
  <si>
    <t>mk</t>
  </si>
  <si>
    <t>EA/MInv</t>
  </si>
  <si>
    <t>Adrián Russi</t>
  </si>
  <si>
    <t>ar</t>
  </si>
  <si>
    <t>ep</t>
  </si>
  <si>
    <t>MdProc</t>
  </si>
  <si>
    <t>GAmb</t>
  </si>
  <si>
    <t>Horm2</t>
  </si>
  <si>
    <t>DPav</t>
  </si>
  <si>
    <t>Puentes</t>
  </si>
  <si>
    <t>df</t>
  </si>
  <si>
    <t>DIPyU</t>
  </si>
  <si>
    <t>David Fontans</t>
  </si>
  <si>
    <t>no coincidir mañana-tarde</t>
  </si>
  <si>
    <t>3x3 + 5x2</t>
  </si>
  <si>
    <t>2+1</t>
  </si>
  <si>
    <t>6 + 2x3 + 7x2 + 1</t>
  </si>
  <si>
    <t>4x3 + 7x2 + 1</t>
  </si>
  <si>
    <t>Año:  1</t>
  </si>
  <si>
    <t xml:space="preserve"> Grupo:  1LIC</t>
  </si>
  <si>
    <t>18:00-18:50</t>
  </si>
  <si>
    <t>18:50-19:40</t>
  </si>
  <si>
    <t>19:50-20:40</t>
  </si>
  <si>
    <t>20:40-21:30</t>
  </si>
  <si>
    <t>21:40-22:30</t>
  </si>
  <si>
    <t xml:space="preserve"> Grupo:  11</t>
  </si>
  <si>
    <t>08:00-08:50</t>
  </si>
  <si>
    <t>08:50-09:40</t>
  </si>
  <si>
    <t>09:50-10:40</t>
  </si>
  <si>
    <t xml:space="preserve"> Grupo:  12</t>
  </si>
  <si>
    <t xml:space="preserve"> Grupo:  13</t>
  </si>
  <si>
    <t xml:space="preserve"> Grupo:  14</t>
  </si>
  <si>
    <t>14:10-15:00</t>
  </si>
  <si>
    <t>15:10-16:00</t>
  </si>
  <si>
    <t>16:10-17:00</t>
  </si>
  <si>
    <t>17:00-17:50</t>
  </si>
  <si>
    <t xml:space="preserve"> Grupo:  1REC1</t>
  </si>
  <si>
    <t xml:space="preserve"> Grupo:  1REC2</t>
  </si>
  <si>
    <t xml:space="preserve"> Grupo:  3CIV</t>
  </si>
  <si>
    <t xml:space="preserve"> Grupo:  3IND</t>
  </si>
  <si>
    <t>IdM[gd]</t>
  </si>
  <si>
    <t>EG[icc2]</t>
  </si>
  <si>
    <t>Hid[mpi,sp]</t>
  </si>
  <si>
    <t>RM2[ar]</t>
  </si>
  <si>
    <t>ETec[mr]</t>
  </si>
  <si>
    <t>EM[gb]</t>
  </si>
  <si>
    <t>alternar dias</t>
  </si>
  <si>
    <t>IAL[cp]</t>
  </si>
  <si>
    <t>ILic[pu]</t>
  </si>
  <si>
    <t>MAT1[ds]</t>
  </si>
  <si>
    <t>IALp[lc]</t>
  </si>
  <si>
    <t>PComp[pn]</t>
  </si>
  <si>
    <t>TIngB[ad]</t>
  </si>
  <si>
    <t>Prog1[p1a]</t>
  </si>
  <si>
    <t>TIngA[as]</t>
  </si>
  <si>
    <t>AL[svv]</t>
  </si>
  <si>
    <t>ALp[jf]</t>
  </si>
  <si>
    <t>AM1[lg]</t>
  </si>
  <si>
    <t>AM1p[ps]</t>
  </si>
  <si>
    <t>AL[ds]</t>
  </si>
  <si>
    <t>AM1[gc]</t>
  </si>
  <si>
    <t>Prog1[p1b]</t>
  </si>
  <si>
    <t>AL[lg]</t>
  </si>
  <si>
    <t>AM1[am]</t>
  </si>
  <si>
    <t>AM1[jd]</t>
  </si>
  <si>
    <t>Prog1[vt]</t>
  </si>
  <si>
    <t>AL[ap]</t>
  </si>
  <si>
    <t>Fisica[jpf]</t>
  </si>
  <si>
    <t>AM2[gc]</t>
  </si>
  <si>
    <t>ALN[jk]</t>
  </si>
  <si>
    <t>ALNp[jk]</t>
  </si>
  <si>
    <t>AM2p[am]</t>
  </si>
  <si>
    <t>AM2[am]</t>
  </si>
  <si>
    <t>AM2p[gc]</t>
  </si>
  <si>
    <t xml:space="preserve"> -  -  -  -  -  -  -  -  -  -  -  -  -  -  -  -  -  -  -  -  -  -  -  -  -  -  -  -  -  -  -  -  -  -</t>
  </si>
  <si>
    <t>Año:  2</t>
  </si>
  <si>
    <t xml:space="preserve"> Grupo:  2LIC</t>
  </si>
  <si>
    <t>Prog2[nn]</t>
  </si>
  <si>
    <t>DBD1[dl]</t>
  </si>
  <si>
    <t>IMD[cp]</t>
  </si>
  <si>
    <t>HC[icc1]</t>
  </si>
  <si>
    <t>RD1[guc,mjc,sb]</t>
  </si>
  <si>
    <t xml:space="preserve"> Grupo:  2CIV</t>
  </si>
  <si>
    <t>Eco[hf]</t>
  </si>
  <si>
    <t>PdO[es]</t>
  </si>
  <si>
    <t>CadBim[db]</t>
  </si>
  <si>
    <t>AM3[svv]</t>
  </si>
  <si>
    <t>AM3p[mz]</t>
  </si>
  <si>
    <t>TermoD[gb]</t>
  </si>
  <si>
    <t>Mec1[jpf]</t>
  </si>
  <si>
    <t xml:space="preserve"> Grupo:  2TEL</t>
  </si>
  <si>
    <t>DBD2[sgp]</t>
  </si>
  <si>
    <t>SDig[ame]</t>
  </si>
  <si>
    <t>Prog2[gaa]</t>
  </si>
  <si>
    <t>MIE[aca]</t>
  </si>
  <si>
    <t xml:space="preserve"> Grupo:  2IND</t>
  </si>
  <si>
    <t>IntInd[rc]</t>
  </si>
  <si>
    <t>AM3[jd]</t>
  </si>
  <si>
    <t xml:space="preserve"> Grupo:  2INF2</t>
  </si>
  <si>
    <t>MD[jk]</t>
  </si>
  <si>
    <t>Log[po]</t>
  </si>
  <si>
    <t>MDp[jk]</t>
  </si>
  <si>
    <t xml:space="preserve"> Grupo:  2INF1</t>
  </si>
  <si>
    <t>MD[mp]</t>
  </si>
  <si>
    <t>Prog2[rl]</t>
  </si>
  <si>
    <t>DBD2[dl]</t>
  </si>
  <si>
    <t>Año:  3</t>
  </si>
  <si>
    <t xml:space="preserve"> Grupo:  3LIC</t>
  </si>
  <si>
    <t>IngSW2[apa]</t>
  </si>
  <si>
    <t>ADA[jcc]</t>
  </si>
  <si>
    <t>ADA[mbo]</t>
  </si>
  <si>
    <t>UIUX[jl]</t>
  </si>
  <si>
    <t>AD[jpe]</t>
  </si>
  <si>
    <t>Teo[icc3]</t>
  </si>
  <si>
    <t>PdO2[epe,nd]</t>
  </si>
  <si>
    <t xml:space="preserve"> Grupo:  3TEL</t>
  </si>
  <si>
    <t>IngSW1[jds]</t>
  </si>
  <si>
    <t>RD2[guc,mjc,sb]</t>
  </si>
  <si>
    <t>SO[hr]</t>
  </si>
  <si>
    <t>IO[cr]</t>
  </si>
  <si>
    <t xml:space="preserve"> Grupo:  3INF2</t>
  </si>
  <si>
    <t>InfrInf[jj]</t>
  </si>
  <si>
    <t>ArqAp[arqap]</t>
  </si>
  <si>
    <t xml:space="preserve"> Grupo:  3INF1</t>
  </si>
  <si>
    <t>IngSW1[gba]</t>
  </si>
  <si>
    <t>ArqAp[mf]</t>
  </si>
  <si>
    <t>SO[gq]</t>
  </si>
  <si>
    <t>IO[dj]</t>
  </si>
  <si>
    <t>1ero + 2do + 3ero</t>
  </si>
  <si>
    <t>David Fontáns</t>
  </si>
  <si>
    <t>dias no consecutivos SyMH</t>
  </si>
  <si>
    <t>Héctor Tosar</t>
  </si>
  <si>
    <t>ht</t>
  </si>
  <si>
    <t>no es posible evitar dias consecutivos</t>
  </si>
  <si>
    <t>MotCI</t>
  </si>
  <si>
    <t>DisEst</t>
  </si>
  <si>
    <t>AgroN</t>
  </si>
  <si>
    <t>ProyInt</t>
  </si>
  <si>
    <t>Gustavo Gretter</t>
  </si>
  <si>
    <t>gg</t>
  </si>
  <si>
    <t>ApMov</t>
  </si>
  <si>
    <t>RPA</t>
  </si>
  <si>
    <t>RM2p</t>
  </si>
  <si>
    <t>MecS2p</t>
  </si>
  <si>
    <t>Cristina Mayr</t>
  </si>
  <si>
    <t>cm</t>
  </si>
  <si>
    <t>ma</t>
  </si>
  <si>
    <t>Andrea Parada</t>
  </si>
  <si>
    <t>anp</t>
  </si>
  <si>
    <t>dias no consecutivos RPA</t>
  </si>
  <si>
    <t>mg</t>
  </si>
  <si>
    <t>X = PERMITIR SUPERPOSICION A PROPÓSITO</t>
  </si>
  <si>
    <t>(no es necesario para pares de materias que no comparten grupos)</t>
  </si>
  <si>
    <t>Martha Giménez</t>
  </si>
  <si>
    <t>tic6</t>
  </si>
  <si>
    <t>pinv</t>
  </si>
  <si>
    <t>sdt</t>
  </si>
  <si>
    <t>GSInf</t>
  </si>
  <si>
    <t>3x3 + 6x2 + 1</t>
  </si>
  <si>
    <t>er</t>
  </si>
  <si>
    <t>max dias (3 ideal)</t>
  </si>
  <si>
    <t>coincidir SDig</t>
  </si>
  <si>
    <t>EthHck</t>
  </si>
  <si>
    <t>Prog1 C</t>
  </si>
  <si>
    <t>p1c</t>
  </si>
  <si>
    <t>Eugenia Riaño</t>
  </si>
  <si>
    <t>electiva para 5INF</t>
  </si>
  <si>
    <t>electiva para 5TEL</t>
  </si>
  <si>
    <t>Solicito que el grupo más grande no coincida en los dias con otro grupo.</t>
  </si>
  <si>
    <t>Cuando correspondan dos grupos seguidos uno de ellos termina 12 y 30</t>
  </si>
  <si>
    <t>StUp1</t>
  </si>
  <si>
    <t>Pablo Pereira</t>
  </si>
  <si>
    <t>pp</t>
  </si>
  <si>
    <t>Estadistica Aplicada junto con Metodologia de Investigacion</t>
  </si>
  <si>
    <t>Gonzalo Caprario</t>
  </si>
  <si>
    <t>gca</t>
  </si>
  <si>
    <t>Evitar puentes?</t>
  </si>
  <si>
    <t>SDig[]</t>
  </si>
  <si>
    <t>Prog1[p1c]</t>
  </si>
  <si>
    <t>SD[dc,jg]</t>
  </si>
  <si>
    <t>RM2p[]</t>
  </si>
  <si>
    <t>ITerm[]</t>
  </si>
  <si>
    <t>InfrInf[]</t>
  </si>
  <si>
    <t>IO[]</t>
  </si>
  <si>
    <t xml:space="preserve"> Profesor:  ds Debora Stalker</t>
  </si>
  <si>
    <t xml:space="preserve"> Profesor:  cp Carlos Presa</t>
  </si>
  <si>
    <t xml:space="preserve"> Profesor:  lc Lara Cuadrado</t>
  </si>
  <si>
    <t xml:space="preserve"> Profesor:  pn Pablo Navas</t>
  </si>
  <si>
    <t xml:space="preserve"> Profesor:  pu Pablo Urquizó</t>
  </si>
  <si>
    <t xml:space="preserve"> Profesor:  guc Gustavo Compagnone</t>
  </si>
  <si>
    <t xml:space="preserve"> Profesor:  mjc María Jesús Cresci</t>
  </si>
  <si>
    <t xml:space="preserve"> Profesor:  sb Santiago Blanco</t>
  </si>
  <si>
    <t xml:space="preserve"> Profesor:  nn Nicolás Navarro</t>
  </si>
  <si>
    <t xml:space="preserve"> Profesor:  dl Diego López</t>
  </si>
  <si>
    <t xml:space="preserve"> Profesor:  icc1 ICC 1</t>
  </si>
  <si>
    <t xml:space="preserve"> Profesor:  jpe Juan Pellegrini</t>
  </si>
  <si>
    <t xml:space="preserve"> Profesor:  xm Xavier Masdeu</t>
  </si>
  <si>
    <t xml:space="preserve"> Profesor:  icc3 ICC 3</t>
  </si>
  <si>
    <t xml:space="preserve"> Profesor:  apa Arianne Palau</t>
  </si>
  <si>
    <t xml:space="preserve"> Profesor:  dc Daniel Canoniero</t>
  </si>
  <si>
    <t xml:space="preserve"> Profesor:  jg Josefina Gallinal</t>
  </si>
  <si>
    <t xml:space="preserve"> Profesor:  jcc Juan Cruz Carrau</t>
  </si>
  <si>
    <t xml:space="preserve"> Profesor:  mbo Mateo Borrazás</t>
  </si>
  <si>
    <t xml:space="preserve"> Profesor:  gc Gabriel Coates</t>
  </si>
  <si>
    <t xml:space="preserve"> Profesor:  lg Laura Gatti</t>
  </si>
  <si>
    <t xml:space="preserve"> Profesor:  am Andrea Mesa</t>
  </si>
  <si>
    <t xml:space="preserve"> Profesor:  jd José Díaz</t>
  </si>
  <si>
    <t xml:space="preserve"> Profesor:  ps Pedro Sakorko</t>
  </si>
  <si>
    <t xml:space="preserve"> Profesor:  svv Sara Vilar del Valle</t>
  </si>
  <si>
    <t xml:space="preserve"> Profesor:  ap Alfredo Piria</t>
  </si>
  <si>
    <t xml:space="preserve"> Profesor:  jf Jazmín Finot</t>
  </si>
  <si>
    <t xml:space="preserve"> Profesor:  vt Victoria Tejera</t>
  </si>
  <si>
    <t xml:space="preserve"> Profesor:  p1a Prog1 A</t>
  </si>
  <si>
    <t xml:space="preserve"> Profesor:  p1b Prog1 B</t>
  </si>
  <si>
    <t xml:space="preserve"> Profesor:  p1c Prog1 C</t>
  </si>
  <si>
    <t xml:space="preserve"> Profesor:  as Adrián Santilli</t>
  </si>
  <si>
    <t xml:space="preserve"> Profesor:  ad Andrea Durlacher</t>
  </si>
  <si>
    <t xml:space="preserve"> Profesor:  jk Juan Kalemkerian</t>
  </si>
  <si>
    <t xml:space="preserve"> Profesor:  jpf Juan Pablo Fossati</t>
  </si>
  <si>
    <t xml:space="preserve"> Profesor:  mz Marco Zunino</t>
  </si>
  <si>
    <t xml:space="preserve"> Profesor:  gb Gerardo Beltrame</t>
  </si>
  <si>
    <t xml:space="preserve"> Profesor:  db Daniel Belandria</t>
  </si>
  <si>
    <t xml:space="preserve"> Profesor:  es Elio Santilli</t>
  </si>
  <si>
    <t xml:space="preserve"> Profesor:  hf Héber Francia</t>
  </si>
  <si>
    <t xml:space="preserve"> Profesor:  rc Ricardo Cosentino</t>
  </si>
  <si>
    <t xml:space="preserve"> Profesor:  mp Mariana Pereira</t>
  </si>
  <si>
    <t xml:space="preserve"> Profesor:  po Pablo Ortiz</t>
  </si>
  <si>
    <t xml:space="preserve"> Profesor:  ame Andrés Merello</t>
  </si>
  <si>
    <t xml:space="preserve"> Profesor:  sgp Sebastián García Parra</t>
  </si>
  <si>
    <t xml:space="preserve"> Profesor:  rl Rodrigo López</t>
  </si>
  <si>
    <t xml:space="preserve"> Profesor:  gaa Germán Abu Arab</t>
  </si>
  <si>
    <t xml:space="preserve"> Profesor:  aca Andrés Cardozo</t>
  </si>
  <si>
    <t xml:space="preserve"> Profesor:  cr Claudio Ruibal</t>
  </si>
  <si>
    <t xml:space="preserve"> Profesor:  dj Daniel Jurburg</t>
  </si>
  <si>
    <t xml:space="preserve"> Profesor:  gd Gustavo Domínguez</t>
  </si>
  <si>
    <t xml:space="preserve"> Profesor:  ar Adrián Russi</t>
  </si>
  <si>
    <t xml:space="preserve"> Profesor:  mpi Marcelo Pittamiglio</t>
  </si>
  <si>
    <t xml:space="preserve"> Profesor:  sp Santiago Pereira</t>
  </si>
  <si>
    <t xml:space="preserve"> Profesor:  epe Eduardo Peñalva</t>
  </si>
  <si>
    <t xml:space="preserve"> Profesor:  nd Nelson Demarco</t>
  </si>
  <si>
    <t xml:space="preserve"> Profesor:  icc2 ICC 2</t>
  </si>
  <si>
    <t xml:space="preserve"> Profesor:  mr Mauricio Riera</t>
  </si>
  <si>
    <t xml:space="preserve"> Profesor:  mf Marcelo Fontan</t>
  </si>
  <si>
    <t xml:space="preserve"> Profesor:  arqap Arq Aplic</t>
  </si>
  <si>
    <t xml:space="preserve"> Profesor:  gq Gerardo Quincke</t>
  </si>
  <si>
    <t xml:space="preserve"> Profesor:  hr Hernán Rohner</t>
  </si>
  <si>
    <t xml:space="preserve"> Profesor:  jj José Joskowicz</t>
  </si>
  <si>
    <t xml:space="preserve"> Profesor:  jds Joaquín da Silva</t>
  </si>
  <si>
    <t xml:space="preserve"> Profesor:  gba Gonzalo Balatti</t>
  </si>
  <si>
    <t xml:space="preserve"> Profesor:  jl Javier López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</si>
</sst>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1" tint="4.9989318521683403E-2"/>
        <bgColor theme="0" tint="-0.14999847407452621"/>
      </patternFill>
    </fill>
    <fill>
      <patternFill patternType="solid">
        <fgColor theme="5" tint="0.39997558519241921"/>
        <bgColor theme="0" tint="-0.14999847407452621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8" fillId="0" borderId="0" applyFont="0" applyFill="0" applyBorder="0" applyAlignment="0" applyProtection="0"/>
  </cellStyleXfs>
  <cellXfs count="114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/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0" xfId="0" applyFont="1" applyFill="1"/>
    <xf numFmtId="20" fontId="0" fillId="0" borderId="0" xfId="0" applyNumberForma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9" fillId="0" borderId="0" xfId="0" applyFont="1"/>
    <xf numFmtId="9" fontId="1" fillId="0" borderId="0" xfId="2" applyFont="1"/>
    <xf numFmtId="1" fontId="1" fillId="0" borderId="0" xfId="0" applyNumberFormat="1" applyFont="1"/>
    <xf numFmtId="0" fontId="1" fillId="7" borderId="2" xfId="0" applyFont="1" applyFill="1" applyBorder="1" applyAlignment="1">
      <alignment vertical="center" wrapText="1"/>
    </xf>
    <xf numFmtId="0" fontId="0" fillId="3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0" fillId="7" borderId="0" xfId="0" applyFill="1"/>
    <xf numFmtId="0" fontId="1" fillId="6" borderId="0" xfId="0" applyFont="1" applyFill="1" applyAlignment="1">
      <alignment horizontal="center"/>
    </xf>
    <xf numFmtId="0" fontId="4" fillId="0" borderId="14" xfId="0" applyFont="1" applyBorder="1" applyAlignment="1">
      <alignment vertical="center" wrapText="1"/>
    </xf>
    <xf numFmtId="0" fontId="4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10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7" fillId="0" borderId="0" xfId="0" applyFont="1"/>
    <xf numFmtId="0" fontId="4" fillId="13" borderId="14" xfId="0" applyFont="1" applyFill="1" applyBorder="1" applyAlignment="1">
      <alignment horizontal="center" vertical="center" wrapText="1"/>
    </xf>
    <xf numFmtId="0" fontId="4" fillId="14" borderId="14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1" fillId="0" borderId="2" xfId="0" applyFont="1" applyBorder="1" applyAlignment="1">
      <alignment vertical="center"/>
    </xf>
    <xf numFmtId="0" fontId="1" fillId="2" borderId="2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49" fontId="1" fillId="2" borderId="4" xfId="0" applyNumberFormat="1" applyFont="1" applyFill="1" applyBorder="1" applyAlignment="1">
      <alignment vertical="center" wrapText="1"/>
    </xf>
    <xf numFmtId="0" fontId="7" fillId="2" borderId="2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 wrapText="1"/>
    </xf>
    <xf numFmtId="0" fontId="1" fillId="7" borderId="6" xfId="0" applyFont="1" applyFill="1" applyBorder="1" applyAlignment="1">
      <alignment vertical="center" wrapText="1"/>
    </xf>
    <xf numFmtId="0" fontId="11" fillId="0" borderId="0" xfId="0" applyFont="1"/>
    <xf numFmtId="0" fontId="1" fillId="17" borderId="6" xfId="0" applyFont="1" applyFill="1" applyBorder="1" applyAlignment="1">
      <alignment vertical="center" wrapText="1"/>
    </xf>
    <xf numFmtId="0" fontId="1" fillId="17" borderId="2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7" borderId="3" xfId="0" applyFont="1" applyFill="1" applyBorder="1" applyAlignment="1">
      <alignment vertical="center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17" borderId="8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horizontal="left" vertical="center" wrapText="1"/>
    </xf>
  </cellXfs>
  <cellStyles count="3">
    <cellStyle name="Normal" xfId="0" builtinId="0"/>
    <cellStyle name="Normal 2" xfId="1" xr:uid="{2579EBC4-8073-4D06-AF07-31A01C277B96}"/>
    <cellStyle name="Porcentaje" xfId="2" builtinId="5"/>
  </cellStyles>
  <dxfs count="5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eetMetadata" Target="metadata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theme" Target="theme/theme1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P165" totalsRowShown="0" headerRowDxfId="49" dataDxfId="47" headerRowBorderDxfId="48" tableBorderDxfId="46">
  <autoFilter ref="A1:P165" xr:uid="{C1696C74-5DD1-4C8E-A739-81312A27383B}"/>
  <tableColumns count="16">
    <tableColumn id="1" xr3:uid="{075D5136-A95B-4955-B85E-829BC9BA9BAE}" name="Materia" dataDxfId="45"/>
    <tableColumn id="2" xr3:uid="{576A4FC5-51CE-475E-BED3-5CC6B6674721}" name="Carga Horaria" dataDxfId="44"/>
    <tableColumn id="3" xr3:uid="{F2E2F0D6-1D40-4CE0-8103-51959A3B82CD}" name="Días por semana" dataDxfId="43"/>
    <tableColumn id="4" xr3:uid="{264CC43A-F4EB-465F-A7D0-135F4A50B4DA}" name="Teo/Prac" dataDxfId="42"/>
    <tableColumn id="18" xr3:uid="{C1EE52EE-76E1-4227-BDC2-C10CE91F3B25}" name="Electiva" dataDxfId="41"/>
    <tableColumn id="15" xr3:uid="{70E0A7F3-2F19-4D9C-B8B4-44BD310E116D}" name="Cantidad profesores" dataDxfId="40"/>
    <tableColumn id="5" xr3:uid="{6B45BF66-9698-437C-BDC8-5D44A7631A6D}" name="Profesor 1" dataDxfId="39"/>
    <tableColumn id="6" xr3:uid="{B008AED2-55E7-4340-BEFF-FD96D52A94AD}" name="Profesor 2" dataDxfId="38"/>
    <tableColumn id="7" xr3:uid="{AB6B10CF-B16D-4B43-AC73-0C1DC6BF4FDB}" name="Profesor 3" dataDxfId="37"/>
    <tableColumn id="8" xr3:uid="{F29C2ECC-B0C1-4CD7-B883-FA38FEDAB810}" name="Profesor 4" dataDxfId="36"/>
    <tableColumn id="9" xr3:uid="{95992D8B-DCAA-4D57-87A1-000CA7014D18}" name="Grupo 1" dataDxfId="35"/>
    <tableColumn id="10" xr3:uid="{2DA38EA5-810C-44E7-A60B-9C9CF406C451}" name="Grupo 2" dataDxfId="34"/>
    <tableColumn id="11" xr3:uid="{313788F1-87DE-4E02-9D67-7FBF57D47ED7}" name="Grupo 3" dataDxfId="33"/>
    <tableColumn id="12" xr3:uid="{5E84964D-B14A-4A91-815D-C2F572D40545}" name="Grupo 4" dataDxfId="32"/>
    <tableColumn id="13" xr3:uid="{55216FB5-5CFC-47CC-BEE7-9ADF52048B9B}" name="Grupo 5" dataDxfId="31"/>
    <tableColumn id="14" xr3:uid="{37F95C67-73FA-4464-9726-6BF00AC992AA}" name="Observaciones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M107" totalsRowShown="0" headerRowDxfId="29" tableBorderDxfId="28">
  <autoFilter ref="A1:M107" xr:uid="{E74893D1-0573-42A8-87FD-99C77B57B53D}"/>
  <sortState xmlns:xlrd2="http://schemas.microsoft.com/office/spreadsheetml/2017/richdata2" ref="A2:M107">
    <sortCondition ref="B1:B107"/>
  </sortState>
  <tableColumns count="13">
    <tableColumn id="1" xr3:uid="{48E73294-D876-4677-AF47-7E46EE0B52D1}" name="Nombre" dataDxfId="27"/>
    <tableColumn id="2" xr3:uid="{F182E5ED-6A3F-437D-AD09-A5B851853EE5}" name="Profesor" dataDxfId="26"/>
    <tableColumn id="3" xr3:uid="{E4879D73-DC77-4506-AC89-73A9F98F9FBA}" name="Minimizar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1" totalsRowShown="0" headerRowDxfId="14" dataDxfId="13">
  <autoFilter ref="A1:H31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32" dT="2024-11-08T23:30:24.77" personId="{622B8679-81F9-4BA5-BCED-D56836D70B26}" id="{4B61C5F6-EDAC-4526-92C9-219FB8C0EC39}">
    <text>Poca disponibilidad</text>
  </threadedComment>
  <threadedComment ref="B133" dT="2024-11-08T23:30:24.77" personId="{622B8679-81F9-4BA5-BCED-D56836D70B26}" id="{593D5C6E-D2C6-4948-A243-89725A7C0F64}">
    <text>Poca disponibilidad</text>
  </threadedComment>
  <threadedComment ref="G135" dT="2024-11-08T23:25:17.20" personId="{622B8679-81F9-4BA5-BCED-D56836D70B26}" id="{4C163CC1-E3EC-482F-B92B-53B8FA7D17E9}">
    <text>Disponibilidad exacta (3h lunes)</text>
  </threadedComment>
  <threadedComment ref="B140" dT="2024-11-08T23:08:53.56" personId="{622B8679-81F9-4BA5-BCED-D56836D70B26}" id="{9C8A45CC-305C-4B73-ADD0-1D5F4446221C}">
    <text>Poca disponibilidad, horas muy ajustadas</text>
  </threadedComment>
  <threadedComment ref="B148" dT="2024-11-12T13:55:29.10" personId="{622B8679-81F9-4BA5-BCED-D56836D70B26}" id="{B0F64D09-F8B5-43AB-B2BE-149D3AD62FD0}">
    <text>Disponibilidad limitada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I165"/>
  <sheetViews>
    <sheetView zoomScale="90" zoomScaleNormal="90" workbookViewId="0">
      <pane ySplit="1" topLeftCell="A88" activePane="bottomLeft" state="frozen"/>
      <selection pane="bottomLeft" activeCell="P93" sqref="P93"/>
    </sheetView>
  </sheetViews>
  <sheetFormatPr baseColWidth="10" defaultColWidth="11.88671875" defaultRowHeight="14.4" x14ac:dyDescent="0.3"/>
  <cols>
    <col min="1" max="1" width="11.109375" style="6" customWidth="1"/>
    <col min="2" max="3" width="9.88671875" style="5" customWidth="1"/>
    <col min="4" max="5" width="6.109375" style="5" customWidth="1"/>
    <col min="6" max="6" width="11.21875" style="5" customWidth="1"/>
    <col min="7" max="7" width="10.88671875" style="11" customWidth="1"/>
    <col min="8" max="8" width="10.88671875" style="7" customWidth="1"/>
    <col min="9" max="9" width="10.88671875" style="5" customWidth="1"/>
    <col min="10" max="10" width="10.88671875" style="12" customWidth="1"/>
    <col min="11" max="11" width="8.6640625" style="7" customWidth="1"/>
    <col min="12" max="14" width="8.6640625" style="5" customWidth="1"/>
    <col min="15" max="15" width="8.6640625" style="12" customWidth="1"/>
    <col min="16" max="16" width="17.44140625" style="5" customWidth="1"/>
    <col min="17" max="17" width="14.109375" style="5" customWidth="1"/>
    <col min="18" max="16384" width="11.88671875" style="5"/>
  </cols>
  <sheetData>
    <row r="1" spans="1:35" ht="30.6" customHeight="1" thickBot="1" x14ac:dyDescent="0.35">
      <c r="A1" s="4" t="s">
        <v>4</v>
      </c>
      <c r="B1" s="4" t="s">
        <v>1</v>
      </c>
      <c r="C1" s="9" t="s">
        <v>5</v>
      </c>
      <c r="D1" s="22" t="s">
        <v>277</v>
      </c>
      <c r="E1" s="22" t="s">
        <v>280</v>
      </c>
      <c r="F1" s="29" t="s">
        <v>55</v>
      </c>
      <c r="G1" s="22" t="s">
        <v>35</v>
      </c>
      <c r="H1" s="9" t="s">
        <v>36</v>
      </c>
      <c r="I1" s="9" t="s">
        <v>37</v>
      </c>
      <c r="J1" s="4" t="s">
        <v>38</v>
      </c>
      <c r="K1" s="22" t="s">
        <v>39</v>
      </c>
      <c r="L1" s="9" t="s">
        <v>40</v>
      </c>
      <c r="M1" s="9" t="s">
        <v>41</v>
      </c>
      <c r="N1" s="9" t="s">
        <v>265</v>
      </c>
      <c r="O1" s="4" t="s">
        <v>266</v>
      </c>
      <c r="P1" s="25" t="s">
        <v>161</v>
      </c>
    </row>
    <row r="2" spans="1:35" ht="15" thickBot="1" x14ac:dyDescent="0.35">
      <c r="A2" s="2" t="s">
        <v>243</v>
      </c>
      <c r="B2" s="2">
        <v>6</v>
      </c>
      <c r="C2" s="8">
        <v>2</v>
      </c>
      <c r="D2" s="10"/>
      <c r="E2" s="10"/>
      <c r="F2" s="30">
        <v>1</v>
      </c>
      <c r="G2" s="10" t="s">
        <v>15</v>
      </c>
      <c r="H2" s="8"/>
      <c r="I2" s="8"/>
      <c r="J2" s="2"/>
      <c r="K2" s="8" t="s">
        <v>258</v>
      </c>
      <c r="L2" s="8"/>
      <c r="M2" s="8"/>
      <c r="N2" s="8"/>
      <c r="O2" s="2"/>
      <c r="P2" s="24"/>
    </row>
    <row r="3" spans="1:35" ht="15" thickBot="1" x14ac:dyDescent="0.35">
      <c r="A3" s="2" t="s">
        <v>244</v>
      </c>
      <c r="B3" s="2">
        <v>5</v>
      </c>
      <c r="C3" s="8">
        <v>2</v>
      </c>
      <c r="D3" s="10" t="s">
        <v>278</v>
      </c>
      <c r="E3" s="10"/>
      <c r="F3" s="10">
        <v>1</v>
      </c>
      <c r="G3" s="10" t="s">
        <v>247</v>
      </c>
      <c r="H3" s="8"/>
      <c r="I3" s="8"/>
      <c r="J3" s="2"/>
      <c r="K3" s="8" t="s">
        <v>258</v>
      </c>
      <c r="L3" s="8"/>
      <c r="M3" s="8"/>
      <c r="N3" s="8"/>
      <c r="O3" s="2"/>
      <c r="P3" s="88"/>
      <c r="T3" s="5" t="s">
        <v>239</v>
      </c>
      <c r="X3" s="5" t="s">
        <v>241</v>
      </c>
    </row>
    <row r="4" spans="1:35" ht="15" thickBot="1" x14ac:dyDescent="0.35">
      <c r="A4" s="89" t="s">
        <v>245</v>
      </c>
      <c r="B4" s="89">
        <v>2</v>
      </c>
      <c r="C4" s="90">
        <v>1</v>
      </c>
      <c r="D4" s="30" t="s">
        <v>279</v>
      </c>
      <c r="E4" s="30"/>
      <c r="F4" s="30">
        <v>1</v>
      </c>
      <c r="G4" s="30" t="s">
        <v>250</v>
      </c>
      <c r="H4" s="90"/>
      <c r="I4" s="90"/>
      <c r="J4" s="89"/>
      <c r="K4" s="90" t="s">
        <v>258</v>
      </c>
      <c r="L4" s="90"/>
      <c r="M4" s="90"/>
      <c r="N4" s="90"/>
      <c r="O4" s="89"/>
      <c r="P4" s="91"/>
      <c r="T4" s="5">
        <v>0</v>
      </c>
      <c r="U4" s="5">
        <f>COUNTIF($F$2:$F$165,T4)</f>
        <v>8</v>
      </c>
      <c r="X4" s="5">
        <v>1</v>
      </c>
      <c r="Y4" s="5">
        <f t="shared" ref="Y4:Y10" si="0">COUNTIF($B$2:$B$2,X4)</f>
        <v>0</v>
      </c>
    </row>
    <row r="5" spans="1:35" ht="15" thickBot="1" x14ac:dyDescent="0.35">
      <c r="A5" s="4" t="s">
        <v>251</v>
      </c>
      <c r="B5" s="4">
        <v>4</v>
      </c>
      <c r="C5" s="8">
        <v>2</v>
      </c>
      <c r="D5" s="10"/>
      <c r="E5" s="10"/>
      <c r="F5" s="10">
        <v>1</v>
      </c>
      <c r="G5" s="10" t="s">
        <v>252</v>
      </c>
      <c r="H5" s="8"/>
      <c r="I5" s="8"/>
      <c r="J5" s="2"/>
      <c r="K5" s="8" t="s">
        <v>258</v>
      </c>
      <c r="L5" s="8"/>
      <c r="M5" s="8"/>
      <c r="N5" s="8"/>
      <c r="O5" s="2"/>
      <c r="P5" s="92"/>
      <c r="T5" s="5">
        <v>1</v>
      </c>
      <c r="U5" s="5">
        <f>COUNTIF($F$2:$F$165,T5)</f>
        <v>137</v>
      </c>
      <c r="X5" s="5">
        <v>2</v>
      </c>
      <c r="Y5" s="5">
        <f t="shared" si="0"/>
        <v>0</v>
      </c>
      <c r="AC5" s="61"/>
      <c r="AD5" s="61"/>
      <c r="AE5" s="61"/>
    </row>
    <row r="6" spans="1:35" ht="15" thickBot="1" x14ac:dyDescent="0.35">
      <c r="A6" s="93" t="s">
        <v>254</v>
      </c>
      <c r="B6" s="93">
        <v>4</v>
      </c>
      <c r="C6" s="90">
        <v>2</v>
      </c>
      <c r="D6" s="30"/>
      <c r="E6" s="30"/>
      <c r="F6" s="30">
        <v>1</v>
      </c>
      <c r="G6" s="30" t="s">
        <v>256</v>
      </c>
      <c r="H6" s="90"/>
      <c r="I6" s="90"/>
      <c r="J6" s="89"/>
      <c r="K6" s="90" t="s">
        <v>258</v>
      </c>
      <c r="L6" s="90"/>
      <c r="M6" s="90"/>
      <c r="N6" s="90"/>
      <c r="O6" s="89"/>
      <c r="P6" s="94"/>
      <c r="T6" s="5">
        <v>2</v>
      </c>
      <c r="U6" s="5">
        <f>COUNTIF($F$2:$F$165,T6)</f>
        <v>9</v>
      </c>
      <c r="X6" s="5">
        <v>3</v>
      </c>
      <c r="Y6" s="5">
        <f t="shared" si="0"/>
        <v>0</v>
      </c>
      <c r="AC6" s="61"/>
      <c r="AD6" s="61"/>
      <c r="AE6" s="61"/>
      <c r="AH6" s="62"/>
      <c r="AI6" s="63"/>
    </row>
    <row r="7" spans="1:35" ht="15" thickBot="1" x14ac:dyDescent="0.35">
      <c r="A7" s="4" t="s">
        <v>257</v>
      </c>
      <c r="B7" s="4">
        <v>5</v>
      </c>
      <c r="C7" s="8">
        <v>2</v>
      </c>
      <c r="D7" s="10"/>
      <c r="E7" s="10"/>
      <c r="F7" s="10">
        <v>1</v>
      </c>
      <c r="G7" s="10" t="s">
        <v>247</v>
      </c>
      <c r="H7" s="8"/>
      <c r="I7" s="8"/>
      <c r="J7" s="2"/>
      <c r="K7" s="8" t="s">
        <v>260</v>
      </c>
      <c r="L7" s="8"/>
      <c r="M7" s="8"/>
      <c r="N7" s="8"/>
      <c r="O7" s="2"/>
      <c r="P7" s="92"/>
      <c r="T7" s="5">
        <v>3</v>
      </c>
      <c r="U7" s="5">
        <f>COUNTIF($F$2:$F$165,T7)</f>
        <v>4</v>
      </c>
      <c r="X7" s="5">
        <v>4</v>
      </c>
      <c r="Y7" s="5">
        <f t="shared" si="0"/>
        <v>0</v>
      </c>
      <c r="AC7" s="61"/>
      <c r="AD7" s="61"/>
      <c r="AE7" s="61"/>
      <c r="AH7" s="62"/>
      <c r="AI7" s="63"/>
    </row>
    <row r="8" spans="1:35" ht="15" thickBot="1" x14ac:dyDescent="0.35">
      <c r="A8" s="93" t="s">
        <v>79</v>
      </c>
      <c r="B8" s="93">
        <v>5</v>
      </c>
      <c r="C8" s="95">
        <v>2</v>
      </c>
      <c r="D8" s="30"/>
      <c r="E8" s="30"/>
      <c r="F8" s="30">
        <v>3</v>
      </c>
      <c r="G8" s="30" t="s">
        <v>74</v>
      </c>
      <c r="H8" s="90" t="s">
        <v>64</v>
      </c>
      <c r="I8" s="90" t="s">
        <v>80</v>
      </c>
      <c r="J8" s="89"/>
      <c r="K8" s="90" t="s">
        <v>260</v>
      </c>
      <c r="L8" s="90"/>
      <c r="M8" s="90"/>
      <c r="N8" s="90"/>
      <c r="O8" s="89"/>
      <c r="P8" s="94"/>
      <c r="T8" s="5">
        <v>4</v>
      </c>
      <c r="U8" s="5">
        <f>COUNTIF($F$2:$F$165,T8)</f>
        <v>0</v>
      </c>
      <c r="X8" s="5">
        <v>5</v>
      </c>
      <c r="Y8" s="5">
        <f t="shared" si="0"/>
        <v>0</v>
      </c>
      <c r="AC8" s="61"/>
      <c r="AD8" s="61"/>
      <c r="AE8" s="61"/>
      <c r="AH8" s="62"/>
      <c r="AI8" s="63"/>
    </row>
    <row r="9" spans="1:35" ht="15" thickBot="1" x14ac:dyDescent="0.35">
      <c r="A9" s="4" t="s">
        <v>259</v>
      </c>
      <c r="B9" s="4">
        <v>5</v>
      </c>
      <c r="C9" s="9">
        <v>2</v>
      </c>
      <c r="D9" s="10"/>
      <c r="E9" s="10"/>
      <c r="F9" s="10">
        <v>1</v>
      </c>
      <c r="G9" s="10" t="s">
        <v>63</v>
      </c>
      <c r="H9" s="8"/>
      <c r="I9" s="8"/>
      <c r="J9" s="2"/>
      <c r="K9" s="8" t="s">
        <v>260</v>
      </c>
      <c r="L9" s="8"/>
      <c r="M9" s="8"/>
      <c r="N9" s="8"/>
      <c r="O9" s="2"/>
      <c r="P9" s="92"/>
      <c r="X9" s="5">
        <v>6</v>
      </c>
      <c r="Y9" s="5">
        <f t="shared" si="0"/>
        <v>1</v>
      </c>
      <c r="AC9" s="61"/>
      <c r="AD9" s="61"/>
      <c r="AE9" s="61"/>
      <c r="AH9" s="62"/>
      <c r="AI9" s="63"/>
    </row>
    <row r="10" spans="1:35" ht="15" thickBot="1" x14ac:dyDescent="0.35">
      <c r="A10" s="93" t="s">
        <v>102</v>
      </c>
      <c r="B10" s="93">
        <v>5</v>
      </c>
      <c r="C10" s="95">
        <v>2</v>
      </c>
      <c r="D10" s="30"/>
      <c r="E10" s="30"/>
      <c r="F10" s="30">
        <v>1</v>
      </c>
      <c r="G10" s="30" t="s">
        <v>43</v>
      </c>
      <c r="H10" s="90"/>
      <c r="I10" s="90"/>
      <c r="J10" s="89"/>
      <c r="K10" s="90" t="s">
        <v>260</v>
      </c>
      <c r="L10" s="90"/>
      <c r="M10" s="90"/>
      <c r="N10" s="90"/>
      <c r="O10" s="89"/>
      <c r="P10" s="94"/>
      <c r="U10" s="5" cm="1">
        <f t="array" ref="U10">SUM(T4:T8*U4:U8)</f>
        <v>167</v>
      </c>
      <c r="X10" s="5">
        <v>7</v>
      </c>
      <c r="Y10" s="5">
        <f t="shared" si="0"/>
        <v>0</v>
      </c>
      <c r="AC10" s="61"/>
      <c r="AD10" s="61"/>
      <c r="AE10" s="61"/>
      <c r="AH10" s="62"/>
      <c r="AI10" s="63"/>
    </row>
    <row r="11" spans="1:35" ht="15" thickBot="1" x14ac:dyDescent="0.35">
      <c r="A11" s="4" t="s">
        <v>261</v>
      </c>
      <c r="B11" s="4">
        <v>3</v>
      </c>
      <c r="C11" s="9">
        <v>2</v>
      </c>
      <c r="D11" s="10"/>
      <c r="E11" s="10"/>
      <c r="F11" s="10">
        <v>1</v>
      </c>
      <c r="G11" s="60" t="s">
        <v>496</v>
      </c>
      <c r="H11" s="8"/>
      <c r="I11" s="8"/>
      <c r="J11" s="2"/>
      <c r="K11" s="8" t="s">
        <v>260</v>
      </c>
      <c r="L11" s="8"/>
      <c r="M11" s="8"/>
      <c r="N11" s="8"/>
      <c r="O11" s="2"/>
      <c r="P11" s="92"/>
      <c r="AB11" s="48" t="s">
        <v>453</v>
      </c>
      <c r="AC11" s="48" t="s">
        <v>454</v>
      </c>
      <c r="AD11" s="48" t="s">
        <v>359</v>
      </c>
      <c r="AE11" s="48" t="s">
        <v>455</v>
      </c>
      <c r="AF11" s="48" t="s">
        <v>456</v>
      </c>
    </row>
    <row r="12" spans="1:35" ht="15" thickBot="1" x14ac:dyDescent="0.35">
      <c r="A12" s="93" t="s">
        <v>91</v>
      </c>
      <c r="B12" s="93">
        <v>4</v>
      </c>
      <c r="C12" s="95">
        <v>2</v>
      </c>
      <c r="D12" s="30"/>
      <c r="E12" s="30"/>
      <c r="F12" s="30">
        <v>1</v>
      </c>
      <c r="G12" s="30" t="s">
        <v>66</v>
      </c>
      <c r="H12" s="90"/>
      <c r="I12" s="90"/>
      <c r="J12" s="89"/>
      <c r="K12" s="90" t="s">
        <v>263</v>
      </c>
      <c r="L12" s="90"/>
      <c r="M12" s="90"/>
      <c r="N12" s="90"/>
      <c r="O12" s="89"/>
      <c r="P12" s="94"/>
      <c r="Y12" s="5" cm="1">
        <f t="array" ref="Y12">SUM(X4:X10*Y4:Y10)</f>
        <v>6</v>
      </c>
      <c r="AB12" s="48">
        <v>3</v>
      </c>
      <c r="AC12" s="48">
        <v>3</v>
      </c>
      <c r="AD12" s="48">
        <v>3</v>
      </c>
      <c r="AE12" s="48">
        <v>2</v>
      </c>
      <c r="AF12" s="48">
        <v>2</v>
      </c>
    </row>
    <row r="13" spans="1:35" ht="15" thickBot="1" x14ac:dyDescent="0.35">
      <c r="A13" s="4" t="s">
        <v>262</v>
      </c>
      <c r="B13" s="4">
        <v>3</v>
      </c>
      <c r="C13" s="9">
        <v>2</v>
      </c>
      <c r="D13" s="10"/>
      <c r="E13" s="10"/>
      <c r="F13" s="10">
        <v>1</v>
      </c>
      <c r="G13" s="60" t="s">
        <v>507</v>
      </c>
      <c r="H13" s="68" t="s">
        <v>509</v>
      </c>
      <c r="I13" s="8"/>
      <c r="J13" s="2"/>
      <c r="K13" s="8" t="s">
        <v>263</v>
      </c>
      <c r="L13" s="8"/>
      <c r="M13" s="8"/>
      <c r="N13" s="8"/>
      <c r="O13" s="2"/>
      <c r="P13" s="92"/>
      <c r="S13" s="5" t="s">
        <v>511</v>
      </c>
      <c r="V13"/>
      <c r="AB13" s="48">
        <v>2</v>
      </c>
      <c r="AC13" s="48">
        <v>2</v>
      </c>
      <c r="AD13" s="5">
        <v>2</v>
      </c>
      <c r="AE13" s="48">
        <v>2</v>
      </c>
    </row>
    <row r="14" spans="1:35" ht="15" thickBot="1" x14ac:dyDescent="0.35">
      <c r="A14" s="93" t="s">
        <v>95</v>
      </c>
      <c r="B14" s="93">
        <v>4</v>
      </c>
      <c r="C14" s="95">
        <v>2</v>
      </c>
      <c r="D14" s="30"/>
      <c r="E14" s="30"/>
      <c r="F14" s="30">
        <v>1</v>
      </c>
      <c r="G14" s="30" t="s">
        <v>264</v>
      </c>
      <c r="H14" s="90"/>
      <c r="I14" s="90"/>
      <c r="J14" s="89"/>
      <c r="K14" s="90" t="s">
        <v>263</v>
      </c>
      <c r="L14" s="90"/>
      <c r="M14" s="90"/>
      <c r="N14" s="90"/>
      <c r="O14" s="89"/>
      <c r="P14" s="94"/>
      <c r="S14" s="5" t="s">
        <v>271</v>
      </c>
      <c r="T14" s="5" t="s">
        <v>448</v>
      </c>
      <c r="U14" s="5">
        <v>4</v>
      </c>
      <c r="V14"/>
      <c r="AE14" s="48">
        <v>1</v>
      </c>
    </row>
    <row r="15" spans="1:35" ht="15" thickBot="1" x14ac:dyDescent="0.35">
      <c r="A15" s="4" t="s">
        <v>90</v>
      </c>
      <c r="B15" s="4">
        <v>5</v>
      </c>
      <c r="C15" s="9">
        <v>2</v>
      </c>
      <c r="D15" s="10"/>
      <c r="E15" s="10"/>
      <c r="F15" s="10">
        <v>2</v>
      </c>
      <c r="G15" s="10" t="s">
        <v>65</v>
      </c>
      <c r="H15" s="8" t="s">
        <v>520</v>
      </c>
      <c r="I15" s="8"/>
      <c r="J15" s="2"/>
      <c r="K15" s="8" t="s">
        <v>263</v>
      </c>
      <c r="L15" s="8"/>
      <c r="M15" s="8"/>
      <c r="N15" s="8"/>
      <c r="O15" s="2"/>
      <c r="P15" s="92"/>
      <c r="S15" s="5" t="s">
        <v>274</v>
      </c>
      <c r="T15" s="5" t="s">
        <v>449</v>
      </c>
      <c r="U15" s="5">
        <v>5</v>
      </c>
      <c r="V15"/>
    </row>
    <row r="16" spans="1:35" ht="15" thickBot="1" x14ac:dyDescent="0.35">
      <c r="A16" s="93" t="s">
        <v>77</v>
      </c>
      <c r="B16" s="4">
        <v>2</v>
      </c>
      <c r="C16" s="9">
        <v>1</v>
      </c>
      <c r="D16" s="30"/>
      <c r="E16" s="30"/>
      <c r="F16" s="30">
        <v>1</v>
      </c>
      <c r="G16" s="30" t="s">
        <v>179</v>
      </c>
      <c r="H16" s="90"/>
      <c r="I16" s="90"/>
      <c r="J16" s="89"/>
      <c r="K16" s="90" t="s">
        <v>263</v>
      </c>
      <c r="L16" s="90"/>
      <c r="M16" s="90"/>
      <c r="N16" s="90"/>
      <c r="O16" s="89"/>
      <c r="P16" s="94" t="s">
        <v>510</v>
      </c>
      <c r="S16" s="5" t="s">
        <v>92</v>
      </c>
      <c r="T16" s="5">
        <v>3</v>
      </c>
      <c r="U16" s="5">
        <v>3</v>
      </c>
      <c r="V16"/>
    </row>
    <row r="17" spans="1:22" ht="15" thickBot="1" x14ac:dyDescent="0.35">
      <c r="A17" s="4" t="s">
        <v>77</v>
      </c>
      <c r="B17" s="4">
        <v>2</v>
      </c>
      <c r="C17" s="9">
        <v>1</v>
      </c>
      <c r="D17" s="10"/>
      <c r="E17" s="10"/>
      <c r="F17" s="10">
        <v>1</v>
      </c>
      <c r="G17" s="10" t="s">
        <v>400</v>
      </c>
      <c r="H17" s="8"/>
      <c r="I17" s="8"/>
      <c r="J17" s="2"/>
      <c r="K17" s="8" t="s">
        <v>263</v>
      </c>
      <c r="L17" s="8"/>
      <c r="M17" s="8"/>
      <c r="N17" s="8"/>
      <c r="O17" s="2"/>
      <c r="P17" s="92" t="s">
        <v>510</v>
      </c>
      <c r="S17" s="5" t="s">
        <v>276</v>
      </c>
      <c r="T17" s="5" t="s">
        <v>544</v>
      </c>
      <c r="U17" s="5">
        <v>3</v>
      </c>
      <c r="V17"/>
    </row>
    <row r="18" spans="1:22" ht="15" thickBot="1" x14ac:dyDescent="0.35">
      <c r="A18" s="93" t="s">
        <v>271</v>
      </c>
      <c r="B18" s="93">
        <v>4</v>
      </c>
      <c r="C18" s="95">
        <v>2</v>
      </c>
      <c r="D18" s="30"/>
      <c r="E18" s="30"/>
      <c r="F18" s="30">
        <v>1</v>
      </c>
      <c r="G18" s="30" t="s">
        <v>423</v>
      </c>
      <c r="H18" s="90"/>
      <c r="I18" s="90"/>
      <c r="J18" s="89"/>
      <c r="K18" s="90" t="s">
        <v>511</v>
      </c>
      <c r="L18" s="90"/>
      <c r="M18" s="90"/>
      <c r="N18" s="90"/>
      <c r="O18" s="89"/>
      <c r="P18" s="94"/>
      <c r="S18" s="5" t="s">
        <v>281</v>
      </c>
      <c r="T18" s="5" t="s">
        <v>448</v>
      </c>
      <c r="U18" s="5">
        <v>4</v>
      </c>
    </row>
    <row r="19" spans="1:22" ht="15" thickBot="1" x14ac:dyDescent="0.35">
      <c r="A19" s="4" t="s">
        <v>274</v>
      </c>
      <c r="B19" s="4">
        <v>5</v>
      </c>
      <c r="C19" s="9">
        <v>2</v>
      </c>
      <c r="D19" s="10"/>
      <c r="E19" s="10"/>
      <c r="F19" s="10">
        <v>1</v>
      </c>
      <c r="G19" s="10" t="s">
        <v>252</v>
      </c>
      <c r="H19" s="8"/>
      <c r="I19" s="8"/>
      <c r="J19" s="2"/>
      <c r="K19" s="8" t="s">
        <v>511</v>
      </c>
      <c r="L19" s="8"/>
      <c r="M19" s="8"/>
      <c r="N19" s="8"/>
      <c r="O19" s="2"/>
      <c r="P19" s="92"/>
      <c r="S19" s="5" t="s">
        <v>282</v>
      </c>
      <c r="T19" s="5">
        <v>3</v>
      </c>
      <c r="U19" s="5">
        <v>3</v>
      </c>
    </row>
    <row r="20" spans="1:22" ht="15" thickBot="1" x14ac:dyDescent="0.35">
      <c r="A20" s="93" t="s">
        <v>92</v>
      </c>
      <c r="B20" s="93">
        <v>3</v>
      </c>
      <c r="C20" s="95">
        <v>1</v>
      </c>
      <c r="D20" s="30"/>
      <c r="E20" s="30"/>
      <c r="F20" s="30">
        <v>1</v>
      </c>
      <c r="G20" s="30" t="s">
        <v>284</v>
      </c>
      <c r="H20" s="90"/>
      <c r="I20" s="90"/>
      <c r="J20" s="89"/>
      <c r="K20" s="90" t="s">
        <v>511</v>
      </c>
      <c r="L20" s="90"/>
      <c r="M20" s="90"/>
      <c r="N20" s="90"/>
      <c r="O20" s="89"/>
      <c r="P20" s="94"/>
      <c r="T20" s="5" t="s">
        <v>687</v>
      </c>
      <c r="U20" s="5">
        <f>SUM(U14:U19)</f>
        <v>22</v>
      </c>
    </row>
    <row r="21" spans="1:22" ht="15" thickBot="1" x14ac:dyDescent="0.35">
      <c r="A21" s="4" t="s">
        <v>276</v>
      </c>
      <c r="B21" s="4">
        <v>3</v>
      </c>
      <c r="C21" s="9">
        <v>2</v>
      </c>
      <c r="D21" s="10"/>
      <c r="E21" s="10"/>
      <c r="F21" s="10">
        <v>1</v>
      </c>
      <c r="G21" s="60" t="s">
        <v>496</v>
      </c>
      <c r="H21" s="8"/>
      <c r="I21" s="8"/>
      <c r="J21" s="2"/>
      <c r="K21" s="8" t="s">
        <v>511</v>
      </c>
      <c r="L21" s="8"/>
      <c r="M21" s="8"/>
      <c r="N21" s="8"/>
      <c r="O21" s="2"/>
      <c r="P21" s="92"/>
    </row>
    <row r="22" spans="1:22" s="42" customFormat="1" ht="15" thickBot="1" x14ac:dyDescent="0.35">
      <c r="A22" s="36"/>
      <c r="B22" s="36"/>
      <c r="C22" s="37"/>
      <c r="D22" s="38"/>
      <c r="E22" s="38"/>
      <c r="F22" s="39"/>
      <c r="G22" s="38"/>
      <c r="H22" s="40"/>
      <c r="I22" s="40"/>
      <c r="J22" s="41"/>
      <c r="K22" s="40"/>
      <c r="L22" s="40"/>
      <c r="M22" s="40"/>
      <c r="N22" s="40"/>
      <c r="O22" s="41"/>
      <c r="P22" s="96"/>
    </row>
    <row r="23" spans="1:22" ht="15" thickBot="1" x14ac:dyDescent="0.35">
      <c r="A23" s="2" t="s">
        <v>8</v>
      </c>
      <c r="B23" s="2">
        <v>5</v>
      </c>
      <c r="C23" s="8">
        <v>2</v>
      </c>
      <c r="D23" s="10" t="s">
        <v>278</v>
      </c>
      <c r="E23" s="10"/>
      <c r="F23" s="10">
        <v>1</v>
      </c>
      <c r="G23" s="10" t="s">
        <v>13</v>
      </c>
      <c r="H23" s="8" t="s">
        <v>16</v>
      </c>
      <c r="I23" s="8" t="s">
        <v>18</v>
      </c>
      <c r="J23" s="2" t="s">
        <v>19</v>
      </c>
      <c r="K23" s="8" t="s">
        <v>310</v>
      </c>
      <c r="L23" s="8"/>
      <c r="M23" s="8"/>
      <c r="N23" s="8"/>
      <c r="O23" s="2"/>
      <c r="P23" s="92"/>
    </row>
    <row r="24" spans="1:22" ht="15" thickBot="1" x14ac:dyDescent="0.35">
      <c r="A24" s="93" t="s">
        <v>8</v>
      </c>
      <c r="B24" s="89">
        <v>5</v>
      </c>
      <c r="C24" s="90">
        <v>2</v>
      </c>
      <c r="D24" s="30" t="s">
        <v>278</v>
      </c>
      <c r="E24" s="30"/>
      <c r="F24" s="30">
        <v>1</v>
      </c>
      <c r="G24" s="30" t="s">
        <v>13</v>
      </c>
      <c r="H24" s="90" t="s">
        <v>16</v>
      </c>
      <c r="I24" s="90" t="s">
        <v>18</v>
      </c>
      <c r="J24" s="89" t="s">
        <v>19</v>
      </c>
      <c r="K24" s="90" t="s">
        <v>311</v>
      </c>
      <c r="L24" s="90"/>
      <c r="M24" s="90"/>
      <c r="N24" s="90"/>
      <c r="O24" s="89"/>
      <c r="P24" s="94"/>
      <c r="R24" s="5" t="s">
        <v>8</v>
      </c>
      <c r="S24" s="45" t="s">
        <v>449</v>
      </c>
      <c r="T24" s="45">
        <v>5</v>
      </c>
    </row>
    <row r="25" spans="1:22" ht="15" thickBot="1" x14ac:dyDescent="0.35">
      <c r="A25" s="4" t="s">
        <v>8</v>
      </c>
      <c r="B25" s="2">
        <v>5</v>
      </c>
      <c r="C25" s="8">
        <v>2</v>
      </c>
      <c r="D25" s="10" t="s">
        <v>278</v>
      </c>
      <c r="E25" s="10"/>
      <c r="F25" s="10">
        <v>1</v>
      </c>
      <c r="G25" s="10" t="s">
        <v>13</v>
      </c>
      <c r="H25" s="8" t="s">
        <v>16</v>
      </c>
      <c r="I25" s="8" t="s">
        <v>18</v>
      </c>
      <c r="J25" s="2" t="s">
        <v>19</v>
      </c>
      <c r="K25" s="8" t="s">
        <v>312</v>
      </c>
      <c r="L25" s="8"/>
      <c r="M25" s="8"/>
      <c r="N25" s="8"/>
      <c r="O25" s="2"/>
      <c r="P25" s="92"/>
      <c r="R25" s="5" t="s">
        <v>9</v>
      </c>
      <c r="S25" s="45">
        <v>2</v>
      </c>
      <c r="T25" s="45">
        <v>2</v>
      </c>
    </row>
    <row r="26" spans="1:22" ht="15" thickBot="1" x14ac:dyDescent="0.35">
      <c r="A26" s="93" t="s">
        <v>8</v>
      </c>
      <c r="B26" s="89">
        <v>5</v>
      </c>
      <c r="C26" s="90">
        <v>2</v>
      </c>
      <c r="D26" s="30" t="s">
        <v>278</v>
      </c>
      <c r="E26" s="30"/>
      <c r="F26" s="30">
        <v>1</v>
      </c>
      <c r="G26" s="30" t="s">
        <v>13</v>
      </c>
      <c r="H26" s="90" t="s">
        <v>16</v>
      </c>
      <c r="I26" s="90" t="s">
        <v>18</v>
      </c>
      <c r="J26" s="89" t="s">
        <v>19</v>
      </c>
      <c r="K26" s="90" t="s">
        <v>313</v>
      </c>
      <c r="L26" s="90"/>
      <c r="M26" s="90"/>
      <c r="N26" s="90"/>
      <c r="O26" s="89"/>
      <c r="P26" s="94"/>
      <c r="R26" s="5" t="s">
        <v>6</v>
      </c>
      <c r="S26" s="45" t="s">
        <v>449</v>
      </c>
      <c r="T26" s="45">
        <v>5</v>
      </c>
    </row>
    <row r="27" spans="1:22" ht="15" thickBot="1" x14ac:dyDescent="0.35">
      <c r="A27" s="4" t="s">
        <v>9</v>
      </c>
      <c r="B27" s="4">
        <v>2</v>
      </c>
      <c r="C27" s="9">
        <v>1</v>
      </c>
      <c r="D27" s="10" t="s">
        <v>279</v>
      </c>
      <c r="E27" s="10"/>
      <c r="F27" s="10">
        <v>1</v>
      </c>
      <c r="G27" s="10" t="s">
        <v>62</v>
      </c>
      <c r="H27" s="8"/>
      <c r="I27" s="8"/>
      <c r="J27" s="2"/>
      <c r="K27" s="8" t="s">
        <v>310</v>
      </c>
      <c r="L27" s="8"/>
      <c r="M27" s="8"/>
      <c r="N27" s="8"/>
      <c r="O27" s="2"/>
      <c r="P27" s="92"/>
      <c r="R27" s="5" t="s">
        <v>7</v>
      </c>
      <c r="S27" s="45">
        <v>2</v>
      </c>
      <c r="T27" s="45">
        <v>2</v>
      </c>
    </row>
    <row r="28" spans="1:22" ht="15" thickBot="1" x14ac:dyDescent="0.35">
      <c r="A28" s="93" t="s">
        <v>9</v>
      </c>
      <c r="B28" s="93">
        <v>2</v>
      </c>
      <c r="C28" s="95">
        <v>1</v>
      </c>
      <c r="D28" s="30" t="s">
        <v>279</v>
      </c>
      <c r="E28" s="30"/>
      <c r="F28" s="30">
        <v>1</v>
      </c>
      <c r="G28" s="30" t="s">
        <v>62</v>
      </c>
      <c r="H28" s="90"/>
      <c r="I28" s="90"/>
      <c r="J28" s="89"/>
      <c r="K28" s="90" t="s">
        <v>311</v>
      </c>
      <c r="L28" s="90"/>
      <c r="M28" s="90"/>
      <c r="N28" s="90"/>
      <c r="O28" s="89"/>
      <c r="P28" s="94"/>
      <c r="R28" s="5" t="s">
        <v>314</v>
      </c>
      <c r="S28" s="45" t="s">
        <v>449</v>
      </c>
      <c r="T28" s="45">
        <v>5</v>
      </c>
    </row>
    <row r="29" spans="1:22" ht="15" thickBot="1" x14ac:dyDescent="0.35">
      <c r="A29" s="4" t="s">
        <v>9</v>
      </c>
      <c r="B29" s="4">
        <v>2</v>
      </c>
      <c r="C29" s="9">
        <v>1</v>
      </c>
      <c r="D29" s="10" t="s">
        <v>279</v>
      </c>
      <c r="E29" s="10"/>
      <c r="F29" s="10">
        <v>1</v>
      </c>
      <c r="G29" s="10" t="s">
        <v>62</v>
      </c>
      <c r="H29" s="8"/>
      <c r="I29" s="8"/>
      <c r="J29" s="2"/>
      <c r="K29" s="8" t="s">
        <v>312</v>
      </c>
      <c r="L29" s="8"/>
      <c r="M29" s="8"/>
      <c r="N29" s="8"/>
      <c r="O29" s="2"/>
      <c r="P29" s="92"/>
      <c r="R29" s="5" t="s">
        <v>452</v>
      </c>
      <c r="S29" s="45" t="s">
        <v>449</v>
      </c>
      <c r="T29" s="45">
        <v>5</v>
      </c>
    </row>
    <row r="30" spans="1:22" ht="15" thickBot="1" x14ac:dyDescent="0.35">
      <c r="A30" s="93" t="s">
        <v>9</v>
      </c>
      <c r="B30" s="4">
        <v>2</v>
      </c>
      <c r="C30" s="9">
        <v>1</v>
      </c>
      <c r="D30" s="30" t="s">
        <v>279</v>
      </c>
      <c r="E30" s="30"/>
      <c r="F30" s="30">
        <v>1</v>
      </c>
      <c r="G30" s="10" t="s">
        <v>62</v>
      </c>
      <c r="H30" s="90"/>
      <c r="I30" s="90"/>
      <c r="J30" s="89"/>
      <c r="K30" s="90" t="s">
        <v>313</v>
      </c>
      <c r="L30" s="90"/>
      <c r="M30" s="90"/>
      <c r="N30" s="90"/>
      <c r="O30" s="89"/>
      <c r="P30" s="94"/>
      <c r="S30" s="45"/>
      <c r="T30" s="45">
        <f>SUM(T24:T29)</f>
        <v>24</v>
      </c>
    </row>
    <row r="31" spans="1:22" ht="15" thickBot="1" x14ac:dyDescent="0.35">
      <c r="A31" s="4" t="s">
        <v>6</v>
      </c>
      <c r="B31" s="4">
        <v>5</v>
      </c>
      <c r="C31" s="9">
        <v>2</v>
      </c>
      <c r="D31" s="10" t="s">
        <v>278</v>
      </c>
      <c r="E31" s="10"/>
      <c r="F31" s="10">
        <v>1</v>
      </c>
      <c r="G31" s="10" t="s">
        <v>16</v>
      </c>
      <c r="H31" s="8" t="s">
        <v>45</v>
      </c>
      <c r="I31" s="8" t="s">
        <v>15</v>
      </c>
      <c r="J31" s="2" t="s">
        <v>2</v>
      </c>
      <c r="K31" s="8" t="s">
        <v>310</v>
      </c>
      <c r="L31" s="8"/>
      <c r="M31" s="8"/>
      <c r="N31" s="8"/>
      <c r="O31" s="2"/>
      <c r="P31" s="92"/>
      <c r="S31" s="45"/>
      <c r="T31" s="45"/>
    </row>
    <row r="32" spans="1:22" ht="15" thickBot="1" x14ac:dyDescent="0.35">
      <c r="A32" s="93" t="s">
        <v>6</v>
      </c>
      <c r="B32" s="93">
        <v>5</v>
      </c>
      <c r="C32" s="95">
        <v>2</v>
      </c>
      <c r="D32" s="30" t="s">
        <v>278</v>
      </c>
      <c r="E32" s="30"/>
      <c r="F32" s="30">
        <v>1</v>
      </c>
      <c r="G32" s="10" t="s">
        <v>16</v>
      </c>
      <c r="H32" s="90" t="s">
        <v>45</v>
      </c>
      <c r="I32" s="90" t="s">
        <v>15</v>
      </c>
      <c r="J32" s="89" t="s">
        <v>2</v>
      </c>
      <c r="K32" s="90" t="s">
        <v>311</v>
      </c>
      <c r="L32" s="90"/>
      <c r="M32" s="90"/>
      <c r="N32" s="90"/>
      <c r="O32" s="89"/>
      <c r="P32" s="94"/>
      <c r="S32" s="45"/>
      <c r="T32" s="45"/>
    </row>
    <row r="33" spans="1:20" ht="15" thickBot="1" x14ac:dyDescent="0.35">
      <c r="A33" s="4" t="s">
        <v>6</v>
      </c>
      <c r="B33" s="4">
        <v>5</v>
      </c>
      <c r="C33" s="9">
        <v>2</v>
      </c>
      <c r="D33" s="10" t="s">
        <v>278</v>
      </c>
      <c r="E33" s="10"/>
      <c r="F33" s="10">
        <v>1</v>
      </c>
      <c r="G33" s="10" t="s">
        <v>16</v>
      </c>
      <c r="H33" s="8" t="s">
        <v>45</v>
      </c>
      <c r="I33" s="8" t="s">
        <v>15</v>
      </c>
      <c r="J33" s="2" t="s">
        <v>2</v>
      </c>
      <c r="K33" s="8" t="s">
        <v>312</v>
      </c>
      <c r="L33" s="8"/>
      <c r="M33" s="8"/>
      <c r="N33" s="8"/>
      <c r="O33" s="2"/>
      <c r="P33" s="92"/>
      <c r="S33" s="45"/>
      <c r="T33" s="45"/>
    </row>
    <row r="34" spans="1:20" ht="15" thickBot="1" x14ac:dyDescent="0.35">
      <c r="A34" s="93" t="s">
        <v>6</v>
      </c>
      <c r="B34" s="93">
        <v>5</v>
      </c>
      <c r="C34" s="95">
        <v>2</v>
      </c>
      <c r="D34" s="30" t="s">
        <v>278</v>
      </c>
      <c r="E34" s="30"/>
      <c r="F34" s="30">
        <v>1</v>
      </c>
      <c r="G34" s="10" t="s">
        <v>16</v>
      </c>
      <c r="H34" s="90" t="s">
        <v>45</v>
      </c>
      <c r="I34" s="90" t="s">
        <v>15</v>
      </c>
      <c r="J34" s="89" t="s">
        <v>2</v>
      </c>
      <c r="K34" s="90" t="s">
        <v>313</v>
      </c>
      <c r="L34" s="90"/>
      <c r="M34" s="90"/>
      <c r="N34" s="90"/>
      <c r="O34" s="89"/>
      <c r="P34" s="94"/>
      <c r="S34" s="45"/>
      <c r="T34" s="45"/>
    </row>
    <row r="35" spans="1:20" ht="15" thickBot="1" x14ac:dyDescent="0.35">
      <c r="A35" s="4" t="s">
        <v>7</v>
      </c>
      <c r="B35" s="4">
        <v>2</v>
      </c>
      <c r="C35" s="9">
        <v>1</v>
      </c>
      <c r="D35" s="10" t="s">
        <v>279</v>
      </c>
      <c r="E35" s="10"/>
      <c r="F35" s="10">
        <v>1</v>
      </c>
      <c r="G35" s="10" t="s">
        <v>12</v>
      </c>
      <c r="H35" s="8"/>
      <c r="I35" s="8"/>
      <c r="J35" s="2"/>
      <c r="K35" s="8" t="s">
        <v>310</v>
      </c>
      <c r="L35" s="8"/>
      <c r="M35" s="8"/>
      <c r="N35" s="8"/>
      <c r="O35" s="2"/>
      <c r="P35" s="92"/>
    </row>
    <row r="36" spans="1:20" ht="15" thickBot="1" x14ac:dyDescent="0.35">
      <c r="A36" s="93" t="s">
        <v>7</v>
      </c>
      <c r="B36" s="93">
        <v>2</v>
      </c>
      <c r="C36" s="95">
        <v>1</v>
      </c>
      <c r="D36" s="30" t="s">
        <v>279</v>
      </c>
      <c r="E36" s="30"/>
      <c r="F36" s="30">
        <v>1</v>
      </c>
      <c r="G36" s="10" t="s">
        <v>12</v>
      </c>
      <c r="H36" s="90"/>
      <c r="I36" s="90"/>
      <c r="J36" s="89"/>
      <c r="K36" s="90" t="s">
        <v>311</v>
      </c>
      <c r="L36" s="90"/>
      <c r="M36" s="90"/>
      <c r="N36" s="90"/>
      <c r="O36" s="89"/>
      <c r="P36" s="94"/>
    </row>
    <row r="37" spans="1:20" ht="15" thickBot="1" x14ac:dyDescent="0.35">
      <c r="A37" s="4" t="s">
        <v>7</v>
      </c>
      <c r="B37" s="4">
        <v>2</v>
      </c>
      <c r="C37" s="9">
        <v>1</v>
      </c>
      <c r="D37" s="10" t="s">
        <v>279</v>
      </c>
      <c r="E37" s="10"/>
      <c r="F37" s="10">
        <v>1</v>
      </c>
      <c r="G37" s="10" t="s">
        <v>12</v>
      </c>
      <c r="H37" s="8"/>
      <c r="I37" s="8"/>
      <c r="J37" s="2"/>
      <c r="K37" s="8" t="s">
        <v>312</v>
      </c>
      <c r="L37" s="8"/>
      <c r="M37" s="8"/>
      <c r="N37" s="8"/>
      <c r="O37" s="2"/>
      <c r="P37" s="92"/>
    </row>
    <row r="38" spans="1:20" ht="15" thickBot="1" x14ac:dyDescent="0.35">
      <c r="A38" s="93" t="s">
        <v>7</v>
      </c>
      <c r="B38" s="93">
        <v>2</v>
      </c>
      <c r="C38" s="95">
        <v>1</v>
      </c>
      <c r="D38" s="30" t="s">
        <v>279</v>
      </c>
      <c r="E38" s="30"/>
      <c r="F38" s="30">
        <v>1</v>
      </c>
      <c r="G38" s="10" t="s">
        <v>12</v>
      </c>
      <c r="H38" s="90"/>
      <c r="I38" s="90"/>
      <c r="J38" s="89"/>
      <c r="K38" s="90" t="s">
        <v>313</v>
      </c>
      <c r="L38" s="90"/>
      <c r="M38" s="90"/>
      <c r="N38" s="90"/>
      <c r="O38" s="89"/>
      <c r="P38" s="94"/>
    </row>
    <row r="39" spans="1:20" ht="15" thickBot="1" x14ac:dyDescent="0.35">
      <c r="A39" s="4" t="s">
        <v>314</v>
      </c>
      <c r="B39" s="4">
        <v>5</v>
      </c>
      <c r="C39" s="9">
        <v>2</v>
      </c>
      <c r="D39" s="10"/>
      <c r="E39" s="10"/>
      <c r="F39" s="10">
        <v>1</v>
      </c>
      <c r="G39" s="10" t="s">
        <v>315</v>
      </c>
      <c r="H39" s="101" t="s">
        <v>513</v>
      </c>
      <c r="I39" s="101" t="s">
        <v>514</v>
      </c>
      <c r="J39" s="64" t="s">
        <v>693</v>
      </c>
      <c r="K39" s="8" t="s">
        <v>310</v>
      </c>
      <c r="L39" s="8"/>
      <c r="M39" s="8"/>
      <c r="N39" s="8"/>
      <c r="O39" s="2"/>
      <c r="P39" s="92"/>
    </row>
    <row r="40" spans="1:20" ht="15" thickBot="1" x14ac:dyDescent="0.35">
      <c r="A40" s="93" t="s">
        <v>314</v>
      </c>
      <c r="B40" s="93">
        <v>5</v>
      </c>
      <c r="C40" s="95">
        <v>2</v>
      </c>
      <c r="D40" s="30"/>
      <c r="E40" s="30"/>
      <c r="F40" s="30">
        <v>1</v>
      </c>
      <c r="G40" s="10" t="s">
        <v>315</v>
      </c>
      <c r="H40" s="103" t="s">
        <v>513</v>
      </c>
      <c r="I40" s="103" t="s">
        <v>514</v>
      </c>
      <c r="J40" s="104" t="s">
        <v>693</v>
      </c>
      <c r="K40" s="90" t="s">
        <v>311</v>
      </c>
      <c r="L40" s="90"/>
      <c r="M40" s="90"/>
      <c r="N40" s="90"/>
      <c r="O40" s="89"/>
      <c r="P40" s="94"/>
    </row>
    <row r="41" spans="1:20" ht="15" thickBot="1" x14ac:dyDescent="0.35">
      <c r="A41" s="4" t="s">
        <v>314</v>
      </c>
      <c r="B41" s="4">
        <v>5</v>
      </c>
      <c r="C41" s="9">
        <v>2</v>
      </c>
      <c r="D41" s="10"/>
      <c r="E41" s="10"/>
      <c r="F41" s="10">
        <v>1</v>
      </c>
      <c r="G41" s="10" t="s">
        <v>315</v>
      </c>
      <c r="H41" s="101" t="s">
        <v>513</v>
      </c>
      <c r="I41" s="101" t="s">
        <v>514</v>
      </c>
      <c r="J41" s="64" t="s">
        <v>693</v>
      </c>
      <c r="K41" s="8" t="s">
        <v>312</v>
      </c>
      <c r="L41" s="8"/>
      <c r="M41" s="8"/>
      <c r="N41" s="8"/>
      <c r="O41" s="2"/>
      <c r="P41" s="92"/>
    </row>
    <row r="42" spans="1:20" ht="15" thickBot="1" x14ac:dyDescent="0.35">
      <c r="A42" s="93" t="s">
        <v>314</v>
      </c>
      <c r="B42" s="93">
        <v>5</v>
      </c>
      <c r="C42" s="95">
        <v>2</v>
      </c>
      <c r="D42" s="30"/>
      <c r="E42" s="30"/>
      <c r="F42" s="30">
        <v>1</v>
      </c>
      <c r="G42" s="110" t="s">
        <v>513</v>
      </c>
      <c r="H42" s="101" t="s">
        <v>514</v>
      </c>
      <c r="I42" s="101" t="s">
        <v>693</v>
      </c>
      <c r="J42" s="2"/>
      <c r="K42" s="90" t="s">
        <v>313</v>
      </c>
      <c r="L42" s="90"/>
      <c r="M42" s="90"/>
      <c r="N42" s="90"/>
      <c r="O42" s="89"/>
      <c r="P42" s="94"/>
    </row>
    <row r="43" spans="1:20" ht="15" thickBot="1" x14ac:dyDescent="0.35">
      <c r="A43" s="4" t="s">
        <v>516</v>
      </c>
      <c r="B43" s="4">
        <v>2</v>
      </c>
      <c r="C43" s="9">
        <v>1</v>
      </c>
      <c r="D43" s="10"/>
      <c r="E43" s="10"/>
      <c r="F43" s="10">
        <v>1</v>
      </c>
      <c r="G43" s="10" t="s">
        <v>14</v>
      </c>
      <c r="H43" s="8"/>
      <c r="I43" s="8"/>
      <c r="J43" s="2"/>
      <c r="K43" s="8" t="s">
        <v>310</v>
      </c>
      <c r="L43" s="8"/>
      <c r="M43" s="8"/>
      <c r="N43" s="8"/>
      <c r="O43" s="2"/>
      <c r="P43" s="92"/>
    </row>
    <row r="44" spans="1:20" ht="15" thickBot="1" x14ac:dyDescent="0.35">
      <c r="A44" s="93" t="s">
        <v>516</v>
      </c>
      <c r="B44" s="93">
        <v>2</v>
      </c>
      <c r="C44" s="95">
        <v>1</v>
      </c>
      <c r="D44" s="30"/>
      <c r="E44" s="30"/>
      <c r="F44" s="30">
        <v>1</v>
      </c>
      <c r="G44" s="30" t="s">
        <v>14</v>
      </c>
      <c r="H44" s="90"/>
      <c r="I44" s="90"/>
      <c r="J44" s="89"/>
      <c r="K44" s="90" t="s">
        <v>311</v>
      </c>
      <c r="L44" s="90"/>
      <c r="M44" s="90"/>
      <c r="N44" s="90"/>
      <c r="O44" s="89"/>
      <c r="P44" s="94"/>
    </row>
    <row r="45" spans="1:20" ht="15" thickBot="1" x14ac:dyDescent="0.35">
      <c r="A45" s="4" t="s">
        <v>516</v>
      </c>
      <c r="B45" s="4">
        <v>2</v>
      </c>
      <c r="C45" s="9">
        <v>1</v>
      </c>
      <c r="D45" s="10"/>
      <c r="E45" s="10"/>
      <c r="F45" s="10">
        <v>1</v>
      </c>
      <c r="G45" s="10" t="s">
        <v>14</v>
      </c>
      <c r="H45" s="8"/>
      <c r="I45" s="8"/>
      <c r="J45" s="2"/>
      <c r="K45" s="8" t="s">
        <v>312</v>
      </c>
      <c r="L45" s="8"/>
      <c r="M45" s="8"/>
      <c r="N45" s="8"/>
      <c r="O45" s="2"/>
      <c r="P45" s="92"/>
    </row>
    <row r="46" spans="1:20" ht="15" thickBot="1" x14ac:dyDescent="0.35">
      <c r="A46" s="93" t="s">
        <v>516</v>
      </c>
      <c r="B46" s="93">
        <v>2</v>
      </c>
      <c r="C46" s="95">
        <v>1</v>
      </c>
      <c r="D46" s="30"/>
      <c r="E46" s="30"/>
      <c r="F46" s="30">
        <v>1</v>
      </c>
      <c r="G46" s="30" t="s">
        <v>14</v>
      </c>
      <c r="H46" s="90"/>
      <c r="I46" s="90"/>
      <c r="J46" s="89"/>
      <c r="K46" s="90" t="s">
        <v>313</v>
      </c>
      <c r="L46" s="90"/>
      <c r="M46" s="90"/>
      <c r="N46" s="90"/>
      <c r="O46" s="89"/>
      <c r="P46" s="94"/>
    </row>
    <row r="47" spans="1:20" ht="15" thickBot="1" x14ac:dyDescent="0.35">
      <c r="A47" s="4" t="s">
        <v>517</v>
      </c>
      <c r="B47" s="4">
        <v>3</v>
      </c>
      <c r="C47" s="9">
        <v>1</v>
      </c>
      <c r="D47" s="10"/>
      <c r="E47" s="10"/>
      <c r="F47" s="10">
        <v>1</v>
      </c>
      <c r="G47" s="10" t="s">
        <v>272</v>
      </c>
      <c r="H47" s="8"/>
      <c r="I47" s="8"/>
      <c r="J47" s="2"/>
      <c r="K47" s="8" t="s">
        <v>310</v>
      </c>
      <c r="L47" s="8"/>
      <c r="M47" s="8"/>
      <c r="N47" s="8"/>
      <c r="O47" s="2"/>
      <c r="P47" s="92"/>
    </row>
    <row r="48" spans="1:20" ht="15" thickBot="1" x14ac:dyDescent="0.35">
      <c r="A48" s="93" t="s">
        <v>517</v>
      </c>
      <c r="B48" s="93">
        <v>3</v>
      </c>
      <c r="C48" s="95">
        <v>1</v>
      </c>
      <c r="D48" s="30"/>
      <c r="E48" s="30"/>
      <c r="F48" s="30">
        <v>1</v>
      </c>
      <c r="G48" s="30" t="s">
        <v>272</v>
      </c>
      <c r="H48" s="90"/>
      <c r="I48" s="90"/>
      <c r="J48" s="89"/>
      <c r="K48" s="90" t="s">
        <v>311</v>
      </c>
      <c r="L48" s="90"/>
      <c r="M48" s="90"/>
      <c r="N48" s="90"/>
      <c r="O48" s="89"/>
      <c r="P48" s="94"/>
    </row>
    <row r="49" spans="1:29" ht="15" thickBot="1" x14ac:dyDescent="0.35">
      <c r="A49" s="4" t="s">
        <v>517</v>
      </c>
      <c r="B49" s="4">
        <v>3</v>
      </c>
      <c r="C49" s="9">
        <v>1</v>
      </c>
      <c r="D49" s="10"/>
      <c r="E49" s="10"/>
      <c r="F49" s="10">
        <v>1</v>
      </c>
      <c r="G49" s="10" t="s">
        <v>272</v>
      </c>
      <c r="H49" s="8"/>
      <c r="I49" s="8"/>
      <c r="J49" s="2"/>
      <c r="K49" s="8" t="s">
        <v>312</v>
      </c>
      <c r="L49" s="8"/>
      <c r="M49" s="8"/>
      <c r="N49" s="8"/>
      <c r="O49" s="2"/>
      <c r="P49" s="92"/>
    </row>
    <row r="50" spans="1:29" ht="15" thickBot="1" x14ac:dyDescent="0.35">
      <c r="A50" s="93" t="s">
        <v>517</v>
      </c>
      <c r="B50" s="93">
        <v>3</v>
      </c>
      <c r="C50" s="95">
        <v>1</v>
      </c>
      <c r="D50" s="30"/>
      <c r="E50" s="30"/>
      <c r="F50" s="30">
        <v>1</v>
      </c>
      <c r="G50" s="30" t="s">
        <v>272</v>
      </c>
      <c r="H50" s="90"/>
      <c r="I50" s="90"/>
      <c r="J50" s="89"/>
      <c r="K50" s="90" t="s">
        <v>313</v>
      </c>
      <c r="L50" s="90"/>
      <c r="M50" s="90"/>
      <c r="N50" s="90"/>
      <c r="O50" s="89"/>
      <c r="P50" s="94"/>
    </row>
    <row r="51" spans="1:29" ht="15" thickBot="1" x14ac:dyDescent="0.35">
      <c r="A51" s="4" t="s">
        <v>22</v>
      </c>
      <c r="B51" s="4">
        <v>5</v>
      </c>
      <c r="C51" s="9">
        <v>2</v>
      </c>
      <c r="D51" s="10" t="s">
        <v>278</v>
      </c>
      <c r="E51" s="10"/>
      <c r="F51" s="10">
        <v>1</v>
      </c>
      <c r="G51" s="10" t="s">
        <v>13</v>
      </c>
      <c r="H51" s="8"/>
      <c r="I51" s="8"/>
      <c r="J51" s="2"/>
      <c r="K51" s="8" t="s">
        <v>445</v>
      </c>
      <c r="L51" s="8"/>
      <c r="M51" s="8"/>
      <c r="N51" s="8"/>
      <c r="O51" s="2"/>
      <c r="P51" s="92"/>
      <c r="R51" s="5" t="s">
        <v>22</v>
      </c>
      <c r="S51" s="5" t="s">
        <v>449</v>
      </c>
      <c r="V51" s="48" t="s">
        <v>453</v>
      </c>
      <c r="W51" s="48" t="s">
        <v>454</v>
      </c>
      <c r="X51" s="48" t="s">
        <v>359</v>
      </c>
      <c r="Y51" s="48" t="s">
        <v>455</v>
      </c>
      <c r="Z51" s="48" t="s">
        <v>456</v>
      </c>
    </row>
    <row r="52" spans="1:29" ht="15" thickBot="1" x14ac:dyDescent="0.35">
      <c r="A52" s="93" t="s">
        <v>22</v>
      </c>
      <c r="B52" s="93">
        <v>5</v>
      </c>
      <c r="C52" s="95">
        <v>2</v>
      </c>
      <c r="D52" s="30" t="s">
        <v>278</v>
      </c>
      <c r="E52" s="30"/>
      <c r="F52" s="30">
        <v>1</v>
      </c>
      <c r="G52" s="30" t="s">
        <v>18</v>
      </c>
      <c r="H52" s="90"/>
      <c r="I52" s="90"/>
      <c r="J52" s="89"/>
      <c r="K52" s="90" t="s">
        <v>446</v>
      </c>
      <c r="L52" s="90"/>
      <c r="M52" s="90"/>
      <c r="N52" s="90"/>
      <c r="O52" s="89"/>
      <c r="P52" s="94"/>
      <c r="R52" s="5" t="s">
        <v>23</v>
      </c>
      <c r="S52" s="5">
        <v>2</v>
      </c>
      <c r="V52" s="48">
        <v>3</v>
      </c>
      <c r="W52" s="48">
        <v>3</v>
      </c>
      <c r="X52" s="48">
        <v>3</v>
      </c>
      <c r="Y52" s="48">
        <v>2</v>
      </c>
      <c r="Z52" s="48">
        <v>2</v>
      </c>
    </row>
    <row r="53" spans="1:29" ht="15" thickBot="1" x14ac:dyDescent="0.35">
      <c r="A53" s="4" t="s">
        <v>23</v>
      </c>
      <c r="B53" s="4">
        <v>2</v>
      </c>
      <c r="C53" s="9">
        <v>1</v>
      </c>
      <c r="D53" s="10" t="s">
        <v>279</v>
      </c>
      <c r="E53" s="10"/>
      <c r="F53" s="10">
        <v>1</v>
      </c>
      <c r="G53" s="10" t="s">
        <v>13</v>
      </c>
      <c r="H53" s="8"/>
      <c r="I53" s="8"/>
      <c r="J53" s="2"/>
      <c r="K53" s="8" t="s">
        <v>445</v>
      </c>
      <c r="L53" s="8"/>
      <c r="M53" s="8"/>
      <c r="N53" s="8"/>
      <c r="O53" s="2"/>
      <c r="P53" s="92"/>
      <c r="R53" s="5" t="s">
        <v>20</v>
      </c>
      <c r="S53" s="5" t="s">
        <v>449</v>
      </c>
      <c r="V53" s="48"/>
      <c r="W53" s="48"/>
      <c r="X53" s="70">
        <v>2</v>
      </c>
      <c r="Y53" s="48">
        <v>2</v>
      </c>
      <c r="Z53" s="48">
        <v>2</v>
      </c>
    </row>
    <row r="54" spans="1:29" ht="15" thickBot="1" x14ac:dyDescent="0.35">
      <c r="A54" s="93" t="s">
        <v>23</v>
      </c>
      <c r="B54" s="93">
        <v>2</v>
      </c>
      <c r="C54" s="95">
        <v>1</v>
      </c>
      <c r="D54" s="30" t="s">
        <v>279</v>
      </c>
      <c r="E54" s="30"/>
      <c r="F54" s="30">
        <v>1</v>
      </c>
      <c r="G54" s="30" t="s">
        <v>18</v>
      </c>
      <c r="H54" s="90"/>
      <c r="I54" s="90"/>
      <c r="J54" s="89"/>
      <c r="K54" s="90" t="s">
        <v>446</v>
      </c>
      <c r="L54" s="90"/>
      <c r="M54" s="90"/>
      <c r="N54" s="90"/>
      <c r="O54" s="89"/>
      <c r="P54" s="94"/>
      <c r="R54" s="5" t="s">
        <v>21</v>
      </c>
      <c r="S54" s="5">
        <v>2</v>
      </c>
    </row>
    <row r="55" spans="1:29" ht="15" thickBot="1" x14ac:dyDescent="0.35">
      <c r="A55" s="4" t="s">
        <v>20</v>
      </c>
      <c r="B55" s="4">
        <v>5</v>
      </c>
      <c r="C55" s="9">
        <v>2</v>
      </c>
      <c r="D55" s="10" t="s">
        <v>278</v>
      </c>
      <c r="E55" s="10"/>
      <c r="F55" s="10">
        <v>1</v>
      </c>
      <c r="G55" s="10" t="s">
        <v>25</v>
      </c>
      <c r="H55" s="8"/>
      <c r="I55" s="8"/>
      <c r="J55" s="2"/>
      <c r="K55" s="8" t="s">
        <v>445</v>
      </c>
      <c r="L55" s="8" t="s">
        <v>446</v>
      </c>
      <c r="M55" s="8"/>
      <c r="N55" s="8"/>
      <c r="O55" s="2"/>
      <c r="P55" s="92"/>
      <c r="R55" s="5" t="s">
        <v>24</v>
      </c>
      <c r="S55" s="5" t="s">
        <v>449</v>
      </c>
    </row>
    <row r="56" spans="1:29" ht="15" thickBot="1" x14ac:dyDescent="0.35">
      <c r="A56" s="93" t="s">
        <v>21</v>
      </c>
      <c r="B56" s="93">
        <v>2</v>
      </c>
      <c r="C56" s="95">
        <v>1</v>
      </c>
      <c r="D56" s="30" t="s">
        <v>279</v>
      </c>
      <c r="E56" s="30"/>
      <c r="F56" s="30">
        <v>1</v>
      </c>
      <c r="G56" s="30" t="s">
        <v>25</v>
      </c>
      <c r="H56" s="90"/>
      <c r="I56" s="90"/>
      <c r="J56" s="89"/>
      <c r="K56" s="90" t="s">
        <v>445</v>
      </c>
      <c r="L56" s="90" t="s">
        <v>446</v>
      </c>
      <c r="M56" s="90"/>
      <c r="N56" s="90"/>
      <c r="O56" s="89"/>
      <c r="P56" s="94"/>
      <c r="S56" s="5" t="s">
        <v>543</v>
      </c>
      <c r="T56" s="5">
        <v>19</v>
      </c>
    </row>
    <row r="57" spans="1:29" ht="15" thickBot="1" x14ac:dyDescent="0.35">
      <c r="A57" s="4" t="s">
        <v>24</v>
      </c>
      <c r="B57" s="4">
        <v>5</v>
      </c>
      <c r="C57" s="9">
        <v>2</v>
      </c>
      <c r="D57" s="10"/>
      <c r="E57" s="10"/>
      <c r="F57" s="10">
        <v>1</v>
      </c>
      <c r="G57" s="10" t="s">
        <v>26</v>
      </c>
      <c r="H57" s="8"/>
      <c r="I57" s="8"/>
      <c r="J57" s="2"/>
      <c r="K57" s="8" t="s">
        <v>445</v>
      </c>
      <c r="L57" s="8" t="s">
        <v>446</v>
      </c>
      <c r="M57" s="8"/>
      <c r="N57" s="8"/>
      <c r="O57" s="2"/>
      <c r="P57" s="92"/>
    </row>
    <row r="58" spans="1:29" s="42" customFormat="1" ht="15" thickBot="1" x14ac:dyDescent="0.35">
      <c r="A58" s="36"/>
      <c r="B58" s="36"/>
      <c r="C58" s="37"/>
      <c r="D58" s="38"/>
      <c r="E58" s="38"/>
      <c r="F58" s="39"/>
      <c r="G58" s="38"/>
      <c r="H58" s="40"/>
      <c r="I58" s="40"/>
      <c r="J58" s="41"/>
      <c r="K58" s="40"/>
      <c r="L58" s="40"/>
      <c r="M58" s="40"/>
      <c r="N58" s="40"/>
      <c r="O58" s="41"/>
      <c r="P58" s="96"/>
    </row>
    <row r="59" spans="1:29" ht="15" thickBot="1" x14ac:dyDescent="0.35">
      <c r="A59" s="4" t="s">
        <v>325</v>
      </c>
      <c r="B59" s="4">
        <v>5</v>
      </c>
      <c r="C59" s="9">
        <v>2</v>
      </c>
      <c r="D59" s="10" t="s">
        <v>278</v>
      </c>
      <c r="E59" s="10"/>
      <c r="F59" s="10">
        <v>1</v>
      </c>
      <c r="G59" s="10" t="s">
        <v>19</v>
      </c>
      <c r="H59" s="8" t="s">
        <v>45</v>
      </c>
      <c r="I59" s="8"/>
      <c r="J59" s="2"/>
      <c r="K59" s="8" t="s">
        <v>327</v>
      </c>
      <c r="L59" s="8" t="s">
        <v>329</v>
      </c>
      <c r="M59" s="8"/>
      <c r="N59" s="8"/>
      <c r="O59" s="2"/>
      <c r="P59" s="92"/>
    </row>
    <row r="60" spans="1:29" ht="15" thickBot="1" x14ac:dyDescent="0.35">
      <c r="A60" s="97" t="s">
        <v>325</v>
      </c>
      <c r="B60" s="93">
        <v>5</v>
      </c>
      <c r="C60" s="95">
        <v>2</v>
      </c>
      <c r="D60" s="30" t="s">
        <v>278</v>
      </c>
      <c r="E60" s="30"/>
      <c r="F60" s="30">
        <v>1</v>
      </c>
      <c r="G60" s="30" t="s">
        <v>19</v>
      </c>
      <c r="H60" s="90" t="s">
        <v>45</v>
      </c>
      <c r="I60" s="90"/>
      <c r="J60" s="89"/>
      <c r="K60" s="90" t="s">
        <v>328</v>
      </c>
      <c r="L60" s="90"/>
      <c r="M60" s="90"/>
      <c r="N60" s="90"/>
      <c r="O60" s="89"/>
      <c r="P60" s="94"/>
    </row>
    <row r="61" spans="1:29" ht="15" thickBot="1" x14ac:dyDescent="0.35">
      <c r="A61" s="4" t="s">
        <v>326</v>
      </c>
      <c r="B61" s="4">
        <v>2</v>
      </c>
      <c r="C61" s="9">
        <v>1</v>
      </c>
      <c r="D61" s="10" t="s">
        <v>279</v>
      </c>
      <c r="E61" s="10"/>
      <c r="F61" s="10">
        <v>1</v>
      </c>
      <c r="G61" s="10" t="s">
        <v>333</v>
      </c>
      <c r="H61" s="8"/>
      <c r="I61" s="8"/>
      <c r="J61" s="2"/>
      <c r="K61" s="8" t="s">
        <v>327</v>
      </c>
      <c r="L61" s="8" t="s">
        <v>329</v>
      </c>
      <c r="M61" s="8"/>
      <c r="N61" s="8"/>
      <c r="O61" s="2"/>
      <c r="P61" s="92"/>
      <c r="R61" s="46" t="s">
        <v>447</v>
      </c>
      <c r="S61" s="45"/>
      <c r="T61" s="45"/>
      <c r="V61" s="5" t="s">
        <v>329</v>
      </c>
      <c r="Y61" s="5" t="s">
        <v>457</v>
      </c>
    </row>
    <row r="62" spans="1:29" ht="15" thickBot="1" x14ac:dyDescent="0.35">
      <c r="A62" s="93" t="s">
        <v>326</v>
      </c>
      <c r="B62" s="93">
        <v>2</v>
      </c>
      <c r="C62" s="95">
        <v>1</v>
      </c>
      <c r="D62" s="30" t="s">
        <v>279</v>
      </c>
      <c r="E62" s="30"/>
      <c r="F62" s="30">
        <v>1</v>
      </c>
      <c r="G62" s="30" t="s">
        <v>333</v>
      </c>
      <c r="H62" s="90"/>
      <c r="I62" s="90"/>
      <c r="J62" s="89"/>
      <c r="K62" s="90" t="s">
        <v>328</v>
      </c>
      <c r="L62" s="90"/>
      <c r="M62" s="90"/>
      <c r="N62" s="90"/>
      <c r="O62" s="89"/>
      <c r="P62" s="94"/>
      <c r="R62" s="5" t="s">
        <v>342</v>
      </c>
      <c r="S62" s="45" t="s">
        <v>448</v>
      </c>
      <c r="T62" s="45">
        <v>4</v>
      </c>
      <c r="V62" s="5" t="s">
        <v>342</v>
      </c>
      <c r="W62" s="45" t="s">
        <v>448</v>
      </c>
      <c r="X62" s="45">
        <v>4</v>
      </c>
    </row>
    <row r="63" spans="1:29" ht="15" thickBot="1" x14ac:dyDescent="0.35">
      <c r="A63" s="4" t="s">
        <v>334</v>
      </c>
      <c r="B63" s="4">
        <v>5</v>
      </c>
      <c r="C63" s="9">
        <v>2</v>
      </c>
      <c r="D63" s="10"/>
      <c r="E63" s="10"/>
      <c r="F63" s="10">
        <v>1</v>
      </c>
      <c r="G63" s="10" t="s">
        <v>42</v>
      </c>
      <c r="H63" s="8"/>
      <c r="I63" s="8"/>
      <c r="J63" s="2"/>
      <c r="K63" s="8" t="s">
        <v>327</v>
      </c>
      <c r="L63" s="8" t="s">
        <v>328</v>
      </c>
      <c r="M63" s="8"/>
      <c r="N63" s="8"/>
      <c r="O63" s="2"/>
      <c r="P63" s="92"/>
      <c r="R63" s="5" t="s">
        <v>348</v>
      </c>
      <c r="S63" s="45" t="s">
        <v>449</v>
      </c>
      <c r="T63" s="45">
        <v>5</v>
      </c>
      <c r="V63" s="5" t="s">
        <v>325</v>
      </c>
      <c r="W63" s="45" t="s">
        <v>449</v>
      </c>
      <c r="X63" s="45">
        <v>5</v>
      </c>
      <c r="Y63" s="48" t="s">
        <v>453</v>
      </c>
      <c r="Z63" s="48" t="s">
        <v>454</v>
      </c>
      <c r="AA63" s="48" t="s">
        <v>359</v>
      </c>
      <c r="AB63" s="48" t="s">
        <v>455</v>
      </c>
      <c r="AC63" s="48" t="s">
        <v>456</v>
      </c>
    </row>
    <row r="64" spans="1:29" ht="15" thickBot="1" x14ac:dyDescent="0.35">
      <c r="A64" s="93" t="s">
        <v>335</v>
      </c>
      <c r="B64" s="93">
        <v>5</v>
      </c>
      <c r="C64" s="95">
        <v>2</v>
      </c>
      <c r="D64" s="30"/>
      <c r="E64" s="30"/>
      <c r="F64" s="30">
        <v>1</v>
      </c>
      <c r="G64" s="30" t="s">
        <v>26</v>
      </c>
      <c r="H64" s="90"/>
      <c r="I64" s="90"/>
      <c r="J64" s="89"/>
      <c r="K64" s="90" t="s">
        <v>327</v>
      </c>
      <c r="L64" s="90" t="s">
        <v>328</v>
      </c>
      <c r="M64" s="90"/>
      <c r="N64" s="90"/>
      <c r="O64" s="89"/>
      <c r="P64" s="94"/>
      <c r="R64" s="5" t="s">
        <v>349</v>
      </c>
      <c r="S64" s="45">
        <v>2</v>
      </c>
      <c r="T64" s="45">
        <v>2</v>
      </c>
      <c r="V64" s="5" t="s">
        <v>326</v>
      </c>
      <c r="W64" s="45">
        <v>2</v>
      </c>
      <c r="X64" s="45">
        <v>2</v>
      </c>
      <c r="Y64" s="48">
        <v>3</v>
      </c>
      <c r="Z64" s="48">
        <v>3</v>
      </c>
      <c r="AA64" s="48">
        <v>2</v>
      </c>
      <c r="AB64" s="48">
        <v>3</v>
      </c>
      <c r="AC64" s="48">
        <v>2</v>
      </c>
    </row>
    <row r="65" spans="1:29" ht="15" thickBot="1" x14ac:dyDescent="0.35">
      <c r="A65" s="4" t="s">
        <v>336</v>
      </c>
      <c r="B65" s="4">
        <v>5</v>
      </c>
      <c r="C65" s="9">
        <v>2</v>
      </c>
      <c r="D65" s="10"/>
      <c r="E65" s="10"/>
      <c r="F65" s="10">
        <v>1</v>
      </c>
      <c r="G65" s="10" t="s">
        <v>337</v>
      </c>
      <c r="H65" s="8"/>
      <c r="I65" s="8"/>
      <c r="J65" s="2"/>
      <c r="K65" s="8" t="s">
        <v>327</v>
      </c>
      <c r="L65" s="8"/>
      <c r="M65" s="8"/>
      <c r="N65" s="8"/>
      <c r="O65" s="2"/>
      <c r="P65" s="92"/>
      <c r="R65" s="5" t="s">
        <v>350</v>
      </c>
      <c r="S65" s="45" t="s">
        <v>448</v>
      </c>
      <c r="T65" s="45">
        <v>4</v>
      </c>
      <c r="V65" s="5" t="s">
        <v>450</v>
      </c>
      <c r="W65" s="45" t="s">
        <v>451</v>
      </c>
      <c r="X65" s="45">
        <v>6</v>
      </c>
      <c r="Y65" s="48">
        <v>3</v>
      </c>
      <c r="Z65" s="48">
        <v>3</v>
      </c>
      <c r="AA65" s="48">
        <v>2</v>
      </c>
      <c r="AB65" s="48">
        <v>3</v>
      </c>
      <c r="AC65" s="48">
        <v>2</v>
      </c>
    </row>
    <row r="66" spans="1:29" ht="15" thickBot="1" x14ac:dyDescent="0.35">
      <c r="A66" s="93" t="s">
        <v>336</v>
      </c>
      <c r="B66" s="93">
        <v>5</v>
      </c>
      <c r="C66" s="95">
        <v>2</v>
      </c>
      <c r="D66" s="30"/>
      <c r="E66" s="30"/>
      <c r="F66" s="30">
        <v>1</v>
      </c>
      <c r="G66" s="30" t="s">
        <v>337</v>
      </c>
      <c r="H66" s="90"/>
      <c r="I66" s="90"/>
      <c r="J66" s="89"/>
      <c r="K66" s="90" t="s">
        <v>328</v>
      </c>
      <c r="L66" s="90"/>
      <c r="M66" s="90"/>
      <c r="N66" s="90"/>
      <c r="O66" s="89"/>
      <c r="P66" s="94"/>
      <c r="R66" s="5" t="s">
        <v>450</v>
      </c>
      <c r="S66" s="45" t="s">
        <v>451</v>
      </c>
      <c r="T66" s="45">
        <v>6</v>
      </c>
      <c r="V66" s="5" t="s">
        <v>356</v>
      </c>
      <c r="W66" s="45" t="s">
        <v>449</v>
      </c>
      <c r="X66" s="45">
        <v>5</v>
      </c>
      <c r="Y66" s="48"/>
      <c r="Z66" s="48"/>
      <c r="AA66" s="48">
        <v>2</v>
      </c>
      <c r="AC66" s="48">
        <v>2</v>
      </c>
    </row>
    <row r="67" spans="1:29" ht="15" thickBot="1" x14ac:dyDescent="0.35">
      <c r="A67" s="4" t="s">
        <v>339</v>
      </c>
      <c r="B67" s="4">
        <v>3</v>
      </c>
      <c r="C67" s="9">
        <v>1</v>
      </c>
      <c r="D67" s="10"/>
      <c r="E67" s="10"/>
      <c r="F67" s="10">
        <v>1</v>
      </c>
      <c r="G67" s="10" t="s">
        <v>341</v>
      </c>
      <c r="H67" s="8"/>
      <c r="I67" s="8"/>
      <c r="J67" s="2"/>
      <c r="K67" s="8" t="s">
        <v>327</v>
      </c>
      <c r="L67" s="8"/>
      <c r="M67" s="8"/>
      <c r="N67" s="8"/>
      <c r="O67" s="2"/>
      <c r="P67" s="92"/>
      <c r="R67" s="5" t="s">
        <v>356</v>
      </c>
      <c r="S67" s="45" t="s">
        <v>449</v>
      </c>
      <c r="T67" s="45">
        <v>5</v>
      </c>
      <c r="V67" s="5" t="s">
        <v>259</v>
      </c>
      <c r="W67" s="45" t="s">
        <v>449</v>
      </c>
      <c r="X67" s="45">
        <v>5</v>
      </c>
      <c r="Y67" s="48"/>
      <c r="Z67" s="48"/>
      <c r="AA67" s="48"/>
      <c r="AB67" s="48"/>
      <c r="AC67" s="48"/>
    </row>
    <row r="68" spans="1:29" ht="15" thickBot="1" x14ac:dyDescent="0.35">
      <c r="A68" s="93" t="s">
        <v>342</v>
      </c>
      <c r="B68" s="4">
        <v>4</v>
      </c>
      <c r="C68" s="9">
        <v>2</v>
      </c>
      <c r="D68" s="30"/>
      <c r="E68" s="30"/>
      <c r="F68" s="30">
        <v>1</v>
      </c>
      <c r="G68" s="30" t="s">
        <v>344</v>
      </c>
      <c r="H68" s="90"/>
      <c r="I68" s="90"/>
      <c r="J68" s="89"/>
      <c r="K68" s="90" t="s">
        <v>327</v>
      </c>
      <c r="L68" s="90" t="s">
        <v>328</v>
      </c>
      <c r="M68" s="90"/>
      <c r="N68" s="90"/>
      <c r="O68" s="89"/>
      <c r="P68" s="94"/>
      <c r="R68" s="5" t="s">
        <v>259</v>
      </c>
      <c r="S68" s="45" t="s">
        <v>449</v>
      </c>
      <c r="T68" s="45">
        <v>5</v>
      </c>
      <c r="V68" s="5" t="s">
        <v>359</v>
      </c>
      <c r="W68" s="45">
        <v>3</v>
      </c>
      <c r="X68" s="45">
        <v>3</v>
      </c>
      <c r="Y68" s="48" t="s">
        <v>325</v>
      </c>
      <c r="Z68" s="48" t="s">
        <v>461</v>
      </c>
      <c r="AA68" s="48" t="s">
        <v>459</v>
      </c>
      <c r="AB68" s="48" t="s">
        <v>461</v>
      </c>
      <c r="AC68" s="48" t="s">
        <v>459</v>
      </c>
    </row>
    <row r="69" spans="1:29" ht="15" thickBot="1" x14ac:dyDescent="0.35">
      <c r="A69" s="4" t="s">
        <v>342</v>
      </c>
      <c r="B69" s="111">
        <v>2</v>
      </c>
      <c r="C69" s="112">
        <v>1</v>
      </c>
      <c r="D69" s="10"/>
      <c r="E69" s="10"/>
      <c r="F69" s="10">
        <v>1</v>
      </c>
      <c r="G69" s="10" t="s">
        <v>344</v>
      </c>
      <c r="H69" s="8"/>
      <c r="I69" s="8"/>
      <c r="J69" s="2"/>
      <c r="K69" s="8" t="s">
        <v>329</v>
      </c>
      <c r="L69" s="8" t="s">
        <v>331</v>
      </c>
      <c r="M69" s="8"/>
      <c r="N69" s="8"/>
      <c r="O69" s="2"/>
      <c r="P69" s="92"/>
      <c r="S69" s="45"/>
      <c r="T69" s="47">
        <f>SUM(T62:T68)</f>
        <v>31</v>
      </c>
      <c r="X69" s="45">
        <f>SUM(X62:X68)</f>
        <v>30</v>
      </c>
      <c r="Y69" s="48" t="s">
        <v>458</v>
      </c>
      <c r="Z69" s="48" t="s">
        <v>356</v>
      </c>
      <c r="AA69" s="48" t="s">
        <v>325</v>
      </c>
      <c r="AB69" s="48" t="s">
        <v>359</v>
      </c>
      <c r="AC69" s="48" t="s">
        <v>460</v>
      </c>
    </row>
    <row r="70" spans="1:29" ht="15" thickBot="1" x14ac:dyDescent="0.35">
      <c r="A70" s="4" t="s">
        <v>342</v>
      </c>
      <c r="B70" s="111">
        <v>1</v>
      </c>
      <c r="C70" s="112">
        <v>1</v>
      </c>
      <c r="D70" s="10"/>
      <c r="E70" s="10"/>
      <c r="F70" s="10">
        <v>1</v>
      </c>
      <c r="G70" s="10" t="s">
        <v>344</v>
      </c>
      <c r="H70" s="8"/>
      <c r="I70" s="8"/>
      <c r="J70" s="2"/>
      <c r="K70" s="8" t="s">
        <v>329</v>
      </c>
      <c r="L70" s="8" t="s">
        <v>331</v>
      </c>
      <c r="M70" s="8"/>
      <c r="N70" s="8"/>
      <c r="O70" s="2"/>
      <c r="P70" s="25"/>
      <c r="S70" s="45"/>
      <c r="T70" s="47"/>
      <c r="X70" s="45"/>
      <c r="Y70" s="48"/>
      <c r="Z70" s="48"/>
      <c r="AA70" s="48"/>
      <c r="AB70" s="48"/>
      <c r="AC70" s="48"/>
    </row>
    <row r="71" spans="1:29" ht="15" thickBot="1" x14ac:dyDescent="0.35">
      <c r="A71" s="4" t="s">
        <v>342</v>
      </c>
      <c r="B71" s="111">
        <v>2</v>
      </c>
      <c r="C71" s="112">
        <v>1</v>
      </c>
      <c r="D71" s="10"/>
      <c r="E71" s="10"/>
      <c r="F71" s="10">
        <v>1</v>
      </c>
      <c r="G71" s="10" t="s">
        <v>344</v>
      </c>
      <c r="H71" s="8"/>
      <c r="I71" s="8"/>
      <c r="J71" s="2"/>
      <c r="K71" s="8" t="s">
        <v>330</v>
      </c>
      <c r="L71" s="8"/>
      <c r="M71" s="8"/>
      <c r="N71" s="8"/>
      <c r="O71" s="2"/>
      <c r="P71" s="25"/>
      <c r="S71" s="45"/>
      <c r="T71" s="47"/>
      <c r="X71" s="45"/>
      <c r="Y71" s="48"/>
      <c r="Z71" s="48"/>
      <c r="AA71" s="48"/>
      <c r="AB71" s="48"/>
      <c r="AC71" s="48"/>
    </row>
    <row r="72" spans="1:29" ht="15" thickBot="1" x14ac:dyDescent="0.35">
      <c r="A72" s="93" t="s">
        <v>342</v>
      </c>
      <c r="B72" s="111">
        <v>1</v>
      </c>
      <c r="C72" s="112">
        <v>1</v>
      </c>
      <c r="D72" s="30"/>
      <c r="E72" s="30"/>
      <c r="F72" s="30">
        <v>1</v>
      </c>
      <c r="G72" s="30" t="s">
        <v>344</v>
      </c>
      <c r="H72" s="90"/>
      <c r="I72" s="90"/>
      <c r="J72" s="89"/>
      <c r="K72" s="90" t="s">
        <v>330</v>
      </c>
      <c r="L72" s="90"/>
      <c r="M72" s="90"/>
      <c r="N72" s="90"/>
      <c r="O72" s="89"/>
      <c r="P72" s="92"/>
      <c r="Y72" s="48"/>
      <c r="Z72" s="48"/>
      <c r="AA72" s="48" t="s">
        <v>458</v>
      </c>
      <c r="AC72" s="48" t="s">
        <v>356</v>
      </c>
    </row>
    <row r="73" spans="1:29" ht="15" thickBot="1" x14ac:dyDescent="0.35">
      <c r="A73" s="4" t="s">
        <v>345</v>
      </c>
      <c r="B73" s="4">
        <v>3</v>
      </c>
      <c r="C73" s="9">
        <v>1</v>
      </c>
      <c r="D73" s="10"/>
      <c r="E73" s="10"/>
      <c r="F73" s="10">
        <v>1</v>
      </c>
      <c r="G73" s="10" t="s">
        <v>347</v>
      </c>
      <c r="H73" s="8"/>
      <c r="I73" s="8"/>
      <c r="J73" s="2"/>
      <c r="K73" s="8" t="s">
        <v>328</v>
      </c>
      <c r="L73" s="8"/>
      <c r="M73" s="8"/>
      <c r="N73" s="8"/>
      <c r="O73" s="2"/>
      <c r="P73" s="92"/>
    </row>
    <row r="74" spans="1:29" ht="15" thickBot="1" x14ac:dyDescent="0.35">
      <c r="A74" s="93" t="s">
        <v>348</v>
      </c>
      <c r="B74" s="93">
        <v>5</v>
      </c>
      <c r="C74" s="95">
        <v>2</v>
      </c>
      <c r="D74" s="30" t="s">
        <v>278</v>
      </c>
      <c r="E74" s="30"/>
      <c r="F74" s="30">
        <v>1</v>
      </c>
      <c r="G74" s="30" t="s">
        <v>25</v>
      </c>
      <c r="H74" s="90" t="s">
        <v>17</v>
      </c>
      <c r="I74" s="90"/>
      <c r="J74" s="89"/>
      <c r="K74" s="90" t="s">
        <v>330</v>
      </c>
      <c r="L74" s="90"/>
      <c r="M74" s="90"/>
      <c r="N74" s="90"/>
      <c r="O74" s="89"/>
      <c r="P74" s="92"/>
    </row>
    <row r="75" spans="1:29" ht="15" thickBot="1" x14ac:dyDescent="0.35">
      <c r="A75" s="4" t="s">
        <v>348</v>
      </c>
      <c r="B75" s="4">
        <v>5</v>
      </c>
      <c r="C75" s="9">
        <v>2</v>
      </c>
      <c r="D75" s="10" t="s">
        <v>278</v>
      </c>
      <c r="E75" s="10"/>
      <c r="F75" s="10">
        <v>1</v>
      </c>
      <c r="G75" s="10" t="s">
        <v>25</v>
      </c>
      <c r="H75" s="8" t="s">
        <v>17</v>
      </c>
      <c r="I75" s="8"/>
      <c r="J75" s="2"/>
      <c r="K75" s="8" t="s">
        <v>331</v>
      </c>
      <c r="L75" s="8"/>
      <c r="M75" s="8"/>
      <c r="N75" s="8"/>
      <c r="O75" s="2"/>
      <c r="P75" s="92"/>
      <c r="R75" s="5" t="s">
        <v>328</v>
      </c>
      <c r="V75" s="5" t="s">
        <v>327</v>
      </c>
    </row>
    <row r="76" spans="1:29" ht="15" thickBot="1" x14ac:dyDescent="0.35">
      <c r="A76" s="93" t="s">
        <v>349</v>
      </c>
      <c r="B76" s="49">
        <v>1</v>
      </c>
      <c r="C76" s="95">
        <v>1</v>
      </c>
      <c r="D76" s="30" t="s">
        <v>279</v>
      </c>
      <c r="E76" s="30"/>
      <c r="F76" s="30">
        <v>1</v>
      </c>
      <c r="G76" s="30" t="s">
        <v>25</v>
      </c>
      <c r="H76" s="90"/>
      <c r="I76" s="90"/>
      <c r="J76" s="89"/>
      <c r="K76" s="90" t="s">
        <v>330</v>
      </c>
      <c r="L76" s="90"/>
      <c r="M76" s="90"/>
      <c r="N76" s="90"/>
      <c r="O76" s="89"/>
      <c r="P76" s="92"/>
      <c r="R76" s="5" t="s">
        <v>342</v>
      </c>
      <c r="S76" s="45" t="s">
        <v>448</v>
      </c>
      <c r="T76" s="45">
        <v>4</v>
      </c>
      <c r="V76" s="5" t="s">
        <v>342</v>
      </c>
      <c r="W76" s="45" t="s">
        <v>448</v>
      </c>
      <c r="X76" s="45">
        <v>4</v>
      </c>
    </row>
    <row r="77" spans="1:29" ht="15" thickBot="1" x14ac:dyDescent="0.35">
      <c r="A77" s="4" t="s">
        <v>349</v>
      </c>
      <c r="B77" s="49">
        <v>1</v>
      </c>
      <c r="C77" s="9">
        <v>1</v>
      </c>
      <c r="D77" s="10" t="s">
        <v>279</v>
      </c>
      <c r="E77" s="10"/>
      <c r="F77" s="10">
        <v>1</v>
      </c>
      <c r="G77" s="10" t="s">
        <v>25</v>
      </c>
      <c r="H77" s="8"/>
      <c r="I77" s="8"/>
      <c r="J77" s="2"/>
      <c r="K77" s="8" t="s">
        <v>331</v>
      </c>
      <c r="L77" s="8"/>
      <c r="M77" s="8"/>
      <c r="N77" s="8"/>
      <c r="O77" s="2"/>
      <c r="P77" s="92"/>
      <c r="R77" s="5" t="s">
        <v>325</v>
      </c>
      <c r="S77" s="45" t="s">
        <v>449</v>
      </c>
      <c r="T77" s="45">
        <v>5</v>
      </c>
      <c r="V77" s="5" t="s">
        <v>325</v>
      </c>
      <c r="W77" s="45" t="s">
        <v>449</v>
      </c>
      <c r="X77" s="45">
        <v>5</v>
      </c>
    </row>
    <row r="78" spans="1:29" ht="15" thickBot="1" x14ac:dyDescent="0.35">
      <c r="A78" s="93" t="s">
        <v>350</v>
      </c>
      <c r="B78" s="93">
        <v>4</v>
      </c>
      <c r="C78" s="95">
        <v>2</v>
      </c>
      <c r="D78" s="30"/>
      <c r="E78" s="30"/>
      <c r="F78" s="30">
        <v>1</v>
      </c>
      <c r="G78" s="30" t="s">
        <v>352</v>
      </c>
      <c r="H78" s="90"/>
      <c r="I78" s="90"/>
      <c r="J78" s="89"/>
      <c r="K78" s="90" t="s">
        <v>330</v>
      </c>
      <c r="L78" s="90"/>
      <c r="M78" s="90"/>
      <c r="N78" s="90"/>
      <c r="O78" s="89"/>
      <c r="P78" s="92"/>
      <c r="R78" s="5" t="s">
        <v>326</v>
      </c>
      <c r="S78" s="45">
        <v>2</v>
      </c>
      <c r="T78" s="45">
        <v>2</v>
      </c>
      <c r="V78" s="5" t="s">
        <v>326</v>
      </c>
      <c r="W78" s="45">
        <v>2</v>
      </c>
      <c r="X78" s="45">
        <v>2</v>
      </c>
    </row>
    <row r="79" spans="1:29" ht="15" thickBot="1" x14ac:dyDescent="0.35">
      <c r="A79" s="4" t="s">
        <v>350</v>
      </c>
      <c r="B79" s="4">
        <v>4</v>
      </c>
      <c r="C79" s="9">
        <v>2</v>
      </c>
      <c r="D79" s="10"/>
      <c r="E79" s="10"/>
      <c r="F79" s="10">
        <v>1</v>
      </c>
      <c r="G79" s="10" t="s">
        <v>352</v>
      </c>
      <c r="H79" s="8"/>
      <c r="I79" s="8"/>
      <c r="J79" s="2"/>
      <c r="K79" s="8" t="s">
        <v>331</v>
      </c>
      <c r="L79" s="8"/>
      <c r="M79" s="8"/>
      <c r="N79" s="8"/>
      <c r="O79" s="2"/>
      <c r="P79" s="92"/>
      <c r="R79" s="5" t="s">
        <v>334</v>
      </c>
      <c r="S79" s="45" t="s">
        <v>449</v>
      </c>
      <c r="T79" s="45">
        <v>5</v>
      </c>
      <c r="V79" s="5" t="s">
        <v>334</v>
      </c>
      <c r="W79" s="45" t="s">
        <v>449</v>
      </c>
      <c r="X79" s="45">
        <v>5</v>
      </c>
    </row>
    <row r="80" spans="1:29" ht="15" thickBot="1" x14ac:dyDescent="0.35">
      <c r="A80" s="93" t="s">
        <v>353</v>
      </c>
      <c r="B80" s="93">
        <v>6</v>
      </c>
      <c r="C80" s="95">
        <v>2</v>
      </c>
      <c r="D80" s="30"/>
      <c r="E80" s="30"/>
      <c r="F80" s="30">
        <v>1</v>
      </c>
      <c r="G80" s="10" t="s">
        <v>354</v>
      </c>
      <c r="H80" s="90"/>
      <c r="I80" s="90"/>
      <c r="J80" s="89"/>
      <c r="K80" s="90" t="s">
        <v>329</v>
      </c>
      <c r="L80" s="90" t="s">
        <v>331</v>
      </c>
      <c r="M80" s="90"/>
      <c r="N80" s="90"/>
      <c r="O80" s="89"/>
      <c r="P80" s="92" t="s">
        <v>690</v>
      </c>
      <c r="R80" s="5" t="s">
        <v>335</v>
      </c>
      <c r="S80" s="45" t="s">
        <v>449</v>
      </c>
      <c r="T80" s="45">
        <v>5</v>
      </c>
      <c r="V80" s="5" t="s">
        <v>335</v>
      </c>
      <c r="W80" s="45" t="s">
        <v>449</v>
      </c>
      <c r="X80" s="45">
        <v>5</v>
      </c>
    </row>
    <row r="81" spans="1:34" ht="15" thickBot="1" x14ac:dyDescent="0.35">
      <c r="A81" s="4" t="s">
        <v>353</v>
      </c>
      <c r="B81" s="4">
        <v>6</v>
      </c>
      <c r="C81" s="9">
        <v>2</v>
      </c>
      <c r="D81" s="10"/>
      <c r="E81" s="10"/>
      <c r="F81" s="10">
        <v>0</v>
      </c>
      <c r="G81" s="27"/>
      <c r="H81" s="8"/>
      <c r="I81" s="8"/>
      <c r="J81" s="2"/>
      <c r="K81" s="8" t="s">
        <v>330</v>
      </c>
      <c r="L81" s="8"/>
      <c r="M81" s="8"/>
      <c r="N81" s="8"/>
      <c r="O81" s="2"/>
      <c r="P81" s="92" t="s">
        <v>690</v>
      </c>
      <c r="R81" s="5" t="s">
        <v>336</v>
      </c>
      <c r="S81" s="45" t="s">
        <v>449</v>
      </c>
      <c r="T81" s="45">
        <v>5</v>
      </c>
      <c r="V81" s="5" t="s">
        <v>336</v>
      </c>
      <c r="W81" s="45" t="s">
        <v>449</v>
      </c>
      <c r="X81" s="45">
        <v>5</v>
      </c>
    </row>
    <row r="82" spans="1:34" ht="15" thickBot="1" x14ac:dyDescent="0.35">
      <c r="A82" s="93" t="s">
        <v>356</v>
      </c>
      <c r="B82" s="93">
        <v>5</v>
      </c>
      <c r="C82" s="95">
        <v>2</v>
      </c>
      <c r="D82" s="30"/>
      <c r="E82" s="30"/>
      <c r="F82" s="30">
        <v>1</v>
      </c>
      <c r="G82" s="30" t="s">
        <v>43</v>
      </c>
      <c r="H82" s="90" t="s">
        <v>44</v>
      </c>
      <c r="I82" s="90"/>
      <c r="J82" s="89"/>
      <c r="K82" s="90" t="s">
        <v>329</v>
      </c>
      <c r="L82" s="90" t="s">
        <v>331</v>
      </c>
      <c r="M82" s="90"/>
      <c r="N82" s="90"/>
      <c r="O82" s="89"/>
      <c r="P82" s="92"/>
      <c r="R82" s="5" t="s">
        <v>345</v>
      </c>
      <c r="S82" s="45">
        <v>3</v>
      </c>
      <c r="T82" s="45">
        <v>3</v>
      </c>
      <c r="V82" s="5" t="s">
        <v>339</v>
      </c>
      <c r="W82" s="45">
        <v>3</v>
      </c>
      <c r="X82" s="45">
        <v>3</v>
      </c>
    </row>
    <row r="83" spans="1:34" ht="15" thickBot="1" x14ac:dyDescent="0.35">
      <c r="A83" s="4" t="s">
        <v>356</v>
      </c>
      <c r="B83" s="4">
        <v>5</v>
      </c>
      <c r="C83" s="9">
        <v>2</v>
      </c>
      <c r="D83" s="10"/>
      <c r="E83" s="10"/>
      <c r="F83" s="10">
        <v>1</v>
      </c>
      <c r="G83" s="10" t="s">
        <v>43</v>
      </c>
      <c r="H83" s="8" t="s">
        <v>44</v>
      </c>
      <c r="I83" s="8"/>
      <c r="J83" s="2"/>
      <c r="K83" s="8" t="s">
        <v>330</v>
      </c>
      <c r="L83" s="8"/>
      <c r="M83" s="8"/>
      <c r="N83" s="8"/>
      <c r="O83" s="2"/>
      <c r="P83" s="92"/>
      <c r="T83" s="45">
        <f>SUM(T76:T82)</f>
        <v>29</v>
      </c>
      <c r="X83" s="45">
        <f>SUM(X76:X82)</f>
        <v>29</v>
      </c>
    </row>
    <row r="84" spans="1:34" ht="15" thickBot="1" x14ac:dyDescent="0.35">
      <c r="A84" s="93" t="s">
        <v>259</v>
      </c>
      <c r="B84" s="93">
        <v>5</v>
      </c>
      <c r="C84" s="95">
        <v>2</v>
      </c>
      <c r="D84" s="30"/>
      <c r="E84" s="30"/>
      <c r="F84" s="30">
        <v>1</v>
      </c>
      <c r="G84" s="30" t="s">
        <v>46</v>
      </c>
      <c r="H84" s="90" t="s">
        <v>358</v>
      </c>
      <c r="I84" s="90"/>
      <c r="J84" s="89"/>
      <c r="K84" s="90" t="s">
        <v>329</v>
      </c>
      <c r="L84" s="90" t="s">
        <v>331</v>
      </c>
      <c r="M84" s="90"/>
      <c r="N84" s="90"/>
      <c r="O84" s="89"/>
      <c r="P84" s="92"/>
    </row>
    <row r="85" spans="1:34" ht="15" thickBot="1" x14ac:dyDescent="0.35">
      <c r="A85" s="4" t="s">
        <v>259</v>
      </c>
      <c r="B85" s="4">
        <v>5</v>
      </c>
      <c r="C85" s="9">
        <v>2</v>
      </c>
      <c r="D85" s="10"/>
      <c r="E85" s="10"/>
      <c r="F85" s="10">
        <v>1</v>
      </c>
      <c r="G85" s="10" t="s">
        <v>46</v>
      </c>
      <c r="H85" s="8" t="s">
        <v>358</v>
      </c>
      <c r="I85" s="8"/>
      <c r="J85" s="2"/>
      <c r="K85" s="8" t="s">
        <v>330</v>
      </c>
      <c r="L85" s="8"/>
      <c r="M85" s="8"/>
      <c r="N85" s="8"/>
      <c r="O85" s="2"/>
      <c r="P85" s="92"/>
    </row>
    <row r="86" spans="1:34" ht="15" thickBot="1" x14ac:dyDescent="0.35">
      <c r="A86" s="93" t="s">
        <v>359</v>
      </c>
      <c r="B86" s="93">
        <v>3</v>
      </c>
      <c r="C86" s="95">
        <v>1</v>
      </c>
      <c r="D86" s="30"/>
      <c r="E86" s="30"/>
      <c r="F86" s="30">
        <v>1</v>
      </c>
      <c r="G86" s="30" t="s">
        <v>361</v>
      </c>
      <c r="H86" s="90"/>
      <c r="I86" s="90"/>
      <c r="J86" s="98"/>
      <c r="K86" s="90" t="s">
        <v>329</v>
      </c>
      <c r="L86" s="90"/>
      <c r="M86" s="90"/>
      <c r="N86" s="90"/>
      <c r="O86" s="89"/>
      <c r="P86" s="94"/>
    </row>
    <row r="87" spans="1:34" s="42" customFormat="1" ht="15" thickBot="1" x14ac:dyDescent="0.35">
      <c r="A87" s="36"/>
      <c r="B87" s="36"/>
      <c r="C87" s="37"/>
      <c r="D87" s="38"/>
      <c r="E87" s="38"/>
      <c r="F87" s="38"/>
      <c r="G87" s="38"/>
      <c r="H87" s="40"/>
      <c r="I87" s="40"/>
      <c r="J87" s="41"/>
      <c r="K87" s="40"/>
      <c r="L87" s="40"/>
      <c r="M87" s="40"/>
      <c r="N87" s="40"/>
      <c r="O87" s="41"/>
      <c r="P87" s="96"/>
    </row>
    <row r="88" spans="1:34" ht="15" thickBot="1" x14ac:dyDescent="0.35">
      <c r="A88" s="93" t="s">
        <v>362</v>
      </c>
      <c r="B88" s="93">
        <v>4</v>
      </c>
      <c r="C88" s="95">
        <v>2</v>
      </c>
      <c r="D88" s="30"/>
      <c r="E88" s="30"/>
      <c r="F88" s="30">
        <v>1</v>
      </c>
      <c r="G88" s="30" t="s">
        <v>364</v>
      </c>
      <c r="H88" s="90" t="s">
        <v>72</v>
      </c>
      <c r="I88" s="90"/>
      <c r="J88" s="89"/>
      <c r="K88" s="90" t="s">
        <v>365</v>
      </c>
      <c r="L88" s="90" t="s">
        <v>366</v>
      </c>
      <c r="M88" s="90"/>
      <c r="N88" s="90"/>
      <c r="O88" s="89"/>
      <c r="P88" s="94"/>
    </row>
    <row r="89" spans="1:34" ht="15" thickBot="1" x14ac:dyDescent="0.35">
      <c r="A89" s="4" t="s">
        <v>362</v>
      </c>
      <c r="B89" s="4">
        <v>4</v>
      </c>
      <c r="C89" s="9">
        <v>2</v>
      </c>
      <c r="D89" s="10"/>
      <c r="E89" s="10"/>
      <c r="F89" s="10">
        <v>1</v>
      </c>
      <c r="G89" s="10" t="s">
        <v>364</v>
      </c>
      <c r="H89" s="8" t="s">
        <v>72</v>
      </c>
      <c r="I89" s="8"/>
      <c r="J89" s="2"/>
      <c r="K89" s="8" t="s">
        <v>367</v>
      </c>
      <c r="L89" s="8" t="s">
        <v>369</v>
      </c>
      <c r="M89" s="8"/>
      <c r="N89" s="8"/>
      <c r="O89" s="2"/>
      <c r="P89" s="92"/>
      <c r="Z89" s="5" t="s">
        <v>365</v>
      </c>
    </row>
    <row r="90" spans="1:34" ht="15" thickBot="1" x14ac:dyDescent="0.35">
      <c r="A90" s="93" t="s">
        <v>362</v>
      </c>
      <c r="B90" s="93">
        <v>4</v>
      </c>
      <c r="C90" s="95">
        <v>2</v>
      </c>
      <c r="D90" s="30"/>
      <c r="E90" s="30"/>
      <c r="F90" s="30">
        <v>0</v>
      </c>
      <c r="G90" s="27"/>
      <c r="H90" s="90"/>
      <c r="I90" s="90"/>
      <c r="J90" s="89"/>
      <c r="K90" s="90" t="s">
        <v>368</v>
      </c>
      <c r="L90" s="90"/>
      <c r="M90" s="90"/>
      <c r="N90" s="90"/>
      <c r="O90" s="89"/>
      <c r="P90" s="94"/>
      <c r="Z90" s="5" t="s">
        <v>362</v>
      </c>
      <c r="AA90" s="5" t="s">
        <v>448</v>
      </c>
      <c r="AB90" s="5">
        <v>4</v>
      </c>
      <c r="AD90" s="48" t="s">
        <v>453</v>
      </c>
      <c r="AE90" s="48" t="s">
        <v>454</v>
      </c>
      <c r="AF90" s="48" t="s">
        <v>359</v>
      </c>
      <c r="AG90" s="48" t="s">
        <v>455</v>
      </c>
      <c r="AH90" s="48" t="s">
        <v>456</v>
      </c>
    </row>
    <row r="91" spans="1:34" ht="15" thickBot="1" x14ac:dyDescent="0.35">
      <c r="A91" s="4" t="s">
        <v>370</v>
      </c>
      <c r="B91" s="4">
        <v>4</v>
      </c>
      <c r="C91" s="9">
        <v>2</v>
      </c>
      <c r="D91" s="10"/>
      <c r="E91" s="10"/>
      <c r="F91" s="10">
        <v>1</v>
      </c>
      <c r="G91" s="10" t="s">
        <v>372</v>
      </c>
      <c r="H91" s="8"/>
      <c r="I91" s="8"/>
      <c r="J91" s="2"/>
      <c r="K91" s="8" t="s">
        <v>365</v>
      </c>
      <c r="L91" s="8" t="s">
        <v>366</v>
      </c>
      <c r="M91" s="8"/>
      <c r="N91" s="8"/>
      <c r="O91" s="2"/>
      <c r="P91" s="92"/>
      <c r="Z91" s="5" t="s">
        <v>370</v>
      </c>
      <c r="AA91" s="5" t="s">
        <v>448</v>
      </c>
      <c r="AB91" s="5">
        <v>4</v>
      </c>
      <c r="AD91" s="48">
        <v>6</v>
      </c>
      <c r="AE91" s="48">
        <v>3</v>
      </c>
      <c r="AF91" s="48">
        <v>3</v>
      </c>
      <c r="AG91" s="48">
        <v>2</v>
      </c>
      <c r="AH91" s="48">
        <v>2</v>
      </c>
    </row>
    <row r="92" spans="1:34" ht="15" thickBot="1" x14ac:dyDescent="0.35">
      <c r="A92" s="4" t="s">
        <v>373</v>
      </c>
      <c r="B92" s="93">
        <v>3</v>
      </c>
      <c r="C92" s="95">
        <v>1</v>
      </c>
      <c r="D92" s="30" t="s">
        <v>278</v>
      </c>
      <c r="E92" s="30"/>
      <c r="F92" s="30">
        <v>1</v>
      </c>
      <c r="G92" s="10" t="s">
        <v>532</v>
      </c>
      <c r="H92" s="90"/>
      <c r="I92" s="90"/>
      <c r="J92" s="89"/>
      <c r="K92" s="90" t="s">
        <v>365</v>
      </c>
      <c r="L92" s="90"/>
      <c r="M92" s="90"/>
      <c r="N92" s="90"/>
      <c r="O92" s="89"/>
      <c r="P92" s="92"/>
      <c r="Z92" s="5" t="s">
        <v>276</v>
      </c>
      <c r="AA92" s="5" t="s">
        <v>544</v>
      </c>
      <c r="AB92" s="5">
        <v>3</v>
      </c>
      <c r="AD92" s="48"/>
      <c r="AE92" s="48">
        <v>1</v>
      </c>
      <c r="AF92" s="48">
        <v>2</v>
      </c>
      <c r="AG92" s="48">
        <v>2</v>
      </c>
      <c r="AH92" s="48">
        <v>2</v>
      </c>
    </row>
    <row r="93" spans="1:34" ht="15" thickBot="1" x14ac:dyDescent="0.35">
      <c r="A93" s="4" t="s">
        <v>671</v>
      </c>
      <c r="B93" s="4">
        <v>2</v>
      </c>
      <c r="C93" s="9">
        <v>1</v>
      </c>
      <c r="D93" s="10" t="s">
        <v>279</v>
      </c>
      <c r="E93" s="10"/>
      <c r="F93" s="10">
        <v>0</v>
      </c>
      <c r="G93" s="27"/>
      <c r="H93" s="8"/>
      <c r="I93" s="8"/>
      <c r="J93" s="2"/>
      <c r="K93" s="8" t="s">
        <v>365</v>
      </c>
      <c r="L93" s="8"/>
      <c r="M93" s="8"/>
      <c r="N93" s="8"/>
      <c r="O93" s="2"/>
      <c r="P93" s="92"/>
      <c r="Z93" s="5" t="s">
        <v>373</v>
      </c>
      <c r="AA93" s="5" t="s">
        <v>449</v>
      </c>
      <c r="AB93" s="5">
        <v>5</v>
      </c>
      <c r="AD93" s="48"/>
      <c r="AE93" s="48"/>
      <c r="AF93" s="48"/>
      <c r="AG93" s="5">
        <v>2</v>
      </c>
      <c r="AH93" s="48">
        <v>2</v>
      </c>
    </row>
    <row r="94" spans="1:34" ht="15" thickBot="1" x14ac:dyDescent="0.35">
      <c r="A94" s="93" t="s">
        <v>374</v>
      </c>
      <c r="B94" s="93">
        <v>5</v>
      </c>
      <c r="C94" s="95">
        <v>2</v>
      </c>
      <c r="D94" s="30"/>
      <c r="E94" s="30"/>
      <c r="F94" s="30">
        <v>2</v>
      </c>
      <c r="G94" s="10" t="s">
        <v>68</v>
      </c>
      <c r="H94" s="90" t="s">
        <v>69</v>
      </c>
      <c r="I94" s="90"/>
      <c r="J94" s="89"/>
      <c r="K94" s="90" t="s">
        <v>365</v>
      </c>
      <c r="L94" s="90"/>
      <c r="M94" s="90"/>
      <c r="N94" s="90"/>
      <c r="O94" s="89"/>
      <c r="P94" s="94"/>
      <c r="Z94" s="5" t="s">
        <v>374</v>
      </c>
      <c r="AA94" s="5" t="s">
        <v>449</v>
      </c>
      <c r="AB94" s="5">
        <v>5</v>
      </c>
    </row>
    <row r="95" spans="1:34" ht="15" thickBot="1" x14ac:dyDescent="0.35">
      <c r="A95" s="4" t="s">
        <v>375</v>
      </c>
      <c r="B95" s="4">
        <v>6</v>
      </c>
      <c r="C95" s="9">
        <v>1</v>
      </c>
      <c r="D95" s="10"/>
      <c r="E95" s="10"/>
      <c r="F95" s="10">
        <v>2</v>
      </c>
      <c r="G95" s="10" t="s">
        <v>378</v>
      </c>
      <c r="H95" s="8" t="s">
        <v>437</v>
      </c>
      <c r="I95" s="8"/>
      <c r="J95" s="2"/>
      <c r="K95" s="8" t="s">
        <v>365</v>
      </c>
      <c r="L95" s="8"/>
      <c r="M95" s="8"/>
      <c r="N95" s="8"/>
      <c r="O95" s="2"/>
      <c r="P95" s="92"/>
      <c r="Z95" s="5" t="s">
        <v>375</v>
      </c>
      <c r="AA95" s="5">
        <v>6</v>
      </c>
      <c r="AB95" s="5">
        <v>6</v>
      </c>
    </row>
    <row r="96" spans="1:34" ht="15" thickBot="1" x14ac:dyDescent="0.35">
      <c r="A96" s="93" t="s">
        <v>276</v>
      </c>
      <c r="B96" s="93">
        <v>3</v>
      </c>
      <c r="C96" s="95">
        <v>2</v>
      </c>
      <c r="D96" s="30"/>
      <c r="E96" s="30"/>
      <c r="F96" s="30">
        <v>1</v>
      </c>
      <c r="G96" s="60" t="s">
        <v>497</v>
      </c>
      <c r="H96" s="90"/>
      <c r="I96" s="90"/>
      <c r="J96" s="89"/>
      <c r="K96" s="90" t="s">
        <v>365</v>
      </c>
      <c r="L96" s="90" t="s">
        <v>366</v>
      </c>
      <c r="M96" s="90"/>
      <c r="N96" s="90"/>
      <c r="O96" s="89"/>
      <c r="P96" s="94"/>
      <c r="AA96" s="7" t="s">
        <v>545</v>
      </c>
      <c r="AB96" s="5">
        <f>SUM(AB90:AB95)</f>
        <v>27</v>
      </c>
    </row>
    <row r="97" spans="1:34" ht="15" thickBot="1" x14ac:dyDescent="0.35">
      <c r="A97" s="4" t="s">
        <v>276</v>
      </c>
      <c r="B97" s="4">
        <v>3</v>
      </c>
      <c r="C97" s="9">
        <v>2</v>
      </c>
      <c r="D97" s="10"/>
      <c r="E97" s="10"/>
      <c r="F97" s="10">
        <v>1</v>
      </c>
      <c r="G97" s="60" t="s">
        <v>497</v>
      </c>
      <c r="H97" s="8"/>
      <c r="I97" s="8"/>
      <c r="J97" s="2"/>
      <c r="K97" s="8" t="s">
        <v>367</v>
      </c>
      <c r="L97" s="8" t="s">
        <v>369</v>
      </c>
      <c r="M97" s="8"/>
      <c r="N97" s="8"/>
      <c r="O97" s="2"/>
      <c r="P97" s="92"/>
    </row>
    <row r="98" spans="1:34" ht="15" thickBot="1" x14ac:dyDescent="0.35">
      <c r="A98" s="93" t="s">
        <v>276</v>
      </c>
      <c r="B98" s="93">
        <v>3</v>
      </c>
      <c r="C98" s="95">
        <v>2</v>
      </c>
      <c r="D98" s="30"/>
      <c r="E98" s="30"/>
      <c r="F98" s="30">
        <v>1</v>
      </c>
      <c r="G98" s="60" t="s">
        <v>497</v>
      </c>
      <c r="H98" s="90"/>
      <c r="I98" s="90"/>
      <c r="J98" s="89"/>
      <c r="K98" s="90" t="s">
        <v>368</v>
      </c>
      <c r="L98" s="90"/>
      <c r="M98" s="90"/>
      <c r="N98" s="90"/>
      <c r="O98" s="89"/>
      <c r="P98" s="94"/>
    </row>
    <row r="99" spans="1:34" ht="15" thickBot="1" x14ac:dyDescent="0.35">
      <c r="A99" s="4" t="s">
        <v>376</v>
      </c>
      <c r="B99" s="4">
        <v>6</v>
      </c>
      <c r="C99" s="9">
        <v>2</v>
      </c>
      <c r="D99" s="10"/>
      <c r="E99" s="10"/>
      <c r="F99" s="10">
        <v>1</v>
      </c>
      <c r="G99" s="10" t="s">
        <v>42</v>
      </c>
      <c r="H99" s="8"/>
      <c r="I99" s="8"/>
      <c r="J99" s="2"/>
      <c r="K99" s="8" t="s">
        <v>367</v>
      </c>
      <c r="L99" s="8" t="s">
        <v>366</v>
      </c>
      <c r="M99" s="8"/>
      <c r="N99" s="8"/>
      <c r="O99" s="2"/>
      <c r="P99" s="92"/>
    </row>
    <row r="100" spans="1:34" ht="15" thickBot="1" x14ac:dyDescent="0.35">
      <c r="A100" s="93" t="s">
        <v>379</v>
      </c>
      <c r="B100" s="93">
        <v>4</v>
      </c>
      <c r="C100" s="95">
        <v>2</v>
      </c>
      <c r="D100" s="30"/>
      <c r="E100" s="30"/>
      <c r="F100" s="30">
        <v>0</v>
      </c>
      <c r="G100" s="27"/>
      <c r="H100" s="90"/>
      <c r="I100" s="90"/>
      <c r="J100" s="89"/>
      <c r="K100" s="90" t="s">
        <v>366</v>
      </c>
      <c r="L100" s="90"/>
      <c r="M100" s="90"/>
      <c r="N100" s="90"/>
      <c r="O100" s="89"/>
      <c r="P100" s="94"/>
      <c r="Z100" s="5" t="s">
        <v>366</v>
      </c>
    </row>
    <row r="101" spans="1:34" ht="15" thickBot="1" x14ac:dyDescent="0.35">
      <c r="A101" s="4" t="s">
        <v>425</v>
      </c>
      <c r="B101" s="4">
        <v>6</v>
      </c>
      <c r="C101" s="9">
        <v>2</v>
      </c>
      <c r="D101" s="10"/>
      <c r="E101" s="10"/>
      <c r="F101" s="10">
        <v>1</v>
      </c>
      <c r="G101" s="10" t="s">
        <v>73</v>
      </c>
      <c r="H101" s="8"/>
      <c r="I101" s="8"/>
      <c r="J101" s="2"/>
      <c r="K101" s="8" t="s">
        <v>366</v>
      </c>
      <c r="L101" s="8"/>
      <c r="M101" s="8"/>
      <c r="N101" s="8"/>
      <c r="O101" s="2"/>
      <c r="P101" s="92"/>
      <c r="Z101" s="5" t="s">
        <v>362</v>
      </c>
      <c r="AA101" s="5" t="s">
        <v>448</v>
      </c>
      <c r="AB101" s="5">
        <v>4</v>
      </c>
      <c r="AD101" s="48" t="s">
        <v>453</v>
      </c>
      <c r="AE101" s="48" t="s">
        <v>454</v>
      </c>
      <c r="AF101" s="48" t="s">
        <v>359</v>
      </c>
      <c r="AG101" s="48" t="s">
        <v>455</v>
      </c>
      <c r="AH101" s="48" t="s">
        <v>456</v>
      </c>
    </row>
    <row r="102" spans="1:34" ht="15" thickBot="1" x14ac:dyDescent="0.35">
      <c r="A102" s="93" t="s">
        <v>274</v>
      </c>
      <c r="B102" s="93">
        <v>5</v>
      </c>
      <c r="C102" s="95">
        <v>2</v>
      </c>
      <c r="D102" s="30"/>
      <c r="E102" s="30"/>
      <c r="F102" s="30">
        <v>1</v>
      </c>
      <c r="G102" s="30" t="s">
        <v>504</v>
      </c>
      <c r="H102" s="28" t="s">
        <v>518</v>
      </c>
      <c r="I102" s="90"/>
      <c r="J102" s="89"/>
      <c r="K102" s="90" t="s">
        <v>368</v>
      </c>
      <c r="L102" s="90"/>
      <c r="M102" s="90"/>
      <c r="N102" s="90"/>
      <c r="O102" s="89"/>
      <c r="P102" s="94"/>
      <c r="Z102" s="5" t="s">
        <v>370</v>
      </c>
      <c r="AA102" s="5" t="s">
        <v>448</v>
      </c>
      <c r="AB102" s="5">
        <v>4</v>
      </c>
      <c r="AD102" s="5">
        <v>3</v>
      </c>
      <c r="AE102" s="5">
        <v>3</v>
      </c>
      <c r="AF102" s="5">
        <v>3</v>
      </c>
      <c r="AG102" s="5">
        <v>3</v>
      </c>
      <c r="AH102" s="5">
        <v>2</v>
      </c>
    </row>
    <row r="103" spans="1:34" ht="15" thickBot="1" x14ac:dyDescent="0.35">
      <c r="A103" s="4" t="s">
        <v>274</v>
      </c>
      <c r="B103" s="4">
        <v>5</v>
      </c>
      <c r="C103" s="9">
        <v>2</v>
      </c>
      <c r="D103" s="10"/>
      <c r="E103" s="10"/>
      <c r="F103" s="10">
        <v>1</v>
      </c>
      <c r="G103" s="10" t="s">
        <v>504</v>
      </c>
      <c r="H103" s="28" t="s">
        <v>518</v>
      </c>
      <c r="I103" s="8"/>
      <c r="J103" s="2"/>
      <c r="K103" s="8" t="s">
        <v>369</v>
      </c>
      <c r="L103" s="8"/>
      <c r="M103" s="8"/>
      <c r="N103" s="8"/>
      <c r="O103" s="2"/>
      <c r="P103" s="92"/>
      <c r="Z103" s="5" t="s">
        <v>276</v>
      </c>
      <c r="AA103" s="5" t="s">
        <v>544</v>
      </c>
      <c r="AB103" s="5">
        <v>3</v>
      </c>
      <c r="AD103" s="5">
        <v>2</v>
      </c>
      <c r="AE103" s="5">
        <v>2</v>
      </c>
      <c r="AF103" s="5">
        <v>2</v>
      </c>
      <c r="AG103" s="5">
        <v>2</v>
      </c>
      <c r="AH103" s="5">
        <v>2</v>
      </c>
    </row>
    <row r="104" spans="1:34" ht="15" thickBot="1" x14ac:dyDescent="0.35">
      <c r="A104" s="93" t="s">
        <v>380</v>
      </c>
      <c r="B104" s="93">
        <v>5</v>
      </c>
      <c r="C104" s="95">
        <v>2</v>
      </c>
      <c r="D104" s="30"/>
      <c r="E104" s="30"/>
      <c r="F104" s="30">
        <v>1</v>
      </c>
      <c r="G104" s="30" t="s">
        <v>382</v>
      </c>
      <c r="H104" s="90" t="s">
        <v>384</v>
      </c>
      <c r="I104" s="90"/>
      <c r="J104" s="89"/>
      <c r="K104" s="90" t="s">
        <v>367</v>
      </c>
      <c r="L104" s="90" t="s">
        <v>369</v>
      </c>
      <c r="M104" s="90"/>
      <c r="N104" s="90"/>
      <c r="O104" s="89"/>
      <c r="P104" s="94"/>
      <c r="Z104" s="5" t="s">
        <v>376</v>
      </c>
      <c r="AA104" s="5" t="s">
        <v>451</v>
      </c>
      <c r="AB104" s="5">
        <v>6</v>
      </c>
      <c r="AD104" s="5">
        <v>1</v>
      </c>
      <c r="AH104" s="5">
        <v>2</v>
      </c>
    </row>
    <row r="105" spans="1:34" ht="15" thickBot="1" x14ac:dyDescent="0.35">
      <c r="A105" s="4" t="s">
        <v>380</v>
      </c>
      <c r="B105" s="4">
        <v>5</v>
      </c>
      <c r="C105" s="9">
        <v>2</v>
      </c>
      <c r="D105" s="10"/>
      <c r="E105" s="10"/>
      <c r="F105" s="10">
        <v>1</v>
      </c>
      <c r="G105" s="10" t="s">
        <v>382</v>
      </c>
      <c r="H105" s="8" t="s">
        <v>384</v>
      </c>
      <c r="I105" s="8"/>
      <c r="J105" s="2"/>
      <c r="K105" s="8" t="s">
        <v>368</v>
      </c>
      <c r="L105" s="8"/>
      <c r="M105" s="8"/>
      <c r="N105" s="8"/>
      <c r="O105" s="2"/>
      <c r="P105" s="92"/>
      <c r="Z105" s="5" t="s">
        <v>379</v>
      </c>
      <c r="AA105" s="5" t="s">
        <v>448</v>
      </c>
      <c r="AB105" s="5">
        <v>4</v>
      </c>
    </row>
    <row r="106" spans="1:34" ht="15" thickBot="1" x14ac:dyDescent="0.35">
      <c r="A106" s="93" t="s">
        <v>271</v>
      </c>
      <c r="B106" s="93">
        <v>4</v>
      </c>
      <c r="C106" s="95">
        <v>2</v>
      </c>
      <c r="D106" s="30"/>
      <c r="E106" s="30"/>
      <c r="F106" s="30">
        <v>1</v>
      </c>
      <c r="G106" s="30" t="s">
        <v>443</v>
      </c>
      <c r="H106" s="90"/>
      <c r="I106" s="90"/>
      <c r="J106" s="89"/>
      <c r="K106" s="90" t="s">
        <v>368</v>
      </c>
      <c r="L106" s="90"/>
      <c r="M106" s="90"/>
      <c r="N106" s="90"/>
      <c r="O106" s="89"/>
      <c r="P106" s="94"/>
      <c r="Z106" s="5" t="s">
        <v>425</v>
      </c>
      <c r="AA106" s="5" t="s">
        <v>451</v>
      </c>
      <c r="AB106" s="5">
        <v>6</v>
      </c>
    </row>
    <row r="107" spans="1:34" ht="15" thickBot="1" x14ac:dyDescent="0.35">
      <c r="A107" s="4" t="s">
        <v>271</v>
      </c>
      <c r="B107" s="4">
        <v>4</v>
      </c>
      <c r="C107" s="9">
        <v>2</v>
      </c>
      <c r="D107" s="10"/>
      <c r="E107" s="10"/>
      <c r="F107" s="27">
        <v>0</v>
      </c>
      <c r="G107" s="27"/>
      <c r="H107" s="8"/>
      <c r="I107" s="8"/>
      <c r="J107" s="2"/>
      <c r="K107" s="8" t="s">
        <v>369</v>
      </c>
      <c r="L107" s="8"/>
      <c r="M107" s="8"/>
      <c r="N107" s="8"/>
      <c r="O107" s="2"/>
      <c r="P107" s="92"/>
      <c r="AA107" s="5" t="s">
        <v>546</v>
      </c>
      <c r="AB107" s="5">
        <f>SUM(AB101:AB106)</f>
        <v>27</v>
      </c>
    </row>
    <row r="108" spans="1:34" ht="15" thickBot="1" x14ac:dyDescent="0.35">
      <c r="A108" s="93" t="s">
        <v>386</v>
      </c>
      <c r="B108" s="93">
        <v>4</v>
      </c>
      <c r="C108" s="95">
        <v>2</v>
      </c>
      <c r="D108" s="30"/>
      <c r="E108" s="30"/>
      <c r="F108" s="30">
        <v>1</v>
      </c>
      <c r="G108" s="30" t="s">
        <v>67</v>
      </c>
      <c r="H108" s="90" t="s">
        <v>388</v>
      </c>
      <c r="I108" s="90"/>
      <c r="J108" s="89"/>
      <c r="K108" s="90" t="s">
        <v>367</v>
      </c>
      <c r="L108" s="90" t="s">
        <v>369</v>
      </c>
      <c r="M108" s="90"/>
      <c r="N108" s="90"/>
      <c r="O108" s="89"/>
      <c r="P108" s="94"/>
    </row>
    <row r="109" spans="1:34" ht="15" thickBot="1" x14ac:dyDescent="0.35">
      <c r="A109" s="4" t="s">
        <v>386</v>
      </c>
      <c r="B109" s="4">
        <v>4</v>
      </c>
      <c r="C109" s="9">
        <v>2</v>
      </c>
      <c r="D109" s="10"/>
      <c r="E109" s="10"/>
      <c r="F109" s="10">
        <v>1</v>
      </c>
      <c r="G109" s="10" t="s">
        <v>67</v>
      </c>
      <c r="H109" s="8" t="s">
        <v>388</v>
      </c>
      <c r="I109" s="8"/>
      <c r="J109" s="2"/>
      <c r="K109" s="8" t="s">
        <v>368</v>
      </c>
      <c r="L109" s="8"/>
      <c r="M109" s="8"/>
      <c r="N109" s="8"/>
      <c r="O109" s="2"/>
      <c r="P109" s="92"/>
    </row>
    <row r="110" spans="1:34" ht="15" thickBot="1" x14ac:dyDescent="0.35">
      <c r="A110" s="93" t="s">
        <v>385</v>
      </c>
      <c r="B110" s="93">
        <v>5</v>
      </c>
      <c r="C110" s="95">
        <v>2</v>
      </c>
      <c r="D110" s="30"/>
      <c r="E110" s="30"/>
      <c r="F110" s="30">
        <v>3</v>
      </c>
      <c r="G110" s="30" t="s">
        <v>74</v>
      </c>
      <c r="H110" s="90" t="s">
        <v>64</v>
      </c>
      <c r="I110" s="90" t="s">
        <v>80</v>
      </c>
      <c r="J110" s="89"/>
      <c r="K110" s="90" t="s">
        <v>367</v>
      </c>
      <c r="L110" s="90"/>
      <c r="M110" s="90"/>
      <c r="N110" s="90"/>
      <c r="O110" s="89"/>
      <c r="P110" s="94"/>
    </row>
    <row r="111" spans="1:34" s="42" customFormat="1" ht="15" thickBot="1" x14ac:dyDescent="0.35">
      <c r="A111" s="36"/>
      <c r="B111" s="36"/>
      <c r="C111" s="37"/>
      <c r="D111" s="38"/>
      <c r="E111" s="38"/>
      <c r="F111" s="38"/>
      <c r="G111" s="38"/>
      <c r="H111" s="40"/>
      <c r="I111" s="40"/>
      <c r="J111" s="41"/>
      <c r="K111" s="40"/>
      <c r="L111" s="40"/>
      <c r="M111" s="40"/>
      <c r="N111" s="40"/>
      <c r="O111" s="41"/>
      <c r="P111" s="96"/>
    </row>
    <row r="112" spans="1:34" ht="15" thickBot="1" x14ac:dyDescent="0.35">
      <c r="A112" s="93" t="s">
        <v>262</v>
      </c>
      <c r="B112" s="93">
        <v>3</v>
      </c>
      <c r="C112" s="95">
        <v>2</v>
      </c>
      <c r="D112" s="30"/>
      <c r="E112" s="30"/>
      <c r="F112" s="30">
        <v>1</v>
      </c>
      <c r="G112" s="60" t="s">
        <v>507</v>
      </c>
      <c r="H112" s="68" t="s">
        <v>509</v>
      </c>
      <c r="I112" s="90"/>
      <c r="J112" s="89"/>
      <c r="K112" s="90" t="s">
        <v>389</v>
      </c>
      <c r="L112" s="90" t="s">
        <v>390</v>
      </c>
      <c r="M112" s="90" t="s">
        <v>391</v>
      </c>
      <c r="N112" s="90"/>
      <c r="O112" s="89"/>
      <c r="P112" s="94"/>
    </row>
    <row r="113" spans="1:16" ht="15" thickBot="1" x14ac:dyDescent="0.35">
      <c r="A113" s="4" t="s">
        <v>262</v>
      </c>
      <c r="B113" s="4">
        <v>3</v>
      </c>
      <c r="C113" s="9">
        <v>2</v>
      </c>
      <c r="D113" s="10"/>
      <c r="E113" s="10"/>
      <c r="F113" s="10">
        <v>1</v>
      </c>
      <c r="G113" s="60" t="s">
        <v>507</v>
      </c>
      <c r="H113" s="68" t="s">
        <v>509</v>
      </c>
      <c r="I113" s="8"/>
      <c r="J113" s="2"/>
      <c r="K113" s="8" t="s">
        <v>392</v>
      </c>
      <c r="L113" s="8" t="s">
        <v>393</v>
      </c>
      <c r="M113" s="8"/>
      <c r="N113" s="8"/>
      <c r="O113" s="2"/>
      <c r="P113" s="92"/>
    </row>
    <row r="114" spans="1:16" ht="15" thickBot="1" x14ac:dyDescent="0.35">
      <c r="A114" s="93" t="s">
        <v>394</v>
      </c>
      <c r="B114" s="93">
        <v>4</v>
      </c>
      <c r="C114" s="95">
        <v>2</v>
      </c>
      <c r="D114" s="30" t="s">
        <v>278</v>
      </c>
      <c r="E114" s="30"/>
      <c r="F114" s="30">
        <v>1</v>
      </c>
      <c r="G114" s="30" t="s">
        <v>70</v>
      </c>
      <c r="H114" s="90"/>
      <c r="I114" s="90"/>
      <c r="J114" s="89"/>
      <c r="K114" s="90" t="s">
        <v>389</v>
      </c>
      <c r="L114" s="90"/>
      <c r="M114" s="90"/>
      <c r="N114" s="90"/>
      <c r="O114" s="89"/>
      <c r="P114" s="92"/>
    </row>
    <row r="115" spans="1:16" ht="15" thickBot="1" x14ac:dyDescent="0.35">
      <c r="A115" s="4" t="s">
        <v>672</v>
      </c>
      <c r="B115" s="4">
        <v>2</v>
      </c>
      <c r="C115" s="9">
        <v>1</v>
      </c>
      <c r="D115" s="10" t="s">
        <v>279</v>
      </c>
      <c r="E115" s="10"/>
      <c r="F115" s="10">
        <v>2</v>
      </c>
      <c r="G115" s="10" t="s">
        <v>71</v>
      </c>
      <c r="H115" s="8" t="s">
        <v>70</v>
      </c>
      <c r="I115" s="8"/>
      <c r="J115" s="2"/>
      <c r="K115" s="8" t="s">
        <v>389</v>
      </c>
      <c r="L115" s="8"/>
      <c r="M115" s="8"/>
      <c r="N115" s="8"/>
      <c r="O115" s="2"/>
      <c r="P115" s="92"/>
    </row>
    <row r="116" spans="1:16" ht="15" thickBot="1" x14ac:dyDescent="0.35">
      <c r="A116" s="93" t="s">
        <v>530</v>
      </c>
      <c r="B116" s="93">
        <v>4</v>
      </c>
      <c r="C116" s="95">
        <v>2</v>
      </c>
      <c r="D116" s="30"/>
      <c r="E116" s="30"/>
      <c r="F116" s="30">
        <v>2</v>
      </c>
      <c r="G116" s="30" t="s">
        <v>397</v>
      </c>
      <c r="H116" s="90" t="s">
        <v>688</v>
      </c>
      <c r="I116" s="90"/>
      <c r="J116" s="89"/>
      <c r="K116" s="90" t="s">
        <v>389</v>
      </c>
      <c r="L116" s="90" t="s">
        <v>390</v>
      </c>
      <c r="M116" s="90" t="s">
        <v>391</v>
      </c>
      <c r="N116" s="90"/>
      <c r="O116" s="89"/>
      <c r="P116" s="92" t="s">
        <v>702</v>
      </c>
    </row>
    <row r="117" spans="1:16" ht="15" thickBot="1" x14ac:dyDescent="0.35">
      <c r="A117" s="4" t="s">
        <v>530</v>
      </c>
      <c r="B117" s="4">
        <v>4</v>
      </c>
      <c r="C117" s="9">
        <v>2</v>
      </c>
      <c r="D117" s="10"/>
      <c r="E117" s="10"/>
      <c r="F117" s="10">
        <v>2</v>
      </c>
      <c r="G117" s="10" t="s">
        <v>397</v>
      </c>
      <c r="H117" s="8" t="s">
        <v>688</v>
      </c>
      <c r="I117" s="8"/>
      <c r="J117" s="2"/>
      <c r="K117" s="8" t="s">
        <v>392</v>
      </c>
      <c r="L117" s="8" t="s">
        <v>393</v>
      </c>
      <c r="M117" s="8"/>
      <c r="N117" s="8"/>
      <c r="O117" s="2"/>
      <c r="P117" s="92" t="s">
        <v>702</v>
      </c>
    </row>
    <row r="118" spans="1:16" ht="15" thickBot="1" x14ac:dyDescent="0.35">
      <c r="A118" s="93" t="s">
        <v>395</v>
      </c>
      <c r="B118" s="93">
        <v>3</v>
      </c>
      <c r="C118" s="93">
        <v>1</v>
      </c>
      <c r="D118" s="95"/>
      <c r="E118" s="30"/>
      <c r="F118" s="30">
        <v>1</v>
      </c>
      <c r="G118" s="30" t="s">
        <v>474</v>
      </c>
      <c r="H118" s="90" t="s">
        <v>529</v>
      </c>
      <c r="I118" s="90"/>
      <c r="J118" s="89"/>
      <c r="K118" s="90" t="s">
        <v>389</v>
      </c>
      <c r="L118" s="90"/>
      <c r="M118" s="90"/>
      <c r="N118" s="90"/>
      <c r="O118" s="89"/>
      <c r="P118" s="92" t="s">
        <v>659</v>
      </c>
    </row>
    <row r="119" spans="1:16" ht="15" thickBot="1" x14ac:dyDescent="0.35">
      <c r="A119" s="4" t="s">
        <v>395</v>
      </c>
      <c r="B119" s="4">
        <v>3</v>
      </c>
      <c r="C119" s="4">
        <v>1</v>
      </c>
      <c r="D119" s="9"/>
      <c r="E119" s="10"/>
      <c r="F119" s="10">
        <v>1</v>
      </c>
      <c r="G119" s="10" t="s">
        <v>474</v>
      </c>
      <c r="H119" s="8" t="s">
        <v>529</v>
      </c>
      <c r="I119" s="8"/>
      <c r="J119" s="2"/>
      <c r="K119" s="8" t="s">
        <v>389</v>
      </c>
      <c r="L119" s="8"/>
      <c r="M119" s="8"/>
      <c r="N119" s="8"/>
      <c r="O119" s="2"/>
      <c r="P119" s="92" t="s">
        <v>659</v>
      </c>
    </row>
    <row r="120" spans="1:16" ht="15" thickBot="1" x14ac:dyDescent="0.35">
      <c r="A120" s="93" t="s">
        <v>398</v>
      </c>
      <c r="B120" s="93">
        <v>5</v>
      </c>
      <c r="C120" s="95">
        <v>2</v>
      </c>
      <c r="D120" s="30"/>
      <c r="E120" s="30"/>
      <c r="F120" s="30">
        <v>1</v>
      </c>
      <c r="G120" s="30" t="s">
        <v>181</v>
      </c>
      <c r="H120" s="90"/>
      <c r="I120" s="90"/>
      <c r="J120" s="89"/>
      <c r="K120" s="90" t="s">
        <v>390</v>
      </c>
      <c r="L120" s="90"/>
      <c r="M120" s="90"/>
      <c r="N120" s="90"/>
      <c r="O120" s="89"/>
      <c r="P120" s="92"/>
    </row>
    <row r="121" spans="1:16" ht="15" thickBot="1" x14ac:dyDescent="0.35">
      <c r="A121" s="4" t="s">
        <v>401</v>
      </c>
      <c r="B121" s="4">
        <v>5</v>
      </c>
      <c r="C121" s="9">
        <v>2</v>
      </c>
      <c r="D121" s="10"/>
      <c r="E121" s="10"/>
      <c r="F121" s="10">
        <v>2</v>
      </c>
      <c r="G121" s="10" t="s">
        <v>403</v>
      </c>
      <c r="H121" s="8" t="s">
        <v>404</v>
      </c>
      <c r="I121" s="8"/>
      <c r="J121" s="2"/>
      <c r="K121" s="8" t="s">
        <v>390</v>
      </c>
      <c r="L121" s="8"/>
      <c r="M121" s="8"/>
      <c r="N121" s="8"/>
      <c r="O121" s="2"/>
      <c r="P121" s="92"/>
    </row>
    <row r="122" spans="1:16" ht="15" thickBot="1" x14ac:dyDescent="0.35">
      <c r="A122" s="93" t="s">
        <v>666</v>
      </c>
      <c r="B122" s="93">
        <v>4</v>
      </c>
      <c r="C122" s="95">
        <v>1</v>
      </c>
      <c r="D122" s="30"/>
      <c r="E122" s="30"/>
      <c r="F122" s="30">
        <v>1</v>
      </c>
      <c r="G122" s="30" t="s">
        <v>408</v>
      </c>
      <c r="H122" s="90"/>
      <c r="I122" s="90"/>
      <c r="J122" s="89"/>
      <c r="K122" s="90" t="s">
        <v>390</v>
      </c>
      <c r="L122" s="90"/>
      <c r="M122" s="90"/>
      <c r="N122" s="90"/>
      <c r="O122" s="89"/>
      <c r="P122" s="92"/>
    </row>
    <row r="123" spans="1:16" ht="15" thickBot="1" x14ac:dyDescent="0.35">
      <c r="A123" s="4" t="s">
        <v>410</v>
      </c>
      <c r="B123" s="4">
        <v>4</v>
      </c>
      <c r="C123" s="9">
        <v>2</v>
      </c>
      <c r="D123" s="10"/>
      <c r="E123" s="10"/>
      <c r="F123" s="10">
        <v>1</v>
      </c>
      <c r="G123" s="10" t="s">
        <v>490</v>
      </c>
      <c r="H123" s="8" t="s">
        <v>674</v>
      </c>
      <c r="I123" s="8"/>
      <c r="J123" s="2"/>
      <c r="K123" s="28" t="s">
        <v>392</v>
      </c>
      <c r="L123" s="28" t="s">
        <v>393</v>
      </c>
      <c r="M123" s="8"/>
      <c r="N123" s="8"/>
      <c r="O123" s="2"/>
      <c r="P123" s="92"/>
    </row>
    <row r="124" spans="1:16" ht="15" thickBot="1" x14ac:dyDescent="0.35">
      <c r="A124" s="93" t="s">
        <v>411</v>
      </c>
      <c r="B124" s="93">
        <v>4</v>
      </c>
      <c r="C124" s="95">
        <v>2</v>
      </c>
      <c r="D124" s="30"/>
      <c r="E124" s="30"/>
      <c r="F124" s="30">
        <v>1</v>
      </c>
      <c r="G124" s="30" t="s">
        <v>65</v>
      </c>
      <c r="H124" s="90"/>
      <c r="I124" s="90"/>
      <c r="J124" s="89"/>
      <c r="K124" s="90" t="s">
        <v>392</v>
      </c>
      <c r="L124" s="90" t="s">
        <v>393</v>
      </c>
      <c r="M124" s="90"/>
      <c r="N124" s="90"/>
      <c r="O124" s="89"/>
      <c r="P124" s="92"/>
    </row>
    <row r="125" spans="1:16" ht="15" thickBot="1" x14ac:dyDescent="0.35">
      <c r="A125" s="4" t="s">
        <v>412</v>
      </c>
      <c r="B125" s="4">
        <v>4</v>
      </c>
      <c r="C125" s="9">
        <v>2</v>
      </c>
      <c r="D125" s="10"/>
      <c r="E125" s="10"/>
      <c r="F125" s="27">
        <v>0</v>
      </c>
      <c r="G125" s="27"/>
      <c r="H125" s="8"/>
      <c r="I125" s="8"/>
      <c r="J125" s="2"/>
      <c r="K125" s="8" t="s">
        <v>392</v>
      </c>
      <c r="L125" s="8" t="s">
        <v>393</v>
      </c>
      <c r="M125" s="8"/>
      <c r="N125" s="8"/>
      <c r="O125" s="2"/>
      <c r="P125" s="92"/>
    </row>
    <row r="126" spans="1:16" ht="15" thickBot="1" x14ac:dyDescent="0.35">
      <c r="A126" s="93" t="s">
        <v>268</v>
      </c>
      <c r="B126" s="93">
        <v>2</v>
      </c>
      <c r="C126" s="95">
        <v>1</v>
      </c>
      <c r="D126" s="30"/>
      <c r="E126" s="30" t="s">
        <v>237</v>
      </c>
      <c r="F126" s="30">
        <v>1</v>
      </c>
      <c r="G126" s="30" t="s">
        <v>270</v>
      </c>
      <c r="H126" s="90"/>
      <c r="I126" s="90"/>
      <c r="J126" s="89"/>
      <c r="K126" s="90" t="s">
        <v>263</v>
      </c>
      <c r="L126" s="90" t="s">
        <v>494</v>
      </c>
      <c r="M126" s="90"/>
      <c r="N126" s="90"/>
      <c r="O126" s="89"/>
      <c r="P126" s="94" t="s">
        <v>695</v>
      </c>
    </row>
    <row r="127" spans="1:16" ht="15" thickBot="1" x14ac:dyDescent="0.35">
      <c r="A127" s="4" t="s">
        <v>268</v>
      </c>
      <c r="B127" s="4">
        <v>2</v>
      </c>
      <c r="C127" s="9">
        <v>1</v>
      </c>
      <c r="D127" s="10"/>
      <c r="E127" s="10" t="s">
        <v>237</v>
      </c>
      <c r="F127" s="10">
        <v>1</v>
      </c>
      <c r="G127" s="10" t="s">
        <v>270</v>
      </c>
      <c r="H127" s="8"/>
      <c r="I127" s="8"/>
      <c r="J127" s="2"/>
      <c r="K127" s="8" t="s">
        <v>392</v>
      </c>
      <c r="L127" s="8" t="s">
        <v>393</v>
      </c>
      <c r="M127" s="8" t="s">
        <v>493</v>
      </c>
      <c r="N127" s="8"/>
      <c r="O127" s="2"/>
      <c r="P127" s="92" t="s">
        <v>696</v>
      </c>
    </row>
    <row r="128" spans="1:16" ht="15" thickBot="1" x14ac:dyDescent="0.35">
      <c r="A128" s="93" t="s">
        <v>413</v>
      </c>
      <c r="B128" s="93">
        <v>4</v>
      </c>
      <c r="C128" s="95">
        <v>1</v>
      </c>
      <c r="D128" s="30"/>
      <c r="E128" s="30"/>
      <c r="F128" s="30">
        <v>3</v>
      </c>
      <c r="G128" s="30" t="s">
        <v>415</v>
      </c>
      <c r="H128" s="90" t="s">
        <v>417</v>
      </c>
      <c r="I128" s="90" t="s">
        <v>418</v>
      </c>
      <c r="J128" s="89"/>
      <c r="K128" s="90" t="s">
        <v>391</v>
      </c>
      <c r="L128" s="90" t="s">
        <v>392</v>
      </c>
      <c r="M128" s="90" t="s">
        <v>393</v>
      </c>
      <c r="N128" s="90"/>
      <c r="O128" s="89"/>
      <c r="P128" s="94"/>
    </row>
    <row r="129" spans="1:32" ht="15" thickBot="1" x14ac:dyDescent="0.35">
      <c r="A129" s="4" t="s">
        <v>419</v>
      </c>
      <c r="B129" s="4">
        <v>5</v>
      </c>
      <c r="C129" s="9">
        <v>2</v>
      </c>
      <c r="D129" s="10"/>
      <c r="E129" s="10"/>
      <c r="F129" s="10">
        <v>1</v>
      </c>
      <c r="G129" s="10" t="s">
        <v>421</v>
      </c>
      <c r="H129" s="8"/>
      <c r="I129" s="8"/>
      <c r="J129" s="2"/>
      <c r="K129" s="8" t="s">
        <v>391</v>
      </c>
      <c r="L129" s="8"/>
      <c r="M129" s="8"/>
      <c r="N129" s="8"/>
      <c r="O129" s="2"/>
      <c r="P129" s="92"/>
    </row>
    <row r="130" spans="1:32" ht="15" thickBot="1" x14ac:dyDescent="0.35">
      <c r="A130" s="93" t="s">
        <v>422</v>
      </c>
      <c r="B130" s="93">
        <v>5</v>
      </c>
      <c r="C130" s="95">
        <v>2</v>
      </c>
      <c r="D130" s="30"/>
      <c r="E130" s="30"/>
      <c r="F130" s="30">
        <v>1</v>
      </c>
      <c r="G130" s="30" t="s">
        <v>44</v>
      </c>
      <c r="H130" s="90"/>
      <c r="I130" s="90"/>
      <c r="J130" s="89"/>
      <c r="K130" s="90" t="s">
        <v>391</v>
      </c>
      <c r="L130" s="90"/>
      <c r="M130" s="90"/>
      <c r="N130" s="90"/>
      <c r="O130" s="89"/>
      <c r="P130" s="94"/>
    </row>
    <row r="131" spans="1:32" s="42" customFormat="1" ht="15" thickBot="1" x14ac:dyDescent="0.35">
      <c r="A131" s="36"/>
      <c r="B131" s="36"/>
      <c r="C131" s="37"/>
      <c r="D131" s="38"/>
      <c r="E131" s="38"/>
      <c r="F131" s="38"/>
      <c r="G131" s="38"/>
      <c r="H131" s="40"/>
      <c r="I131" s="40"/>
      <c r="J131" s="41"/>
      <c r="K131" s="40"/>
      <c r="L131" s="40"/>
      <c r="M131" s="40"/>
      <c r="N131" s="40"/>
      <c r="O131" s="41"/>
      <c r="P131" s="96"/>
    </row>
    <row r="132" spans="1:32" ht="15" thickBot="1" x14ac:dyDescent="0.35">
      <c r="A132" s="93" t="s">
        <v>462</v>
      </c>
      <c r="B132" s="4">
        <v>2</v>
      </c>
      <c r="C132" s="9">
        <v>1</v>
      </c>
      <c r="D132" s="30"/>
      <c r="E132" s="30"/>
      <c r="F132" s="30">
        <v>1</v>
      </c>
      <c r="G132" s="30" t="s">
        <v>472</v>
      </c>
      <c r="H132" s="90"/>
      <c r="I132" s="90"/>
      <c r="J132" s="89"/>
      <c r="K132" s="90" t="s">
        <v>491</v>
      </c>
      <c r="L132" s="90"/>
      <c r="M132" s="90"/>
      <c r="N132" s="90"/>
      <c r="O132" s="89"/>
      <c r="P132" s="94" t="s">
        <v>662</v>
      </c>
    </row>
    <row r="133" spans="1:32" ht="15" thickBot="1" x14ac:dyDescent="0.35">
      <c r="A133" s="4" t="s">
        <v>462</v>
      </c>
      <c r="B133" s="4">
        <v>2</v>
      </c>
      <c r="C133" s="9">
        <v>1</v>
      </c>
      <c r="D133" s="10"/>
      <c r="E133" s="10"/>
      <c r="F133" s="10">
        <v>1</v>
      </c>
      <c r="G133" s="10" t="s">
        <v>472</v>
      </c>
      <c r="H133" s="8"/>
      <c r="I133" s="8"/>
      <c r="J133" s="2"/>
      <c r="K133" s="8" t="s">
        <v>491</v>
      </c>
      <c r="L133" s="8"/>
      <c r="M133" s="8"/>
      <c r="N133" s="8"/>
      <c r="O133" s="2"/>
      <c r="P133" s="92" t="s">
        <v>662</v>
      </c>
    </row>
    <row r="134" spans="1:32" ht="15" thickBot="1" x14ac:dyDescent="0.35">
      <c r="A134" s="93" t="s">
        <v>463</v>
      </c>
      <c r="B134" s="93">
        <v>4</v>
      </c>
      <c r="C134" s="95">
        <v>2</v>
      </c>
      <c r="D134" s="30"/>
      <c r="E134" s="30"/>
      <c r="F134" s="30">
        <v>2</v>
      </c>
      <c r="G134" s="30" t="s">
        <v>474</v>
      </c>
      <c r="H134" s="90" t="s">
        <v>704</v>
      </c>
      <c r="I134" s="90"/>
      <c r="J134" s="89"/>
      <c r="K134" s="90" t="s">
        <v>491</v>
      </c>
      <c r="L134" s="90"/>
      <c r="M134" s="90"/>
      <c r="N134" s="90"/>
      <c r="O134" s="89"/>
      <c r="P134" s="94"/>
      <c r="S134" s="5" t="s">
        <v>493</v>
      </c>
      <c r="V134" s="86"/>
      <c r="W134" s="86" t="s">
        <v>683</v>
      </c>
      <c r="X134" s="86"/>
      <c r="Y134" s="86" t="s">
        <v>683</v>
      </c>
      <c r="Z134" s="86"/>
    </row>
    <row r="135" spans="1:32" ht="15" thickBot="1" x14ac:dyDescent="0.35">
      <c r="A135" s="4" t="s">
        <v>464</v>
      </c>
      <c r="B135" s="4">
        <v>3</v>
      </c>
      <c r="C135" s="9">
        <v>1</v>
      </c>
      <c r="D135" s="10"/>
      <c r="E135" s="10"/>
      <c r="F135" s="10">
        <v>1</v>
      </c>
      <c r="G135" s="10" t="s">
        <v>476</v>
      </c>
      <c r="H135" s="8" t="s">
        <v>478</v>
      </c>
      <c r="I135" s="8"/>
      <c r="J135" s="2"/>
      <c r="K135" s="8" t="s">
        <v>491</v>
      </c>
      <c r="L135" s="8" t="s">
        <v>492</v>
      </c>
      <c r="M135" s="8"/>
      <c r="N135" s="8"/>
      <c r="O135" s="2"/>
      <c r="P135" s="92"/>
      <c r="R135" s="80"/>
      <c r="S135" s="5" t="s">
        <v>464</v>
      </c>
      <c r="T135" s="5">
        <v>3</v>
      </c>
      <c r="V135" s="86"/>
      <c r="W135" s="86" t="s">
        <v>683</v>
      </c>
      <c r="X135" s="86"/>
      <c r="Y135" s="86" t="s">
        <v>683</v>
      </c>
      <c r="Z135" s="86"/>
    </row>
    <row r="136" spans="1:32" ht="15" thickBot="1" x14ac:dyDescent="0.35">
      <c r="A136" s="93" t="s">
        <v>464</v>
      </c>
      <c r="B136" s="93">
        <v>3</v>
      </c>
      <c r="C136" s="95">
        <v>1</v>
      </c>
      <c r="D136" s="30"/>
      <c r="E136" s="30"/>
      <c r="F136" s="30">
        <v>1</v>
      </c>
      <c r="G136" s="30" t="s">
        <v>476</v>
      </c>
      <c r="H136" s="90" t="s">
        <v>478</v>
      </c>
      <c r="I136" s="90"/>
      <c r="J136" s="89"/>
      <c r="K136" s="90" t="s">
        <v>493</v>
      </c>
      <c r="L136" s="90" t="s">
        <v>494</v>
      </c>
      <c r="M136" s="90"/>
      <c r="N136" s="90"/>
      <c r="O136" s="89"/>
      <c r="P136" s="94"/>
      <c r="S136" s="5" t="s">
        <v>469</v>
      </c>
      <c r="T136" s="5" t="s">
        <v>448</v>
      </c>
      <c r="V136" s="86" t="s">
        <v>685</v>
      </c>
      <c r="W136" s="86" t="s">
        <v>683</v>
      </c>
      <c r="X136" s="86"/>
      <c r="Y136" s="86" t="s">
        <v>683</v>
      </c>
      <c r="Z136" s="86"/>
      <c r="AB136" s="55">
        <v>2</v>
      </c>
      <c r="AC136" s="55">
        <v>0</v>
      </c>
      <c r="AD136" s="55">
        <v>0</v>
      </c>
      <c r="AE136" s="55">
        <v>2</v>
      </c>
      <c r="AF136" s="55">
        <v>0</v>
      </c>
    </row>
    <row r="137" spans="1:32" ht="15" thickBot="1" x14ac:dyDescent="0.35">
      <c r="A137" s="4" t="s">
        <v>465</v>
      </c>
      <c r="B137" s="4">
        <v>5</v>
      </c>
      <c r="C137" s="9">
        <v>2</v>
      </c>
      <c r="D137" s="10"/>
      <c r="E137" s="10"/>
      <c r="F137" s="10">
        <v>1</v>
      </c>
      <c r="G137" s="10" t="s">
        <v>480</v>
      </c>
      <c r="H137" s="8"/>
      <c r="I137" s="8"/>
      <c r="J137" s="2"/>
      <c r="K137" s="8" t="s">
        <v>491</v>
      </c>
      <c r="L137" s="8"/>
      <c r="M137" s="8"/>
      <c r="N137" s="8"/>
      <c r="O137" s="2"/>
      <c r="P137" s="92"/>
      <c r="S137" s="5" t="s">
        <v>470</v>
      </c>
      <c r="T137" s="5">
        <v>4</v>
      </c>
      <c r="V137" s="87" t="s">
        <v>685</v>
      </c>
      <c r="W137" s="87" t="s">
        <v>683</v>
      </c>
      <c r="X137" s="87" t="s">
        <v>685</v>
      </c>
      <c r="Y137" s="87" t="s">
        <v>683</v>
      </c>
      <c r="Z137" s="87"/>
      <c r="AB137" s="56">
        <v>1</v>
      </c>
      <c r="AC137" s="56">
        <v>1</v>
      </c>
      <c r="AD137" s="56">
        <v>1</v>
      </c>
      <c r="AE137" s="56">
        <v>1</v>
      </c>
      <c r="AF137" s="56">
        <v>0</v>
      </c>
    </row>
    <row r="138" spans="1:32" ht="15" thickBot="1" x14ac:dyDescent="0.35">
      <c r="A138" s="93" t="s">
        <v>466</v>
      </c>
      <c r="B138" s="93">
        <v>4</v>
      </c>
      <c r="C138" s="95">
        <v>2</v>
      </c>
      <c r="D138" s="30"/>
      <c r="E138" s="30"/>
      <c r="F138" s="30">
        <v>1</v>
      </c>
      <c r="G138" s="30" t="s">
        <v>482</v>
      </c>
      <c r="H138" s="90"/>
      <c r="I138" s="90"/>
      <c r="J138" s="89"/>
      <c r="K138" s="90" t="s">
        <v>492</v>
      </c>
      <c r="L138" s="90"/>
      <c r="M138" s="90"/>
      <c r="N138" s="90"/>
      <c r="O138" s="89"/>
      <c r="P138" s="94"/>
      <c r="V138" s="87" t="s">
        <v>684</v>
      </c>
      <c r="W138" s="87" t="s">
        <v>683</v>
      </c>
      <c r="X138" s="87" t="s">
        <v>685</v>
      </c>
      <c r="Y138" s="87" t="s">
        <v>683</v>
      </c>
      <c r="Z138" s="87"/>
      <c r="AB138" s="56">
        <v>1</v>
      </c>
      <c r="AC138" s="56">
        <v>1</v>
      </c>
      <c r="AD138" s="56">
        <v>1</v>
      </c>
      <c r="AE138" s="56">
        <v>1</v>
      </c>
      <c r="AF138" s="56">
        <v>0</v>
      </c>
    </row>
    <row r="139" spans="1:32" ht="15" thickBot="1" x14ac:dyDescent="0.35">
      <c r="A139" s="4" t="s">
        <v>467</v>
      </c>
      <c r="B139" s="4">
        <v>5</v>
      </c>
      <c r="C139" s="9">
        <v>2</v>
      </c>
      <c r="D139" s="10"/>
      <c r="E139" s="10"/>
      <c r="F139" s="10">
        <v>2</v>
      </c>
      <c r="G139" s="10" t="s">
        <v>484</v>
      </c>
      <c r="H139" s="8" t="s">
        <v>661</v>
      </c>
      <c r="I139" s="8"/>
      <c r="J139" s="2"/>
      <c r="K139" s="8" t="s">
        <v>492</v>
      </c>
      <c r="L139" s="8"/>
      <c r="M139" s="8"/>
      <c r="N139" s="8"/>
      <c r="O139" s="2"/>
      <c r="P139" s="92"/>
      <c r="V139" s="87" t="s">
        <v>684</v>
      </c>
      <c r="W139" s="87" t="s">
        <v>683</v>
      </c>
      <c r="X139" s="87"/>
      <c r="Y139" s="87" t="s">
        <v>683</v>
      </c>
      <c r="Z139" s="87"/>
      <c r="AB139" s="56">
        <v>3</v>
      </c>
      <c r="AC139" s="56">
        <v>3</v>
      </c>
      <c r="AD139" s="56">
        <v>3</v>
      </c>
      <c r="AE139" s="56">
        <v>3</v>
      </c>
      <c r="AF139" s="56">
        <v>0</v>
      </c>
    </row>
    <row r="140" spans="1:32" ht="15" thickBot="1" x14ac:dyDescent="0.35">
      <c r="A140" s="93" t="s">
        <v>468</v>
      </c>
      <c r="B140" s="93">
        <v>5</v>
      </c>
      <c r="C140" s="95">
        <v>2</v>
      </c>
      <c r="D140" s="30"/>
      <c r="E140" s="30"/>
      <c r="F140" s="30">
        <v>1</v>
      </c>
      <c r="G140" s="30" t="s">
        <v>486</v>
      </c>
      <c r="H140" s="90"/>
      <c r="I140" s="90"/>
      <c r="J140" s="89"/>
      <c r="K140" s="90" t="s">
        <v>492</v>
      </c>
      <c r="L140" s="90"/>
      <c r="M140" s="90"/>
      <c r="N140" s="90"/>
      <c r="O140" s="89"/>
      <c r="P140" s="94"/>
      <c r="V140" s="87" t="s">
        <v>684</v>
      </c>
      <c r="W140" s="87" t="s">
        <v>683</v>
      </c>
      <c r="X140" s="87"/>
      <c r="Y140" s="87" t="s">
        <v>683</v>
      </c>
      <c r="Z140" s="87"/>
    </row>
    <row r="141" spans="1:32" ht="15" thickBot="1" x14ac:dyDescent="0.35">
      <c r="A141" s="4" t="s">
        <v>469</v>
      </c>
      <c r="B141" s="4">
        <v>4</v>
      </c>
      <c r="C141" s="9">
        <v>2</v>
      </c>
      <c r="D141" s="10"/>
      <c r="E141" s="10"/>
      <c r="F141" s="10">
        <v>1</v>
      </c>
      <c r="G141" s="10" t="s">
        <v>488</v>
      </c>
      <c r="H141" s="8"/>
      <c r="I141" s="8"/>
      <c r="J141" s="2"/>
      <c r="K141" s="8" t="s">
        <v>493</v>
      </c>
      <c r="L141" s="8"/>
      <c r="M141" s="8"/>
      <c r="N141" s="8"/>
      <c r="O141" s="2"/>
      <c r="P141" s="92"/>
      <c r="V141" s="87"/>
      <c r="W141" s="87" t="s">
        <v>683</v>
      </c>
      <c r="X141" s="87"/>
      <c r="Y141" s="87" t="s">
        <v>683</v>
      </c>
      <c r="Z141" s="87"/>
    </row>
    <row r="142" spans="1:32" ht="15" thickBot="1" x14ac:dyDescent="0.35">
      <c r="A142" s="4" t="s">
        <v>410</v>
      </c>
      <c r="B142" s="4">
        <v>4</v>
      </c>
      <c r="C142" s="9">
        <v>2</v>
      </c>
      <c r="D142" s="10"/>
      <c r="E142" s="10"/>
      <c r="F142" s="10">
        <v>1</v>
      </c>
      <c r="G142" s="10" t="s">
        <v>490</v>
      </c>
      <c r="H142" s="8" t="s">
        <v>674</v>
      </c>
      <c r="I142" s="8"/>
      <c r="J142" s="2"/>
      <c r="K142" s="8" t="s">
        <v>494</v>
      </c>
      <c r="L142" s="101" t="s">
        <v>391</v>
      </c>
      <c r="M142" s="8"/>
      <c r="N142" s="8"/>
      <c r="O142" s="2"/>
      <c r="P142" s="92"/>
    </row>
    <row r="143" spans="1:32" ht="15" thickBot="1" x14ac:dyDescent="0.35">
      <c r="A143" s="4" t="s">
        <v>470</v>
      </c>
      <c r="B143" s="4">
        <v>4</v>
      </c>
      <c r="C143" s="9">
        <v>1</v>
      </c>
      <c r="D143" s="10"/>
      <c r="E143" s="10"/>
      <c r="F143" s="10">
        <v>3</v>
      </c>
      <c r="G143" s="10" t="s">
        <v>415</v>
      </c>
      <c r="H143" s="8" t="s">
        <v>417</v>
      </c>
      <c r="I143" s="8" t="s">
        <v>418</v>
      </c>
      <c r="J143" s="2"/>
      <c r="K143" s="8" t="s">
        <v>493</v>
      </c>
      <c r="L143" s="8" t="s">
        <v>494</v>
      </c>
      <c r="M143" s="8"/>
      <c r="N143" s="8"/>
      <c r="O143" s="2"/>
      <c r="P143" s="92"/>
    </row>
    <row r="144" spans="1:32" s="52" customFormat="1" ht="15" thickBot="1" x14ac:dyDescent="0.35">
      <c r="A144" s="107"/>
      <c r="B144" s="107"/>
      <c r="C144" s="108"/>
      <c r="D144" s="109"/>
      <c r="E144" s="109"/>
      <c r="F144" s="109"/>
      <c r="G144" s="109"/>
      <c r="H144" s="50"/>
      <c r="I144" s="50"/>
      <c r="J144" s="51"/>
      <c r="K144" s="50"/>
      <c r="L144" s="50"/>
      <c r="M144" s="50"/>
      <c r="N144" s="50"/>
      <c r="O144" s="51"/>
      <c r="P144" s="99"/>
    </row>
    <row r="145" spans="1:16" ht="15" thickBot="1" x14ac:dyDescent="0.35">
      <c r="A145" s="4" t="s">
        <v>281</v>
      </c>
      <c r="B145" s="4">
        <v>4</v>
      </c>
      <c r="C145" s="9">
        <v>2</v>
      </c>
      <c r="D145" s="10"/>
      <c r="E145" s="10" t="s">
        <v>237</v>
      </c>
      <c r="F145" s="10">
        <v>1</v>
      </c>
      <c r="G145" s="10" t="s">
        <v>16</v>
      </c>
      <c r="H145" s="8"/>
      <c r="I145" s="8"/>
      <c r="J145" s="2"/>
      <c r="K145" s="8" t="s">
        <v>493</v>
      </c>
      <c r="L145" s="8" t="s">
        <v>494</v>
      </c>
      <c r="M145" s="8"/>
      <c r="N145" s="8"/>
      <c r="O145" s="2"/>
      <c r="P145" s="92"/>
    </row>
    <row r="146" spans="1:16" ht="15" thickBot="1" x14ac:dyDescent="0.35">
      <c r="A146" s="4" t="s">
        <v>282</v>
      </c>
      <c r="B146" s="4">
        <v>3</v>
      </c>
      <c r="C146" s="9">
        <v>1</v>
      </c>
      <c r="D146" s="10"/>
      <c r="E146" s="10" t="s">
        <v>237</v>
      </c>
      <c r="F146" s="10">
        <v>1</v>
      </c>
      <c r="G146" s="10" t="s">
        <v>67</v>
      </c>
      <c r="H146" s="8"/>
      <c r="I146" s="8"/>
      <c r="J146" s="2"/>
      <c r="K146" s="90" t="s">
        <v>511</v>
      </c>
      <c r="L146" s="90" t="s">
        <v>493</v>
      </c>
      <c r="M146" s="90" t="s">
        <v>494</v>
      </c>
      <c r="N146" s="90"/>
      <c r="O146" s="89"/>
      <c r="P146" s="94"/>
    </row>
    <row r="147" spans="1:16" ht="15" thickBot="1" x14ac:dyDescent="0.35">
      <c r="A147" s="4" t="s">
        <v>283</v>
      </c>
      <c r="B147" s="4">
        <v>5</v>
      </c>
      <c r="C147" s="9">
        <v>2</v>
      </c>
      <c r="D147" s="10"/>
      <c r="E147" s="10" t="s">
        <v>237</v>
      </c>
      <c r="F147" s="10">
        <v>1</v>
      </c>
      <c r="G147" s="10" t="s">
        <v>43</v>
      </c>
      <c r="H147" s="8"/>
      <c r="I147" s="8"/>
      <c r="J147" s="2"/>
      <c r="K147" s="8" t="s">
        <v>511</v>
      </c>
      <c r="L147" s="8" t="s">
        <v>493</v>
      </c>
      <c r="M147" s="8" t="s">
        <v>494</v>
      </c>
      <c r="N147" s="8"/>
      <c r="O147" s="2"/>
      <c r="P147" s="92"/>
    </row>
    <row r="148" spans="1:16" ht="15" thickBot="1" x14ac:dyDescent="0.35">
      <c r="A148" s="4" t="s">
        <v>534</v>
      </c>
      <c r="B148" s="4">
        <v>4</v>
      </c>
      <c r="C148" s="9">
        <v>2</v>
      </c>
      <c r="D148" s="10"/>
      <c r="E148" s="10" t="s">
        <v>237</v>
      </c>
      <c r="F148" s="10">
        <v>1</v>
      </c>
      <c r="G148" s="10" t="s">
        <v>72</v>
      </c>
      <c r="H148" s="8"/>
      <c r="I148" s="8"/>
      <c r="J148" s="2"/>
      <c r="K148" s="90" t="s">
        <v>390</v>
      </c>
      <c r="L148" s="90"/>
      <c r="M148" s="90"/>
      <c r="N148" s="90"/>
      <c r="O148" s="89"/>
      <c r="P148" s="94"/>
    </row>
    <row r="149" spans="1:16" ht="15" thickBot="1" x14ac:dyDescent="0.35">
      <c r="A149" s="4" t="s">
        <v>535</v>
      </c>
      <c r="B149" s="4">
        <v>4</v>
      </c>
      <c r="C149" s="9">
        <v>2</v>
      </c>
      <c r="D149" s="10"/>
      <c r="E149" s="10" t="s">
        <v>237</v>
      </c>
      <c r="F149" s="10">
        <v>1</v>
      </c>
      <c r="G149" s="10" t="s">
        <v>522</v>
      </c>
      <c r="H149" s="8"/>
      <c r="I149" s="8"/>
      <c r="J149" s="2"/>
      <c r="K149" s="8" t="s">
        <v>390</v>
      </c>
      <c r="L149" s="8"/>
      <c r="M149" s="8"/>
      <c r="N149" s="8"/>
      <c r="O149" s="2"/>
      <c r="P149" s="92"/>
    </row>
    <row r="150" spans="1:16" ht="15" thickBot="1" x14ac:dyDescent="0.35">
      <c r="A150" s="4" t="s">
        <v>536</v>
      </c>
      <c r="B150" s="4">
        <v>4</v>
      </c>
      <c r="C150" s="9">
        <v>2</v>
      </c>
      <c r="D150" s="10"/>
      <c r="E150" s="10" t="s">
        <v>237</v>
      </c>
      <c r="F150" s="10">
        <v>1</v>
      </c>
      <c r="G150" s="10" t="s">
        <v>533</v>
      </c>
      <c r="H150" s="8"/>
      <c r="I150" s="8"/>
      <c r="J150" s="2"/>
      <c r="K150" s="90" t="s">
        <v>389</v>
      </c>
      <c r="L150" s="90"/>
      <c r="M150" s="90"/>
      <c r="N150" s="90"/>
      <c r="O150" s="89"/>
      <c r="P150" s="94"/>
    </row>
    <row r="151" spans="1:16" ht="15" thickBot="1" x14ac:dyDescent="0.35">
      <c r="A151" s="4" t="s">
        <v>537</v>
      </c>
      <c r="B151" s="4">
        <v>4</v>
      </c>
      <c r="C151" s="9">
        <v>2</v>
      </c>
      <c r="D151" s="10"/>
      <c r="E151" s="10" t="s">
        <v>237</v>
      </c>
      <c r="F151" s="10">
        <v>1</v>
      </c>
      <c r="G151" s="10" t="s">
        <v>539</v>
      </c>
      <c r="H151" s="8"/>
      <c r="I151" s="8"/>
      <c r="J151" s="2"/>
      <c r="K151" s="8" t="s">
        <v>389</v>
      </c>
      <c r="L151" s="8" t="s">
        <v>491</v>
      </c>
      <c r="M151" s="8"/>
      <c r="N151" s="8"/>
      <c r="O151" s="2"/>
      <c r="P151" s="92"/>
    </row>
    <row r="152" spans="1:16" ht="15" thickBot="1" x14ac:dyDescent="0.35">
      <c r="A152" s="4" t="s">
        <v>538</v>
      </c>
      <c r="B152" s="4">
        <v>4</v>
      </c>
      <c r="C152" s="9">
        <v>2</v>
      </c>
      <c r="D152" s="10"/>
      <c r="E152" s="10" t="s">
        <v>237</v>
      </c>
      <c r="F152" s="10">
        <v>1</v>
      </c>
      <c r="G152" s="10" t="s">
        <v>532</v>
      </c>
      <c r="H152" s="8"/>
      <c r="I152" s="8"/>
      <c r="J152" s="2"/>
      <c r="K152" s="90" t="s">
        <v>389</v>
      </c>
      <c r="L152" s="90" t="s">
        <v>491</v>
      </c>
      <c r="M152" s="90"/>
      <c r="N152" s="90"/>
      <c r="O152" s="89"/>
      <c r="P152" s="92"/>
    </row>
    <row r="153" spans="1:16" ht="15" thickBot="1" x14ac:dyDescent="0.35">
      <c r="A153" s="4" t="s">
        <v>540</v>
      </c>
      <c r="B153" s="4">
        <v>4</v>
      </c>
      <c r="C153" s="9">
        <v>2</v>
      </c>
      <c r="D153" s="10"/>
      <c r="E153" s="10" t="s">
        <v>237</v>
      </c>
      <c r="F153" s="10">
        <v>1</v>
      </c>
      <c r="G153" s="10" t="s">
        <v>69</v>
      </c>
      <c r="H153" s="8"/>
      <c r="I153" s="8"/>
      <c r="J153" s="2"/>
      <c r="K153" s="8" t="s">
        <v>389</v>
      </c>
      <c r="L153" s="8" t="s">
        <v>491</v>
      </c>
      <c r="M153" s="8"/>
      <c r="N153" s="8"/>
      <c r="O153" s="2"/>
      <c r="P153" s="92"/>
    </row>
    <row r="154" spans="1:16" ht="15" thickBot="1" x14ac:dyDescent="0.35">
      <c r="A154" s="4" t="s">
        <v>401</v>
      </c>
      <c r="B154" s="4">
        <v>4</v>
      </c>
      <c r="C154" s="9">
        <v>2</v>
      </c>
      <c r="D154" s="10"/>
      <c r="E154" s="10" t="s">
        <v>237</v>
      </c>
      <c r="F154" s="10">
        <v>0</v>
      </c>
      <c r="G154" s="10"/>
      <c r="H154" s="8"/>
      <c r="I154" s="8"/>
      <c r="J154" s="2"/>
      <c r="K154" s="90" t="s">
        <v>492</v>
      </c>
      <c r="L154" s="90"/>
      <c r="M154" s="90"/>
      <c r="N154" s="90"/>
      <c r="O154" s="89"/>
      <c r="P154" s="92"/>
    </row>
    <row r="155" spans="1:16" ht="15" thickBot="1" x14ac:dyDescent="0.35">
      <c r="A155" s="4" t="s">
        <v>663</v>
      </c>
      <c r="B155" s="4">
        <v>3</v>
      </c>
      <c r="C155" s="9">
        <v>1</v>
      </c>
      <c r="D155" s="10"/>
      <c r="E155" s="10" t="s">
        <v>237</v>
      </c>
      <c r="F155" s="10">
        <v>1</v>
      </c>
      <c r="G155" s="10" t="s">
        <v>527</v>
      </c>
      <c r="H155" s="8"/>
      <c r="I155" s="8"/>
      <c r="J155" s="2"/>
      <c r="K155" s="8" t="s">
        <v>492</v>
      </c>
      <c r="L155" s="8"/>
      <c r="M155" s="8"/>
      <c r="N155" s="8"/>
      <c r="O155" s="2"/>
      <c r="P155" s="92"/>
    </row>
    <row r="156" spans="1:16" ht="15" thickBot="1" x14ac:dyDescent="0.35">
      <c r="A156" s="4" t="s">
        <v>664</v>
      </c>
      <c r="B156" s="4">
        <v>4</v>
      </c>
      <c r="C156" s="9">
        <v>2</v>
      </c>
      <c r="D156" s="10"/>
      <c r="E156" s="10" t="s">
        <v>237</v>
      </c>
      <c r="F156" s="10">
        <v>1</v>
      </c>
      <c r="G156" s="10" t="s">
        <v>533</v>
      </c>
      <c r="H156" s="8"/>
      <c r="I156" s="8"/>
      <c r="J156" s="2"/>
      <c r="K156" s="90" t="s">
        <v>491</v>
      </c>
      <c r="L156" s="90"/>
      <c r="M156" s="90"/>
      <c r="N156" s="90"/>
      <c r="O156" s="89"/>
      <c r="P156" s="94"/>
    </row>
    <row r="157" spans="1:16" ht="15" thickBot="1" x14ac:dyDescent="0.35">
      <c r="A157" s="4" t="s">
        <v>665</v>
      </c>
      <c r="B157" s="4">
        <v>3</v>
      </c>
      <c r="C157" s="9">
        <v>1</v>
      </c>
      <c r="D157" s="10"/>
      <c r="E157" s="10" t="s">
        <v>237</v>
      </c>
      <c r="F157" s="10">
        <v>1</v>
      </c>
      <c r="G157" s="10" t="s">
        <v>525</v>
      </c>
      <c r="H157" s="8"/>
      <c r="I157" s="8"/>
      <c r="J157" s="2"/>
      <c r="K157" s="8" t="s">
        <v>491</v>
      </c>
      <c r="L157" s="8" t="s">
        <v>492</v>
      </c>
      <c r="M157" s="8" t="s">
        <v>493</v>
      </c>
      <c r="N157" s="8" t="s">
        <v>494</v>
      </c>
      <c r="O157" s="2"/>
      <c r="P157" s="92"/>
    </row>
    <row r="158" spans="1:16" ht="15" thickBot="1" x14ac:dyDescent="0.35">
      <c r="A158" s="4" t="s">
        <v>405</v>
      </c>
      <c r="B158" s="4">
        <v>5</v>
      </c>
      <c r="C158" s="9">
        <v>2</v>
      </c>
      <c r="D158" s="10"/>
      <c r="E158" s="10" t="s">
        <v>237</v>
      </c>
      <c r="F158" s="10">
        <v>1</v>
      </c>
      <c r="G158" s="10" t="s">
        <v>407</v>
      </c>
      <c r="H158" s="8"/>
      <c r="I158" s="8"/>
      <c r="J158" s="2"/>
      <c r="K158" s="90" t="s">
        <v>390</v>
      </c>
      <c r="L158" s="90" t="s">
        <v>492</v>
      </c>
      <c r="M158" s="90"/>
      <c r="N158" s="90"/>
      <c r="O158" s="89"/>
      <c r="P158" s="94"/>
    </row>
    <row r="159" spans="1:16" ht="15" thickBot="1" x14ac:dyDescent="0.35">
      <c r="A159" s="4" t="s">
        <v>669</v>
      </c>
      <c r="B159" s="4">
        <v>4</v>
      </c>
      <c r="C159" s="9">
        <v>1</v>
      </c>
      <c r="D159" s="10"/>
      <c r="E159" s="10" t="s">
        <v>237</v>
      </c>
      <c r="F159" s="10">
        <v>1</v>
      </c>
      <c r="G159" s="10" t="s">
        <v>668</v>
      </c>
      <c r="H159" s="8"/>
      <c r="I159" s="8"/>
      <c r="J159" s="2"/>
      <c r="K159" s="26" t="s">
        <v>493</v>
      </c>
      <c r="L159" s="26" t="s">
        <v>494</v>
      </c>
      <c r="M159" s="26"/>
      <c r="N159" s="26"/>
      <c r="O159" s="23"/>
      <c r="P159" s="92"/>
    </row>
    <row r="160" spans="1:16" ht="15" thickBot="1" x14ac:dyDescent="0.35">
      <c r="A160" s="4" t="s">
        <v>670</v>
      </c>
      <c r="B160" s="4">
        <v>2</v>
      </c>
      <c r="C160" s="9">
        <v>1</v>
      </c>
      <c r="D160" s="10"/>
      <c r="E160" s="10" t="s">
        <v>237</v>
      </c>
      <c r="F160" s="10">
        <v>1</v>
      </c>
      <c r="G160" s="10" t="s">
        <v>675</v>
      </c>
      <c r="H160" s="8"/>
      <c r="I160" s="8"/>
      <c r="J160" s="2"/>
      <c r="K160" s="100" t="s">
        <v>493</v>
      </c>
      <c r="L160" s="100" t="s">
        <v>494</v>
      </c>
      <c r="M160" s="90"/>
      <c r="N160" s="90"/>
      <c r="O160" s="89"/>
      <c r="P160" s="94" t="s">
        <v>678</v>
      </c>
    </row>
    <row r="161" spans="1:16" ht="15" thickBot="1" x14ac:dyDescent="0.35">
      <c r="A161" s="4" t="s">
        <v>670</v>
      </c>
      <c r="B161" s="4">
        <v>2</v>
      </c>
      <c r="C161" s="9">
        <v>1</v>
      </c>
      <c r="D161" s="10"/>
      <c r="E161" s="10" t="s">
        <v>237</v>
      </c>
      <c r="F161" s="10">
        <v>1</v>
      </c>
      <c r="G161" s="10" t="s">
        <v>679</v>
      </c>
      <c r="H161" s="8"/>
      <c r="I161" s="8"/>
      <c r="J161" s="2"/>
      <c r="K161" s="26" t="s">
        <v>493</v>
      </c>
      <c r="L161" s="26" t="s">
        <v>494</v>
      </c>
      <c r="M161" s="8"/>
      <c r="N161" s="8"/>
      <c r="O161" s="2"/>
      <c r="P161" s="92" t="s">
        <v>678</v>
      </c>
    </row>
    <row r="162" spans="1:16" ht="15" thickBot="1" x14ac:dyDescent="0.35">
      <c r="A162" s="4" t="s">
        <v>686</v>
      </c>
      <c r="B162" s="4">
        <v>3</v>
      </c>
      <c r="C162" s="9">
        <v>1</v>
      </c>
      <c r="D162" s="10"/>
      <c r="E162" s="10" t="s">
        <v>237</v>
      </c>
      <c r="F162" s="10">
        <v>1</v>
      </c>
      <c r="G162" s="10" t="s">
        <v>677</v>
      </c>
      <c r="H162" s="8"/>
      <c r="I162" s="8"/>
      <c r="J162" s="2"/>
      <c r="K162" s="100" t="s">
        <v>493</v>
      </c>
      <c r="L162" s="100" t="s">
        <v>494</v>
      </c>
      <c r="M162" s="90"/>
      <c r="N162" s="90"/>
      <c r="O162" s="89"/>
      <c r="P162" s="94"/>
    </row>
    <row r="163" spans="1:16" ht="15" thickBot="1" x14ac:dyDescent="0.35">
      <c r="A163" s="4" t="s">
        <v>412</v>
      </c>
      <c r="B163" s="4">
        <v>4</v>
      </c>
      <c r="C163" s="9">
        <v>2</v>
      </c>
      <c r="D163" s="10"/>
      <c r="E163" s="10" t="s">
        <v>237</v>
      </c>
      <c r="F163" s="10">
        <v>0</v>
      </c>
      <c r="G163" s="10"/>
      <c r="H163" s="8"/>
      <c r="I163" s="8"/>
      <c r="J163" s="2"/>
      <c r="K163" s="26" t="s">
        <v>493</v>
      </c>
      <c r="L163" s="26" t="s">
        <v>494</v>
      </c>
      <c r="M163" s="8"/>
      <c r="N163" s="8"/>
      <c r="O163" s="2"/>
      <c r="P163" s="92"/>
    </row>
    <row r="164" spans="1:16" ht="15" thickBot="1" x14ac:dyDescent="0.35">
      <c r="A164" s="4" t="s">
        <v>691</v>
      </c>
      <c r="B164" s="4">
        <v>3</v>
      </c>
      <c r="C164" s="9">
        <v>1</v>
      </c>
      <c r="D164" s="10"/>
      <c r="E164" s="10" t="s">
        <v>237</v>
      </c>
      <c r="F164" s="10">
        <v>1</v>
      </c>
      <c r="G164" s="10" t="s">
        <v>674</v>
      </c>
      <c r="H164" s="8"/>
      <c r="I164" s="8"/>
      <c r="J164" s="2"/>
      <c r="K164" s="8" t="s">
        <v>511</v>
      </c>
      <c r="L164" s="8" t="s">
        <v>493</v>
      </c>
      <c r="M164" s="8" t="s">
        <v>494</v>
      </c>
      <c r="N164" s="8"/>
      <c r="O164" s="2"/>
      <c r="P164" s="92"/>
    </row>
    <row r="165" spans="1:16" ht="15" thickBot="1" x14ac:dyDescent="0.35">
      <c r="A165" s="4" t="s">
        <v>699</v>
      </c>
      <c r="B165" s="4">
        <v>5</v>
      </c>
      <c r="C165" s="9">
        <v>2</v>
      </c>
      <c r="D165" s="10"/>
      <c r="E165" s="10" t="s">
        <v>237</v>
      </c>
      <c r="F165" s="10">
        <v>1</v>
      </c>
      <c r="G165" s="10" t="s">
        <v>701</v>
      </c>
      <c r="H165" s="8"/>
      <c r="I165" s="8"/>
      <c r="J165" s="2"/>
      <c r="K165" s="8" t="s">
        <v>491</v>
      </c>
      <c r="L165" s="8" t="s">
        <v>492</v>
      </c>
      <c r="M165" s="8" t="s">
        <v>493</v>
      </c>
      <c r="N165" s="8" t="s">
        <v>494</v>
      </c>
      <c r="O165" s="2"/>
      <c r="P165" s="92"/>
    </row>
  </sheetData>
  <phoneticPr fontId="2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grupos!$A$2:$A$31</xm:f>
          </x14:formula1>
          <xm:sqref>K126:L126 N126:O126 N123:O123 K127:O165 K124:O125 K123:L123 K2:O122</xm:sqref>
        </x14:dataValidation>
        <x14:dataValidation type="list" allowBlank="1" showInputMessage="1" showErrorMessage="1" xr:uid="{BEF44E82-C065-494E-839C-AA870BCB249F}">
          <x14:formula1>
            <xm:f>profesores!$B$2:$B$149</xm:f>
          </x14:formula1>
          <xm:sqref>G2:J177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AB26"/>
  <sheetViews>
    <sheetView workbookViewId="0">
      <selection activeCell="M13" sqref="M13"/>
    </sheetView>
  </sheetViews>
  <sheetFormatPr baseColWidth="10" defaultRowHeight="14.4" customHeight="1" x14ac:dyDescent="0.3"/>
  <cols>
    <col min="1" max="5" width="6.6640625" customWidth="1"/>
    <col min="7" max="46" width="8.5546875" customWidth="1"/>
  </cols>
  <sheetData>
    <row r="1" spans="1:28" ht="14.4" customHeight="1" x14ac:dyDescent="0.3">
      <c r="A1" s="71" t="s">
        <v>39</v>
      </c>
      <c r="B1" s="71" t="s">
        <v>40</v>
      </c>
      <c r="C1" s="71" t="s">
        <v>41</v>
      </c>
      <c r="D1" s="71" t="s">
        <v>265</v>
      </c>
      <c r="E1" s="71" t="s">
        <v>266</v>
      </c>
      <c r="F1" s="71" t="s">
        <v>4</v>
      </c>
      <c r="G1" s="81" t="str" cm="1">
        <f t="array" ref="G1:AB1">TRANSPOSE(F2:F23)</f>
        <v>QC</v>
      </c>
      <c r="H1" s="82" t="str">
        <v>BPMN</v>
      </c>
      <c r="I1" s="81" t="str">
        <v>DBD3</v>
      </c>
      <c r="J1" s="82" t="str">
        <v>MdProc</v>
      </c>
      <c r="K1" s="81" t="str">
        <v>GAmb</v>
      </c>
      <c r="L1" s="82" t="str">
        <v>Horm2</v>
      </c>
      <c r="M1" s="81" t="str">
        <v>DPav</v>
      </c>
      <c r="N1" s="82" t="str">
        <v>Puentes</v>
      </c>
      <c r="O1" s="81" t="str">
        <v>DIPyU</v>
      </c>
      <c r="P1" s="82" t="str">
        <v>InstEl</v>
      </c>
      <c r="Q1" s="81" t="str">
        <v>MotCI</v>
      </c>
      <c r="R1" s="82" t="str">
        <v>DisEst</v>
      </c>
      <c r="S1" s="81" t="str">
        <v>AgroN</v>
      </c>
      <c r="T1" s="82" t="str">
        <v>TecFP</v>
      </c>
      <c r="U1" s="81" t="str">
        <v>ApMov</v>
      </c>
      <c r="V1" s="82" t="str">
        <v>RPA</v>
      </c>
      <c r="W1" s="81" t="str">
        <v>RPA</v>
      </c>
      <c r="X1" s="82" t="str">
        <v>GSInf</v>
      </c>
      <c r="Y1" s="81" t="str">
        <v>TestQA</v>
      </c>
      <c r="Z1" s="82" t="str">
        <v>EthHck</v>
      </c>
      <c r="AA1" t="str">
        <v>UIUX</v>
      </c>
      <c r="AB1" t="str">
        <v>UIUX</v>
      </c>
    </row>
    <row r="2" spans="1:28" ht="14.4" customHeight="1" x14ac:dyDescent="0.3">
      <c r="A2" s="73" t="s">
        <v>493</v>
      </c>
      <c r="B2" s="73" t="s">
        <v>494</v>
      </c>
      <c r="C2" s="73"/>
      <c r="D2" s="73"/>
      <c r="E2" s="73"/>
      <c r="F2" s="72" t="s">
        <v>281</v>
      </c>
      <c r="G2" s="85"/>
      <c r="H2" s="74"/>
      <c r="I2" s="83"/>
      <c r="J2" s="74"/>
      <c r="K2" s="83"/>
      <c r="L2" s="74"/>
      <c r="M2" s="83"/>
      <c r="N2" s="74"/>
      <c r="O2" s="83"/>
      <c r="P2" s="74"/>
      <c r="Q2" s="83"/>
      <c r="R2" s="74"/>
      <c r="S2" s="83" t="s">
        <v>237</v>
      </c>
      <c r="T2" s="74"/>
      <c r="U2" s="83"/>
      <c r="V2" s="74"/>
      <c r="W2" s="83"/>
      <c r="X2" s="74"/>
      <c r="Y2" s="83"/>
      <c r="Z2" s="74"/>
      <c r="AA2" s="83"/>
      <c r="AB2" s="74"/>
    </row>
    <row r="3" spans="1:28" ht="14.4" customHeight="1" x14ac:dyDescent="0.3">
      <c r="A3" s="75" t="s">
        <v>511</v>
      </c>
      <c r="B3" s="75" t="s">
        <v>493</v>
      </c>
      <c r="C3" s="75" t="s">
        <v>494</v>
      </c>
      <c r="D3" s="75"/>
      <c r="E3" s="75"/>
      <c r="F3" s="71" t="s">
        <v>282</v>
      </c>
      <c r="G3" s="84"/>
      <c r="H3" s="85"/>
      <c r="I3" s="84"/>
      <c r="J3" s="76"/>
      <c r="K3" s="84"/>
      <c r="L3" s="76"/>
      <c r="M3" s="84"/>
      <c r="N3" s="76"/>
      <c r="O3" s="84"/>
      <c r="P3" s="76"/>
      <c r="Q3" s="84"/>
      <c r="R3" s="76"/>
      <c r="S3" s="84" t="s">
        <v>237</v>
      </c>
      <c r="T3" s="76"/>
      <c r="U3" s="84"/>
      <c r="V3" s="76"/>
      <c r="W3" s="84"/>
      <c r="X3" s="76"/>
      <c r="Y3" s="84"/>
      <c r="Z3" s="76"/>
      <c r="AA3" s="84"/>
      <c r="AB3" s="76"/>
    </row>
    <row r="4" spans="1:28" ht="14.4" customHeight="1" x14ac:dyDescent="0.3">
      <c r="A4" s="73" t="s">
        <v>511</v>
      </c>
      <c r="B4" s="73" t="s">
        <v>493</v>
      </c>
      <c r="C4" s="73" t="s">
        <v>494</v>
      </c>
      <c r="D4" s="73"/>
      <c r="E4" s="73"/>
      <c r="F4" s="72" t="s">
        <v>283</v>
      </c>
      <c r="G4" s="83"/>
      <c r="H4" s="74"/>
      <c r="I4" s="85"/>
      <c r="J4" s="74"/>
      <c r="K4" s="83"/>
      <c r="L4" s="74"/>
      <c r="M4" s="83"/>
      <c r="N4" s="74"/>
      <c r="O4" s="83"/>
      <c r="P4" s="74"/>
      <c r="Q4" s="83"/>
      <c r="R4" s="74"/>
      <c r="S4" s="83" t="s">
        <v>237</v>
      </c>
      <c r="T4" s="74"/>
      <c r="U4" s="83"/>
      <c r="V4" s="74"/>
      <c r="W4" s="83"/>
      <c r="X4" s="74"/>
      <c r="Y4" s="83"/>
      <c r="Z4" s="74"/>
      <c r="AA4" s="83"/>
      <c r="AB4" s="74"/>
    </row>
    <row r="5" spans="1:28" ht="14.4" customHeight="1" x14ac:dyDescent="0.3">
      <c r="A5" s="75" t="s">
        <v>390</v>
      </c>
      <c r="B5" s="75"/>
      <c r="C5" s="75"/>
      <c r="D5" s="75"/>
      <c r="E5" s="75"/>
      <c r="F5" s="71" t="s">
        <v>534</v>
      </c>
      <c r="G5" s="84"/>
      <c r="H5" s="76"/>
      <c r="I5" s="84"/>
      <c r="J5" s="85"/>
      <c r="K5" s="84"/>
      <c r="L5" s="76"/>
      <c r="M5" s="84"/>
      <c r="N5" s="76"/>
      <c r="O5" s="84"/>
      <c r="P5" s="76"/>
      <c r="Q5" s="84"/>
      <c r="R5" s="76"/>
      <c r="S5" s="84" t="s">
        <v>237</v>
      </c>
      <c r="T5" s="76"/>
      <c r="U5" s="84"/>
      <c r="V5" s="76"/>
      <c r="W5" s="84"/>
      <c r="X5" s="76"/>
      <c r="Y5" s="84"/>
      <c r="Z5" s="76"/>
      <c r="AA5" s="84"/>
      <c r="AB5" s="76"/>
    </row>
    <row r="6" spans="1:28" ht="14.4" customHeight="1" x14ac:dyDescent="0.3">
      <c r="A6" s="73" t="s">
        <v>390</v>
      </c>
      <c r="B6" s="73"/>
      <c r="C6" s="73"/>
      <c r="D6" s="73"/>
      <c r="E6" s="73"/>
      <c r="F6" s="72" t="s">
        <v>535</v>
      </c>
      <c r="G6" s="83"/>
      <c r="H6" s="74"/>
      <c r="I6" s="83"/>
      <c r="J6" s="74"/>
      <c r="K6" s="85"/>
      <c r="L6" s="74"/>
      <c r="M6" s="83"/>
      <c r="N6" s="74"/>
      <c r="O6" s="83"/>
      <c r="P6" s="74"/>
      <c r="Q6" s="83"/>
      <c r="R6" s="74"/>
      <c r="S6" s="83" t="s">
        <v>237</v>
      </c>
      <c r="T6" s="74"/>
      <c r="U6" s="83"/>
      <c r="V6" s="74"/>
      <c r="W6" s="83"/>
      <c r="X6" s="74"/>
      <c r="Y6" s="83"/>
      <c r="Z6" s="74"/>
      <c r="AA6" s="83"/>
      <c r="AB6" s="74"/>
    </row>
    <row r="7" spans="1:28" ht="14.4" customHeight="1" x14ac:dyDescent="0.3">
      <c r="A7" s="75" t="s">
        <v>389</v>
      </c>
      <c r="B7" s="75"/>
      <c r="C7" s="75"/>
      <c r="D7" s="75"/>
      <c r="E7" s="75"/>
      <c r="F7" s="71" t="s">
        <v>536</v>
      </c>
      <c r="G7" s="84"/>
      <c r="H7" s="76"/>
      <c r="I7" s="84"/>
      <c r="J7" s="76"/>
      <c r="K7" s="84"/>
      <c r="L7" s="85"/>
      <c r="M7" s="84"/>
      <c r="N7" s="76"/>
      <c r="O7" s="84"/>
      <c r="P7" s="76"/>
      <c r="Q7" s="84"/>
      <c r="R7" s="76"/>
      <c r="S7" s="84" t="s">
        <v>237</v>
      </c>
      <c r="T7" s="76"/>
      <c r="U7" s="84"/>
      <c r="V7" s="76"/>
      <c r="W7" s="84"/>
      <c r="X7" s="76"/>
      <c r="Y7" s="84"/>
      <c r="Z7" s="76"/>
      <c r="AA7" s="84"/>
      <c r="AB7" s="76"/>
    </row>
    <row r="8" spans="1:28" ht="14.4" customHeight="1" x14ac:dyDescent="0.3">
      <c r="A8" s="73" t="s">
        <v>389</v>
      </c>
      <c r="B8" s="73" t="s">
        <v>491</v>
      </c>
      <c r="C8" s="73"/>
      <c r="D8" s="73"/>
      <c r="E8" s="73"/>
      <c r="F8" s="72" t="s">
        <v>537</v>
      </c>
      <c r="G8" s="83"/>
      <c r="H8" s="74"/>
      <c r="I8" s="83"/>
      <c r="J8" s="74"/>
      <c r="K8" s="83"/>
      <c r="L8" s="74"/>
      <c r="M8" s="85"/>
      <c r="N8" s="74"/>
      <c r="O8" s="83"/>
      <c r="P8" s="74"/>
      <c r="Q8" s="83"/>
      <c r="R8" s="74" t="s">
        <v>237</v>
      </c>
      <c r="S8" s="83" t="s">
        <v>237</v>
      </c>
      <c r="T8" s="74"/>
      <c r="U8" s="83"/>
      <c r="V8" s="74"/>
      <c r="W8" s="83"/>
      <c r="X8" s="74"/>
      <c r="Y8" s="83"/>
      <c r="Z8" s="74"/>
      <c r="AA8" s="83"/>
      <c r="AB8" s="74"/>
    </row>
    <row r="9" spans="1:28" ht="14.4" customHeight="1" x14ac:dyDescent="0.3">
      <c r="A9" s="75" t="s">
        <v>389</v>
      </c>
      <c r="B9" s="75" t="s">
        <v>491</v>
      </c>
      <c r="C9" s="75"/>
      <c r="D9" s="75"/>
      <c r="E9" s="75"/>
      <c r="F9" s="71" t="s">
        <v>538</v>
      </c>
      <c r="G9" s="84"/>
      <c r="H9" s="76"/>
      <c r="I9" s="84"/>
      <c r="J9" s="76"/>
      <c r="K9" s="84"/>
      <c r="L9" s="76"/>
      <c r="M9" s="84"/>
      <c r="N9" s="85"/>
      <c r="O9" s="84"/>
      <c r="P9" s="76"/>
      <c r="Q9" s="84"/>
      <c r="R9" s="76"/>
      <c r="S9" s="84" t="s">
        <v>237</v>
      </c>
      <c r="T9" s="76"/>
      <c r="U9" s="84"/>
      <c r="V9" s="76"/>
      <c r="W9" s="84"/>
      <c r="X9" s="76"/>
      <c r="Y9" s="84"/>
      <c r="Z9" s="76"/>
      <c r="AA9" s="84"/>
      <c r="AB9" s="76"/>
    </row>
    <row r="10" spans="1:28" ht="14.4" customHeight="1" x14ac:dyDescent="0.3">
      <c r="A10" s="73" t="s">
        <v>389</v>
      </c>
      <c r="B10" s="73" t="s">
        <v>491</v>
      </c>
      <c r="C10" s="73"/>
      <c r="D10" s="73"/>
      <c r="E10" s="73"/>
      <c r="F10" s="72" t="s">
        <v>540</v>
      </c>
      <c r="G10" s="83"/>
      <c r="H10" s="74"/>
      <c r="I10" s="83"/>
      <c r="J10" s="74"/>
      <c r="K10" s="83"/>
      <c r="L10" s="74"/>
      <c r="M10" s="83"/>
      <c r="N10" s="74"/>
      <c r="O10" s="85"/>
      <c r="P10" s="74"/>
      <c r="Q10" s="83"/>
      <c r="R10" s="74"/>
      <c r="S10" s="83" t="s">
        <v>237</v>
      </c>
      <c r="T10" s="74"/>
      <c r="U10" s="83"/>
      <c r="V10" s="74"/>
      <c r="W10" s="83"/>
      <c r="X10" s="74"/>
      <c r="Y10" s="83"/>
      <c r="Z10" s="74"/>
      <c r="AA10" s="83"/>
      <c r="AB10" s="74"/>
    </row>
    <row r="11" spans="1:28" ht="14.4" customHeight="1" x14ac:dyDescent="0.3">
      <c r="A11" s="75" t="s">
        <v>492</v>
      </c>
      <c r="B11" s="75"/>
      <c r="C11" s="75"/>
      <c r="D11" s="75"/>
      <c r="E11" s="75"/>
      <c r="F11" s="71" t="s">
        <v>401</v>
      </c>
      <c r="G11" s="84"/>
      <c r="H11" s="76"/>
      <c r="I11" s="84"/>
      <c r="J11" s="76"/>
      <c r="K11" s="84"/>
      <c r="L11" s="76"/>
      <c r="M11" s="84"/>
      <c r="N11" s="76"/>
      <c r="O11" s="84"/>
      <c r="P11" s="85"/>
      <c r="Q11" s="84"/>
      <c r="R11" s="76"/>
      <c r="S11" s="84" t="s">
        <v>237</v>
      </c>
      <c r="T11" s="76"/>
      <c r="U11" s="84"/>
      <c r="V11" s="76"/>
      <c r="W11" s="84"/>
      <c r="X11" s="76"/>
      <c r="Y11" s="84"/>
      <c r="Z11" s="76"/>
      <c r="AA11" s="84"/>
      <c r="AB11" s="76"/>
    </row>
    <row r="12" spans="1:28" ht="14.4" customHeight="1" x14ac:dyDescent="0.3">
      <c r="A12" s="73" t="s">
        <v>492</v>
      </c>
      <c r="B12" s="73"/>
      <c r="C12" s="73"/>
      <c r="D12" s="73"/>
      <c r="E12" s="73"/>
      <c r="F12" s="72" t="s">
        <v>663</v>
      </c>
      <c r="G12" s="83"/>
      <c r="H12" s="74"/>
      <c r="I12" s="83"/>
      <c r="J12" s="74"/>
      <c r="K12" s="83"/>
      <c r="L12" s="74"/>
      <c r="M12" s="83"/>
      <c r="N12" s="74"/>
      <c r="O12" s="83"/>
      <c r="P12" s="74"/>
      <c r="Q12" s="85"/>
      <c r="R12" s="74"/>
      <c r="S12" s="83" t="s">
        <v>237</v>
      </c>
      <c r="T12" s="74"/>
      <c r="U12" s="83"/>
      <c r="V12" s="74"/>
      <c r="W12" s="83"/>
      <c r="X12" s="74"/>
      <c r="Y12" s="83"/>
      <c r="Z12" s="74"/>
      <c r="AA12" s="83"/>
      <c r="AB12" s="74"/>
    </row>
    <row r="13" spans="1:28" ht="14.4" customHeight="1" x14ac:dyDescent="0.3">
      <c r="A13" s="75" t="s">
        <v>491</v>
      </c>
      <c r="B13" s="75"/>
      <c r="C13" s="75"/>
      <c r="D13" s="75"/>
      <c r="E13" s="75"/>
      <c r="F13" s="71" t="s">
        <v>664</v>
      </c>
      <c r="G13" s="84"/>
      <c r="H13" s="76"/>
      <c r="I13" s="84"/>
      <c r="J13" s="76"/>
      <c r="K13" s="84"/>
      <c r="L13" s="76"/>
      <c r="M13" s="84" t="s">
        <v>237</v>
      </c>
      <c r="N13" s="76"/>
      <c r="O13" s="84"/>
      <c r="P13" s="76"/>
      <c r="Q13" s="84"/>
      <c r="R13" s="85"/>
      <c r="S13" s="84" t="s">
        <v>237</v>
      </c>
      <c r="T13" s="76"/>
      <c r="U13" s="84"/>
      <c r="V13" s="76"/>
      <c r="W13" s="84"/>
      <c r="X13" s="76"/>
      <c r="Y13" s="84"/>
      <c r="Z13" s="76"/>
      <c r="AA13" s="84"/>
      <c r="AB13" s="76"/>
    </row>
    <row r="14" spans="1:28" ht="14.4" customHeight="1" x14ac:dyDescent="0.3">
      <c r="A14" s="73" t="s">
        <v>491</v>
      </c>
      <c r="B14" s="73" t="s">
        <v>492</v>
      </c>
      <c r="C14" s="73" t="s">
        <v>493</v>
      </c>
      <c r="D14" s="73" t="s">
        <v>494</v>
      </c>
      <c r="E14" s="73"/>
      <c r="F14" s="72" t="s">
        <v>665</v>
      </c>
      <c r="G14" s="83" t="s">
        <v>237</v>
      </c>
      <c r="H14" s="74" t="s">
        <v>237</v>
      </c>
      <c r="I14" s="83" t="s">
        <v>237</v>
      </c>
      <c r="J14" s="74" t="s">
        <v>237</v>
      </c>
      <c r="K14" s="83" t="s">
        <v>237</v>
      </c>
      <c r="L14" s="74" t="s">
        <v>237</v>
      </c>
      <c r="M14" s="83" t="s">
        <v>237</v>
      </c>
      <c r="N14" s="74" t="s">
        <v>237</v>
      </c>
      <c r="O14" s="83" t="s">
        <v>237</v>
      </c>
      <c r="P14" s="74" t="s">
        <v>237</v>
      </c>
      <c r="Q14" s="83" t="s">
        <v>237</v>
      </c>
      <c r="R14" s="74" t="s">
        <v>237</v>
      </c>
      <c r="S14" s="85"/>
      <c r="T14" s="74" t="s">
        <v>237</v>
      </c>
      <c r="U14" s="83" t="s">
        <v>237</v>
      </c>
      <c r="V14" s="74" t="s">
        <v>237</v>
      </c>
      <c r="W14" s="83" t="s">
        <v>237</v>
      </c>
      <c r="X14" s="74" t="s">
        <v>237</v>
      </c>
      <c r="Y14" s="83" t="s">
        <v>237</v>
      </c>
      <c r="Z14" s="74" t="s">
        <v>237</v>
      </c>
      <c r="AA14" s="83" t="s">
        <v>237</v>
      </c>
      <c r="AB14" s="74" t="s">
        <v>237</v>
      </c>
    </row>
    <row r="15" spans="1:28" ht="14.4" customHeight="1" x14ac:dyDescent="0.3">
      <c r="A15" s="75" t="s">
        <v>390</v>
      </c>
      <c r="B15" s="75" t="s">
        <v>492</v>
      </c>
      <c r="C15" s="75"/>
      <c r="D15" s="75"/>
      <c r="E15" s="75"/>
      <c r="F15" s="71" t="s">
        <v>405</v>
      </c>
      <c r="G15" s="84"/>
      <c r="H15" s="76"/>
      <c r="I15" s="84"/>
      <c r="J15" s="76"/>
      <c r="K15" s="84"/>
      <c r="L15" s="76"/>
      <c r="M15" s="84"/>
      <c r="N15" s="76"/>
      <c r="O15" s="84"/>
      <c r="P15" s="76"/>
      <c r="Q15" s="84"/>
      <c r="R15" s="76"/>
      <c r="S15" s="84" t="s">
        <v>237</v>
      </c>
      <c r="T15" s="85"/>
      <c r="U15" s="84"/>
      <c r="V15" s="76"/>
      <c r="W15" s="84"/>
      <c r="X15" s="76"/>
      <c r="Y15" s="84"/>
      <c r="Z15" s="76"/>
      <c r="AA15" s="84"/>
      <c r="AB15" s="76"/>
    </row>
    <row r="16" spans="1:28" ht="14.4" customHeight="1" x14ac:dyDescent="0.3">
      <c r="A16" s="73" t="s">
        <v>493</v>
      </c>
      <c r="B16" s="73" t="s">
        <v>494</v>
      </c>
      <c r="C16" s="73"/>
      <c r="D16" s="73"/>
      <c r="E16" s="73"/>
      <c r="F16" s="72" t="s">
        <v>669</v>
      </c>
      <c r="G16" s="83"/>
      <c r="H16" s="74"/>
      <c r="I16" s="83"/>
      <c r="J16" s="74"/>
      <c r="K16" s="83"/>
      <c r="L16" s="74"/>
      <c r="M16" s="83"/>
      <c r="N16" s="74"/>
      <c r="O16" s="83"/>
      <c r="P16" s="74"/>
      <c r="Q16" s="83"/>
      <c r="R16" s="74"/>
      <c r="S16" s="83" t="s">
        <v>237</v>
      </c>
      <c r="T16" s="74"/>
      <c r="U16" s="85"/>
      <c r="V16" s="74"/>
      <c r="W16" s="83"/>
      <c r="X16" s="74"/>
      <c r="Y16" s="83"/>
      <c r="Z16" s="74"/>
      <c r="AA16" s="83"/>
      <c r="AB16" s="74"/>
    </row>
    <row r="17" spans="1:28" ht="14.4" customHeight="1" x14ac:dyDescent="0.3">
      <c r="A17" s="75" t="s">
        <v>493</v>
      </c>
      <c r="B17" s="75" t="s">
        <v>494</v>
      </c>
      <c r="C17" s="75"/>
      <c r="D17" s="75"/>
      <c r="E17" s="75"/>
      <c r="F17" s="71" t="s">
        <v>670</v>
      </c>
      <c r="G17" s="84"/>
      <c r="H17" s="76"/>
      <c r="I17" s="84"/>
      <c r="J17" s="76"/>
      <c r="K17" s="84"/>
      <c r="L17" s="76"/>
      <c r="M17" s="84"/>
      <c r="N17" s="76"/>
      <c r="O17" s="84"/>
      <c r="P17" s="76"/>
      <c r="Q17" s="84"/>
      <c r="R17" s="76"/>
      <c r="S17" s="84" t="s">
        <v>237</v>
      </c>
      <c r="T17" s="76"/>
      <c r="U17" s="84"/>
      <c r="V17" s="85"/>
      <c r="W17" s="84"/>
      <c r="X17" s="76"/>
      <c r="Y17" s="84"/>
      <c r="Z17" s="76"/>
      <c r="AA17" s="84"/>
      <c r="AB17" s="76"/>
    </row>
    <row r="18" spans="1:28" ht="14.4" customHeight="1" x14ac:dyDescent="0.3">
      <c r="A18" s="73" t="s">
        <v>493</v>
      </c>
      <c r="B18" s="73" t="s">
        <v>494</v>
      </c>
      <c r="C18" s="73"/>
      <c r="D18" s="73"/>
      <c r="E18" s="73"/>
      <c r="F18" s="72" t="s">
        <v>670</v>
      </c>
      <c r="G18" s="83"/>
      <c r="H18" s="74"/>
      <c r="I18" s="83"/>
      <c r="J18" s="74"/>
      <c r="K18" s="83"/>
      <c r="L18" s="74"/>
      <c r="M18" s="83"/>
      <c r="N18" s="74"/>
      <c r="O18" s="83"/>
      <c r="P18" s="74"/>
      <c r="Q18" s="83"/>
      <c r="R18" s="74"/>
      <c r="S18" s="83" t="s">
        <v>237</v>
      </c>
      <c r="T18" s="74"/>
      <c r="U18" s="83"/>
      <c r="V18" s="74"/>
      <c r="W18" s="85"/>
      <c r="X18" s="74"/>
      <c r="Y18" s="83"/>
      <c r="Z18" s="74"/>
      <c r="AA18" s="83"/>
      <c r="AB18" s="74"/>
    </row>
    <row r="19" spans="1:28" ht="14.4" customHeight="1" x14ac:dyDescent="0.3">
      <c r="A19" s="75" t="s">
        <v>493</v>
      </c>
      <c r="B19" s="75" t="s">
        <v>494</v>
      </c>
      <c r="C19" s="75"/>
      <c r="D19" s="75"/>
      <c r="E19" s="75"/>
      <c r="F19" s="71" t="s">
        <v>686</v>
      </c>
      <c r="G19" s="84"/>
      <c r="H19" s="76"/>
      <c r="I19" s="84"/>
      <c r="J19" s="76"/>
      <c r="K19" s="84"/>
      <c r="L19" s="76"/>
      <c r="M19" s="84"/>
      <c r="N19" s="76"/>
      <c r="O19" s="84"/>
      <c r="P19" s="76"/>
      <c r="Q19" s="84"/>
      <c r="R19" s="76"/>
      <c r="S19" s="84" t="s">
        <v>237</v>
      </c>
      <c r="T19" s="76"/>
      <c r="U19" s="84"/>
      <c r="V19" s="76"/>
      <c r="W19" s="84"/>
      <c r="X19" s="85"/>
      <c r="Y19" s="84"/>
      <c r="Z19" s="76"/>
      <c r="AA19" s="84"/>
      <c r="AB19" s="76"/>
    </row>
    <row r="20" spans="1:28" ht="14.4" customHeight="1" x14ac:dyDescent="0.3">
      <c r="A20" s="73" t="s">
        <v>493</v>
      </c>
      <c r="B20" s="73" t="s">
        <v>494</v>
      </c>
      <c r="C20" s="73"/>
      <c r="D20" s="73"/>
      <c r="E20" s="73"/>
      <c r="F20" s="72" t="s">
        <v>412</v>
      </c>
      <c r="G20" s="83"/>
      <c r="H20" s="74"/>
      <c r="I20" s="83"/>
      <c r="J20" s="74"/>
      <c r="K20" s="83"/>
      <c r="L20" s="74"/>
      <c r="M20" s="83"/>
      <c r="N20" s="74"/>
      <c r="O20" s="83"/>
      <c r="P20" s="74"/>
      <c r="Q20" s="83"/>
      <c r="R20" s="74"/>
      <c r="S20" s="83" t="s">
        <v>237</v>
      </c>
      <c r="T20" s="74"/>
      <c r="U20" s="83"/>
      <c r="V20" s="74"/>
      <c r="W20" s="83"/>
      <c r="X20" s="74"/>
      <c r="Y20" s="85"/>
      <c r="Z20" s="74"/>
      <c r="AA20" s="83"/>
      <c r="AB20" s="74"/>
    </row>
    <row r="21" spans="1:28" ht="14.4" customHeight="1" x14ac:dyDescent="0.3">
      <c r="A21" s="75" t="s">
        <v>511</v>
      </c>
      <c r="B21" s="75" t="s">
        <v>493</v>
      </c>
      <c r="C21" s="75" t="s">
        <v>494</v>
      </c>
      <c r="D21" s="75"/>
      <c r="E21" s="75"/>
      <c r="F21" s="71" t="s">
        <v>691</v>
      </c>
      <c r="G21" s="84"/>
      <c r="H21" s="76"/>
      <c r="I21" s="84"/>
      <c r="J21" s="76"/>
      <c r="K21" s="84"/>
      <c r="L21" s="76"/>
      <c r="M21" s="84"/>
      <c r="N21" s="76"/>
      <c r="O21" s="84"/>
      <c r="P21" s="76"/>
      <c r="Q21" s="84"/>
      <c r="R21" s="76"/>
      <c r="S21" s="84" t="s">
        <v>237</v>
      </c>
      <c r="T21" s="76"/>
      <c r="U21" s="84"/>
      <c r="V21" s="76"/>
      <c r="W21" s="84"/>
      <c r="X21" s="76"/>
      <c r="Y21" s="84"/>
      <c r="Z21" s="85"/>
      <c r="AA21" s="84"/>
      <c r="AB21" s="76"/>
    </row>
    <row r="22" spans="1:28" ht="14.4" customHeight="1" x14ac:dyDescent="0.3">
      <c r="A22" s="73" t="s">
        <v>493</v>
      </c>
      <c r="B22" s="73"/>
      <c r="C22" s="73"/>
      <c r="D22" s="73"/>
      <c r="E22" s="73"/>
      <c r="F22" s="72" t="s">
        <v>268</v>
      </c>
      <c r="G22" s="83"/>
      <c r="H22" s="74"/>
      <c r="I22" s="83"/>
      <c r="J22" s="74"/>
      <c r="K22" s="83"/>
      <c r="L22" s="74"/>
      <c r="M22" s="83"/>
      <c r="N22" s="74"/>
      <c r="O22" s="83"/>
      <c r="P22" s="74"/>
      <c r="Q22" s="83"/>
      <c r="R22" s="74"/>
      <c r="S22" s="83" t="s">
        <v>237</v>
      </c>
      <c r="T22" s="74"/>
      <c r="U22" s="83"/>
      <c r="V22" s="74"/>
      <c r="W22" s="83"/>
      <c r="X22" s="74"/>
      <c r="Y22" s="83"/>
      <c r="Z22" s="74"/>
      <c r="AA22" s="85"/>
      <c r="AB22" s="74"/>
    </row>
    <row r="23" spans="1:28" ht="14.4" customHeight="1" x14ac:dyDescent="0.3">
      <c r="A23" s="75" t="s">
        <v>494</v>
      </c>
      <c r="B23" s="75"/>
      <c r="C23" s="75"/>
      <c r="D23" s="75"/>
      <c r="E23" s="75"/>
      <c r="F23" s="71" t="s">
        <v>268</v>
      </c>
      <c r="G23" s="84"/>
      <c r="H23" s="76"/>
      <c r="I23" s="84"/>
      <c r="J23" s="76"/>
      <c r="K23" s="84"/>
      <c r="L23" s="76"/>
      <c r="M23" s="84"/>
      <c r="N23" s="76"/>
      <c r="O23" s="84"/>
      <c r="P23" s="76"/>
      <c r="Q23" s="84"/>
      <c r="R23" s="76"/>
      <c r="S23" s="84" t="s">
        <v>237</v>
      </c>
      <c r="T23" s="76"/>
      <c r="U23" s="84"/>
      <c r="V23" s="76"/>
      <c r="W23" s="84"/>
      <c r="X23" s="76"/>
      <c r="Y23" s="84"/>
      <c r="Z23" s="76"/>
      <c r="AA23" s="84"/>
      <c r="AB23" s="85"/>
    </row>
    <row r="25" spans="1:28" ht="14.4" customHeight="1" x14ac:dyDescent="0.3">
      <c r="G25" t="s">
        <v>680</v>
      </c>
    </row>
    <row r="26" spans="1:28" ht="14.4" customHeight="1" x14ac:dyDescent="0.3">
      <c r="G26" t="s">
        <v>681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O768"/>
  <sheetViews>
    <sheetView zoomScale="82" zoomScaleNormal="82" workbookViewId="0">
      <selection activeCell="N6" sqref="N6"/>
    </sheetView>
  </sheetViews>
  <sheetFormatPr baseColWidth="10" defaultColWidth="8.88671875" defaultRowHeight="16.2" customHeight="1" x14ac:dyDescent="0.3"/>
  <cols>
    <col min="1" max="1" width="26.77734375" style="15" customWidth="1"/>
    <col min="2" max="2" width="10.44140625" customWidth="1"/>
    <col min="3" max="3" width="10.5546875" customWidth="1"/>
    <col min="4" max="6" width="9.77734375" customWidth="1"/>
    <col min="7" max="7" width="9.77734375" style="32" customWidth="1"/>
    <col min="8" max="11" width="9.77734375" customWidth="1"/>
    <col min="12" max="13" width="16" customWidth="1"/>
    <col min="14" max="14" width="17.109375" customWidth="1"/>
    <col min="19" max="19" width="19.44140625" hidden="1" customWidth="1"/>
    <col min="20" max="20" width="13.109375" hidden="1" customWidth="1"/>
    <col min="21" max="28" width="0" hidden="1" customWidth="1"/>
    <col min="29" max="29" width="11.88671875" hidden="1" customWidth="1"/>
    <col min="30" max="34" width="0" hidden="1" customWidth="1"/>
  </cols>
  <sheetData>
    <row r="1" spans="1:34" ht="29.4" customHeight="1" thickBot="1" x14ac:dyDescent="0.35">
      <c r="A1" s="67" t="s">
        <v>267</v>
      </c>
      <c r="B1" s="1" t="s">
        <v>0</v>
      </c>
      <c r="C1" s="1" t="s">
        <v>235</v>
      </c>
      <c r="D1" s="8" t="s">
        <v>47</v>
      </c>
      <c r="E1" s="2" t="s">
        <v>48</v>
      </c>
      <c r="F1" s="8" t="s">
        <v>49</v>
      </c>
      <c r="G1" s="31" t="s">
        <v>50</v>
      </c>
      <c r="H1" s="8" t="s">
        <v>51</v>
      </c>
      <c r="I1" s="2" t="s">
        <v>52</v>
      </c>
      <c r="J1" s="8" t="s">
        <v>53</v>
      </c>
      <c r="K1" s="2" t="s">
        <v>54</v>
      </c>
      <c r="L1" s="1" t="s">
        <v>162</v>
      </c>
      <c r="M1" s="10" t="s">
        <v>163</v>
      </c>
    </row>
    <row r="2" spans="1:34" ht="16.2" customHeight="1" thickBot="1" x14ac:dyDescent="0.35">
      <c r="A2" s="66" t="s">
        <v>360</v>
      </c>
      <c r="B2" s="1" t="s">
        <v>361</v>
      </c>
      <c r="C2" s="1"/>
      <c r="D2" s="9" t="s">
        <v>359</v>
      </c>
      <c r="E2" s="14">
        <v>1</v>
      </c>
      <c r="F2" s="9"/>
      <c r="G2" s="14"/>
      <c r="H2" s="9"/>
      <c r="I2" s="14"/>
      <c r="J2" s="9"/>
      <c r="K2" s="4"/>
      <c r="L2" s="16"/>
      <c r="M2" s="21"/>
      <c r="O2">
        <f>E2+G2+I2+K2</f>
        <v>1</v>
      </c>
      <c r="Q2">
        <f>COUNTIF($B$2:$B$107,Tabla3[[#This Row],[Profesor]])</f>
        <v>1</v>
      </c>
    </row>
    <row r="3" spans="1:34" ht="16.2" customHeight="1" thickBot="1" x14ac:dyDescent="0.35">
      <c r="A3" s="15" t="s">
        <v>424</v>
      </c>
      <c r="B3" s="3" t="s">
        <v>272</v>
      </c>
      <c r="C3" s="3"/>
      <c r="D3" s="9" t="s">
        <v>517</v>
      </c>
      <c r="E3" s="14">
        <v>4</v>
      </c>
      <c r="F3" s="9"/>
      <c r="G3" s="14"/>
      <c r="H3" s="9"/>
      <c r="I3" s="4"/>
      <c r="J3" s="9"/>
      <c r="K3" s="4"/>
      <c r="L3" s="16"/>
      <c r="M3" s="20"/>
      <c r="O3">
        <f t="shared" ref="O3:O64" si="0">E3+G3+I3+K3</f>
        <v>4</v>
      </c>
      <c r="Q3">
        <f>COUNTIF($B$2:$B$107,Tabla3[[#This Row],[Profesor]])</f>
        <v>1</v>
      </c>
    </row>
    <row r="4" spans="1:34" ht="16.2" customHeight="1" thickBot="1" x14ac:dyDescent="0.35">
      <c r="A4" s="15" t="s">
        <v>526</v>
      </c>
      <c r="B4" s="3" t="s">
        <v>527</v>
      </c>
      <c r="C4" s="3"/>
      <c r="D4" s="9" t="s">
        <v>663</v>
      </c>
      <c r="E4" s="14">
        <v>1</v>
      </c>
      <c r="F4" s="9"/>
      <c r="G4" s="14"/>
      <c r="H4" s="9"/>
      <c r="I4" s="4"/>
      <c r="J4" s="9"/>
      <c r="K4" s="4"/>
      <c r="L4" s="16"/>
      <c r="M4" s="20"/>
      <c r="O4">
        <f t="shared" si="0"/>
        <v>1</v>
      </c>
      <c r="Q4">
        <f>COUNTIF($B$2:$B$107,Tabla3[[#This Row],[Profesor]])</f>
        <v>1</v>
      </c>
      <c r="S4" s="15" t="s">
        <v>103</v>
      </c>
      <c r="T4" t="s">
        <v>183</v>
      </c>
      <c r="AB4" s="15" t="s">
        <v>103</v>
      </c>
      <c r="AC4" t="s">
        <v>183</v>
      </c>
    </row>
    <row r="5" spans="1:34" ht="16.2" customHeight="1" thickBot="1" x14ac:dyDescent="0.35">
      <c r="A5" s="15" t="s">
        <v>273</v>
      </c>
      <c r="B5" s="3" t="s">
        <v>423</v>
      </c>
      <c r="C5" s="3"/>
      <c r="D5" s="9" t="s">
        <v>271</v>
      </c>
      <c r="E5" s="14">
        <v>1</v>
      </c>
      <c r="F5" s="9"/>
      <c r="G5" s="14"/>
      <c r="H5" s="9"/>
      <c r="I5" s="4"/>
      <c r="J5" s="9"/>
      <c r="K5" s="4"/>
      <c r="L5" s="16"/>
      <c r="M5" s="20"/>
      <c r="O5">
        <f t="shared" si="0"/>
        <v>1</v>
      </c>
      <c r="Q5">
        <f>COUNTIF($B$2:$B$107,Tabla3[[#This Row],[Profesor]])</f>
        <v>1</v>
      </c>
      <c r="U5" t="s">
        <v>164</v>
      </c>
      <c r="V5" t="s">
        <v>165</v>
      </c>
      <c r="W5" t="s">
        <v>166</v>
      </c>
      <c r="X5" t="s">
        <v>167</v>
      </c>
      <c r="Y5" t="s">
        <v>168</v>
      </c>
      <c r="AD5" t="s">
        <v>164</v>
      </c>
      <c r="AE5" t="s">
        <v>165</v>
      </c>
      <c r="AF5" t="s">
        <v>166</v>
      </c>
      <c r="AG5" t="s">
        <v>167</v>
      </c>
      <c r="AH5" t="s">
        <v>168</v>
      </c>
    </row>
    <row r="6" spans="1:34" ht="16.2" customHeight="1" thickBot="1" x14ac:dyDescent="0.35">
      <c r="A6" s="15" t="s">
        <v>105</v>
      </c>
      <c r="B6" s="3" t="s">
        <v>18</v>
      </c>
      <c r="C6" s="3"/>
      <c r="D6" s="13" t="s">
        <v>8</v>
      </c>
      <c r="E6" s="14">
        <v>1</v>
      </c>
      <c r="F6" s="13" t="s">
        <v>22</v>
      </c>
      <c r="G6" s="14">
        <v>1</v>
      </c>
      <c r="H6" s="13" t="s">
        <v>23</v>
      </c>
      <c r="I6" s="14">
        <v>1</v>
      </c>
      <c r="J6" s="13"/>
      <c r="K6" s="4"/>
      <c r="L6" s="16" t="s">
        <v>501</v>
      </c>
      <c r="M6" s="20"/>
      <c r="O6">
        <f t="shared" si="0"/>
        <v>3</v>
      </c>
      <c r="Q6">
        <f>COUNTIF($B$2:$B$107,Tabla3[[#This Row],[Profesor]])</f>
        <v>1</v>
      </c>
      <c r="T6" t="s">
        <v>154</v>
      </c>
      <c r="U6" t="s">
        <v>155</v>
      </c>
      <c r="V6" t="s">
        <v>155</v>
      </c>
      <c r="W6" t="s">
        <v>155</v>
      </c>
      <c r="X6" t="s">
        <v>155</v>
      </c>
      <c r="Y6" t="s">
        <v>155</v>
      </c>
      <c r="AC6" t="s">
        <v>154</v>
      </c>
      <c r="AD6" t="s">
        <v>155</v>
      </c>
      <c r="AE6" t="s">
        <v>155</v>
      </c>
      <c r="AF6" t="s">
        <v>155</v>
      </c>
      <c r="AG6" t="s">
        <v>155</v>
      </c>
      <c r="AH6" t="s">
        <v>155</v>
      </c>
    </row>
    <row r="7" spans="1:34" ht="16.2" customHeight="1" thickBot="1" x14ac:dyDescent="0.35">
      <c r="A7" s="15" t="s">
        <v>355</v>
      </c>
      <c r="B7" s="3" t="s">
        <v>354</v>
      </c>
      <c r="C7" s="3"/>
      <c r="D7" s="9" t="s">
        <v>353</v>
      </c>
      <c r="E7" s="14">
        <v>1</v>
      </c>
      <c r="F7" s="9"/>
      <c r="G7" s="14"/>
      <c r="H7" s="9"/>
      <c r="I7" s="4"/>
      <c r="J7" s="9"/>
      <c r="K7" s="4"/>
      <c r="L7" s="16"/>
      <c r="M7" s="20"/>
      <c r="O7">
        <f t="shared" si="0"/>
        <v>1</v>
      </c>
      <c r="Q7">
        <f>COUNTIF($B$2:$B$107,Tabla3[[#This Row],[Profesor]])</f>
        <v>1</v>
      </c>
      <c r="T7" t="s">
        <v>156</v>
      </c>
      <c r="U7" t="s">
        <v>22</v>
      </c>
      <c r="V7" t="s">
        <v>155</v>
      </c>
      <c r="W7" t="s">
        <v>22</v>
      </c>
      <c r="X7" t="s">
        <v>155</v>
      </c>
      <c r="Y7" t="s">
        <v>155</v>
      </c>
      <c r="AC7" t="s">
        <v>156</v>
      </c>
      <c r="AD7" t="s">
        <v>22</v>
      </c>
      <c r="AE7" t="s">
        <v>155</v>
      </c>
      <c r="AF7" t="s">
        <v>155</v>
      </c>
      <c r="AG7" t="s">
        <v>155</v>
      </c>
      <c r="AH7" t="s">
        <v>155</v>
      </c>
    </row>
    <row r="8" spans="1:34" ht="16.2" customHeight="1" thickBot="1" x14ac:dyDescent="0.35">
      <c r="A8" s="66" t="s">
        <v>471</v>
      </c>
      <c r="B8" s="3" t="s">
        <v>472</v>
      </c>
      <c r="C8" s="3"/>
      <c r="D8" s="9" t="s">
        <v>462</v>
      </c>
      <c r="E8" s="14">
        <v>2</v>
      </c>
      <c r="F8" s="9"/>
      <c r="G8" s="14"/>
      <c r="H8" s="9"/>
      <c r="I8" s="4"/>
      <c r="J8" s="9"/>
      <c r="K8" s="4"/>
      <c r="L8" s="16"/>
      <c r="M8" s="20"/>
      <c r="O8">
        <f t="shared" si="0"/>
        <v>2</v>
      </c>
      <c r="Q8">
        <f>COUNTIF($B$2:$B$107,Tabla3[[#This Row],[Profesor]])</f>
        <v>1</v>
      </c>
      <c r="T8" t="s">
        <v>157</v>
      </c>
      <c r="U8" t="s">
        <v>22</v>
      </c>
      <c r="V8" t="s">
        <v>75</v>
      </c>
      <c r="W8" t="s">
        <v>22</v>
      </c>
      <c r="X8" t="s">
        <v>155</v>
      </c>
      <c r="Y8" t="s">
        <v>75</v>
      </c>
      <c r="AC8" t="s">
        <v>157</v>
      </c>
      <c r="AD8" t="s">
        <v>22</v>
      </c>
      <c r="AE8" t="s">
        <v>155</v>
      </c>
      <c r="AF8" t="s">
        <v>75</v>
      </c>
      <c r="AG8" t="s">
        <v>22</v>
      </c>
      <c r="AH8" t="s">
        <v>155</v>
      </c>
    </row>
    <row r="9" spans="1:34" ht="16.2" customHeight="1" thickBot="1" x14ac:dyDescent="0.35">
      <c r="A9" s="15" t="s">
        <v>676</v>
      </c>
      <c r="B9" s="3" t="s">
        <v>677</v>
      </c>
      <c r="C9" s="3"/>
      <c r="D9" s="9" t="s">
        <v>686</v>
      </c>
      <c r="E9" s="14">
        <v>1</v>
      </c>
      <c r="F9" s="9"/>
      <c r="G9" s="14"/>
      <c r="H9" s="9"/>
      <c r="I9" s="4"/>
      <c r="J9" s="9"/>
      <c r="K9" s="4"/>
      <c r="L9" s="16"/>
      <c r="M9" s="20"/>
      <c r="O9">
        <f t="shared" si="0"/>
        <v>1</v>
      </c>
      <c r="Q9">
        <f>COUNTIF($B$2:$B$107,Tabla3[[#This Row],[Profesor]])</f>
        <v>1</v>
      </c>
      <c r="T9" t="s">
        <v>158</v>
      </c>
      <c r="U9" t="s">
        <v>155</v>
      </c>
      <c r="V9" t="s">
        <v>75</v>
      </c>
      <c r="W9" t="s">
        <v>22</v>
      </c>
      <c r="X9" t="s">
        <v>155</v>
      </c>
      <c r="Y9" t="s">
        <v>75</v>
      </c>
      <c r="AC9" t="s">
        <v>158</v>
      </c>
      <c r="AD9" t="s">
        <v>22</v>
      </c>
      <c r="AE9" t="s">
        <v>155</v>
      </c>
      <c r="AF9" t="s">
        <v>75</v>
      </c>
      <c r="AG9" t="s">
        <v>22</v>
      </c>
      <c r="AH9" t="s">
        <v>155</v>
      </c>
    </row>
    <row r="10" spans="1:34" ht="16.2" customHeight="1" thickBot="1" x14ac:dyDescent="0.35">
      <c r="A10" s="15" t="s">
        <v>109</v>
      </c>
      <c r="B10" s="3" t="s">
        <v>2</v>
      </c>
      <c r="C10" s="3"/>
      <c r="D10" s="13" t="s">
        <v>6</v>
      </c>
      <c r="E10" s="14">
        <v>1</v>
      </c>
      <c r="F10" s="13"/>
      <c r="G10" s="14"/>
      <c r="H10" s="13"/>
      <c r="I10" s="14"/>
      <c r="J10" s="13"/>
      <c r="K10" s="4"/>
      <c r="L10" s="16"/>
      <c r="M10" s="20"/>
      <c r="O10">
        <f t="shared" si="0"/>
        <v>1</v>
      </c>
      <c r="Q10">
        <f>COUNTIF($B$2:$B$107,Tabla3[[#This Row],[Profesor]])</f>
        <v>1</v>
      </c>
      <c r="T10" t="s">
        <v>159</v>
      </c>
      <c r="U10" t="s">
        <v>155</v>
      </c>
      <c r="V10" t="s">
        <v>155</v>
      </c>
      <c r="W10" t="s">
        <v>155</v>
      </c>
      <c r="X10" t="s">
        <v>155</v>
      </c>
      <c r="Y10" t="s">
        <v>155</v>
      </c>
      <c r="AC10" t="s">
        <v>159</v>
      </c>
      <c r="AD10" t="s">
        <v>75</v>
      </c>
      <c r="AE10" t="s">
        <v>155</v>
      </c>
      <c r="AF10" t="s">
        <v>155</v>
      </c>
      <c r="AG10" t="s">
        <v>155</v>
      </c>
      <c r="AH10" t="s">
        <v>155</v>
      </c>
    </row>
    <row r="11" spans="1:34" ht="16.2" customHeight="1" thickBot="1" x14ac:dyDescent="0.35">
      <c r="A11" s="15" t="s">
        <v>426</v>
      </c>
      <c r="B11" s="3" t="s">
        <v>264</v>
      </c>
      <c r="C11" s="3"/>
      <c r="D11" s="9" t="s">
        <v>95</v>
      </c>
      <c r="E11" s="14">
        <v>1</v>
      </c>
      <c r="F11" s="9"/>
      <c r="G11" s="14"/>
      <c r="H11" s="9"/>
      <c r="I11" s="4"/>
      <c r="J11" s="9"/>
      <c r="K11" s="4"/>
      <c r="L11" s="16"/>
      <c r="M11" s="20"/>
      <c r="O11">
        <f t="shared" si="0"/>
        <v>1</v>
      </c>
      <c r="Q11">
        <f>COUNTIF($B$2:$B$107,Tabla3[[#This Row],[Profesor]])</f>
        <v>1</v>
      </c>
      <c r="T11" t="s">
        <v>170</v>
      </c>
      <c r="U11" t="s">
        <v>155</v>
      </c>
      <c r="V11" t="s">
        <v>155</v>
      </c>
      <c r="W11" t="s">
        <v>155</v>
      </c>
      <c r="X11" t="s">
        <v>155</v>
      </c>
      <c r="Y11" t="s">
        <v>155</v>
      </c>
      <c r="AC11" t="s">
        <v>170</v>
      </c>
      <c r="AD11" t="s">
        <v>155</v>
      </c>
      <c r="AE11" t="s">
        <v>155</v>
      </c>
      <c r="AF11" t="s">
        <v>155</v>
      </c>
      <c r="AG11" t="s">
        <v>155</v>
      </c>
      <c r="AH11" t="s">
        <v>155</v>
      </c>
    </row>
    <row r="12" spans="1:34" ht="16.2" customHeight="1" thickBot="1" x14ac:dyDescent="0.35">
      <c r="A12" s="15" t="s">
        <v>427</v>
      </c>
      <c r="B12" s="3" t="s">
        <v>404</v>
      </c>
      <c r="C12" s="3"/>
      <c r="D12" s="9" t="s">
        <v>401</v>
      </c>
      <c r="E12" s="14">
        <v>1</v>
      </c>
      <c r="F12" s="9"/>
      <c r="G12" s="14"/>
      <c r="H12" s="9"/>
      <c r="I12" s="4"/>
      <c r="J12" s="9"/>
      <c r="K12" s="4"/>
      <c r="L12" s="16"/>
      <c r="M12" s="20"/>
      <c r="O12">
        <f t="shared" si="0"/>
        <v>1</v>
      </c>
      <c r="Q12">
        <f>COUNTIF($B$2:$B$107,Tabla3[[#This Row],[Profesor]])</f>
        <v>1</v>
      </c>
      <c r="T12" t="s">
        <v>172</v>
      </c>
      <c r="U12" t="s">
        <v>155</v>
      </c>
      <c r="V12" t="s">
        <v>155</v>
      </c>
      <c r="W12" t="s">
        <v>155</v>
      </c>
      <c r="X12" t="s">
        <v>155</v>
      </c>
      <c r="Y12" t="s">
        <v>155</v>
      </c>
      <c r="AC12" t="s">
        <v>172</v>
      </c>
      <c r="AD12" t="s">
        <v>155</v>
      </c>
      <c r="AE12" t="s">
        <v>155</v>
      </c>
      <c r="AF12" t="s">
        <v>155</v>
      </c>
      <c r="AG12" t="s">
        <v>155</v>
      </c>
      <c r="AH12" t="s">
        <v>155</v>
      </c>
    </row>
    <row r="13" spans="1:34" ht="16.2" customHeight="1" thickBot="1" x14ac:dyDescent="0.35">
      <c r="A13" s="15" t="s">
        <v>531</v>
      </c>
      <c r="B13" s="1" t="s">
        <v>532</v>
      </c>
      <c r="C13" s="1"/>
      <c r="D13" s="9" t="s">
        <v>373</v>
      </c>
      <c r="E13" s="14">
        <v>1</v>
      </c>
      <c r="F13" s="9" t="s">
        <v>538</v>
      </c>
      <c r="G13" s="14">
        <v>1</v>
      </c>
      <c r="H13" s="9"/>
      <c r="I13" s="4"/>
      <c r="J13" s="13"/>
      <c r="K13" s="4"/>
      <c r="L13" s="16" t="s">
        <v>542</v>
      </c>
      <c r="M13" s="21"/>
      <c r="O13">
        <f t="shared" si="0"/>
        <v>2</v>
      </c>
      <c r="Q13">
        <f>COUNTIF($B$2:$B$107,Tabla3[[#This Row],[Profesor]])</f>
        <v>1</v>
      </c>
    </row>
    <row r="14" spans="1:34" ht="16.2" customHeight="1" thickBot="1" x14ac:dyDescent="0.35">
      <c r="A14" s="15" t="s">
        <v>519</v>
      </c>
      <c r="B14" s="105" t="s">
        <v>518</v>
      </c>
      <c r="C14" s="1"/>
      <c r="D14" s="9" t="s">
        <v>274</v>
      </c>
      <c r="E14" s="14">
        <v>1</v>
      </c>
      <c r="F14" s="9"/>
      <c r="G14" s="14"/>
      <c r="H14" s="9"/>
      <c r="I14" s="4"/>
      <c r="J14" s="9"/>
      <c r="K14" s="4"/>
      <c r="L14" s="16"/>
      <c r="M14" s="21"/>
      <c r="O14">
        <f t="shared" si="0"/>
        <v>1</v>
      </c>
      <c r="Q14">
        <f>COUNTIF($B$2:$B$107,Tabla3[[#This Row],[Profesor]])</f>
        <v>1</v>
      </c>
      <c r="S14" s="15" t="s">
        <v>104</v>
      </c>
      <c r="T14" t="s">
        <v>184</v>
      </c>
      <c r="AB14" s="15" t="s">
        <v>104</v>
      </c>
      <c r="AC14" t="s">
        <v>184</v>
      </c>
    </row>
    <row r="15" spans="1:34" ht="16.2" customHeight="1" thickBot="1" x14ac:dyDescent="0.35">
      <c r="A15" s="15" t="s">
        <v>428</v>
      </c>
      <c r="B15" s="1" t="s">
        <v>14</v>
      </c>
      <c r="C15" s="1"/>
      <c r="D15" s="13" t="s">
        <v>516</v>
      </c>
      <c r="E15" s="14">
        <v>4</v>
      </c>
      <c r="F15" s="13"/>
      <c r="G15" s="14"/>
      <c r="H15" s="13"/>
      <c r="I15" s="14"/>
      <c r="J15" s="13"/>
      <c r="K15" s="4"/>
      <c r="L15" s="16"/>
      <c r="M15" s="21"/>
      <c r="O15">
        <f t="shared" si="0"/>
        <v>4</v>
      </c>
      <c r="Q15">
        <f>COUNTIF($B$2:$B$107,Tabla3[[#This Row],[Profesor]])</f>
        <v>1</v>
      </c>
      <c r="U15" t="s">
        <v>164</v>
      </c>
      <c r="V15" t="s">
        <v>165</v>
      </c>
      <c r="W15" t="s">
        <v>166</v>
      </c>
      <c r="X15" t="s">
        <v>167</v>
      </c>
      <c r="Y15" t="s">
        <v>168</v>
      </c>
      <c r="AD15" t="s">
        <v>164</v>
      </c>
      <c r="AE15" t="s">
        <v>165</v>
      </c>
      <c r="AF15" t="s">
        <v>166</v>
      </c>
      <c r="AG15" t="s">
        <v>167</v>
      </c>
      <c r="AH15" t="s">
        <v>168</v>
      </c>
    </row>
    <row r="16" spans="1:34" ht="16.2" customHeight="1" thickBot="1" x14ac:dyDescent="0.35">
      <c r="A16" s="15" t="s">
        <v>673</v>
      </c>
      <c r="B16" s="1" t="s">
        <v>674</v>
      </c>
      <c r="C16" s="1"/>
      <c r="D16" s="9" t="s">
        <v>410</v>
      </c>
      <c r="E16" s="14">
        <v>1</v>
      </c>
      <c r="F16" s="9" t="s">
        <v>691</v>
      </c>
      <c r="G16" s="14">
        <v>1</v>
      </c>
      <c r="H16" s="9"/>
      <c r="I16" s="4"/>
      <c r="J16" s="9"/>
      <c r="K16" s="4"/>
      <c r="L16" s="16"/>
      <c r="M16" s="21"/>
      <c r="O16">
        <f t="shared" si="0"/>
        <v>2</v>
      </c>
      <c r="Q16">
        <f>COUNTIF($B$2:$B$107,Tabla3[[#This Row],[Profesor]])</f>
        <v>1</v>
      </c>
      <c r="T16" t="s">
        <v>154</v>
      </c>
      <c r="U16" t="s">
        <v>155</v>
      </c>
      <c r="V16" t="s">
        <v>155</v>
      </c>
      <c r="W16" t="s">
        <v>155</v>
      </c>
      <c r="X16" t="s">
        <v>155</v>
      </c>
      <c r="Y16" t="s">
        <v>155</v>
      </c>
      <c r="AC16" t="s">
        <v>154</v>
      </c>
      <c r="AD16" t="s">
        <v>155</v>
      </c>
      <c r="AE16" t="s">
        <v>155</v>
      </c>
      <c r="AF16" t="s">
        <v>155</v>
      </c>
      <c r="AG16" t="s">
        <v>155</v>
      </c>
      <c r="AH16" t="s">
        <v>155</v>
      </c>
    </row>
    <row r="17" spans="1:34" ht="16.2" customHeight="1" thickBot="1" x14ac:dyDescent="0.35">
      <c r="A17" s="15" t="s">
        <v>248</v>
      </c>
      <c r="B17" s="1" t="s">
        <v>247</v>
      </c>
      <c r="C17" s="1"/>
      <c r="D17" s="9" t="s">
        <v>244</v>
      </c>
      <c r="E17" s="14">
        <v>1</v>
      </c>
      <c r="F17" s="9" t="s">
        <v>257</v>
      </c>
      <c r="G17" s="14">
        <v>1</v>
      </c>
      <c r="H17" s="9"/>
      <c r="I17" s="4"/>
      <c r="J17" s="9"/>
      <c r="K17" s="4"/>
      <c r="L17" s="16"/>
      <c r="M17" s="21"/>
      <c r="O17">
        <f t="shared" si="0"/>
        <v>2</v>
      </c>
      <c r="Q17">
        <f>COUNTIF($B$2:$B$107,Tabla3[[#This Row],[Profesor]])</f>
        <v>1</v>
      </c>
      <c r="T17" t="s">
        <v>156</v>
      </c>
      <c r="U17" t="s">
        <v>155</v>
      </c>
      <c r="V17" t="s">
        <v>155</v>
      </c>
      <c r="W17" t="s">
        <v>155</v>
      </c>
      <c r="X17" t="s">
        <v>155</v>
      </c>
      <c r="Y17" t="s">
        <v>155</v>
      </c>
      <c r="AC17" t="s">
        <v>156</v>
      </c>
      <c r="AD17" t="s">
        <v>155</v>
      </c>
      <c r="AE17" t="s">
        <v>155</v>
      </c>
      <c r="AF17" t="s">
        <v>155</v>
      </c>
      <c r="AG17" t="s">
        <v>155</v>
      </c>
      <c r="AH17" t="s">
        <v>155</v>
      </c>
    </row>
    <row r="18" spans="1:34" ht="16.2" customHeight="1" thickBot="1" x14ac:dyDescent="0.35">
      <c r="A18" s="15" t="s">
        <v>363</v>
      </c>
      <c r="B18" s="1" t="s">
        <v>364</v>
      </c>
      <c r="C18" s="1"/>
      <c r="D18" s="9" t="s">
        <v>362</v>
      </c>
      <c r="E18" s="14">
        <v>1</v>
      </c>
      <c r="F18" s="9"/>
      <c r="G18" s="14"/>
      <c r="H18" s="9"/>
      <c r="I18" s="4"/>
      <c r="J18" s="9"/>
      <c r="K18" s="4"/>
      <c r="L18" s="16"/>
      <c r="M18" s="21"/>
      <c r="O18">
        <f t="shared" si="0"/>
        <v>1</v>
      </c>
      <c r="Q18">
        <f>COUNTIF($B$2:$B$107,Tabla3[[#This Row],[Profesor]])</f>
        <v>1</v>
      </c>
      <c r="T18" t="s">
        <v>157</v>
      </c>
      <c r="U18" t="s">
        <v>155</v>
      </c>
      <c r="V18" t="s">
        <v>155</v>
      </c>
      <c r="W18" t="s">
        <v>155</v>
      </c>
      <c r="X18" t="s">
        <v>155</v>
      </c>
      <c r="Y18" t="s">
        <v>155</v>
      </c>
      <c r="AC18" t="s">
        <v>157</v>
      </c>
      <c r="AD18" t="s">
        <v>155</v>
      </c>
      <c r="AE18" t="s">
        <v>155</v>
      </c>
      <c r="AF18" t="s">
        <v>155</v>
      </c>
      <c r="AG18" t="s">
        <v>155</v>
      </c>
      <c r="AH18" t="s">
        <v>155</v>
      </c>
    </row>
    <row r="19" spans="1:34" ht="16.2" customHeight="1" thickBot="1" x14ac:dyDescent="0.35">
      <c r="A19" s="15" t="s">
        <v>338</v>
      </c>
      <c r="B19" s="1" t="s">
        <v>337</v>
      </c>
      <c r="C19" s="1"/>
      <c r="D19" s="9" t="s">
        <v>336</v>
      </c>
      <c r="E19" s="14">
        <v>2</v>
      </c>
      <c r="F19" s="9"/>
      <c r="G19" s="14"/>
      <c r="H19" s="9"/>
      <c r="I19" s="4"/>
      <c r="J19" s="9"/>
      <c r="K19" s="4"/>
      <c r="L19" s="16"/>
      <c r="M19" s="21"/>
      <c r="O19">
        <f t="shared" si="0"/>
        <v>2</v>
      </c>
      <c r="Q19">
        <f>COUNTIF($B$2:$B$107,Tabla3[[#This Row],[Profesor]])</f>
        <v>1</v>
      </c>
      <c r="T19" t="s">
        <v>158</v>
      </c>
      <c r="U19" t="s">
        <v>155</v>
      </c>
      <c r="V19" t="s">
        <v>22</v>
      </c>
      <c r="W19" t="s">
        <v>155</v>
      </c>
      <c r="X19" t="s">
        <v>155</v>
      </c>
      <c r="Y19" t="s">
        <v>155</v>
      </c>
      <c r="AC19" t="s">
        <v>158</v>
      </c>
      <c r="AD19" t="s">
        <v>155</v>
      </c>
      <c r="AE19" t="s">
        <v>22</v>
      </c>
      <c r="AF19" t="s">
        <v>155</v>
      </c>
      <c r="AG19" t="s">
        <v>155</v>
      </c>
      <c r="AH19" t="s">
        <v>155</v>
      </c>
    </row>
    <row r="20" spans="1:34" ht="16.2" customHeight="1" thickBot="1" x14ac:dyDescent="0.35">
      <c r="A20" s="15" t="s">
        <v>126</v>
      </c>
      <c r="B20" s="1" t="s">
        <v>65</v>
      </c>
      <c r="C20" s="1"/>
      <c r="D20" s="13" t="s">
        <v>90</v>
      </c>
      <c r="E20" s="14">
        <v>1</v>
      </c>
      <c r="F20" s="13" t="s">
        <v>411</v>
      </c>
      <c r="G20" s="14">
        <v>1</v>
      </c>
      <c r="H20" s="13"/>
      <c r="I20" s="14"/>
      <c r="J20" s="13"/>
      <c r="K20" s="4"/>
      <c r="L20" s="16"/>
      <c r="M20" s="21"/>
      <c r="O20">
        <f t="shared" si="0"/>
        <v>2</v>
      </c>
      <c r="Q20">
        <f>COUNTIF($B$2:$B$107,Tabla3[[#This Row],[Profesor]])</f>
        <v>1</v>
      </c>
      <c r="T20" t="s">
        <v>159</v>
      </c>
      <c r="U20" t="s">
        <v>155</v>
      </c>
      <c r="V20" t="s">
        <v>22</v>
      </c>
      <c r="W20" t="s">
        <v>155</v>
      </c>
      <c r="X20" t="s">
        <v>22</v>
      </c>
      <c r="Y20" t="s">
        <v>155</v>
      </c>
      <c r="AC20" t="s">
        <v>159</v>
      </c>
      <c r="AD20" t="s">
        <v>155</v>
      </c>
      <c r="AE20" t="s">
        <v>22</v>
      </c>
      <c r="AF20" t="s">
        <v>155</v>
      </c>
      <c r="AG20" t="s">
        <v>22</v>
      </c>
      <c r="AH20" t="s">
        <v>155</v>
      </c>
    </row>
    <row r="21" spans="1:34" ht="16.2" customHeight="1" thickBot="1" x14ac:dyDescent="0.35">
      <c r="A21" s="15" t="s">
        <v>414</v>
      </c>
      <c r="B21" s="1" t="s">
        <v>415</v>
      </c>
      <c r="C21" s="1"/>
      <c r="D21" s="9" t="s">
        <v>413</v>
      </c>
      <c r="E21" s="14">
        <v>1</v>
      </c>
      <c r="F21" s="9" t="s">
        <v>470</v>
      </c>
      <c r="G21" s="14">
        <v>1</v>
      </c>
      <c r="H21" s="9"/>
      <c r="I21" s="4"/>
      <c r="J21" s="9"/>
      <c r="K21" s="4"/>
      <c r="L21" s="16"/>
      <c r="M21" s="21"/>
      <c r="O21">
        <f t="shared" si="0"/>
        <v>2</v>
      </c>
      <c r="Q21">
        <f>COUNTIF($B$2:$B$107,Tabla3[[#This Row],[Profesor]])</f>
        <v>1</v>
      </c>
    </row>
    <row r="22" spans="1:34" ht="16.2" customHeight="1" thickBot="1" x14ac:dyDescent="0.35">
      <c r="A22" s="15" t="s">
        <v>658</v>
      </c>
      <c r="B22" s="1" t="s">
        <v>539</v>
      </c>
      <c r="C22" s="1"/>
      <c r="D22" s="9" t="s">
        <v>537</v>
      </c>
      <c r="E22" s="14">
        <v>1</v>
      </c>
      <c r="F22" s="9"/>
      <c r="G22" s="14"/>
      <c r="H22" s="9"/>
      <c r="I22" s="4"/>
      <c r="J22" s="9"/>
      <c r="K22" s="4"/>
      <c r="L22" s="16"/>
      <c r="M22" s="21"/>
      <c r="O22">
        <f t="shared" si="0"/>
        <v>1</v>
      </c>
      <c r="Q22">
        <f>COUNTIF($B$2:$B$107,Tabla3[[#This Row],[Profesor]])</f>
        <v>1</v>
      </c>
      <c r="S22" s="15" t="s">
        <v>105</v>
      </c>
      <c r="T22" t="s">
        <v>185</v>
      </c>
      <c r="AB22" s="15" t="s">
        <v>105</v>
      </c>
      <c r="AC22" t="s">
        <v>185</v>
      </c>
    </row>
    <row r="23" spans="1:34" ht="16.2" customHeight="1" thickBot="1" x14ac:dyDescent="0.35">
      <c r="A23" s="15" t="s">
        <v>149</v>
      </c>
      <c r="B23" s="1" t="s">
        <v>72</v>
      </c>
      <c r="C23" s="1" t="s">
        <v>237</v>
      </c>
      <c r="D23" s="9" t="s">
        <v>362</v>
      </c>
      <c r="E23" s="14">
        <v>1</v>
      </c>
      <c r="F23" s="9" t="s">
        <v>534</v>
      </c>
      <c r="G23" s="14">
        <v>1</v>
      </c>
      <c r="H23" s="9"/>
      <c r="I23" s="4"/>
      <c r="J23" s="9"/>
      <c r="K23" s="4"/>
      <c r="L23" s="16"/>
      <c r="M23" s="21"/>
      <c r="O23">
        <f t="shared" si="0"/>
        <v>2</v>
      </c>
      <c r="Q23">
        <f>COUNTIF($B$2:$B$107,Tabla3[[#This Row],[Profesor]])</f>
        <v>1</v>
      </c>
      <c r="T23" t="s">
        <v>154</v>
      </c>
      <c r="U23" t="s">
        <v>155</v>
      </c>
      <c r="V23" t="s">
        <v>155</v>
      </c>
      <c r="W23" t="s">
        <v>155</v>
      </c>
      <c r="X23" t="s">
        <v>155</v>
      </c>
      <c r="Y23" t="s">
        <v>155</v>
      </c>
      <c r="AC23" t="s">
        <v>154</v>
      </c>
      <c r="AD23" t="s">
        <v>155</v>
      </c>
      <c r="AE23" t="s">
        <v>155</v>
      </c>
      <c r="AF23" t="s">
        <v>155</v>
      </c>
      <c r="AG23" t="s">
        <v>155</v>
      </c>
      <c r="AH23" t="s">
        <v>155</v>
      </c>
    </row>
    <row r="24" spans="1:34" ht="16.2" customHeight="1" thickBot="1" x14ac:dyDescent="0.35">
      <c r="A24" s="15" t="s">
        <v>429</v>
      </c>
      <c r="B24" s="1" t="s">
        <v>43</v>
      </c>
      <c r="C24" s="1"/>
      <c r="D24" s="13" t="s">
        <v>102</v>
      </c>
      <c r="E24" s="14">
        <v>1</v>
      </c>
      <c r="F24" s="13" t="s">
        <v>356</v>
      </c>
      <c r="G24" s="14">
        <v>1</v>
      </c>
      <c r="H24" s="13" t="s">
        <v>283</v>
      </c>
      <c r="I24" s="14">
        <v>1</v>
      </c>
      <c r="J24" s="13"/>
      <c r="K24" s="4"/>
      <c r="L24" s="16"/>
      <c r="M24" s="21"/>
      <c r="O24">
        <f t="shared" si="0"/>
        <v>3</v>
      </c>
      <c r="Q24">
        <f>COUNTIF($B$2:$B$107,Tabla3[[#This Row],[Profesor]])</f>
        <v>1</v>
      </c>
      <c r="T24" t="s">
        <v>156</v>
      </c>
      <c r="U24" t="s">
        <v>155</v>
      </c>
      <c r="V24" t="s">
        <v>155</v>
      </c>
      <c r="W24" t="s">
        <v>155</v>
      </c>
      <c r="X24" t="s">
        <v>155</v>
      </c>
      <c r="Y24" t="s">
        <v>155</v>
      </c>
      <c r="AC24" t="s">
        <v>156</v>
      </c>
      <c r="AD24" t="s">
        <v>155</v>
      </c>
      <c r="AE24" t="s">
        <v>155</v>
      </c>
      <c r="AF24" t="s">
        <v>155</v>
      </c>
      <c r="AG24" t="s">
        <v>155</v>
      </c>
      <c r="AH24" t="s">
        <v>155</v>
      </c>
    </row>
    <row r="25" spans="1:34" ht="16.2" customHeight="1" thickBot="1" x14ac:dyDescent="0.35">
      <c r="A25" s="15" t="s">
        <v>409</v>
      </c>
      <c r="B25" s="1" t="s">
        <v>408</v>
      </c>
      <c r="C25" s="1"/>
      <c r="D25" s="9" t="s">
        <v>666</v>
      </c>
      <c r="E25" s="14">
        <v>1</v>
      </c>
      <c r="F25" s="9"/>
      <c r="G25" s="14"/>
      <c r="H25" s="9"/>
      <c r="I25" s="4"/>
      <c r="J25" s="9"/>
      <c r="K25" s="4"/>
      <c r="L25" s="16"/>
      <c r="M25" s="21"/>
      <c r="O25">
        <f t="shared" si="0"/>
        <v>1</v>
      </c>
      <c r="Q25">
        <f>COUNTIF($B$2:$B$107,Tabla3[[#This Row],[Profesor]])</f>
        <v>1</v>
      </c>
      <c r="T25" t="s">
        <v>157</v>
      </c>
      <c r="U25" t="s">
        <v>155</v>
      </c>
      <c r="V25" t="s">
        <v>155</v>
      </c>
      <c r="W25" t="s">
        <v>155</v>
      </c>
      <c r="X25" t="s">
        <v>22</v>
      </c>
      <c r="Y25" t="s">
        <v>155</v>
      </c>
      <c r="AC25" t="s">
        <v>157</v>
      </c>
      <c r="AD25" t="s">
        <v>155</v>
      </c>
      <c r="AE25" t="s">
        <v>155</v>
      </c>
      <c r="AF25" t="s">
        <v>155</v>
      </c>
      <c r="AG25" t="s">
        <v>155</v>
      </c>
      <c r="AH25" t="s">
        <v>155</v>
      </c>
    </row>
    <row r="26" spans="1:34" ht="16.2" customHeight="1" thickBot="1" x14ac:dyDescent="0.35">
      <c r="A26" s="15" t="s">
        <v>119</v>
      </c>
      <c r="B26" s="1" t="s">
        <v>15</v>
      </c>
      <c r="C26" s="1" t="s">
        <v>237</v>
      </c>
      <c r="D26" s="13" t="s">
        <v>243</v>
      </c>
      <c r="E26" s="14">
        <v>1</v>
      </c>
      <c r="F26" s="13" t="s">
        <v>6</v>
      </c>
      <c r="G26" s="14">
        <v>1</v>
      </c>
      <c r="H26" s="13"/>
      <c r="I26" s="4"/>
      <c r="J26" s="13"/>
      <c r="K26" s="4"/>
      <c r="L26" s="16" t="s">
        <v>501</v>
      </c>
      <c r="M26" s="21"/>
      <c r="O26">
        <f t="shared" si="0"/>
        <v>2</v>
      </c>
      <c r="Q26">
        <f>COUNTIF($B$2:$B$107,Tabla3[[#This Row],[Profesor]])</f>
        <v>1</v>
      </c>
      <c r="T26" t="s">
        <v>158</v>
      </c>
      <c r="U26" t="s">
        <v>155</v>
      </c>
      <c r="V26" t="s">
        <v>155</v>
      </c>
      <c r="W26" t="s">
        <v>155</v>
      </c>
      <c r="X26" t="s">
        <v>22</v>
      </c>
      <c r="Y26" t="s">
        <v>155</v>
      </c>
      <c r="AC26" t="s">
        <v>158</v>
      </c>
      <c r="AD26" t="s">
        <v>155</v>
      </c>
      <c r="AE26" t="s">
        <v>155</v>
      </c>
      <c r="AF26" t="s">
        <v>155</v>
      </c>
      <c r="AG26" t="s">
        <v>22</v>
      </c>
      <c r="AH26" t="s">
        <v>155</v>
      </c>
    </row>
    <row r="27" spans="1:34" ht="16.2" customHeight="1" thickBot="1" x14ac:dyDescent="0.35">
      <c r="A27" s="15" t="s">
        <v>148</v>
      </c>
      <c r="B27" s="1" t="s">
        <v>533</v>
      </c>
      <c r="C27" s="1"/>
      <c r="D27" s="9" t="s">
        <v>536</v>
      </c>
      <c r="E27" s="14">
        <v>1</v>
      </c>
      <c r="F27" s="9" t="s">
        <v>664</v>
      </c>
      <c r="G27" s="14">
        <v>1</v>
      </c>
      <c r="H27" s="9"/>
      <c r="I27" s="4"/>
      <c r="J27" s="13"/>
      <c r="K27" s="4"/>
      <c r="L27" s="16"/>
      <c r="M27" s="21"/>
      <c r="O27">
        <f t="shared" si="0"/>
        <v>2</v>
      </c>
      <c r="Q27">
        <f>COUNTIF($B$2:$B$107,Tabla3[[#This Row],[Profesor]])</f>
        <v>1</v>
      </c>
      <c r="T27" t="s">
        <v>159</v>
      </c>
      <c r="U27" t="s">
        <v>155</v>
      </c>
      <c r="V27" t="s">
        <v>22</v>
      </c>
      <c r="W27" t="s">
        <v>155</v>
      </c>
      <c r="X27" t="s">
        <v>22</v>
      </c>
      <c r="Y27" t="s">
        <v>155</v>
      </c>
      <c r="AC27" t="s">
        <v>159</v>
      </c>
      <c r="AD27" t="s">
        <v>155</v>
      </c>
      <c r="AE27" t="s">
        <v>22</v>
      </c>
      <c r="AF27" t="s">
        <v>155</v>
      </c>
      <c r="AG27" t="s">
        <v>22</v>
      </c>
      <c r="AH27" t="s">
        <v>155</v>
      </c>
    </row>
    <row r="28" spans="1:34" ht="16.2" customHeight="1" thickBot="1" x14ac:dyDescent="0.35">
      <c r="A28" s="66" t="s">
        <v>377</v>
      </c>
      <c r="B28" s="1" t="s">
        <v>378</v>
      </c>
      <c r="C28" s="1"/>
      <c r="D28" s="9" t="s">
        <v>375</v>
      </c>
      <c r="E28" s="14">
        <v>1</v>
      </c>
      <c r="F28" s="9"/>
      <c r="G28" s="14"/>
      <c r="H28" s="9"/>
      <c r="I28" s="4"/>
      <c r="J28" s="9"/>
      <c r="K28" s="4"/>
      <c r="L28" s="16"/>
      <c r="M28" s="21"/>
      <c r="O28">
        <f t="shared" si="0"/>
        <v>1</v>
      </c>
      <c r="Q28">
        <f>COUNTIF($B$2:$B$107,Tabla3[[#This Row],[Profesor]])</f>
        <v>1</v>
      </c>
      <c r="T28" t="s">
        <v>160</v>
      </c>
      <c r="U28" t="s">
        <v>155</v>
      </c>
      <c r="V28" t="s">
        <v>22</v>
      </c>
      <c r="W28" t="s">
        <v>155</v>
      </c>
      <c r="X28" t="s">
        <v>155</v>
      </c>
      <c r="Y28" t="s">
        <v>155</v>
      </c>
      <c r="AC28" t="s">
        <v>160</v>
      </c>
      <c r="AD28" t="s">
        <v>155</v>
      </c>
      <c r="AE28" t="s">
        <v>22</v>
      </c>
      <c r="AF28" t="s">
        <v>155</v>
      </c>
      <c r="AG28" t="s">
        <v>22</v>
      </c>
      <c r="AH28" t="s">
        <v>155</v>
      </c>
    </row>
    <row r="29" spans="1:34" ht="16.2" customHeight="1" thickBot="1" x14ac:dyDescent="0.35">
      <c r="A29" s="15" t="s">
        <v>694</v>
      </c>
      <c r="B29" s="1" t="s">
        <v>688</v>
      </c>
      <c r="C29" s="1"/>
      <c r="D29" s="9" t="s">
        <v>530</v>
      </c>
      <c r="E29" s="14">
        <v>2</v>
      </c>
      <c r="F29" s="9"/>
      <c r="G29" s="14"/>
      <c r="H29" s="9"/>
      <c r="I29" s="4"/>
      <c r="J29" s="9"/>
      <c r="K29" s="4"/>
      <c r="L29" s="16"/>
      <c r="M29" s="21"/>
      <c r="O29">
        <f t="shared" si="0"/>
        <v>2</v>
      </c>
      <c r="Q29">
        <f>COUNTIF($B$2:$B$107,Tabla3[[#This Row],[Profesor]])</f>
        <v>1</v>
      </c>
      <c r="T29" t="s">
        <v>170</v>
      </c>
      <c r="U29" t="s">
        <v>155</v>
      </c>
      <c r="V29" t="s">
        <v>8</v>
      </c>
      <c r="W29" t="s">
        <v>155</v>
      </c>
      <c r="X29" t="s">
        <v>8</v>
      </c>
      <c r="Y29" t="s">
        <v>155</v>
      </c>
      <c r="AC29" t="s">
        <v>170</v>
      </c>
      <c r="AD29" t="s">
        <v>155</v>
      </c>
      <c r="AE29" t="s">
        <v>8</v>
      </c>
      <c r="AF29" t="s">
        <v>155</v>
      </c>
      <c r="AG29" t="s">
        <v>8</v>
      </c>
      <c r="AH29" t="s">
        <v>155</v>
      </c>
    </row>
    <row r="30" spans="1:34" ht="16.2" customHeight="1" thickBot="1" x14ac:dyDescent="0.35">
      <c r="A30" s="15" t="s">
        <v>340</v>
      </c>
      <c r="B30" s="1" t="s">
        <v>341</v>
      </c>
      <c r="C30" s="1"/>
      <c r="D30" s="9" t="s">
        <v>339</v>
      </c>
      <c r="E30" s="14">
        <v>1</v>
      </c>
      <c r="F30" s="9"/>
      <c r="G30" s="14"/>
      <c r="H30" s="9"/>
      <c r="I30" s="4"/>
      <c r="J30" s="9"/>
      <c r="K30" s="4"/>
      <c r="L30" s="16"/>
      <c r="M30" s="21"/>
      <c r="O30">
        <f t="shared" si="0"/>
        <v>1</v>
      </c>
      <c r="Q30">
        <f>COUNTIF($B$2:$B$107,Tabla3[[#This Row],[Profesor]])</f>
        <v>1</v>
      </c>
      <c r="T30" t="s">
        <v>171</v>
      </c>
      <c r="U30" t="s">
        <v>155</v>
      </c>
      <c r="V30" t="s">
        <v>155</v>
      </c>
      <c r="W30" t="s">
        <v>155</v>
      </c>
      <c r="X30" t="s">
        <v>8</v>
      </c>
      <c r="Y30" t="s">
        <v>155</v>
      </c>
      <c r="AC30" t="s">
        <v>171</v>
      </c>
      <c r="AD30" t="s">
        <v>155</v>
      </c>
      <c r="AE30" t="s">
        <v>155</v>
      </c>
      <c r="AF30" t="s">
        <v>155</v>
      </c>
      <c r="AG30" t="s">
        <v>8</v>
      </c>
      <c r="AH30" t="s">
        <v>155</v>
      </c>
    </row>
    <row r="31" spans="1:34" ht="16.2" customHeight="1" thickBot="1" x14ac:dyDescent="0.35">
      <c r="A31" s="15" t="s">
        <v>406</v>
      </c>
      <c r="B31" s="1" t="s">
        <v>407</v>
      </c>
      <c r="C31" s="1"/>
      <c r="D31" s="9" t="s">
        <v>405</v>
      </c>
      <c r="E31" s="14">
        <v>1</v>
      </c>
      <c r="F31" s="9"/>
      <c r="G31" s="14"/>
      <c r="H31" s="9"/>
      <c r="I31" s="4"/>
      <c r="J31" s="9"/>
      <c r="K31" s="4"/>
      <c r="L31" s="16"/>
      <c r="M31" s="21"/>
      <c r="O31">
        <f t="shared" si="0"/>
        <v>1</v>
      </c>
      <c r="Q31">
        <f>COUNTIF($B$2:$B$107,Tabla3[[#This Row],[Profesor]])</f>
        <v>1</v>
      </c>
      <c r="T31" t="s">
        <v>172</v>
      </c>
      <c r="U31" t="s">
        <v>155</v>
      </c>
      <c r="V31" t="s">
        <v>155</v>
      </c>
      <c r="W31" t="s">
        <v>155</v>
      </c>
      <c r="X31" t="s">
        <v>155</v>
      </c>
      <c r="Y31" t="s">
        <v>155</v>
      </c>
      <c r="AC31" t="s">
        <v>172</v>
      </c>
      <c r="AD31" t="s">
        <v>155</v>
      </c>
      <c r="AE31" t="s">
        <v>155</v>
      </c>
      <c r="AF31" t="s">
        <v>155</v>
      </c>
      <c r="AG31" t="s">
        <v>155</v>
      </c>
      <c r="AH31" t="s">
        <v>155</v>
      </c>
    </row>
    <row r="32" spans="1:34" ht="16.2" customHeight="1" thickBot="1" x14ac:dyDescent="0.35">
      <c r="A32" s="15" t="s">
        <v>524</v>
      </c>
      <c r="B32" s="1" t="s">
        <v>525</v>
      </c>
      <c r="C32" s="1"/>
      <c r="D32" s="9" t="s">
        <v>665</v>
      </c>
      <c r="E32" s="14">
        <v>1</v>
      </c>
      <c r="F32" s="9"/>
      <c r="G32" s="14"/>
      <c r="H32" s="9"/>
      <c r="I32" s="4"/>
      <c r="J32" s="9"/>
      <c r="K32" s="4"/>
      <c r="L32" s="16"/>
      <c r="M32" s="21"/>
      <c r="O32">
        <f t="shared" si="0"/>
        <v>1</v>
      </c>
      <c r="Q32">
        <f>COUNTIF($B$2:$B$107,Tabla3[[#This Row],[Profesor]])</f>
        <v>1</v>
      </c>
      <c r="T32" t="s">
        <v>154</v>
      </c>
      <c r="U32" t="s">
        <v>23</v>
      </c>
      <c r="V32" t="s">
        <v>155</v>
      </c>
      <c r="W32" t="s">
        <v>23</v>
      </c>
      <c r="X32" t="s">
        <v>155</v>
      </c>
      <c r="Y32" t="s">
        <v>155</v>
      </c>
      <c r="AC32" t="s">
        <v>154</v>
      </c>
      <c r="AD32" t="s">
        <v>75</v>
      </c>
      <c r="AE32" t="s">
        <v>155</v>
      </c>
      <c r="AF32" t="s">
        <v>155</v>
      </c>
      <c r="AG32" t="s">
        <v>155</v>
      </c>
      <c r="AH32" t="s">
        <v>75</v>
      </c>
    </row>
    <row r="33" spans="1:34" ht="16.2" customHeight="1" thickBot="1" x14ac:dyDescent="0.35">
      <c r="A33" s="15" t="s">
        <v>357</v>
      </c>
      <c r="B33" s="1" t="s">
        <v>358</v>
      </c>
      <c r="C33" s="1"/>
      <c r="D33" s="9" t="s">
        <v>259</v>
      </c>
      <c r="E33" s="14">
        <v>1</v>
      </c>
      <c r="F33" s="9"/>
      <c r="G33" s="14"/>
      <c r="H33" s="9"/>
      <c r="I33" s="4"/>
      <c r="J33" s="9"/>
      <c r="K33" s="4"/>
      <c r="L33" s="16"/>
      <c r="M33" s="21"/>
      <c r="O33">
        <f t="shared" si="0"/>
        <v>1</v>
      </c>
      <c r="Q33">
        <f>COUNTIF($B$2:$B$107,Tabla3[[#This Row],[Profesor]])</f>
        <v>1</v>
      </c>
      <c r="T33" t="s">
        <v>158</v>
      </c>
      <c r="U33" t="s">
        <v>155</v>
      </c>
      <c r="V33" t="s">
        <v>155</v>
      </c>
      <c r="W33" t="s">
        <v>75</v>
      </c>
      <c r="X33" t="s">
        <v>155</v>
      </c>
      <c r="Y33" t="s">
        <v>155</v>
      </c>
      <c r="AC33" t="s">
        <v>158</v>
      </c>
      <c r="AD33" t="s">
        <v>155</v>
      </c>
      <c r="AE33" t="s">
        <v>155</v>
      </c>
      <c r="AF33" t="s">
        <v>155</v>
      </c>
      <c r="AG33" t="s">
        <v>155</v>
      </c>
      <c r="AH33" t="s">
        <v>155</v>
      </c>
    </row>
    <row r="34" spans="1:34" ht="16.2" customHeight="1" thickBot="1" x14ac:dyDescent="0.35">
      <c r="A34" s="15" t="s">
        <v>112</v>
      </c>
      <c r="B34" s="1" t="s">
        <v>42</v>
      </c>
      <c r="C34" s="1"/>
      <c r="D34" s="13" t="s">
        <v>334</v>
      </c>
      <c r="E34" s="14">
        <v>1</v>
      </c>
      <c r="F34" s="13" t="s">
        <v>376</v>
      </c>
      <c r="G34" s="14">
        <v>1</v>
      </c>
      <c r="H34" s="13"/>
      <c r="I34" s="14"/>
      <c r="J34" s="13"/>
      <c r="K34" s="4"/>
      <c r="L34" s="16"/>
      <c r="M34" s="77" t="s">
        <v>575</v>
      </c>
      <c r="O34">
        <f t="shared" si="0"/>
        <v>2</v>
      </c>
      <c r="Q34">
        <f>COUNTIF($B$2:$B$107,Tabla3[[#This Row],[Profesor]])</f>
        <v>1</v>
      </c>
      <c r="T34" t="s">
        <v>159</v>
      </c>
      <c r="U34" t="s">
        <v>75</v>
      </c>
      <c r="V34" t="s">
        <v>155</v>
      </c>
      <c r="W34" t="s">
        <v>23</v>
      </c>
      <c r="X34" t="s">
        <v>155</v>
      </c>
      <c r="Y34" t="s">
        <v>155</v>
      </c>
      <c r="AC34" t="s">
        <v>159</v>
      </c>
      <c r="AD34" t="s">
        <v>23</v>
      </c>
      <c r="AE34" t="s">
        <v>155</v>
      </c>
      <c r="AF34" t="s">
        <v>23</v>
      </c>
      <c r="AG34" t="s">
        <v>155</v>
      </c>
      <c r="AH34" t="s">
        <v>155</v>
      </c>
    </row>
    <row r="35" spans="1:34" ht="16.2" customHeight="1" thickBot="1" x14ac:dyDescent="0.35">
      <c r="A35" s="15" t="s">
        <v>387</v>
      </c>
      <c r="B35" s="1" t="s">
        <v>388</v>
      </c>
      <c r="C35" s="1"/>
      <c r="D35" s="9" t="s">
        <v>386</v>
      </c>
      <c r="E35" s="14">
        <v>1</v>
      </c>
      <c r="F35" s="9"/>
      <c r="G35" s="14"/>
      <c r="H35" s="9"/>
      <c r="I35" s="4"/>
      <c r="J35" s="9"/>
      <c r="K35" s="4"/>
      <c r="L35" s="16"/>
      <c r="M35" s="21"/>
      <c r="O35">
        <f t="shared" si="0"/>
        <v>1</v>
      </c>
      <c r="Q35">
        <f>COUNTIF($B$2:$B$107,Tabla3[[#This Row],[Profesor]])</f>
        <v>1</v>
      </c>
      <c r="T35" t="s">
        <v>160</v>
      </c>
      <c r="U35" t="s">
        <v>75</v>
      </c>
      <c r="V35" t="s">
        <v>155</v>
      </c>
      <c r="W35" t="s">
        <v>23</v>
      </c>
      <c r="X35" t="s">
        <v>155</v>
      </c>
      <c r="Y35" t="s">
        <v>155</v>
      </c>
      <c r="AC35" t="s">
        <v>160</v>
      </c>
      <c r="AD35" t="s">
        <v>23</v>
      </c>
      <c r="AE35" t="s">
        <v>155</v>
      </c>
      <c r="AF35" t="s">
        <v>23</v>
      </c>
      <c r="AG35" t="s">
        <v>155</v>
      </c>
      <c r="AH35" t="s">
        <v>155</v>
      </c>
    </row>
    <row r="36" spans="1:34" ht="16.2" customHeight="1" thickBot="1" x14ac:dyDescent="0.35">
      <c r="A36" s="15" t="s">
        <v>104</v>
      </c>
      <c r="B36" s="1" t="s">
        <v>13</v>
      </c>
      <c r="C36" s="1"/>
      <c r="D36" s="13" t="s">
        <v>8</v>
      </c>
      <c r="E36" s="14">
        <v>1</v>
      </c>
      <c r="F36" s="13" t="s">
        <v>22</v>
      </c>
      <c r="G36" s="14">
        <v>1</v>
      </c>
      <c r="H36" s="13" t="s">
        <v>23</v>
      </c>
      <c r="I36" s="14">
        <v>1</v>
      </c>
      <c r="J36" s="13"/>
      <c r="K36" s="4"/>
      <c r="L36" s="16"/>
      <c r="M36" s="21"/>
      <c r="O36">
        <f t="shared" si="0"/>
        <v>3</v>
      </c>
      <c r="Q36">
        <f>COUNTIF($B$2:$B$107,Tabla3[[#This Row],[Profesor]])</f>
        <v>1</v>
      </c>
      <c r="T36" t="s">
        <v>169</v>
      </c>
      <c r="U36" t="s">
        <v>155</v>
      </c>
      <c r="V36" t="s">
        <v>155</v>
      </c>
      <c r="W36" t="s">
        <v>155</v>
      </c>
      <c r="X36" t="s">
        <v>155</v>
      </c>
      <c r="Y36" t="s">
        <v>155</v>
      </c>
      <c r="AC36" t="s">
        <v>169</v>
      </c>
      <c r="AD36" t="s">
        <v>155</v>
      </c>
      <c r="AE36" t="s">
        <v>155</v>
      </c>
      <c r="AF36" t="s">
        <v>155</v>
      </c>
      <c r="AG36" t="s">
        <v>155</v>
      </c>
      <c r="AH36" t="s">
        <v>155</v>
      </c>
    </row>
    <row r="37" spans="1:34" ht="16.2" customHeight="1" thickBot="1" x14ac:dyDescent="0.35">
      <c r="A37" s="15" t="s">
        <v>371</v>
      </c>
      <c r="B37" s="1" t="s">
        <v>372</v>
      </c>
      <c r="C37" s="1"/>
      <c r="D37" s="9" t="s">
        <v>370</v>
      </c>
      <c r="E37" s="14">
        <v>1</v>
      </c>
      <c r="F37" s="9"/>
      <c r="G37" s="14"/>
      <c r="H37" s="9"/>
      <c r="I37" s="4"/>
      <c r="J37" s="9"/>
      <c r="K37" s="4"/>
      <c r="L37" s="16"/>
      <c r="M37" s="21"/>
      <c r="O37">
        <f t="shared" si="0"/>
        <v>1</v>
      </c>
      <c r="Q37">
        <f>COUNTIF($B$2:$B$107,Tabla3[[#This Row],[Profesor]])</f>
        <v>1</v>
      </c>
      <c r="T37" t="s">
        <v>171</v>
      </c>
      <c r="U37" t="s">
        <v>155</v>
      </c>
      <c r="V37" t="s">
        <v>155</v>
      </c>
      <c r="W37" t="s">
        <v>155</v>
      </c>
      <c r="X37" t="s">
        <v>155</v>
      </c>
      <c r="Y37" t="s">
        <v>155</v>
      </c>
      <c r="AC37" t="s">
        <v>171</v>
      </c>
      <c r="AD37" t="s">
        <v>155</v>
      </c>
      <c r="AE37" t="s">
        <v>155</v>
      </c>
      <c r="AF37" t="s">
        <v>155</v>
      </c>
      <c r="AG37" t="s">
        <v>155</v>
      </c>
      <c r="AH37" t="s">
        <v>155</v>
      </c>
    </row>
    <row r="38" spans="1:34" ht="16.2" customHeight="1" thickBot="1" x14ac:dyDescent="0.35">
      <c r="A38" s="15" t="s">
        <v>489</v>
      </c>
      <c r="B38" s="1" t="s">
        <v>490</v>
      </c>
      <c r="C38" s="1"/>
      <c r="D38" s="9" t="s">
        <v>410</v>
      </c>
      <c r="E38" s="14">
        <v>1</v>
      </c>
      <c r="F38" s="9"/>
      <c r="G38" s="14"/>
      <c r="H38" s="9"/>
      <c r="I38" s="4"/>
      <c r="J38" s="9"/>
      <c r="K38" s="4"/>
      <c r="L38" s="16"/>
      <c r="M38" s="21"/>
      <c r="O38">
        <f t="shared" si="0"/>
        <v>1</v>
      </c>
      <c r="Q38">
        <f>COUNTIF($B$2:$B$107,Tabla3[[#This Row],[Profesor]])</f>
        <v>1</v>
      </c>
      <c r="T38" t="s">
        <v>172</v>
      </c>
      <c r="U38" t="s">
        <v>155</v>
      </c>
      <c r="V38" t="s">
        <v>155</v>
      </c>
      <c r="W38" t="s">
        <v>155</v>
      </c>
      <c r="X38" t="s">
        <v>155</v>
      </c>
      <c r="Y38" t="s">
        <v>155</v>
      </c>
      <c r="AC38" t="s">
        <v>172</v>
      </c>
      <c r="AD38" t="s">
        <v>155</v>
      </c>
      <c r="AE38" t="s">
        <v>155</v>
      </c>
      <c r="AF38" t="s">
        <v>155</v>
      </c>
      <c r="AG38" t="s">
        <v>155</v>
      </c>
      <c r="AH38" t="s">
        <v>155</v>
      </c>
    </row>
    <row r="39" spans="1:34" ht="16.2" customHeight="1" thickBot="1" x14ac:dyDescent="0.35">
      <c r="A39" s="15" t="s">
        <v>667</v>
      </c>
      <c r="B39" s="1" t="s">
        <v>668</v>
      </c>
      <c r="C39" s="1"/>
      <c r="D39" s="9" t="s">
        <v>669</v>
      </c>
      <c r="E39" s="14">
        <v>1</v>
      </c>
      <c r="F39" s="9"/>
      <c r="G39" s="14"/>
      <c r="H39" s="9"/>
      <c r="I39" s="4"/>
      <c r="J39" s="9"/>
      <c r="K39" s="4"/>
      <c r="L39" s="16"/>
      <c r="M39" s="21"/>
      <c r="O39">
        <f t="shared" si="0"/>
        <v>1</v>
      </c>
      <c r="Q39">
        <f>COUNTIF($B$2:$B$107,Tabla3[[#This Row],[Profesor]])</f>
        <v>1</v>
      </c>
    </row>
    <row r="40" spans="1:34" ht="16.2" customHeight="1" thickBot="1" x14ac:dyDescent="0.35">
      <c r="A40" s="15" t="s">
        <v>479</v>
      </c>
      <c r="B40" s="1" t="s">
        <v>480</v>
      </c>
      <c r="C40" s="1"/>
      <c r="D40" s="9" t="s">
        <v>465</v>
      </c>
      <c r="E40" s="14">
        <v>1</v>
      </c>
      <c r="F40" s="9"/>
      <c r="G40" s="14"/>
      <c r="H40" s="9"/>
      <c r="I40" s="4"/>
      <c r="J40" s="9"/>
      <c r="K40" s="4"/>
      <c r="L40" s="16"/>
      <c r="M40" s="21"/>
      <c r="O40">
        <f t="shared" si="0"/>
        <v>1</v>
      </c>
      <c r="Q40">
        <f>COUNTIF($B$2:$B$107,Tabla3[[#This Row],[Profesor]])</f>
        <v>1</v>
      </c>
    </row>
    <row r="41" spans="1:34" ht="16.2" customHeight="1" thickBot="1" x14ac:dyDescent="0.35">
      <c r="A41" s="15" t="s">
        <v>381</v>
      </c>
      <c r="B41" s="1" t="s">
        <v>382</v>
      </c>
      <c r="C41" s="1"/>
      <c r="D41" s="9" t="s">
        <v>380</v>
      </c>
      <c r="E41" s="14">
        <v>1</v>
      </c>
      <c r="F41" s="9"/>
      <c r="G41" s="14"/>
      <c r="H41" s="9"/>
      <c r="I41" s="4"/>
      <c r="J41" s="9"/>
      <c r="K41" s="4"/>
      <c r="L41" s="16"/>
      <c r="M41" s="21"/>
      <c r="O41">
        <f t="shared" si="0"/>
        <v>1</v>
      </c>
      <c r="Q41">
        <f>COUNTIF($B$2:$B$107,Tabla3[[#This Row],[Profesor]])</f>
        <v>1</v>
      </c>
    </row>
    <row r="42" spans="1:34" ht="16.2" customHeight="1" thickBot="1" x14ac:dyDescent="0.35">
      <c r="A42" s="15" t="s">
        <v>122</v>
      </c>
      <c r="B42" s="1" t="s">
        <v>74</v>
      </c>
      <c r="C42" s="1"/>
      <c r="D42" s="13" t="s">
        <v>79</v>
      </c>
      <c r="E42" s="14">
        <v>1</v>
      </c>
      <c r="F42" s="13" t="s">
        <v>385</v>
      </c>
      <c r="G42" s="14">
        <v>1</v>
      </c>
      <c r="H42" s="13"/>
      <c r="I42" s="14"/>
      <c r="J42" s="13"/>
      <c r="K42" s="4"/>
      <c r="L42" s="16"/>
      <c r="M42" s="21"/>
      <c r="O42">
        <f t="shared" si="0"/>
        <v>2</v>
      </c>
      <c r="Q42">
        <f>COUNTIF($B$2:$B$107,Tabla3[[#This Row],[Profesor]])</f>
        <v>1</v>
      </c>
    </row>
    <row r="43" spans="1:34" ht="16.2" customHeight="1" thickBot="1" x14ac:dyDescent="0.35">
      <c r="A43" s="15" t="s">
        <v>343</v>
      </c>
      <c r="B43" s="1" t="s">
        <v>344</v>
      </c>
      <c r="C43" s="1" t="s">
        <v>237</v>
      </c>
      <c r="D43" s="9" t="s">
        <v>342</v>
      </c>
      <c r="E43" s="113">
        <v>5</v>
      </c>
      <c r="F43" s="9"/>
      <c r="G43" s="14"/>
      <c r="H43" s="9"/>
      <c r="I43" s="4"/>
      <c r="J43" s="9"/>
      <c r="K43" s="4"/>
      <c r="L43" s="106" t="s">
        <v>697</v>
      </c>
      <c r="M43" s="77" t="s">
        <v>698</v>
      </c>
      <c r="N43" t="s">
        <v>705</v>
      </c>
      <c r="O43">
        <f t="shared" si="0"/>
        <v>5</v>
      </c>
      <c r="Q43">
        <f>COUNTIF($B$2:$B$107,Tabla3[[#This Row],[Profesor]])</f>
        <v>1</v>
      </c>
    </row>
    <row r="44" spans="1:34" ht="16.2" customHeight="1" thickBot="1" x14ac:dyDescent="0.35">
      <c r="A44" s="15" t="s">
        <v>383</v>
      </c>
      <c r="B44" s="1" t="s">
        <v>384</v>
      </c>
      <c r="C44" s="1"/>
      <c r="D44" s="9" t="s">
        <v>380</v>
      </c>
      <c r="E44" s="14">
        <v>1</v>
      </c>
      <c r="F44" s="9"/>
      <c r="G44" s="14"/>
      <c r="H44" s="9"/>
      <c r="I44" s="4"/>
      <c r="J44" s="9"/>
      <c r="K44" s="4"/>
      <c r="L44" s="16"/>
      <c r="M44" s="21" t="s">
        <v>505</v>
      </c>
      <c r="O44">
        <f t="shared" si="0"/>
        <v>1</v>
      </c>
      <c r="Q44">
        <f>COUNTIF($B$2:$B$107,Tabla3[[#This Row],[Profesor]])</f>
        <v>1</v>
      </c>
    </row>
    <row r="45" spans="1:34" ht="16.2" customHeight="1" thickBot="1" x14ac:dyDescent="0.35">
      <c r="A45" s="15" t="s">
        <v>660</v>
      </c>
      <c r="B45" s="1" t="s">
        <v>661</v>
      </c>
      <c r="C45" s="1"/>
      <c r="D45" s="9" t="s">
        <v>467</v>
      </c>
      <c r="E45" s="14">
        <v>1</v>
      </c>
      <c r="F45" s="9"/>
      <c r="G45" s="14"/>
      <c r="H45" s="9"/>
      <c r="I45" s="4"/>
      <c r="J45" s="9"/>
      <c r="K45" s="4"/>
      <c r="L45" s="16"/>
      <c r="M45" s="21"/>
      <c r="O45">
        <f t="shared" si="0"/>
        <v>1</v>
      </c>
      <c r="Q45">
        <f>COUNTIF($B$2:$B$107,Tabla3[[#This Row],[Profesor]])</f>
        <v>1</v>
      </c>
    </row>
    <row r="46" spans="1:34" ht="16.2" customHeight="1" thickBot="1" x14ac:dyDescent="0.35">
      <c r="A46" s="15" t="s">
        <v>495</v>
      </c>
      <c r="B46" s="105" t="s">
        <v>496</v>
      </c>
      <c r="C46" s="1"/>
      <c r="D46" s="9" t="s">
        <v>261</v>
      </c>
      <c r="E46" s="14">
        <v>1</v>
      </c>
      <c r="F46" s="9" t="s">
        <v>276</v>
      </c>
      <c r="G46" s="14">
        <v>1</v>
      </c>
      <c r="H46" s="9"/>
      <c r="I46" s="14"/>
      <c r="J46" s="9"/>
      <c r="K46" s="4"/>
      <c r="L46" s="16"/>
      <c r="M46" s="21"/>
      <c r="O46">
        <f t="shared" si="0"/>
        <v>2</v>
      </c>
      <c r="Q46">
        <f>COUNTIF($B$2:$B$107,Tabla3[[#This Row],[Profesor]])</f>
        <v>1</v>
      </c>
    </row>
    <row r="47" spans="1:34" ht="16.2" customHeight="1" thickBot="1" x14ac:dyDescent="0.35">
      <c r="A47" s="15" t="s">
        <v>498</v>
      </c>
      <c r="B47" s="105" t="s">
        <v>497</v>
      </c>
      <c r="C47" s="1"/>
      <c r="D47" s="9" t="s">
        <v>276</v>
      </c>
      <c r="E47" s="14">
        <v>3</v>
      </c>
      <c r="F47" s="9"/>
      <c r="G47" s="14"/>
      <c r="H47" s="9"/>
      <c r="I47" s="4"/>
      <c r="J47" s="9"/>
      <c r="K47" s="4"/>
      <c r="L47" s="16"/>
      <c r="M47" s="21"/>
      <c r="O47">
        <f t="shared" si="0"/>
        <v>3</v>
      </c>
      <c r="Q47">
        <f>COUNTIF($B$2:$B$107,Tabla3[[#This Row],[Profesor]])</f>
        <v>1</v>
      </c>
    </row>
    <row r="48" spans="1:34" ht="16.2" customHeight="1" thickBot="1" x14ac:dyDescent="0.35">
      <c r="A48" s="15" t="s">
        <v>508</v>
      </c>
      <c r="B48" s="105" t="s">
        <v>509</v>
      </c>
      <c r="C48" s="1"/>
      <c r="D48" s="9" t="s">
        <v>262</v>
      </c>
      <c r="E48" s="14">
        <v>2</v>
      </c>
      <c r="F48" s="9"/>
      <c r="G48" s="14"/>
      <c r="H48" s="9"/>
      <c r="I48" s="4"/>
      <c r="J48" s="9"/>
      <c r="K48" s="4"/>
      <c r="L48" s="16"/>
      <c r="M48" s="21"/>
      <c r="O48">
        <f t="shared" si="0"/>
        <v>2</v>
      </c>
      <c r="Q48">
        <f>COUNTIF($B$2:$B$107,Tabla3[[#This Row],[Profesor]])</f>
        <v>1</v>
      </c>
    </row>
    <row r="49" spans="1:17" ht="16.2" customHeight="1" thickBot="1" x14ac:dyDescent="0.35">
      <c r="A49" s="15" t="s">
        <v>430</v>
      </c>
      <c r="B49" s="1" t="s">
        <v>418</v>
      </c>
      <c r="C49" s="1"/>
      <c r="D49" s="9" t="s">
        <v>413</v>
      </c>
      <c r="E49" s="14">
        <v>1</v>
      </c>
      <c r="F49" s="9" t="s">
        <v>470</v>
      </c>
      <c r="G49" s="14">
        <v>1</v>
      </c>
      <c r="H49" s="9"/>
      <c r="I49" s="4"/>
      <c r="J49" s="9"/>
      <c r="K49" s="4"/>
      <c r="L49" s="16"/>
      <c r="M49" s="21"/>
      <c r="O49">
        <f t="shared" si="0"/>
        <v>2</v>
      </c>
      <c r="Q49">
        <f>COUNTIF($B$2:$B$107,Tabla3[[#This Row],[Profesor]])</f>
        <v>1</v>
      </c>
    </row>
    <row r="50" spans="1:17" ht="16.2" customHeight="1" thickBot="1" x14ac:dyDescent="0.35">
      <c r="A50" s="15" t="s">
        <v>178</v>
      </c>
      <c r="B50" s="1" t="s">
        <v>179</v>
      </c>
      <c r="C50" s="1"/>
      <c r="D50" s="9" t="s">
        <v>77</v>
      </c>
      <c r="E50" s="14">
        <v>1</v>
      </c>
      <c r="F50" s="9"/>
      <c r="G50" s="14"/>
      <c r="H50" s="9"/>
      <c r="I50" s="4"/>
      <c r="J50" s="9"/>
      <c r="K50" s="4"/>
      <c r="L50" s="16"/>
      <c r="M50" s="21"/>
      <c r="O50">
        <f t="shared" si="0"/>
        <v>1</v>
      </c>
      <c r="Q50">
        <f>COUNTIF($B$2:$B$107,Tabla3[[#This Row],[Profesor]])</f>
        <v>1</v>
      </c>
    </row>
    <row r="51" spans="1:17" ht="16.2" customHeight="1" thickBot="1" x14ac:dyDescent="0.35">
      <c r="A51" s="15" t="s">
        <v>431</v>
      </c>
      <c r="B51" s="1" t="s">
        <v>19</v>
      </c>
      <c r="C51" s="1"/>
      <c r="D51" s="13" t="s">
        <v>8</v>
      </c>
      <c r="E51" s="14">
        <v>1</v>
      </c>
      <c r="F51" s="13" t="s">
        <v>325</v>
      </c>
      <c r="G51" s="14">
        <v>1</v>
      </c>
      <c r="H51" s="13"/>
      <c r="I51" s="4"/>
      <c r="J51" s="13"/>
      <c r="K51" s="4"/>
      <c r="L51" s="16"/>
      <c r="M51" s="21"/>
      <c r="O51">
        <f t="shared" si="0"/>
        <v>2</v>
      </c>
      <c r="Q51">
        <f>COUNTIF($B$2:$B$107,Tabla3[[#This Row],[Profesor]])</f>
        <v>1</v>
      </c>
    </row>
    <row r="52" spans="1:17" ht="16.2" customHeight="1" thickBot="1" x14ac:dyDescent="0.35">
      <c r="A52" s="15" t="s">
        <v>432</v>
      </c>
      <c r="B52" s="1" t="s">
        <v>67</v>
      </c>
      <c r="C52" s="1"/>
      <c r="D52" s="9" t="s">
        <v>282</v>
      </c>
      <c r="E52" s="14">
        <v>1</v>
      </c>
      <c r="F52" s="9" t="s">
        <v>386</v>
      </c>
      <c r="G52" s="14">
        <v>1</v>
      </c>
      <c r="H52" s="9"/>
      <c r="I52" s="4"/>
      <c r="J52" s="9"/>
      <c r="K52" s="4"/>
      <c r="L52" s="16"/>
      <c r="M52" s="21"/>
      <c r="O52">
        <f t="shared" si="0"/>
        <v>2</v>
      </c>
      <c r="Q52">
        <f>COUNTIF($B$2:$B$107,Tabla3[[#This Row],[Profesor]])</f>
        <v>1</v>
      </c>
    </row>
    <row r="53" spans="1:17" ht="16.2" customHeight="1" thickBot="1" x14ac:dyDescent="0.35">
      <c r="A53" s="15" t="s">
        <v>433</v>
      </c>
      <c r="B53" s="1" t="s">
        <v>12</v>
      </c>
      <c r="C53" s="1" t="s">
        <v>237</v>
      </c>
      <c r="D53" s="13" t="s">
        <v>7</v>
      </c>
      <c r="E53" s="14">
        <v>4</v>
      </c>
      <c r="F53" s="13"/>
      <c r="G53" s="14"/>
      <c r="H53" s="13"/>
      <c r="I53" s="14"/>
      <c r="J53" s="13"/>
      <c r="K53" s="4"/>
      <c r="L53" s="16"/>
      <c r="M53" s="21"/>
      <c r="O53">
        <f t="shared" si="0"/>
        <v>4</v>
      </c>
      <c r="Q53">
        <f>COUNTIF($B$2:$B$107,Tabla3[[#This Row],[Profesor]])</f>
        <v>1</v>
      </c>
    </row>
    <row r="54" spans="1:17" ht="16.2" customHeight="1" thickBot="1" x14ac:dyDescent="0.35">
      <c r="A54" s="15" t="s">
        <v>134</v>
      </c>
      <c r="B54" s="1" t="s">
        <v>520</v>
      </c>
      <c r="C54" s="1"/>
      <c r="D54" s="9" t="s">
        <v>90</v>
      </c>
      <c r="E54" s="14">
        <v>1</v>
      </c>
      <c r="F54" s="9"/>
      <c r="G54" s="14"/>
      <c r="H54" s="9"/>
      <c r="I54" s="4"/>
      <c r="J54" s="9"/>
      <c r="K54" s="4"/>
      <c r="L54" s="16"/>
      <c r="M54" s="21"/>
      <c r="O54">
        <f t="shared" si="0"/>
        <v>1</v>
      </c>
      <c r="Q54">
        <f>COUNTIF($B$2:$B$107,Tabla3[[#This Row],[Profesor]])</f>
        <v>1</v>
      </c>
    </row>
    <row r="55" spans="1:17" ht="16.2" customHeight="1" thickBot="1" x14ac:dyDescent="0.35">
      <c r="A55" s="15" t="s">
        <v>442</v>
      </c>
      <c r="B55" s="1" t="s">
        <v>443</v>
      </c>
      <c r="C55" s="1"/>
      <c r="D55" s="9" t="s">
        <v>271</v>
      </c>
      <c r="E55" s="14">
        <v>1</v>
      </c>
      <c r="F55" s="9"/>
      <c r="G55" s="14"/>
      <c r="H55" s="9"/>
      <c r="I55" s="4"/>
      <c r="J55" s="9"/>
      <c r="K55" s="4"/>
      <c r="L55" s="16"/>
      <c r="M55" s="21"/>
      <c r="O55">
        <f t="shared" si="0"/>
        <v>1</v>
      </c>
      <c r="Q55">
        <f>COUNTIF($B$2:$B$107,Tabla3[[#This Row],[Profesor]])</f>
        <v>1</v>
      </c>
    </row>
    <row r="56" spans="1:17" ht="16.2" customHeight="1" thickBot="1" x14ac:dyDescent="0.35">
      <c r="A56" s="15" t="s">
        <v>118</v>
      </c>
      <c r="B56" s="1" t="s">
        <v>25</v>
      </c>
      <c r="C56" s="1" t="s">
        <v>237</v>
      </c>
      <c r="D56" s="13" t="s">
        <v>20</v>
      </c>
      <c r="E56" s="14">
        <v>1</v>
      </c>
      <c r="F56" s="13" t="s">
        <v>21</v>
      </c>
      <c r="G56" s="14">
        <v>1</v>
      </c>
      <c r="H56" s="13" t="s">
        <v>348</v>
      </c>
      <c r="I56" s="14">
        <v>1</v>
      </c>
      <c r="J56" s="13" t="s">
        <v>349</v>
      </c>
      <c r="K56" s="14">
        <v>2</v>
      </c>
      <c r="L56" s="16" t="s">
        <v>499</v>
      </c>
      <c r="M56" s="21" t="s">
        <v>500</v>
      </c>
      <c r="O56">
        <f t="shared" si="0"/>
        <v>5</v>
      </c>
      <c r="Q56">
        <f>COUNTIF($B$2:$B$107,Tabla3[[#This Row],[Profesor]])</f>
        <v>1</v>
      </c>
    </row>
    <row r="57" spans="1:17" ht="16.2" customHeight="1" thickBot="1" x14ac:dyDescent="0.35">
      <c r="A57" s="15" t="s">
        <v>269</v>
      </c>
      <c r="B57" s="1" t="s">
        <v>270</v>
      </c>
      <c r="C57" s="1" t="s">
        <v>237</v>
      </c>
      <c r="D57" s="9" t="s">
        <v>268</v>
      </c>
      <c r="E57" s="14">
        <v>2</v>
      </c>
      <c r="F57" s="9"/>
      <c r="G57" s="14"/>
      <c r="H57" s="9"/>
      <c r="I57" s="4"/>
      <c r="J57" s="9"/>
      <c r="K57" s="4"/>
      <c r="L57" s="16"/>
      <c r="M57" s="21" t="s">
        <v>523</v>
      </c>
      <c r="O57">
        <f t="shared" si="0"/>
        <v>2</v>
      </c>
      <c r="Q57">
        <f>COUNTIF($B$2:$B$107,Tabla3[[#This Row],[Profesor]])</f>
        <v>1</v>
      </c>
    </row>
    <row r="58" spans="1:17" ht="16.2" customHeight="1" thickBot="1" x14ac:dyDescent="0.35">
      <c r="A58" s="15" t="s">
        <v>473</v>
      </c>
      <c r="B58" s="1" t="s">
        <v>474</v>
      </c>
      <c r="C58" s="1"/>
      <c r="D58" s="9" t="s">
        <v>463</v>
      </c>
      <c r="E58" s="14">
        <v>1</v>
      </c>
      <c r="F58" s="9" t="s">
        <v>395</v>
      </c>
      <c r="G58" s="14">
        <v>1</v>
      </c>
      <c r="H58" s="9"/>
      <c r="I58" s="4"/>
      <c r="J58" s="9"/>
      <c r="K58" s="4"/>
      <c r="L58" s="16"/>
      <c r="M58" s="21"/>
      <c r="O58">
        <f t="shared" si="0"/>
        <v>2</v>
      </c>
      <c r="Q58">
        <f>COUNTIF($B$2:$B$107,Tabla3[[#This Row],[Profesor]])</f>
        <v>1</v>
      </c>
    </row>
    <row r="59" spans="1:17" ht="16.2" customHeight="1" thickBot="1" x14ac:dyDescent="0.35">
      <c r="A59" s="15" t="s">
        <v>481</v>
      </c>
      <c r="B59" s="1" t="s">
        <v>482</v>
      </c>
      <c r="C59" s="1"/>
      <c r="D59" s="9" t="s">
        <v>466</v>
      </c>
      <c r="E59" s="14">
        <v>1</v>
      </c>
      <c r="F59" s="9"/>
      <c r="G59" s="14"/>
      <c r="H59" s="9"/>
      <c r="I59" s="4"/>
      <c r="J59" s="9"/>
      <c r="K59" s="4"/>
      <c r="L59" s="16"/>
      <c r="M59" s="21"/>
      <c r="O59">
        <f t="shared" si="0"/>
        <v>1</v>
      </c>
      <c r="Q59">
        <f>COUNTIF($B$2:$B$107,Tabla3[[#This Row],[Profesor]])</f>
        <v>1</v>
      </c>
    </row>
    <row r="60" spans="1:17" ht="16.2" customHeight="1" thickBot="1" x14ac:dyDescent="0.35">
      <c r="A60" s="15" t="s">
        <v>145</v>
      </c>
      <c r="B60" s="1" t="s">
        <v>70</v>
      </c>
      <c r="C60" s="1"/>
      <c r="D60" s="9" t="s">
        <v>394</v>
      </c>
      <c r="E60" s="14">
        <v>1</v>
      </c>
      <c r="F60" s="9" t="s">
        <v>672</v>
      </c>
      <c r="G60" s="14">
        <v>1</v>
      </c>
      <c r="H60" s="9"/>
      <c r="I60" s="4"/>
      <c r="J60" s="9"/>
      <c r="K60" s="4"/>
      <c r="L60" s="16"/>
      <c r="M60" s="21"/>
      <c r="O60">
        <f t="shared" si="0"/>
        <v>2</v>
      </c>
      <c r="Q60">
        <f>COUNTIF($B$2:$B$107,Tabla3[[#This Row],[Profesor]])</f>
        <v>1</v>
      </c>
    </row>
    <row r="61" spans="1:17" ht="16.2" customHeight="1" thickBot="1" x14ac:dyDescent="0.35">
      <c r="A61" s="66" t="s">
        <v>135</v>
      </c>
      <c r="B61" s="1" t="s">
        <v>66</v>
      </c>
      <c r="C61" s="1"/>
      <c r="D61" s="9" t="s">
        <v>91</v>
      </c>
      <c r="E61" s="14">
        <v>1</v>
      </c>
      <c r="F61" s="9"/>
      <c r="G61" s="14"/>
      <c r="H61" s="9"/>
      <c r="I61" s="4"/>
      <c r="J61" s="9"/>
      <c r="K61" s="4"/>
      <c r="L61" s="16"/>
      <c r="M61" s="21"/>
      <c r="O61">
        <f t="shared" si="0"/>
        <v>1</v>
      </c>
      <c r="Q61">
        <f>COUNTIF($B$2:$B$107,Tabla3[[#This Row],[Profesor]])</f>
        <v>1</v>
      </c>
    </row>
    <row r="62" spans="1:17" ht="16.2" customHeight="1" thickBot="1" x14ac:dyDescent="0.35">
      <c r="A62" s="66" t="s">
        <v>111</v>
      </c>
      <c r="B62" s="1" t="s">
        <v>26</v>
      </c>
      <c r="C62" s="1"/>
      <c r="D62" s="13" t="s">
        <v>335</v>
      </c>
      <c r="E62" s="14">
        <v>1</v>
      </c>
      <c r="F62" s="13" t="s">
        <v>24</v>
      </c>
      <c r="G62" s="14">
        <v>1</v>
      </c>
      <c r="H62" s="13"/>
      <c r="I62" s="14"/>
      <c r="J62" s="13"/>
      <c r="K62" s="4"/>
      <c r="L62" s="16"/>
      <c r="M62" s="21"/>
      <c r="O62">
        <f t="shared" si="0"/>
        <v>2</v>
      </c>
      <c r="Q62">
        <f>COUNTIF($B$2:$B$107,Tabla3[[#This Row],[Profesor]])</f>
        <v>1</v>
      </c>
    </row>
    <row r="63" spans="1:17" ht="16.2" customHeight="1" thickBot="1" x14ac:dyDescent="0.35">
      <c r="A63" s="15" t="s">
        <v>487</v>
      </c>
      <c r="B63" s="1" t="s">
        <v>488</v>
      </c>
      <c r="C63" s="1"/>
      <c r="D63" s="9" t="s">
        <v>469</v>
      </c>
      <c r="E63" s="14">
        <v>1</v>
      </c>
      <c r="F63" s="9"/>
      <c r="G63" s="14"/>
      <c r="H63" s="9"/>
      <c r="I63" s="4"/>
      <c r="J63" s="9"/>
      <c r="K63" s="4"/>
      <c r="L63" s="16"/>
      <c r="M63" s="21"/>
      <c r="O63">
        <f t="shared" si="0"/>
        <v>1</v>
      </c>
      <c r="Q63">
        <f>COUNTIF($B$2:$B$107,Tabla3[[#This Row],[Profesor]])</f>
        <v>1</v>
      </c>
    </row>
    <row r="64" spans="1:17" ht="16.2" customHeight="1" thickBot="1" x14ac:dyDescent="0.35">
      <c r="A64" s="15" t="s">
        <v>317</v>
      </c>
      <c r="B64" s="1" t="s">
        <v>318</v>
      </c>
      <c r="C64" s="1"/>
      <c r="D64" s="9"/>
      <c r="E64" s="14"/>
      <c r="F64" s="9"/>
      <c r="G64" s="14"/>
      <c r="H64" s="9"/>
      <c r="I64" s="4"/>
      <c r="J64" s="9"/>
      <c r="K64" s="4"/>
      <c r="L64" s="16"/>
      <c r="M64" s="21"/>
      <c r="O64">
        <f t="shared" si="0"/>
        <v>0</v>
      </c>
      <c r="Q64">
        <f>COUNTIF($B$2:$B$107,Tabla3[[#This Row],[Profesor]])</f>
        <v>1</v>
      </c>
    </row>
    <row r="65" spans="1:41" ht="16.2" customHeight="1" thickBot="1" x14ac:dyDescent="0.35">
      <c r="A65" s="15" t="s">
        <v>249</v>
      </c>
      <c r="B65" s="1" t="s">
        <v>250</v>
      </c>
      <c r="C65" s="1"/>
      <c r="D65" s="9" t="s">
        <v>245</v>
      </c>
      <c r="E65" s="14">
        <v>1</v>
      </c>
      <c r="F65" s="9"/>
      <c r="G65" s="14"/>
      <c r="H65" s="9"/>
      <c r="I65" s="4"/>
      <c r="J65" s="9"/>
      <c r="K65" s="4"/>
      <c r="L65" s="16"/>
      <c r="M65" s="21"/>
      <c r="O65">
        <f t="shared" ref="O65:O107" si="1">E65+G65+I65+K65</f>
        <v>1</v>
      </c>
      <c r="Q65">
        <f>COUNTIF($B$2:$B$107,Tabla3[[#This Row],[Profesor]])</f>
        <v>1</v>
      </c>
    </row>
    <row r="66" spans="1:41" ht="16.2" customHeight="1" thickBot="1" x14ac:dyDescent="0.35">
      <c r="A66" s="15" t="s">
        <v>107</v>
      </c>
      <c r="B66" s="1" t="s">
        <v>16</v>
      </c>
      <c r="C66" s="1"/>
      <c r="D66" s="13" t="s">
        <v>281</v>
      </c>
      <c r="E66" s="14">
        <v>1</v>
      </c>
      <c r="F66" s="13" t="s">
        <v>8</v>
      </c>
      <c r="G66" s="14">
        <v>1</v>
      </c>
      <c r="H66" s="13" t="s">
        <v>6</v>
      </c>
      <c r="I66" s="14">
        <v>1</v>
      </c>
      <c r="J66" s="13"/>
      <c r="K66" s="4"/>
      <c r="L66" s="16"/>
      <c r="M66" s="21"/>
      <c r="O66">
        <f t="shared" si="1"/>
        <v>3</v>
      </c>
      <c r="Q66">
        <f>COUNTIF($B$2:$B$107,Tabla3[[#This Row],[Profesor]])</f>
        <v>1</v>
      </c>
    </row>
    <row r="67" spans="1:41" ht="16.2" customHeight="1" thickBot="1" x14ac:dyDescent="0.35">
      <c r="A67" s="15" t="s">
        <v>125</v>
      </c>
      <c r="B67" s="1" t="s">
        <v>675</v>
      </c>
      <c r="C67" s="1"/>
      <c r="D67" s="9" t="s">
        <v>670</v>
      </c>
      <c r="E67" s="14">
        <v>1</v>
      </c>
      <c r="F67" s="9"/>
      <c r="G67" s="14"/>
      <c r="H67" s="9"/>
      <c r="I67" s="4"/>
      <c r="J67" s="9"/>
      <c r="K67" s="4"/>
      <c r="L67" s="16"/>
      <c r="M67" s="21"/>
      <c r="O67">
        <f t="shared" si="1"/>
        <v>1</v>
      </c>
      <c r="Q67">
        <f>COUNTIF($B$2:$B$107,Tabla3[[#This Row],[Profesor]])</f>
        <v>1</v>
      </c>
    </row>
    <row r="68" spans="1:41" ht="16.2" customHeight="1" thickBot="1" x14ac:dyDescent="0.35">
      <c r="A68" s="15" t="s">
        <v>399</v>
      </c>
      <c r="B68" s="1" t="s">
        <v>181</v>
      </c>
      <c r="C68" s="1"/>
      <c r="D68" s="9" t="s">
        <v>398</v>
      </c>
      <c r="E68" s="14">
        <v>1</v>
      </c>
      <c r="F68" s="9"/>
      <c r="G68" s="14"/>
      <c r="H68" s="9"/>
      <c r="I68" s="4"/>
      <c r="J68" s="9"/>
      <c r="K68" s="4"/>
      <c r="L68" s="16"/>
      <c r="M68" s="21"/>
      <c r="O68">
        <f t="shared" si="1"/>
        <v>1</v>
      </c>
      <c r="Q68">
        <f>COUNTIF($B$2:$B$107,Tabla3[[#This Row],[Profesor]])</f>
        <v>1</v>
      </c>
    </row>
    <row r="69" spans="1:41" ht="16.2" customHeight="1" thickBot="1" x14ac:dyDescent="0.35">
      <c r="A69" s="15" t="s">
        <v>434</v>
      </c>
      <c r="B69" s="1" t="s">
        <v>400</v>
      </c>
      <c r="C69" s="1"/>
      <c r="D69" s="9" t="s">
        <v>77</v>
      </c>
      <c r="E69" s="14">
        <v>1</v>
      </c>
      <c r="F69" s="9"/>
      <c r="G69" s="14"/>
      <c r="H69" s="9"/>
      <c r="I69" s="4"/>
      <c r="J69" s="9"/>
      <c r="K69" s="4"/>
      <c r="L69" s="16"/>
      <c r="M69" s="21"/>
      <c r="O69">
        <f t="shared" si="1"/>
        <v>1</v>
      </c>
      <c r="Q69">
        <f>COUNTIF($B$2:$B$107,Tabla3[[#This Row],[Profesor]])</f>
        <v>1</v>
      </c>
    </row>
    <row r="70" spans="1:41" ht="16.2" customHeight="1" thickBot="1" x14ac:dyDescent="0.35">
      <c r="A70" s="15" t="s">
        <v>483</v>
      </c>
      <c r="B70" s="1" t="s">
        <v>484</v>
      </c>
      <c r="C70" s="1"/>
      <c r="D70" s="9" t="s">
        <v>467</v>
      </c>
      <c r="E70" s="14">
        <v>1</v>
      </c>
      <c r="F70" s="9"/>
      <c r="G70" s="14"/>
      <c r="H70" s="9"/>
      <c r="I70" s="4"/>
      <c r="J70" s="9"/>
      <c r="K70" s="4"/>
      <c r="L70" s="16"/>
      <c r="M70" s="21"/>
      <c r="O70">
        <f t="shared" si="1"/>
        <v>1</v>
      </c>
      <c r="Q70">
        <f>COUNTIF($B$2:$B$107,Tabla3[[#This Row],[Profesor]])</f>
        <v>1</v>
      </c>
    </row>
    <row r="71" spans="1:41" ht="16.2" customHeight="1" thickBot="1" x14ac:dyDescent="0.35">
      <c r="A71" s="15" t="s">
        <v>477</v>
      </c>
      <c r="B71" s="1" t="s">
        <v>478</v>
      </c>
      <c r="C71" s="1"/>
      <c r="D71" s="9" t="s">
        <v>464</v>
      </c>
      <c r="E71" s="14">
        <v>1</v>
      </c>
      <c r="F71" s="9"/>
      <c r="G71" s="14"/>
      <c r="H71" s="9"/>
      <c r="I71" s="4"/>
      <c r="J71" s="9"/>
      <c r="K71" s="4"/>
      <c r="L71" s="16"/>
      <c r="M71" s="21"/>
      <c r="O71">
        <f t="shared" si="1"/>
        <v>1</v>
      </c>
      <c r="Q71">
        <f>COUNTIF($B$2:$B$107,Tabla3[[#This Row],[Profesor]])</f>
        <v>1</v>
      </c>
    </row>
    <row r="72" spans="1:41" ht="16.2" customHeight="1" thickBot="1" x14ac:dyDescent="0.35">
      <c r="A72" s="15" t="s">
        <v>503</v>
      </c>
      <c r="B72" s="1" t="s">
        <v>504</v>
      </c>
      <c r="C72" s="1"/>
      <c r="D72" s="9" t="s">
        <v>274</v>
      </c>
      <c r="E72" s="14">
        <v>1</v>
      </c>
      <c r="F72" s="9"/>
      <c r="G72" s="14"/>
      <c r="H72" s="9"/>
      <c r="I72" s="4"/>
      <c r="J72" s="9"/>
      <c r="K72" s="4"/>
      <c r="L72" s="16"/>
      <c r="M72" s="21"/>
      <c r="O72">
        <f t="shared" si="1"/>
        <v>1</v>
      </c>
      <c r="Q72">
        <f>COUNTIF($B$2:$B$107,Tabla3[[#This Row],[Profesor]])</f>
        <v>1</v>
      </c>
    </row>
    <row r="73" spans="1:41" ht="16.2" customHeight="1" thickBot="1" x14ac:dyDescent="0.35">
      <c r="A73" s="15" t="s">
        <v>682</v>
      </c>
      <c r="B73" s="1" t="s">
        <v>679</v>
      </c>
      <c r="C73" s="1"/>
      <c r="D73" s="9" t="s">
        <v>670</v>
      </c>
      <c r="E73" s="14">
        <v>1</v>
      </c>
      <c r="F73" s="9"/>
      <c r="G73" s="14"/>
      <c r="H73" s="9"/>
      <c r="I73" s="4"/>
      <c r="J73" s="9"/>
      <c r="K73" s="4"/>
      <c r="L73" s="16"/>
      <c r="M73" s="21"/>
      <c r="O73">
        <f t="shared" si="1"/>
        <v>1</v>
      </c>
      <c r="Q73">
        <f>COUNTIF($B$2:$B$107,Tabla3[[#This Row],[Profesor]])</f>
        <v>1</v>
      </c>
    </row>
    <row r="74" spans="1:41" ht="16.2" customHeight="1" thickBot="1" x14ac:dyDescent="0.35">
      <c r="A74" s="15" t="s">
        <v>435</v>
      </c>
      <c r="B74" s="1" t="s">
        <v>64</v>
      </c>
      <c r="C74" s="1"/>
      <c r="D74" s="13" t="s">
        <v>79</v>
      </c>
      <c r="E74" s="14">
        <v>1</v>
      </c>
      <c r="F74" s="13" t="s">
        <v>385</v>
      </c>
      <c r="G74" s="14">
        <v>1</v>
      </c>
      <c r="H74" s="13"/>
      <c r="I74" s="14"/>
      <c r="J74" s="13"/>
      <c r="K74" s="4"/>
      <c r="L74" s="16"/>
      <c r="M74" s="21"/>
      <c r="O74">
        <f t="shared" si="1"/>
        <v>2</v>
      </c>
      <c r="Q74">
        <f>COUNTIF($B$2:$B$107,Tabla3[[#This Row],[Profesor]])</f>
        <v>1</v>
      </c>
    </row>
    <row r="75" spans="1:41" ht="16.2" customHeight="1" thickBot="1" x14ac:dyDescent="0.35">
      <c r="A75" s="15" t="s">
        <v>528</v>
      </c>
      <c r="B75" s="1" t="s">
        <v>529</v>
      </c>
      <c r="C75" s="1"/>
      <c r="D75" s="9" t="s">
        <v>395</v>
      </c>
      <c r="E75" s="14">
        <v>1</v>
      </c>
      <c r="F75" s="9"/>
      <c r="G75" s="14"/>
      <c r="H75" s="9"/>
      <c r="I75" s="4"/>
      <c r="J75" s="9"/>
      <c r="K75" s="4"/>
      <c r="L75" s="16"/>
      <c r="M75" s="21"/>
      <c r="O75">
        <f t="shared" si="1"/>
        <v>1</v>
      </c>
      <c r="Q75">
        <f>COUNTIF($B$2:$B$107,Tabla3[[#This Row],[Profesor]])</f>
        <v>1</v>
      </c>
    </row>
    <row r="76" spans="1:41" ht="16.2" customHeight="1" thickBot="1" x14ac:dyDescent="0.35">
      <c r="A76" s="15" t="s">
        <v>106</v>
      </c>
      <c r="B76" s="1" t="s">
        <v>17</v>
      </c>
      <c r="C76" s="1"/>
      <c r="D76" s="13" t="s">
        <v>348</v>
      </c>
      <c r="E76" s="14">
        <v>1</v>
      </c>
      <c r="F76" s="13"/>
      <c r="G76" s="14"/>
      <c r="H76" s="13"/>
      <c r="I76" s="14"/>
      <c r="J76" s="13"/>
      <c r="K76" s="4"/>
      <c r="L76" s="16" t="s">
        <v>502</v>
      </c>
      <c r="M76" s="21"/>
      <c r="O76">
        <f t="shared" si="1"/>
        <v>1</v>
      </c>
      <c r="Q76">
        <f>COUNTIF($B$2:$B$107,Tabla3[[#This Row],[Profesor]])</f>
        <v>1</v>
      </c>
    </row>
    <row r="77" spans="1:41" ht="16.2" customHeight="1" thickBot="1" x14ac:dyDescent="0.35">
      <c r="A77" s="15" t="s">
        <v>143</v>
      </c>
      <c r="B77" s="1" t="s">
        <v>68</v>
      </c>
      <c r="C77" s="1"/>
      <c r="D77" s="9" t="s">
        <v>374</v>
      </c>
      <c r="E77" s="14">
        <v>1</v>
      </c>
      <c r="F77" s="9"/>
      <c r="G77" s="14"/>
      <c r="H77" s="9"/>
      <c r="I77" s="4"/>
      <c r="J77" s="9"/>
      <c r="K77" s="4"/>
      <c r="L77" s="16"/>
      <c r="M77" s="21"/>
      <c r="O77">
        <f t="shared" si="1"/>
        <v>1</v>
      </c>
      <c r="Q77">
        <f>COUNTIF($B$2:$B$107,Tabla3[[#This Row],[Profesor]])</f>
        <v>1</v>
      </c>
      <c r="AO77" s="32"/>
    </row>
    <row r="78" spans="1:41" ht="16.2" customHeight="1" thickBot="1" x14ac:dyDescent="0.35">
      <c r="A78" s="15" t="s">
        <v>146</v>
      </c>
      <c r="B78" s="1" t="s">
        <v>71</v>
      </c>
      <c r="C78" s="1"/>
      <c r="D78" s="9" t="s">
        <v>672</v>
      </c>
      <c r="E78" s="14">
        <v>1</v>
      </c>
      <c r="F78" s="9"/>
      <c r="G78" s="14"/>
      <c r="H78" s="9"/>
      <c r="I78" s="4"/>
      <c r="J78" s="9"/>
      <c r="K78" s="4"/>
      <c r="L78" s="16"/>
      <c r="M78" s="21"/>
      <c r="O78">
        <f t="shared" si="1"/>
        <v>1</v>
      </c>
      <c r="Q78">
        <f>COUNTIF($B$2:$B$107,Tabla3[[#This Row],[Profesor]])</f>
        <v>1</v>
      </c>
    </row>
    <row r="79" spans="1:41" ht="16.2" customHeight="1" thickBot="1" x14ac:dyDescent="0.35">
      <c r="A79" s="15" t="s">
        <v>151</v>
      </c>
      <c r="B79" s="1" t="s">
        <v>73</v>
      </c>
      <c r="C79" s="1"/>
      <c r="D79" s="9" t="s">
        <v>425</v>
      </c>
      <c r="E79" s="14">
        <v>1</v>
      </c>
      <c r="F79" s="9"/>
      <c r="G79" s="14"/>
      <c r="H79" s="9"/>
      <c r="I79" s="4"/>
      <c r="J79" s="9"/>
      <c r="K79" s="4"/>
      <c r="L79" s="16"/>
      <c r="M79" s="21"/>
      <c r="O79">
        <f t="shared" si="1"/>
        <v>1</v>
      </c>
      <c r="Q79">
        <f>COUNTIF($B$2:$B$107,Tabla3[[#This Row],[Profesor]])</f>
        <v>1</v>
      </c>
      <c r="AO79" s="32"/>
    </row>
    <row r="80" spans="1:41" ht="16.2" customHeight="1" thickBot="1" x14ac:dyDescent="0.35">
      <c r="A80" s="66" t="s">
        <v>475</v>
      </c>
      <c r="B80" s="1" t="s">
        <v>476</v>
      </c>
      <c r="C80" s="1"/>
      <c r="D80" s="9" t="s">
        <v>464</v>
      </c>
      <c r="E80" s="14">
        <v>1</v>
      </c>
      <c r="F80" s="9"/>
      <c r="G80" s="14"/>
      <c r="H80" s="9"/>
      <c r="I80" s="4"/>
      <c r="J80" s="9"/>
      <c r="K80" s="4"/>
      <c r="L80" s="16"/>
      <c r="M80" s="21"/>
      <c r="O80">
        <f t="shared" si="1"/>
        <v>1</v>
      </c>
      <c r="Q80">
        <f>COUNTIF($B$2:$B$107,Tabla3[[#This Row],[Profesor]])</f>
        <v>1</v>
      </c>
    </row>
    <row r="81" spans="1:41" ht="16.2" customHeight="1" thickBot="1" x14ac:dyDescent="0.35">
      <c r="A81" s="15" t="s">
        <v>521</v>
      </c>
      <c r="B81" s="1" t="s">
        <v>522</v>
      </c>
      <c r="C81" s="1"/>
      <c r="D81" s="9" t="s">
        <v>535</v>
      </c>
      <c r="E81" s="14">
        <v>1</v>
      </c>
      <c r="F81" s="9"/>
      <c r="G81" s="14"/>
      <c r="H81" s="9"/>
      <c r="I81" s="4"/>
      <c r="J81" s="9"/>
      <c r="K81" s="4"/>
      <c r="L81" s="16"/>
      <c r="M81" s="21"/>
      <c r="O81">
        <f t="shared" si="1"/>
        <v>1</v>
      </c>
      <c r="Q81">
        <f>COUNTIF($B$2:$B$107,Tabla3[[#This Row],[Profesor]])</f>
        <v>1</v>
      </c>
      <c r="AO81" s="32"/>
    </row>
    <row r="82" spans="1:41" ht="16.2" customHeight="1" thickBot="1" x14ac:dyDescent="0.35">
      <c r="A82" s="15" t="s">
        <v>332</v>
      </c>
      <c r="B82" s="1" t="s">
        <v>333</v>
      </c>
      <c r="C82" s="1"/>
      <c r="D82" s="9" t="s">
        <v>326</v>
      </c>
      <c r="E82" s="14">
        <v>2</v>
      </c>
      <c r="F82" s="9"/>
      <c r="G82" s="14"/>
      <c r="H82" s="9"/>
      <c r="I82" s="4"/>
      <c r="J82" s="9"/>
      <c r="K82" s="4"/>
      <c r="L82" s="16"/>
      <c r="M82" s="21"/>
      <c r="O82">
        <f t="shared" si="1"/>
        <v>2</v>
      </c>
      <c r="Q82">
        <f>COUNTIF($B$2:$B$107,Tabla3[[#This Row],[Profesor]])</f>
        <v>1</v>
      </c>
    </row>
    <row r="83" spans="1:41" ht="16.2" customHeight="1" thickBot="1" x14ac:dyDescent="0.35">
      <c r="A83" s="15" t="s">
        <v>436</v>
      </c>
      <c r="B83" s="1" t="s">
        <v>437</v>
      </c>
      <c r="C83" s="1"/>
      <c r="D83" s="13" t="s">
        <v>375</v>
      </c>
      <c r="E83" s="14">
        <v>1</v>
      </c>
      <c r="F83" s="13"/>
      <c r="G83" s="14"/>
      <c r="H83" s="13"/>
      <c r="I83" s="14"/>
      <c r="J83" s="13"/>
      <c r="K83" s="4"/>
      <c r="L83" s="16"/>
      <c r="M83" s="21"/>
      <c r="O83">
        <f t="shared" si="1"/>
        <v>1</v>
      </c>
      <c r="Q83">
        <f>COUNTIF($B$2:$B$107,Tabla3[[#This Row],[Profesor]])</f>
        <v>1</v>
      </c>
    </row>
    <row r="84" spans="1:41" ht="16.2" customHeight="1" thickBot="1" x14ac:dyDescent="0.35">
      <c r="A84" s="15" t="s">
        <v>438</v>
      </c>
      <c r="B84" s="1" t="s">
        <v>63</v>
      </c>
      <c r="C84" s="1"/>
      <c r="D84" s="13" t="s">
        <v>259</v>
      </c>
      <c r="E84" s="14">
        <v>1</v>
      </c>
      <c r="F84" s="13"/>
      <c r="G84" s="14"/>
      <c r="H84" s="13"/>
      <c r="I84" s="14"/>
      <c r="J84" s="13"/>
      <c r="K84" s="4"/>
      <c r="L84" s="16"/>
      <c r="M84" s="21"/>
      <c r="O84">
        <f t="shared" si="1"/>
        <v>1</v>
      </c>
      <c r="Q84">
        <f>COUNTIF($B$2:$B$107,Tabla3[[#This Row],[Profesor]])</f>
        <v>1</v>
      </c>
    </row>
    <row r="85" spans="1:41" ht="16.2" customHeight="1" thickBot="1" x14ac:dyDescent="0.35">
      <c r="A85" s="15" t="s">
        <v>416</v>
      </c>
      <c r="B85" s="1" t="s">
        <v>417</v>
      </c>
      <c r="C85" s="1"/>
      <c r="D85" s="9" t="s">
        <v>413</v>
      </c>
      <c r="E85" s="14">
        <v>1</v>
      </c>
      <c r="F85" s="9" t="s">
        <v>470</v>
      </c>
      <c r="G85" s="14">
        <v>1</v>
      </c>
      <c r="H85" s="9"/>
      <c r="I85" s="4"/>
      <c r="J85" s="9"/>
      <c r="K85" s="4"/>
      <c r="L85" s="16"/>
      <c r="M85" s="21"/>
      <c r="O85">
        <f t="shared" si="1"/>
        <v>2</v>
      </c>
      <c r="Q85">
        <f>COUNTIF($B$2:$B$107,Tabla3[[#This Row],[Profesor]])</f>
        <v>1</v>
      </c>
    </row>
    <row r="86" spans="1:41" ht="16.2" customHeight="1" thickBot="1" x14ac:dyDescent="0.35">
      <c r="A86" s="15" t="s">
        <v>485</v>
      </c>
      <c r="B86" s="1" t="s">
        <v>486</v>
      </c>
      <c r="C86" s="1"/>
      <c r="D86" s="9" t="s">
        <v>468</v>
      </c>
      <c r="E86" s="14">
        <v>1</v>
      </c>
      <c r="F86" s="9"/>
      <c r="G86" s="14"/>
      <c r="H86" s="9"/>
      <c r="I86" s="4"/>
      <c r="J86" s="9"/>
      <c r="K86" s="4"/>
      <c r="L86" s="16"/>
      <c r="M86" s="21"/>
      <c r="O86">
        <f t="shared" si="1"/>
        <v>1</v>
      </c>
      <c r="Q86">
        <f>COUNTIF($B$2:$B$107,Tabla3[[#This Row],[Profesor]])</f>
        <v>1</v>
      </c>
    </row>
    <row r="87" spans="1:41" ht="16.2" customHeight="1" thickBot="1" x14ac:dyDescent="0.35">
      <c r="A87" s="15" t="s">
        <v>512</v>
      </c>
      <c r="B87" s="105" t="s">
        <v>513</v>
      </c>
      <c r="C87" s="1"/>
      <c r="D87" s="9" t="s">
        <v>314</v>
      </c>
      <c r="E87" s="14">
        <v>1</v>
      </c>
      <c r="F87" s="9"/>
      <c r="G87" s="14"/>
      <c r="H87" s="9"/>
      <c r="I87" s="4"/>
      <c r="J87" s="9"/>
      <c r="K87" s="4"/>
      <c r="L87" s="16"/>
      <c r="M87" s="21"/>
      <c r="O87">
        <f t="shared" si="1"/>
        <v>1</v>
      </c>
      <c r="Q87">
        <f>COUNTIF($B$2:$B$107,Tabla3[[#This Row],[Profesor]])</f>
        <v>1</v>
      </c>
    </row>
    <row r="88" spans="1:41" ht="16.2" customHeight="1" thickBot="1" x14ac:dyDescent="0.35">
      <c r="A88" s="15" t="s">
        <v>515</v>
      </c>
      <c r="B88" s="105" t="s">
        <v>514</v>
      </c>
      <c r="C88" s="1"/>
      <c r="D88" s="9" t="s">
        <v>314</v>
      </c>
      <c r="E88" s="14">
        <v>1</v>
      </c>
      <c r="F88" s="9"/>
      <c r="G88" s="14"/>
      <c r="H88" s="9"/>
      <c r="I88" s="4"/>
      <c r="J88" s="9"/>
      <c r="K88" s="4"/>
      <c r="L88" s="16"/>
      <c r="M88" s="21"/>
      <c r="O88">
        <f t="shared" ref="O88" si="2">E88+G88+I88+K88</f>
        <v>1</v>
      </c>
      <c r="Q88">
        <f>COUNTIF($B$2:$B$107,Tabla3[[#This Row],[Profesor]])</f>
        <v>1</v>
      </c>
    </row>
    <row r="89" spans="1:41" ht="16.2" customHeight="1" thickBot="1" x14ac:dyDescent="0.35">
      <c r="A89" s="15" t="s">
        <v>692</v>
      </c>
      <c r="B89" s="105" t="s">
        <v>693</v>
      </c>
      <c r="C89" s="1"/>
      <c r="D89" s="9" t="s">
        <v>314</v>
      </c>
      <c r="E89" s="14">
        <v>1</v>
      </c>
      <c r="F89" s="9"/>
      <c r="G89" s="14"/>
      <c r="H89" s="9"/>
      <c r="I89" s="4"/>
      <c r="J89" s="9"/>
      <c r="K89" s="4"/>
      <c r="L89" s="16"/>
      <c r="M89" s="21"/>
      <c r="O89">
        <f t="shared" si="1"/>
        <v>1</v>
      </c>
      <c r="Q89">
        <f>COUNTIF($B$2:$B$107,Tabla3[[#This Row],[Profesor]])</f>
        <v>1</v>
      </c>
    </row>
    <row r="90" spans="1:41" ht="16.2" customHeight="1" thickBot="1" x14ac:dyDescent="0.35">
      <c r="A90" s="15" t="s">
        <v>253</v>
      </c>
      <c r="B90" s="1" t="s">
        <v>252</v>
      </c>
      <c r="C90" s="1" t="s">
        <v>237</v>
      </c>
      <c r="D90" s="9" t="s">
        <v>251</v>
      </c>
      <c r="E90" s="14">
        <v>1</v>
      </c>
      <c r="F90" s="9" t="s">
        <v>274</v>
      </c>
      <c r="G90" s="14">
        <v>1</v>
      </c>
      <c r="H90" s="9"/>
      <c r="I90" s="4"/>
      <c r="J90" s="9"/>
      <c r="K90" s="4"/>
      <c r="L90" s="16"/>
      <c r="M90" s="21"/>
      <c r="O90">
        <f t="shared" si="1"/>
        <v>2</v>
      </c>
      <c r="Q90">
        <f>COUNTIF($B$2:$B$107,Tabla3[[#This Row],[Profesor]])</f>
        <v>1</v>
      </c>
    </row>
    <row r="91" spans="1:41" ht="16.2" customHeight="1" thickBot="1" x14ac:dyDescent="0.35">
      <c r="A91" s="66" t="s">
        <v>351</v>
      </c>
      <c r="B91" s="1" t="s">
        <v>352</v>
      </c>
      <c r="C91" s="1"/>
      <c r="D91" s="9" t="s">
        <v>350</v>
      </c>
      <c r="E91" s="14">
        <v>2</v>
      </c>
      <c r="F91" s="9"/>
      <c r="G91" s="14"/>
      <c r="H91" s="9"/>
      <c r="I91" s="4"/>
      <c r="J91" s="9"/>
      <c r="K91" s="4"/>
      <c r="L91" s="16"/>
      <c r="M91" s="21"/>
      <c r="O91">
        <f t="shared" si="1"/>
        <v>2</v>
      </c>
      <c r="Q91">
        <f>COUNTIF($B$2:$B$107,Tabla3[[#This Row],[Profesor]])</f>
        <v>1</v>
      </c>
    </row>
    <row r="92" spans="1:41" ht="16.2" customHeight="1" thickBot="1" x14ac:dyDescent="0.35">
      <c r="A92" s="65" t="s">
        <v>700</v>
      </c>
      <c r="B92" s="1" t="s">
        <v>701</v>
      </c>
      <c r="C92" s="1"/>
      <c r="D92" s="9" t="s">
        <v>699</v>
      </c>
      <c r="E92" s="14">
        <v>1</v>
      </c>
      <c r="F92" s="9"/>
      <c r="G92" s="14"/>
      <c r="H92" s="9"/>
      <c r="I92" s="4"/>
      <c r="J92" s="9"/>
      <c r="K92" s="4"/>
      <c r="L92" s="16"/>
      <c r="M92" s="21"/>
      <c r="O92">
        <f t="shared" si="1"/>
        <v>1</v>
      </c>
      <c r="Q92">
        <f>COUNTIF($B$2:$B$107,Tabla3[[#This Row],[Profesor]])</f>
        <v>1</v>
      </c>
    </row>
    <row r="93" spans="1:41" ht="16.2" customHeight="1" thickBot="1" x14ac:dyDescent="0.35">
      <c r="A93" s="15" t="s">
        <v>117</v>
      </c>
      <c r="B93" s="1" t="s">
        <v>62</v>
      </c>
      <c r="C93" s="1"/>
      <c r="D93" s="13" t="s">
        <v>9</v>
      </c>
      <c r="E93" s="14">
        <v>4</v>
      </c>
      <c r="F93" s="13"/>
      <c r="G93" s="14"/>
      <c r="H93" s="13"/>
      <c r="I93" s="14"/>
      <c r="J93" s="13"/>
      <c r="K93" s="4"/>
      <c r="L93" s="16"/>
      <c r="M93" s="21"/>
      <c r="O93">
        <f t="shared" si="1"/>
        <v>4</v>
      </c>
      <c r="Q93">
        <f>COUNTIF($B$2:$B$107,Tabla3[[#This Row],[Profesor]])</f>
        <v>1</v>
      </c>
    </row>
    <row r="94" spans="1:41" ht="16.2" customHeight="1" thickBot="1" x14ac:dyDescent="0.35">
      <c r="A94" s="66" t="s">
        <v>255</v>
      </c>
      <c r="B94" s="1" t="s">
        <v>256</v>
      </c>
      <c r="C94" s="1"/>
      <c r="D94" s="9" t="s">
        <v>254</v>
      </c>
      <c r="E94" s="14">
        <v>1</v>
      </c>
      <c r="F94" s="9"/>
      <c r="G94" s="14"/>
      <c r="H94" s="9"/>
      <c r="I94" s="4"/>
      <c r="J94" s="9"/>
      <c r="K94" s="4"/>
      <c r="L94" s="16"/>
      <c r="M94" s="21"/>
      <c r="O94">
        <f t="shared" ref="O94" si="3">E94+G94+I94+K94</f>
        <v>1</v>
      </c>
      <c r="Q94">
        <f>COUNTIF($B$2:$B$107,Tabla3[[#This Row],[Profesor]])</f>
        <v>1</v>
      </c>
    </row>
    <row r="95" spans="1:41" ht="16.2" customHeight="1" thickBot="1" x14ac:dyDescent="0.35">
      <c r="A95" s="15" t="s">
        <v>346</v>
      </c>
      <c r="B95" s="1" t="s">
        <v>347</v>
      </c>
      <c r="C95" s="1"/>
      <c r="D95" s="9" t="s">
        <v>345</v>
      </c>
      <c r="E95" s="14">
        <v>1</v>
      </c>
      <c r="F95" s="9"/>
      <c r="G95" s="14"/>
      <c r="H95" s="9"/>
      <c r="I95" s="4"/>
      <c r="J95" s="9"/>
      <c r="K95" s="4"/>
      <c r="L95" s="16"/>
      <c r="M95" s="21"/>
      <c r="O95">
        <f t="shared" si="1"/>
        <v>1</v>
      </c>
      <c r="Q95">
        <f>COUNTIF($B$2:$B$107,Tabla3[[#This Row],[Profesor]])</f>
        <v>1</v>
      </c>
    </row>
    <row r="96" spans="1:41" ht="16.2" customHeight="1" thickBot="1" x14ac:dyDescent="0.35">
      <c r="A96" s="15" t="s">
        <v>439</v>
      </c>
      <c r="B96" s="1" t="s">
        <v>46</v>
      </c>
      <c r="C96" s="1"/>
      <c r="D96" s="13" t="s">
        <v>259</v>
      </c>
      <c r="E96" s="14">
        <v>1</v>
      </c>
      <c r="F96" s="13"/>
      <c r="G96" s="14"/>
      <c r="H96" s="13"/>
      <c r="I96" s="14"/>
      <c r="J96" s="13"/>
      <c r="K96" s="4"/>
      <c r="L96" s="16"/>
      <c r="M96" s="21"/>
      <c r="O96">
        <f t="shared" si="1"/>
        <v>1</v>
      </c>
      <c r="Q96">
        <f>COUNTIF($B$2:$B$107,Tabla3[[#This Row],[Profesor]])</f>
        <v>1</v>
      </c>
    </row>
    <row r="97" spans="1:34" ht="16.2" customHeight="1" thickBot="1" x14ac:dyDescent="0.35">
      <c r="A97" s="65" t="s">
        <v>402</v>
      </c>
      <c r="B97" s="1" t="s">
        <v>403</v>
      </c>
      <c r="C97" s="1"/>
      <c r="D97" s="9" t="s">
        <v>401</v>
      </c>
      <c r="E97" s="14">
        <v>1</v>
      </c>
      <c r="F97" s="9"/>
      <c r="G97" s="14"/>
      <c r="H97" s="9"/>
      <c r="I97" s="4"/>
      <c r="J97" s="9"/>
      <c r="K97" s="4"/>
      <c r="L97" s="16"/>
      <c r="M97" s="21"/>
      <c r="O97">
        <f t="shared" si="1"/>
        <v>1</v>
      </c>
      <c r="Q97">
        <f>COUNTIF($B$2:$B$107,Tabla3[[#This Row],[Profesor]])</f>
        <v>1</v>
      </c>
    </row>
    <row r="98" spans="1:34" ht="16.2" customHeight="1" thickBot="1" x14ac:dyDescent="0.35">
      <c r="A98" s="15" t="s">
        <v>396</v>
      </c>
      <c r="B98" s="1" t="s">
        <v>397</v>
      </c>
      <c r="C98" s="1"/>
      <c r="D98" s="9" t="s">
        <v>530</v>
      </c>
      <c r="E98" s="14">
        <v>2</v>
      </c>
      <c r="F98" s="9"/>
      <c r="G98" s="14"/>
      <c r="H98" s="9"/>
      <c r="I98" s="4"/>
      <c r="J98" s="9"/>
      <c r="K98" s="4"/>
      <c r="L98" s="16"/>
      <c r="M98" s="21"/>
      <c r="O98">
        <f>E98+G98+I98+K98</f>
        <v>2</v>
      </c>
      <c r="Q98">
        <f>COUNTIF($B$2:$B$107,Tabla3[[#This Row],[Profesor]])</f>
        <v>1</v>
      </c>
    </row>
    <row r="99" spans="1:34" ht="16.2" customHeight="1" thickBot="1" x14ac:dyDescent="0.35">
      <c r="A99" s="15" t="s">
        <v>124</v>
      </c>
      <c r="B99" s="1" t="s">
        <v>80</v>
      </c>
      <c r="C99" s="1"/>
      <c r="D99" s="13" t="s">
        <v>79</v>
      </c>
      <c r="E99" s="14">
        <v>1</v>
      </c>
      <c r="F99" s="13" t="s">
        <v>385</v>
      </c>
      <c r="G99" s="14">
        <v>1</v>
      </c>
      <c r="H99" s="13"/>
      <c r="I99" s="14"/>
      <c r="J99" s="13"/>
      <c r="K99" s="4"/>
      <c r="L99" s="16"/>
      <c r="M99" s="21"/>
      <c r="O99">
        <f>E99+G99+I99+K99</f>
        <v>2</v>
      </c>
      <c r="Q99">
        <f>COUNTIF($B$2:$B$107,Tabla3[[#This Row],[Profesor]])</f>
        <v>1</v>
      </c>
    </row>
    <row r="100" spans="1:34" ht="16.2" customHeight="1" thickBot="1" x14ac:dyDescent="0.35">
      <c r="A100" s="15" t="s">
        <v>440</v>
      </c>
      <c r="B100" s="1" t="s">
        <v>44</v>
      </c>
      <c r="C100" s="43"/>
      <c r="D100" s="13" t="s">
        <v>356</v>
      </c>
      <c r="E100" s="14">
        <v>1</v>
      </c>
      <c r="F100" s="13" t="s">
        <v>422</v>
      </c>
      <c r="G100" s="14">
        <v>1</v>
      </c>
      <c r="H100" s="13"/>
      <c r="I100" s="14"/>
      <c r="J100" s="13"/>
      <c r="K100" s="4"/>
      <c r="L100" s="16"/>
      <c r="M100" s="21"/>
      <c r="O100">
        <f>E100+G100+I100+K100</f>
        <v>2</v>
      </c>
      <c r="Q100">
        <f>COUNTIF($B$2:$B$107,Tabla3[[#This Row],[Profesor]])</f>
        <v>1</v>
      </c>
    </row>
    <row r="101" spans="1:34" ht="16.2" customHeight="1" thickBot="1" x14ac:dyDescent="0.35">
      <c r="A101" s="15" t="s">
        <v>144</v>
      </c>
      <c r="B101" s="1" t="s">
        <v>69</v>
      </c>
      <c r="C101" s="1"/>
      <c r="D101" s="9" t="s">
        <v>374</v>
      </c>
      <c r="E101" s="14">
        <v>1</v>
      </c>
      <c r="F101" s="9" t="s">
        <v>540</v>
      </c>
      <c r="G101" s="14">
        <v>1</v>
      </c>
      <c r="H101" s="9"/>
      <c r="I101" s="4"/>
      <c r="J101" s="9"/>
      <c r="K101" s="4"/>
      <c r="L101" s="16"/>
      <c r="M101" s="21"/>
      <c r="O101">
        <f>E101+G101+I101+K101</f>
        <v>2</v>
      </c>
      <c r="Q101">
        <f>COUNTIF($B$2:$B$107,Tabla3[[#This Row],[Profesor]])</f>
        <v>1</v>
      </c>
    </row>
    <row r="102" spans="1:34" ht="16.2" customHeight="1" thickBot="1" x14ac:dyDescent="0.35">
      <c r="A102" s="15" t="s">
        <v>275</v>
      </c>
      <c r="B102" s="1" t="s">
        <v>284</v>
      </c>
      <c r="C102" s="1"/>
      <c r="D102" s="9" t="s">
        <v>92</v>
      </c>
      <c r="E102" s="14">
        <v>1</v>
      </c>
      <c r="F102" s="9"/>
      <c r="G102" s="14"/>
      <c r="H102" s="9"/>
      <c r="I102" s="4"/>
      <c r="J102" s="9"/>
      <c r="K102" s="4"/>
      <c r="L102" s="16"/>
      <c r="M102" s="21"/>
      <c r="O102">
        <f t="shared" ref="O102" si="4">E102+G102+I102+K102</f>
        <v>1</v>
      </c>
      <c r="Q102">
        <f>COUNTIF($B$2:$B$107,Tabla3[[#This Row],[Profesor]])</f>
        <v>1</v>
      </c>
    </row>
    <row r="103" spans="1:34" ht="16.2" customHeight="1" thickBot="1" x14ac:dyDescent="0.35">
      <c r="A103" s="15" t="s">
        <v>108</v>
      </c>
      <c r="B103" s="1" t="s">
        <v>45</v>
      </c>
      <c r="C103" s="1"/>
      <c r="D103" s="13" t="s">
        <v>6</v>
      </c>
      <c r="E103" s="14">
        <v>1</v>
      </c>
      <c r="F103" s="13" t="s">
        <v>325</v>
      </c>
      <c r="G103" s="14">
        <v>1</v>
      </c>
      <c r="H103" s="13"/>
      <c r="I103" s="14"/>
      <c r="J103" s="13"/>
      <c r="K103" s="4"/>
      <c r="L103" s="16" t="s">
        <v>689</v>
      </c>
      <c r="M103" s="21"/>
      <c r="O103">
        <f t="shared" ref="O103" si="5">E103+G103+I103+K103</f>
        <v>2</v>
      </c>
      <c r="Q103">
        <f>COUNTIF($B$2:$B$107,Tabla3[[#This Row],[Profesor]])</f>
        <v>1</v>
      </c>
    </row>
    <row r="104" spans="1:34" ht="16.2" customHeight="1" thickBot="1" x14ac:dyDescent="0.35">
      <c r="A104" s="15" t="s">
        <v>420</v>
      </c>
      <c r="B104" s="1" t="s">
        <v>421</v>
      </c>
      <c r="C104" s="1"/>
      <c r="D104" s="9" t="s">
        <v>419</v>
      </c>
      <c r="E104" s="14">
        <v>1</v>
      </c>
      <c r="F104" s="9"/>
      <c r="G104" s="14"/>
      <c r="H104" s="9"/>
      <c r="I104" s="4"/>
      <c r="J104" s="9"/>
      <c r="K104" s="4"/>
      <c r="L104" s="16"/>
      <c r="M104" s="21"/>
      <c r="O104">
        <f t="shared" ref="O104:O105" si="6">E104+G104+I104+K104</f>
        <v>1</v>
      </c>
      <c r="Q104">
        <f>COUNTIF($B$2:$B$107,Tabla3[[#This Row],[Profesor]])</f>
        <v>1</v>
      </c>
    </row>
    <row r="105" spans="1:34" ht="16.2" customHeight="1" thickBot="1" x14ac:dyDescent="0.35">
      <c r="A105" s="15" t="s">
        <v>316</v>
      </c>
      <c r="B105" s="1" t="s">
        <v>315</v>
      </c>
      <c r="C105" s="1"/>
      <c r="D105" s="9" t="s">
        <v>314</v>
      </c>
      <c r="E105" s="14">
        <v>1</v>
      </c>
      <c r="F105" s="9"/>
      <c r="G105" s="14"/>
      <c r="H105" s="9"/>
      <c r="I105" s="4"/>
      <c r="J105" s="9"/>
      <c r="K105" s="4"/>
      <c r="L105" s="16"/>
      <c r="M105" s="21"/>
      <c r="O105">
        <f t="shared" si="6"/>
        <v>1</v>
      </c>
      <c r="Q105">
        <f>COUNTIF($B$2:$B$107,Tabla3[[#This Row],[Profesor]])</f>
        <v>1</v>
      </c>
    </row>
    <row r="106" spans="1:34" ht="16.2" customHeight="1" thickBot="1" x14ac:dyDescent="0.35">
      <c r="A106" s="65" t="s">
        <v>703</v>
      </c>
      <c r="B106" s="1" t="s">
        <v>704</v>
      </c>
      <c r="C106" s="1"/>
      <c r="D106" s="9" t="s">
        <v>463</v>
      </c>
      <c r="E106" s="14">
        <v>1</v>
      </c>
      <c r="F106" s="9"/>
      <c r="G106" s="14"/>
      <c r="H106" s="9"/>
      <c r="I106" s="4"/>
      <c r="J106" s="9"/>
      <c r="K106" s="4"/>
      <c r="L106" s="16"/>
      <c r="M106" s="21"/>
      <c r="O106">
        <f t="shared" ref="O106" si="7">E106+G106+I106+K106</f>
        <v>1</v>
      </c>
      <c r="Q106">
        <f>COUNTIF($B$2:$B$107,Tabla3[[#This Row],[Profesor]])</f>
        <v>1</v>
      </c>
    </row>
    <row r="107" spans="1:34" ht="16.2" customHeight="1" thickBot="1" x14ac:dyDescent="0.35">
      <c r="A107" s="15" t="s">
        <v>506</v>
      </c>
      <c r="B107" s="1" t="s">
        <v>507</v>
      </c>
      <c r="C107" s="1"/>
      <c r="D107" s="9" t="s">
        <v>262</v>
      </c>
      <c r="E107" s="14">
        <v>1</v>
      </c>
      <c r="F107" s="9"/>
      <c r="G107" s="14"/>
      <c r="H107" s="9"/>
      <c r="I107" s="4"/>
      <c r="J107" s="9"/>
      <c r="K107" s="4"/>
      <c r="L107" s="16"/>
      <c r="M107" s="21"/>
      <c r="O107">
        <f t="shared" si="1"/>
        <v>1</v>
      </c>
      <c r="Q107">
        <f>COUNTIF($B$2:$B$107,Tabla3[[#This Row],[Profesor]])</f>
        <v>1</v>
      </c>
    </row>
    <row r="108" spans="1:34" ht="16.2" customHeight="1" x14ac:dyDescent="0.3">
      <c r="U108" t="s">
        <v>164</v>
      </c>
      <c r="V108" t="s">
        <v>165</v>
      </c>
      <c r="W108" t="s">
        <v>166</v>
      </c>
      <c r="X108" t="s">
        <v>167</v>
      </c>
      <c r="Y108" t="s">
        <v>168</v>
      </c>
      <c r="AD108" t="s">
        <v>164</v>
      </c>
      <c r="AE108" t="s">
        <v>165</v>
      </c>
      <c r="AF108" t="s">
        <v>166</v>
      </c>
      <c r="AG108" t="s">
        <v>167</v>
      </c>
      <c r="AH108" t="s">
        <v>168</v>
      </c>
    </row>
    <row r="109" spans="1:34" ht="16.2" customHeight="1" x14ac:dyDescent="0.3">
      <c r="N109" t="s">
        <v>240</v>
      </c>
      <c r="T109" t="s">
        <v>154</v>
      </c>
      <c r="U109" t="s">
        <v>155</v>
      </c>
      <c r="V109" t="s">
        <v>155</v>
      </c>
      <c r="W109" t="s">
        <v>155</v>
      </c>
      <c r="X109" t="s">
        <v>155</v>
      </c>
      <c r="Y109" t="s">
        <v>155</v>
      </c>
      <c r="AC109" t="s">
        <v>154</v>
      </c>
      <c r="AD109" t="s">
        <v>155</v>
      </c>
      <c r="AE109" t="s">
        <v>155</v>
      </c>
      <c r="AF109" t="s">
        <v>155</v>
      </c>
      <c r="AG109" t="s">
        <v>155</v>
      </c>
      <c r="AH109" t="s">
        <v>155</v>
      </c>
    </row>
    <row r="110" spans="1:34" ht="16.2" customHeight="1" x14ac:dyDescent="0.3">
      <c r="N110">
        <v>0</v>
      </c>
      <c r="O110">
        <f t="shared" ref="O110:O117" si="8">COUNTIF($O$2:$O$107,N110)</f>
        <v>1</v>
      </c>
      <c r="T110" t="s">
        <v>156</v>
      </c>
      <c r="U110" t="s">
        <v>155</v>
      </c>
      <c r="V110" t="s">
        <v>155</v>
      </c>
      <c r="W110" t="s">
        <v>155</v>
      </c>
      <c r="X110" t="s">
        <v>155</v>
      </c>
      <c r="Y110" t="s">
        <v>155</v>
      </c>
      <c r="AC110" t="s">
        <v>156</v>
      </c>
      <c r="AD110" t="s">
        <v>155</v>
      </c>
      <c r="AE110" t="s">
        <v>155</v>
      </c>
      <c r="AF110" t="s">
        <v>155</v>
      </c>
      <c r="AG110" t="s">
        <v>155</v>
      </c>
      <c r="AH110" t="s">
        <v>155</v>
      </c>
    </row>
    <row r="111" spans="1:34" ht="16.2" customHeight="1" x14ac:dyDescent="0.3">
      <c r="N111">
        <v>1</v>
      </c>
      <c r="O111">
        <f t="shared" si="8"/>
        <v>62</v>
      </c>
      <c r="T111" t="s">
        <v>157</v>
      </c>
      <c r="U111" t="s">
        <v>155</v>
      </c>
      <c r="V111" t="s">
        <v>155</v>
      </c>
      <c r="W111" t="s">
        <v>155</v>
      </c>
      <c r="X111" t="s">
        <v>155</v>
      </c>
      <c r="Y111" t="s">
        <v>155</v>
      </c>
      <c r="AC111" t="s">
        <v>157</v>
      </c>
      <c r="AD111" t="s">
        <v>155</v>
      </c>
      <c r="AE111" t="s">
        <v>155</v>
      </c>
      <c r="AF111" t="s">
        <v>155</v>
      </c>
      <c r="AG111" t="s">
        <v>155</v>
      </c>
      <c r="AH111" t="s">
        <v>155</v>
      </c>
    </row>
    <row r="112" spans="1:34" ht="16.2" customHeight="1" x14ac:dyDescent="0.3">
      <c r="N112">
        <v>2</v>
      </c>
      <c r="O112">
        <f t="shared" si="8"/>
        <v>32</v>
      </c>
      <c r="T112" t="s">
        <v>158</v>
      </c>
      <c r="U112" t="s">
        <v>155</v>
      </c>
      <c r="V112" t="s">
        <v>155</v>
      </c>
      <c r="W112" t="s">
        <v>155</v>
      </c>
      <c r="X112" t="s">
        <v>20</v>
      </c>
      <c r="Y112" t="s">
        <v>155</v>
      </c>
      <c r="AC112" t="s">
        <v>158</v>
      </c>
      <c r="AD112" t="s">
        <v>155</v>
      </c>
      <c r="AE112" t="s">
        <v>20</v>
      </c>
      <c r="AF112" t="s">
        <v>155</v>
      </c>
      <c r="AG112" t="s">
        <v>155</v>
      </c>
      <c r="AH112" t="s">
        <v>155</v>
      </c>
    </row>
    <row r="113" spans="14:34" ht="16.2" customHeight="1" x14ac:dyDescent="0.3">
      <c r="N113">
        <v>3</v>
      </c>
      <c r="O113">
        <f t="shared" si="8"/>
        <v>5</v>
      </c>
      <c r="T113" t="s">
        <v>159</v>
      </c>
      <c r="U113" t="s">
        <v>155</v>
      </c>
      <c r="V113" t="s">
        <v>20</v>
      </c>
      <c r="W113" t="s">
        <v>155</v>
      </c>
      <c r="X113" t="s">
        <v>20</v>
      </c>
      <c r="Y113" t="s">
        <v>155</v>
      </c>
      <c r="AC113" t="s">
        <v>159</v>
      </c>
      <c r="AD113" t="s">
        <v>155</v>
      </c>
      <c r="AE113" t="s">
        <v>20</v>
      </c>
      <c r="AF113" t="s">
        <v>155</v>
      </c>
      <c r="AG113" t="s">
        <v>20</v>
      </c>
      <c r="AH113" t="s">
        <v>155</v>
      </c>
    </row>
    <row r="114" spans="14:34" ht="16.2" customHeight="1" x14ac:dyDescent="0.3">
      <c r="N114">
        <v>4</v>
      </c>
      <c r="O114">
        <f t="shared" si="8"/>
        <v>4</v>
      </c>
      <c r="T114" t="s">
        <v>160</v>
      </c>
      <c r="U114" t="s">
        <v>155</v>
      </c>
      <c r="V114" t="s">
        <v>20</v>
      </c>
      <c r="W114" t="s">
        <v>155</v>
      </c>
      <c r="X114" t="s">
        <v>20</v>
      </c>
      <c r="Y114" t="s">
        <v>155</v>
      </c>
      <c r="AC114" t="s">
        <v>160</v>
      </c>
      <c r="AD114" t="s">
        <v>155</v>
      </c>
      <c r="AE114" t="s">
        <v>20</v>
      </c>
      <c r="AF114" t="s">
        <v>155</v>
      </c>
      <c r="AG114" t="s">
        <v>20</v>
      </c>
      <c r="AH114" t="s">
        <v>155</v>
      </c>
    </row>
    <row r="115" spans="14:34" ht="16.2" customHeight="1" x14ac:dyDescent="0.3">
      <c r="N115">
        <v>5</v>
      </c>
      <c r="O115">
        <f t="shared" si="8"/>
        <v>2</v>
      </c>
      <c r="T115" t="s">
        <v>169</v>
      </c>
      <c r="U115" t="s">
        <v>155</v>
      </c>
      <c r="V115" t="s">
        <v>155</v>
      </c>
      <c r="W115" t="s">
        <v>155</v>
      </c>
      <c r="X115" t="s">
        <v>155</v>
      </c>
      <c r="Y115" t="s">
        <v>155</v>
      </c>
      <c r="AC115" t="s">
        <v>169</v>
      </c>
      <c r="AD115" t="s">
        <v>155</v>
      </c>
      <c r="AE115" t="s">
        <v>155</v>
      </c>
      <c r="AF115" t="s">
        <v>155</v>
      </c>
      <c r="AG115" t="s">
        <v>155</v>
      </c>
      <c r="AH115" t="s">
        <v>155</v>
      </c>
    </row>
    <row r="116" spans="14:34" ht="16.2" customHeight="1" x14ac:dyDescent="0.3">
      <c r="N116">
        <v>6</v>
      </c>
      <c r="O116">
        <f t="shared" si="8"/>
        <v>0</v>
      </c>
      <c r="T116" t="s">
        <v>170</v>
      </c>
      <c r="U116" t="s">
        <v>155</v>
      </c>
      <c r="V116" t="s">
        <v>155</v>
      </c>
      <c r="W116" t="s">
        <v>155</v>
      </c>
      <c r="X116" t="s">
        <v>155</v>
      </c>
      <c r="Y116" t="s">
        <v>155</v>
      </c>
      <c r="AC116" t="s">
        <v>170</v>
      </c>
      <c r="AD116" t="s">
        <v>155</v>
      </c>
      <c r="AE116" t="s">
        <v>155</v>
      </c>
      <c r="AF116" t="s">
        <v>155</v>
      </c>
      <c r="AG116" t="s">
        <v>155</v>
      </c>
      <c r="AH116" t="s">
        <v>155</v>
      </c>
    </row>
    <row r="117" spans="14:34" ht="16.2" customHeight="1" x14ac:dyDescent="0.3">
      <c r="N117">
        <v>7</v>
      </c>
      <c r="O117">
        <f t="shared" si="8"/>
        <v>0</v>
      </c>
      <c r="T117" t="s">
        <v>171</v>
      </c>
      <c r="U117" t="s">
        <v>155</v>
      </c>
      <c r="V117" t="s">
        <v>155</v>
      </c>
      <c r="W117" t="s">
        <v>155</v>
      </c>
      <c r="X117" t="s">
        <v>155</v>
      </c>
      <c r="Y117" t="s">
        <v>155</v>
      </c>
      <c r="AC117" t="s">
        <v>171</v>
      </c>
      <c r="AD117" t="s">
        <v>155</v>
      </c>
      <c r="AE117" t="s">
        <v>155</v>
      </c>
      <c r="AF117" t="s">
        <v>155</v>
      </c>
      <c r="AG117" t="s">
        <v>155</v>
      </c>
      <c r="AH117" t="s">
        <v>155</v>
      </c>
    </row>
    <row r="118" spans="14:34" ht="16.2" customHeight="1" x14ac:dyDescent="0.3">
      <c r="O118" cm="1">
        <f t="array" ref="O118">SUM(N110:N117*O110:O117)</f>
        <v>167</v>
      </c>
      <c r="T118" t="s">
        <v>172</v>
      </c>
      <c r="U118" t="s">
        <v>155</v>
      </c>
      <c r="V118" t="s">
        <v>155</v>
      </c>
      <c r="W118" t="s">
        <v>155</v>
      </c>
      <c r="X118" t="s">
        <v>155</v>
      </c>
      <c r="Y118" t="s">
        <v>155</v>
      </c>
      <c r="AC118" t="s">
        <v>172</v>
      </c>
      <c r="AD118" t="s">
        <v>155</v>
      </c>
      <c r="AE118" t="s">
        <v>155</v>
      </c>
      <c r="AF118" t="s">
        <v>155</v>
      </c>
      <c r="AG118" t="s">
        <v>155</v>
      </c>
      <c r="AH118" t="s">
        <v>155</v>
      </c>
    </row>
    <row r="120" spans="14:34" ht="16.2" customHeight="1" x14ac:dyDescent="0.3">
      <c r="S120" s="15" t="s">
        <v>108</v>
      </c>
      <c r="T120" t="s">
        <v>186</v>
      </c>
      <c r="AB120" s="15" t="s">
        <v>108</v>
      </c>
      <c r="AC120" t="s">
        <v>186</v>
      </c>
    </row>
    <row r="121" spans="14:34" ht="16.2" customHeight="1" x14ac:dyDescent="0.3">
      <c r="U121" t="s">
        <v>164</v>
      </c>
      <c r="V121" t="s">
        <v>165</v>
      </c>
      <c r="W121" t="s">
        <v>166</v>
      </c>
      <c r="X121" t="s">
        <v>167</v>
      </c>
      <c r="Y121" t="s">
        <v>168</v>
      </c>
      <c r="AD121" t="s">
        <v>164</v>
      </c>
      <c r="AE121" t="s">
        <v>165</v>
      </c>
      <c r="AF121" t="s">
        <v>166</v>
      </c>
      <c r="AG121" t="s">
        <v>167</v>
      </c>
      <c r="AH121" t="s">
        <v>168</v>
      </c>
    </row>
    <row r="122" spans="14:34" ht="16.2" customHeight="1" x14ac:dyDescent="0.3">
      <c r="T122" t="s">
        <v>154</v>
      </c>
      <c r="U122" t="s">
        <v>155</v>
      </c>
      <c r="V122" t="s">
        <v>155</v>
      </c>
      <c r="W122" t="s">
        <v>155</v>
      </c>
      <c r="X122" t="s">
        <v>155</v>
      </c>
      <c r="Y122" t="s">
        <v>155</v>
      </c>
      <c r="AC122" t="s">
        <v>154</v>
      </c>
      <c r="AD122" t="s">
        <v>155</v>
      </c>
      <c r="AE122" t="s">
        <v>155</v>
      </c>
      <c r="AF122" t="s">
        <v>155</v>
      </c>
      <c r="AG122" t="s">
        <v>155</v>
      </c>
      <c r="AH122" t="s">
        <v>155</v>
      </c>
    </row>
    <row r="123" spans="14:34" ht="16.2" customHeight="1" x14ac:dyDescent="0.3">
      <c r="T123" t="s">
        <v>156</v>
      </c>
      <c r="U123" t="s">
        <v>155</v>
      </c>
      <c r="V123" t="s">
        <v>155</v>
      </c>
      <c r="W123" t="s">
        <v>155</v>
      </c>
      <c r="X123" t="s">
        <v>155</v>
      </c>
      <c r="Y123" t="s">
        <v>155</v>
      </c>
      <c r="AC123" t="s">
        <v>156</v>
      </c>
      <c r="AD123" t="s">
        <v>155</v>
      </c>
      <c r="AE123" t="s">
        <v>155</v>
      </c>
      <c r="AF123" t="s">
        <v>155</v>
      </c>
      <c r="AG123" t="s">
        <v>155</v>
      </c>
      <c r="AH123" t="s">
        <v>155</v>
      </c>
    </row>
    <row r="124" spans="14:34" ht="16.2" customHeight="1" x14ac:dyDescent="0.3">
      <c r="T124" t="s">
        <v>157</v>
      </c>
      <c r="U124" t="s">
        <v>155</v>
      </c>
      <c r="V124" t="s">
        <v>155</v>
      </c>
      <c r="W124" t="s">
        <v>155</v>
      </c>
      <c r="X124" t="s">
        <v>20</v>
      </c>
      <c r="Y124" t="s">
        <v>155</v>
      </c>
      <c r="AC124" t="s">
        <v>157</v>
      </c>
      <c r="AD124" t="s">
        <v>155</v>
      </c>
      <c r="AE124" t="s">
        <v>155</v>
      </c>
      <c r="AF124" t="s">
        <v>155</v>
      </c>
      <c r="AG124" t="s">
        <v>155</v>
      </c>
      <c r="AH124" t="s">
        <v>155</v>
      </c>
    </row>
    <row r="125" spans="14:34" ht="16.2" customHeight="1" x14ac:dyDescent="0.3">
      <c r="T125" t="s">
        <v>158</v>
      </c>
      <c r="U125" t="s">
        <v>20</v>
      </c>
      <c r="V125" t="s">
        <v>155</v>
      </c>
      <c r="W125" t="s">
        <v>155</v>
      </c>
      <c r="X125" t="s">
        <v>20</v>
      </c>
      <c r="Y125" t="s">
        <v>155</v>
      </c>
      <c r="AC125" t="s">
        <v>158</v>
      </c>
      <c r="AD125" t="s">
        <v>155</v>
      </c>
      <c r="AE125" t="s">
        <v>155</v>
      </c>
      <c r="AF125" t="s">
        <v>20</v>
      </c>
      <c r="AG125" t="s">
        <v>155</v>
      </c>
      <c r="AH125" t="s">
        <v>155</v>
      </c>
    </row>
    <row r="126" spans="14:34" ht="16.2" customHeight="1" x14ac:dyDescent="0.3">
      <c r="T126" t="s">
        <v>159</v>
      </c>
      <c r="U126" t="s">
        <v>20</v>
      </c>
      <c r="V126" t="s">
        <v>155</v>
      </c>
      <c r="W126" t="s">
        <v>155</v>
      </c>
      <c r="X126" t="s">
        <v>155</v>
      </c>
      <c r="Y126" t="s">
        <v>155</v>
      </c>
      <c r="AC126" t="s">
        <v>159</v>
      </c>
      <c r="AD126" t="s">
        <v>155</v>
      </c>
      <c r="AE126" t="s">
        <v>155</v>
      </c>
      <c r="AF126" t="s">
        <v>20</v>
      </c>
      <c r="AG126" t="s">
        <v>155</v>
      </c>
      <c r="AH126" t="s">
        <v>20</v>
      </c>
    </row>
    <row r="127" spans="14:34" ht="16.2" customHeight="1" x14ac:dyDescent="0.3">
      <c r="T127" t="s">
        <v>160</v>
      </c>
      <c r="U127" t="s">
        <v>20</v>
      </c>
      <c r="V127" t="s">
        <v>155</v>
      </c>
      <c r="W127" t="s">
        <v>155</v>
      </c>
      <c r="X127" t="s">
        <v>155</v>
      </c>
      <c r="Y127" t="s">
        <v>155</v>
      </c>
      <c r="AC127" t="s">
        <v>160</v>
      </c>
      <c r="AD127" t="s">
        <v>155</v>
      </c>
      <c r="AE127" t="s">
        <v>155</v>
      </c>
      <c r="AF127" t="s">
        <v>20</v>
      </c>
      <c r="AG127" t="s">
        <v>155</v>
      </c>
      <c r="AH127" t="s">
        <v>20</v>
      </c>
    </row>
    <row r="128" spans="14:34" ht="16.2" customHeight="1" x14ac:dyDescent="0.3">
      <c r="T128" t="s">
        <v>169</v>
      </c>
      <c r="U128" t="s">
        <v>155</v>
      </c>
      <c r="V128" t="s">
        <v>155</v>
      </c>
      <c r="W128" t="s">
        <v>155</v>
      </c>
      <c r="X128" t="s">
        <v>155</v>
      </c>
      <c r="Y128" t="s">
        <v>155</v>
      </c>
      <c r="AC128" t="s">
        <v>169</v>
      </c>
      <c r="AD128" t="s">
        <v>155</v>
      </c>
      <c r="AE128" t="s">
        <v>155</v>
      </c>
      <c r="AF128" t="s">
        <v>155</v>
      </c>
      <c r="AG128" t="s">
        <v>155</v>
      </c>
      <c r="AH128" t="s">
        <v>155</v>
      </c>
    </row>
    <row r="129" spans="19:34" ht="16.2" customHeight="1" x14ac:dyDescent="0.3">
      <c r="T129" t="s">
        <v>170</v>
      </c>
      <c r="U129" t="s">
        <v>155</v>
      </c>
      <c r="V129" t="s">
        <v>155</v>
      </c>
      <c r="W129" t="s">
        <v>155</v>
      </c>
      <c r="X129" t="s">
        <v>155</v>
      </c>
      <c r="Y129" t="s">
        <v>155</v>
      </c>
      <c r="AC129" t="s">
        <v>170</v>
      </c>
      <c r="AD129" t="s">
        <v>155</v>
      </c>
      <c r="AE129" t="s">
        <v>155</v>
      </c>
      <c r="AF129" t="s">
        <v>155</v>
      </c>
      <c r="AG129" t="s">
        <v>155</v>
      </c>
      <c r="AH129" t="s">
        <v>155</v>
      </c>
    </row>
    <row r="130" spans="19:34" ht="16.2" customHeight="1" x14ac:dyDescent="0.3">
      <c r="T130" t="s">
        <v>171</v>
      </c>
      <c r="U130" t="s">
        <v>155</v>
      </c>
      <c r="V130" t="s">
        <v>155</v>
      </c>
      <c r="W130" t="s">
        <v>155</v>
      </c>
      <c r="X130" t="s">
        <v>155</v>
      </c>
      <c r="Y130" t="s">
        <v>155</v>
      </c>
      <c r="AC130" t="s">
        <v>171</v>
      </c>
      <c r="AD130" t="s">
        <v>155</v>
      </c>
      <c r="AE130" t="s">
        <v>155</v>
      </c>
      <c r="AF130" t="s">
        <v>155</v>
      </c>
      <c r="AG130" t="s">
        <v>155</v>
      </c>
      <c r="AH130" t="s">
        <v>155</v>
      </c>
    </row>
    <row r="131" spans="19:34" ht="16.2" customHeight="1" x14ac:dyDescent="0.3">
      <c r="T131" t="s">
        <v>172</v>
      </c>
      <c r="U131" t="s">
        <v>155</v>
      </c>
      <c r="V131" t="s">
        <v>155</v>
      </c>
      <c r="W131" t="s">
        <v>155</v>
      </c>
      <c r="X131" t="s">
        <v>155</v>
      </c>
      <c r="Y131" t="s">
        <v>155</v>
      </c>
      <c r="AC131" t="s">
        <v>172</v>
      </c>
      <c r="AD131" t="s">
        <v>155</v>
      </c>
      <c r="AE131" t="s">
        <v>155</v>
      </c>
      <c r="AF131" t="s">
        <v>155</v>
      </c>
      <c r="AG131" t="s">
        <v>155</v>
      </c>
      <c r="AH131" t="s">
        <v>155</v>
      </c>
    </row>
    <row r="133" spans="19:34" ht="16.2" customHeight="1" x14ac:dyDescent="0.3">
      <c r="S133" s="15" t="s">
        <v>109</v>
      </c>
      <c r="T133" t="s">
        <v>187</v>
      </c>
      <c r="AB133" s="15" t="s">
        <v>109</v>
      </c>
      <c r="AC133" t="s">
        <v>187</v>
      </c>
    </row>
    <row r="134" spans="19:34" ht="16.2" customHeight="1" x14ac:dyDescent="0.3">
      <c r="U134" t="s">
        <v>164</v>
      </c>
      <c r="V134" t="s">
        <v>165</v>
      </c>
      <c r="W134" t="s">
        <v>166</v>
      </c>
      <c r="X134" t="s">
        <v>167</v>
      </c>
      <c r="Y134" t="s">
        <v>168</v>
      </c>
      <c r="AD134" t="s">
        <v>164</v>
      </c>
      <c r="AE134" t="s">
        <v>165</v>
      </c>
      <c r="AF134" t="s">
        <v>166</v>
      </c>
      <c r="AG134" t="s">
        <v>167</v>
      </c>
      <c r="AH134" t="s">
        <v>168</v>
      </c>
    </row>
    <row r="135" spans="19:34" ht="16.2" customHeight="1" x14ac:dyDescent="0.3">
      <c r="T135" t="s">
        <v>154</v>
      </c>
      <c r="U135" t="s">
        <v>155</v>
      </c>
      <c r="V135" t="s">
        <v>20</v>
      </c>
      <c r="W135" t="s">
        <v>155</v>
      </c>
      <c r="X135" t="s">
        <v>20</v>
      </c>
      <c r="Y135" t="s">
        <v>155</v>
      </c>
      <c r="AC135" t="s">
        <v>154</v>
      </c>
      <c r="AD135" t="s">
        <v>20</v>
      </c>
      <c r="AE135" t="s">
        <v>155</v>
      </c>
      <c r="AF135" t="s">
        <v>20</v>
      </c>
      <c r="AG135" t="s">
        <v>155</v>
      </c>
      <c r="AH135" t="s">
        <v>155</v>
      </c>
    </row>
    <row r="136" spans="19:34" ht="16.2" customHeight="1" x14ac:dyDescent="0.3">
      <c r="T136" t="s">
        <v>156</v>
      </c>
      <c r="U136" t="s">
        <v>155</v>
      </c>
      <c r="V136" t="s">
        <v>20</v>
      </c>
      <c r="W136" t="s">
        <v>155</v>
      </c>
      <c r="X136" t="s">
        <v>20</v>
      </c>
      <c r="Y136" t="s">
        <v>155</v>
      </c>
      <c r="AC136" t="s">
        <v>156</v>
      </c>
      <c r="AD136" t="s">
        <v>20</v>
      </c>
      <c r="AE136" t="s">
        <v>155</v>
      </c>
      <c r="AF136" t="s">
        <v>20</v>
      </c>
      <c r="AG136" t="s">
        <v>155</v>
      </c>
      <c r="AH136" t="s">
        <v>155</v>
      </c>
    </row>
    <row r="137" spans="19:34" ht="16.2" customHeight="1" x14ac:dyDescent="0.3">
      <c r="T137" t="s">
        <v>157</v>
      </c>
      <c r="U137" t="s">
        <v>155</v>
      </c>
      <c r="V137" t="s">
        <v>155</v>
      </c>
      <c r="W137" t="s">
        <v>155</v>
      </c>
      <c r="X137" t="s">
        <v>155</v>
      </c>
      <c r="Y137" t="s">
        <v>155</v>
      </c>
      <c r="AC137" t="s">
        <v>157</v>
      </c>
      <c r="AD137" t="s">
        <v>155</v>
      </c>
      <c r="AE137" t="s">
        <v>155</v>
      </c>
      <c r="AF137" t="s">
        <v>155</v>
      </c>
      <c r="AG137" t="s">
        <v>155</v>
      </c>
      <c r="AH137" t="s">
        <v>155</v>
      </c>
    </row>
    <row r="138" spans="19:34" ht="16.2" customHeight="1" x14ac:dyDescent="0.3">
      <c r="T138" t="s">
        <v>158</v>
      </c>
      <c r="U138" t="s">
        <v>155</v>
      </c>
      <c r="V138" t="s">
        <v>155</v>
      </c>
      <c r="W138" t="s">
        <v>155</v>
      </c>
      <c r="X138" t="s">
        <v>155</v>
      </c>
      <c r="Y138" t="s">
        <v>155</v>
      </c>
      <c r="AC138" t="s">
        <v>158</v>
      </c>
      <c r="AD138" t="s">
        <v>155</v>
      </c>
      <c r="AE138" t="s">
        <v>155</v>
      </c>
      <c r="AF138" t="s">
        <v>155</v>
      </c>
      <c r="AG138" t="s">
        <v>155</v>
      </c>
      <c r="AH138" t="s">
        <v>155</v>
      </c>
    </row>
    <row r="139" spans="19:34" ht="16.2" customHeight="1" x14ac:dyDescent="0.3">
      <c r="T139" t="s">
        <v>159</v>
      </c>
      <c r="U139" t="s">
        <v>155</v>
      </c>
      <c r="V139" t="s">
        <v>155</v>
      </c>
      <c r="W139" t="s">
        <v>155</v>
      </c>
      <c r="X139" t="s">
        <v>155</v>
      </c>
      <c r="Y139" t="s">
        <v>155</v>
      </c>
      <c r="AC139" t="s">
        <v>159</v>
      </c>
      <c r="AD139" t="s">
        <v>155</v>
      </c>
      <c r="AE139" t="s">
        <v>155</v>
      </c>
      <c r="AF139" t="s">
        <v>155</v>
      </c>
      <c r="AG139" t="s">
        <v>155</v>
      </c>
      <c r="AH139" t="s">
        <v>155</v>
      </c>
    </row>
    <row r="140" spans="19:34" ht="16.2" customHeight="1" x14ac:dyDescent="0.3">
      <c r="T140" t="s">
        <v>160</v>
      </c>
      <c r="U140" t="s">
        <v>155</v>
      </c>
      <c r="V140" t="s">
        <v>155</v>
      </c>
      <c r="W140" t="s">
        <v>155</v>
      </c>
      <c r="X140" t="s">
        <v>155</v>
      </c>
      <c r="Y140" t="s">
        <v>155</v>
      </c>
      <c r="AC140" t="s">
        <v>160</v>
      </c>
      <c r="AD140" t="s">
        <v>155</v>
      </c>
      <c r="AE140" t="s">
        <v>155</v>
      </c>
      <c r="AF140" t="s">
        <v>155</v>
      </c>
      <c r="AG140" t="s">
        <v>155</v>
      </c>
      <c r="AH140" t="s">
        <v>155</v>
      </c>
    </row>
    <row r="141" spans="19:34" ht="16.2" customHeight="1" x14ac:dyDescent="0.3">
      <c r="T141" t="s">
        <v>169</v>
      </c>
      <c r="U141" t="s">
        <v>155</v>
      </c>
      <c r="V141" t="s">
        <v>155</v>
      </c>
      <c r="W141" t="s">
        <v>155</v>
      </c>
      <c r="X141" t="s">
        <v>155</v>
      </c>
      <c r="Y141" t="s">
        <v>155</v>
      </c>
      <c r="AC141" t="s">
        <v>169</v>
      </c>
      <c r="AD141" t="s">
        <v>155</v>
      </c>
      <c r="AE141" t="s">
        <v>155</v>
      </c>
      <c r="AF141" t="s">
        <v>155</v>
      </c>
      <c r="AG141" t="s">
        <v>155</v>
      </c>
      <c r="AH141" t="s">
        <v>155</v>
      </c>
    </row>
    <row r="142" spans="19:34" ht="16.2" customHeight="1" x14ac:dyDescent="0.3">
      <c r="T142" t="s">
        <v>170</v>
      </c>
      <c r="U142" t="s">
        <v>155</v>
      </c>
      <c r="V142" t="s">
        <v>155</v>
      </c>
      <c r="W142" t="s">
        <v>155</v>
      </c>
      <c r="X142" t="s">
        <v>155</v>
      </c>
      <c r="Y142" t="s">
        <v>155</v>
      </c>
      <c r="AC142" t="s">
        <v>170</v>
      </c>
      <c r="AD142" t="s">
        <v>155</v>
      </c>
      <c r="AE142" t="s">
        <v>155</v>
      </c>
      <c r="AF142" t="s">
        <v>155</v>
      </c>
      <c r="AG142" t="s">
        <v>155</v>
      </c>
      <c r="AH142" t="s">
        <v>155</v>
      </c>
    </row>
    <row r="143" spans="19:34" ht="16.2" customHeight="1" x14ac:dyDescent="0.3">
      <c r="T143" t="s">
        <v>171</v>
      </c>
      <c r="U143" t="s">
        <v>155</v>
      </c>
      <c r="V143" t="s">
        <v>155</v>
      </c>
      <c r="W143" t="s">
        <v>155</v>
      </c>
      <c r="X143" t="s">
        <v>155</v>
      </c>
      <c r="Y143" t="s">
        <v>155</v>
      </c>
      <c r="AC143" t="s">
        <v>171</v>
      </c>
      <c r="AD143" t="s">
        <v>155</v>
      </c>
      <c r="AE143" t="s">
        <v>155</v>
      </c>
      <c r="AF143" t="s">
        <v>155</v>
      </c>
      <c r="AG143" t="s">
        <v>155</v>
      </c>
      <c r="AH143" t="s">
        <v>155</v>
      </c>
    </row>
    <row r="144" spans="19:34" ht="16.2" customHeight="1" x14ac:dyDescent="0.3">
      <c r="T144" t="s">
        <v>172</v>
      </c>
      <c r="U144" t="s">
        <v>155</v>
      </c>
      <c r="V144" t="s">
        <v>155</v>
      </c>
      <c r="W144" t="s">
        <v>155</v>
      </c>
      <c r="X144" t="s">
        <v>155</v>
      </c>
      <c r="Y144" t="s">
        <v>155</v>
      </c>
      <c r="AC144" t="s">
        <v>172</v>
      </c>
      <c r="AD144" t="s">
        <v>155</v>
      </c>
      <c r="AE144" t="s">
        <v>155</v>
      </c>
      <c r="AF144" t="s">
        <v>155</v>
      </c>
      <c r="AG144" t="s">
        <v>155</v>
      </c>
      <c r="AH144" t="s">
        <v>155</v>
      </c>
    </row>
    <row r="146" spans="19:34" ht="16.2" customHeight="1" x14ac:dyDescent="0.3">
      <c r="S146" s="15" t="s">
        <v>110</v>
      </c>
      <c r="T146" t="s">
        <v>188</v>
      </c>
      <c r="AB146" s="15" t="s">
        <v>110</v>
      </c>
      <c r="AC146" t="s">
        <v>188</v>
      </c>
    </row>
    <row r="147" spans="19:34" ht="16.2" customHeight="1" x14ac:dyDescent="0.3">
      <c r="U147" t="s">
        <v>164</v>
      </c>
      <c r="V147" t="s">
        <v>165</v>
      </c>
      <c r="W147" t="s">
        <v>166</v>
      </c>
      <c r="X147" t="s">
        <v>167</v>
      </c>
      <c r="Y147" t="s">
        <v>168</v>
      </c>
      <c r="AD147" t="s">
        <v>164</v>
      </c>
      <c r="AE147" t="s">
        <v>165</v>
      </c>
      <c r="AF147" t="s">
        <v>166</v>
      </c>
      <c r="AG147" t="s">
        <v>167</v>
      </c>
      <c r="AH147" t="s">
        <v>168</v>
      </c>
    </row>
    <row r="148" spans="19:34" ht="16.2" customHeight="1" x14ac:dyDescent="0.3">
      <c r="T148" t="s">
        <v>154</v>
      </c>
      <c r="U148" t="s">
        <v>155</v>
      </c>
      <c r="V148" t="s">
        <v>155</v>
      </c>
      <c r="W148" t="s">
        <v>155</v>
      </c>
      <c r="X148" t="s">
        <v>155</v>
      </c>
      <c r="Y148" t="s">
        <v>21</v>
      </c>
      <c r="AC148" t="s">
        <v>154</v>
      </c>
      <c r="AD148" t="s">
        <v>155</v>
      </c>
      <c r="AE148" t="s">
        <v>155</v>
      </c>
      <c r="AF148" t="s">
        <v>155</v>
      </c>
      <c r="AG148" t="s">
        <v>155</v>
      </c>
      <c r="AH148" t="s">
        <v>21</v>
      </c>
    </row>
    <row r="149" spans="19:34" ht="16.2" customHeight="1" x14ac:dyDescent="0.3">
      <c r="T149" t="s">
        <v>156</v>
      </c>
      <c r="U149" t="s">
        <v>155</v>
      </c>
      <c r="V149" t="s">
        <v>155</v>
      </c>
      <c r="W149" t="s">
        <v>155</v>
      </c>
      <c r="X149" t="s">
        <v>155</v>
      </c>
      <c r="Y149" t="s">
        <v>21</v>
      </c>
      <c r="AC149" t="s">
        <v>156</v>
      </c>
      <c r="AD149" t="s">
        <v>155</v>
      </c>
      <c r="AE149" t="s">
        <v>155</v>
      </c>
      <c r="AF149" t="s">
        <v>155</v>
      </c>
      <c r="AG149" t="s">
        <v>155</v>
      </c>
      <c r="AH149" t="s">
        <v>21</v>
      </c>
    </row>
    <row r="150" spans="19:34" ht="16.2" customHeight="1" x14ac:dyDescent="0.3">
      <c r="T150" t="s">
        <v>157</v>
      </c>
      <c r="U150" t="s">
        <v>155</v>
      </c>
      <c r="V150" t="s">
        <v>155</v>
      </c>
      <c r="W150" t="s">
        <v>155</v>
      </c>
      <c r="X150" t="s">
        <v>155</v>
      </c>
      <c r="Y150" t="s">
        <v>21</v>
      </c>
      <c r="AC150" t="s">
        <v>157</v>
      </c>
      <c r="AD150" t="s">
        <v>155</v>
      </c>
      <c r="AE150" t="s">
        <v>155</v>
      </c>
      <c r="AF150" t="s">
        <v>155</v>
      </c>
      <c r="AG150" t="s">
        <v>155</v>
      </c>
      <c r="AH150" t="s">
        <v>21</v>
      </c>
    </row>
    <row r="151" spans="19:34" ht="16.2" customHeight="1" x14ac:dyDescent="0.3">
      <c r="T151" t="s">
        <v>158</v>
      </c>
      <c r="U151" t="s">
        <v>155</v>
      </c>
      <c r="V151" t="s">
        <v>155</v>
      </c>
      <c r="W151" t="s">
        <v>155</v>
      </c>
      <c r="X151" t="s">
        <v>155</v>
      </c>
      <c r="Y151" t="s">
        <v>21</v>
      </c>
      <c r="AC151" t="s">
        <v>158</v>
      </c>
      <c r="AD151" t="s">
        <v>155</v>
      </c>
      <c r="AE151" t="s">
        <v>155</v>
      </c>
      <c r="AF151" t="s">
        <v>155</v>
      </c>
      <c r="AG151" t="s">
        <v>155</v>
      </c>
      <c r="AH151" t="s">
        <v>21</v>
      </c>
    </row>
    <row r="152" spans="19:34" ht="16.2" customHeight="1" x14ac:dyDescent="0.3">
      <c r="T152" t="s">
        <v>159</v>
      </c>
      <c r="U152" t="s">
        <v>155</v>
      </c>
      <c r="V152" t="s">
        <v>155</v>
      </c>
      <c r="W152" t="s">
        <v>155</v>
      </c>
      <c r="X152" t="s">
        <v>155</v>
      </c>
      <c r="Y152" t="s">
        <v>21</v>
      </c>
      <c r="AC152" t="s">
        <v>159</v>
      </c>
      <c r="AD152" t="s">
        <v>155</v>
      </c>
      <c r="AE152" t="s">
        <v>155</v>
      </c>
      <c r="AF152" t="s">
        <v>155</v>
      </c>
      <c r="AG152" t="s">
        <v>155</v>
      </c>
      <c r="AH152" t="s">
        <v>21</v>
      </c>
    </row>
    <row r="153" spans="19:34" ht="16.2" customHeight="1" x14ac:dyDescent="0.3">
      <c r="T153" t="s">
        <v>160</v>
      </c>
      <c r="U153" t="s">
        <v>155</v>
      </c>
      <c r="V153" t="s">
        <v>155</v>
      </c>
      <c r="W153" t="s">
        <v>155</v>
      </c>
      <c r="X153" t="s">
        <v>155</v>
      </c>
      <c r="Y153" t="s">
        <v>21</v>
      </c>
      <c r="AC153" t="s">
        <v>160</v>
      </c>
      <c r="AD153" t="s">
        <v>155</v>
      </c>
      <c r="AE153" t="s">
        <v>155</v>
      </c>
      <c r="AF153" t="s">
        <v>155</v>
      </c>
      <c r="AG153" t="s">
        <v>155</v>
      </c>
      <c r="AH153" t="s">
        <v>21</v>
      </c>
    </row>
    <row r="154" spans="19:34" ht="16.2" customHeight="1" x14ac:dyDescent="0.3">
      <c r="T154" t="s">
        <v>169</v>
      </c>
      <c r="U154" t="s">
        <v>155</v>
      </c>
      <c r="V154" t="s">
        <v>155</v>
      </c>
      <c r="W154" t="s">
        <v>155</v>
      </c>
      <c r="X154" t="s">
        <v>155</v>
      </c>
      <c r="Y154" t="s">
        <v>155</v>
      </c>
      <c r="AC154" t="s">
        <v>169</v>
      </c>
      <c r="AD154" t="s">
        <v>155</v>
      </c>
      <c r="AE154" t="s">
        <v>155</v>
      </c>
      <c r="AF154" t="s">
        <v>155</v>
      </c>
      <c r="AG154" t="s">
        <v>155</v>
      </c>
      <c r="AH154" t="s">
        <v>155</v>
      </c>
    </row>
    <row r="155" spans="19:34" ht="16.2" customHeight="1" x14ac:dyDescent="0.3">
      <c r="T155" t="s">
        <v>170</v>
      </c>
      <c r="U155" t="s">
        <v>155</v>
      </c>
      <c r="V155" t="s">
        <v>155</v>
      </c>
      <c r="W155" t="s">
        <v>155</v>
      </c>
      <c r="X155" t="s">
        <v>155</v>
      </c>
      <c r="Y155" t="s">
        <v>155</v>
      </c>
      <c r="AC155" t="s">
        <v>170</v>
      </c>
      <c r="AD155" t="s">
        <v>155</v>
      </c>
      <c r="AE155" t="s">
        <v>155</v>
      </c>
      <c r="AF155" t="s">
        <v>155</v>
      </c>
      <c r="AG155" t="s">
        <v>155</v>
      </c>
      <c r="AH155" t="s">
        <v>155</v>
      </c>
    </row>
    <row r="156" spans="19:34" ht="16.2" customHeight="1" x14ac:dyDescent="0.3">
      <c r="T156" t="s">
        <v>171</v>
      </c>
      <c r="U156" t="s">
        <v>155</v>
      </c>
      <c r="V156" t="s">
        <v>155</v>
      </c>
      <c r="W156" t="s">
        <v>155</v>
      </c>
      <c r="X156" t="s">
        <v>155</v>
      </c>
      <c r="Y156" t="s">
        <v>155</v>
      </c>
      <c r="AC156" t="s">
        <v>171</v>
      </c>
      <c r="AD156" t="s">
        <v>155</v>
      </c>
      <c r="AE156" t="s">
        <v>155</v>
      </c>
      <c r="AF156" t="s">
        <v>155</v>
      </c>
      <c r="AG156" t="s">
        <v>155</v>
      </c>
      <c r="AH156" t="s">
        <v>155</v>
      </c>
    </row>
    <row r="157" spans="19:34" ht="16.2" customHeight="1" x14ac:dyDescent="0.3">
      <c r="T157" t="s">
        <v>172</v>
      </c>
      <c r="U157" t="s">
        <v>155</v>
      </c>
      <c r="V157" t="s">
        <v>155</v>
      </c>
      <c r="W157" t="s">
        <v>155</v>
      </c>
      <c r="X157" t="s">
        <v>155</v>
      </c>
      <c r="Y157" t="s">
        <v>155</v>
      </c>
      <c r="AC157" t="s">
        <v>172</v>
      </c>
      <c r="AD157" t="s">
        <v>155</v>
      </c>
      <c r="AE157" t="s">
        <v>155</v>
      </c>
      <c r="AF157" t="s">
        <v>155</v>
      </c>
      <c r="AG157" t="s">
        <v>155</v>
      </c>
      <c r="AH157" t="s">
        <v>155</v>
      </c>
    </row>
    <row r="159" spans="19:34" ht="16.2" customHeight="1" x14ac:dyDescent="0.3">
      <c r="S159" s="15" t="s">
        <v>111</v>
      </c>
      <c r="T159" t="s">
        <v>189</v>
      </c>
      <c r="AB159" s="15" t="s">
        <v>111</v>
      </c>
      <c r="AC159" t="s">
        <v>189</v>
      </c>
    </row>
    <row r="160" spans="19:34" ht="16.2" customHeight="1" x14ac:dyDescent="0.3">
      <c r="U160" t="s">
        <v>164</v>
      </c>
      <c r="V160" t="s">
        <v>165</v>
      </c>
      <c r="W160" t="s">
        <v>166</v>
      </c>
      <c r="X160" t="s">
        <v>167</v>
      </c>
      <c r="Y160" t="s">
        <v>168</v>
      </c>
      <c r="AD160" t="s">
        <v>164</v>
      </c>
      <c r="AE160" t="s">
        <v>165</v>
      </c>
      <c r="AF160" t="s">
        <v>166</v>
      </c>
      <c r="AG160" t="s">
        <v>167</v>
      </c>
      <c r="AH160" t="s">
        <v>168</v>
      </c>
    </row>
    <row r="161" spans="19:34" ht="16.2" customHeight="1" x14ac:dyDescent="0.3">
      <c r="T161" t="s">
        <v>154</v>
      </c>
      <c r="U161" t="s">
        <v>155</v>
      </c>
      <c r="V161" t="s">
        <v>155</v>
      </c>
      <c r="W161" t="s">
        <v>155</v>
      </c>
      <c r="X161" t="s">
        <v>155</v>
      </c>
      <c r="Y161" t="s">
        <v>155</v>
      </c>
      <c r="AC161" t="s">
        <v>154</v>
      </c>
      <c r="AD161" t="s">
        <v>155</v>
      </c>
      <c r="AE161" t="s">
        <v>155</v>
      </c>
      <c r="AF161" t="s">
        <v>155</v>
      </c>
      <c r="AG161" t="s">
        <v>155</v>
      </c>
      <c r="AH161" t="s">
        <v>155</v>
      </c>
    </row>
    <row r="162" spans="19:34" ht="16.2" customHeight="1" x14ac:dyDescent="0.3">
      <c r="T162" t="s">
        <v>156</v>
      </c>
      <c r="U162" t="s">
        <v>155</v>
      </c>
      <c r="V162" t="s">
        <v>155</v>
      </c>
      <c r="W162" t="s">
        <v>155</v>
      </c>
      <c r="X162" t="s">
        <v>155</v>
      </c>
      <c r="Y162" t="s">
        <v>155</v>
      </c>
      <c r="AC162" t="s">
        <v>156</v>
      </c>
      <c r="AD162" t="s">
        <v>155</v>
      </c>
      <c r="AE162" t="s">
        <v>155</v>
      </c>
      <c r="AF162" t="s">
        <v>155</v>
      </c>
      <c r="AG162" t="s">
        <v>155</v>
      </c>
      <c r="AH162" t="s">
        <v>155</v>
      </c>
    </row>
    <row r="163" spans="19:34" ht="16.2" customHeight="1" x14ac:dyDescent="0.3">
      <c r="T163" t="s">
        <v>157</v>
      </c>
      <c r="U163" t="s">
        <v>155</v>
      </c>
      <c r="V163" t="s">
        <v>155</v>
      </c>
      <c r="W163" t="s">
        <v>24</v>
      </c>
      <c r="X163" t="s">
        <v>155</v>
      </c>
      <c r="Y163" t="s">
        <v>24</v>
      </c>
      <c r="AC163" t="s">
        <v>157</v>
      </c>
      <c r="AD163" t="s">
        <v>155</v>
      </c>
      <c r="AE163" t="s">
        <v>155</v>
      </c>
      <c r="AF163" t="s">
        <v>24</v>
      </c>
      <c r="AG163" t="s">
        <v>155</v>
      </c>
      <c r="AH163" t="s">
        <v>24</v>
      </c>
    </row>
    <row r="164" spans="19:34" ht="16.2" customHeight="1" x14ac:dyDescent="0.3">
      <c r="T164" t="s">
        <v>158</v>
      </c>
      <c r="U164" t="s">
        <v>155</v>
      </c>
      <c r="V164" t="s">
        <v>155</v>
      </c>
      <c r="W164" t="s">
        <v>24</v>
      </c>
      <c r="X164" t="s">
        <v>155</v>
      </c>
      <c r="Y164" t="s">
        <v>24</v>
      </c>
      <c r="AC164" t="s">
        <v>158</v>
      </c>
      <c r="AD164" t="s">
        <v>155</v>
      </c>
      <c r="AE164" t="s">
        <v>155</v>
      </c>
      <c r="AF164" t="s">
        <v>24</v>
      </c>
      <c r="AG164" t="s">
        <v>155</v>
      </c>
      <c r="AH164" t="s">
        <v>24</v>
      </c>
    </row>
    <row r="165" spans="19:34" ht="16.2" customHeight="1" x14ac:dyDescent="0.3">
      <c r="T165" t="s">
        <v>159</v>
      </c>
      <c r="U165" t="s">
        <v>155</v>
      </c>
      <c r="V165" t="s">
        <v>155</v>
      </c>
      <c r="W165" t="s">
        <v>24</v>
      </c>
      <c r="X165" t="s">
        <v>155</v>
      </c>
      <c r="Y165" t="s">
        <v>155</v>
      </c>
      <c r="AC165" t="s">
        <v>159</v>
      </c>
      <c r="AD165" t="s">
        <v>155</v>
      </c>
      <c r="AE165" t="s">
        <v>155</v>
      </c>
      <c r="AF165" t="s">
        <v>24</v>
      </c>
      <c r="AG165" t="s">
        <v>155</v>
      </c>
      <c r="AH165" t="s">
        <v>155</v>
      </c>
    </row>
    <row r="166" spans="19:34" ht="16.2" customHeight="1" x14ac:dyDescent="0.3">
      <c r="T166" t="s">
        <v>160</v>
      </c>
      <c r="U166" t="s">
        <v>155</v>
      </c>
      <c r="V166" t="s">
        <v>155</v>
      </c>
      <c r="W166" t="s">
        <v>155</v>
      </c>
      <c r="X166" t="s">
        <v>155</v>
      </c>
      <c r="Y166" t="s">
        <v>155</v>
      </c>
      <c r="AC166" t="s">
        <v>160</v>
      </c>
      <c r="AD166" t="s">
        <v>155</v>
      </c>
      <c r="AE166" t="s">
        <v>155</v>
      </c>
      <c r="AF166" t="s">
        <v>155</v>
      </c>
      <c r="AG166" t="s">
        <v>155</v>
      </c>
      <c r="AH166" t="s">
        <v>155</v>
      </c>
    </row>
    <row r="167" spans="19:34" ht="16.2" customHeight="1" x14ac:dyDescent="0.3">
      <c r="T167" t="s">
        <v>169</v>
      </c>
      <c r="U167" t="s">
        <v>155</v>
      </c>
      <c r="V167" t="s">
        <v>155</v>
      </c>
      <c r="W167" t="s">
        <v>155</v>
      </c>
      <c r="X167" t="s">
        <v>155</v>
      </c>
      <c r="Y167" t="s">
        <v>155</v>
      </c>
      <c r="AC167" t="s">
        <v>169</v>
      </c>
      <c r="AD167" t="s">
        <v>155</v>
      </c>
      <c r="AE167" t="s">
        <v>155</v>
      </c>
      <c r="AF167" t="s">
        <v>155</v>
      </c>
      <c r="AG167" t="s">
        <v>155</v>
      </c>
      <c r="AH167" t="s">
        <v>155</v>
      </c>
    </row>
    <row r="168" spans="19:34" ht="16.2" customHeight="1" x14ac:dyDescent="0.3">
      <c r="T168" t="s">
        <v>170</v>
      </c>
      <c r="U168" t="s">
        <v>155</v>
      </c>
      <c r="V168" t="s">
        <v>155</v>
      </c>
      <c r="W168" t="s">
        <v>155</v>
      </c>
      <c r="X168" t="s">
        <v>155</v>
      </c>
      <c r="Y168" t="s">
        <v>155</v>
      </c>
      <c r="AC168" t="s">
        <v>170</v>
      </c>
      <c r="AD168" t="s">
        <v>155</v>
      </c>
      <c r="AE168" t="s">
        <v>155</v>
      </c>
      <c r="AF168" t="s">
        <v>155</v>
      </c>
      <c r="AG168" t="s">
        <v>155</v>
      </c>
      <c r="AH168" t="s">
        <v>155</v>
      </c>
    </row>
    <row r="169" spans="19:34" ht="16.2" customHeight="1" x14ac:dyDescent="0.3">
      <c r="T169" t="s">
        <v>171</v>
      </c>
      <c r="U169" t="s">
        <v>155</v>
      </c>
      <c r="V169" t="s">
        <v>155</v>
      </c>
      <c r="W169" t="s">
        <v>155</v>
      </c>
      <c r="X169" t="s">
        <v>155</v>
      </c>
      <c r="Y169" t="s">
        <v>155</v>
      </c>
      <c r="AC169" t="s">
        <v>171</v>
      </c>
      <c r="AD169" t="s">
        <v>155</v>
      </c>
      <c r="AE169" t="s">
        <v>155</v>
      </c>
      <c r="AF169" t="s">
        <v>155</v>
      </c>
      <c r="AG169" t="s">
        <v>155</v>
      </c>
      <c r="AH169" t="s">
        <v>155</v>
      </c>
    </row>
    <row r="170" spans="19:34" ht="16.2" customHeight="1" x14ac:dyDescent="0.3">
      <c r="T170" t="s">
        <v>172</v>
      </c>
      <c r="U170" t="s">
        <v>155</v>
      </c>
      <c r="V170" t="s">
        <v>155</v>
      </c>
      <c r="W170" t="s">
        <v>155</v>
      </c>
      <c r="X170" t="s">
        <v>155</v>
      </c>
      <c r="Y170" t="s">
        <v>155</v>
      </c>
      <c r="AC170" t="s">
        <v>172</v>
      </c>
      <c r="AD170" t="s">
        <v>155</v>
      </c>
      <c r="AE170" t="s">
        <v>155</v>
      </c>
      <c r="AF170" t="s">
        <v>155</v>
      </c>
      <c r="AG170" t="s">
        <v>155</v>
      </c>
      <c r="AH170" t="s">
        <v>155</v>
      </c>
    </row>
    <row r="172" spans="19:34" ht="16.2" customHeight="1" x14ac:dyDescent="0.3">
      <c r="S172" s="15" t="s">
        <v>112</v>
      </c>
      <c r="T172" t="s">
        <v>190</v>
      </c>
      <c r="AB172" s="15" t="s">
        <v>112</v>
      </c>
      <c r="AC172" t="s">
        <v>190</v>
      </c>
    </row>
    <row r="173" spans="19:34" ht="16.2" customHeight="1" x14ac:dyDescent="0.3">
      <c r="U173" t="s">
        <v>164</v>
      </c>
      <c r="V173" t="s">
        <v>165</v>
      </c>
      <c r="W173" t="s">
        <v>166</v>
      </c>
      <c r="X173" t="s">
        <v>167</v>
      </c>
      <c r="Y173" t="s">
        <v>168</v>
      </c>
      <c r="AD173" t="s">
        <v>164</v>
      </c>
      <c r="AE173" t="s">
        <v>165</v>
      </c>
      <c r="AF173" t="s">
        <v>166</v>
      </c>
      <c r="AG173" t="s">
        <v>167</v>
      </c>
      <c r="AH173" t="s">
        <v>168</v>
      </c>
    </row>
    <row r="174" spans="19:34" ht="16.2" customHeight="1" x14ac:dyDescent="0.3">
      <c r="T174" t="s">
        <v>154</v>
      </c>
      <c r="U174" t="s">
        <v>155</v>
      </c>
      <c r="V174" t="s">
        <v>155</v>
      </c>
      <c r="W174" t="s">
        <v>155</v>
      </c>
      <c r="X174" t="s">
        <v>155</v>
      </c>
      <c r="Y174" t="s">
        <v>155</v>
      </c>
      <c r="AC174" t="s">
        <v>154</v>
      </c>
      <c r="AD174" t="s">
        <v>155</v>
      </c>
      <c r="AE174" t="s">
        <v>155</v>
      </c>
      <c r="AF174" t="s">
        <v>155</v>
      </c>
      <c r="AG174" t="s">
        <v>155</v>
      </c>
      <c r="AH174" t="s">
        <v>155</v>
      </c>
    </row>
    <row r="175" spans="19:34" ht="16.2" customHeight="1" x14ac:dyDescent="0.3">
      <c r="T175" t="s">
        <v>156</v>
      </c>
      <c r="U175" t="s">
        <v>155</v>
      </c>
      <c r="V175" t="s">
        <v>155</v>
      </c>
      <c r="W175" t="s">
        <v>155</v>
      </c>
      <c r="X175" t="s">
        <v>155</v>
      </c>
      <c r="Y175" t="s">
        <v>155</v>
      </c>
      <c r="AC175" t="s">
        <v>156</v>
      </c>
      <c r="AD175" t="s">
        <v>89</v>
      </c>
      <c r="AE175" t="s">
        <v>155</v>
      </c>
      <c r="AF175" t="s">
        <v>155</v>
      </c>
      <c r="AG175" t="s">
        <v>155</v>
      </c>
      <c r="AH175" t="s">
        <v>155</v>
      </c>
    </row>
    <row r="176" spans="19:34" ht="16.2" customHeight="1" x14ac:dyDescent="0.3">
      <c r="T176" t="s">
        <v>157</v>
      </c>
      <c r="U176" t="s">
        <v>89</v>
      </c>
      <c r="V176" t="s">
        <v>24</v>
      </c>
      <c r="W176" t="s">
        <v>89</v>
      </c>
      <c r="X176" t="s">
        <v>155</v>
      </c>
      <c r="Y176" t="s">
        <v>24</v>
      </c>
      <c r="AC176" t="s">
        <v>157</v>
      </c>
      <c r="AD176" t="s">
        <v>89</v>
      </c>
      <c r="AE176" t="s">
        <v>24</v>
      </c>
      <c r="AF176" t="s">
        <v>89</v>
      </c>
      <c r="AG176" t="s">
        <v>155</v>
      </c>
      <c r="AH176" t="s">
        <v>24</v>
      </c>
    </row>
    <row r="177" spans="19:34" ht="16.2" customHeight="1" x14ac:dyDescent="0.3">
      <c r="T177" t="s">
        <v>158</v>
      </c>
      <c r="U177" t="s">
        <v>89</v>
      </c>
      <c r="V177" t="s">
        <v>24</v>
      </c>
      <c r="W177" t="s">
        <v>89</v>
      </c>
      <c r="X177" t="s">
        <v>155</v>
      </c>
      <c r="Y177" t="s">
        <v>24</v>
      </c>
      <c r="AC177" t="s">
        <v>158</v>
      </c>
      <c r="AD177" t="s">
        <v>89</v>
      </c>
      <c r="AE177" t="s">
        <v>24</v>
      </c>
      <c r="AF177" t="s">
        <v>89</v>
      </c>
      <c r="AG177" t="s">
        <v>155</v>
      </c>
      <c r="AH177" t="s">
        <v>24</v>
      </c>
    </row>
    <row r="178" spans="19:34" ht="16.2" customHeight="1" x14ac:dyDescent="0.3">
      <c r="T178" t="s">
        <v>159</v>
      </c>
      <c r="U178" t="s">
        <v>89</v>
      </c>
      <c r="V178" t="s">
        <v>155</v>
      </c>
      <c r="W178" t="s">
        <v>89</v>
      </c>
      <c r="X178" t="s">
        <v>155</v>
      </c>
      <c r="Y178" t="s">
        <v>24</v>
      </c>
      <c r="AC178" t="s">
        <v>159</v>
      </c>
      <c r="AD178" t="s">
        <v>155</v>
      </c>
      <c r="AE178" t="s">
        <v>155</v>
      </c>
      <c r="AF178" t="s">
        <v>89</v>
      </c>
      <c r="AG178" t="s">
        <v>155</v>
      </c>
      <c r="AH178" t="s">
        <v>24</v>
      </c>
    </row>
    <row r="179" spans="19:34" ht="16.2" customHeight="1" x14ac:dyDescent="0.3">
      <c r="T179" t="s">
        <v>160</v>
      </c>
      <c r="U179" t="s">
        <v>155</v>
      </c>
      <c r="V179" t="s">
        <v>155</v>
      </c>
      <c r="W179" t="s">
        <v>155</v>
      </c>
      <c r="X179" t="s">
        <v>155</v>
      </c>
      <c r="Y179" t="s">
        <v>155</v>
      </c>
      <c r="AC179" t="s">
        <v>160</v>
      </c>
      <c r="AD179" t="s">
        <v>155</v>
      </c>
      <c r="AE179" t="s">
        <v>155</v>
      </c>
      <c r="AF179" t="s">
        <v>155</v>
      </c>
      <c r="AG179" t="s">
        <v>155</v>
      </c>
      <c r="AH179" t="s">
        <v>155</v>
      </c>
    </row>
    <row r="180" spans="19:34" ht="16.2" customHeight="1" x14ac:dyDescent="0.3">
      <c r="T180" t="s">
        <v>169</v>
      </c>
      <c r="U180" t="s">
        <v>155</v>
      </c>
      <c r="V180" t="s">
        <v>155</v>
      </c>
      <c r="W180" t="s">
        <v>155</v>
      </c>
      <c r="X180" t="s">
        <v>155</v>
      </c>
      <c r="Y180" t="s">
        <v>155</v>
      </c>
      <c r="AC180" t="s">
        <v>169</v>
      </c>
      <c r="AD180" t="s">
        <v>155</v>
      </c>
      <c r="AE180" t="s">
        <v>155</v>
      </c>
      <c r="AF180" t="s">
        <v>155</v>
      </c>
      <c r="AG180" t="s">
        <v>155</v>
      </c>
      <c r="AH180" t="s">
        <v>155</v>
      </c>
    </row>
    <row r="181" spans="19:34" ht="16.2" customHeight="1" x14ac:dyDescent="0.3">
      <c r="T181" t="s">
        <v>170</v>
      </c>
      <c r="U181" t="s">
        <v>155</v>
      </c>
      <c r="V181" t="s">
        <v>155</v>
      </c>
      <c r="W181" t="s">
        <v>155</v>
      </c>
      <c r="X181" t="s">
        <v>155</v>
      </c>
      <c r="Y181" t="s">
        <v>155</v>
      </c>
      <c r="AC181" t="s">
        <v>170</v>
      </c>
      <c r="AD181" t="s">
        <v>155</v>
      </c>
      <c r="AE181" t="s">
        <v>155</v>
      </c>
      <c r="AF181" t="s">
        <v>155</v>
      </c>
      <c r="AG181" t="s">
        <v>155</v>
      </c>
      <c r="AH181" t="s">
        <v>155</v>
      </c>
    </row>
    <row r="182" spans="19:34" ht="16.2" customHeight="1" x14ac:dyDescent="0.3">
      <c r="T182" t="s">
        <v>171</v>
      </c>
      <c r="U182" t="s">
        <v>155</v>
      </c>
      <c r="V182" t="s">
        <v>155</v>
      </c>
      <c r="W182" t="s">
        <v>155</v>
      </c>
      <c r="X182" t="s">
        <v>155</v>
      </c>
      <c r="Y182" t="s">
        <v>155</v>
      </c>
      <c r="AC182" t="s">
        <v>171</v>
      </c>
      <c r="AD182" t="s">
        <v>155</v>
      </c>
      <c r="AE182" t="s">
        <v>155</v>
      </c>
      <c r="AF182" t="s">
        <v>155</v>
      </c>
      <c r="AG182" t="s">
        <v>155</v>
      </c>
      <c r="AH182" t="s">
        <v>155</v>
      </c>
    </row>
    <row r="183" spans="19:34" ht="16.2" customHeight="1" x14ac:dyDescent="0.3">
      <c r="T183" t="s">
        <v>172</v>
      </c>
      <c r="U183" t="s">
        <v>155</v>
      </c>
      <c r="V183" t="s">
        <v>155</v>
      </c>
      <c r="W183" t="s">
        <v>155</v>
      </c>
      <c r="X183" t="s">
        <v>155</v>
      </c>
      <c r="Y183" t="s">
        <v>155</v>
      </c>
      <c r="AC183" t="s">
        <v>172</v>
      </c>
      <c r="AD183" t="s">
        <v>155</v>
      </c>
      <c r="AE183" t="s">
        <v>155</v>
      </c>
      <c r="AF183" t="s">
        <v>155</v>
      </c>
      <c r="AG183" t="s">
        <v>155</v>
      </c>
      <c r="AH183" t="s">
        <v>155</v>
      </c>
    </row>
    <row r="185" spans="19:34" ht="16.2" customHeight="1" x14ac:dyDescent="0.3">
      <c r="S185" s="15" t="s">
        <v>113</v>
      </c>
      <c r="T185" t="s">
        <v>191</v>
      </c>
      <c r="AB185" s="15" t="s">
        <v>113</v>
      </c>
      <c r="AC185" t="s">
        <v>191</v>
      </c>
    </row>
    <row r="186" spans="19:34" ht="16.2" customHeight="1" x14ac:dyDescent="0.3">
      <c r="U186" t="s">
        <v>164</v>
      </c>
      <c r="V186" t="s">
        <v>165</v>
      </c>
      <c r="W186" t="s">
        <v>166</v>
      </c>
      <c r="X186" t="s">
        <v>167</v>
      </c>
      <c r="Y186" t="s">
        <v>168</v>
      </c>
      <c r="AD186" t="s">
        <v>164</v>
      </c>
      <c r="AE186" t="s">
        <v>165</v>
      </c>
      <c r="AF186" t="s">
        <v>166</v>
      </c>
      <c r="AG186" t="s">
        <v>167</v>
      </c>
      <c r="AH186" t="s">
        <v>168</v>
      </c>
    </row>
    <row r="187" spans="19:34" ht="16.2" customHeight="1" x14ac:dyDescent="0.3">
      <c r="T187" t="s">
        <v>154</v>
      </c>
      <c r="U187" t="s">
        <v>155</v>
      </c>
      <c r="V187" t="s">
        <v>155</v>
      </c>
      <c r="W187" t="s">
        <v>155</v>
      </c>
      <c r="X187" t="s">
        <v>155</v>
      </c>
      <c r="Y187" t="s">
        <v>155</v>
      </c>
      <c r="AC187" t="s">
        <v>154</v>
      </c>
      <c r="AD187" t="s">
        <v>155</v>
      </c>
      <c r="AE187" t="s">
        <v>155</v>
      </c>
      <c r="AF187" t="s">
        <v>155</v>
      </c>
      <c r="AG187" t="s">
        <v>155</v>
      </c>
      <c r="AH187" t="s">
        <v>155</v>
      </c>
    </row>
    <row r="188" spans="19:34" ht="16.2" customHeight="1" x14ac:dyDescent="0.3">
      <c r="T188" t="s">
        <v>156</v>
      </c>
      <c r="U188" t="s">
        <v>155</v>
      </c>
      <c r="V188" t="s">
        <v>155</v>
      </c>
      <c r="W188" t="s">
        <v>155</v>
      </c>
      <c r="X188" t="s">
        <v>155</v>
      </c>
      <c r="Y188" t="s">
        <v>155</v>
      </c>
      <c r="AC188" t="s">
        <v>156</v>
      </c>
      <c r="AD188" t="s">
        <v>155</v>
      </c>
      <c r="AE188" t="s">
        <v>155</v>
      </c>
      <c r="AF188" t="s">
        <v>155</v>
      </c>
      <c r="AG188" t="s">
        <v>155</v>
      </c>
      <c r="AH188" t="s">
        <v>155</v>
      </c>
    </row>
    <row r="189" spans="19:34" ht="16.2" customHeight="1" x14ac:dyDescent="0.3">
      <c r="T189" t="s">
        <v>157</v>
      </c>
      <c r="U189" t="s">
        <v>155</v>
      </c>
      <c r="V189" t="s">
        <v>155</v>
      </c>
      <c r="W189" t="s">
        <v>155</v>
      </c>
      <c r="X189" t="s">
        <v>155</v>
      </c>
      <c r="Y189" t="s">
        <v>155</v>
      </c>
      <c r="AC189" t="s">
        <v>157</v>
      </c>
      <c r="AD189" t="s">
        <v>24</v>
      </c>
      <c r="AE189" t="s">
        <v>155</v>
      </c>
      <c r="AF189" t="s">
        <v>155</v>
      </c>
      <c r="AG189" t="s">
        <v>24</v>
      </c>
      <c r="AH189" t="s">
        <v>155</v>
      </c>
    </row>
    <row r="190" spans="19:34" ht="16.2" customHeight="1" x14ac:dyDescent="0.3">
      <c r="T190" t="s">
        <v>158</v>
      </c>
      <c r="U190" t="s">
        <v>24</v>
      </c>
      <c r="V190" t="s">
        <v>155</v>
      </c>
      <c r="W190" t="s">
        <v>155</v>
      </c>
      <c r="X190" t="s">
        <v>155</v>
      </c>
      <c r="Y190" t="s">
        <v>155</v>
      </c>
      <c r="AC190" t="s">
        <v>158</v>
      </c>
      <c r="AD190" t="s">
        <v>24</v>
      </c>
      <c r="AE190" t="s">
        <v>155</v>
      </c>
      <c r="AF190" t="s">
        <v>155</v>
      </c>
      <c r="AG190" t="s">
        <v>24</v>
      </c>
      <c r="AH190" t="s">
        <v>155</v>
      </c>
    </row>
    <row r="191" spans="19:34" ht="16.2" customHeight="1" x14ac:dyDescent="0.3">
      <c r="T191" t="s">
        <v>159</v>
      </c>
      <c r="U191" t="s">
        <v>24</v>
      </c>
      <c r="V191" t="s">
        <v>155</v>
      </c>
      <c r="W191" t="s">
        <v>155</v>
      </c>
      <c r="X191" t="s">
        <v>155</v>
      </c>
      <c r="Y191" t="s">
        <v>24</v>
      </c>
      <c r="AC191" t="s">
        <v>159</v>
      </c>
      <c r="AD191" t="s">
        <v>24</v>
      </c>
      <c r="AE191" t="s">
        <v>155</v>
      </c>
      <c r="AF191" t="s">
        <v>155</v>
      </c>
      <c r="AG191" t="s">
        <v>155</v>
      </c>
      <c r="AH191" t="s">
        <v>155</v>
      </c>
    </row>
    <row r="192" spans="19:34" ht="16.2" customHeight="1" x14ac:dyDescent="0.3">
      <c r="T192" t="s">
        <v>160</v>
      </c>
      <c r="U192" t="s">
        <v>24</v>
      </c>
      <c r="V192" t="s">
        <v>155</v>
      </c>
      <c r="W192" t="s">
        <v>155</v>
      </c>
      <c r="X192" t="s">
        <v>155</v>
      </c>
      <c r="Y192" t="s">
        <v>24</v>
      </c>
      <c r="AC192" t="s">
        <v>160</v>
      </c>
      <c r="AD192" t="s">
        <v>155</v>
      </c>
      <c r="AE192" t="s">
        <v>155</v>
      </c>
      <c r="AF192" t="s">
        <v>155</v>
      </c>
      <c r="AG192" t="s">
        <v>155</v>
      </c>
      <c r="AH192" t="s">
        <v>155</v>
      </c>
    </row>
    <row r="193" spans="19:34" ht="16.2" customHeight="1" x14ac:dyDescent="0.3">
      <c r="T193" t="s">
        <v>169</v>
      </c>
      <c r="U193" t="s">
        <v>155</v>
      </c>
      <c r="V193" t="s">
        <v>155</v>
      </c>
      <c r="W193" t="s">
        <v>155</v>
      </c>
      <c r="X193" t="s">
        <v>155</v>
      </c>
      <c r="Y193" t="s">
        <v>155</v>
      </c>
      <c r="AC193" t="s">
        <v>169</v>
      </c>
      <c r="AD193" t="s">
        <v>155</v>
      </c>
      <c r="AE193" t="s">
        <v>155</v>
      </c>
      <c r="AF193" t="s">
        <v>155</v>
      </c>
      <c r="AG193" t="s">
        <v>155</v>
      </c>
      <c r="AH193" t="s">
        <v>155</v>
      </c>
    </row>
    <row r="194" spans="19:34" ht="16.2" customHeight="1" x14ac:dyDescent="0.3">
      <c r="T194" t="s">
        <v>170</v>
      </c>
      <c r="U194" t="s">
        <v>155</v>
      </c>
      <c r="V194" t="s">
        <v>155</v>
      </c>
      <c r="W194" t="s">
        <v>155</v>
      </c>
      <c r="X194" t="s">
        <v>155</v>
      </c>
      <c r="Y194" t="s">
        <v>155</v>
      </c>
      <c r="AC194" t="s">
        <v>170</v>
      </c>
      <c r="AD194" t="s">
        <v>155</v>
      </c>
      <c r="AE194" t="s">
        <v>155</v>
      </c>
      <c r="AF194" t="s">
        <v>155</v>
      </c>
      <c r="AG194" t="s">
        <v>155</v>
      </c>
      <c r="AH194" t="s">
        <v>155</v>
      </c>
    </row>
    <row r="195" spans="19:34" ht="16.2" customHeight="1" x14ac:dyDescent="0.3">
      <c r="T195" t="s">
        <v>171</v>
      </c>
      <c r="U195" t="s">
        <v>155</v>
      </c>
      <c r="V195" t="s">
        <v>155</v>
      </c>
      <c r="W195" t="s">
        <v>155</v>
      </c>
      <c r="X195" t="s">
        <v>155</v>
      </c>
      <c r="Y195" t="s">
        <v>155</v>
      </c>
      <c r="AC195" t="s">
        <v>171</v>
      </c>
      <c r="AD195" t="s">
        <v>155</v>
      </c>
      <c r="AE195" t="s">
        <v>155</v>
      </c>
      <c r="AF195" t="s">
        <v>155</v>
      </c>
      <c r="AG195" t="s">
        <v>155</v>
      </c>
      <c r="AH195" t="s">
        <v>155</v>
      </c>
    </row>
    <row r="196" spans="19:34" ht="16.2" customHeight="1" x14ac:dyDescent="0.3">
      <c r="T196" t="s">
        <v>172</v>
      </c>
      <c r="U196" t="s">
        <v>155</v>
      </c>
      <c r="V196" t="s">
        <v>155</v>
      </c>
      <c r="W196" t="s">
        <v>155</v>
      </c>
      <c r="X196" t="s">
        <v>155</v>
      </c>
      <c r="Y196" t="s">
        <v>155</v>
      </c>
      <c r="AC196" t="s">
        <v>172</v>
      </c>
      <c r="AD196" t="s">
        <v>155</v>
      </c>
      <c r="AE196" t="s">
        <v>155</v>
      </c>
      <c r="AF196" t="s">
        <v>155</v>
      </c>
      <c r="AG196" t="s">
        <v>155</v>
      </c>
      <c r="AH196" t="s">
        <v>155</v>
      </c>
    </row>
    <row r="198" spans="19:34" ht="16.2" customHeight="1" x14ac:dyDescent="0.3">
      <c r="S198" s="15" t="s">
        <v>114</v>
      </c>
      <c r="T198" t="s">
        <v>192</v>
      </c>
      <c r="AB198" s="15" t="s">
        <v>114</v>
      </c>
      <c r="AC198" t="s">
        <v>192</v>
      </c>
    </row>
    <row r="199" spans="19:34" ht="16.2" customHeight="1" x14ac:dyDescent="0.3">
      <c r="U199" t="s">
        <v>164</v>
      </c>
      <c r="V199" t="s">
        <v>165</v>
      </c>
      <c r="W199" t="s">
        <v>166</v>
      </c>
      <c r="X199" t="s">
        <v>167</v>
      </c>
      <c r="Y199" t="s">
        <v>168</v>
      </c>
      <c r="AD199" t="s">
        <v>164</v>
      </c>
      <c r="AE199" t="s">
        <v>165</v>
      </c>
      <c r="AF199" t="s">
        <v>166</v>
      </c>
      <c r="AG199" t="s">
        <v>167</v>
      </c>
      <c r="AH199" t="s">
        <v>168</v>
      </c>
    </row>
    <row r="200" spans="19:34" ht="16.2" customHeight="1" x14ac:dyDescent="0.3">
      <c r="T200" t="s">
        <v>154</v>
      </c>
      <c r="U200" t="s">
        <v>155</v>
      </c>
      <c r="V200" t="s">
        <v>102</v>
      </c>
      <c r="W200" t="s">
        <v>155</v>
      </c>
      <c r="X200" t="s">
        <v>102</v>
      </c>
      <c r="Y200" t="s">
        <v>155</v>
      </c>
      <c r="AC200" t="s">
        <v>154</v>
      </c>
      <c r="AD200" t="s">
        <v>155</v>
      </c>
      <c r="AE200" t="s">
        <v>102</v>
      </c>
      <c r="AF200" t="s">
        <v>155</v>
      </c>
      <c r="AG200" t="s">
        <v>102</v>
      </c>
      <c r="AH200" t="s">
        <v>155</v>
      </c>
    </row>
    <row r="201" spans="19:34" ht="16.2" customHeight="1" x14ac:dyDescent="0.3">
      <c r="T201" t="s">
        <v>156</v>
      </c>
      <c r="U201" t="s">
        <v>155</v>
      </c>
      <c r="V201" t="s">
        <v>102</v>
      </c>
      <c r="W201" t="s">
        <v>155</v>
      </c>
      <c r="X201" t="s">
        <v>102</v>
      </c>
      <c r="Y201" t="s">
        <v>155</v>
      </c>
      <c r="AC201" t="s">
        <v>156</v>
      </c>
      <c r="AD201" t="s">
        <v>155</v>
      </c>
      <c r="AE201" t="s">
        <v>102</v>
      </c>
      <c r="AF201" t="s">
        <v>155</v>
      </c>
      <c r="AG201" t="s">
        <v>102</v>
      </c>
      <c r="AH201" t="s">
        <v>155</v>
      </c>
    </row>
    <row r="202" spans="19:34" ht="16.2" customHeight="1" x14ac:dyDescent="0.3">
      <c r="T202" t="s">
        <v>157</v>
      </c>
      <c r="U202" t="s">
        <v>155</v>
      </c>
      <c r="V202" t="s">
        <v>102</v>
      </c>
      <c r="W202" t="s">
        <v>155</v>
      </c>
      <c r="X202" t="s">
        <v>155</v>
      </c>
      <c r="Y202" t="s">
        <v>155</v>
      </c>
      <c r="AC202" t="s">
        <v>157</v>
      </c>
      <c r="AD202" t="s">
        <v>155</v>
      </c>
      <c r="AE202" t="s">
        <v>102</v>
      </c>
      <c r="AF202" t="s">
        <v>155</v>
      </c>
      <c r="AG202" t="s">
        <v>155</v>
      </c>
      <c r="AH202" t="s">
        <v>155</v>
      </c>
    </row>
    <row r="203" spans="19:34" ht="16.2" customHeight="1" x14ac:dyDescent="0.3">
      <c r="T203" t="s">
        <v>158</v>
      </c>
      <c r="U203" t="s">
        <v>155</v>
      </c>
      <c r="V203" t="s">
        <v>155</v>
      </c>
      <c r="W203" t="s">
        <v>155</v>
      </c>
      <c r="X203" t="s">
        <v>155</v>
      </c>
      <c r="Y203" t="s">
        <v>155</v>
      </c>
      <c r="AC203" t="s">
        <v>158</v>
      </c>
      <c r="AD203" t="s">
        <v>155</v>
      </c>
      <c r="AE203" t="s">
        <v>155</v>
      </c>
      <c r="AF203" t="s">
        <v>155</v>
      </c>
      <c r="AG203" t="s">
        <v>155</v>
      </c>
      <c r="AH203" t="s">
        <v>155</v>
      </c>
    </row>
    <row r="204" spans="19:34" ht="16.2" customHeight="1" x14ac:dyDescent="0.3">
      <c r="T204" t="s">
        <v>159</v>
      </c>
      <c r="U204" t="s">
        <v>155</v>
      </c>
      <c r="V204" t="s">
        <v>155</v>
      </c>
      <c r="W204" t="s">
        <v>155</v>
      </c>
      <c r="X204" t="s">
        <v>155</v>
      </c>
      <c r="Y204" t="s">
        <v>155</v>
      </c>
      <c r="AC204" t="s">
        <v>159</v>
      </c>
      <c r="AD204" t="s">
        <v>155</v>
      </c>
      <c r="AE204" t="s">
        <v>155</v>
      </c>
      <c r="AF204" t="s">
        <v>155</v>
      </c>
      <c r="AG204" t="s">
        <v>155</v>
      </c>
      <c r="AH204" t="s">
        <v>155</v>
      </c>
    </row>
    <row r="205" spans="19:34" ht="16.2" customHeight="1" x14ac:dyDescent="0.3">
      <c r="T205" t="s">
        <v>160</v>
      </c>
      <c r="U205" t="s">
        <v>155</v>
      </c>
      <c r="V205" t="s">
        <v>155</v>
      </c>
      <c r="W205" t="s">
        <v>155</v>
      </c>
      <c r="X205" t="s">
        <v>155</v>
      </c>
      <c r="Y205" t="s">
        <v>155</v>
      </c>
      <c r="AC205" t="s">
        <v>160</v>
      </c>
      <c r="AD205" t="s">
        <v>155</v>
      </c>
      <c r="AE205" t="s">
        <v>155</v>
      </c>
      <c r="AF205" t="s">
        <v>155</v>
      </c>
      <c r="AG205" t="s">
        <v>155</v>
      </c>
      <c r="AH205" t="s">
        <v>155</v>
      </c>
    </row>
    <row r="206" spans="19:34" ht="16.2" customHeight="1" x14ac:dyDescent="0.3">
      <c r="T206" t="s">
        <v>169</v>
      </c>
      <c r="U206" t="s">
        <v>155</v>
      </c>
      <c r="V206" t="s">
        <v>155</v>
      </c>
      <c r="W206" t="s">
        <v>155</v>
      </c>
      <c r="X206" t="s">
        <v>155</v>
      </c>
      <c r="Y206" t="s">
        <v>155</v>
      </c>
      <c r="AC206" t="s">
        <v>169</v>
      </c>
      <c r="AD206" t="s">
        <v>155</v>
      </c>
      <c r="AE206" t="s">
        <v>155</v>
      </c>
      <c r="AF206" t="s">
        <v>155</v>
      </c>
      <c r="AG206" t="s">
        <v>155</v>
      </c>
      <c r="AH206" t="s">
        <v>155</v>
      </c>
    </row>
    <row r="207" spans="19:34" ht="16.2" customHeight="1" x14ac:dyDescent="0.3">
      <c r="T207" t="s">
        <v>170</v>
      </c>
      <c r="U207" t="s">
        <v>155</v>
      </c>
      <c r="V207" t="s">
        <v>155</v>
      </c>
      <c r="W207" t="s">
        <v>155</v>
      </c>
      <c r="X207" t="s">
        <v>155</v>
      </c>
      <c r="Y207" t="s">
        <v>155</v>
      </c>
      <c r="AC207" t="s">
        <v>170</v>
      </c>
      <c r="AD207" t="s">
        <v>155</v>
      </c>
      <c r="AE207" t="s">
        <v>155</v>
      </c>
      <c r="AF207" t="s">
        <v>155</v>
      </c>
      <c r="AG207" t="s">
        <v>155</v>
      </c>
      <c r="AH207" t="s">
        <v>155</v>
      </c>
    </row>
    <row r="208" spans="19:34" ht="16.2" customHeight="1" x14ac:dyDescent="0.3">
      <c r="T208" t="s">
        <v>171</v>
      </c>
      <c r="U208" t="s">
        <v>155</v>
      </c>
      <c r="V208" t="s">
        <v>155</v>
      </c>
      <c r="W208" t="s">
        <v>155</v>
      </c>
      <c r="X208" t="s">
        <v>155</v>
      </c>
      <c r="Y208" t="s">
        <v>155</v>
      </c>
      <c r="AC208" t="s">
        <v>171</v>
      </c>
      <c r="AD208" t="s">
        <v>155</v>
      </c>
      <c r="AE208" t="s">
        <v>155</v>
      </c>
      <c r="AF208" t="s">
        <v>155</v>
      </c>
      <c r="AG208" t="s">
        <v>155</v>
      </c>
      <c r="AH208" t="s">
        <v>155</v>
      </c>
    </row>
    <row r="209" spans="19:34" ht="16.2" customHeight="1" x14ac:dyDescent="0.3">
      <c r="T209" t="s">
        <v>172</v>
      </c>
      <c r="U209" t="s">
        <v>155</v>
      </c>
      <c r="V209" t="s">
        <v>155</v>
      </c>
      <c r="W209" t="s">
        <v>155</v>
      </c>
      <c r="X209" t="s">
        <v>155</v>
      </c>
      <c r="Y209" t="s">
        <v>155</v>
      </c>
      <c r="AC209" t="s">
        <v>172</v>
      </c>
      <c r="AD209" t="s">
        <v>155</v>
      </c>
      <c r="AE209" t="s">
        <v>155</v>
      </c>
      <c r="AF209" t="s">
        <v>155</v>
      </c>
      <c r="AG209" t="s">
        <v>155</v>
      </c>
      <c r="AH209" t="s">
        <v>155</v>
      </c>
    </row>
    <row r="211" spans="19:34" ht="16.2" customHeight="1" x14ac:dyDescent="0.3">
      <c r="S211" s="15" t="s">
        <v>115</v>
      </c>
      <c r="T211" t="s">
        <v>193</v>
      </c>
      <c r="AB211" s="15" t="s">
        <v>115</v>
      </c>
      <c r="AC211" t="s">
        <v>193</v>
      </c>
    </row>
    <row r="212" spans="19:34" ht="16.2" customHeight="1" x14ac:dyDescent="0.3">
      <c r="U212" t="s">
        <v>164</v>
      </c>
      <c r="V212" t="s">
        <v>165</v>
      </c>
      <c r="W212" t="s">
        <v>166</v>
      </c>
      <c r="X212" t="s">
        <v>167</v>
      </c>
      <c r="Y212" t="s">
        <v>168</v>
      </c>
      <c r="AD212" t="s">
        <v>164</v>
      </c>
      <c r="AE212" t="s">
        <v>165</v>
      </c>
      <c r="AF212" t="s">
        <v>166</v>
      </c>
      <c r="AG212" t="s">
        <v>167</v>
      </c>
      <c r="AH212" t="s">
        <v>168</v>
      </c>
    </row>
    <row r="213" spans="19:34" ht="16.2" customHeight="1" x14ac:dyDescent="0.3">
      <c r="T213" t="s">
        <v>154</v>
      </c>
      <c r="U213" t="s">
        <v>155</v>
      </c>
      <c r="V213" t="s">
        <v>102</v>
      </c>
      <c r="W213" t="s">
        <v>155</v>
      </c>
      <c r="X213" t="s">
        <v>102</v>
      </c>
      <c r="Y213" t="s">
        <v>155</v>
      </c>
      <c r="AC213" t="s">
        <v>154</v>
      </c>
      <c r="AD213" t="s">
        <v>155</v>
      </c>
      <c r="AE213" t="s">
        <v>102</v>
      </c>
      <c r="AF213" t="s">
        <v>155</v>
      </c>
      <c r="AG213" t="s">
        <v>102</v>
      </c>
      <c r="AH213" t="s">
        <v>155</v>
      </c>
    </row>
    <row r="214" spans="19:34" ht="16.2" customHeight="1" x14ac:dyDescent="0.3">
      <c r="T214" t="s">
        <v>156</v>
      </c>
      <c r="U214" t="s">
        <v>155</v>
      </c>
      <c r="V214" t="s">
        <v>102</v>
      </c>
      <c r="W214" t="s">
        <v>155</v>
      </c>
      <c r="X214" t="s">
        <v>102</v>
      </c>
      <c r="Y214" t="s">
        <v>155</v>
      </c>
      <c r="AC214" t="s">
        <v>156</v>
      </c>
      <c r="AD214" t="s">
        <v>155</v>
      </c>
      <c r="AE214" t="s">
        <v>102</v>
      </c>
      <c r="AF214" t="s">
        <v>155</v>
      </c>
      <c r="AG214" t="s">
        <v>102</v>
      </c>
      <c r="AH214" t="s">
        <v>155</v>
      </c>
    </row>
    <row r="215" spans="19:34" ht="16.2" customHeight="1" x14ac:dyDescent="0.3">
      <c r="T215" t="s">
        <v>157</v>
      </c>
      <c r="U215" t="s">
        <v>155</v>
      </c>
      <c r="V215" t="s">
        <v>155</v>
      </c>
      <c r="W215" t="s">
        <v>155</v>
      </c>
      <c r="X215" t="s">
        <v>102</v>
      </c>
      <c r="Y215" t="s">
        <v>155</v>
      </c>
      <c r="AC215" t="s">
        <v>157</v>
      </c>
      <c r="AD215" t="s">
        <v>155</v>
      </c>
      <c r="AE215" t="s">
        <v>102</v>
      </c>
      <c r="AF215" t="s">
        <v>155</v>
      </c>
      <c r="AG215" t="s">
        <v>155</v>
      </c>
      <c r="AH215" t="s">
        <v>155</v>
      </c>
    </row>
    <row r="216" spans="19:34" ht="16.2" customHeight="1" x14ac:dyDescent="0.3">
      <c r="T216" t="s">
        <v>158</v>
      </c>
      <c r="U216" t="s">
        <v>155</v>
      </c>
      <c r="V216" t="s">
        <v>155</v>
      </c>
      <c r="W216" t="s">
        <v>155</v>
      </c>
      <c r="X216" t="s">
        <v>155</v>
      </c>
      <c r="Y216" t="s">
        <v>155</v>
      </c>
      <c r="AC216" t="s">
        <v>158</v>
      </c>
      <c r="AD216" t="s">
        <v>155</v>
      </c>
      <c r="AE216" t="s">
        <v>155</v>
      </c>
      <c r="AF216" t="s">
        <v>155</v>
      </c>
      <c r="AG216" t="s">
        <v>155</v>
      </c>
      <c r="AH216" t="s">
        <v>155</v>
      </c>
    </row>
    <row r="217" spans="19:34" ht="16.2" customHeight="1" x14ac:dyDescent="0.3">
      <c r="T217" t="s">
        <v>159</v>
      </c>
      <c r="U217" t="s">
        <v>155</v>
      </c>
      <c r="V217" t="s">
        <v>155</v>
      </c>
      <c r="W217" t="s">
        <v>155</v>
      </c>
      <c r="X217" t="s">
        <v>155</v>
      </c>
      <c r="Y217" t="s">
        <v>155</v>
      </c>
      <c r="AC217" t="s">
        <v>159</v>
      </c>
      <c r="AD217" t="s">
        <v>155</v>
      </c>
      <c r="AE217" t="s">
        <v>155</v>
      </c>
      <c r="AF217" t="s">
        <v>155</v>
      </c>
      <c r="AG217" t="s">
        <v>155</v>
      </c>
      <c r="AH217" t="s">
        <v>155</v>
      </c>
    </row>
    <row r="218" spans="19:34" ht="16.2" customHeight="1" x14ac:dyDescent="0.3">
      <c r="T218" t="s">
        <v>160</v>
      </c>
      <c r="U218" t="s">
        <v>155</v>
      </c>
      <c r="V218" t="s">
        <v>155</v>
      </c>
      <c r="W218" t="s">
        <v>155</v>
      </c>
      <c r="X218" t="s">
        <v>155</v>
      </c>
      <c r="Y218" t="s">
        <v>155</v>
      </c>
      <c r="AC218" t="s">
        <v>160</v>
      </c>
      <c r="AD218" t="s">
        <v>155</v>
      </c>
      <c r="AE218" t="s">
        <v>155</v>
      </c>
      <c r="AF218" t="s">
        <v>155</v>
      </c>
      <c r="AG218" t="s">
        <v>155</v>
      </c>
      <c r="AH218" t="s">
        <v>155</v>
      </c>
    </row>
    <row r="219" spans="19:34" ht="16.2" customHeight="1" x14ac:dyDescent="0.3">
      <c r="T219" t="s">
        <v>169</v>
      </c>
      <c r="U219" t="s">
        <v>155</v>
      </c>
      <c r="V219" t="s">
        <v>155</v>
      </c>
      <c r="W219" t="s">
        <v>155</v>
      </c>
      <c r="X219" t="s">
        <v>155</v>
      </c>
      <c r="Y219" t="s">
        <v>155</v>
      </c>
      <c r="AC219" t="s">
        <v>169</v>
      </c>
      <c r="AD219" t="s">
        <v>155</v>
      </c>
      <c r="AE219" t="s">
        <v>155</v>
      </c>
      <c r="AF219" t="s">
        <v>155</v>
      </c>
      <c r="AG219" t="s">
        <v>155</v>
      </c>
      <c r="AH219" t="s">
        <v>155</v>
      </c>
    </row>
    <row r="220" spans="19:34" ht="16.2" customHeight="1" x14ac:dyDescent="0.3">
      <c r="T220" t="s">
        <v>170</v>
      </c>
      <c r="U220" t="s">
        <v>155</v>
      </c>
      <c r="V220" t="s">
        <v>155</v>
      </c>
      <c r="W220" t="s">
        <v>155</v>
      </c>
      <c r="X220" t="s">
        <v>155</v>
      </c>
      <c r="Y220" t="s">
        <v>155</v>
      </c>
      <c r="AC220" t="s">
        <v>170</v>
      </c>
      <c r="AD220" t="s">
        <v>155</v>
      </c>
      <c r="AE220" t="s">
        <v>155</v>
      </c>
      <c r="AF220" t="s">
        <v>155</v>
      </c>
      <c r="AG220" t="s">
        <v>155</v>
      </c>
      <c r="AH220" t="s">
        <v>155</v>
      </c>
    </row>
    <row r="221" spans="19:34" ht="16.2" customHeight="1" x14ac:dyDescent="0.3">
      <c r="T221" t="s">
        <v>171</v>
      </c>
      <c r="U221" t="s">
        <v>155</v>
      </c>
      <c r="V221" t="s">
        <v>155</v>
      </c>
      <c r="W221" t="s">
        <v>155</v>
      </c>
      <c r="X221" t="s">
        <v>155</v>
      </c>
      <c r="Y221" t="s">
        <v>155</v>
      </c>
      <c r="AC221" t="s">
        <v>171</v>
      </c>
      <c r="AD221" t="s">
        <v>155</v>
      </c>
      <c r="AE221" t="s">
        <v>155</v>
      </c>
      <c r="AF221" t="s">
        <v>155</v>
      </c>
      <c r="AG221" t="s">
        <v>155</v>
      </c>
      <c r="AH221" t="s">
        <v>155</v>
      </c>
    </row>
    <row r="222" spans="19:34" ht="16.2" customHeight="1" x14ac:dyDescent="0.3">
      <c r="T222" t="s">
        <v>172</v>
      </c>
      <c r="U222" t="s">
        <v>155</v>
      </c>
      <c r="V222" t="s">
        <v>155</v>
      </c>
      <c r="W222" t="s">
        <v>155</v>
      </c>
      <c r="X222" t="s">
        <v>155</v>
      </c>
      <c r="Y222" t="s">
        <v>155</v>
      </c>
      <c r="AC222" t="s">
        <v>172</v>
      </c>
      <c r="AD222" t="s">
        <v>155</v>
      </c>
      <c r="AE222" t="s">
        <v>155</v>
      </c>
      <c r="AF222" t="s">
        <v>155</v>
      </c>
      <c r="AG222" t="s">
        <v>155</v>
      </c>
      <c r="AH222" t="s">
        <v>155</v>
      </c>
    </row>
    <row r="224" spans="19:34" ht="16.2" customHeight="1" x14ac:dyDescent="0.3">
      <c r="S224" s="15" t="s">
        <v>116</v>
      </c>
      <c r="T224" t="s">
        <v>194</v>
      </c>
      <c r="AB224" s="15" t="s">
        <v>116</v>
      </c>
      <c r="AC224" t="s">
        <v>194</v>
      </c>
    </row>
    <row r="225" spans="19:34" ht="16.2" customHeight="1" x14ac:dyDescent="0.3">
      <c r="U225" t="s">
        <v>164</v>
      </c>
      <c r="V225" t="s">
        <v>165</v>
      </c>
      <c r="W225" t="s">
        <v>166</v>
      </c>
      <c r="X225" t="s">
        <v>167</v>
      </c>
      <c r="Y225" t="s">
        <v>168</v>
      </c>
      <c r="AD225" t="s">
        <v>164</v>
      </c>
      <c r="AE225" t="s">
        <v>165</v>
      </c>
      <c r="AF225" t="s">
        <v>166</v>
      </c>
      <c r="AG225" t="s">
        <v>167</v>
      </c>
      <c r="AH225" t="s">
        <v>168</v>
      </c>
    </row>
    <row r="226" spans="19:34" ht="16.2" customHeight="1" x14ac:dyDescent="0.3">
      <c r="T226" t="s">
        <v>154</v>
      </c>
      <c r="U226" t="s">
        <v>155</v>
      </c>
      <c r="V226" t="s">
        <v>155</v>
      </c>
      <c r="W226" t="s">
        <v>155</v>
      </c>
      <c r="X226" t="s">
        <v>155</v>
      </c>
      <c r="Y226" t="s">
        <v>155</v>
      </c>
      <c r="AC226" t="s">
        <v>154</v>
      </c>
      <c r="AD226" t="s">
        <v>155</v>
      </c>
      <c r="AE226" t="s">
        <v>155</v>
      </c>
      <c r="AF226" t="s">
        <v>155</v>
      </c>
      <c r="AG226" t="s">
        <v>155</v>
      </c>
      <c r="AH226" t="s">
        <v>155</v>
      </c>
    </row>
    <row r="227" spans="19:34" ht="16.2" customHeight="1" x14ac:dyDescent="0.3">
      <c r="T227" t="s">
        <v>156</v>
      </c>
      <c r="U227" t="s">
        <v>155</v>
      </c>
      <c r="V227" t="s">
        <v>155</v>
      </c>
      <c r="W227" t="s">
        <v>155</v>
      </c>
      <c r="X227" t="s">
        <v>155</v>
      </c>
      <c r="Y227" t="s">
        <v>155</v>
      </c>
      <c r="AC227" t="s">
        <v>156</v>
      </c>
      <c r="AD227" t="s">
        <v>155</v>
      </c>
      <c r="AE227" t="s">
        <v>155</v>
      </c>
      <c r="AF227" t="s">
        <v>155</v>
      </c>
      <c r="AG227" t="s">
        <v>155</v>
      </c>
      <c r="AH227" t="s">
        <v>155</v>
      </c>
    </row>
    <row r="228" spans="19:34" ht="16.2" customHeight="1" x14ac:dyDescent="0.3">
      <c r="T228" t="s">
        <v>157</v>
      </c>
      <c r="U228" t="s">
        <v>102</v>
      </c>
      <c r="V228" t="s">
        <v>155</v>
      </c>
      <c r="W228" t="s">
        <v>102</v>
      </c>
      <c r="X228" t="s">
        <v>155</v>
      </c>
      <c r="Y228" t="s">
        <v>155</v>
      </c>
      <c r="AC228" t="s">
        <v>157</v>
      </c>
      <c r="AD228" t="s">
        <v>102</v>
      </c>
      <c r="AE228" t="s">
        <v>155</v>
      </c>
      <c r="AF228" t="s">
        <v>102</v>
      </c>
      <c r="AG228" t="s">
        <v>155</v>
      </c>
      <c r="AH228" t="s">
        <v>155</v>
      </c>
    </row>
    <row r="229" spans="19:34" ht="16.2" customHeight="1" x14ac:dyDescent="0.3">
      <c r="T229" t="s">
        <v>158</v>
      </c>
      <c r="U229" t="s">
        <v>102</v>
      </c>
      <c r="V229" t="s">
        <v>155</v>
      </c>
      <c r="W229" t="s">
        <v>102</v>
      </c>
      <c r="X229" t="s">
        <v>155</v>
      </c>
      <c r="Y229" t="s">
        <v>155</v>
      </c>
      <c r="AC229" t="s">
        <v>158</v>
      </c>
      <c r="AD229" t="s">
        <v>102</v>
      </c>
      <c r="AE229" t="s">
        <v>155</v>
      </c>
      <c r="AF229" t="s">
        <v>102</v>
      </c>
      <c r="AG229" t="s">
        <v>155</v>
      </c>
      <c r="AH229" t="s">
        <v>155</v>
      </c>
    </row>
    <row r="230" spans="19:34" ht="16.2" customHeight="1" x14ac:dyDescent="0.3">
      <c r="T230" t="s">
        <v>159</v>
      </c>
      <c r="U230" t="s">
        <v>155</v>
      </c>
      <c r="V230" t="s">
        <v>155</v>
      </c>
      <c r="W230" t="s">
        <v>102</v>
      </c>
      <c r="X230" t="s">
        <v>155</v>
      </c>
      <c r="Y230" t="s">
        <v>155</v>
      </c>
      <c r="AC230" t="s">
        <v>159</v>
      </c>
      <c r="AD230" t="s">
        <v>102</v>
      </c>
      <c r="AE230" t="s">
        <v>155</v>
      </c>
      <c r="AF230" t="s">
        <v>155</v>
      </c>
      <c r="AG230" t="s">
        <v>155</v>
      </c>
      <c r="AH230" t="s">
        <v>155</v>
      </c>
    </row>
    <row r="231" spans="19:34" ht="16.2" customHeight="1" x14ac:dyDescent="0.3">
      <c r="T231" t="s">
        <v>160</v>
      </c>
      <c r="U231" t="s">
        <v>155</v>
      </c>
      <c r="V231" t="s">
        <v>155</v>
      </c>
      <c r="W231" t="s">
        <v>155</v>
      </c>
      <c r="X231" t="s">
        <v>155</v>
      </c>
      <c r="Y231" t="s">
        <v>155</v>
      </c>
      <c r="AC231" t="s">
        <v>160</v>
      </c>
      <c r="AD231" t="s">
        <v>155</v>
      </c>
      <c r="AE231" t="s">
        <v>155</v>
      </c>
      <c r="AF231" t="s">
        <v>155</v>
      </c>
      <c r="AG231" t="s">
        <v>155</v>
      </c>
      <c r="AH231" t="s">
        <v>155</v>
      </c>
    </row>
    <row r="232" spans="19:34" ht="16.2" customHeight="1" x14ac:dyDescent="0.3">
      <c r="T232" t="s">
        <v>169</v>
      </c>
      <c r="U232" t="s">
        <v>155</v>
      </c>
      <c r="V232" t="s">
        <v>155</v>
      </c>
      <c r="W232" t="s">
        <v>155</v>
      </c>
      <c r="X232" t="s">
        <v>155</v>
      </c>
      <c r="Y232" t="s">
        <v>155</v>
      </c>
      <c r="AC232" t="s">
        <v>169</v>
      </c>
      <c r="AD232" t="s">
        <v>155</v>
      </c>
      <c r="AE232" t="s">
        <v>155</v>
      </c>
      <c r="AF232" t="s">
        <v>155</v>
      </c>
      <c r="AG232" t="s">
        <v>155</v>
      </c>
      <c r="AH232" t="s">
        <v>155</v>
      </c>
    </row>
    <row r="233" spans="19:34" ht="16.2" customHeight="1" x14ac:dyDescent="0.3">
      <c r="T233" t="s">
        <v>170</v>
      </c>
      <c r="U233" t="s">
        <v>155</v>
      </c>
      <c r="V233" t="s">
        <v>155</v>
      </c>
      <c r="W233" t="s">
        <v>155</v>
      </c>
      <c r="X233" t="s">
        <v>155</v>
      </c>
      <c r="Y233" t="s">
        <v>155</v>
      </c>
      <c r="AC233" t="s">
        <v>170</v>
      </c>
      <c r="AD233" t="s">
        <v>155</v>
      </c>
      <c r="AE233" t="s">
        <v>155</v>
      </c>
      <c r="AF233" t="s">
        <v>155</v>
      </c>
      <c r="AG233" t="s">
        <v>155</v>
      </c>
      <c r="AH233" t="s">
        <v>155</v>
      </c>
    </row>
    <row r="234" spans="19:34" ht="16.2" customHeight="1" x14ac:dyDescent="0.3">
      <c r="T234" t="s">
        <v>171</v>
      </c>
      <c r="U234" t="s">
        <v>155</v>
      </c>
      <c r="V234" t="s">
        <v>155</v>
      </c>
      <c r="W234" t="s">
        <v>155</v>
      </c>
      <c r="X234" t="s">
        <v>155</v>
      </c>
      <c r="Y234" t="s">
        <v>155</v>
      </c>
      <c r="AC234" t="s">
        <v>171</v>
      </c>
      <c r="AD234" t="s">
        <v>155</v>
      </c>
      <c r="AE234" t="s">
        <v>155</v>
      </c>
      <c r="AF234" t="s">
        <v>155</v>
      </c>
      <c r="AG234" t="s">
        <v>155</v>
      </c>
      <c r="AH234" t="s">
        <v>155</v>
      </c>
    </row>
    <row r="235" spans="19:34" ht="16.2" customHeight="1" x14ac:dyDescent="0.3">
      <c r="T235" t="s">
        <v>172</v>
      </c>
      <c r="U235" t="s">
        <v>155</v>
      </c>
      <c r="V235" t="s">
        <v>155</v>
      </c>
      <c r="W235" t="s">
        <v>155</v>
      </c>
      <c r="X235" t="s">
        <v>155</v>
      </c>
      <c r="Y235" t="s">
        <v>155</v>
      </c>
      <c r="AC235" t="s">
        <v>172</v>
      </c>
      <c r="AD235" t="s">
        <v>155</v>
      </c>
      <c r="AE235" t="s">
        <v>155</v>
      </c>
      <c r="AF235" t="s">
        <v>155</v>
      </c>
      <c r="AG235" t="s">
        <v>155</v>
      </c>
      <c r="AH235" t="s">
        <v>155</v>
      </c>
    </row>
    <row r="237" spans="19:34" ht="16.2" customHeight="1" x14ac:dyDescent="0.3">
      <c r="S237" s="15" t="s">
        <v>117</v>
      </c>
      <c r="T237" t="s">
        <v>195</v>
      </c>
      <c r="AB237" s="15" t="s">
        <v>117</v>
      </c>
      <c r="AC237" t="s">
        <v>195</v>
      </c>
    </row>
    <row r="238" spans="19:34" ht="16.2" customHeight="1" x14ac:dyDescent="0.3">
      <c r="U238" t="s">
        <v>164</v>
      </c>
      <c r="V238" t="s">
        <v>165</v>
      </c>
      <c r="W238" t="s">
        <v>166</v>
      </c>
      <c r="X238" t="s">
        <v>167</v>
      </c>
      <c r="Y238" t="s">
        <v>168</v>
      </c>
      <c r="AD238" t="s">
        <v>164</v>
      </c>
      <c r="AE238" t="s">
        <v>165</v>
      </c>
      <c r="AF238" t="s">
        <v>166</v>
      </c>
      <c r="AG238" t="s">
        <v>167</v>
      </c>
      <c r="AH238" t="s">
        <v>168</v>
      </c>
    </row>
    <row r="239" spans="19:34" ht="16.2" customHeight="1" x14ac:dyDescent="0.3">
      <c r="T239" t="s">
        <v>154</v>
      </c>
      <c r="U239" t="s">
        <v>155</v>
      </c>
      <c r="V239" t="s">
        <v>155</v>
      </c>
      <c r="W239" t="s">
        <v>155</v>
      </c>
      <c r="X239" t="s">
        <v>155</v>
      </c>
      <c r="Y239" t="s">
        <v>155</v>
      </c>
      <c r="AC239" t="s">
        <v>154</v>
      </c>
      <c r="AD239" t="s">
        <v>155</v>
      </c>
      <c r="AE239" t="s">
        <v>155</v>
      </c>
      <c r="AF239" t="s">
        <v>155</v>
      </c>
      <c r="AG239" t="s">
        <v>155</v>
      </c>
      <c r="AH239" t="s">
        <v>155</v>
      </c>
    </row>
    <row r="240" spans="19:34" ht="16.2" customHeight="1" x14ac:dyDescent="0.3">
      <c r="T240" t="s">
        <v>156</v>
      </c>
      <c r="U240" t="s">
        <v>155</v>
      </c>
      <c r="V240" t="s">
        <v>155</v>
      </c>
      <c r="W240" t="s">
        <v>155</v>
      </c>
      <c r="X240" t="s">
        <v>155</v>
      </c>
      <c r="Y240" t="s">
        <v>155</v>
      </c>
      <c r="AC240" t="s">
        <v>156</v>
      </c>
      <c r="AD240" t="s">
        <v>155</v>
      </c>
      <c r="AE240" t="s">
        <v>155</v>
      </c>
      <c r="AF240" t="s">
        <v>155</v>
      </c>
      <c r="AG240" t="s">
        <v>155</v>
      </c>
      <c r="AH240" t="s">
        <v>155</v>
      </c>
    </row>
    <row r="241" spans="19:34" ht="16.2" customHeight="1" x14ac:dyDescent="0.3">
      <c r="T241" t="s">
        <v>157</v>
      </c>
      <c r="U241" t="s">
        <v>155</v>
      </c>
      <c r="V241" t="s">
        <v>155</v>
      </c>
      <c r="W241" t="s">
        <v>155</v>
      </c>
      <c r="X241" t="s">
        <v>155</v>
      </c>
      <c r="Y241" t="s">
        <v>155</v>
      </c>
      <c r="AC241" t="s">
        <v>157</v>
      </c>
      <c r="AD241" t="s">
        <v>155</v>
      </c>
      <c r="AE241" t="s">
        <v>155</v>
      </c>
      <c r="AF241" t="s">
        <v>155</v>
      </c>
      <c r="AG241" t="s">
        <v>155</v>
      </c>
      <c r="AH241" t="s">
        <v>155</v>
      </c>
    </row>
    <row r="242" spans="19:34" ht="16.2" customHeight="1" x14ac:dyDescent="0.3">
      <c r="T242" t="s">
        <v>158</v>
      </c>
      <c r="U242" t="s">
        <v>155</v>
      </c>
      <c r="V242" t="s">
        <v>155</v>
      </c>
      <c r="W242" t="s">
        <v>155</v>
      </c>
      <c r="X242" t="s">
        <v>155</v>
      </c>
      <c r="Y242" t="s">
        <v>155</v>
      </c>
      <c r="AC242" t="s">
        <v>158</v>
      </c>
      <c r="AD242" t="s">
        <v>155</v>
      </c>
      <c r="AE242" t="s">
        <v>155</v>
      </c>
      <c r="AF242" t="s">
        <v>155</v>
      </c>
      <c r="AG242" t="s">
        <v>155</v>
      </c>
      <c r="AH242" t="s">
        <v>155</v>
      </c>
    </row>
    <row r="243" spans="19:34" ht="16.2" customHeight="1" x14ac:dyDescent="0.3">
      <c r="T243" t="s">
        <v>159</v>
      </c>
      <c r="U243" t="s">
        <v>155</v>
      </c>
      <c r="V243" t="s">
        <v>155</v>
      </c>
      <c r="W243" t="s">
        <v>155</v>
      </c>
      <c r="X243" t="s">
        <v>155</v>
      </c>
      <c r="Y243" t="s">
        <v>155</v>
      </c>
      <c r="AC243" t="s">
        <v>159</v>
      </c>
      <c r="AD243" t="s">
        <v>155</v>
      </c>
      <c r="AE243" t="s">
        <v>155</v>
      </c>
      <c r="AF243" t="s">
        <v>155</v>
      </c>
      <c r="AG243" t="s">
        <v>155</v>
      </c>
      <c r="AH243" t="s">
        <v>155</v>
      </c>
    </row>
    <row r="244" spans="19:34" ht="16.2" customHeight="1" x14ac:dyDescent="0.3">
      <c r="T244" t="s">
        <v>160</v>
      </c>
      <c r="U244" t="s">
        <v>155</v>
      </c>
      <c r="V244" t="s">
        <v>155</v>
      </c>
      <c r="W244" t="s">
        <v>155</v>
      </c>
      <c r="X244" t="s">
        <v>155</v>
      </c>
      <c r="Y244" t="s">
        <v>155</v>
      </c>
      <c r="AC244" t="s">
        <v>160</v>
      </c>
      <c r="AD244" t="s">
        <v>155</v>
      </c>
      <c r="AE244" t="s">
        <v>155</v>
      </c>
      <c r="AF244" t="s">
        <v>155</v>
      </c>
      <c r="AG244" t="s">
        <v>155</v>
      </c>
      <c r="AH244" t="s">
        <v>155</v>
      </c>
    </row>
    <row r="245" spans="19:34" ht="16.2" customHeight="1" x14ac:dyDescent="0.3">
      <c r="T245" t="s">
        <v>169</v>
      </c>
      <c r="U245" t="s">
        <v>155</v>
      </c>
      <c r="V245" t="s">
        <v>155</v>
      </c>
      <c r="W245" t="s">
        <v>155</v>
      </c>
      <c r="X245" t="s">
        <v>155</v>
      </c>
      <c r="Y245" t="s">
        <v>9</v>
      </c>
      <c r="AC245" t="s">
        <v>169</v>
      </c>
      <c r="AD245" t="s">
        <v>155</v>
      </c>
      <c r="AE245" t="s">
        <v>155</v>
      </c>
      <c r="AF245" t="s">
        <v>155</v>
      </c>
      <c r="AG245" t="s">
        <v>155</v>
      </c>
      <c r="AH245" t="s">
        <v>9</v>
      </c>
    </row>
    <row r="246" spans="19:34" ht="16.2" customHeight="1" x14ac:dyDescent="0.3">
      <c r="T246" t="s">
        <v>170</v>
      </c>
      <c r="U246" t="s">
        <v>155</v>
      </c>
      <c r="V246" t="s">
        <v>155</v>
      </c>
      <c r="W246" t="s">
        <v>155</v>
      </c>
      <c r="X246" t="s">
        <v>155</v>
      </c>
      <c r="Y246" t="s">
        <v>9</v>
      </c>
      <c r="AC246" t="s">
        <v>170</v>
      </c>
      <c r="AD246" t="s">
        <v>155</v>
      </c>
      <c r="AE246" t="s">
        <v>155</v>
      </c>
      <c r="AF246" t="s">
        <v>155</v>
      </c>
      <c r="AG246" t="s">
        <v>155</v>
      </c>
      <c r="AH246" t="s">
        <v>9</v>
      </c>
    </row>
    <row r="247" spans="19:34" ht="16.2" customHeight="1" x14ac:dyDescent="0.3">
      <c r="T247" t="s">
        <v>171</v>
      </c>
      <c r="U247" t="s">
        <v>155</v>
      </c>
      <c r="V247" t="s">
        <v>155</v>
      </c>
      <c r="W247" t="s">
        <v>155</v>
      </c>
      <c r="X247" t="s">
        <v>155</v>
      </c>
      <c r="Y247" t="s">
        <v>9</v>
      </c>
      <c r="AC247" t="s">
        <v>171</v>
      </c>
      <c r="AD247" t="s">
        <v>155</v>
      </c>
      <c r="AE247" t="s">
        <v>155</v>
      </c>
      <c r="AF247" t="s">
        <v>155</v>
      </c>
      <c r="AG247" t="s">
        <v>155</v>
      </c>
      <c r="AH247" t="s">
        <v>9</v>
      </c>
    </row>
    <row r="248" spans="19:34" ht="16.2" customHeight="1" x14ac:dyDescent="0.3">
      <c r="T248" t="s">
        <v>172</v>
      </c>
      <c r="U248" t="s">
        <v>155</v>
      </c>
      <c r="V248" t="s">
        <v>155</v>
      </c>
      <c r="W248" t="s">
        <v>155</v>
      </c>
      <c r="X248" t="s">
        <v>155</v>
      </c>
      <c r="Y248" t="s">
        <v>9</v>
      </c>
      <c r="AC248" t="s">
        <v>172</v>
      </c>
      <c r="AD248" t="s">
        <v>155</v>
      </c>
      <c r="AE248" t="s">
        <v>155</v>
      </c>
      <c r="AF248" t="s">
        <v>155</v>
      </c>
      <c r="AG248" t="s">
        <v>155</v>
      </c>
      <c r="AH248" t="s">
        <v>9</v>
      </c>
    </row>
    <row r="250" spans="19:34" ht="16.2" customHeight="1" x14ac:dyDescent="0.3">
      <c r="S250" s="15" t="s">
        <v>118</v>
      </c>
      <c r="T250" t="s">
        <v>196</v>
      </c>
      <c r="AB250" s="15" t="s">
        <v>118</v>
      </c>
      <c r="AC250" t="s">
        <v>196</v>
      </c>
    </row>
    <row r="251" spans="19:34" ht="16.2" customHeight="1" x14ac:dyDescent="0.3">
      <c r="U251" t="s">
        <v>164</v>
      </c>
      <c r="V251" t="s">
        <v>165</v>
      </c>
      <c r="W251" t="s">
        <v>166</v>
      </c>
      <c r="X251" t="s">
        <v>167</v>
      </c>
      <c r="Y251" t="s">
        <v>168</v>
      </c>
      <c r="AD251" t="s">
        <v>164</v>
      </c>
      <c r="AE251" t="s">
        <v>165</v>
      </c>
      <c r="AF251" t="s">
        <v>166</v>
      </c>
      <c r="AG251" t="s">
        <v>167</v>
      </c>
      <c r="AH251" t="s">
        <v>168</v>
      </c>
    </row>
    <row r="252" spans="19:34" ht="16.2" customHeight="1" x14ac:dyDescent="0.3">
      <c r="T252" t="s">
        <v>154</v>
      </c>
      <c r="U252" t="s">
        <v>155</v>
      </c>
      <c r="V252" t="s">
        <v>155</v>
      </c>
      <c r="W252" t="s">
        <v>155</v>
      </c>
      <c r="X252" t="s">
        <v>155</v>
      </c>
      <c r="Y252" t="s">
        <v>155</v>
      </c>
      <c r="AC252" t="s">
        <v>154</v>
      </c>
      <c r="AD252" t="s">
        <v>155</v>
      </c>
      <c r="AE252" t="s">
        <v>155</v>
      </c>
      <c r="AF252" t="s">
        <v>155</v>
      </c>
      <c r="AG252" t="s">
        <v>155</v>
      </c>
      <c r="AH252" t="s">
        <v>155</v>
      </c>
    </row>
    <row r="253" spans="19:34" ht="16.2" customHeight="1" x14ac:dyDescent="0.3">
      <c r="T253" t="s">
        <v>156</v>
      </c>
      <c r="U253" t="s">
        <v>155</v>
      </c>
      <c r="V253" t="s">
        <v>155</v>
      </c>
      <c r="W253" t="s">
        <v>155</v>
      </c>
      <c r="X253" t="s">
        <v>155</v>
      </c>
      <c r="Y253" t="s">
        <v>155</v>
      </c>
      <c r="AC253" t="s">
        <v>156</v>
      </c>
      <c r="AD253" t="s">
        <v>155</v>
      </c>
      <c r="AE253" t="s">
        <v>155</v>
      </c>
      <c r="AF253" t="s">
        <v>155</v>
      </c>
      <c r="AG253" t="s">
        <v>155</v>
      </c>
      <c r="AH253" t="s">
        <v>155</v>
      </c>
    </row>
    <row r="254" spans="19:34" ht="16.2" customHeight="1" x14ac:dyDescent="0.3">
      <c r="T254" t="s">
        <v>157</v>
      </c>
      <c r="U254" t="s">
        <v>155</v>
      </c>
      <c r="V254" t="s">
        <v>155</v>
      </c>
      <c r="W254" t="s">
        <v>155</v>
      </c>
      <c r="X254" t="s">
        <v>155</v>
      </c>
      <c r="Y254" t="s">
        <v>155</v>
      </c>
      <c r="AC254" t="s">
        <v>157</v>
      </c>
      <c r="AD254" t="s">
        <v>155</v>
      </c>
      <c r="AE254" t="s">
        <v>155</v>
      </c>
      <c r="AF254" t="s">
        <v>155</v>
      </c>
      <c r="AG254" t="s">
        <v>155</v>
      </c>
      <c r="AH254" t="s">
        <v>155</v>
      </c>
    </row>
    <row r="255" spans="19:34" ht="16.2" customHeight="1" x14ac:dyDescent="0.3">
      <c r="T255" t="s">
        <v>158</v>
      </c>
      <c r="U255" t="s">
        <v>75</v>
      </c>
      <c r="V255" t="s">
        <v>155</v>
      </c>
      <c r="W255" t="s">
        <v>75</v>
      </c>
      <c r="X255" t="s">
        <v>155</v>
      </c>
      <c r="Y255" t="s">
        <v>155</v>
      </c>
      <c r="AC255" t="s">
        <v>158</v>
      </c>
      <c r="AD255" t="s">
        <v>75</v>
      </c>
      <c r="AE255" t="s">
        <v>155</v>
      </c>
      <c r="AF255" t="s">
        <v>75</v>
      </c>
      <c r="AG255" t="s">
        <v>155</v>
      </c>
      <c r="AH255" t="s">
        <v>155</v>
      </c>
    </row>
    <row r="256" spans="19:34" ht="16.2" customHeight="1" x14ac:dyDescent="0.3">
      <c r="T256" t="s">
        <v>159</v>
      </c>
      <c r="U256" t="s">
        <v>75</v>
      </c>
      <c r="V256" t="s">
        <v>155</v>
      </c>
      <c r="W256" t="s">
        <v>75</v>
      </c>
      <c r="X256" t="s">
        <v>155</v>
      </c>
      <c r="Y256" t="s">
        <v>155</v>
      </c>
      <c r="AC256" t="s">
        <v>159</v>
      </c>
      <c r="AD256" t="s">
        <v>75</v>
      </c>
      <c r="AE256" t="s">
        <v>155</v>
      </c>
      <c r="AF256" t="s">
        <v>75</v>
      </c>
      <c r="AG256" t="s">
        <v>155</v>
      </c>
      <c r="AH256" t="s">
        <v>155</v>
      </c>
    </row>
    <row r="257" spans="19:34" ht="16.2" customHeight="1" x14ac:dyDescent="0.3">
      <c r="T257" t="s">
        <v>160</v>
      </c>
      <c r="U257" t="s">
        <v>155</v>
      </c>
      <c r="V257" t="s">
        <v>155</v>
      </c>
      <c r="W257" t="s">
        <v>155</v>
      </c>
      <c r="X257" t="s">
        <v>155</v>
      </c>
      <c r="Y257" t="s">
        <v>155</v>
      </c>
      <c r="AC257" t="s">
        <v>160</v>
      </c>
      <c r="AD257" t="s">
        <v>155</v>
      </c>
      <c r="AE257" t="s">
        <v>155</v>
      </c>
      <c r="AF257" t="s">
        <v>155</v>
      </c>
      <c r="AG257" t="s">
        <v>155</v>
      </c>
      <c r="AH257" t="s">
        <v>155</v>
      </c>
    </row>
    <row r="258" spans="19:34" ht="16.2" customHeight="1" x14ac:dyDescent="0.3">
      <c r="T258" t="s">
        <v>169</v>
      </c>
      <c r="U258" t="s">
        <v>7</v>
      </c>
      <c r="V258" t="s">
        <v>155</v>
      </c>
      <c r="W258" t="s">
        <v>6</v>
      </c>
      <c r="X258" t="s">
        <v>155</v>
      </c>
      <c r="Y258" t="s">
        <v>155</v>
      </c>
      <c r="AC258" t="s">
        <v>169</v>
      </c>
      <c r="AD258" t="s">
        <v>6</v>
      </c>
      <c r="AE258" t="s">
        <v>155</v>
      </c>
      <c r="AF258" t="s">
        <v>6</v>
      </c>
      <c r="AG258" t="s">
        <v>155</v>
      </c>
      <c r="AH258" t="s">
        <v>155</v>
      </c>
    </row>
    <row r="259" spans="19:34" ht="16.2" customHeight="1" x14ac:dyDescent="0.3">
      <c r="T259" t="s">
        <v>170</v>
      </c>
      <c r="U259" t="s">
        <v>7</v>
      </c>
      <c r="V259" t="s">
        <v>155</v>
      </c>
      <c r="W259" t="s">
        <v>6</v>
      </c>
      <c r="X259" t="s">
        <v>155</v>
      </c>
      <c r="Y259" t="s">
        <v>155</v>
      </c>
      <c r="AC259" t="s">
        <v>170</v>
      </c>
      <c r="AD259" t="s">
        <v>6</v>
      </c>
      <c r="AE259" t="s">
        <v>155</v>
      </c>
      <c r="AF259" t="s">
        <v>6</v>
      </c>
      <c r="AG259" t="s">
        <v>155</v>
      </c>
      <c r="AH259" t="s">
        <v>155</v>
      </c>
    </row>
    <row r="260" spans="19:34" ht="16.2" customHeight="1" x14ac:dyDescent="0.3">
      <c r="T260" t="s">
        <v>171</v>
      </c>
      <c r="U260" t="s">
        <v>6</v>
      </c>
      <c r="V260" t="s">
        <v>155</v>
      </c>
      <c r="W260" t="s">
        <v>6</v>
      </c>
      <c r="X260" t="s">
        <v>155</v>
      </c>
      <c r="Y260" t="s">
        <v>155</v>
      </c>
      <c r="AC260" t="s">
        <v>171</v>
      </c>
      <c r="AD260" t="s">
        <v>6</v>
      </c>
      <c r="AE260" t="s">
        <v>155</v>
      </c>
      <c r="AF260" t="s">
        <v>7</v>
      </c>
      <c r="AG260" t="s">
        <v>155</v>
      </c>
      <c r="AH260" t="s">
        <v>155</v>
      </c>
    </row>
    <row r="261" spans="19:34" ht="16.2" customHeight="1" x14ac:dyDescent="0.3">
      <c r="T261" t="s">
        <v>172</v>
      </c>
      <c r="U261" t="s">
        <v>6</v>
      </c>
      <c r="V261" t="s">
        <v>155</v>
      </c>
      <c r="W261" t="s">
        <v>155</v>
      </c>
      <c r="X261" t="s">
        <v>155</v>
      </c>
      <c r="Y261" t="s">
        <v>155</v>
      </c>
      <c r="AC261" t="s">
        <v>172</v>
      </c>
      <c r="AD261" t="s">
        <v>155</v>
      </c>
      <c r="AE261" t="s">
        <v>155</v>
      </c>
      <c r="AF261" t="s">
        <v>7</v>
      </c>
      <c r="AG261" t="s">
        <v>155</v>
      </c>
      <c r="AH261" t="s">
        <v>155</v>
      </c>
    </row>
    <row r="263" spans="19:34" ht="16.2" customHeight="1" x14ac:dyDescent="0.3">
      <c r="S263" s="15" t="s">
        <v>119</v>
      </c>
      <c r="T263" t="s">
        <v>197</v>
      </c>
      <c r="AB263" s="15" t="s">
        <v>119</v>
      </c>
      <c r="AC263" t="s">
        <v>197</v>
      </c>
    </row>
    <row r="264" spans="19:34" ht="16.2" customHeight="1" x14ac:dyDescent="0.3">
      <c r="U264" t="s">
        <v>164</v>
      </c>
      <c r="V264" t="s">
        <v>165</v>
      </c>
      <c r="W264" t="s">
        <v>166</v>
      </c>
      <c r="X264" t="s">
        <v>167</v>
      </c>
      <c r="Y264" t="s">
        <v>168</v>
      </c>
      <c r="AD264" t="s">
        <v>164</v>
      </c>
      <c r="AE264" t="s">
        <v>165</v>
      </c>
      <c r="AF264" t="s">
        <v>166</v>
      </c>
      <c r="AG264" t="s">
        <v>167</v>
      </c>
      <c r="AH264" t="s">
        <v>168</v>
      </c>
    </row>
    <row r="265" spans="19:34" ht="16.2" customHeight="1" x14ac:dyDescent="0.3">
      <c r="T265" t="s">
        <v>154</v>
      </c>
      <c r="U265" t="s">
        <v>155</v>
      </c>
      <c r="V265" t="s">
        <v>155</v>
      </c>
      <c r="W265" t="s">
        <v>155</v>
      </c>
      <c r="X265" t="s">
        <v>155</v>
      </c>
      <c r="Y265" t="s">
        <v>155</v>
      </c>
      <c r="AC265" t="s">
        <v>154</v>
      </c>
      <c r="AD265" t="s">
        <v>155</v>
      </c>
      <c r="AE265" t="s">
        <v>155</v>
      </c>
      <c r="AF265" t="s">
        <v>155</v>
      </c>
      <c r="AG265" t="s">
        <v>155</v>
      </c>
      <c r="AH265" t="s">
        <v>155</v>
      </c>
    </row>
    <row r="266" spans="19:34" ht="16.2" customHeight="1" x14ac:dyDescent="0.3">
      <c r="T266" t="s">
        <v>156</v>
      </c>
      <c r="U266" t="s">
        <v>155</v>
      </c>
      <c r="V266" t="s">
        <v>155</v>
      </c>
      <c r="W266" t="s">
        <v>155</v>
      </c>
      <c r="X266" t="s">
        <v>155</v>
      </c>
      <c r="Y266" t="s">
        <v>155</v>
      </c>
      <c r="AC266" t="s">
        <v>156</v>
      </c>
      <c r="AD266" t="s">
        <v>155</v>
      </c>
      <c r="AE266" t="s">
        <v>155</v>
      </c>
      <c r="AF266" t="s">
        <v>155</v>
      </c>
      <c r="AG266" t="s">
        <v>155</v>
      </c>
      <c r="AH266" t="s">
        <v>155</v>
      </c>
    </row>
    <row r="267" spans="19:34" ht="16.2" customHeight="1" x14ac:dyDescent="0.3">
      <c r="T267" t="s">
        <v>157</v>
      </c>
      <c r="U267" t="s">
        <v>155</v>
      </c>
      <c r="V267" t="s">
        <v>155</v>
      </c>
      <c r="W267" t="s">
        <v>155</v>
      </c>
      <c r="X267" t="s">
        <v>155</v>
      </c>
      <c r="Y267" t="s">
        <v>155</v>
      </c>
      <c r="AC267" t="s">
        <v>157</v>
      </c>
      <c r="AD267" t="s">
        <v>155</v>
      </c>
      <c r="AE267" t="s">
        <v>155</v>
      </c>
      <c r="AF267" t="s">
        <v>155</v>
      </c>
      <c r="AG267" t="s">
        <v>155</v>
      </c>
      <c r="AH267" t="s">
        <v>155</v>
      </c>
    </row>
    <row r="268" spans="19:34" ht="16.2" customHeight="1" x14ac:dyDescent="0.3">
      <c r="T268" t="s">
        <v>158</v>
      </c>
      <c r="U268" t="s">
        <v>155</v>
      </c>
      <c r="V268" t="s">
        <v>155</v>
      </c>
      <c r="W268" t="s">
        <v>155</v>
      </c>
      <c r="X268" t="s">
        <v>76</v>
      </c>
      <c r="Y268" t="s">
        <v>155</v>
      </c>
      <c r="AC268" t="s">
        <v>158</v>
      </c>
      <c r="AD268" t="s">
        <v>155</v>
      </c>
      <c r="AE268" t="s">
        <v>155</v>
      </c>
      <c r="AF268" t="s">
        <v>155</v>
      </c>
      <c r="AG268" t="s">
        <v>76</v>
      </c>
      <c r="AH268" t="s">
        <v>155</v>
      </c>
    </row>
    <row r="269" spans="19:34" ht="16.2" customHeight="1" x14ac:dyDescent="0.3">
      <c r="T269" t="s">
        <v>159</v>
      </c>
      <c r="U269" t="s">
        <v>155</v>
      </c>
      <c r="V269" t="s">
        <v>155</v>
      </c>
      <c r="W269" t="s">
        <v>155</v>
      </c>
      <c r="X269" t="s">
        <v>76</v>
      </c>
      <c r="Y269" t="s">
        <v>76</v>
      </c>
      <c r="AC269" t="s">
        <v>159</v>
      </c>
      <c r="AD269" t="s">
        <v>155</v>
      </c>
      <c r="AE269" t="s">
        <v>155</v>
      </c>
      <c r="AF269" t="s">
        <v>76</v>
      </c>
      <c r="AG269" t="s">
        <v>76</v>
      </c>
      <c r="AH269" t="s">
        <v>155</v>
      </c>
    </row>
    <row r="270" spans="19:34" ht="16.2" customHeight="1" x14ac:dyDescent="0.3">
      <c r="T270" t="s">
        <v>160</v>
      </c>
      <c r="U270" t="s">
        <v>155</v>
      </c>
      <c r="V270" t="s">
        <v>155</v>
      </c>
      <c r="W270" t="s">
        <v>155</v>
      </c>
      <c r="X270" t="s">
        <v>76</v>
      </c>
      <c r="Y270" t="s">
        <v>76</v>
      </c>
      <c r="AC270" t="s">
        <v>160</v>
      </c>
      <c r="AD270" t="s">
        <v>155</v>
      </c>
      <c r="AE270" t="s">
        <v>155</v>
      </c>
      <c r="AF270" t="s">
        <v>76</v>
      </c>
      <c r="AG270" t="s">
        <v>76</v>
      </c>
      <c r="AH270" t="s">
        <v>155</v>
      </c>
    </row>
    <row r="271" spans="19:34" ht="16.2" customHeight="1" x14ac:dyDescent="0.3">
      <c r="T271" t="s">
        <v>169</v>
      </c>
      <c r="U271" t="s">
        <v>155</v>
      </c>
      <c r="V271" t="s">
        <v>155</v>
      </c>
      <c r="W271" t="s">
        <v>155</v>
      </c>
      <c r="X271" t="s">
        <v>155</v>
      </c>
      <c r="Y271" t="s">
        <v>155</v>
      </c>
      <c r="AC271" t="s">
        <v>169</v>
      </c>
      <c r="AD271" t="s">
        <v>155</v>
      </c>
      <c r="AE271" t="s">
        <v>155</v>
      </c>
      <c r="AF271" t="s">
        <v>155</v>
      </c>
      <c r="AG271" t="s">
        <v>155</v>
      </c>
      <c r="AH271" t="s">
        <v>155</v>
      </c>
    </row>
    <row r="272" spans="19:34" ht="16.2" customHeight="1" x14ac:dyDescent="0.3">
      <c r="T272" t="s">
        <v>170</v>
      </c>
      <c r="U272" t="s">
        <v>155</v>
      </c>
      <c r="V272" t="s">
        <v>155</v>
      </c>
      <c r="W272" t="s">
        <v>155</v>
      </c>
      <c r="X272" t="s">
        <v>155</v>
      </c>
      <c r="Y272" t="s">
        <v>155</v>
      </c>
      <c r="AC272" t="s">
        <v>170</v>
      </c>
      <c r="AD272" t="s">
        <v>155</v>
      </c>
      <c r="AE272" t="s">
        <v>155</v>
      </c>
      <c r="AF272" t="s">
        <v>155</v>
      </c>
      <c r="AG272" t="s">
        <v>155</v>
      </c>
      <c r="AH272" t="s">
        <v>155</v>
      </c>
    </row>
    <row r="273" spans="19:34" ht="16.2" customHeight="1" x14ac:dyDescent="0.3">
      <c r="T273" t="s">
        <v>171</v>
      </c>
      <c r="U273" t="s">
        <v>155</v>
      </c>
      <c r="V273" t="s">
        <v>155</v>
      </c>
      <c r="W273" t="s">
        <v>155</v>
      </c>
      <c r="X273" t="s">
        <v>155</v>
      </c>
      <c r="Y273" t="s">
        <v>155</v>
      </c>
      <c r="AC273" t="s">
        <v>171</v>
      </c>
      <c r="AD273" t="s">
        <v>155</v>
      </c>
      <c r="AE273" t="s">
        <v>155</v>
      </c>
      <c r="AF273" t="s">
        <v>155</v>
      </c>
      <c r="AG273" t="s">
        <v>155</v>
      </c>
      <c r="AH273" t="s">
        <v>155</v>
      </c>
    </row>
    <row r="274" spans="19:34" ht="16.2" customHeight="1" x14ac:dyDescent="0.3">
      <c r="T274" t="s">
        <v>172</v>
      </c>
      <c r="U274" t="s">
        <v>155</v>
      </c>
      <c r="V274" t="s">
        <v>155</v>
      </c>
      <c r="W274" t="s">
        <v>155</v>
      </c>
      <c r="X274" t="s">
        <v>155</v>
      </c>
      <c r="Y274" t="s">
        <v>155</v>
      </c>
      <c r="AC274" t="s">
        <v>172</v>
      </c>
      <c r="AD274" t="s">
        <v>155</v>
      </c>
      <c r="AE274" t="s">
        <v>155</v>
      </c>
      <c r="AF274" t="s">
        <v>155</v>
      </c>
      <c r="AG274" t="s">
        <v>155</v>
      </c>
      <c r="AH274" t="s">
        <v>155</v>
      </c>
    </row>
    <row r="276" spans="19:34" ht="16.2" customHeight="1" x14ac:dyDescent="0.3">
      <c r="S276" s="15" t="s">
        <v>120</v>
      </c>
      <c r="T276" t="s">
        <v>198</v>
      </c>
      <c r="AB276" s="15" t="s">
        <v>120</v>
      </c>
      <c r="AC276" t="s">
        <v>198</v>
      </c>
    </row>
    <row r="277" spans="19:34" ht="16.2" customHeight="1" x14ac:dyDescent="0.3">
      <c r="U277" t="s">
        <v>164</v>
      </c>
      <c r="V277" t="s">
        <v>165</v>
      </c>
      <c r="W277" t="s">
        <v>166</v>
      </c>
      <c r="X277" t="s">
        <v>167</v>
      </c>
      <c r="Y277" t="s">
        <v>168</v>
      </c>
      <c r="AD277" t="s">
        <v>164</v>
      </c>
      <c r="AE277" t="s">
        <v>165</v>
      </c>
      <c r="AF277" t="s">
        <v>166</v>
      </c>
      <c r="AG277" t="s">
        <v>167</v>
      </c>
      <c r="AH277" t="s">
        <v>168</v>
      </c>
    </row>
    <row r="278" spans="19:34" ht="16.2" customHeight="1" x14ac:dyDescent="0.3">
      <c r="T278" t="s">
        <v>154</v>
      </c>
      <c r="U278" t="s">
        <v>155</v>
      </c>
      <c r="V278" t="s">
        <v>155</v>
      </c>
      <c r="W278" t="s">
        <v>155</v>
      </c>
      <c r="X278" t="s">
        <v>155</v>
      </c>
      <c r="Y278" t="s">
        <v>155</v>
      </c>
      <c r="AC278" t="s">
        <v>154</v>
      </c>
      <c r="AD278" t="s">
        <v>155</v>
      </c>
      <c r="AE278" t="s">
        <v>155</v>
      </c>
      <c r="AF278" t="s">
        <v>155</v>
      </c>
      <c r="AG278" t="s">
        <v>155</v>
      </c>
      <c r="AH278" t="s">
        <v>155</v>
      </c>
    </row>
    <row r="279" spans="19:34" ht="16.2" customHeight="1" x14ac:dyDescent="0.3">
      <c r="T279" t="s">
        <v>156</v>
      </c>
      <c r="U279" t="s">
        <v>155</v>
      </c>
      <c r="V279" t="s">
        <v>155</v>
      </c>
      <c r="W279" t="s">
        <v>155</v>
      </c>
      <c r="X279" t="s">
        <v>155</v>
      </c>
      <c r="Y279" t="s">
        <v>155</v>
      </c>
      <c r="AC279" t="s">
        <v>156</v>
      </c>
      <c r="AD279" t="s">
        <v>155</v>
      </c>
      <c r="AE279" t="s">
        <v>155</v>
      </c>
      <c r="AF279" t="s">
        <v>155</v>
      </c>
      <c r="AG279" t="s">
        <v>155</v>
      </c>
      <c r="AH279" t="s">
        <v>155</v>
      </c>
    </row>
    <row r="280" spans="19:34" ht="16.2" customHeight="1" x14ac:dyDescent="0.3">
      <c r="T280" t="s">
        <v>157</v>
      </c>
      <c r="U280" t="s">
        <v>155</v>
      </c>
      <c r="V280" t="s">
        <v>155</v>
      </c>
      <c r="W280" t="s">
        <v>155</v>
      </c>
      <c r="X280" t="s">
        <v>155</v>
      </c>
      <c r="Y280" t="s">
        <v>155</v>
      </c>
      <c r="AC280" t="s">
        <v>157</v>
      </c>
      <c r="AD280" t="s">
        <v>155</v>
      </c>
      <c r="AE280" t="s">
        <v>155</v>
      </c>
      <c r="AF280" t="s">
        <v>155</v>
      </c>
      <c r="AG280" t="s">
        <v>155</v>
      </c>
      <c r="AH280" t="s">
        <v>155</v>
      </c>
    </row>
    <row r="281" spans="19:34" ht="16.2" customHeight="1" x14ac:dyDescent="0.3">
      <c r="T281" t="s">
        <v>158</v>
      </c>
      <c r="U281" t="s">
        <v>155</v>
      </c>
      <c r="V281" t="s">
        <v>155</v>
      </c>
      <c r="W281" t="s">
        <v>155</v>
      </c>
      <c r="X281" t="s">
        <v>78</v>
      </c>
      <c r="Y281" t="s">
        <v>155</v>
      </c>
      <c r="AC281" t="s">
        <v>158</v>
      </c>
      <c r="AD281" t="s">
        <v>155</v>
      </c>
      <c r="AE281" t="s">
        <v>155</v>
      </c>
      <c r="AF281" t="s">
        <v>155</v>
      </c>
      <c r="AG281" t="s">
        <v>78</v>
      </c>
      <c r="AH281" t="s">
        <v>155</v>
      </c>
    </row>
    <row r="282" spans="19:34" ht="16.2" customHeight="1" x14ac:dyDescent="0.3">
      <c r="T282" t="s">
        <v>159</v>
      </c>
      <c r="U282" t="s">
        <v>155</v>
      </c>
      <c r="V282" t="s">
        <v>78</v>
      </c>
      <c r="W282" t="s">
        <v>155</v>
      </c>
      <c r="X282" t="s">
        <v>78</v>
      </c>
      <c r="Y282" t="s">
        <v>155</v>
      </c>
      <c r="AC282" t="s">
        <v>159</v>
      </c>
      <c r="AD282" t="s">
        <v>155</v>
      </c>
      <c r="AE282" t="s">
        <v>78</v>
      </c>
      <c r="AF282" t="s">
        <v>155</v>
      </c>
      <c r="AG282" t="s">
        <v>78</v>
      </c>
      <c r="AH282" t="s">
        <v>155</v>
      </c>
    </row>
    <row r="283" spans="19:34" ht="16.2" customHeight="1" x14ac:dyDescent="0.3">
      <c r="T283" t="s">
        <v>160</v>
      </c>
      <c r="U283" t="s">
        <v>155</v>
      </c>
      <c r="V283" t="s">
        <v>78</v>
      </c>
      <c r="W283" t="s">
        <v>155</v>
      </c>
      <c r="X283" t="s">
        <v>155</v>
      </c>
      <c r="Y283" t="s">
        <v>155</v>
      </c>
      <c r="AC283" t="s">
        <v>160</v>
      </c>
      <c r="AD283" t="s">
        <v>155</v>
      </c>
      <c r="AE283" t="s">
        <v>78</v>
      </c>
      <c r="AF283" t="s">
        <v>155</v>
      </c>
      <c r="AG283" t="s">
        <v>155</v>
      </c>
      <c r="AH283" t="s">
        <v>155</v>
      </c>
    </row>
    <row r="284" spans="19:34" ht="16.2" customHeight="1" x14ac:dyDescent="0.3">
      <c r="T284" t="s">
        <v>169</v>
      </c>
      <c r="U284" t="s">
        <v>155</v>
      </c>
      <c r="V284" t="s">
        <v>155</v>
      </c>
      <c r="W284" t="s">
        <v>155</v>
      </c>
      <c r="X284" t="s">
        <v>155</v>
      </c>
      <c r="Y284" t="s">
        <v>155</v>
      </c>
      <c r="AC284" t="s">
        <v>169</v>
      </c>
      <c r="AD284" t="s">
        <v>155</v>
      </c>
      <c r="AE284" t="s">
        <v>155</v>
      </c>
      <c r="AF284" t="s">
        <v>155</v>
      </c>
      <c r="AG284" t="s">
        <v>155</v>
      </c>
      <c r="AH284" t="s">
        <v>155</v>
      </c>
    </row>
    <row r="285" spans="19:34" ht="16.2" customHeight="1" x14ac:dyDescent="0.3">
      <c r="T285" t="s">
        <v>170</v>
      </c>
      <c r="U285" t="s">
        <v>155</v>
      </c>
      <c r="V285" t="s">
        <v>155</v>
      </c>
      <c r="W285" t="s">
        <v>155</v>
      </c>
      <c r="X285" t="s">
        <v>155</v>
      </c>
      <c r="Y285" t="s">
        <v>155</v>
      </c>
      <c r="AC285" t="s">
        <v>170</v>
      </c>
      <c r="AD285" t="s">
        <v>155</v>
      </c>
      <c r="AE285" t="s">
        <v>155</v>
      </c>
      <c r="AF285" t="s">
        <v>155</v>
      </c>
      <c r="AG285" t="s">
        <v>155</v>
      </c>
      <c r="AH285" t="s">
        <v>155</v>
      </c>
    </row>
    <row r="286" spans="19:34" ht="16.2" customHeight="1" x14ac:dyDescent="0.3">
      <c r="T286" t="s">
        <v>171</v>
      </c>
      <c r="U286" t="s">
        <v>155</v>
      </c>
      <c r="V286" t="s">
        <v>155</v>
      </c>
      <c r="W286" t="s">
        <v>155</v>
      </c>
      <c r="X286" t="s">
        <v>155</v>
      </c>
      <c r="Y286" t="s">
        <v>155</v>
      </c>
      <c r="AC286" t="s">
        <v>171</v>
      </c>
      <c r="AD286" t="s">
        <v>155</v>
      </c>
      <c r="AE286" t="s">
        <v>155</v>
      </c>
      <c r="AF286" t="s">
        <v>155</v>
      </c>
      <c r="AG286" t="s">
        <v>155</v>
      </c>
      <c r="AH286" t="s">
        <v>155</v>
      </c>
    </row>
    <row r="287" spans="19:34" ht="16.2" customHeight="1" x14ac:dyDescent="0.3">
      <c r="T287" t="s">
        <v>172</v>
      </c>
      <c r="U287" t="s">
        <v>155</v>
      </c>
      <c r="V287" t="s">
        <v>155</v>
      </c>
      <c r="W287" t="s">
        <v>155</v>
      </c>
      <c r="X287" t="s">
        <v>155</v>
      </c>
      <c r="Y287" t="s">
        <v>155</v>
      </c>
      <c r="AC287" t="s">
        <v>172</v>
      </c>
      <c r="AD287" t="s">
        <v>155</v>
      </c>
      <c r="AE287" t="s">
        <v>155</v>
      </c>
      <c r="AF287" t="s">
        <v>155</v>
      </c>
      <c r="AG287" t="s">
        <v>155</v>
      </c>
      <c r="AH287" t="s">
        <v>155</v>
      </c>
    </row>
    <row r="289" spans="19:34" ht="16.2" customHeight="1" x14ac:dyDescent="0.3">
      <c r="S289" s="15" t="s">
        <v>121</v>
      </c>
      <c r="T289" t="s">
        <v>199</v>
      </c>
      <c r="AB289" s="15" t="s">
        <v>121</v>
      </c>
      <c r="AC289" t="s">
        <v>199</v>
      </c>
    </row>
    <row r="290" spans="19:34" ht="16.2" customHeight="1" x14ac:dyDescent="0.3">
      <c r="U290" t="s">
        <v>164</v>
      </c>
      <c r="V290" t="s">
        <v>165</v>
      </c>
      <c r="W290" t="s">
        <v>166</v>
      </c>
      <c r="X290" t="s">
        <v>167</v>
      </c>
      <c r="Y290" t="s">
        <v>168</v>
      </c>
      <c r="AD290" t="s">
        <v>164</v>
      </c>
      <c r="AE290" t="s">
        <v>165</v>
      </c>
      <c r="AF290" t="s">
        <v>166</v>
      </c>
      <c r="AG290" t="s">
        <v>167</v>
      </c>
      <c r="AH290" t="s">
        <v>168</v>
      </c>
    </row>
    <row r="291" spans="19:34" ht="16.2" customHeight="1" x14ac:dyDescent="0.3">
      <c r="T291" t="s">
        <v>154</v>
      </c>
      <c r="U291" t="s">
        <v>78</v>
      </c>
      <c r="V291" t="s">
        <v>155</v>
      </c>
      <c r="W291" t="s">
        <v>155</v>
      </c>
      <c r="X291" t="s">
        <v>155</v>
      </c>
      <c r="Y291" t="s">
        <v>78</v>
      </c>
      <c r="AC291" t="s">
        <v>154</v>
      </c>
      <c r="AD291" t="s">
        <v>78</v>
      </c>
      <c r="AE291" t="s">
        <v>155</v>
      </c>
      <c r="AF291" t="s">
        <v>155</v>
      </c>
      <c r="AG291" t="s">
        <v>155</v>
      </c>
      <c r="AH291" t="s">
        <v>78</v>
      </c>
    </row>
    <row r="292" spans="19:34" ht="16.2" customHeight="1" x14ac:dyDescent="0.3">
      <c r="T292" t="s">
        <v>156</v>
      </c>
      <c r="U292" t="s">
        <v>78</v>
      </c>
      <c r="V292" t="s">
        <v>155</v>
      </c>
      <c r="W292" t="s">
        <v>155</v>
      </c>
      <c r="X292" t="s">
        <v>155</v>
      </c>
      <c r="Y292" t="s">
        <v>78</v>
      </c>
      <c r="AC292" t="s">
        <v>156</v>
      </c>
      <c r="AD292" t="s">
        <v>78</v>
      </c>
      <c r="AE292" t="s">
        <v>155</v>
      </c>
      <c r="AF292" t="s">
        <v>155</v>
      </c>
      <c r="AG292" t="s">
        <v>155</v>
      </c>
      <c r="AH292" t="s">
        <v>78</v>
      </c>
    </row>
    <row r="293" spans="19:34" ht="16.2" customHeight="1" x14ac:dyDescent="0.3">
      <c r="T293" t="s">
        <v>157</v>
      </c>
      <c r="U293" t="s">
        <v>155</v>
      </c>
      <c r="V293" t="s">
        <v>155</v>
      </c>
      <c r="W293" t="s">
        <v>155</v>
      </c>
      <c r="X293" t="s">
        <v>155</v>
      </c>
      <c r="Y293" t="s">
        <v>155</v>
      </c>
      <c r="AC293" t="s">
        <v>157</v>
      </c>
      <c r="AD293" t="s">
        <v>155</v>
      </c>
      <c r="AE293" t="s">
        <v>155</v>
      </c>
      <c r="AF293" t="s">
        <v>155</v>
      </c>
      <c r="AG293" t="s">
        <v>155</v>
      </c>
      <c r="AH293" t="s">
        <v>155</v>
      </c>
    </row>
    <row r="294" spans="19:34" ht="16.2" customHeight="1" x14ac:dyDescent="0.3">
      <c r="T294" t="s">
        <v>158</v>
      </c>
      <c r="U294" t="s">
        <v>155</v>
      </c>
      <c r="V294" t="s">
        <v>155</v>
      </c>
      <c r="W294" t="s">
        <v>155</v>
      </c>
      <c r="X294" t="s">
        <v>155</v>
      </c>
      <c r="Y294" t="s">
        <v>155</v>
      </c>
      <c r="AC294" t="s">
        <v>158</v>
      </c>
      <c r="AD294" t="s">
        <v>155</v>
      </c>
      <c r="AE294" t="s">
        <v>155</v>
      </c>
      <c r="AF294" t="s">
        <v>155</v>
      </c>
      <c r="AG294" t="s">
        <v>155</v>
      </c>
      <c r="AH294" t="s">
        <v>155</v>
      </c>
    </row>
    <row r="295" spans="19:34" ht="16.2" customHeight="1" x14ac:dyDescent="0.3">
      <c r="T295" t="s">
        <v>159</v>
      </c>
      <c r="U295" t="s">
        <v>155</v>
      </c>
      <c r="V295" t="s">
        <v>155</v>
      </c>
      <c r="W295" t="s">
        <v>155</v>
      </c>
      <c r="X295" t="s">
        <v>155</v>
      </c>
      <c r="Y295" t="s">
        <v>155</v>
      </c>
      <c r="AC295" t="s">
        <v>159</v>
      </c>
      <c r="AD295" t="s">
        <v>155</v>
      </c>
      <c r="AE295" t="s">
        <v>155</v>
      </c>
      <c r="AF295" t="s">
        <v>155</v>
      </c>
      <c r="AG295" t="s">
        <v>155</v>
      </c>
      <c r="AH295" t="s">
        <v>155</v>
      </c>
    </row>
    <row r="296" spans="19:34" ht="16.2" customHeight="1" x14ac:dyDescent="0.3">
      <c r="T296" t="s">
        <v>160</v>
      </c>
      <c r="U296" t="s">
        <v>155</v>
      </c>
      <c r="V296" t="s">
        <v>155</v>
      </c>
      <c r="W296" t="s">
        <v>155</v>
      </c>
      <c r="X296" t="s">
        <v>155</v>
      </c>
      <c r="Y296" t="s">
        <v>155</v>
      </c>
      <c r="AC296" t="s">
        <v>160</v>
      </c>
      <c r="AD296" t="s">
        <v>155</v>
      </c>
      <c r="AE296" t="s">
        <v>155</v>
      </c>
      <c r="AF296" t="s">
        <v>155</v>
      </c>
      <c r="AG296" t="s">
        <v>155</v>
      </c>
      <c r="AH296" t="s">
        <v>155</v>
      </c>
    </row>
    <row r="297" spans="19:34" ht="16.2" customHeight="1" x14ac:dyDescent="0.3">
      <c r="T297" t="s">
        <v>169</v>
      </c>
      <c r="U297" t="s">
        <v>155</v>
      </c>
      <c r="V297" t="s">
        <v>155</v>
      </c>
      <c r="W297" t="s">
        <v>155</v>
      </c>
      <c r="X297" t="s">
        <v>155</v>
      </c>
      <c r="Y297" t="s">
        <v>155</v>
      </c>
      <c r="AC297" t="s">
        <v>169</v>
      </c>
      <c r="AD297" t="s">
        <v>155</v>
      </c>
      <c r="AE297" t="s">
        <v>155</v>
      </c>
      <c r="AF297" t="s">
        <v>155</v>
      </c>
      <c r="AG297" t="s">
        <v>155</v>
      </c>
      <c r="AH297" t="s">
        <v>155</v>
      </c>
    </row>
    <row r="298" spans="19:34" ht="16.2" customHeight="1" x14ac:dyDescent="0.3">
      <c r="T298" t="s">
        <v>170</v>
      </c>
      <c r="U298" t="s">
        <v>155</v>
      </c>
      <c r="V298" t="s">
        <v>155</v>
      </c>
      <c r="W298" t="s">
        <v>155</v>
      </c>
      <c r="X298" t="s">
        <v>155</v>
      </c>
      <c r="Y298" t="s">
        <v>155</v>
      </c>
      <c r="AC298" t="s">
        <v>170</v>
      </c>
      <c r="AD298" t="s">
        <v>155</v>
      </c>
      <c r="AE298" t="s">
        <v>155</v>
      </c>
      <c r="AF298" t="s">
        <v>155</v>
      </c>
      <c r="AG298" t="s">
        <v>155</v>
      </c>
      <c r="AH298" t="s">
        <v>155</v>
      </c>
    </row>
    <row r="299" spans="19:34" ht="16.2" customHeight="1" x14ac:dyDescent="0.3">
      <c r="T299" t="s">
        <v>171</v>
      </c>
      <c r="U299" t="s">
        <v>155</v>
      </c>
      <c r="V299" t="s">
        <v>155</v>
      </c>
      <c r="W299" t="s">
        <v>155</v>
      </c>
      <c r="X299" t="s">
        <v>155</v>
      </c>
      <c r="Y299" t="s">
        <v>155</v>
      </c>
      <c r="AC299" t="s">
        <v>171</v>
      </c>
      <c r="AD299" t="s">
        <v>155</v>
      </c>
      <c r="AE299" t="s">
        <v>155</v>
      </c>
      <c r="AF299" t="s">
        <v>155</v>
      </c>
      <c r="AG299" t="s">
        <v>155</v>
      </c>
      <c r="AH299" t="s">
        <v>155</v>
      </c>
    </row>
    <row r="300" spans="19:34" ht="16.2" customHeight="1" x14ac:dyDescent="0.3">
      <c r="T300" t="s">
        <v>172</v>
      </c>
      <c r="U300" t="s">
        <v>155</v>
      </c>
      <c r="V300" t="s">
        <v>155</v>
      </c>
      <c r="W300" t="s">
        <v>155</v>
      </c>
      <c r="X300" t="s">
        <v>155</v>
      </c>
      <c r="Y300" t="s">
        <v>155</v>
      </c>
      <c r="AC300" t="s">
        <v>172</v>
      </c>
      <c r="AD300" t="s">
        <v>155</v>
      </c>
      <c r="AE300" t="s">
        <v>155</v>
      </c>
      <c r="AF300" t="s">
        <v>155</v>
      </c>
      <c r="AG300" t="s">
        <v>155</v>
      </c>
      <c r="AH300" t="s">
        <v>155</v>
      </c>
    </row>
    <row r="302" spans="19:34" ht="16.2" customHeight="1" x14ac:dyDescent="0.3">
      <c r="S302" s="15" t="s">
        <v>122</v>
      </c>
      <c r="T302" t="s">
        <v>200</v>
      </c>
      <c r="AB302" s="15" t="s">
        <v>122</v>
      </c>
      <c r="AC302" t="s">
        <v>200</v>
      </c>
    </row>
    <row r="303" spans="19:34" ht="16.2" customHeight="1" x14ac:dyDescent="0.3">
      <c r="U303" t="s">
        <v>164</v>
      </c>
      <c r="V303" t="s">
        <v>165</v>
      </c>
      <c r="W303" t="s">
        <v>166</v>
      </c>
      <c r="X303" t="s">
        <v>167</v>
      </c>
      <c r="Y303" t="s">
        <v>168</v>
      </c>
      <c r="AD303" t="s">
        <v>164</v>
      </c>
      <c r="AE303" t="s">
        <v>165</v>
      </c>
      <c r="AF303" t="s">
        <v>166</v>
      </c>
      <c r="AG303" t="s">
        <v>167</v>
      </c>
      <c r="AH303" t="s">
        <v>168</v>
      </c>
    </row>
    <row r="304" spans="19:34" ht="16.2" customHeight="1" x14ac:dyDescent="0.3">
      <c r="T304" t="s">
        <v>154</v>
      </c>
      <c r="U304" t="s">
        <v>155</v>
      </c>
      <c r="V304" t="s">
        <v>79</v>
      </c>
      <c r="W304" t="s">
        <v>79</v>
      </c>
      <c r="X304" t="s">
        <v>79</v>
      </c>
      <c r="Y304" t="s">
        <v>79</v>
      </c>
      <c r="AC304" t="s">
        <v>154</v>
      </c>
      <c r="AD304" t="s">
        <v>155</v>
      </c>
      <c r="AE304" t="s">
        <v>79</v>
      </c>
      <c r="AF304" t="s">
        <v>79</v>
      </c>
      <c r="AG304" t="s">
        <v>79</v>
      </c>
      <c r="AH304" t="s">
        <v>79</v>
      </c>
    </row>
    <row r="305" spans="19:34" ht="16.2" customHeight="1" x14ac:dyDescent="0.3">
      <c r="T305" t="s">
        <v>156</v>
      </c>
      <c r="U305" t="s">
        <v>155</v>
      </c>
      <c r="V305" t="s">
        <v>79</v>
      </c>
      <c r="W305" t="s">
        <v>79</v>
      </c>
      <c r="X305" t="s">
        <v>79</v>
      </c>
      <c r="Y305" t="s">
        <v>79</v>
      </c>
      <c r="AC305" t="s">
        <v>156</v>
      </c>
      <c r="AD305" t="s">
        <v>155</v>
      </c>
      <c r="AE305" t="s">
        <v>79</v>
      </c>
      <c r="AF305" t="s">
        <v>79</v>
      </c>
      <c r="AG305" t="s">
        <v>79</v>
      </c>
      <c r="AH305" t="s">
        <v>79</v>
      </c>
    </row>
    <row r="306" spans="19:34" ht="16.2" customHeight="1" x14ac:dyDescent="0.3">
      <c r="T306" t="s">
        <v>157</v>
      </c>
      <c r="U306" t="s">
        <v>155</v>
      </c>
      <c r="V306" t="s">
        <v>155</v>
      </c>
      <c r="W306" t="s">
        <v>79</v>
      </c>
      <c r="X306" t="s">
        <v>79</v>
      </c>
      <c r="Y306" t="s">
        <v>155</v>
      </c>
      <c r="AC306" t="s">
        <v>157</v>
      </c>
      <c r="AD306" t="s">
        <v>155</v>
      </c>
      <c r="AE306" t="s">
        <v>155</v>
      </c>
      <c r="AF306" t="s">
        <v>79</v>
      </c>
      <c r="AG306" t="s">
        <v>79</v>
      </c>
      <c r="AH306" t="s">
        <v>155</v>
      </c>
    </row>
    <row r="307" spans="19:34" ht="16.2" customHeight="1" x14ac:dyDescent="0.3">
      <c r="T307" t="s">
        <v>158</v>
      </c>
      <c r="U307" t="s">
        <v>155</v>
      </c>
      <c r="V307" t="s">
        <v>155</v>
      </c>
      <c r="W307" t="s">
        <v>155</v>
      </c>
      <c r="X307" t="s">
        <v>155</v>
      </c>
      <c r="Y307" t="s">
        <v>155</v>
      </c>
      <c r="AC307" t="s">
        <v>158</v>
      </c>
      <c r="AD307" t="s">
        <v>155</v>
      </c>
      <c r="AE307" t="s">
        <v>155</v>
      </c>
      <c r="AF307" t="s">
        <v>155</v>
      </c>
      <c r="AG307" t="s">
        <v>155</v>
      </c>
      <c r="AH307" t="s">
        <v>155</v>
      </c>
    </row>
    <row r="308" spans="19:34" ht="16.2" customHeight="1" x14ac:dyDescent="0.3">
      <c r="T308" t="s">
        <v>159</v>
      </c>
      <c r="U308" t="s">
        <v>155</v>
      </c>
      <c r="V308" t="s">
        <v>155</v>
      </c>
      <c r="W308" t="s">
        <v>155</v>
      </c>
      <c r="X308" t="s">
        <v>155</v>
      </c>
      <c r="Y308" t="s">
        <v>155</v>
      </c>
      <c r="AC308" t="s">
        <v>159</v>
      </c>
      <c r="AD308" t="s">
        <v>155</v>
      </c>
      <c r="AE308" t="s">
        <v>155</v>
      </c>
      <c r="AF308" t="s">
        <v>155</v>
      </c>
      <c r="AG308" t="s">
        <v>155</v>
      </c>
      <c r="AH308" t="s">
        <v>155</v>
      </c>
    </row>
    <row r="309" spans="19:34" ht="16.2" customHeight="1" x14ac:dyDescent="0.3">
      <c r="T309" t="s">
        <v>160</v>
      </c>
      <c r="U309" t="s">
        <v>155</v>
      </c>
      <c r="V309" t="s">
        <v>155</v>
      </c>
      <c r="W309" t="s">
        <v>155</v>
      </c>
      <c r="X309" t="s">
        <v>155</v>
      </c>
      <c r="Y309" t="s">
        <v>155</v>
      </c>
      <c r="AC309" t="s">
        <v>160</v>
      </c>
      <c r="AD309" t="s">
        <v>155</v>
      </c>
      <c r="AE309" t="s">
        <v>155</v>
      </c>
      <c r="AF309" t="s">
        <v>155</v>
      </c>
      <c r="AG309" t="s">
        <v>155</v>
      </c>
      <c r="AH309" t="s">
        <v>155</v>
      </c>
    </row>
    <row r="310" spans="19:34" ht="16.2" customHeight="1" x14ac:dyDescent="0.3">
      <c r="T310" t="s">
        <v>169</v>
      </c>
      <c r="U310" t="s">
        <v>155</v>
      </c>
      <c r="V310" t="s">
        <v>155</v>
      </c>
      <c r="W310" t="s">
        <v>155</v>
      </c>
      <c r="X310" t="s">
        <v>155</v>
      </c>
      <c r="Y310" t="s">
        <v>155</v>
      </c>
      <c r="AC310" t="s">
        <v>169</v>
      </c>
      <c r="AD310" t="s">
        <v>155</v>
      </c>
      <c r="AE310" t="s">
        <v>155</v>
      </c>
      <c r="AF310" t="s">
        <v>155</v>
      </c>
      <c r="AG310" t="s">
        <v>155</v>
      </c>
      <c r="AH310" t="s">
        <v>155</v>
      </c>
    </row>
    <row r="311" spans="19:34" ht="16.2" customHeight="1" x14ac:dyDescent="0.3">
      <c r="T311" t="s">
        <v>170</v>
      </c>
      <c r="U311" t="s">
        <v>155</v>
      </c>
      <c r="V311" t="s">
        <v>155</v>
      </c>
      <c r="W311" t="s">
        <v>155</v>
      </c>
      <c r="X311" t="s">
        <v>155</v>
      </c>
      <c r="Y311" t="s">
        <v>155</v>
      </c>
      <c r="AC311" t="s">
        <v>170</v>
      </c>
      <c r="AD311" t="s">
        <v>155</v>
      </c>
      <c r="AE311" t="s">
        <v>155</v>
      </c>
      <c r="AF311" t="s">
        <v>155</v>
      </c>
      <c r="AG311" t="s">
        <v>155</v>
      </c>
      <c r="AH311" t="s">
        <v>155</v>
      </c>
    </row>
    <row r="312" spans="19:34" ht="16.2" customHeight="1" x14ac:dyDescent="0.3">
      <c r="T312" t="s">
        <v>171</v>
      </c>
      <c r="U312" t="s">
        <v>155</v>
      </c>
      <c r="V312" t="s">
        <v>155</v>
      </c>
      <c r="W312" t="s">
        <v>155</v>
      </c>
      <c r="X312" t="s">
        <v>155</v>
      </c>
      <c r="Y312" t="s">
        <v>155</v>
      </c>
      <c r="AC312" t="s">
        <v>171</v>
      </c>
      <c r="AD312" t="s">
        <v>155</v>
      </c>
      <c r="AE312" t="s">
        <v>155</v>
      </c>
      <c r="AF312" t="s">
        <v>155</v>
      </c>
      <c r="AG312" t="s">
        <v>155</v>
      </c>
      <c r="AH312" t="s">
        <v>155</v>
      </c>
    </row>
    <row r="313" spans="19:34" ht="16.2" customHeight="1" x14ac:dyDescent="0.3">
      <c r="T313" t="s">
        <v>172</v>
      </c>
      <c r="U313" t="s">
        <v>155</v>
      </c>
      <c r="V313" t="s">
        <v>155</v>
      </c>
      <c r="W313" t="s">
        <v>155</v>
      </c>
      <c r="X313" t="s">
        <v>155</v>
      </c>
      <c r="Y313" t="s">
        <v>155</v>
      </c>
      <c r="AC313" t="s">
        <v>172</v>
      </c>
      <c r="AD313" t="s">
        <v>155</v>
      </c>
      <c r="AE313" t="s">
        <v>155</v>
      </c>
      <c r="AF313" t="s">
        <v>155</v>
      </c>
      <c r="AG313" t="s">
        <v>155</v>
      </c>
      <c r="AH313" t="s">
        <v>155</v>
      </c>
    </row>
    <row r="315" spans="19:34" ht="16.2" customHeight="1" x14ac:dyDescent="0.3">
      <c r="S315" s="15" t="s">
        <v>123</v>
      </c>
      <c r="T315" t="s">
        <v>201</v>
      </c>
      <c r="AB315" s="15" t="s">
        <v>123</v>
      </c>
      <c r="AC315" t="s">
        <v>201</v>
      </c>
    </row>
    <row r="316" spans="19:34" ht="16.2" customHeight="1" x14ac:dyDescent="0.3">
      <c r="U316" t="s">
        <v>164</v>
      </c>
      <c r="V316" t="s">
        <v>165</v>
      </c>
      <c r="W316" t="s">
        <v>166</v>
      </c>
      <c r="X316" t="s">
        <v>167</v>
      </c>
      <c r="Y316" t="s">
        <v>168</v>
      </c>
      <c r="AD316" t="s">
        <v>164</v>
      </c>
      <c r="AE316" t="s">
        <v>165</v>
      </c>
      <c r="AF316" t="s">
        <v>166</v>
      </c>
      <c r="AG316" t="s">
        <v>167</v>
      </c>
      <c r="AH316" t="s">
        <v>168</v>
      </c>
    </row>
    <row r="317" spans="19:34" ht="16.2" customHeight="1" x14ac:dyDescent="0.3">
      <c r="T317" t="s">
        <v>154</v>
      </c>
      <c r="U317" t="s">
        <v>155</v>
      </c>
      <c r="V317" t="s">
        <v>79</v>
      </c>
      <c r="W317" t="s">
        <v>79</v>
      </c>
      <c r="X317" t="s">
        <v>79</v>
      </c>
      <c r="Y317" t="s">
        <v>79</v>
      </c>
      <c r="AC317" t="s">
        <v>154</v>
      </c>
      <c r="AD317" t="s">
        <v>155</v>
      </c>
      <c r="AE317" t="s">
        <v>79</v>
      </c>
      <c r="AF317" t="s">
        <v>79</v>
      </c>
      <c r="AG317" t="s">
        <v>79</v>
      </c>
      <c r="AH317" t="s">
        <v>79</v>
      </c>
    </row>
    <row r="318" spans="19:34" ht="16.2" customHeight="1" x14ac:dyDescent="0.3">
      <c r="T318" t="s">
        <v>156</v>
      </c>
      <c r="U318" t="s">
        <v>155</v>
      </c>
      <c r="V318" t="s">
        <v>79</v>
      </c>
      <c r="W318" t="s">
        <v>79</v>
      </c>
      <c r="X318" t="s">
        <v>79</v>
      </c>
      <c r="Y318" t="s">
        <v>79</v>
      </c>
      <c r="AC318" t="s">
        <v>156</v>
      </c>
      <c r="AD318" t="s">
        <v>155</v>
      </c>
      <c r="AE318" t="s">
        <v>79</v>
      </c>
      <c r="AF318" t="s">
        <v>79</v>
      </c>
      <c r="AG318" t="s">
        <v>79</v>
      </c>
      <c r="AH318" t="s">
        <v>79</v>
      </c>
    </row>
    <row r="319" spans="19:34" ht="16.2" customHeight="1" x14ac:dyDescent="0.3">
      <c r="T319" t="s">
        <v>157</v>
      </c>
      <c r="U319" t="s">
        <v>155</v>
      </c>
      <c r="V319" t="s">
        <v>155</v>
      </c>
      <c r="W319" t="s">
        <v>79</v>
      </c>
      <c r="X319" t="s">
        <v>79</v>
      </c>
      <c r="Y319" t="s">
        <v>155</v>
      </c>
      <c r="AC319" t="s">
        <v>157</v>
      </c>
      <c r="AD319" t="s">
        <v>155</v>
      </c>
      <c r="AE319" t="s">
        <v>155</v>
      </c>
      <c r="AF319" t="s">
        <v>79</v>
      </c>
      <c r="AG319" t="s">
        <v>79</v>
      </c>
      <c r="AH319" t="s">
        <v>155</v>
      </c>
    </row>
    <row r="320" spans="19:34" ht="16.2" customHeight="1" x14ac:dyDescent="0.3">
      <c r="T320" t="s">
        <v>158</v>
      </c>
      <c r="U320" t="s">
        <v>155</v>
      </c>
      <c r="V320" t="s">
        <v>155</v>
      </c>
      <c r="W320" t="s">
        <v>155</v>
      </c>
      <c r="X320" t="s">
        <v>155</v>
      </c>
      <c r="Y320" t="s">
        <v>155</v>
      </c>
      <c r="AC320" t="s">
        <v>158</v>
      </c>
      <c r="AD320" t="s">
        <v>155</v>
      </c>
      <c r="AE320" t="s">
        <v>155</v>
      </c>
      <c r="AF320" t="s">
        <v>155</v>
      </c>
      <c r="AG320" t="s">
        <v>155</v>
      </c>
      <c r="AH320" t="s">
        <v>155</v>
      </c>
    </row>
    <row r="321" spans="19:34" ht="16.2" customHeight="1" x14ac:dyDescent="0.3">
      <c r="T321" t="s">
        <v>159</v>
      </c>
      <c r="U321" t="s">
        <v>155</v>
      </c>
      <c r="V321" t="s">
        <v>155</v>
      </c>
      <c r="W321" t="s">
        <v>155</v>
      </c>
      <c r="X321" t="s">
        <v>155</v>
      </c>
      <c r="Y321" t="s">
        <v>155</v>
      </c>
      <c r="AC321" t="s">
        <v>159</v>
      </c>
      <c r="AD321" t="s">
        <v>155</v>
      </c>
      <c r="AE321" t="s">
        <v>155</v>
      </c>
      <c r="AF321" t="s">
        <v>155</v>
      </c>
      <c r="AG321" t="s">
        <v>155</v>
      </c>
      <c r="AH321" t="s">
        <v>155</v>
      </c>
    </row>
    <row r="322" spans="19:34" ht="16.2" customHeight="1" x14ac:dyDescent="0.3">
      <c r="T322" t="s">
        <v>160</v>
      </c>
      <c r="U322" t="s">
        <v>155</v>
      </c>
      <c r="V322" t="s">
        <v>155</v>
      </c>
      <c r="W322" t="s">
        <v>155</v>
      </c>
      <c r="X322" t="s">
        <v>155</v>
      </c>
      <c r="Y322" t="s">
        <v>155</v>
      </c>
      <c r="AC322" t="s">
        <v>160</v>
      </c>
      <c r="AD322" t="s">
        <v>155</v>
      </c>
      <c r="AE322" t="s">
        <v>155</v>
      </c>
      <c r="AF322" t="s">
        <v>155</v>
      </c>
      <c r="AG322" t="s">
        <v>155</v>
      </c>
      <c r="AH322" t="s">
        <v>155</v>
      </c>
    </row>
    <row r="323" spans="19:34" ht="16.2" customHeight="1" x14ac:dyDescent="0.3">
      <c r="T323" t="s">
        <v>169</v>
      </c>
      <c r="U323" t="s">
        <v>155</v>
      </c>
      <c r="V323" t="s">
        <v>155</v>
      </c>
      <c r="W323" t="s">
        <v>155</v>
      </c>
      <c r="X323" t="s">
        <v>155</v>
      </c>
      <c r="Y323" t="s">
        <v>155</v>
      </c>
      <c r="AC323" t="s">
        <v>169</v>
      </c>
      <c r="AD323" t="s">
        <v>155</v>
      </c>
      <c r="AE323" t="s">
        <v>155</v>
      </c>
      <c r="AF323" t="s">
        <v>155</v>
      </c>
      <c r="AG323" t="s">
        <v>155</v>
      </c>
      <c r="AH323" t="s">
        <v>155</v>
      </c>
    </row>
    <row r="324" spans="19:34" ht="16.2" customHeight="1" x14ac:dyDescent="0.3">
      <c r="T324" t="s">
        <v>170</v>
      </c>
      <c r="U324" t="s">
        <v>155</v>
      </c>
      <c r="V324" t="s">
        <v>155</v>
      </c>
      <c r="W324" t="s">
        <v>155</v>
      </c>
      <c r="X324" t="s">
        <v>155</v>
      </c>
      <c r="Y324" t="s">
        <v>155</v>
      </c>
      <c r="AC324" t="s">
        <v>170</v>
      </c>
      <c r="AD324" t="s">
        <v>155</v>
      </c>
      <c r="AE324" t="s">
        <v>155</v>
      </c>
      <c r="AF324" t="s">
        <v>155</v>
      </c>
      <c r="AG324" t="s">
        <v>155</v>
      </c>
      <c r="AH324" t="s">
        <v>155</v>
      </c>
    </row>
    <row r="325" spans="19:34" ht="16.2" customHeight="1" x14ac:dyDescent="0.3">
      <c r="T325" t="s">
        <v>171</v>
      </c>
      <c r="U325" t="s">
        <v>155</v>
      </c>
      <c r="V325" t="s">
        <v>155</v>
      </c>
      <c r="W325" t="s">
        <v>155</v>
      </c>
      <c r="X325" t="s">
        <v>155</v>
      </c>
      <c r="Y325" t="s">
        <v>155</v>
      </c>
      <c r="AC325" t="s">
        <v>171</v>
      </c>
      <c r="AD325" t="s">
        <v>155</v>
      </c>
      <c r="AE325" t="s">
        <v>155</v>
      </c>
      <c r="AF325" t="s">
        <v>155</v>
      </c>
      <c r="AG325" t="s">
        <v>155</v>
      </c>
      <c r="AH325" t="s">
        <v>155</v>
      </c>
    </row>
    <row r="326" spans="19:34" ht="16.2" customHeight="1" x14ac:dyDescent="0.3">
      <c r="T326" t="s">
        <v>172</v>
      </c>
      <c r="U326" t="s">
        <v>155</v>
      </c>
      <c r="V326" t="s">
        <v>155</v>
      </c>
      <c r="W326" t="s">
        <v>155</v>
      </c>
      <c r="X326" t="s">
        <v>155</v>
      </c>
      <c r="Y326" t="s">
        <v>155</v>
      </c>
      <c r="AC326" t="s">
        <v>172</v>
      </c>
      <c r="AD326" t="s">
        <v>155</v>
      </c>
      <c r="AE326" t="s">
        <v>155</v>
      </c>
      <c r="AF326" t="s">
        <v>155</v>
      </c>
      <c r="AG326" t="s">
        <v>155</v>
      </c>
      <c r="AH326" t="s">
        <v>155</v>
      </c>
    </row>
    <row r="328" spans="19:34" ht="16.2" customHeight="1" x14ac:dyDescent="0.3">
      <c r="S328" s="15" t="s">
        <v>124</v>
      </c>
      <c r="T328" t="s">
        <v>202</v>
      </c>
      <c r="AB328" s="15" t="s">
        <v>124</v>
      </c>
      <c r="AC328" t="s">
        <v>202</v>
      </c>
    </row>
    <row r="329" spans="19:34" ht="16.2" customHeight="1" x14ac:dyDescent="0.3">
      <c r="U329" t="s">
        <v>164</v>
      </c>
      <c r="V329" t="s">
        <v>165</v>
      </c>
      <c r="W329" t="s">
        <v>166</v>
      </c>
      <c r="X329" t="s">
        <v>167</v>
      </c>
      <c r="Y329" t="s">
        <v>168</v>
      </c>
      <c r="AD329" t="s">
        <v>164</v>
      </c>
      <c r="AE329" t="s">
        <v>165</v>
      </c>
      <c r="AF329" t="s">
        <v>166</v>
      </c>
      <c r="AG329" t="s">
        <v>167</v>
      </c>
      <c r="AH329" t="s">
        <v>168</v>
      </c>
    </row>
    <row r="330" spans="19:34" ht="16.2" customHeight="1" x14ac:dyDescent="0.3">
      <c r="T330" t="s">
        <v>154</v>
      </c>
      <c r="U330" t="s">
        <v>155</v>
      </c>
      <c r="V330" t="s">
        <v>79</v>
      </c>
      <c r="W330" t="s">
        <v>79</v>
      </c>
      <c r="X330" t="s">
        <v>79</v>
      </c>
      <c r="Y330" t="s">
        <v>79</v>
      </c>
      <c r="AC330" t="s">
        <v>154</v>
      </c>
      <c r="AD330" t="s">
        <v>155</v>
      </c>
      <c r="AE330" t="s">
        <v>79</v>
      </c>
      <c r="AF330" t="s">
        <v>79</v>
      </c>
      <c r="AG330" t="s">
        <v>79</v>
      </c>
      <c r="AH330" t="s">
        <v>79</v>
      </c>
    </row>
    <row r="331" spans="19:34" ht="16.2" customHeight="1" x14ac:dyDescent="0.3">
      <c r="T331" t="s">
        <v>156</v>
      </c>
      <c r="U331" t="s">
        <v>155</v>
      </c>
      <c r="V331" t="s">
        <v>79</v>
      </c>
      <c r="W331" t="s">
        <v>79</v>
      </c>
      <c r="X331" t="s">
        <v>79</v>
      </c>
      <c r="Y331" t="s">
        <v>79</v>
      </c>
      <c r="AC331" t="s">
        <v>156</v>
      </c>
      <c r="AD331" t="s">
        <v>155</v>
      </c>
      <c r="AE331" t="s">
        <v>79</v>
      </c>
      <c r="AF331" t="s">
        <v>79</v>
      </c>
      <c r="AG331" t="s">
        <v>79</v>
      </c>
      <c r="AH331" t="s">
        <v>79</v>
      </c>
    </row>
    <row r="332" spans="19:34" ht="16.2" customHeight="1" x14ac:dyDescent="0.3">
      <c r="T332" t="s">
        <v>157</v>
      </c>
      <c r="U332" t="s">
        <v>155</v>
      </c>
      <c r="V332" t="s">
        <v>155</v>
      </c>
      <c r="W332" t="s">
        <v>79</v>
      </c>
      <c r="X332" t="s">
        <v>79</v>
      </c>
      <c r="Y332" t="s">
        <v>155</v>
      </c>
      <c r="AC332" t="s">
        <v>157</v>
      </c>
      <c r="AD332" t="s">
        <v>155</v>
      </c>
      <c r="AE332" t="s">
        <v>155</v>
      </c>
      <c r="AF332" t="s">
        <v>79</v>
      </c>
      <c r="AG332" t="s">
        <v>79</v>
      </c>
      <c r="AH332" t="s">
        <v>155</v>
      </c>
    </row>
    <row r="333" spans="19:34" ht="16.2" customHeight="1" x14ac:dyDescent="0.3">
      <c r="T333" t="s">
        <v>158</v>
      </c>
      <c r="U333" t="s">
        <v>155</v>
      </c>
      <c r="V333" t="s">
        <v>155</v>
      </c>
      <c r="W333" t="s">
        <v>155</v>
      </c>
      <c r="X333" t="s">
        <v>155</v>
      </c>
      <c r="Y333" t="s">
        <v>155</v>
      </c>
      <c r="AC333" t="s">
        <v>158</v>
      </c>
      <c r="AD333" t="s">
        <v>155</v>
      </c>
      <c r="AE333" t="s">
        <v>155</v>
      </c>
      <c r="AF333" t="s">
        <v>155</v>
      </c>
      <c r="AG333" t="s">
        <v>155</v>
      </c>
      <c r="AH333" t="s">
        <v>155</v>
      </c>
    </row>
    <row r="334" spans="19:34" ht="16.2" customHeight="1" x14ac:dyDescent="0.3">
      <c r="T334" t="s">
        <v>159</v>
      </c>
      <c r="U334" t="s">
        <v>155</v>
      </c>
      <c r="V334" t="s">
        <v>155</v>
      </c>
      <c r="W334" t="s">
        <v>155</v>
      </c>
      <c r="X334" t="s">
        <v>155</v>
      </c>
      <c r="Y334" t="s">
        <v>155</v>
      </c>
      <c r="AC334" t="s">
        <v>159</v>
      </c>
      <c r="AD334" t="s">
        <v>155</v>
      </c>
      <c r="AE334" t="s">
        <v>155</v>
      </c>
      <c r="AF334" t="s">
        <v>155</v>
      </c>
      <c r="AG334" t="s">
        <v>155</v>
      </c>
      <c r="AH334" t="s">
        <v>155</v>
      </c>
    </row>
    <row r="335" spans="19:34" ht="16.2" customHeight="1" x14ac:dyDescent="0.3">
      <c r="T335" t="s">
        <v>160</v>
      </c>
      <c r="U335" t="s">
        <v>155</v>
      </c>
      <c r="V335" t="s">
        <v>155</v>
      </c>
      <c r="W335" t="s">
        <v>155</v>
      </c>
      <c r="X335" t="s">
        <v>155</v>
      </c>
      <c r="Y335" t="s">
        <v>155</v>
      </c>
      <c r="AC335" t="s">
        <v>160</v>
      </c>
      <c r="AD335" t="s">
        <v>155</v>
      </c>
      <c r="AE335" t="s">
        <v>155</v>
      </c>
      <c r="AF335" t="s">
        <v>155</v>
      </c>
      <c r="AG335" t="s">
        <v>155</v>
      </c>
      <c r="AH335" t="s">
        <v>155</v>
      </c>
    </row>
    <row r="336" spans="19:34" ht="16.2" customHeight="1" x14ac:dyDescent="0.3">
      <c r="T336" t="s">
        <v>169</v>
      </c>
      <c r="U336" t="s">
        <v>155</v>
      </c>
      <c r="V336" t="s">
        <v>155</v>
      </c>
      <c r="W336" t="s">
        <v>155</v>
      </c>
      <c r="X336" t="s">
        <v>155</v>
      </c>
      <c r="Y336" t="s">
        <v>155</v>
      </c>
      <c r="AC336" t="s">
        <v>169</v>
      </c>
      <c r="AD336" t="s">
        <v>155</v>
      </c>
      <c r="AE336" t="s">
        <v>155</v>
      </c>
      <c r="AF336" t="s">
        <v>155</v>
      </c>
      <c r="AG336" t="s">
        <v>155</v>
      </c>
      <c r="AH336" t="s">
        <v>155</v>
      </c>
    </row>
    <row r="337" spans="19:34" ht="16.2" customHeight="1" x14ac:dyDescent="0.3">
      <c r="T337" t="s">
        <v>170</v>
      </c>
      <c r="U337" t="s">
        <v>155</v>
      </c>
      <c r="V337" t="s">
        <v>155</v>
      </c>
      <c r="W337" t="s">
        <v>155</v>
      </c>
      <c r="X337" t="s">
        <v>155</v>
      </c>
      <c r="Y337" t="s">
        <v>155</v>
      </c>
      <c r="AC337" t="s">
        <v>170</v>
      </c>
      <c r="AD337" t="s">
        <v>155</v>
      </c>
      <c r="AE337" t="s">
        <v>155</v>
      </c>
      <c r="AF337" t="s">
        <v>155</v>
      </c>
      <c r="AG337" t="s">
        <v>155</v>
      </c>
      <c r="AH337" t="s">
        <v>155</v>
      </c>
    </row>
    <row r="338" spans="19:34" ht="16.2" customHeight="1" x14ac:dyDescent="0.3">
      <c r="T338" t="s">
        <v>171</v>
      </c>
      <c r="U338" t="s">
        <v>155</v>
      </c>
      <c r="V338" t="s">
        <v>155</v>
      </c>
      <c r="W338" t="s">
        <v>155</v>
      </c>
      <c r="X338" t="s">
        <v>155</v>
      </c>
      <c r="Y338" t="s">
        <v>155</v>
      </c>
      <c r="AC338" t="s">
        <v>171</v>
      </c>
      <c r="AD338" t="s">
        <v>155</v>
      </c>
      <c r="AE338" t="s">
        <v>155</v>
      </c>
      <c r="AF338" t="s">
        <v>155</v>
      </c>
      <c r="AG338" t="s">
        <v>155</v>
      </c>
      <c r="AH338" t="s">
        <v>155</v>
      </c>
    </row>
    <row r="339" spans="19:34" ht="16.2" customHeight="1" x14ac:dyDescent="0.3">
      <c r="T339" t="s">
        <v>172</v>
      </c>
      <c r="U339" t="s">
        <v>155</v>
      </c>
      <c r="V339" t="s">
        <v>155</v>
      </c>
      <c r="W339" t="s">
        <v>155</v>
      </c>
      <c r="X339" t="s">
        <v>155</v>
      </c>
      <c r="Y339" t="s">
        <v>155</v>
      </c>
      <c r="AC339" t="s">
        <v>172</v>
      </c>
      <c r="AD339" t="s">
        <v>155</v>
      </c>
      <c r="AE339" t="s">
        <v>155</v>
      </c>
      <c r="AF339" t="s">
        <v>155</v>
      </c>
      <c r="AG339" t="s">
        <v>155</v>
      </c>
      <c r="AH339" t="s">
        <v>155</v>
      </c>
    </row>
    <row r="341" spans="19:34" ht="16.2" customHeight="1" x14ac:dyDescent="0.3">
      <c r="S341" s="15" t="s">
        <v>125</v>
      </c>
      <c r="T341" t="s">
        <v>203</v>
      </c>
      <c r="AB341" s="15" t="s">
        <v>125</v>
      </c>
      <c r="AC341" t="s">
        <v>203</v>
      </c>
    </row>
    <row r="342" spans="19:34" ht="16.2" customHeight="1" x14ac:dyDescent="0.3">
      <c r="U342" t="s">
        <v>164</v>
      </c>
      <c r="V342" t="s">
        <v>165</v>
      </c>
      <c r="W342" t="s">
        <v>166</v>
      </c>
      <c r="X342" t="s">
        <v>167</v>
      </c>
      <c r="Y342" t="s">
        <v>168</v>
      </c>
      <c r="AD342" t="s">
        <v>164</v>
      </c>
      <c r="AE342" t="s">
        <v>165</v>
      </c>
      <c r="AF342" t="s">
        <v>166</v>
      </c>
      <c r="AG342" t="s">
        <v>167</v>
      </c>
      <c r="AH342" t="s">
        <v>168</v>
      </c>
    </row>
    <row r="343" spans="19:34" ht="16.2" customHeight="1" x14ac:dyDescent="0.3">
      <c r="T343" t="s">
        <v>154</v>
      </c>
      <c r="U343" t="s">
        <v>81</v>
      </c>
      <c r="V343" t="s">
        <v>155</v>
      </c>
      <c r="W343" t="s">
        <v>155</v>
      </c>
      <c r="X343" t="s">
        <v>81</v>
      </c>
      <c r="Y343" t="s">
        <v>155</v>
      </c>
      <c r="AC343" t="s">
        <v>154</v>
      </c>
      <c r="AD343" t="s">
        <v>81</v>
      </c>
      <c r="AE343" t="s">
        <v>155</v>
      </c>
      <c r="AF343" t="s">
        <v>155</v>
      </c>
      <c r="AG343" t="s">
        <v>81</v>
      </c>
      <c r="AH343" t="s">
        <v>155</v>
      </c>
    </row>
    <row r="344" spans="19:34" ht="16.2" customHeight="1" x14ac:dyDescent="0.3">
      <c r="T344" t="s">
        <v>156</v>
      </c>
      <c r="U344" t="s">
        <v>81</v>
      </c>
      <c r="V344" t="s">
        <v>155</v>
      </c>
      <c r="W344" t="s">
        <v>155</v>
      </c>
      <c r="X344" t="s">
        <v>81</v>
      </c>
      <c r="Y344" t="s">
        <v>155</v>
      </c>
      <c r="AC344" t="s">
        <v>156</v>
      </c>
      <c r="AD344" t="s">
        <v>81</v>
      </c>
      <c r="AE344" t="s">
        <v>155</v>
      </c>
      <c r="AF344" t="s">
        <v>155</v>
      </c>
      <c r="AG344" t="s">
        <v>81</v>
      </c>
      <c r="AH344" t="s">
        <v>155</v>
      </c>
    </row>
    <row r="345" spans="19:34" ht="16.2" customHeight="1" x14ac:dyDescent="0.3">
      <c r="T345" t="s">
        <v>157</v>
      </c>
      <c r="U345" t="s">
        <v>81</v>
      </c>
      <c r="V345" t="s">
        <v>155</v>
      </c>
      <c r="W345" t="s">
        <v>155</v>
      </c>
      <c r="X345" t="s">
        <v>81</v>
      </c>
      <c r="Y345" t="s">
        <v>155</v>
      </c>
      <c r="AC345" t="s">
        <v>157</v>
      </c>
      <c r="AD345" t="s">
        <v>81</v>
      </c>
      <c r="AE345" t="s">
        <v>155</v>
      </c>
      <c r="AF345" t="s">
        <v>155</v>
      </c>
      <c r="AG345" t="s">
        <v>81</v>
      </c>
      <c r="AH345" t="s">
        <v>155</v>
      </c>
    </row>
    <row r="346" spans="19:34" ht="16.2" customHeight="1" x14ac:dyDescent="0.3">
      <c r="T346" t="s">
        <v>158</v>
      </c>
      <c r="U346" t="s">
        <v>155</v>
      </c>
      <c r="V346" t="s">
        <v>155</v>
      </c>
      <c r="W346" t="s">
        <v>155</v>
      </c>
      <c r="X346" t="s">
        <v>155</v>
      </c>
      <c r="Y346" t="s">
        <v>155</v>
      </c>
      <c r="AC346" t="s">
        <v>158</v>
      </c>
      <c r="AD346" t="s">
        <v>155</v>
      </c>
      <c r="AE346" t="s">
        <v>155</v>
      </c>
      <c r="AF346" t="s">
        <v>155</v>
      </c>
      <c r="AG346" t="s">
        <v>155</v>
      </c>
      <c r="AH346" t="s">
        <v>155</v>
      </c>
    </row>
    <row r="347" spans="19:34" ht="16.2" customHeight="1" x14ac:dyDescent="0.3">
      <c r="T347" t="s">
        <v>159</v>
      </c>
      <c r="U347" t="s">
        <v>155</v>
      </c>
      <c r="V347" t="s">
        <v>155</v>
      </c>
      <c r="W347" t="s">
        <v>155</v>
      </c>
      <c r="X347" t="s">
        <v>155</v>
      </c>
      <c r="Y347" t="s">
        <v>155</v>
      </c>
      <c r="AC347" t="s">
        <v>159</v>
      </c>
      <c r="AD347" t="s">
        <v>155</v>
      </c>
      <c r="AE347" t="s">
        <v>155</v>
      </c>
      <c r="AF347" t="s">
        <v>155</v>
      </c>
      <c r="AG347" t="s">
        <v>155</v>
      </c>
      <c r="AH347" t="s">
        <v>155</v>
      </c>
    </row>
    <row r="348" spans="19:34" ht="16.2" customHeight="1" x14ac:dyDescent="0.3">
      <c r="T348" t="s">
        <v>160</v>
      </c>
      <c r="U348" t="s">
        <v>155</v>
      </c>
      <c r="V348" t="s">
        <v>155</v>
      </c>
      <c r="W348" t="s">
        <v>155</v>
      </c>
      <c r="X348" t="s">
        <v>155</v>
      </c>
      <c r="Y348" t="s">
        <v>155</v>
      </c>
      <c r="AC348" t="s">
        <v>160</v>
      </c>
      <c r="AD348" t="s">
        <v>155</v>
      </c>
      <c r="AE348" t="s">
        <v>155</v>
      </c>
      <c r="AF348" t="s">
        <v>155</v>
      </c>
      <c r="AG348" t="s">
        <v>155</v>
      </c>
      <c r="AH348" t="s">
        <v>155</v>
      </c>
    </row>
    <row r="349" spans="19:34" ht="16.2" customHeight="1" x14ac:dyDescent="0.3">
      <c r="T349" t="s">
        <v>169</v>
      </c>
      <c r="U349" t="s">
        <v>155</v>
      </c>
      <c r="V349" t="s">
        <v>155</v>
      </c>
      <c r="W349" t="s">
        <v>155</v>
      </c>
      <c r="X349" t="s">
        <v>155</v>
      </c>
      <c r="Y349" t="s">
        <v>155</v>
      </c>
      <c r="AC349" t="s">
        <v>169</v>
      </c>
      <c r="AD349" t="s">
        <v>155</v>
      </c>
      <c r="AE349" t="s">
        <v>155</v>
      </c>
      <c r="AF349" t="s">
        <v>155</v>
      </c>
      <c r="AG349" t="s">
        <v>155</v>
      </c>
      <c r="AH349" t="s">
        <v>155</v>
      </c>
    </row>
    <row r="350" spans="19:34" ht="16.2" customHeight="1" x14ac:dyDescent="0.3">
      <c r="T350" t="s">
        <v>170</v>
      </c>
      <c r="U350" t="s">
        <v>155</v>
      </c>
      <c r="V350" t="s">
        <v>155</v>
      </c>
      <c r="W350" t="s">
        <v>155</v>
      </c>
      <c r="X350" t="s">
        <v>155</v>
      </c>
      <c r="Y350" t="s">
        <v>155</v>
      </c>
      <c r="AC350" t="s">
        <v>170</v>
      </c>
      <c r="AD350" t="s">
        <v>155</v>
      </c>
      <c r="AE350" t="s">
        <v>155</v>
      </c>
      <c r="AF350" t="s">
        <v>155</v>
      </c>
      <c r="AG350" t="s">
        <v>155</v>
      </c>
      <c r="AH350" t="s">
        <v>155</v>
      </c>
    </row>
    <row r="351" spans="19:34" ht="16.2" customHeight="1" x14ac:dyDescent="0.3">
      <c r="T351" t="s">
        <v>171</v>
      </c>
      <c r="U351" t="s">
        <v>155</v>
      </c>
      <c r="V351" t="s">
        <v>155</v>
      </c>
      <c r="W351" t="s">
        <v>155</v>
      </c>
      <c r="X351" t="s">
        <v>155</v>
      </c>
      <c r="Y351" t="s">
        <v>155</v>
      </c>
      <c r="AC351" t="s">
        <v>171</v>
      </c>
      <c r="AD351" t="s">
        <v>155</v>
      </c>
      <c r="AE351" t="s">
        <v>155</v>
      </c>
      <c r="AF351" t="s">
        <v>155</v>
      </c>
      <c r="AG351" t="s">
        <v>155</v>
      </c>
      <c r="AH351" t="s">
        <v>155</v>
      </c>
    </row>
    <row r="352" spans="19:34" ht="16.2" customHeight="1" x14ac:dyDescent="0.3">
      <c r="T352" t="s">
        <v>172</v>
      </c>
      <c r="U352" t="s">
        <v>155</v>
      </c>
      <c r="V352" t="s">
        <v>155</v>
      </c>
      <c r="W352" t="s">
        <v>155</v>
      </c>
      <c r="X352" t="s">
        <v>155</v>
      </c>
      <c r="Y352" t="s">
        <v>155</v>
      </c>
      <c r="AC352" t="s">
        <v>172</v>
      </c>
      <c r="AD352" t="s">
        <v>155</v>
      </c>
      <c r="AE352" t="s">
        <v>155</v>
      </c>
      <c r="AF352" t="s">
        <v>155</v>
      </c>
      <c r="AG352" t="s">
        <v>155</v>
      </c>
      <c r="AH352" t="s">
        <v>155</v>
      </c>
    </row>
    <row r="354" spans="19:34" ht="16.2" customHeight="1" x14ac:dyDescent="0.3">
      <c r="S354" s="15" t="s">
        <v>126</v>
      </c>
      <c r="T354" t="s">
        <v>204</v>
      </c>
      <c r="AB354" s="15" t="s">
        <v>126</v>
      </c>
      <c r="AC354" t="s">
        <v>204</v>
      </c>
    </row>
    <row r="355" spans="19:34" ht="16.2" customHeight="1" x14ac:dyDescent="0.3">
      <c r="U355" t="s">
        <v>164</v>
      </c>
      <c r="V355" t="s">
        <v>165</v>
      </c>
      <c r="W355" t="s">
        <v>166</v>
      </c>
      <c r="X355" t="s">
        <v>167</v>
      </c>
      <c r="Y355" t="s">
        <v>168</v>
      </c>
      <c r="AD355" t="s">
        <v>164</v>
      </c>
      <c r="AE355" t="s">
        <v>165</v>
      </c>
      <c r="AF355" t="s">
        <v>166</v>
      </c>
      <c r="AG355" t="s">
        <v>167</v>
      </c>
      <c r="AH355" t="s">
        <v>168</v>
      </c>
    </row>
    <row r="356" spans="19:34" ht="16.2" customHeight="1" x14ac:dyDescent="0.3">
      <c r="T356" t="s">
        <v>154</v>
      </c>
      <c r="U356" t="s">
        <v>155</v>
      </c>
      <c r="V356" t="s">
        <v>155</v>
      </c>
      <c r="W356" t="s">
        <v>155</v>
      </c>
      <c r="X356" t="s">
        <v>155</v>
      </c>
      <c r="Y356" t="s">
        <v>155</v>
      </c>
      <c r="AC356" t="s">
        <v>154</v>
      </c>
      <c r="AD356" t="s">
        <v>155</v>
      </c>
      <c r="AE356" t="s">
        <v>155</v>
      </c>
      <c r="AF356" t="s">
        <v>155</v>
      </c>
      <c r="AG356" t="s">
        <v>155</v>
      </c>
      <c r="AH356" t="s">
        <v>155</v>
      </c>
    </row>
    <row r="357" spans="19:34" ht="16.2" customHeight="1" x14ac:dyDescent="0.3">
      <c r="T357" t="s">
        <v>156</v>
      </c>
      <c r="U357" t="s">
        <v>82</v>
      </c>
      <c r="V357" t="s">
        <v>155</v>
      </c>
      <c r="W357" t="s">
        <v>155</v>
      </c>
      <c r="X357" t="s">
        <v>82</v>
      </c>
      <c r="Y357" t="s">
        <v>155</v>
      </c>
      <c r="AC357" t="s">
        <v>156</v>
      </c>
      <c r="AD357" t="s">
        <v>82</v>
      </c>
      <c r="AE357" t="s">
        <v>155</v>
      </c>
      <c r="AF357" t="s">
        <v>155</v>
      </c>
      <c r="AG357" t="s">
        <v>82</v>
      </c>
      <c r="AH357" t="s">
        <v>155</v>
      </c>
    </row>
    <row r="358" spans="19:34" ht="16.2" customHeight="1" x14ac:dyDescent="0.3">
      <c r="T358" t="s">
        <v>157</v>
      </c>
      <c r="U358" t="s">
        <v>82</v>
      </c>
      <c r="V358" t="s">
        <v>90</v>
      </c>
      <c r="W358" t="s">
        <v>155</v>
      </c>
      <c r="X358" t="s">
        <v>82</v>
      </c>
      <c r="Y358" t="s">
        <v>155</v>
      </c>
      <c r="AC358" t="s">
        <v>157</v>
      </c>
      <c r="AD358" t="s">
        <v>82</v>
      </c>
      <c r="AE358" t="s">
        <v>90</v>
      </c>
      <c r="AF358" t="s">
        <v>155</v>
      </c>
      <c r="AG358" t="s">
        <v>82</v>
      </c>
      <c r="AH358" t="s">
        <v>155</v>
      </c>
    </row>
    <row r="359" spans="19:34" ht="16.2" customHeight="1" x14ac:dyDescent="0.3">
      <c r="T359" t="s">
        <v>158</v>
      </c>
      <c r="U359" t="s">
        <v>155</v>
      </c>
      <c r="V359" t="s">
        <v>90</v>
      </c>
      <c r="W359" t="s">
        <v>155</v>
      </c>
      <c r="X359" t="s">
        <v>90</v>
      </c>
      <c r="Y359" t="s">
        <v>155</v>
      </c>
      <c r="AC359" t="s">
        <v>158</v>
      </c>
      <c r="AD359" t="s">
        <v>155</v>
      </c>
      <c r="AE359" t="s">
        <v>90</v>
      </c>
      <c r="AF359" t="s">
        <v>155</v>
      </c>
      <c r="AG359" t="s">
        <v>90</v>
      </c>
      <c r="AH359" t="s">
        <v>155</v>
      </c>
    </row>
    <row r="360" spans="19:34" ht="16.2" customHeight="1" x14ac:dyDescent="0.3">
      <c r="T360" t="s">
        <v>159</v>
      </c>
      <c r="U360" t="s">
        <v>155</v>
      </c>
      <c r="V360" t="s">
        <v>155</v>
      </c>
      <c r="W360" t="s">
        <v>155</v>
      </c>
      <c r="X360" t="s">
        <v>90</v>
      </c>
      <c r="Y360" t="s">
        <v>155</v>
      </c>
      <c r="AC360" t="s">
        <v>159</v>
      </c>
      <c r="AD360" t="s">
        <v>155</v>
      </c>
      <c r="AE360" t="s">
        <v>155</v>
      </c>
      <c r="AF360" t="s">
        <v>155</v>
      </c>
      <c r="AG360" t="s">
        <v>90</v>
      </c>
      <c r="AH360" t="s">
        <v>155</v>
      </c>
    </row>
    <row r="361" spans="19:34" ht="16.2" customHeight="1" x14ac:dyDescent="0.3">
      <c r="T361" t="s">
        <v>160</v>
      </c>
      <c r="U361" t="s">
        <v>155</v>
      </c>
      <c r="V361" t="s">
        <v>155</v>
      </c>
      <c r="W361" t="s">
        <v>155</v>
      </c>
      <c r="X361" t="s">
        <v>155</v>
      </c>
      <c r="Y361" t="s">
        <v>155</v>
      </c>
      <c r="AC361" t="s">
        <v>160</v>
      </c>
      <c r="AD361" t="s">
        <v>155</v>
      </c>
      <c r="AE361" t="s">
        <v>155</v>
      </c>
      <c r="AF361" t="s">
        <v>155</v>
      </c>
      <c r="AG361" t="s">
        <v>155</v>
      </c>
      <c r="AH361" t="s">
        <v>155</v>
      </c>
    </row>
    <row r="362" spans="19:34" ht="16.2" customHeight="1" x14ac:dyDescent="0.3">
      <c r="T362" t="s">
        <v>169</v>
      </c>
      <c r="U362" t="s">
        <v>155</v>
      </c>
      <c r="V362" t="s">
        <v>155</v>
      </c>
      <c r="W362" t="s">
        <v>155</v>
      </c>
      <c r="X362" t="s">
        <v>155</v>
      </c>
      <c r="Y362" t="s">
        <v>155</v>
      </c>
      <c r="AC362" t="s">
        <v>169</v>
      </c>
      <c r="AD362" t="s">
        <v>155</v>
      </c>
      <c r="AE362" t="s">
        <v>155</v>
      </c>
      <c r="AF362" t="s">
        <v>155</v>
      </c>
      <c r="AG362" t="s">
        <v>155</v>
      </c>
      <c r="AH362" t="s">
        <v>155</v>
      </c>
    </row>
    <row r="363" spans="19:34" ht="16.2" customHeight="1" x14ac:dyDescent="0.3">
      <c r="T363" t="s">
        <v>170</v>
      </c>
      <c r="U363" t="s">
        <v>155</v>
      </c>
      <c r="V363" t="s">
        <v>155</v>
      </c>
      <c r="W363" t="s">
        <v>155</v>
      </c>
      <c r="X363" t="s">
        <v>155</v>
      </c>
      <c r="Y363" t="s">
        <v>155</v>
      </c>
      <c r="AC363" t="s">
        <v>170</v>
      </c>
      <c r="AD363" t="s">
        <v>155</v>
      </c>
      <c r="AE363" t="s">
        <v>155</v>
      </c>
      <c r="AF363" t="s">
        <v>155</v>
      </c>
      <c r="AG363" t="s">
        <v>155</v>
      </c>
      <c r="AH363" t="s">
        <v>155</v>
      </c>
    </row>
    <row r="364" spans="19:34" ht="16.2" customHeight="1" x14ac:dyDescent="0.3">
      <c r="T364" t="s">
        <v>171</v>
      </c>
      <c r="U364" t="s">
        <v>155</v>
      </c>
      <c r="V364" t="s">
        <v>155</v>
      </c>
      <c r="W364" t="s">
        <v>155</v>
      </c>
      <c r="X364" t="s">
        <v>155</v>
      </c>
      <c r="Y364" t="s">
        <v>155</v>
      </c>
      <c r="AC364" t="s">
        <v>171</v>
      </c>
      <c r="AD364" t="s">
        <v>155</v>
      </c>
      <c r="AE364" t="s">
        <v>155</v>
      </c>
      <c r="AF364" t="s">
        <v>155</v>
      </c>
      <c r="AG364" t="s">
        <v>155</v>
      </c>
      <c r="AH364" t="s">
        <v>155</v>
      </c>
    </row>
    <row r="365" spans="19:34" ht="16.2" customHeight="1" x14ac:dyDescent="0.3">
      <c r="T365" t="s">
        <v>172</v>
      </c>
      <c r="U365" t="s">
        <v>155</v>
      </c>
      <c r="V365" t="s">
        <v>155</v>
      </c>
      <c r="W365" t="s">
        <v>155</v>
      </c>
      <c r="X365" t="s">
        <v>155</v>
      </c>
      <c r="Y365" t="s">
        <v>155</v>
      </c>
      <c r="AC365" t="s">
        <v>172</v>
      </c>
      <c r="AD365" t="s">
        <v>155</v>
      </c>
      <c r="AE365" t="s">
        <v>155</v>
      </c>
      <c r="AF365" t="s">
        <v>155</v>
      </c>
      <c r="AG365" t="s">
        <v>155</v>
      </c>
      <c r="AH365" t="s">
        <v>155</v>
      </c>
    </row>
    <row r="367" spans="19:34" ht="16.2" customHeight="1" x14ac:dyDescent="0.3">
      <c r="S367" s="15" t="s">
        <v>127</v>
      </c>
      <c r="T367" t="s">
        <v>205</v>
      </c>
      <c r="AB367" s="15" t="s">
        <v>127</v>
      </c>
      <c r="AC367" t="s">
        <v>205</v>
      </c>
    </row>
    <row r="368" spans="19:34" ht="16.2" customHeight="1" x14ac:dyDescent="0.3">
      <c r="U368" t="s">
        <v>164</v>
      </c>
      <c r="V368" t="s">
        <v>165</v>
      </c>
      <c r="W368" t="s">
        <v>166</v>
      </c>
      <c r="X368" t="s">
        <v>167</v>
      </c>
      <c r="Y368" t="s">
        <v>168</v>
      </c>
      <c r="AD368" t="s">
        <v>164</v>
      </c>
      <c r="AE368" t="s">
        <v>165</v>
      </c>
      <c r="AF368" t="s">
        <v>166</v>
      </c>
      <c r="AG368" t="s">
        <v>167</v>
      </c>
      <c r="AH368" t="s">
        <v>168</v>
      </c>
    </row>
    <row r="369" spans="19:34" ht="16.2" customHeight="1" x14ac:dyDescent="0.3">
      <c r="T369" t="s">
        <v>154</v>
      </c>
      <c r="U369" t="s">
        <v>175</v>
      </c>
      <c r="V369" t="s">
        <v>155</v>
      </c>
      <c r="W369" t="s">
        <v>175</v>
      </c>
      <c r="X369" t="s">
        <v>155</v>
      </c>
      <c r="Y369" t="s">
        <v>155</v>
      </c>
      <c r="AC369" t="s">
        <v>154</v>
      </c>
      <c r="AD369" t="s">
        <v>94</v>
      </c>
      <c r="AE369" t="s">
        <v>155</v>
      </c>
      <c r="AF369" t="s">
        <v>175</v>
      </c>
      <c r="AG369" t="s">
        <v>155</v>
      </c>
      <c r="AH369" t="s">
        <v>155</v>
      </c>
    </row>
    <row r="370" spans="19:34" ht="16.2" customHeight="1" x14ac:dyDescent="0.3">
      <c r="T370" t="s">
        <v>156</v>
      </c>
      <c r="U370" t="s">
        <v>175</v>
      </c>
      <c r="V370" t="s">
        <v>155</v>
      </c>
      <c r="W370" t="s">
        <v>175</v>
      </c>
      <c r="X370" t="s">
        <v>155</v>
      </c>
      <c r="Y370" t="s">
        <v>155</v>
      </c>
      <c r="AC370" t="s">
        <v>156</v>
      </c>
      <c r="AD370" t="s">
        <v>94</v>
      </c>
      <c r="AE370" t="s">
        <v>155</v>
      </c>
      <c r="AF370" t="s">
        <v>175</v>
      </c>
      <c r="AG370" t="s">
        <v>155</v>
      </c>
      <c r="AH370" t="s">
        <v>155</v>
      </c>
    </row>
    <row r="371" spans="19:34" ht="16.2" customHeight="1" x14ac:dyDescent="0.3">
      <c r="T371" t="s">
        <v>157</v>
      </c>
      <c r="U371" t="s">
        <v>82</v>
      </c>
      <c r="V371" t="s">
        <v>155</v>
      </c>
      <c r="W371" t="s">
        <v>155</v>
      </c>
      <c r="X371" t="s">
        <v>155</v>
      </c>
      <c r="Y371" t="s">
        <v>155</v>
      </c>
      <c r="AC371" t="s">
        <v>157</v>
      </c>
      <c r="AD371" t="s">
        <v>82</v>
      </c>
      <c r="AE371" t="s">
        <v>155</v>
      </c>
      <c r="AF371" t="s">
        <v>155</v>
      </c>
      <c r="AG371" t="s">
        <v>155</v>
      </c>
      <c r="AH371" t="s">
        <v>155</v>
      </c>
    </row>
    <row r="372" spans="19:34" ht="16.2" customHeight="1" x14ac:dyDescent="0.3">
      <c r="T372" t="s">
        <v>158</v>
      </c>
      <c r="U372" t="s">
        <v>82</v>
      </c>
      <c r="V372" t="s">
        <v>155</v>
      </c>
      <c r="W372" t="s">
        <v>155</v>
      </c>
      <c r="X372" t="s">
        <v>155</v>
      </c>
      <c r="Y372" t="s">
        <v>155</v>
      </c>
      <c r="AC372" t="s">
        <v>158</v>
      </c>
      <c r="AD372" t="s">
        <v>82</v>
      </c>
      <c r="AE372" t="s">
        <v>155</v>
      </c>
      <c r="AF372" t="s">
        <v>155</v>
      </c>
      <c r="AG372" t="s">
        <v>155</v>
      </c>
      <c r="AH372" t="s">
        <v>155</v>
      </c>
    </row>
    <row r="373" spans="19:34" ht="16.2" customHeight="1" x14ac:dyDescent="0.3">
      <c r="T373" t="s">
        <v>159</v>
      </c>
      <c r="U373" t="s">
        <v>94</v>
      </c>
      <c r="V373" t="s">
        <v>155</v>
      </c>
      <c r="W373" t="s">
        <v>82</v>
      </c>
      <c r="X373" t="s">
        <v>155</v>
      </c>
      <c r="Y373" t="s">
        <v>155</v>
      </c>
      <c r="AC373" t="s">
        <v>159</v>
      </c>
      <c r="AD373" t="s">
        <v>175</v>
      </c>
      <c r="AE373" t="s">
        <v>155</v>
      </c>
      <c r="AF373" t="s">
        <v>82</v>
      </c>
      <c r="AG373" t="s">
        <v>155</v>
      </c>
      <c r="AH373" t="s">
        <v>155</v>
      </c>
    </row>
    <row r="374" spans="19:34" ht="16.2" customHeight="1" x14ac:dyDescent="0.3">
      <c r="T374" t="s">
        <v>160</v>
      </c>
      <c r="U374" t="s">
        <v>94</v>
      </c>
      <c r="V374" t="s">
        <v>155</v>
      </c>
      <c r="W374" t="s">
        <v>82</v>
      </c>
      <c r="X374" t="s">
        <v>155</v>
      </c>
      <c r="Y374" t="s">
        <v>155</v>
      </c>
      <c r="AC374" t="s">
        <v>160</v>
      </c>
      <c r="AD374" t="s">
        <v>175</v>
      </c>
      <c r="AE374" t="s">
        <v>155</v>
      </c>
      <c r="AF374" t="s">
        <v>82</v>
      </c>
      <c r="AG374" t="s">
        <v>155</v>
      </c>
      <c r="AH374" t="s">
        <v>155</v>
      </c>
    </row>
    <row r="375" spans="19:34" ht="16.2" customHeight="1" x14ac:dyDescent="0.3">
      <c r="T375" t="s">
        <v>169</v>
      </c>
      <c r="U375" t="s">
        <v>155</v>
      </c>
      <c r="V375" t="s">
        <v>155</v>
      </c>
      <c r="W375" t="s">
        <v>155</v>
      </c>
      <c r="X375" t="s">
        <v>155</v>
      </c>
      <c r="Y375" t="s">
        <v>155</v>
      </c>
      <c r="AC375" t="s">
        <v>169</v>
      </c>
      <c r="AD375" t="s">
        <v>155</v>
      </c>
      <c r="AE375" t="s">
        <v>155</v>
      </c>
      <c r="AF375" t="s">
        <v>155</v>
      </c>
      <c r="AG375" t="s">
        <v>155</v>
      </c>
      <c r="AH375" t="s">
        <v>155</v>
      </c>
    </row>
    <row r="376" spans="19:34" ht="16.2" customHeight="1" x14ac:dyDescent="0.3">
      <c r="T376" t="s">
        <v>170</v>
      </c>
      <c r="U376" t="s">
        <v>155</v>
      </c>
      <c r="V376" t="s">
        <v>155</v>
      </c>
      <c r="W376" t="s">
        <v>155</v>
      </c>
      <c r="X376" t="s">
        <v>155</v>
      </c>
      <c r="Y376" t="s">
        <v>155</v>
      </c>
      <c r="AC376" t="s">
        <v>170</v>
      </c>
      <c r="AD376" t="s">
        <v>155</v>
      </c>
      <c r="AE376" t="s">
        <v>155</v>
      </c>
      <c r="AF376" t="s">
        <v>155</v>
      </c>
      <c r="AG376" t="s">
        <v>155</v>
      </c>
      <c r="AH376" t="s">
        <v>155</v>
      </c>
    </row>
    <row r="377" spans="19:34" ht="16.2" customHeight="1" x14ac:dyDescent="0.3">
      <c r="T377" t="s">
        <v>171</v>
      </c>
      <c r="U377" t="s">
        <v>155</v>
      </c>
      <c r="V377" t="s">
        <v>155</v>
      </c>
      <c r="W377" t="s">
        <v>155</v>
      </c>
      <c r="X377" t="s">
        <v>155</v>
      </c>
      <c r="Y377" t="s">
        <v>155</v>
      </c>
      <c r="AC377" t="s">
        <v>171</v>
      </c>
      <c r="AD377" t="s">
        <v>155</v>
      </c>
      <c r="AE377" t="s">
        <v>155</v>
      </c>
      <c r="AF377" t="s">
        <v>155</v>
      </c>
      <c r="AG377" t="s">
        <v>155</v>
      </c>
      <c r="AH377" t="s">
        <v>155</v>
      </c>
    </row>
    <row r="378" spans="19:34" ht="16.2" customHeight="1" x14ac:dyDescent="0.3">
      <c r="T378" t="s">
        <v>172</v>
      </c>
      <c r="U378" t="s">
        <v>155</v>
      </c>
      <c r="V378" t="s">
        <v>155</v>
      </c>
      <c r="W378" t="s">
        <v>155</v>
      </c>
      <c r="X378" t="s">
        <v>155</v>
      </c>
      <c r="Y378" t="s">
        <v>155</v>
      </c>
      <c r="AC378" t="s">
        <v>172</v>
      </c>
      <c r="AD378" t="s">
        <v>155</v>
      </c>
      <c r="AE378" t="s">
        <v>155</v>
      </c>
      <c r="AF378" t="s">
        <v>155</v>
      </c>
      <c r="AG378" t="s">
        <v>155</v>
      </c>
      <c r="AH378" t="s">
        <v>155</v>
      </c>
    </row>
    <row r="380" spans="19:34" ht="16.2" customHeight="1" x14ac:dyDescent="0.3">
      <c r="S380" s="15" t="s">
        <v>128</v>
      </c>
      <c r="T380" t="s">
        <v>206</v>
      </c>
      <c r="AB380" s="15" t="s">
        <v>128</v>
      </c>
      <c r="AC380" t="s">
        <v>206</v>
      </c>
    </row>
    <row r="381" spans="19:34" ht="16.2" customHeight="1" x14ac:dyDescent="0.3">
      <c r="U381" t="s">
        <v>164</v>
      </c>
      <c r="V381" t="s">
        <v>165</v>
      </c>
      <c r="W381" t="s">
        <v>166</v>
      </c>
      <c r="X381" t="s">
        <v>167</v>
      </c>
      <c r="Y381" t="s">
        <v>168</v>
      </c>
      <c r="AD381" t="s">
        <v>164</v>
      </c>
      <c r="AE381" t="s">
        <v>165</v>
      </c>
      <c r="AF381" t="s">
        <v>166</v>
      </c>
      <c r="AG381" t="s">
        <v>167</v>
      </c>
      <c r="AH381" t="s">
        <v>168</v>
      </c>
    </row>
    <row r="382" spans="19:34" ht="16.2" customHeight="1" x14ac:dyDescent="0.3">
      <c r="T382" t="s">
        <v>154</v>
      </c>
      <c r="U382" t="s">
        <v>155</v>
      </c>
      <c r="V382" t="s">
        <v>155</v>
      </c>
      <c r="W382" t="s">
        <v>155</v>
      </c>
      <c r="X382" t="s">
        <v>155</v>
      </c>
      <c r="Y382" t="s">
        <v>155</v>
      </c>
      <c r="AC382" t="s">
        <v>154</v>
      </c>
      <c r="AD382" t="s">
        <v>155</v>
      </c>
      <c r="AE382" t="s">
        <v>155</v>
      </c>
      <c r="AF382" t="s">
        <v>155</v>
      </c>
      <c r="AG382" t="s">
        <v>155</v>
      </c>
      <c r="AH382" t="s">
        <v>155</v>
      </c>
    </row>
    <row r="383" spans="19:34" ht="16.2" customHeight="1" x14ac:dyDescent="0.3">
      <c r="T383" t="s">
        <v>156</v>
      </c>
      <c r="U383" t="s">
        <v>155</v>
      </c>
      <c r="V383" t="s">
        <v>155</v>
      </c>
      <c r="W383" t="s">
        <v>155</v>
      </c>
      <c r="X383" t="s">
        <v>155</v>
      </c>
      <c r="Y383" t="s">
        <v>155</v>
      </c>
      <c r="AC383" t="s">
        <v>156</v>
      </c>
      <c r="AD383" t="s">
        <v>155</v>
      </c>
      <c r="AE383" t="s">
        <v>155</v>
      </c>
      <c r="AF383" t="s">
        <v>155</v>
      </c>
      <c r="AG383" t="s">
        <v>155</v>
      </c>
      <c r="AH383" t="s">
        <v>155</v>
      </c>
    </row>
    <row r="384" spans="19:34" ht="16.2" customHeight="1" x14ac:dyDescent="0.3">
      <c r="T384" t="s">
        <v>157</v>
      </c>
      <c r="U384" t="s">
        <v>155</v>
      </c>
      <c r="V384" t="s">
        <v>155</v>
      </c>
      <c r="W384" t="s">
        <v>155</v>
      </c>
      <c r="X384" t="s">
        <v>155</v>
      </c>
      <c r="Y384" t="s">
        <v>155</v>
      </c>
      <c r="AC384" t="s">
        <v>157</v>
      </c>
      <c r="AD384" t="s">
        <v>155</v>
      </c>
      <c r="AE384" t="s">
        <v>83</v>
      </c>
      <c r="AF384" t="s">
        <v>155</v>
      </c>
      <c r="AG384" t="s">
        <v>155</v>
      </c>
      <c r="AH384" t="s">
        <v>155</v>
      </c>
    </row>
    <row r="385" spans="19:34" ht="16.2" customHeight="1" x14ac:dyDescent="0.3">
      <c r="T385" t="s">
        <v>158</v>
      </c>
      <c r="U385" t="s">
        <v>155</v>
      </c>
      <c r="V385" t="s">
        <v>155</v>
      </c>
      <c r="W385" t="s">
        <v>155</v>
      </c>
      <c r="X385" t="s">
        <v>83</v>
      </c>
      <c r="Y385" t="s">
        <v>155</v>
      </c>
      <c r="AC385" t="s">
        <v>158</v>
      </c>
      <c r="AD385" t="s">
        <v>155</v>
      </c>
      <c r="AE385" t="s">
        <v>83</v>
      </c>
      <c r="AF385" t="s">
        <v>155</v>
      </c>
      <c r="AG385" t="s">
        <v>155</v>
      </c>
      <c r="AH385" t="s">
        <v>155</v>
      </c>
    </row>
    <row r="386" spans="19:34" ht="16.2" customHeight="1" x14ac:dyDescent="0.3">
      <c r="T386" t="s">
        <v>159</v>
      </c>
      <c r="U386" t="s">
        <v>155</v>
      </c>
      <c r="V386" t="s">
        <v>83</v>
      </c>
      <c r="W386" t="s">
        <v>155</v>
      </c>
      <c r="X386" t="s">
        <v>83</v>
      </c>
      <c r="Y386" t="s">
        <v>155</v>
      </c>
      <c r="AC386" t="s">
        <v>159</v>
      </c>
      <c r="AD386" t="s">
        <v>155</v>
      </c>
      <c r="AE386" t="s">
        <v>83</v>
      </c>
      <c r="AF386" t="s">
        <v>155</v>
      </c>
      <c r="AG386" t="s">
        <v>155</v>
      </c>
      <c r="AH386" t="s">
        <v>83</v>
      </c>
    </row>
    <row r="387" spans="19:34" ht="16.2" customHeight="1" x14ac:dyDescent="0.3">
      <c r="T387" t="s">
        <v>160</v>
      </c>
      <c r="U387" t="s">
        <v>155</v>
      </c>
      <c r="V387" t="s">
        <v>83</v>
      </c>
      <c r="W387" t="s">
        <v>155</v>
      </c>
      <c r="X387" t="s">
        <v>83</v>
      </c>
      <c r="Y387" t="s">
        <v>155</v>
      </c>
      <c r="AC387" t="s">
        <v>160</v>
      </c>
      <c r="AD387" t="s">
        <v>155</v>
      </c>
      <c r="AE387" t="s">
        <v>155</v>
      </c>
      <c r="AF387" t="s">
        <v>155</v>
      </c>
      <c r="AG387" t="s">
        <v>155</v>
      </c>
      <c r="AH387" t="s">
        <v>83</v>
      </c>
    </row>
    <row r="388" spans="19:34" ht="16.2" customHeight="1" x14ac:dyDescent="0.3">
      <c r="T388" t="s">
        <v>169</v>
      </c>
      <c r="U388" t="s">
        <v>155</v>
      </c>
      <c r="V388" t="s">
        <v>155</v>
      </c>
      <c r="W388" t="s">
        <v>155</v>
      </c>
      <c r="X388" t="s">
        <v>155</v>
      </c>
      <c r="Y388" t="s">
        <v>155</v>
      </c>
      <c r="AC388" t="s">
        <v>169</v>
      </c>
      <c r="AD388" t="s">
        <v>155</v>
      </c>
      <c r="AE388" t="s">
        <v>155</v>
      </c>
      <c r="AF388" t="s">
        <v>155</v>
      </c>
      <c r="AG388" t="s">
        <v>155</v>
      </c>
      <c r="AH388" t="s">
        <v>155</v>
      </c>
    </row>
    <row r="389" spans="19:34" ht="16.2" customHeight="1" x14ac:dyDescent="0.3">
      <c r="T389" t="s">
        <v>170</v>
      </c>
      <c r="U389" t="s">
        <v>155</v>
      </c>
      <c r="V389" t="s">
        <v>155</v>
      </c>
      <c r="W389" t="s">
        <v>155</v>
      </c>
      <c r="X389" t="s">
        <v>155</v>
      </c>
      <c r="Y389" t="s">
        <v>155</v>
      </c>
      <c r="AC389" t="s">
        <v>170</v>
      </c>
      <c r="AD389" t="s">
        <v>155</v>
      </c>
      <c r="AE389" t="s">
        <v>155</v>
      </c>
      <c r="AF389" t="s">
        <v>155</v>
      </c>
      <c r="AG389" t="s">
        <v>155</v>
      </c>
      <c r="AH389" t="s">
        <v>155</v>
      </c>
    </row>
    <row r="390" spans="19:34" ht="16.2" customHeight="1" x14ac:dyDescent="0.3">
      <c r="T390" t="s">
        <v>171</v>
      </c>
      <c r="U390" t="s">
        <v>155</v>
      </c>
      <c r="V390" t="s">
        <v>155</v>
      </c>
      <c r="W390" t="s">
        <v>155</v>
      </c>
      <c r="X390" t="s">
        <v>155</v>
      </c>
      <c r="Y390" t="s">
        <v>155</v>
      </c>
      <c r="AC390" t="s">
        <v>171</v>
      </c>
      <c r="AD390" t="s">
        <v>155</v>
      </c>
      <c r="AE390" t="s">
        <v>155</v>
      </c>
      <c r="AF390" t="s">
        <v>155</v>
      </c>
      <c r="AG390" t="s">
        <v>155</v>
      </c>
      <c r="AH390" t="s">
        <v>155</v>
      </c>
    </row>
    <row r="391" spans="19:34" ht="16.2" customHeight="1" x14ac:dyDescent="0.3">
      <c r="T391" t="s">
        <v>172</v>
      </c>
      <c r="U391" t="s">
        <v>155</v>
      </c>
      <c r="V391" t="s">
        <v>155</v>
      </c>
      <c r="W391" t="s">
        <v>155</v>
      </c>
      <c r="X391" t="s">
        <v>155</v>
      </c>
      <c r="Y391" t="s">
        <v>155</v>
      </c>
      <c r="AC391" t="s">
        <v>172</v>
      </c>
      <c r="AD391" t="s">
        <v>155</v>
      </c>
      <c r="AE391" t="s">
        <v>155</v>
      </c>
      <c r="AF391" t="s">
        <v>155</v>
      </c>
      <c r="AG391" t="s">
        <v>155</v>
      </c>
      <c r="AH391" t="s">
        <v>155</v>
      </c>
    </row>
    <row r="393" spans="19:34" ht="16.2" customHeight="1" x14ac:dyDescent="0.3">
      <c r="S393" s="15" t="s">
        <v>129</v>
      </c>
      <c r="T393" t="s">
        <v>207</v>
      </c>
      <c r="AB393" s="15" t="s">
        <v>129</v>
      </c>
      <c r="AC393" t="s">
        <v>207</v>
      </c>
    </row>
    <row r="394" spans="19:34" ht="16.2" customHeight="1" x14ac:dyDescent="0.3">
      <c r="U394" t="s">
        <v>164</v>
      </c>
      <c r="V394" t="s">
        <v>165</v>
      </c>
      <c r="W394" t="s">
        <v>166</v>
      </c>
      <c r="X394" t="s">
        <v>167</v>
      </c>
      <c r="Y394" t="s">
        <v>168</v>
      </c>
      <c r="AD394" t="s">
        <v>164</v>
      </c>
      <c r="AE394" t="s">
        <v>165</v>
      </c>
      <c r="AF394" t="s">
        <v>166</v>
      </c>
      <c r="AG394" t="s">
        <v>167</v>
      </c>
      <c r="AH394" t="s">
        <v>168</v>
      </c>
    </row>
    <row r="395" spans="19:34" ht="16.2" customHeight="1" x14ac:dyDescent="0.3">
      <c r="T395" t="s">
        <v>154</v>
      </c>
      <c r="U395" t="s">
        <v>155</v>
      </c>
      <c r="V395" t="s">
        <v>155</v>
      </c>
      <c r="W395" t="s">
        <v>155</v>
      </c>
      <c r="X395" t="s">
        <v>155</v>
      </c>
      <c r="Y395" t="s">
        <v>155</v>
      </c>
      <c r="AC395" t="s">
        <v>154</v>
      </c>
      <c r="AD395" t="s">
        <v>155</v>
      </c>
      <c r="AE395" t="s">
        <v>155</v>
      </c>
      <c r="AF395" t="s">
        <v>155</v>
      </c>
      <c r="AG395" t="s">
        <v>155</v>
      </c>
      <c r="AH395" t="s">
        <v>155</v>
      </c>
    </row>
    <row r="396" spans="19:34" ht="16.2" customHeight="1" x14ac:dyDescent="0.3">
      <c r="T396" t="s">
        <v>156</v>
      </c>
      <c r="U396" t="s">
        <v>84</v>
      </c>
      <c r="V396" t="s">
        <v>155</v>
      </c>
      <c r="W396" t="s">
        <v>155</v>
      </c>
      <c r="X396" t="s">
        <v>155</v>
      </c>
      <c r="Y396" t="s">
        <v>155</v>
      </c>
      <c r="AC396" t="s">
        <v>156</v>
      </c>
      <c r="AD396" t="s">
        <v>155</v>
      </c>
      <c r="AE396" t="s">
        <v>155</v>
      </c>
      <c r="AF396" t="s">
        <v>155</v>
      </c>
      <c r="AG396" t="s">
        <v>155</v>
      </c>
      <c r="AH396" t="s">
        <v>155</v>
      </c>
    </row>
    <row r="397" spans="19:34" ht="16.2" customHeight="1" x14ac:dyDescent="0.3">
      <c r="T397" t="s">
        <v>157</v>
      </c>
      <c r="U397" t="s">
        <v>84</v>
      </c>
      <c r="V397" t="s">
        <v>155</v>
      </c>
      <c r="W397" t="s">
        <v>155</v>
      </c>
      <c r="X397" t="s">
        <v>155</v>
      </c>
      <c r="Y397" t="s">
        <v>155</v>
      </c>
      <c r="AC397" t="s">
        <v>157</v>
      </c>
      <c r="AD397" t="s">
        <v>155</v>
      </c>
      <c r="AE397" t="s">
        <v>155</v>
      </c>
      <c r="AF397" t="s">
        <v>155</v>
      </c>
      <c r="AG397" t="s">
        <v>155</v>
      </c>
      <c r="AH397" t="s">
        <v>155</v>
      </c>
    </row>
    <row r="398" spans="19:34" ht="16.2" customHeight="1" x14ac:dyDescent="0.3">
      <c r="T398" t="s">
        <v>158</v>
      </c>
      <c r="U398" t="s">
        <v>84</v>
      </c>
      <c r="V398" t="s">
        <v>155</v>
      </c>
      <c r="W398" t="s">
        <v>155</v>
      </c>
      <c r="X398" t="s">
        <v>155</v>
      </c>
      <c r="Y398" t="s">
        <v>155</v>
      </c>
      <c r="AC398" t="s">
        <v>158</v>
      </c>
      <c r="AD398" t="s">
        <v>155</v>
      </c>
      <c r="AE398" t="s">
        <v>155</v>
      </c>
      <c r="AF398" t="s">
        <v>155</v>
      </c>
      <c r="AG398" t="s">
        <v>84</v>
      </c>
      <c r="AH398" t="s">
        <v>155</v>
      </c>
    </row>
    <row r="399" spans="19:34" ht="16.2" customHeight="1" x14ac:dyDescent="0.3">
      <c r="T399" t="s">
        <v>159</v>
      </c>
      <c r="U399" t="s">
        <v>155</v>
      </c>
      <c r="V399" t="s">
        <v>155</v>
      </c>
      <c r="W399" t="s">
        <v>84</v>
      </c>
      <c r="X399" t="s">
        <v>155</v>
      </c>
      <c r="Y399" t="s">
        <v>155</v>
      </c>
      <c r="AC399" t="s">
        <v>159</v>
      </c>
      <c r="AD399" t="s">
        <v>84</v>
      </c>
      <c r="AE399" t="s">
        <v>155</v>
      </c>
      <c r="AF399" t="s">
        <v>155</v>
      </c>
      <c r="AG399" t="s">
        <v>84</v>
      </c>
      <c r="AH399" t="s">
        <v>155</v>
      </c>
    </row>
    <row r="400" spans="19:34" ht="16.2" customHeight="1" x14ac:dyDescent="0.3">
      <c r="T400" t="s">
        <v>160</v>
      </c>
      <c r="U400" t="s">
        <v>155</v>
      </c>
      <c r="V400" t="s">
        <v>155</v>
      </c>
      <c r="W400" t="s">
        <v>84</v>
      </c>
      <c r="X400" t="s">
        <v>155</v>
      </c>
      <c r="Y400" t="s">
        <v>155</v>
      </c>
      <c r="AC400" t="s">
        <v>160</v>
      </c>
      <c r="AD400" t="s">
        <v>84</v>
      </c>
      <c r="AE400" t="s">
        <v>155</v>
      </c>
      <c r="AF400" t="s">
        <v>155</v>
      </c>
      <c r="AG400" t="s">
        <v>84</v>
      </c>
      <c r="AH400" t="s">
        <v>155</v>
      </c>
    </row>
    <row r="401" spans="19:34" ht="16.2" customHeight="1" x14ac:dyDescent="0.3">
      <c r="T401" t="s">
        <v>169</v>
      </c>
      <c r="U401" t="s">
        <v>155</v>
      </c>
      <c r="V401" t="s">
        <v>155</v>
      </c>
      <c r="W401" t="s">
        <v>155</v>
      </c>
      <c r="X401" t="s">
        <v>155</v>
      </c>
      <c r="Y401" t="s">
        <v>155</v>
      </c>
      <c r="AC401" t="s">
        <v>169</v>
      </c>
      <c r="AD401" t="s">
        <v>155</v>
      </c>
      <c r="AE401" t="s">
        <v>155</v>
      </c>
      <c r="AF401" t="s">
        <v>155</v>
      </c>
      <c r="AG401" t="s">
        <v>155</v>
      </c>
      <c r="AH401" t="s">
        <v>155</v>
      </c>
    </row>
    <row r="402" spans="19:34" ht="16.2" customHeight="1" x14ac:dyDescent="0.3">
      <c r="T402" t="s">
        <v>170</v>
      </c>
      <c r="U402" t="s">
        <v>155</v>
      </c>
      <c r="V402" t="s">
        <v>155</v>
      </c>
      <c r="W402" t="s">
        <v>155</v>
      </c>
      <c r="X402" t="s">
        <v>155</v>
      </c>
      <c r="Y402" t="s">
        <v>155</v>
      </c>
      <c r="AC402" t="s">
        <v>170</v>
      </c>
      <c r="AD402" t="s">
        <v>155</v>
      </c>
      <c r="AE402" t="s">
        <v>155</v>
      </c>
      <c r="AF402" t="s">
        <v>155</v>
      </c>
      <c r="AG402" t="s">
        <v>155</v>
      </c>
      <c r="AH402" t="s">
        <v>155</v>
      </c>
    </row>
    <row r="403" spans="19:34" ht="16.2" customHeight="1" x14ac:dyDescent="0.3">
      <c r="T403" t="s">
        <v>171</v>
      </c>
      <c r="U403" t="s">
        <v>155</v>
      </c>
      <c r="V403" t="s">
        <v>155</v>
      </c>
      <c r="W403" t="s">
        <v>155</v>
      </c>
      <c r="X403" t="s">
        <v>155</v>
      </c>
      <c r="Y403" t="s">
        <v>155</v>
      </c>
      <c r="AC403" t="s">
        <v>171</v>
      </c>
      <c r="AD403" t="s">
        <v>155</v>
      </c>
      <c r="AE403" t="s">
        <v>155</v>
      </c>
      <c r="AF403" t="s">
        <v>155</v>
      </c>
      <c r="AG403" t="s">
        <v>155</v>
      </c>
      <c r="AH403" t="s">
        <v>155</v>
      </c>
    </row>
    <row r="404" spans="19:34" ht="16.2" customHeight="1" x14ac:dyDescent="0.3">
      <c r="T404" t="s">
        <v>172</v>
      </c>
      <c r="U404" t="s">
        <v>155</v>
      </c>
      <c r="V404" t="s">
        <v>155</v>
      </c>
      <c r="W404" t="s">
        <v>155</v>
      </c>
      <c r="X404" t="s">
        <v>155</v>
      </c>
      <c r="Y404" t="s">
        <v>155</v>
      </c>
      <c r="AC404" t="s">
        <v>172</v>
      </c>
      <c r="AD404" t="s">
        <v>155</v>
      </c>
      <c r="AE404" t="s">
        <v>155</v>
      </c>
      <c r="AF404" t="s">
        <v>155</v>
      </c>
      <c r="AG404" t="s">
        <v>155</v>
      </c>
      <c r="AH404" t="s">
        <v>155</v>
      </c>
    </row>
    <row r="406" spans="19:34" ht="16.2" customHeight="1" x14ac:dyDescent="0.3">
      <c r="S406" s="15" t="s">
        <v>130</v>
      </c>
      <c r="T406" t="s">
        <v>208</v>
      </c>
      <c r="AB406" s="15" t="s">
        <v>130</v>
      </c>
      <c r="AC406" t="s">
        <v>208</v>
      </c>
    </row>
    <row r="407" spans="19:34" ht="16.2" customHeight="1" x14ac:dyDescent="0.3">
      <c r="U407" t="s">
        <v>164</v>
      </c>
      <c r="V407" t="s">
        <v>165</v>
      </c>
      <c r="W407" t="s">
        <v>166</v>
      </c>
      <c r="X407" t="s">
        <v>167</v>
      </c>
      <c r="Y407" t="s">
        <v>168</v>
      </c>
      <c r="AD407" t="s">
        <v>164</v>
      </c>
      <c r="AE407" t="s">
        <v>165</v>
      </c>
      <c r="AF407" t="s">
        <v>166</v>
      </c>
      <c r="AG407" t="s">
        <v>167</v>
      </c>
      <c r="AH407" t="s">
        <v>168</v>
      </c>
    </row>
    <row r="408" spans="19:34" ht="16.2" customHeight="1" x14ac:dyDescent="0.3">
      <c r="T408" t="s">
        <v>154</v>
      </c>
      <c r="U408" t="s">
        <v>155</v>
      </c>
      <c r="V408" t="s">
        <v>155</v>
      </c>
      <c r="W408" t="s">
        <v>155</v>
      </c>
      <c r="X408" t="s">
        <v>85</v>
      </c>
      <c r="Y408" t="s">
        <v>155</v>
      </c>
      <c r="AC408" t="s">
        <v>154</v>
      </c>
      <c r="AD408" t="s">
        <v>155</v>
      </c>
      <c r="AE408" t="s">
        <v>155</v>
      </c>
      <c r="AF408" t="s">
        <v>155</v>
      </c>
      <c r="AG408" t="s">
        <v>85</v>
      </c>
      <c r="AH408" t="s">
        <v>155</v>
      </c>
    </row>
    <row r="409" spans="19:34" ht="16.2" customHeight="1" x14ac:dyDescent="0.3">
      <c r="T409" t="s">
        <v>156</v>
      </c>
      <c r="U409" t="s">
        <v>155</v>
      </c>
      <c r="V409" t="s">
        <v>155</v>
      </c>
      <c r="W409" t="s">
        <v>155</v>
      </c>
      <c r="X409" t="s">
        <v>85</v>
      </c>
      <c r="Y409" t="s">
        <v>155</v>
      </c>
      <c r="AC409" t="s">
        <v>156</v>
      </c>
      <c r="AD409" t="s">
        <v>155</v>
      </c>
      <c r="AE409" t="s">
        <v>155</v>
      </c>
      <c r="AF409" t="s">
        <v>155</v>
      </c>
      <c r="AG409" t="s">
        <v>85</v>
      </c>
      <c r="AH409" t="s">
        <v>155</v>
      </c>
    </row>
    <row r="410" spans="19:34" ht="16.2" customHeight="1" x14ac:dyDescent="0.3">
      <c r="T410" t="s">
        <v>157</v>
      </c>
      <c r="U410" t="s">
        <v>155</v>
      </c>
      <c r="V410" t="s">
        <v>155</v>
      </c>
      <c r="W410" t="s">
        <v>155</v>
      </c>
      <c r="X410" t="s">
        <v>85</v>
      </c>
      <c r="Y410" t="s">
        <v>155</v>
      </c>
      <c r="AC410" t="s">
        <v>157</v>
      </c>
      <c r="AD410" t="s">
        <v>155</v>
      </c>
      <c r="AE410" t="s">
        <v>155</v>
      </c>
      <c r="AF410" t="s">
        <v>155</v>
      </c>
      <c r="AG410" t="s">
        <v>85</v>
      </c>
      <c r="AH410" t="s">
        <v>155</v>
      </c>
    </row>
    <row r="411" spans="19:34" ht="16.2" customHeight="1" x14ac:dyDescent="0.3">
      <c r="T411" t="s">
        <v>158</v>
      </c>
      <c r="U411" t="s">
        <v>155</v>
      </c>
      <c r="V411" t="s">
        <v>155</v>
      </c>
      <c r="W411" t="s">
        <v>155</v>
      </c>
      <c r="X411" t="s">
        <v>155</v>
      </c>
      <c r="Y411" t="s">
        <v>155</v>
      </c>
      <c r="AC411" t="s">
        <v>158</v>
      </c>
      <c r="AD411" t="s">
        <v>155</v>
      </c>
      <c r="AE411" t="s">
        <v>155</v>
      </c>
      <c r="AF411" t="s">
        <v>155</v>
      </c>
      <c r="AG411" t="s">
        <v>155</v>
      </c>
      <c r="AH411" t="s">
        <v>155</v>
      </c>
    </row>
    <row r="412" spans="19:34" ht="16.2" customHeight="1" x14ac:dyDescent="0.3">
      <c r="T412" t="s">
        <v>159</v>
      </c>
      <c r="U412" t="s">
        <v>155</v>
      </c>
      <c r="V412" t="s">
        <v>155</v>
      </c>
      <c r="W412" t="s">
        <v>155</v>
      </c>
      <c r="X412" t="s">
        <v>155</v>
      </c>
      <c r="Y412" t="s">
        <v>155</v>
      </c>
      <c r="AC412" t="s">
        <v>159</v>
      </c>
      <c r="AD412" t="s">
        <v>155</v>
      </c>
      <c r="AE412" t="s">
        <v>155</v>
      </c>
      <c r="AF412" t="s">
        <v>155</v>
      </c>
      <c r="AG412" t="s">
        <v>155</v>
      </c>
      <c r="AH412" t="s">
        <v>155</v>
      </c>
    </row>
    <row r="413" spans="19:34" ht="16.2" customHeight="1" x14ac:dyDescent="0.3">
      <c r="T413" t="s">
        <v>160</v>
      </c>
      <c r="U413" t="s">
        <v>155</v>
      </c>
      <c r="V413" t="s">
        <v>155</v>
      </c>
      <c r="W413" t="s">
        <v>155</v>
      </c>
      <c r="X413" t="s">
        <v>155</v>
      </c>
      <c r="Y413" t="s">
        <v>155</v>
      </c>
      <c r="AC413" t="s">
        <v>160</v>
      </c>
      <c r="AD413" t="s">
        <v>155</v>
      </c>
      <c r="AE413" t="s">
        <v>155</v>
      </c>
      <c r="AF413" t="s">
        <v>155</v>
      </c>
      <c r="AG413" t="s">
        <v>155</v>
      </c>
      <c r="AH413" t="s">
        <v>155</v>
      </c>
    </row>
    <row r="414" spans="19:34" ht="16.2" customHeight="1" x14ac:dyDescent="0.3">
      <c r="T414" t="s">
        <v>169</v>
      </c>
      <c r="U414" t="s">
        <v>155</v>
      </c>
      <c r="V414" t="s">
        <v>155</v>
      </c>
      <c r="W414" t="s">
        <v>155</v>
      </c>
      <c r="X414" t="s">
        <v>155</v>
      </c>
      <c r="Y414" t="s">
        <v>155</v>
      </c>
      <c r="AC414" t="s">
        <v>169</v>
      </c>
      <c r="AD414" t="s">
        <v>155</v>
      </c>
      <c r="AE414" t="s">
        <v>155</v>
      </c>
      <c r="AF414" t="s">
        <v>155</v>
      </c>
      <c r="AG414" t="s">
        <v>155</v>
      </c>
      <c r="AH414" t="s">
        <v>155</v>
      </c>
    </row>
    <row r="415" spans="19:34" ht="16.2" customHeight="1" x14ac:dyDescent="0.3">
      <c r="T415" t="s">
        <v>170</v>
      </c>
      <c r="U415" t="s">
        <v>155</v>
      </c>
      <c r="V415" t="s">
        <v>155</v>
      </c>
      <c r="W415" t="s">
        <v>155</v>
      </c>
      <c r="X415" t="s">
        <v>155</v>
      </c>
      <c r="Y415" t="s">
        <v>155</v>
      </c>
      <c r="AC415" t="s">
        <v>170</v>
      </c>
      <c r="AD415" t="s">
        <v>155</v>
      </c>
      <c r="AE415" t="s">
        <v>155</v>
      </c>
      <c r="AF415" t="s">
        <v>155</v>
      </c>
      <c r="AG415" t="s">
        <v>155</v>
      </c>
      <c r="AH415" t="s">
        <v>155</v>
      </c>
    </row>
    <row r="416" spans="19:34" ht="16.2" customHeight="1" x14ac:dyDescent="0.3">
      <c r="T416" t="s">
        <v>171</v>
      </c>
      <c r="U416" t="s">
        <v>155</v>
      </c>
      <c r="V416" t="s">
        <v>155</v>
      </c>
      <c r="W416" t="s">
        <v>155</v>
      </c>
      <c r="X416" t="s">
        <v>155</v>
      </c>
      <c r="Y416" t="s">
        <v>155</v>
      </c>
      <c r="AC416" t="s">
        <v>171</v>
      </c>
      <c r="AD416" t="s">
        <v>155</v>
      </c>
      <c r="AE416" t="s">
        <v>155</v>
      </c>
      <c r="AF416" t="s">
        <v>155</v>
      </c>
      <c r="AG416" t="s">
        <v>155</v>
      </c>
      <c r="AH416" t="s">
        <v>155</v>
      </c>
    </row>
    <row r="417" spans="19:34" ht="16.2" customHeight="1" x14ac:dyDescent="0.3">
      <c r="T417" t="s">
        <v>172</v>
      </c>
      <c r="U417" t="s">
        <v>155</v>
      </c>
      <c r="V417" t="s">
        <v>155</v>
      </c>
      <c r="W417" t="s">
        <v>155</v>
      </c>
      <c r="X417" t="s">
        <v>155</v>
      </c>
      <c r="Y417" t="s">
        <v>155</v>
      </c>
      <c r="AC417" t="s">
        <v>172</v>
      </c>
      <c r="AD417" t="s">
        <v>155</v>
      </c>
      <c r="AE417" t="s">
        <v>155</v>
      </c>
      <c r="AF417" t="s">
        <v>155</v>
      </c>
      <c r="AG417" t="s">
        <v>155</v>
      </c>
      <c r="AH417" t="s">
        <v>155</v>
      </c>
    </row>
    <row r="419" spans="19:34" ht="16.2" customHeight="1" x14ac:dyDescent="0.3">
      <c r="S419" s="15" t="s">
        <v>131</v>
      </c>
      <c r="T419" t="s">
        <v>209</v>
      </c>
      <c r="AB419" s="15" t="s">
        <v>131</v>
      </c>
      <c r="AC419" t="s">
        <v>209</v>
      </c>
    </row>
    <row r="420" spans="19:34" ht="16.2" customHeight="1" x14ac:dyDescent="0.3">
      <c r="U420" t="s">
        <v>164</v>
      </c>
      <c r="V420" t="s">
        <v>165</v>
      </c>
      <c r="W420" t="s">
        <v>166</v>
      </c>
      <c r="X420" t="s">
        <v>167</v>
      </c>
      <c r="Y420" t="s">
        <v>168</v>
      </c>
      <c r="AD420" t="s">
        <v>164</v>
      </c>
      <c r="AE420" t="s">
        <v>165</v>
      </c>
      <c r="AF420" t="s">
        <v>166</v>
      </c>
      <c r="AG420" t="s">
        <v>167</v>
      </c>
      <c r="AH420" t="s">
        <v>168</v>
      </c>
    </row>
    <row r="421" spans="19:34" ht="16.2" customHeight="1" x14ac:dyDescent="0.3">
      <c r="T421" t="s">
        <v>154</v>
      </c>
      <c r="U421" t="s">
        <v>155</v>
      </c>
      <c r="V421" t="s">
        <v>86</v>
      </c>
      <c r="W421" t="s">
        <v>155</v>
      </c>
      <c r="X421" t="s">
        <v>155</v>
      </c>
      <c r="Y421" t="s">
        <v>155</v>
      </c>
      <c r="AC421" t="s">
        <v>154</v>
      </c>
      <c r="AD421" t="s">
        <v>155</v>
      </c>
      <c r="AE421" t="s">
        <v>86</v>
      </c>
      <c r="AF421" t="s">
        <v>155</v>
      </c>
      <c r="AG421" t="s">
        <v>155</v>
      </c>
      <c r="AH421" t="s">
        <v>155</v>
      </c>
    </row>
    <row r="422" spans="19:34" ht="16.2" customHeight="1" x14ac:dyDescent="0.3">
      <c r="T422" t="s">
        <v>156</v>
      </c>
      <c r="U422" t="s">
        <v>155</v>
      </c>
      <c r="V422" t="s">
        <v>86</v>
      </c>
      <c r="W422" t="s">
        <v>155</v>
      </c>
      <c r="X422" t="s">
        <v>155</v>
      </c>
      <c r="Y422" t="s">
        <v>155</v>
      </c>
      <c r="AC422" t="s">
        <v>156</v>
      </c>
      <c r="AD422" t="s">
        <v>155</v>
      </c>
      <c r="AE422" t="s">
        <v>86</v>
      </c>
      <c r="AF422" t="s">
        <v>155</v>
      </c>
      <c r="AG422" t="s">
        <v>155</v>
      </c>
      <c r="AH422" t="s">
        <v>155</v>
      </c>
    </row>
    <row r="423" spans="19:34" ht="16.2" customHeight="1" x14ac:dyDescent="0.3">
      <c r="T423" t="s">
        <v>157</v>
      </c>
      <c r="U423" t="s">
        <v>155</v>
      </c>
      <c r="V423" t="s">
        <v>155</v>
      </c>
      <c r="W423" t="s">
        <v>86</v>
      </c>
      <c r="X423" t="s">
        <v>155</v>
      </c>
      <c r="Y423" t="s">
        <v>155</v>
      </c>
      <c r="AC423" t="s">
        <v>157</v>
      </c>
      <c r="AD423" t="s">
        <v>155</v>
      </c>
      <c r="AE423" t="s">
        <v>155</v>
      </c>
      <c r="AF423" t="s">
        <v>86</v>
      </c>
      <c r="AG423" t="s">
        <v>155</v>
      </c>
      <c r="AH423" t="s">
        <v>155</v>
      </c>
    </row>
    <row r="424" spans="19:34" ht="16.2" customHeight="1" x14ac:dyDescent="0.3">
      <c r="T424" t="s">
        <v>158</v>
      </c>
      <c r="U424" t="s">
        <v>155</v>
      </c>
      <c r="V424" t="s">
        <v>155</v>
      </c>
      <c r="W424" t="s">
        <v>86</v>
      </c>
      <c r="X424" t="s">
        <v>155</v>
      </c>
      <c r="Y424" t="s">
        <v>155</v>
      </c>
      <c r="AC424" t="s">
        <v>158</v>
      </c>
      <c r="AD424" t="s">
        <v>155</v>
      </c>
      <c r="AE424" t="s">
        <v>155</v>
      </c>
      <c r="AF424" t="s">
        <v>86</v>
      </c>
      <c r="AG424" t="s">
        <v>155</v>
      </c>
      <c r="AH424" t="s">
        <v>155</v>
      </c>
    </row>
    <row r="425" spans="19:34" ht="16.2" customHeight="1" x14ac:dyDescent="0.3">
      <c r="T425" t="s">
        <v>159</v>
      </c>
      <c r="U425" t="s">
        <v>155</v>
      </c>
      <c r="V425" t="s">
        <v>155</v>
      </c>
      <c r="W425" t="s">
        <v>155</v>
      </c>
      <c r="X425" t="s">
        <v>155</v>
      </c>
      <c r="Y425" t="s">
        <v>155</v>
      </c>
      <c r="AC425" t="s">
        <v>159</v>
      </c>
      <c r="AD425" t="s">
        <v>155</v>
      </c>
      <c r="AE425" t="s">
        <v>155</v>
      </c>
      <c r="AF425" t="s">
        <v>155</v>
      </c>
      <c r="AG425" t="s">
        <v>155</v>
      </c>
      <c r="AH425" t="s">
        <v>155</v>
      </c>
    </row>
    <row r="426" spans="19:34" ht="16.2" customHeight="1" x14ac:dyDescent="0.3">
      <c r="T426" t="s">
        <v>160</v>
      </c>
      <c r="U426" t="s">
        <v>155</v>
      </c>
      <c r="V426" t="s">
        <v>155</v>
      </c>
      <c r="W426" t="s">
        <v>155</v>
      </c>
      <c r="X426" t="s">
        <v>155</v>
      </c>
      <c r="Y426" t="s">
        <v>155</v>
      </c>
      <c r="AC426" t="s">
        <v>160</v>
      </c>
      <c r="AD426" t="s">
        <v>155</v>
      </c>
      <c r="AE426" t="s">
        <v>155</v>
      </c>
      <c r="AF426" t="s">
        <v>155</v>
      </c>
      <c r="AG426" t="s">
        <v>155</v>
      </c>
      <c r="AH426" t="s">
        <v>155</v>
      </c>
    </row>
    <row r="427" spans="19:34" ht="16.2" customHeight="1" x14ac:dyDescent="0.3">
      <c r="T427" t="s">
        <v>169</v>
      </c>
      <c r="U427" t="s">
        <v>155</v>
      </c>
      <c r="V427" t="s">
        <v>155</v>
      </c>
      <c r="W427" t="s">
        <v>155</v>
      </c>
      <c r="X427" t="s">
        <v>155</v>
      </c>
      <c r="Y427" t="s">
        <v>155</v>
      </c>
      <c r="AC427" t="s">
        <v>169</v>
      </c>
      <c r="AD427" t="s">
        <v>155</v>
      </c>
      <c r="AE427" t="s">
        <v>155</v>
      </c>
      <c r="AF427" t="s">
        <v>155</v>
      </c>
      <c r="AG427" t="s">
        <v>155</v>
      </c>
      <c r="AH427" t="s">
        <v>155</v>
      </c>
    </row>
    <row r="428" spans="19:34" ht="16.2" customHeight="1" x14ac:dyDescent="0.3">
      <c r="T428" t="s">
        <v>170</v>
      </c>
      <c r="U428" t="s">
        <v>155</v>
      </c>
      <c r="V428" t="s">
        <v>155</v>
      </c>
      <c r="W428" t="s">
        <v>155</v>
      </c>
      <c r="X428" t="s">
        <v>155</v>
      </c>
      <c r="Y428" t="s">
        <v>155</v>
      </c>
      <c r="AC428" t="s">
        <v>170</v>
      </c>
      <c r="AD428" t="s">
        <v>155</v>
      </c>
      <c r="AE428" t="s">
        <v>155</v>
      </c>
      <c r="AF428" t="s">
        <v>155</v>
      </c>
      <c r="AG428" t="s">
        <v>155</v>
      </c>
      <c r="AH428" t="s">
        <v>155</v>
      </c>
    </row>
    <row r="429" spans="19:34" ht="16.2" customHeight="1" x14ac:dyDescent="0.3">
      <c r="T429" t="s">
        <v>171</v>
      </c>
      <c r="U429" t="s">
        <v>155</v>
      </c>
      <c r="V429" t="s">
        <v>155</v>
      </c>
      <c r="W429" t="s">
        <v>155</v>
      </c>
      <c r="X429" t="s">
        <v>155</v>
      </c>
      <c r="Y429" t="s">
        <v>155</v>
      </c>
      <c r="AC429" t="s">
        <v>171</v>
      </c>
      <c r="AD429" t="s">
        <v>155</v>
      </c>
      <c r="AE429" t="s">
        <v>155</v>
      </c>
      <c r="AF429" t="s">
        <v>155</v>
      </c>
      <c r="AG429" t="s">
        <v>155</v>
      </c>
      <c r="AH429" t="s">
        <v>155</v>
      </c>
    </row>
    <row r="430" spans="19:34" ht="16.2" customHeight="1" x14ac:dyDescent="0.3">
      <c r="T430" t="s">
        <v>172</v>
      </c>
      <c r="U430" t="s">
        <v>155</v>
      </c>
      <c r="V430" t="s">
        <v>155</v>
      </c>
      <c r="W430" t="s">
        <v>155</v>
      </c>
      <c r="X430" t="s">
        <v>155</v>
      </c>
      <c r="Y430" t="s">
        <v>155</v>
      </c>
      <c r="AC430" t="s">
        <v>172</v>
      </c>
      <c r="AD430" t="s">
        <v>155</v>
      </c>
      <c r="AE430" t="s">
        <v>155</v>
      </c>
      <c r="AF430" t="s">
        <v>155</v>
      </c>
      <c r="AG430" t="s">
        <v>155</v>
      </c>
      <c r="AH430" t="s">
        <v>155</v>
      </c>
    </row>
    <row r="432" spans="19:34" ht="16.2" customHeight="1" x14ac:dyDescent="0.3">
      <c r="S432" s="15" t="s">
        <v>152</v>
      </c>
      <c r="T432" t="s">
        <v>210</v>
      </c>
      <c r="AB432" s="15" t="s">
        <v>152</v>
      </c>
      <c r="AC432" t="s">
        <v>210</v>
      </c>
    </row>
    <row r="433" spans="19:34" ht="16.2" customHeight="1" x14ac:dyDescent="0.3">
      <c r="U433" t="s">
        <v>164</v>
      </c>
      <c r="V433" t="s">
        <v>165</v>
      </c>
      <c r="W433" t="s">
        <v>166</v>
      </c>
      <c r="X433" t="s">
        <v>167</v>
      </c>
      <c r="Y433" t="s">
        <v>168</v>
      </c>
      <c r="AD433" t="s">
        <v>164</v>
      </c>
      <c r="AE433" t="s">
        <v>165</v>
      </c>
      <c r="AF433" t="s">
        <v>166</v>
      </c>
      <c r="AG433" t="s">
        <v>167</v>
      </c>
      <c r="AH433" t="s">
        <v>168</v>
      </c>
    </row>
    <row r="434" spans="19:34" ht="16.2" customHeight="1" x14ac:dyDescent="0.3">
      <c r="T434" t="s">
        <v>154</v>
      </c>
      <c r="U434" t="s">
        <v>155</v>
      </c>
      <c r="V434" t="s">
        <v>87</v>
      </c>
      <c r="W434" t="s">
        <v>155</v>
      </c>
      <c r="X434" t="s">
        <v>87</v>
      </c>
      <c r="Y434" t="s">
        <v>155</v>
      </c>
      <c r="AC434" t="s">
        <v>154</v>
      </c>
      <c r="AD434" t="s">
        <v>155</v>
      </c>
      <c r="AE434" t="s">
        <v>87</v>
      </c>
      <c r="AF434" t="s">
        <v>155</v>
      </c>
      <c r="AG434" t="s">
        <v>87</v>
      </c>
      <c r="AH434" t="s">
        <v>155</v>
      </c>
    </row>
    <row r="435" spans="19:34" ht="16.2" customHeight="1" x14ac:dyDescent="0.3">
      <c r="T435" t="s">
        <v>156</v>
      </c>
      <c r="U435" t="s">
        <v>155</v>
      </c>
      <c r="V435" t="s">
        <v>87</v>
      </c>
      <c r="W435" t="s">
        <v>155</v>
      </c>
      <c r="X435" t="s">
        <v>87</v>
      </c>
      <c r="Y435" t="s">
        <v>155</v>
      </c>
      <c r="AC435" t="s">
        <v>156</v>
      </c>
      <c r="AD435" t="s">
        <v>155</v>
      </c>
      <c r="AE435" t="s">
        <v>87</v>
      </c>
      <c r="AF435" t="s">
        <v>155</v>
      </c>
      <c r="AG435" t="s">
        <v>87</v>
      </c>
      <c r="AH435" t="s">
        <v>155</v>
      </c>
    </row>
    <row r="436" spans="19:34" ht="16.2" customHeight="1" x14ac:dyDescent="0.3">
      <c r="T436" t="s">
        <v>157</v>
      </c>
      <c r="U436" t="s">
        <v>155</v>
      </c>
      <c r="V436" t="s">
        <v>155</v>
      </c>
      <c r="W436" t="s">
        <v>155</v>
      </c>
      <c r="X436" t="s">
        <v>87</v>
      </c>
      <c r="Y436" t="s">
        <v>155</v>
      </c>
      <c r="AC436" t="s">
        <v>157</v>
      </c>
      <c r="AD436" t="s">
        <v>155</v>
      </c>
      <c r="AE436" t="s">
        <v>155</v>
      </c>
      <c r="AF436" t="s">
        <v>155</v>
      </c>
      <c r="AG436" t="s">
        <v>87</v>
      </c>
      <c r="AH436" t="s">
        <v>155</v>
      </c>
    </row>
    <row r="437" spans="19:34" ht="16.2" customHeight="1" x14ac:dyDescent="0.3">
      <c r="T437" t="s">
        <v>158</v>
      </c>
      <c r="U437" t="s">
        <v>155</v>
      </c>
      <c r="V437" t="s">
        <v>155</v>
      </c>
      <c r="W437" t="s">
        <v>155</v>
      </c>
      <c r="X437" t="s">
        <v>155</v>
      </c>
      <c r="Y437" t="s">
        <v>155</v>
      </c>
      <c r="AC437" t="s">
        <v>158</v>
      </c>
      <c r="AD437" t="s">
        <v>155</v>
      </c>
      <c r="AE437" t="s">
        <v>155</v>
      </c>
      <c r="AF437" t="s">
        <v>155</v>
      </c>
      <c r="AG437" t="s">
        <v>155</v>
      </c>
      <c r="AH437" t="s">
        <v>155</v>
      </c>
    </row>
    <row r="438" spans="19:34" ht="16.2" customHeight="1" x14ac:dyDescent="0.3">
      <c r="T438" t="s">
        <v>159</v>
      </c>
      <c r="U438" t="s">
        <v>155</v>
      </c>
      <c r="V438" t="s">
        <v>155</v>
      </c>
      <c r="W438" t="s">
        <v>155</v>
      </c>
      <c r="X438" t="s">
        <v>155</v>
      </c>
      <c r="Y438" t="s">
        <v>155</v>
      </c>
      <c r="AC438" t="s">
        <v>159</v>
      </c>
      <c r="AD438" t="s">
        <v>155</v>
      </c>
      <c r="AE438" t="s">
        <v>155</v>
      </c>
      <c r="AF438" t="s">
        <v>155</v>
      </c>
      <c r="AG438" t="s">
        <v>155</v>
      </c>
      <c r="AH438" t="s">
        <v>155</v>
      </c>
    </row>
    <row r="439" spans="19:34" ht="16.2" customHeight="1" x14ac:dyDescent="0.3">
      <c r="T439" t="s">
        <v>160</v>
      </c>
      <c r="U439" t="s">
        <v>155</v>
      </c>
      <c r="V439" t="s">
        <v>155</v>
      </c>
      <c r="W439" t="s">
        <v>155</v>
      </c>
      <c r="X439" t="s">
        <v>155</v>
      </c>
      <c r="Y439" t="s">
        <v>155</v>
      </c>
      <c r="AC439" t="s">
        <v>160</v>
      </c>
      <c r="AD439" t="s">
        <v>155</v>
      </c>
      <c r="AE439" t="s">
        <v>155</v>
      </c>
      <c r="AF439" t="s">
        <v>155</v>
      </c>
      <c r="AG439" t="s">
        <v>155</v>
      </c>
      <c r="AH439" t="s">
        <v>155</v>
      </c>
    </row>
    <row r="440" spans="19:34" ht="16.2" customHeight="1" x14ac:dyDescent="0.3">
      <c r="T440" t="s">
        <v>169</v>
      </c>
      <c r="U440" t="s">
        <v>155</v>
      </c>
      <c r="V440" t="s">
        <v>155</v>
      </c>
      <c r="W440" t="s">
        <v>155</v>
      </c>
      <c r="X440" t="s">
        <v>155</v>
      </c>
      <c r="Y440" t="s">
        <v>155</v>
      </c>
      <c r="AC440" t="s">
        <v>169</v>
      </c>
      <c r="AD440" t="s">
        <v>155</v>
      </c>
      <c r="AE440" t="s">
        <v>155</v>
      </c>
      <c r="AF440" t="s">
        <v>155</v>
      </c>
      <c r="AG440" t="s">
        <v>155</v>
      </c>
      <c r="AH440" t="s">
        <v>155</v>
      </c>
    </row>
    <row r="441" spans="19:34" ht="16.2" customHeight="1" x14ac:dyDescent="0.3">
      <c r="T441" t="s">
        <v>170</v>
      </c>
      <c r="U441" t="s">
        <v>155</v>
      </c>
      <c r="V441" t="s">
        <v>155</v>
      </c>
      <c r="W441" t="s">
        <v>155</v>
      </c>
      <c r="X441" t="s">
        <v>155</v>
      </c>
      <c r="Y441" t="s">
        <v>155</v>
      </c>
      <c r="AC441" t="s">
        <v>170</v>
      </c>
      <c r="AD441" t="s">
        <v>155</v>
      </c>
      <c r="AE441" t="s">
        <v>155</v>
      </c>
      <c r="AF441" t="s">
        <v>155</v>
      </c>
      <c r="AG441" t="s">
        <v>155</v>
      </c>
      <c r="AH441" t="s">
        <v>155</v>
      </c>
    </row>
    <row r="442" spans="19:34" ht="16.2" customHeight="1" x14ac:dyDescent="0.3">
      <c r="T442" t="s">
        <v>171</v>
      </c>
      <c r="U442" t="s">
        <v>155</v>
      </c>
      <c r="V442" t="s">
        <v>155</v>
      </c>
      <c r="W442" t="s">
        <v>155</v>
      </c>
      <c r="X442" t="s">
        <v>155</v>
      </c>
      <c r="Y442" t="s">
        <v>155</v>
      </c>
      <c r="AC442" t="s">
        <v>171</v>
      </c>
      <c r="AD442" t="s">
        <v>155</v>
      </c>
      <c r="AE442" t="s">
        <v>155</v>
      </c>
      <c r="AF442" t="s">
        <v>155</v>
      </c>
      <c r="AG442" t="s">
        <v>155</v>
      </c>
      <c r="AH442" t="s">
        <v>155</v>
      </c>
    </row>
    <row r="443" spans="19:34" ht="16.2" customHeight="1" x14ac:dyDescent="0.3">
      <c r="T443" t="s">
        <v>172</v>
      </c>
      <c r="U443" t="s">
        <v>155</v>
      </c>
      <c r="V443" t="s">
        <v>155</v>
      </c>
      <c r="W443" t="s">
        <v>155</v>
      </c>
      <c r="X443" t="s">
        <v>155</v>
      </c>
      <c r="Y443" t="s">
        <v>155</v>
      </c>
      <c r="AC443" t="s">
        <v>172</v>
      </c>
      <c r="AD443" t="s">
        <v>155</v>
      </c>
      <c r="AE443" t="s">
        <v>155</v>
      </c>
      <c r="AF443" t="s">
        <v>155</v>
      </c>
      <c r="AG443" t="s">
        <v>155</v>
      </c>
      <c r="AH443" t="s">
        <v>155</v>
      </c>
    </row>
    <row r="445" spans="19:34" ht="16.2" customHeight="1" x14ac:dyDescent="0.3">
      <c r="S445" s="15" t="s">
        <v>132</v>
      </c>
      <c r="T445" t="s">
        <v>211</v>
      </c>
      <c r="AB445" s="15" t="s">
        <v>132</v>
      </c>
      <c r="AC445" t="s">
        <v>211</v>
      </c>
    </row>
    <row r="446" spans="19:34" ht="16.2" customHeight="1" x14ac:dyDescent="0.3">
      <c r="U446" t="s">
        <v>164</v>
      </c>
      <c r="V446" t="s">
        <v>165</v>
      </c>
      <c r="W446" t="s">
        <v>166</v>
      </c>
      <c r="X446" t="s">
        <v>167</v>
      </c>
      <c r="Y446" t="s">
        <v>168</v>
      </c>
      <c r="AD446" t="s">
        <v>164</v>
      </c>
      <c r="AE446" t="s">
        <v>165</v>
      </c>
      <c r="AF446" t="s">
        <v>166</v>
      </c>
      <c r="AG446" t="s">
        <v>167</v>
      </c>
      <c r="AH446" t="s">
        <v>168</v>
      </c>
    </row>
    <row r="447" spans="19:34" ht="16.2" customHeight="1" x14ac:dyDescent="0.3">
      <c r="T447" t="s">
        <v>154</v>
      </c>
      <c r="U447" t="s">
        <v>155</v>
      </c>
      <c r="V447" t="s">
        <v>155</v>
      </c>
      <c r="W447" t="s">
        <v>176</v>
      </c>
      <c r="X447" t="s">
        <v>155</v>
      </c>
      <c r="Y447" t="s">
        <v>155</v>
      </c>
      <c r="AC447" t="s">
        <v>154</v>
      </c>
      <c r="AD447" t="s">
        <v>155</v>
      </c>
      <c r="AE447" t="s">
        <v>155</v>
      </c>
      <c r="AF447" t="s">
        <v>176</v>
      </c>
      <c r="AG447" t="s">
        <v>155</v>
      </c>
      <c r="AH447" t="s">
        <v>155</v>
      </c>
    </row>
    <row r="448" spans="19:34" ht="16.2" customHeight="1" x14ac:dyDescent="0.3">
      <c r="T448" t="s">
        <v>156</v>
      </c>
      <c r="U448" t="s">
        <v>155</v>
      </c>
      <c r="V448" t="s">
        <v>155</v>
      </c>
      <c r="W448" t="s">
        <v>176</v>
      </c>
      <c r="X448" t="s">
        <v>155</v>
      </c>
      <c r="Y448" t="s">
        <v>155</v>
      </c>
      <c r="AC448" t="s">
        <v>156</v>
      </c>
      <c r="AD448" t="s">
        <v>155</v>
      </c>
      <c r="AE448" t="s">
        <v>155</v>
      </c>
      <c r="AF448" t="s">
        <v>176</v>
      </c>
      <c r="AG448" t="s">
        <v>155</v>
      </c>
      <c r="AH448" t="s">
        <v>155</v>
      </c>
    </row>
    <row r="449" spans="19:34" ht="16.2" customHeight="1" x14ac:dyDescent="0.3">
      <c r="T449" t="s">
        <v>157</v>
      </c>
      <c r="U449" t="s">
        <v>155</v>
      </c>
      <c r="V449" t="s">
        <v>155</v>
      </c>
      <c r="W449" t="s">
        <v>176</v>
      </c>
      <c r="X449" t="s">
        <v>155</v>
      </c>
      <c r="Y449" t="s">
        <v>155</v>
      </c>
      <c r="AC449" t="s">
        <v>157</v>
      </c>
      <c r="AD449" t="s">
        <v>155</v>
      </c>
      <c r="AE449" t="s">
        <v>155</v>
      </c>
      <c r="AF449" t="s">
        <v>176</v>
      </c>
      <c r="AG449" t="s">
        <v>155</v>
      </c>
      <c r="AH449" t="s">
        <v>155</v>
      </c>
    </row>
    <row r="450" spans="19:34" ht="16.2" customHeight="1" x14ac:dyDescent="0.3">
      <c r="T450" t="s">
        <v>158</v>
      </c>
      <c r="U450" t="s">
        <v>155</v>
      </c>
      <c r="V450" t="s">
        <v>155</v>
      </c>
      <c r="W450" t="s">
        <v>176</v>
      </c>
      <c r="X450" t="s">
        <v>155</v>
      </c>
      <c r="Y450" t="s">
        <v>155</v>
      </c>
      <c r="AC450" t="s">
        <v>158</v>
      </c>
      <c r="AD450" t="s">
        <v>155</v>
      </c>
      <c r="AE450" t="s">
        <v>155</v>
      </c>
      <c r="AF450" t="s">
        <v>176</v>
      </c>
      <c r="AG450" t="s">
        <v>155</v>
      </c>
      <c r="AH450" t="s">
        <v>155</v>
      </c>
    </row>
    <row r="451" spans="19:34" ht="16.2" customHeight="1" x14ac:dyDescent="0.3">
      <c r="T451" t="s">
        <v>159</v>
      </c>
      <c r="U451" t="s">
        <v>155</v>
      </c>
      <c r="V451" t="s">
        <v>155</v>
      </c>
      <c r="W451" t="s">
        <v>155</v>
      </c>
      <c r="X451" t="s">
        <v>155</v>
      </c>
      <c r="Y451" t="s">
        <v>155</v>
      </c>
      <c r="AC451" t="s">
        <v>159</v>
      </c>
      <c r="AD451" t="s">
        <v>155</v>
      </c>
      <c r="AE451" t="s">
        <v>155</v>
      </c>
      <c r="AF451" t="s">
        <v>155</v>
      </c>
      <c r="AG451" t="s">
        <v>155</v>
      </c>
      <c r="AH451" t="s">
        <v>155</v>
      </c>
    </row>
    <row r="452" spans="19:34" ht="16.2" customHeight="1" x14ac:dyDescent="0.3">
      <c r="T452" t="s">
        <v>160</v>
      </c>
      <c r="U452" t="s">
        <v>155</v>
      </c>
      <c r="V452" t="s">
        <v>155</v>
      </c>
      <c r="W452" t="s">
        <v>155</v>
      </c>
      <c r="X452" t="s">
        <v>155</v>
      </c>
      <c r="Y452" t="s">
        <v>155</v>
      </c>
      <c r="AC452" t="s">
        <v>160</v>
      </c>
      <c r="AD452" t="s">
        <v>155</v>
      </c>
      <c r="AE452" t="s">
        <v>155</v>
      </c>
      <c r="AF452" t="s">
        <v>155</v>
      </c>
      <c r="AG452" t="s">
        <v>155</v>
      </c>
      <c r="AH452" t="s">
        <v>155</v>
      </c>
    </row>
    <row r="453" spans="19:34" ht="16.2" customHeight="1" x14ac:dyDescent="0.3">
      <c r="T453" t="s">
        <v>169</v>
      </c>
      <c r="U453" t="s">
        <v>155</v>
      </c>
      <c r="V453" t="s">
        <v>155</v>
      </c>
      <c r="W453" t="s">
        <v>155</v>
      </c>
      <c r="X453" t="s">
        <v>155</v>
      </c>
      <c r="Y453" t="s">
        <v>155</v>
      </c>
      <c r="AC453" t="s">
        <v>169</v>
      </c>
      <c r="AD453" t="s">
        <v>155</v>
      </c>
      <c r="AE453" t="s">
        <v>155</v>
      </c>
      <c r="AF453" t="s">
        <v>155</v>
      </c>
      <c r="AG453" t="s">
        <v>155</v>
      </c>
      <c r="AH453" t="s">
        <v>155</v>
      </c>
    </row>
    <row r="454" spans="19:34" ht="16.2" customHeight="1" x14ac:dyDescent="0.3">
      <c r="T454" t="s">
        <v>170</v>
      </c>
      <c r="U454" t="s">
        <v>155</v>
      </c>
      <c r="V454" t="s">
        <v>155</v>
      </c>
      <c r="W454" t="s">
        <v>155</v>
      </c>
      <c r="X454" t="s">
        <v>155</v>
      </c>
      <c r="Y454" t="s">
        <v>155</v>
      </c>
      <c r="AC454" t="s">
        <v>170</v>
      </c>
      <c r="AD454" t="s">
        <v>155</v>
      </c>
      <c r="AE454" t="s">
        <v>155</v>
      </c>
      <c r="AF454" t="s">
        <v>155</v>
      </c>
      <c r="AG454" t="s">
        <v>155</v>
      </c>
      <c r="AH454" t="s">
        <v>155</v>
      </c>
    </row>
    <row r="455" spans="19:34" ht="16.2" customHeight="1" x14ac:dyDescent="0.3">
      <c r="T455" t="s">
        <v>171</v>
      </c>
      <c r="U455" t="s">
        <v>155</v>
      </c>
      <c r="V455" t="s">
        <v>155</v>
      </c>
      <c r="W455" t="s">
        <v>155</v>
      </c>
      <c r="X455" t="s">
        <v>155</v>
      </c>
      <c r="Y455" t="s">
        <v>155</v>
      </c>
      <c r="AC455" t="s">
        <v>171</v>
      </c>
      <c r="AD455" t="s">
        <v>155</v>
      </c>
      <c r="AE455" t="s">
        <v>155</v>
      </c>
      <c r="AF455" t="s">
        <v>155</v>
      </c>
      <c r="AG455" t="s">
        <v>155</v>
      </c>
      <c r="AH455" t="s">
        <v>155</v>
      </c>
    </row>
    <row r="456" spans="19:34" ht="16.2" customHeight="1" x14ac:dyDescent="0.3">
      <c r="T456" t="s">
        <v>172</v>
      </c>
      <c r="U456" t="s">
        <v>155</v>
      </c>
      <c r="V456" t="s">
        <v>155</v>
      </c>
      <c r="W456" t="s">
        <v>155</v>
      </c>
      <c r="X456" t="s">
        <v>155</v>
      </c>
      <c r="Y456" t="s">
        <v>155</v>
      </c>
      <c r="AC456" t="s">
        <v>172</v>
      </c>
      <c r="AD456" t="s">
        <v>155</v>
      </c>
      <c r="AE456" t="s">
        <v>155</v>
      </c>
      <c r="AF456" t="s">
        <v>155</v>
      </c>
      <c r="AG456" t="s">
        <v>155</v>
      </c>
      <c r="AH456" t="s">
        <v>155</v>
      </c>
    </row>
    <row r="458" spans="19:34" ht="16.2" customHeight="1" x14ac:dyDescent="0.3">
      <c r="S458" s="15" t="s">
        <v>177</v>
      </c>
      <c r="T458" t="s">
        <v>212</v>
      </c>
      <c r="AB458" s="15" t="s">
        <v>177</v>
      </c>
      <c r="AC458" t="s">
        <v>212</v>
      </c>
    </row>
    <row r="459" spans="19:34" ht="16.2" customHeight="1" x14ac:dyDescent="0.3">
      <c r="U459" t="s">
        <v>164</v>
      </c>
      <c r="V459" t="s">
        <v>165</v>
      </c>
      <c r="W459" t="s">
        <v>166</v>
      </c>
      <c r="X459" t="s">
        <v>167</v>
      </c>
      <c r="Y459" t="s">
        <v>168</v>
      </c>
      <c r="AD459" t="s">
        <v>164</v>
      </c>
      <c r="AE459" t="s">
        <v>165</v>
      </c>
      <c r="AF459" t="s">
        <v>166</v>
      </c>
      <c r="AG459" t="s">
        <v>167</v>
      </c>
      <c r="AH459" t="s">
        <v>168</v>
      </c>
    </row>
    <row r="460" spans="19:34" ht="16.2" customHeight="1" x14ac:dyDescent="0.3">
      <c r="T460" t="s">
        <v>154</v>
      </c>
      <c r="U460" t="s">
        <v>155</v>
      </c>
      <c r="V460" t="s">
        <v>155</v>
      </c>
      <c r="W460" t="s">
        <v>77</v>
      </c>
      <c r="X460" t="s">
        <v>155</v>
      </c>
      <c r="Y460" t="s">
        <v>155</v>
      </c>
      <c r="AC460" t="s">
        <v>154</v>
      </c>
      <c r="AD460" t="s">
        <v>155</v>
      </c>
      <c r="AE460" t="s">
        <v>155</v>
      </c>
      <c r="AF460" t="s">
        <v>77</v>
      </c>
      <c r="AG460" t="s">
        <v>155</v>
      </c>
      <c r="AH460" t="s">
        <v>155</v>
      </c>
    </row>
    <row r="461" spans="19:34" ht="16.2" customHeight="1" x14ac:dyDescent="0.3">
      <c r="T461" t="s">
        <v>156</v>
      </c>
      <c r="U461" t="s">
        <v>155</v>
      </c>
      <c r="V461" t="s">
        <v>155</v>
      </c>
      <c r="W461" t="s">
        <v>77</v>
      </c>
      <c r="X461" t="s">
        <v>155</v>
      </c>
      <c r="Y461" t="s">
        <v>155</v>
      </c>
      <c r="AC461" t="s">
        <v>156</v>
      </c>
      <c r="AD461" t="s">
        <v>155</v>
      </c>
      <c r="AE461" t="s">
        <v>155</v>
      </c>
      <c r="AF461" t="s">
        <v>77</v>
      </c>
      <c r="AG461" t="s">
        <v>155</v>
      </c>
      <c r="AH461" t="s">
        <v>155</v>
      </c>
    </row>
    <row r="462" spans="19:34" ht="16.2" customHeight="1" x14ac:dyDescent="0.3">
      <c r="T462" t="s">
        <v>157</v>
      </c>
      <c r="U462" t="s">
        <v>155</v>
      </c>
      <c r="V462" t="s">
        <v>155</v>
      </c>
      <c r="W462" t="s">
        <v>155</v>
      </c>
      <c r="X462" t="s">
        <v>155</v>
      </c>
      <c r="Y462" t="s">
        <v>155</v>
      </c>
      <c r="AC462" t="s">
        <v>157</v>
      </c>
      <c r="AD462" t="s">
        <v>155</v>
      </c>
      <c r="AE462" t="s">
        <v>155</v>
      </c>
      <c r="AF462" t="s">
        <v>155</v>
      </c>
      <c r="AG462" t="s">
        <v>155</v>
      </c>
      <c r="AH462" t="s">
        <v>155</v>
      </c>
    </row>
    <row r="463" spans="19:34" ht="16.2" customHeight="1" x14ac:dyDescent="0.3">
      <c r="T463" t="s">
        <v>158</v>
      </c>
      <c r="U463" t="s">
        <v>155</v>
      </c>
      <c r="V463" t="s">
        <v>155</v>
      </c>
      <c r="W463" t="s">
        <v>155</v>
      </c>
      <c r="X463" t="s">
        <v>155</v>
      </c>
      <c r="Y463" t="s">
        <v>155</v>
      </c>
      <c r="AC463" t="s">
        <v>158</v>
      </c>
      <c r="AD463" t="s">
        <v>155</v>
      </c>
      <c r="AE463" t="s">
        <v>155</v>
      </c>
      <c r="AF463" t="s">
        <v>155</v>
      </c>
      <c r="AG463" t="s">
        <v>155</v>
      </c>
      <c r="AH463" t="s">
        <v>155</v>
      </c>
    </row>
    <row r="464" spans="19:34" ht="16.2" customHeight="1" x14ac:dyDescent="0.3">
      <c r="T464" t="s">
        <v>159</v>
      </c>
      <c r="U464" t="s">
        <v>155</v>
      </c>
      <c r="V464" t="s">
        <v>155</v>
      </c>
      <c r="W464" t="s">
        <v>155</v>
      </c>
      <c r="X464" t="s">
        <v>155</v>
      </c>
      <c r="Y464" t="s">
        <v>155</v>
      </c>
      <c r="AC464" t="s">
        <v>159</v>
      </c>
      <c r="AD464" t="s">
        <v>155</v>
      </c>
      <c r="AE464" t="s">
        <v>155</v>
      </c>
      <c r="AF464" t="s">
        <v>155</v>
      </c>
      <c r="AG464" t="s">
        <v>155</v>
      </c>
      <c r="AH464" t="s">
        <v>155</v>
      </c>
    </row>
    <row r="465" spans="19:34" ht="16.2" customHeight="1" x14ac:dyDescent="0.3">
      <c r="T465" t="s">
        <v>160</v>
      </c>
      <c r="U465" t="s">
        <v>155</v>
      </c>
      <c r="V465" t="s">
        <v>155</v>
      </c>
      <c r="W465" t="s">
        <v>155</v>
      </c>
      <c r="X465" t="s">
        <v>155</v>
      </c>
      <c r="Y465" t="s">
        <v>155</v>
      </c>
      <c r="AC465" t="s">
        <v>160</v>
      </c>
      <c r="AD465" t="s">
        <v>155</v>
      </c>
      <c r="AE465" t="s">
        <v>155</v>
      </c>
      <c r="AF465" t="s">
        <v>155</v>
      </c>
      <c r="AG465" t="s">
        <v>155</v>
      </c>
      <c r="AH465" t="s">
        <v>155</v>
      </c>
    </row>
    <row r="466" spans="19:34" ht="16.2" customHeight="1" x14ac:dyDescent="0.3">
      <c r="T466" t="s">
        <v>169</v>
      </c>
      <c r="U466" t="s">
        <v>155</v>
      </c>
      <c r="V466" t="s">
        <v>155</v>
      </c>
      <c r="W466" t="s">
        <v>155</v>
      </c>
      <c r="X466" t="s">
        <v>155</v>
      </c>
      <c r="Y466" t="s">
        <v>155</v>
      </c>
      <c r="AC466" t="s">
        <v>169</v>
      </c>
      <c r="AD466" t="s">
        <v>155</v>
      </c>
      <c r="AE466" t="s">
        <v>155</v>
      </c>
      <c r="AF466" t="s">
        <v>155</v>
      </c>
      <c r="AG466" t="s">
        <v>155</v>
      </c>
      <c r="AH466" t="s">
        <v>155</v>
      </c>
    </row>
    <row r="467" spans="19:34" ht="16.2" customHeight="1" x14ac:dyDescent="0.3">
      <c r="T467" t="s">
        <v>170</v>
      </c>
      <c r="U467" t="s">
        <v>155</v>
      </c>
      <c r="V467" t="s">
        <v>155</v>
      </c>
      <c r="W467" t="s">
        <v>155</v>
      </c>
      <c r="X467" t="s">
        <v>155</v>
      </c>
      <c r="Y467" t="s">
        <v>155</v>
      </c>
      <c r="AC467" t="s">
        <v>170</v>
      </c>
      <c r="AD467" t="s">
        <v>155</v>
      </c>
      <c r="AE467" t="s">
        <v>155</v>
      </c>
      <c r="AF467" t="s">
        <v>155</v>
      </c>
      <c r="AG467" t="s">
        <v>155</v>
      </c>
      <c r="AH467" t="s">
        <v>155</v>
      </c>
    </row>
    <row r="468" spans="19:34" ht="16.2" customHeight="1" x14ac:dyDescent="0.3">
      <c r="T468" t="s">
        <v>171</v>
      </c>
      <c r="U468" t="s">
        <v>155</v>
      </c>
      <c r="V468" t="s">
        <v>155</v>
      </c>
      <c r="W468" t="s">
        <v>155</v>
      </c>
      <c r="X468" t="s">
        <v>155</v>
      </c>
      <c r="Y468" t="s">
        <v>155</v>
      </c>
      <c r="AC468" t="s">
        <v>171</v>
      </c>
      <c r="AD468" t="s">
        <v>155</v>
      </c>
      <c r="AE468" t="s">
        <v>155</v>
      </c>
      <c r="AF468" t="s">
        <v>155</v>
      </c>
      <c r="AG468" t="s">
        <v>155</v>
      </c>
      <c r="AH468" t="s">
        <v>155</v>
      </c>
    </row>
    <row r="469" spans="19:34" ht="16.2" customHeight="1" x14ac:dyDescent="0.3">
      <c r="T469" t="s">
        <v>172</v>
      </c>
      <c r="U469" t="s">
        <v>155</v>
      </c>
      <c r="V469" t="s">
        <v>155</v>
      </c>
      <c r="W469" t="s">
        <v>155</v>
      </c>
      <c r="X469" t="s">
        <v>155</v>
      </c>
      <c r="Y469" t="s">
        <v>155</v>
      </c>
      <c r="AC469" t="s">
        <v>172</v>
      </c>
      <c r="AD469" t="s">
        <v>155</v>
      </c>
      <c r="AE469" t="s">
        <v>155</v>
      </c>
      <c r="AF469" t="s">
        <v>155</v>
      </c>
      <c r="AG469" t="s">
        <v>155</v>
      </c>
      <c r="AH469" t="s">
        <v>155</v>
      </c>
    </row>
    <row r="471" spans="19:34" ht="16.2" customHeight="1" x14ac:dyDescent="0.3">
      <c r="S471" s="15" t="s">
        <v>180</v>
      </c>
      <c r="T471" t="s">
        <v>213</v>
      </c>
      <c r="AB471" s="15" t="s">
        <v>180</v>
      </c>
      <c r="AC471" t="s">
        <v>213</v>
      </c>
    </row>
    <row r="472" spans="19:34" ht="16.2" customHeight="1" x14ac:dyDescent="0.3">
      <c r="U472" t="s">
        <v>164</v>
      </c>
      <c r="V472" t="s">
        <v>165</v>
      </c>
      <c r="W472" t="s">
        <v>166</v>
      </c>
      <c r="X472" t="s">
        <v>167</v>
      </c>
      <c r="Y472" t="s">
        <v>168</v>
      </c>
      <c r="AD472" t="s">
        <v>164</v>
      </c>
      <c r="AE472" t="s">
        <v>165</v>
      </c>
      <c r="AF472" t="s">
        <v>166</v>
      </c>
      <c r="AG472" t="s">
        <v>167</v>
      </c>
      <c r="AH472" t="s">
        <v>168</v>
      </c>
    </row>
    <row r="473" spans="19:34" ht="16.2" customHeight="1" x14ac:dyDescent="0.3">
      <c r="T473" t="s">
        <v>154</v>
      </c>
      <c r="U473" t="s">
        <v>155</v>
      </c>
      <c r="V473" t="s">
        <v>155</v>
      </c>
      <c r="W473" t="s">
        <v>155</v>
      </c>
      <c r="X473" t="s">
        <v>155</v>
      </c>
      <c r="Y473" t="s">
        <v>155</v>
      </c>
      <c r="AC473" t="s">
        <v>154</v>
      </c>
      <c r="AD473" t="s">
        <v>155</v>
      </c>
      <c r="AE473" t="s">
        <v>155</v>
      </c>
      <c r="AF473" t="s">
        <v>155</v>
      </c>
      <c r="AG473" t="s">
        <v>155</v>
      </c>
      <c r="AH473" t="s">
        <v>155</v>
      </c>
    </row>
    <row r="474" spans="19:34" ht="16.2" customHeight="1" x14ac:dyDescent="0.3">
      <c r="T474" t="s">
        <v>156</v>
      </c>
      <c r="U474" t="s">
        <v>155</v>
      </c>
      <c r="V474" t="s">
        <v>155</v>
      </c>
      <c r="W474" t="s">
        <v>155</v>
      </c>
      <c r="X474" t="s">
        <v>155</v>
      </c>
      <c r="Y474" t="s">
        <v>155</v>
      </c>
      <c r="AC474" t="s">
        <v>156</v>
      </c>
      <c r="AD474" t="s">
        <v>155</v>
      </c>
      <c r="AE474" t="s">
        <v>155</v>
      </c>
      <c r="AF474" t="s">
        <v>155</v>
      </c>
      <c r="AG474" t="s">
        <v>155</v>
      </c>
      <c r="AH474" t="s">
        <v>155</v>
      </c>
    </row>
    <row r="475" spans="19:34" ht="16.2" customHeight="1" x14ac:dyDescent="0.3">
      <c r="T475" t="s">
        <v>157</v>
      </c>
      <c r="U475" t="s">
        <v>155</v>
      </c>
      <c r="V475" t="s">
        <v>155</v>
      </c>
      <c r="W475" t="s">
        <v>155</v>
      </c>
      <c r="X475" t="s">
        <v>155</v>
      </c>
      <c r="Y475" t="s">
        <v>77</v>
      </c>
      <c r="AC475" t="s">
        <v>157</v>
      </c>
      <c r="AD475" t="s">
        <v>155</v>
      </c>
      <c r="AE475" t="s">
        <v>155</v>
      </c>
      <c r="AF475" t="s">
        <v>155</v>
      </c>
      <c r="AG475" t="s">
        <v>155</v>
      </c>
      <c r="AH475" t="s">
        <v>77</v>
      </c>
    </row>
    <row r="476" spans="19:34" ht="16.2" customHeight="1" x14ac:dyDescent="0.3">
      <c r="T476" t="s">
        <v>158</v>
      </c>
      <c r="U476" t="s">
        <v>155</v>
      </c>
      <c r="V476" t="s">
        <v>155</v>
      </c>
      <c r="W476" t="s">
        <v>155</v>
      </c>
      <c r="X476" t="s">
        <v>155</v>
      </c>
      <c r="Y476" t="s">
        <v>77</v>
      </c>
      <c r="AC476" t="s">
        <v>158</v>
      </c>
      <c r="AD476" t="s">
        <v>155</v>
      </c>
      <c r="AE476" t="s">
        <v>155</v>
      </c>
      <c r="AF476" t="s">
        <v>155</v>
      </c>
      <c r="AG476" t="s">
        <v>155</v>
      </c>
      <c r="AH476" t="s">
        <v>77</v>
      </c>
    </row>
    <row r="477" spans="19:34" ht="16.2" customHeight="1" x14ac:dyDescent="0.3">
      <c r="T477" t="s">
        <v>159</v>
      </c>
      <c r="U477" t="s">
        <v>155</v>
      </c>
      <c r="V477" t="s">
        <v>155</v>
      </c>
      <c r="W477" t="s">
        <v>155</v>
      </c>
      <c r="X477" t="s">
        <v>155</v>
      </c>
      <c r="Y477" t="s">
        <v>155</v>
      </c>
      <c r="AC477" t="s">
        <v>159</v>
      </c>
      <c r="AD477" t="s">
        <v>155</v>
      </c>
      <c r="AE477" t="s">
        <v>155</v>
      </c>
      <c r="AF477" t="s">
        <v>155</v>
      </c>
      <c r="AG477" t="s">
        <v>155</v>
      </c>
      <c r="AH477" t="s">
        <v>155</v>
      </c>
    </row>
    <row r="478" spans="19:34" ht="16.2" customHeight="1" x14ac:dyDescent="0.3">
      <c r="T478" t="s">
        <v>160</v>
      </c>
      <c r="U478" t="s">
        <v>155</v>
      </c>
      <c r="V478" t="s">
        <v>155</v>
      </c>
      <c r="W478" t="s">
        <v>155</v>
      </c>
      <c r="X478" t="s">
        <v>155</v>
      </c>
      <c r="Y478" t="s">
        <v>155</v>
      </c>
      <c r="AC478" t="s">
        <v>160</v>
      </c>
      <c r="AD478" t="s">
        <v>155</v>
      </c>
      <c r="AE478" t="s">
        <v>155</v>
      </c>
      <c r="AF478" t="s">
        <v>155</v>
      </c>
      <c r="AG478" t="s">
        <v>155</v>
      </c>
      <c r="AH478" t="s">
        <v>155</v>
      </c>
    </row>
    <row r="479" spans="19:34" ht="16.2" customHeight="1" x14ac:dyDescent="0.3">
      <c r="T479" t="s">
        <v>169</v>
      </c>
      <c r="U479" t="s">
        <v>155</v>
      </c>
      <c r="V479" t="s">
        <v>155</v>
      </c>
      <c r="W479" t="s">
        <v>155</v>
      </c>
      <c r="X479" t="s">
        <v>155</v>
      </c>
      <c r="Y479" t="s">
        <v>155</v>
      </c>
      <c r="AC479" t="s">
        <v>169</v>
      </c>
      <c r="AD479" t="s">
        <v>155</v>
      </c>
      <c r="AE479" t="s">
        <v>155</v>
      </c>
      <c r="AF479" t="s">
        <v>155</v>
      </c>
      <c r="AG479" t="s">
        <v>155</v>
      </c>
      <c r="AH479" t="s">
        <v>155</v>
      </c>
    </row>
    <row r="480" spans="19:34" ht="16.2" customHeight="1" x14ac:dyDescent="0.3">
      <c r="T480" t="s">
        <v>170</v>
      </c>
      <c r="U480" t="s">
        <v>155</v>
      </c>
      <c r="V480" t="s">
        <v>155</v>
      </c>
      <c r="W480" t="s">
        <v>155</v>
      </c>
      <c r="X480" t="s">
        <v>155</v>
      </c>
      <c r="Y480" t="s">
        <v>155</v>
      </c>
      <c r="AC480" t="s">
        <v>170</v>
      </c>
      <c r="AD480" t="s">
        <v>155</v>
      </c>
      <c r="AE480" t="s">
        <v>155</v>
      </c>
      <c r="AF480" t="s">
        <v>155</v>
      </c>
      <c r="AG480" t="s">
        <v>155</v>
      </c>
      <c r="AH480" t="s">
        <v>155</v>
      </c>
    </row>
    <row r="481" spans="19:34" ht="16.2" customHeight="1" x14ac:dyDescent="0.3">
      <c r="T481" t="s">
        <v>171</v>
      </c>
      <c r="U481" t="s">
        <v>155</v>
      </c>
      <c r="V481" t="s">
        <v>155</v>
      </c>
      <c r="W481" t="s">
        <v>155</v>
      </c>
      <c r="X481" t="s">
        <v>155</v>
      </c>
      <c r="Y481" t="s">
        <v>155</v>
      </c>
      <c r="AC481" t="s">
        <v>171</v>
      </c>
      <c r="AD481" t="s">
        <v>155</v>
      </c>
      <c r="AE481" t="s">
        <v>155</v>
      </c>
      <c r="AF481" t="s">
        <v>155</v>
      </c>
      <c r="AG481" t="s">
        <v>155</v>
      </c>
      <c r="AH481" t="s">
        <v>155</v>
      </c>
    </row>
    <row r="482" spans="19:34" ht="16.2" customHeight="1" x14ac:dyDescent="0.3">
      <c r="T482" t="s">
        <v>172</v>
      </c>
      <c r="U482" t="s">
        <v>155</v>
      </c>
      <c r="V482" t="s">
        <v>155</v>
      </c>
      <c r="W482" t="s">
        <v>155</v>
      </c>
      <c r="X482" t="s">
        <v>155</v>
      </c>
      <c r="Y482" t="s">
        <v>155</v>
      </c>
      <c r="AC482" t="s">
        <v>172</v>
      </c>
      <c r="AD482" t="s">
        <v>155</v>
      </c>
      <c r="AE482" t="s">
        <v>155</v>
      </c>
      <c r="AF482" t="s">
        <v>155</v>
      </c>
      <c r="AG482" t="s">
        <v>155</v>
      </c>
      <c r="AH482" t="s">
        <v>155</v>
      </c>
    </row>
    <row r="484" spans="19:34" ht="16.2" customHeight="1" x14ac:dyDescent="0.3">
      <c r="S484" s="15" t="s">
        <v>178</v>
      </c>
      <c r="T484" t="s">
        <v>214</v>
      </c>
      <c r="AB484" s="15" t="s">
        <v>178</v>
      </c>
      <c r="AC484" t="s">
        <v>214</v>
      </c>
    </row>
    <row r="485" spans="19:34" ht="16.2" customHeight="1" x14ac:dyDescent="0.3">
      <c r="U485" t="s">
        <v>164</v>
      </c>
      <c r="V485" t="s">
        <v>165</v>
      </c>
      <c r="W485" t="s">
        <v>166</v>
      </c>
      <c r="X485" t="s">
        <v>167</v>
      </c>
      <c r="Y485" t="s">
        <v>168</v>
      </c>
      <c r="AD485" t="s">
        <v>164</v>
      </c>
      <c r="AE485" t="s">
        <v>165</v>
      </c>
      <c r="AF485" t="s">
        <v>166</v>
      </c>
      <c r="AG485" t="s">
        <v>167</v>
      </c>
      <c r="AH485" t="s">
        <v>168</v>
      </c>
    </row>
    <row r="486" spans="19:34" ht="16.2" customHeight="1" x14ac:dyDescent="0.3">
      <c r="T486" t="s">
        <v>154</v>
      </c>
      <c r="U486" t="s">
        <v>155</v>
      </c>
      <c r="V486" t="s">
        <v>155</v>
      </c>
      <c r="W486" t="s">
        <v>155</v>
      </c>
      <c r="X486" t="s">
        <v>155</v>
      </c>
      <c r="Y486" t="s">
        <v>155</v>
      </c>
      <c r="AC486" t="s">
        <v>154</v>
      </c>
      <c r="AD486" t="s">
        <v>155</v>
      </c>
      <c r="AE486" t="s">
        <v>155</v>
      </c>
      <c r="AF486" t="s">
        <v>155</v>
      </c>
      <c r="AG486" t="s">
        <v>155</v>
      </c>
      <c r="AH486" t="s">
        <v>155</v>
      </c>
    </row>
    <row r="487" spans="19:34" ht="16.2" customHeight="1" x14ac:dyDescent="0.3">
      <c r="T487" t="s">
        <v>156</v>
      </c>
      <c r="U487" t="s">
        <v>155</v>
      </c>
      <c r="V487" t="s">
        <v>155</v>
      </c>
      <c r="W487" t="s">
        <v>155</v>
      </c>
      <c r="X487" t="s">
        <v>155</v>
      </c>
      <c r="Y487" t="s">
        <v>155</v>
      </c>
      <c r="AC487" t="s">
        <v>156</v>
      </c>
      <c r="AD487" t="s">
        <v>155</v>
      </c>
      <c r="AE487" t="s">
        <v>155</v>
      </c>
      <c r="AF487" t="s">
        <v>155</v>
      </c>
      <c r="AG487" t="s">
        <v>155</v>
      </c>
      <c r="AH487" t="s">
        <v>155</v>
      </c>
    </row>
    <row r="488" spans="19:34" ht="16.2" customHeight="1" x14ac:dyDescent="0.3">
      <c r="T488" t="s">
        <v>157</v>
      </c>
      <c r="U488" t="s">
        <v>155</v>
      </c>
      <c r="V488" t="s">
        <v>155</v>
      </c>
      <c r="W488" t="s">
        <v>155</v>
      </c>
      <c r="X488" t="s">
        <v>155</v>
      </c>
      <c r="Y488" t="s">
        <v>77</v>
      </c>
      <c r="AC488" t="s">
        <v>157</v>
      </c>
      <c r="AD488" t="s">
        <v>155</v>
      </c>
      <c r="AE488" t="s">
        <v>155</v>
      </c>
      <c r="AF488" t="s">
        <v>155</v>
      </c>
      <c r="AG488" t="s">
        <v>155</v>
      </c>
      <c r="AH488" t="s">
        <v>77</v>
      </c>
    </row>
    <row r="489" spans="19:34" ht="16.2" customHeight="1" x14ac:dyDescent="0.3">
      <c r="T489" t="s">
        <v>158</v>
      </c>
      <c r="U489" t="s">
        <v>155</v>
      </c>
      <c r="V489" t="s">
        <v>155</v>
      </c>
      <c r="W489" t="s">
        <v>155</v>
      </c>
      <c r="X489" t="s">
        <v>155</v>
      </c>
      <c r="Y489" t="s">
        <v>77</v>
      </c>
      <c r="AC489" t="s">
        <v>158</v>
      </c>
      <c r="AD489" t="s">
        <v>155</v>
      </c>
      <c r="AE489" t="s">
        <v>155</v>
      </c>
      <c r="AF489" t="s">
        <v>155</v>
      </c>
      <c r="AG489" t="s">
        <v>155</v>
      </c>
      <c r="AH489" t="s">
        <v>77</v>
      </c>
    </row>
    <row r="490" spans="19:34" ht="16.2" customHeight="1" x14ac:dyDescent="0.3">
      <c r="T490" t="s">
        <v>159</v>
      </c>
      <c r="U490" t="s">
        <v>155</v>
      </c>
      <c r="V490" t="s">
        <v>155</v>
      </c>
      <c r="W490" t="s">
        <v>155</v>
      </c>
      <c r="X490" t="s">
        <v>155</v>
      </c>
      <c r="Y490" t="s">
        <v>155</v>
      </c>
      <c r="AC490" t="s">
        <v>159</v>
      </c>
      <c r="AD490" t="s">
        <v>155</v>
      </c>
      <c r="AE490" t="s">
        <v>155</v>
      </c>
      <c r="AF490" t="s">
        <v>155</v>
      </c>
      <c r="AG490" t="s">
        <v>155</v>
      </c>
      <c r="AH490" t="s">
        <v>155</v>
      </c>
    </row>
    <row r="491" spans="19:34" ht="16.2" customHeight="1" x14ac:dyDescent="0.3">
      <c r="T491" t="s">
        <v>160</v>
      </c>
      <c r="U491" t="s">
        <v>155</v>
      </c>
      <c r="V491" t="s">
        <v>155</v>
      </c>
      <c r="W491" t="s">
        <v>155</v>
      </c>
      <c r="X491" t="s">
        <v>155</v>
      </c>
      <c r="Y491" t="s">
        <v>155</v>
      </c>
      <c r="AC491" t="s">
        <v>160</v>
      </c>
      <c r="AD491" t="s">
        <v>155</v>
      </c>
      <c r="AE491" t="s">
        <v>155</v>
      </c>
      <c r="AF491" t="s">
        <v>155</v>
      </c>
      <c r="AG491" t="s">
        <v>155</v>
      </c>
      <c r="AH491" t="s">
        <v>155</v>
      </c>
    </row>
    <row r="492" spans="19:34" ht="16.2" customHeight="1" x14ac:dyDescent="0.3">
      <c r="T492" t="s">
        <v>169</v>
      </c>
      <c r="U492" t="s">
        <v>155</v>
      </c>
      <c r="V492" t="s">
        <v>155</v>
      </c>
      <c r="W492" t="s">
        <v>155</v>
      </c>
      <c r="X492" t="s">
        <v>155</v>
      </c>
      <c r="Y492" t="s">
        <v>155</v>
      </c>
      <c r="AC492" t="s">
        <v>169</v>
      </c>
      <c r="AD492" t="s">
        <v>155</v>
      </c>
      <c r="AE492" t="s">
        <v>155</v>
      </c>
      <c r="AF492" t="s">
        <v>155</v>
      </c>
      <c r="AG492" t="s">
        <v>155</v>
      </c>
      <c r="AH492" t="s">
        <v>155</v>
      </c>
    </row>
    <row r="493" spans="19:34" ht="16.2" customHeight="1" x14ac:dyDescent="0.3">
      <c r="T493" t="s">
        <v>170</v>
      </c>
      <c r="U493" t="s">
        <v>155</v>
      </c>
      <c r="V493" t="s">
        <v>155</v>
      </c>
      <c r="W493" t="s">
        <v>155</v>
      </c>
      <c r="X493" t="s">
        <v>155</v>
      </c>
      <c r="Y493" t="s">
        <v>155</v>
      </c>
      <c r="AC493" t="s">
        <v>170</v>
      </c>
      <c r="AD493" t="s">
        <v>155</v>
      </c>
      <c r="AE493" t="s">
        <v>155</v>
      </c>
      <c r="AF493" t="s">
        <v>155</v>
      </c>
      <c r="AG493" t="s">
        <v>155</v>
      </c>
      <c r="AH493" t="s">
        <v>155</v>
      </c>
    </row>
    <row r="494" spans="19:34" ht="16.2" customHeight="1" x14ac:dyDescent="0.3">
      <c r="T494" t="s">
        <v>171</v>
      </c>
      <c r="U494" t="s">
        <v>155</v>
      </c>
      <c r="V494" t="s">
        <v>155</v>
      </c>
      <c r="W494" t="s">
        <v>155</v>
      </c>
      <c r="X494" t="s">
        <v>155</v>
      </c>
      <c r="Y494" t="s">
        <v>155</v>
      </c>
      <c r="AC494" t="s">
        <v>171</v>
      </c>
      <c r="AD494" t="s">
        <v>155</v>
      </c>
      <c r="AE494" t="s">
        <v>155</v>
      </c>
      <c r="AF494" t="s">
        <v>155</v>
      </c>
      <c r="AG494" t="s">
        <v>155</v>
      </c>
      <c r="AH494" t="s">
        <v>155</v>
      </c>
    </row>
    <row r="495" spans="19:34" ht="16.2" customHeight="1" x14ac:dyDescent="0.3">
      <c r="T495" t="s">
        <v>172</v>
      </c>
      <c r="U495" t="s">
        <v>155</v>
      </c>
      <c r="V495" t="s">
        <v>155</v>
      </c>
      <c r="W495" t="s">
        <v>155</v>
      </c>
      <c r="X495" t="s">
        <v>155</v>
      </c>
      <c r="Y495" t="s">
        <v>155</v>
      </c>
      <c r="AC495" t="s">
        <v>172</v>
      </c>
      <c r="AD495" t="s">
        <v>155</v>
      </c>
      <c r="AE495" t="s">
        <v>155</v>
      </c>
      <c r="AF495" t="s">
        <v>155</v>
      </c>
      <c r="AG495" t="s">
        <v>155</v>
      </c>
      <c r="AH495" t="s">
        <v>155</v>
      </c>
    </row>
    <row r="497" spans="19:34" ht="16.2" customHeight="1" x14ac:dyDescent="0.3">
      <c r="S497" s="15" t="s">
        <v>182</v>
      </c>
      <c r="T497" t="s">
        <v>215</v>
      </c>
      <c r="AB497" s="15" t="s">
        <v>182</v>
      </c>
      <c r="AC497" t="s">
        <v>215</v>
      </c>
    </row>
    <row r="498" spans="19:34" ht="16.2" customHeight="1" x14ac:dyDescent="0.3">
      <c r="U498" t="s">
        <v>164</v>
      </c>
      <c r="V498" t="s">
        <v>165</v>
      </c>
      <c r="W498" t="s">
        <v>166</v>
      </c>
      <c r="X498" t="s">
        <v>167</v>
      </c>
      <c r="Y498" t="s">
        <v>168</v>
      </c>
      <c r="AD498" t="s">
        <v>164</v>
      </c>
      <c r="AE498" t="s">
        <v>165</v>
      </c>
      <c r="AF498" t="s">
        <v>166</v>
      </c>
      <c r="AG498" t="s">
        <v>167</v>
      </c>
      <c r="AH498" t="s">
        <v>168</v>
      </c>
    </row>
    <row r="499" spans="19:34" ht="16.2" customHeight="1" x14ac:dyDescent="0.3">
      <c r="T499" t="s">
        <v>154</v>
      </c>
      <c r="U499" t="s">
        <v>155</v>
      </c>
      <c r="V499" t="s">
        <v>77</v>
      </c>
      <c r="W499" t="s">
        <v>155</v>
      </c>
      <c r="X499" t="s">
        <v>155</v>
      </c>
      <c r="Y499" t="s">
        <v>155</v>
      </c>
      <c r="AC499" t="s">
        <v>154</v>
      </c>
      <c r="AD499" t="s">
        <v>155</v>
      </c>
      <c r="AE499" t="s">
        <v>77</v>
      </c>
      <c r="AF499" t="s">
        <v>155</v>
      </c>
      <c r="AG499" t="s">
        <v>155</v>
      </c>
      <c r="AH499" t="s">
        <v>155</v>
      </c>
    </row>
    <row r="500" spans="19:34" ht="16.2" customHeight="1" x14ac:dyDescent="0.3">
      <c r="T500" t="s">
        <v>156</v>
      </c>
      <c r="U500" t="s">
        <v>155</v>
      </c>
      <c r="V500" t="s">
        <v>77</v>
      </c>
      <c r="W500" t="s">
        <v>155</v>
      </c>
      <c r="X500" t="s">
        <v>155</v>
      </c>
      <c r="Y500" t="s">
        <v>155</v>
      </c>
      <c r="AC500" t="s">
        <v>156</v>
      </c>
      <c r="AD500" t="s">
        <v>155</v>
      </c>
      <c r="AE500" t="s">
        <v>77</v>
      </c>
      <c r="AF500" t="s">
        <v>155</v>
      </c>
      <c r="AG500" t="s">
        <v>155</v>
      </c>
      <c r="AH500" t="s">
        <v>155</v>
      </c>
    </row>
    <row r="501" spans="19:34" ht="16.2" customHeight="1" x14ac:dyDescent="0.3">
      <c r="T501" t="s">
        <v>157</v>
      </c>
      <c r="U501" t="s">
        <v>155</v>
      </c>
      <c r="V501" t="s">
        <v>155</v>
      </c>
      <c r="W501" t="s">
        <v>155</v>
      </c>
      <c r="X501" t="s">
        <v>155</v>
      </c>
      <c r="Y501" t="s">
        <v>155</v>
      </c>
      <c r="AC501" t="s">
        <v>157</v>
      </c>
      <c r="AD501" t="s">
        <v>155</v>
      </c>
      <c r="AE501" t="s">
        <v>155</v>
      </c>
      <c r="AF501" t="s">
        <v>155</v>
      </c>
      <c r="AG501" t="s">
        <v>155</v>
      </c>
      <c r="AH501" t="s">
        <v>155</v>
      </c>
    </row>
    <row r="502" spans="19:34" ht="16.2" customHeight="1" x14ac:dyDescent="0.3">
      <c r="T502" t="s">
        <v>158</v>
      </c>
      <c r="U502" t="s">
        <v>155</v>
      </c>
      <c r="V502" t="s">
        <v>155</v>
      </c>
      <c r="W502" t="s">
        <v>155</v>
      </c>
      <c r="X502" t="s">
        <v>155</v>
      </c>
      <c r="Y502" t="s">
        <v>155</v>
      </c>
      <c r="AC502" t="s">
        <v>158</v>
      </c>
      <c r="AD502" t="s">
        <v>155</v>
      </c>
      <c r="AE502" t="s">
        <v>155</v>
      </c>
      <c r="AF502" t="s">
        <v>155</v>
      </c>
      <c r="AG502" t="s">
        <v>155</v>
      </c>
      <c r="AH502" t="s">
        <v>155</v>
      </c>
    </row>
    <row r="503" spans="19:34" ht="16.2" customHeight="1" x14ac:dyDescent="0.3">
      <c r="T503" t="s">
        <v>159</v>
      </c>
      <c r="U503" t="s">
        <v>155</v>
      </c>
      <c r="V503" t="s">
        <v>155</v>
      </c>
      <c r="W503" t="s">
        <v>155</v>
      </c>
      <c r="X503" t="s">
        <v>155</v>
      </c>
      <c r="Y503" t="s">
        <v>155</v>
      </c>
      <c r="AC503" t="s">
        <v>159</v>
      </c>
      <c r="AD503" t="s">
        <v>155</v>
      </c>
      <c r="AE503" t="s">
        <v>155</v>
      </c>
      <c r="AF503" t="s">
        <v>155</v>
      </c>
      <c r="AG503" t="s">
        <v>155</v>
      </c>
      <c r="AH503" t="s">
        <v>155</v>
      </c>
    </row>
    <row r="504" spans="19:34" ht="16.2" customHeight="1" x14ac:dyDescent="0.3">
      <c r="T504" t="s">
        <v>160</v>
      </c>
      <c r="U504" t="s">
        <v>155</v>
      </c>
      <c r="V504" t="s">
        <v>155</v>
      </c>
      <c r="W504" t="s">
        <v>155</v>
      </c>
      <c r="X504" t="s">
        <v>155</v>
      </c>
      <c r="Y504" t="s">
        <v>155</v>
      </c>
      <c r="AC504" t="s">
        <v>160</v>
      </c>
      <c r="AD504" t="s">
        <v>155</v>
      </c>
      <c r="AE504" t="s">
        <v>155</v>
      </c>
      <c r="AF504" t="s">
        <v>155</v>
      </c>
      <c r="AG504" t="s">
        <v>155</v>
      </c>
      <c r="AH504" t="s">
        <v>155</v>
      </c>
    </row>
    <row r="505" spans="19:34" ht="16.2" customHeight="1" x14ac:dyDescent="0.3">
      <c r="T505" t="s">
        <v>169</v>
      </c>
      <c r="U505" t="s">
        <v>155</v>
      </c>
      <c r="V505" t="s">
        <v>155</v>
      </c>
      <c r="W505" t="s">
        <v>155</v>
      </c>
      <c r="X505" t="s">
        <v>155</v>
      </c>
      <c r="Y505" t="s">
        <v>155</v>
      </c>
      <c r="AC505" t="s">
        <v>169</v>
      </c>
      <c r="AD505" t="s">
        <v>155</v>
      </c>
      <c r="AE505" t="s">
        <v>155</v>
      </c>
      <c r="AF505" t="s">
        <v>155</v>
      </c>
      <c r="AG505" t="s">
        <v>155</v>
      </c>
      <c r="AH505" t="s">
        <v>155</v>
      </c>
    </row>
    <row r="506" spans="19:34" ht="16.2" customHeight="1" x14ac:dyDescent="0.3">
      <c r="T506" t="s">
        <v>170</v>
      </c>
      <c r="U506" t="s">
        <v>155</v>
      </c>
      <c r="V506" t="s">
        <v>155</v>
      </c>
      <c r="W506" t="s">
        <v>155</v>
      </c>
      <c r="X506" t="s">
        <v>155</v>
      </c>
      <c r="Y506" t="s">
        <v>155</v>
      </c>
      <c r="AC506" t="s">
        <v>170</v>
      </c>
      <c r="AD506" t="s">
        <v>155</v>
      </c>
      <c r="AE506" t="s">
        <v>155</v>
      </c>
      <c r="AF506" t="s">
        <v>155</v>
      </c>
      <c r="AG506" t="s">
        <v>155</v>
      </c>
      <c r="AH506" t="s">
        <v>155</v>
      </c>
    </row>
    <row r="507" spans="19:34" ht="16.2" customHeight="1" x14ac:dyDescent="0.3">
      <c r="T507" t="s">
        <v>171</v>
      </c>
      <c r="U507" t="s">
        <v>155</v>
      </c>
      <c r="V507" t="s">
        <v>155</v>
      </c>
      <c r="W507" t="s">
        <v>155</v>
      </c>
      <c r="X507" t="s">
        <v>155</v>
      </c>
      <c r="Y507" t="s">
        <v>155</v>
      </c>
      <c r="AC507" t="s">
        <v>171</v>
      </c>
      <c r="AD507" t="s">
        <v>155</v>
      </c>
      <c r="AE507" t="s">
        <v>155</v>
      </c>
      <c r="AF507" t="s">
        <v>155</v>
      </c>
      <c r="AG507" t="s">
        <v>155</v>
      </c>
      <c r="AH507" t="s">
        <v>155</v>
      </c>
    </row>
    <row r="508" spans="19:34" ht="16.2" customHeight="1" x14ac:dyDescent="0.3">
      <c r="T508" t="s">
        <v>172</v>
      </c>
      <c r="U508" t="s">
        <v>155</v>
      </c>
      <c r="V508" t="s">
        <v>155</v>
      </c>
      <c r="W508" t="s">
        <v>155</v>
      </c>
      <c r="X508" t="s">
        <v>155</v>
      </c>
      <c r="Y508" t="s">
        <v>155</v>
      </c>
      <c r="AC508" t="s">
        <v>172</v>
      </c>
      <c r="AD508" t="s">
        <v>155</v>
      </c>
      <c r="AE508" t="s">
        <v>155</v>
      </c>
      <c r="AF508" t="s">
        <v>155</v>
      </c>
      <c r="AG508" t="s">
        <v>155</v>
      </c>
      <c r="AH508" t="s">
        <v>155</v>
      </c>
    </row>
    <row r="510" spans="19:34" ht="16.2" customHeight="1" x14ac:dyDescent="0.3">
      <c r="S510" s="15" t="s">
        <v>133</v>
      </c>
      <c r="T510" t="s">
        <v>216</v>
      </c>
      <c r="AB510" s="15" t="s">
        <v>133</v>
      </c>
      <c r="AC510" t="s">
        <v>216</v>
      </c>
    </row>
    <row r="511" spans="19:34" ht="16.2" customHeight="1" x14ac:dyDescent="0.3">
      <c r="U511" t="s">
        <v>164</v>
      </c>
      <c r="V511" t="s">
        <v>165</v>
      </c>
      <c r="W511" t="s">
        <v>166</v>
      </c>
      <c r="X511" t="s">
        <v>167</v>
      </c>
      <c r="Y511" t="s">
        <v>168</v>
      </c>
      <c r="AD511" t="s">
        <v>164</v>
      </c>
      <c r="AE511" t="s">
        <v>165</v>
      </c>
      <c r="AF511" t="s">
        <v>166</v>
      </c>
      <c r="AG511" t="s">
        <v>167</v>
      </c>
      <c r="AH511" t="s">
        <v>168</v>
      </c>
    </row>
    <row r="512" spans="19:34" ht="16.2" customHeight="1" x14ac:dyDescent="0.3">
      <c r="T512" t="s">
        <v>154</v>
      </c>
      <c r="U512" t="s">
        <v>155</v>
      </c>
      <c r="V512" t="s">
        <v>88</v>
      </c>
      <c r="W512" t="s">
        <v>155</v>
      </c>
      <c r="X512" t="s">
        <v>88</v>
      </c>
      <c r="Y512" t="s">
        <v>155</v>
      </c>
      <c r="AC512" t="s">
        <v>154</v>
      </c>
      <c r="AD512" t="s">
        <v>155</v>
      </c>
      <c r="AE512" t="s">
        <v>88</v>
      </c>
      <c r="AF512" t="s">
        <v>155</v>
      </c>
      <c r="AG512" t="s">
        <v>88</v>
      </c>
      <c r="AH512" t="s">
        <v>155</v>
      </c>
    </row>
    <row r="513" spans="19:34" ht="16.2" customHeight="1" x14ac:dyDescent="0.3">
      <c r="T513" t="s">
        <v>156</v>
      </c>
      <c r="U513" t="s">
        <v>155</v>
      </c>
      <c r="V513" t="s">
        <v>88</v>
      </c>
      <c r="W513" t="s">
        <v>155</v>
      </c>
      <c r="X513" t="s">
        <v>88</v>
      </c>
      <c r="Y513" t="s">
        <v>155</v>
      </c>
      <c r="AC513" t="s">
        <v>156</v>
      </c>
      <c r="AD513" t="s">
        <v>155</v>
      </c>
      <c r="AE513" t="s">
        <v>88</v>
      </c>
      <c r="AF513" t="s">
        <v>155</v>
      </c>
      <c r="AG513" t="s">
        <v>88</v>
      </c>
      <c r="AH513" t="s">
        <v>155</v>
      </c>
    </row>
    <row r="514" spans="19:34" ht="16.2" customHeight="1" x14ac:dyDescent="0.3">
      <c r="T514" t="s">
        <v>157</v>
      </c>
      <c r="U514" t="s">
        <v>155</v>
      </c>
      <c r="V514" t="s">
        <v>155</v>
      </c>
      <c r="W514" t="s">
        <v>155</v>
      </c>
      <c r="X514" t="s">
        <v>88</v>
      </c>
      <c r="Y514" t="s">
        <v>155</v>
      </c>
      <c r="AC514" t="s">
        <v>157</v>
      </c>
      <c r="AD514" t="s">
        <v>155</v>
      </c>
      <c r="AE514" t="s">
        <v>155</v>
      </c>
      <c r="AF514" t="s">
        <v>155</v>
      </c>
      <c r="AG514" t="s">
        <v>88</v>
      </c>
      <c r="AH514" t="s">
        <v>155</v>
      </c>
    </row>
    <row r="515" spans="19:34" ht="16.2" customHeight="1" x14ac:dyDescent="0.3">
      <c r="T515" t="s">
        <v>158</v>
      </c>
      <c r="U515" t="s">
        <v>155</v>
      </c>
      <c r="V515" t="s">
        <v>155</v>
      </c>
      <c r="W515" t="s">
        <v>155</v>
      </c>
      <c r="X515" t="s">
        <v>155</v>
      </c>
      <c r="Y515" t="s">
        <v>155</v>
      </c>
      <c r="AC515" t="s">
        <v>158</v>
      </c>
      <c r="AD515" t="s">
        <v>155</v>
      </c>
      <c r="AE515" t="s">
        <v>155</v>
      </c>
      <c r="AF515" t="s">
        <v>155</v>
      </c>
      <c r="AG515" t="s">
        <v>155</v>
      </c>
      <c r="AH515" t="s">
        <v>155</v>
      </c>
    </row>
    <row r="516" spans="19:34" ht="16.2" customHeight="1" x14ac:dyDescent="0.3">
      <c r="T516" t="s">
        <v>159</v>
      </c>
      <c r="U516" t="s">
        <v>155</v>
      </c>
      <c r="V516" t="s">
        <v>155</v>
      </c>
      <c r="W516" t="s">
        <v>155</v>
      </c>
      <c r="X516" t="s">
        <v>155</v>
      </c>
      <c r="Y516" t="s">
        <v>155</v>
      </c>
      <c r="AC516" t="s">
        <v>159</v>
      </c>
      <c r="AD516" t="s">
        <v>155</v>
      </c>
      <c r="AE516" t="s">
        <v>155</v>
      </c>
      <c r="AF516" t="s">
        <v>155</v>
      </c>
      <c r="AG516" t="s">
        <v>155</v>
      </c>
      <c r="AH516" t="s">
        <v>155</v>
      </c>
    </row>
    <row r="517" spans="19:34" ht="16.2" customHeight="1" x14ac:dyDescent="0.3">
      <c r="T517" t="s">
        <v>160</v>
      </c>
      <c r="U517" t="s">
        <v>155</v>
      </c>
      <c r="V517" t="s">
        <v>155</v>
      </c>
      <c r="W517" t="s">
        <v>155</v>
      </c>
      <c r="X517" t="s">
        <v>155</v>
      </c>
      <c r="Y517" t="s">
        <v>155</v>
      </c>
      <c r="AC517" t="s">
        <v>160</v>
      </c>
      <c r="AD517" t="s">
        <v>155</v>
      </c>
      <c r="AE517" t="s">
        <v>155</v>
      </c>
      <c r="AF517" t="s">
        <v>155</v>
      </c>
      <c r="AG517" t="s">
        <v>155</v>
      </c>
      <c r="AH517" t="s">
        <v>155</v>
      </c>
    </row>
    <row r="518" spans="19:34" ht="16.2" customHeight="1" x14ac:dyDescent="0.3">
      <c r="T518" t="s">
        <v>169</v>
      </c>
      <c r="U518" t="s">
        <v>155</v>
      </c>
      <c r="V518" t="s">
        <v>155</v>
      </c>
      <c r="W518" t="s">
        <v>155</v>
      </c>
      <c r="X518" t="s">
        <v>155</v>
      </c>
      <c r="Y518" t="s">
        <v>155</v>
      </c>
      <c r="AC518" t="s">
        <v>169</v>
      </c>
      <c r="AD518" t="s">
        <v>155</v>
      </c>
      <c r="AE518" t="s">
        <v>155</v>
      </c>
      <c r="AF518" t="s">
        <v>155</v>
      </c>
      <c r="AG518" t="s">
        <v>155</v>
      </c>
      <c r="AH518" t="s">
        <v>155</v>
      </c>
    </row>
    <row r="519" spans="19:34" ht="16.2" customHeight="1" x14ac:dyDescent="0.3">
      <c r="T519" t="s">
        <v>170</v>
      </c>
      <c r="U519" t="s">
        <v>155</v>
      </c>
      <c r="V519" t="s">
        <v>155</v>
      </c>
      <c r="W519" t="s">
        <v>155</v>
      </c>
      <c r="X519" t="s">
        <v>155</v>
      </c>
      <c r="Y519" t="s">
        <v>155</v>
      </c>
      <c r="AC519" t="s">
        <v>170</v>
      </c>
      <c r="AD519" t="s">
        <v>155</v>
      </c>
      <c r="AE519" t="s">
        <v>155</v>
      </c>
      <c r="AF519" t="s">
        <v>155</v>
      </c>
      <c r="AG519" t="s">
        <v>155</v>
      </c>
      <c r="AH519" t="s">
        <v>155</v>
      </c>
    </row>
    <row r="520" spans="19:34" ht="16.2" customHeight="1" x14ac:dyDescent="0.3">
      <c r="T520" t="s">
        <v>171</v>
      </c>
      <c r="U520" t="s">
        <v>155</v>
      </c>
      <c r="V520" t="s">
        <v>155</v>
      </c>
      <c r="W520" t="s">
        <v>155</v>
      </c>
      <c r="X520" t="s">
        <v>155</v>
      </c>
      <c r="Y520" t="s">
        <v>155</v>
      </c>
      <c r="AC520" t="s">
        <v>171</v>
      </c>
      <c r="AD520" t="s">
        <v>155</v>
      </c>
      <c r="AE520" t="s">
        <v>155</v>
      </c>
      <c r="AF520" t="s">
        <v>155</v>
      </c>
      <c r="AG520" t="s">
        <v>155</v>
      </c>
      <c r="AH520" t="s">
        <v>155</v>
      </c>
    </row>
    <row r="521" spans="19:34" ht="16.2" customHeight="1" x14ac:dyDescent="0.3">
      <c r="T521" t="s">
        <v>172</v>
      </c>
      <c r="U521" t="s">
        <v>155</v>
      </c>
      <c r="V521" t="s">
        <v>155</v>
      </c>
      <c r="W521" t="s">
        <v>155</v>
      </c>
      <c r="X521" t="s">
        <v>155</v>
      </c>
      <c r="Y521" t="s">
        <v>155</v>
      </c>
      <c r="AC521" t="s">
        <v>172</v>
      </c>
      <c r="AD521" t="s">
        <v>155</v>
      </c>
      <c r="AE521" t="s">
        <v>155</v>
      </c>
      <c r="AF521" t="s">
        <v>155</v>
      </c>
      <c r="AG521" t="s">
        <v>155</v>
      </c>
      <c r="AH521" t="s">
        <v>155</v>
      </c>
    </row>
    <row r="523" spans="19:34" ht="16.2" customHeight="1" x14ac:dyDescent="0.3">
      <c r="S523" s="15" t="s">
        <v>134</v>
      </c>
      <c r="T523" t="s">
        <v>217</v>
      </c>
      <c r="AB523" s="15" t="s">
        <v>134</v>
      </c>
      <c r="AC523" t="s">
        <v>217</v>
      </c>
    </row>
    <row r="524" spans="19:34" ht="16.2" customHeight="1" x14ac:dyDescent="0.3">
      <c r="U524" t="s">
        <v>164</v>
      </c>
      <c r="V524" t="s">
        <v>165</v>
      </c>
      <c r="W524" t="s">
        <v>166</v>
      </c>
      <c r="X524" t="s">
        <v>167</v>
      </c>
      <c r="Y524" t="s">
        <v>168</v>
      </c>
      <c r="AD524" t="s">
        <v>164</v>
      </c>
      <c r="AE524" t="s">
        <v>165</v>
      </c>
      <c r="AF524" t="s">
        <v>166</v>
      </c>
      <c r="AG524" t="s">
        <v>167</v>
      </c>
      <c r="AH524" t="s">
        <v>168</v>
      </c>
    </row>
    <row r="525" spans="19:34" ht="16.2" customHeight="1" x14ac:dyDescent="0.3">
      <c r="T525" t="s">
        <v>154</v>
      </c>
      <c r="U525" t="s">
        <v>155</v>
      </c>
      <c r="V525" t="s">
        <v>155</v>
      </c>
      <c r="W525" t="s">
        <v>90</v>
      </c>
      <c r="X525" t="s">
        <v>155</v>
      </c>
      <c r="Y525" t="s">
        <v>90</v>
      </c>
      <c r="AC525" t="s">
        <v>154</v>
      </c>
      <c r="AD525" t="s">
        <v>155</v>
      </c>
      <c r="AE525" t="s">
        <v>155</v>
      </c>
      <c r="AF525" t="s">
        <v>90</v>
      </c>
      <c r="AG525" t="s">
        <v>155</v>
      </c>
      <c r="AH525" t="s">
        <v>90</v>
      </c>
    </row>
    <row r="526" spans="19:34" ht="16.2" customHeight="1" x14ac:dyDescent="0.3">
      <c r="T526" t="s">
        <v>156</v>
      </c>
      <c r="U526" t="s">
        <v>155</v>
      </c>
      <c r="V526" t="s">
        <v>155</v>
      </c>
      <c r="W526" t="s">
        <v>90</v>
      </c>
      <c r="X526" t="s">
        <v>155</v>
      </c>
      <c r="Y526" t="s">
        <v>90</v>
      </c>
      <c r="AC526" t="s">
        <v>156</v>
      </c>
      <c r="AD526" t="s">
        <v>155</v>
      </c>
      <c r="AE526" t="s">
        <v>155</v>
      </c>
      <c r="AF526" t="s">
        <v>90</v>
      </c>
      <c r="AG526" t="s">
        <v>155</v>
      </c>
      <c r="AH526" t="s">
        <v>90</v>
      </c>
    </row>
    <row r="527" spans="19:34" ht="16.2" customHeight="1" x14ac:dyDescent="0.3">
      <c r="T527" t="s">
        <v>157</v>
      </c>
      <c r="U527" t="s">
        <v>155</v>
      </c>
      <c r="V527" t="s">
        <v>155</v>
      </c>
      <c r="W527" t="s">
        <v>155</v>
      </c>
      <c r="X527" t="s">
        <v>155</v>
      </c>
      <c r="Y527" t="s">
        <v>155</v>
      </c>
      <c r="AC527" t="s">
        <v>157</v>
      </c>
      <c r="AD527" t="s">
        <v>155</v>
      </c>
      <c r="AE527" t="s">
        <v>155</v>
      </c>
      <c r="AF527" t="s">
        <v>155</v>
      </c>
      <c r="AG527" t="s">
        <v>155</v>
      </c>
      <c r="AH527" t="s">
        <v>155</v>
      </c>
    </row>
    <row r="528" spans="19:34" ht="16.2" customHeight="1" x14ac:dyDescent="0.3">
      <c r="T528" t="s">
        <v>158</v>
      </c>
      <c r="U528" t="s">
        <v>155</v>
      </c>
      <c r="V528" t="s">
        <v>155</v>
      </c>
      <c r="W528" t="s">
        <v>155</v>
      </c>
      <c r="X528" t="s">
        <v>155</v>
      </c>
      <c r="Y528" t="s">
        <v>155</v>
      </c>
      <c r="AC528" t="s">
        <v>158</v>
      </c>
      <c r="AD528" t="s">
        <v>155</v>
      </c>
      <c r="AE528" t="s">
        <v>155</v>
      </c>
      <c r="AF528" t="s">
        <v>155</v>
      </c>
      <c r="AG528" t="s">
        <v>155</v>
      </c>
      <c r="AH528" t="s">
        <v>155</v>
      </c>
    </row>
    <row r="529" spans="19:34" ht="16.2" customHeight="1" x14ac:dyDescent="0.3">
      <c r="T529" t="s">
        <v>159</v>
      </c>
      <c r="U529" t="s">
        <v>155</v>
      </c>
      <c r="V529" t="s">
        <v>155</v>
      </c>
      <c r="W529" t="s">
        <v>155</v>
      </c>
      <c r="X529" t="s">
        <v>155</v>
      </c>
      <c r="Y529" t="s">
        <v>155</v>
      </c>
      <c r="AC529" t="s">
        <v>159</v>
      </c>
      <c r="AD529" t="s">
        <v>155</v>
      </c>
      <c r="AE529" t="s">
        <v>155</v>
      </c>
      <c r="AF529" t="s">
        <v>155</v>
      </c>
      <c r="AG529" t="s">
        <v>155</v>
      </c>
      <c r="AH529" t="s">
        <v>155</v>
      </c>
    </row>
    <row r="530" spans="19:34" ht="16.2" customHeight="1" x14ac:dyDescent="0.3">
      <c r="T530" t="s">
        <v>160</v>
      </c>
      <c r="U530" t="s">
        <v>155</v>
      </c>
      <c r="V530" t="s">
        <v>155</v>
      </c>
      <c r="W530" t="s">
        <v>155</v>
      </c>
      <c r="X530" t="s">
        <v>155</v>
      </c>
      <c r="Y530" t="s">
        <v>155</v>
      </c>
      <c r="AC530" t="s">
        <v>160</v>
      </c>
      <c r="AD530" t="s">
        <v>155</v>
      </c>
      <c r="AE530" t="s">
        <v>155</v>
      </c>
      <c r="AF530" t="s">
        <v>155</v>
      </c>
      <c r="AG530" t="s">
        <v>155</v>
      </c>
      <c r="AH530" t="s">
        <v>155</v>
      </c>
    </row>
    <row r="531" spans="19:34" ht="16.2" customHeight="1" x14ac:dyDescent="0.3">
      <c r="T531" t="s">
        <v>169</v>
      </c>
      <c r="U531" t="s">
        <v>155</v>
      </c>
      <c r="V531" t="s">
        <v>155</v>
      </c>
      <c r="W531" t="s">
        <v>155</v>
      </c>
      <c r="X531" t="s">
        <v>155</v>
      </c>
      <c r="Y531" t="s">
        <v>155</v>
      </c>
      <c r="AC531" t="s">
        <v>169</v>
      </c>
      <c r="AD531" t="s">
        <v>155</v>
      </c>
      <c r="AE531" t="s">
        <v>155</v>
      </c>
      <c r="AF531" t="s">
        <v>155</v>
      </c>
      <c r="AG531" t="s">
        <v>155</v>
      </c>
      <c r="AH531" t="s">
        <v>155</v>
      </c>
    </row>
    <row r="532" spans="19:34" ht="16.2" customHeight="1" x14ac:dyDescent="0.3">
      <c r="T532" t="s">
        <v>170</v>
      </c>
      <c r="U532" t="s">
        <v>155</v>
      </c>
      <c r="V532" t="s">
        <v>155</v>
      </c>
      <c r="W532" t="s">
        <v>155</v>
      </c>
      <c r="X532" t="s">
        <v>155</v>
      </c>
      <c r="Y532" t="s">
        <v>155</v>
      </c>
      <c r="AC532" t="s">
        <v>170</v>
      </c>
      <c r="AD532" t="s">
        <v>155</v>
      </c>
      <c r="AE532" t="s">
        <v>155</v>
      </c>
      <c r="AF532" t="s">
        <v>155</v>
      </c>
      <c r="AG532" t="s">
        <v>155</v>
      </c>
      <c r="AH532" t="s">
        <v>155</v>
      </c>
    </row>
    <row r="533" spans="19:34" ht="16.2" customHeight="1" x14ac:dyDescent="0.3">
      <c r="T533" t="s">
        <v>171</v>
      </c>
      <c r="U533" t="s">
        <v>155</v>
      </c>
      <c r="V533" t="s">
        <v>155</v>
      </c>
      <c r="W533" t="s">
        <v>155</v>
      </c>
      <c r="X533" t="s">
        <v>155</v>
      </c>
      <c r="Y533" t="s">
        <v>155</v>
      </c>
      <c r="AC533" t="s">
        <v>171</v>
      </c>
      <c r="AD533" t="s">
        <v>155</v>
      </c>
      <c r="AE533" t="s">
        <v>155</v>
      </c>
      <c r="AF533" t="s">
        <v>155</v>
      </c>
      <c r="AG533" t="s">
        <v>155</v>
      </c>
      <c r="AH533" t="s">
        <v>155</v>
      </c>
    </row>
    <row r="534" spans="19:34" ht="16.2" customHeight="1" x14ac:dyDescent="0.3">
      <c r="T534" t="s">
        <v>172</v>
      </c>
      <c r="U534" t="s">
        <v>155</v>
      </c>
      <c r="V534" t="s">
        <v>155</v>
      </c>
      <c r="W534" t="s">
        <v>155</v>
      </c>
      <c r="X534" t="s">
        <v>155</v>
      </c>
      <c r="Y534" t="s">
        <v>155</v>
      </c>
      <c r="AC534" t="s">
        <v>172</v>
      </c>
      <c r="AD534" t="s">
        <v>155</v>
      </c>
      <c r="AE534" t="s">
        <v>155</v>
      </c>
      <c r="AF534" t="s">
        <v>155</v>
      </c>
      <c r="AG534" t="s">
        <v>155</v>
      </c>
      <c r="AH534" t="s">
        <v>155</v>
      </c>
    </row>
    <row r="536" spans="19:34" ht="16.2" customHeight="1" x14ac:dyDescent="0.3">
      <c r="S536" s="15" t="s">
        <v>135</v>
      </c>
      <c r="T536" t="s">
        <v>218</v>
      </c>
      <c r="AB536" s="15" t="s">
        <v>135</v>
      </c>
      <c r="AC536" t="s">
        <v>218</v>
      </c>
    </row>
    <row r="537" spans="19:34" ht="16.2" customHeight="1" x14ac:dyDescent="0.3">
      <c r="U537" t="s">
        <v>164</v>
      </c>
      <c r="V537" t="s">
        <v>165</v>
      </c>
      <c r="W537" t="s">
        <v>166</v>
      </c>
      <c r="X537" t="s">
        <v>167</v>
      </c>
      <c r="Y537" t="s">
        <v>168</v>
      </c>
      <c r="AD537" t="s">
        <v>164</v>
      </c>
      <c r="AE537" t="s">
        <v>165</v>
      </c>
      <c r="AF537" t="s">
        <v>166</v>
      </c>
      <c r="AG537" t="s">
        <v>167</v>
      </c>
      <c r="AH537" t="s">
        <v>168</v>
      </c>
    </row>
    <row r="538" spans="19:34" ht="16.2" customHeight="1" x14ac:dyDescent="0.3">
      <c r="T538" t="s">
        <v>154</v>
      </c>
      <c r="U538" t="s">
        <v>91</v>
      </c>
      <c r="V538" t="s">
        <v>155</v>
      </c>
      <c r="W538" t="s">
        <v>155</v>
      </c>
      <c r="X538" t="s">
        <v>155</v>
      </c>
      <c r="Y538" t="s">
        <v>91</v>
      </c>
      <c r="AC538" t="s">
        <v>154</v>
      </c>
      <c r="AD538" t="s">
        <v>155</v>
      </c>
      <c r="AE538" t="s">
        <v>155</v>
      </c>
      <c r="AF538" t="s">
        <v>155</v>
      </c>
      <c r="AG538" t="s">
        <v>155</v>
      </c>
      <c r="AH538" t="s">
        <v>91</v>
      </c>
    </row>
    <row r="539" spans="19:34" ht="16.2" customHeight="1" x14ac:dyDescent="0.3">
      <c r="T539" t="s">
        <v>156</v>
      </c>
      <c r="U539" t="s">
        <v>91</v>
      </c>
      <c r="V539" t="s">
        <v>155</v>
      </c>
      <c r="W539" t="s">
        <v>155</v>
      </c>
      <c r="X539" t="s">
        <v>155</v>
      </c>
      <c r="Y539" t="s">
        <v>91</v>
      </c>
      <c r="AC539" t="s">
        <v>156</v>
      </c>
      <c r="AD539" t="s">
        <v>155</v>
      </c>
      <c r="AE539" t="s">
        <v>155</v>
      </c>
      <c r="AF539" t="s">
        <v>155</v>
      </c>
      <c r="AG539" t="s">
        <v>155</v>
      </c>
      <c r="AH539" t="s">
        <v>91</v>
      </c>
    </row>
    <row r="540" spans="19:34" ht="16.2" customHeight="1" x14ac:dyDescent="0.3">
      <c r="T540" t="s">
        <v>157</v>
      </c>
      <c r="U540" t="s">
        <v>91</v>
      </c>
      <c r="V540" t="s">
        <v>155</v>
      </c>
      <c r="W540" t="s">
        <v>155</v>
      </c>
      <c r="X540" t="s">
        <v>91</v>
      </c>
      <c r="Y540" t="s">
        <v>155</v>
      </c>
      <c r="AC540" t="s">
        <v>157</v>
      </c>
      <c r="AD540" t="s">
        <v>91</v>
      </c>
      <c r="AE540" t="s">
        <v>155</v>
      </c>
      <c r="AF540" t="s">
        <v>155</v>
      </c>
      <c r="AG540" t="s">
        <v>155</v>
      </c>
      <c r="AH540" t="s">
        <v>155</v>
      </c>
    </row>
    <row r="541" spans="19:34" ht="16.2" customHeight="1" x14ac:dyDescent="0.3">
      <c r="T541" t="s">
        <v>158</v>
      </c>
      <c r="U541" t="s">
        <v>91</v>
      </c>
      <c r="V541" t="s">
        <v>155</v>
      </c>
      <c r="W541" t="s">
        <v>155</v>
      </c>
      <c r="X541" t="s">
        <v>91</v>
      </c>
      <c r="Y541" t="s">
        <v>155</v>
      </c>
      <c r="AC541" t="s">
        <v>158</v>
      </c>
      <c r="AD541" t="s">
        <v>91</v>
      </c>
      <c r="AE541" t="s">
        <v>155</v>
      </c>
      <c r="AF541" t="s">
        <v>155</v>
      </c>
      <c r="AG541" t="s">
        <v>155</v>
      </c>
      <c r="AH541" t="s">
        <v>155</v>
      </c>
    </row>
    <row r="542" spans="19:34" ht="16.2" customHeight="1" x14ac:dyDescent="0.3">
      <c r="T542" t="s">
        <v>159</v>
      </c>
      <c r="U542" t="s">
        <v>155</v>
      </c>
      <c r="V542" t="s">
        <v>155</v>
      </c>
      <c r="W542" t="s">
        <v>155</v>
      </c>
      <c r="X542" t="s">
        <v>155</v>
      </c>
      <c r="Y542" t="s">
        <v>155</v>
      </c>
      <c r="AC542" t="s">
        <v>159</v>
      </c>
      <c r="AD542" t="s">
        <v>91</v>
      </c>
      <c r="AE542" t="s">
        <v>155</v>
      </c>
      <c r="AF542" t="s">
        <v>155</v>
      </c>
      <c r="AG542" t="s">
        <v>91</v>
      </c>
      <c r="AH542" t="s">
        <v>155</v>
      </c>
    </row>
    <row r="543" spans="19:34" ht="16.2" customHeight="1" x14ac:dyDescent="0.3">
      <c r="T543" t="s">
        <v>160</v>
      </c>
      <c r="U543" t="s">
        <v>155</v>
      </c>
      <c r="V543" t="s">
        <v>155</v>
      </c>
      <c r="W543" t="s">
        <v>155</v>
      </c>
      <c r="X543" t="s">
        <v>155</v>
      </c>
      <c r="Y543" t="s">
        <v>155</v>
      </c>
      <c r="AC543" t="s">
        <v>160</v>
      </c>
      <c r="AD543" t="s">
        <v>91</v>
      </c>
      <c r="AE543" t="s">
        <v>155</v>
      </c>
      <c r="AF543" t="s">
        <v>155</v>
      </c>
      <c r="AG543" t="s">
        <v>91</v>
      </c>
      <c r="AH543" t="s">
        <v>155</v>
      </c>
    </row>
    <row r="544" spans="19:34" ht="16.2" customHeight="1" x14ac:dyDescent="0.3">
      <c r="T544" t="s">
        <v>169</v>
      </c>
      <c r="U544" t="s">
        <v>155</v>
      </c>
      <c r="V544" t="s">
        <v>155</v>
      </c>
      <c r="W544" t="s">
        <v>155</v>
      </c>
      <c r="X544" t="s">
        <v>155</v>
      </c>
      <c r="Y544" t="s">
        <v>155</v>
      </c>
      <c r="AC544" t="s">
        <v>169</v>
      </c>
      <c r="AD544" t="s">
        <v>155</v>
      </c>
      <c r="AE544" t="s">
        <v>155</v>
      </c>
      <c r="AF544" t="s">
        <v>155</v>
      </c>
      <c r="AG544" t="s">
        <v>155</v>
      </c>
      <c r="AH544" t="s">
        <v>155</v>
      </c>
    </row>
    <row r="545" spans="19:34" ht="16.2" customHeight="1" x14ac:dyDescent="0.3">
      <c r="T545" t="s">
        <v>170</v>
      </c>
      <c r="U545" t="s">
        <v>155</v>
      </c>
      <c r="V545" t="s">
        <v>155</v>
      </c>
      <c r="W545" t="s">
        <v>155</v>
      </c>
      <c r="X545" t="s">
        <v>155</v>
      </c>
      <c r="Y545" t="s">
        <v>155</v>
      </c>
      <c r="AC545" t="s">
        <v>170</v>
      </c>
      <c r="AD545" t="s">
        <v>155</v>
      </c>
      <c r="AE545" t="s">
        <v>155</v>
      </c>
      <c r="AF545" t="s">
        <v>155</v>
      </c>
      <c r="AG545" t="s">
        <v>155</v>
      </c>
      <c r="AH545" t="s">
        <v>155</v>
      </c>
    </row>
    <row r="546" spans="19:34" ht="16.2" customHeight="1" x14ac:dyDescent="0.3">
      <c r="T546" t="s">
        <v>171</v>
      </c>
      <c r="U546" t="s">
        <v>155</v>
      </c>
      <c r="V546" t="s">
        <v>155</v>
      </c>
      <c r="W546" t="s">
        <v>155</v>
      </c>
      <c r="X546" t="s">
        <v>155</v>
      </c>
      <c r="Y546" t="s">
        <v>155</v>
      </c>
      <c r="AC546" t="s">
        <v>171</v>
      </c>
      <c r="AD546" t="s">
        <v>155</v>
      </c>
      <c r="AE546" t="s">
        <v>155</v>
      </c>
      <c r="AF546" t="s">
        <v>155</v>
      </c>
      <c r="AG546" t="s">
        <v>155</v>
      </c>
      <c r="AH546" t="s">
        <v>155</v>
      </c>
    </row>
    <row r="547" spans="19:34" ht="16.2" customHeight="1" x14ac:dyDescent="0.3">
      <c r="T547" t="s">
        <v>172</v>
      </c>
      <c r="U547" t="s">
        <v>155</v>
      </c>
      <c r="V547" t="s">
        <v>155</v>
      </c>
      <c r="W547" t="s">
        <v>155</v>
      </c>
      <c r="X547" t="s">
        <v>155</v>
      </c>
      <c r="Y547" t="s">
        <v>155</v>
      </c>
      <c r="AC547" t="s">
        <v>172</v>
      </c>
      <c r="AD547" t="s">
        <v>155</v>
      </c>
      <c r="AE547" t="s">
        <v>155</v>
      </c>
      <c r="AF547" t="s">
        <v>155</v>
      </c>
      <c r="AG547" t="s">
        <v>155</v>
      </c>
      <c r="AH547" t="s">
        <v>155</v>
      </c>
    </row>
    <row r="549" spans="19:34" ht="16.2" customHeight="1" x14ac:dyDescent="0.3">
      <c r="S549" s="15" t="s">
        <v>136</v>
      </c>
      <c r="T549" t="s">
        <v>219</v>
      </c>
      <c r="AB549" s="15" t="s">
        <v>136</v>
      </c>
      <c r="AC549" t="s">
        <v>219</v>
      </c>
    </row>
    <row r="550" spans="19:34" ht="16.2" customHeight="1" x14ac:dyDescent="0.3">
      <c r="U550" t="s">
        <v>164</v>
      </c>
      <c r="V550" t="s">
        <v>165</v>
      </c>
      <c r="W550" t="s">
        <v>166</v>
      </c>
      <c r="X550" t="s">
        <v>167</v>
      </c>
      <c r="Y550" t="s">
        <v>168</v>
      </c>
      <c r="AD550" t="s">
        <v>164</v>
      </c>
      <c r="AE550" t="s">
        <v>165</v>
      </c>
      <c r="AF550" t="s">
        <v>166</v>
      </c>
      <c r="AG550" t="s">
        <v>167</v>
      </c>
      <c r="AH550" t="s">
        <v>168</v>
      </c>
    </row>
    <row r="551" spans="19:34" ht="16.2" customHeight="1" x14ac:dyDescent="0.3">
      <c r="T551" t="s">
        <v>154</v>
      </c>
      <c r="U551" t="s">
        <v>155</v>
      </c>
      <c r="V551" t="s">
        <v>155</v>
      </c>
      <c r="W551" t="s">
        <v>155</v>
      </c>
      <c r="X551" t="s">
        <v>155</v>
      </c>
      <c r="Y551" t="s">
        <v>155</v>
      </c>
      <c r="AC551" t="s">
        <v>154</v>
      </c>
      <c r="AD551" t="s">
        <v>155</v>
      </c>
      <c r="AE551" t="s">
        <v>155</v>
      </c>
      <c r="AF551" t="s">
        <v>155</v>
      </c>
      <c r="AG551" t="s">
        <v>155</v>
      </c>
      <c r="AH551" t="s">
        <v>155</v>
      </c>
    </row>
    <row r="552" spans="19:34" ht="16.2" customHeight="1" x14ac:dyDescent="0.3">
      <c r="T552" t="s">
        <v>156</v>
      </c>
      <c r="U552" t="s">
        <v>155</v>
      </c>
      <c r="V552" t="s">
        <v>155</v>
      </c>
      <c r="W552" t="s">
        <v>155</v>
      </c>
      <c r="X552" t="s">
        <v>155</v>
      </c>
      <c r="Y552" t="s">
        <v>155</v>
      </c>
      <c r="AC552" t="s">
        <v>156</v>
      </c>
      <c r="AD552" t="s">
        <v>155</v>
      </c>
      <c r="AE552" t="s">
        <v>155</v>
      </c>
      <c r="AF552" t="s">
        <v>155</v>
      </c>
      <c r="AG552" t="s">
        <v>155</v>
      </c>
      <c r="AH552" t="s">
        <v>155</v>
      </c>
    </row>
    <row r="553" spans="19:34" ht="16.2" customHeight="1" x14ac:dyDescent="0.3">
      <c r="T553" t="s">
        <v>157</v>
      </c>
      <c r="U553" t="s">
        <v>155</v>
      </c>
      <c r="V553" t="s">
        <v>155</v>
      </c>
      <c r="W553" t="s">
        <v>155</v>
      </c>
      <c r="X553" t="s">
        <v>155</v>
      </c>
      <c r="Y553" t="s">
        <v>155</v>
      </c>
      <c r="AC553" t="s">
        <v>157</v>
      </c>
      <c r="AD553" t="s">
        <v>155</v>
      </c>
      <c r="AE553" t="s">
        <v>155</v>
      </c>
      <c r="AF553" t="s">
        <v>155</v>
      </c>
      <c r="AG553" t="s">
        <v>155</v>
      </c>
      <c r="AH553" t="s">
        <v>155</v>
      </c>
    </row>
    <row r="554" spans="19:34" ht="16.2" customHeight="1" x14ac:dyDescent="0.3">
      <c r="T554" t="s">
        <v>158</v>
      </c>
      <c r="U554" t="s">
        <v>155</v>
      </c>
      <c r="V554" t="s">
        <v>155</v>
      </c>
      <c r="W554" t="s">
        <v>155</v>
      </c>
      <c r="X554" t="s">
        <v>155</v>
      </c>
      <c r="Y554" t="s">
        <v>155</v>
      </c>
      <c r="AC554" t="s">
        <v>158</v>
      </c>
      <c r="AD554" t="s">
        <v>155</v>
      </c>
      <c r="AE554" t="s">
        <v>155</v>
      </c>
      <c r="AF554" t="s">
        <v>155</v>
      </c>
      <c r="AG554" t="s">
        <v>155</v>
      </c>
      <c r="AH554" t="s">
        <v>155</v>
      </c>
    </row>
    <row r="555" spans="19:34" ht="16.2" customHeight="1" x14ac:dyDescent="0.3">
      <c r="T555" t="s">
        <v>159</v>
      </c>
      <c r="U555" t="s">
        <v>155</v>
      </c>
      <c r="V555" t="s">
        <v>155</v>
      </c>
      <c r="W555" t="s">
        <v>155</v>
      </c>
      <c r="X555" t="s">
        <v>155</v>
      </c>
      <c r="Y555" t="s">
        <v>92</v>
      </c>
      <c r="AC555" t="s">
        <v>159</v>
      </c>
      <c r="AD555" t="s">
        <v>155</v>
      </c>
      <c r="AE555" t="s">
        <v>155</v>
      </c>
      <c r="AF555" t="s">
        <v>155</v>
      </c>
      <c r="AG555" t="s">
        <v>155</v>
      </c>
      <c r="AH555" t="s">
        <v>92</v>
      </c>
    </row>
    <row r="556" spans="19:34" ht="16.2" customHeight="1" x14ac:dyDescent="0.3">
      <c r="T556" t="s">
        <v>160</v>
      </c>
      <c r="U556" t="s">
        <v>155</v>
      </c>
      <c r="V556" t="s">
        <v>155</v>
      </c>
      <c r="W556" t="s">
        <v>155</v>
      </c>
      <c r="X556" t="s">
        <v>155</v>
      </c>
      <c r="Y556" t="s">
        <v>92</v>
      </c>
      <c r="AC556" t="s">
        <v>160</v>
      </c>
      <c r="AD556" t="s">
        <v>155</v>
      </c>
      <c r="AE556" t="s">
        <v>155</v>
      </c>
      <c r="AF556" t="s">
        <v>155</v>
      </c>
      <c r="AG556" t="s">
        <v>155</v>
      </c>
      <c r="AH556" t="s">
        <v>92</v>
      </c>
    </row>
    <row r="557" spans="19:34" ht="16.2" customHeight="1" x14ac:dyDescent="0.3">
      <c r="T557" t="s">
        <v>169</v>
      </c>
      <c r="U557" t="s">
        <v>155</v>
      </c>
      <c r="V557" t="s">
        <v>155</v>
      </c>
      <c r="W557" t="s">
        <v>155</v>
      </c>
      <c r="X557" t="s">
        <v>155</v>
      </c>
      <c r="Y557" t="s">
        <v>155</v>
      </c>
      <c r="AC557" t="s">
        <v>169</v>
      </c>
      <c r="AD557" t="s">
        <v>155</v>
      </c>
      <c r="AE557" t="s">
        <v>155</v>
      </c>
      <c r="AF557" t="s">
        <v>155</v>
      </c>
      <c r="AG557" t="s">
        <v>155</v>
      </c>
      <c r="AH557" t="s">
        <v>155</v>
      </c>
    </row>
    <row r="558" spans="19:34" ht="16.2" customHeight="1" x14ac:dyDescent="0.3">
      <c r="T558" t="s">
        <v>170</v>
      </c>
      <c r="U558" t="s">
        <v>155</v>
      </c>
      <c r="V558" t="s">
        <v>155</v>
      </c>
      <c r="W558" t="s">
        <v>155</v>
      </c>
      <c r="X558" t="s">
        <v>155</v>
      </c>
      <c r="Y558" t="s">
        <v>155</v>
      </c>
      <c r="AC558" t="s">
        <v>170</v>
      </c>
      <c r="AD558" t="s">
        <v>155</v>
      </c>
      <c r="AE558" t="s">
        <v>155</v>
      </c>
      <c r="AF558" t="s">
        <v>155</v>
      </c>
      <c r="AG558" t="s">
        <v>155</v>
      </c>
      <c r="AH558" t="s">
        <v>155</v>
      </c>
    </row>
    <row r="559" spans="19:34" ht="16.2" customHeight="1" x14ac:dyDescent="0.3">
      <c r="T559" t="s">
        <v>171</v>
      </c>
      <c r="U559" t="s">
        <v>155</v>
      </c>
      <c r="V559" t="s">
        <v>155</v>
      </c>
      <c r="W559" t="s">
        <v>155</v>
      </c>
      <c r="X559" t="s">
        <v>155</v>
      </c>
      <c r="Y559" t="s">
        <v>155</v>
      </c>
      <c r="AC559" t="s">
        <v>171</v>
      </c>
      <c r="AD559" t="s">
        <v>155</v>
      </c>
      <c r="AE559" t="s">
        <v>155</v>
      </c>
      <c r="AF559" t="s">
        <v>155</v>
      </c>
      <c r="AG559" t="s">
        <v>155</v>
      </c>
      <c r="AH559" t="s">
        <v>155</v>
      </c>
    </row>
    <row r="560" spans="19:34" ht="16.2" customHeight="1" x14ac:dyDescent="0.3">
      <c r="T560" t="s">
        <v>172</v>
      </c>
      <c r="U560" t="s">
        <v>155</v>
      </c>
      <c r="V560" t="s">
        <v>155</v>
      </c>
      <c r="W560" t="s">
        <v>155</v>
      </c>
      <c r="X560" t="s">
        <v>155</v>
      </c>
      <c r="Y560" t="s">
        <v>155</v>
      </c>
      <c r="AC560" t="s">
        <v>172</v>
      </c>
      <c r="AD560" t="s">
        <v>155</v>
      </c>
      <c r="AE560" t="s">
        <v>155</v>
      </c>
      <c r="AF560" t="s">
        <v>155</v>
      </c>
      <c r="AG560" t="s">
        <v>155</v>
      </c>
      <c r="AH560" t="s">
        <v>155</v>
      </c>
    </row>
    <row r="562" spans="19:34" ht="16.2" customHeight="1" x14ac:dyDescent="0.3">
      <c r="S562" s="15" t="s">
        <v>137</v>
      </c>
      <c r="T562" t="s">
        <v>220</v>
      </c>
      <c r="AB562" s="15" t="s">
        <v>137</v>
      </c>
      <c r="AC562" t="s">
        <v>220</v>
      </c>
    </row>
    <row r="563" spans="19:34" ht="16.2" customHeight="1" x14ac:dyDescent="0.3">
      <c r="U563" t="s">
        <v>164</v>
      </c>
      <c r="V563" t="s">
        <v>165</v>
      </c>
      <c r="W563" t="s">
        <v>166</v>
      </c>
      <c r="X563" t="s">
        <v>167</v>
      </c>
      <c r="Y563" t="s">
        <v>168</v>
      </c>
      <c r="AD563" t="s">
        <v>164</v>
      </c>
      <c r="AE563" t="s">
        <v>165</v>
      </c>
      <c r="AF563" t="s">
        <v>166</v>
      </c>
      <c r="AG563" t="s">
        <v>167</v>
      </c>
      <c r="AH563" t="s">
        <v>168</v>
      </c>
    </row>
    <row r="564" spans="19:34" ht="16.2" customHeight="1" x14ac:dyDescent="0.3">
      <c r="T564" t="s">
        <v>154</v>
      </c>
      <c r="U564" t="s">
        <v>155</v>
      </c>
      <c r="V564" t="s">
        <v>155</v>
      </c>
      <c r="W564" t="s">
        <v>155</v>
      </c>
      <c r="X564" t="s">
        <v>155</v>
      </c>
      <c r="Y564" t="s">
        <v>155</v>
      </c>
      <c r="AC564" t="s">
        <v>154</v>
      </c>
      <c r="AD564" t="s">
        <v>155</v>
      </c>
      <c r="AE564" t="s">
        <v>155</v>
      </c>
      <c r="AF564" t="s">
        <v>155</v>
      </c>
      <c r="AG564" t="s">
        <v>155</v>
      </c>
      <c r="AH564" t="s">
        <v>155</v>
      </c>
    </row>
    <row r="565" spans="19:34" ht="16.2" customHeight="1" x14ac:dyDescent="0.3">
      <c r="T565" t="s">
        <v>156</v>
      </c>
      <c r="U565" t="s">
        <v>155</v>
      </c>
      <c r="V565" t="s">
        <v>155</v>
      </c>
      <c r="W565" t="s">
        <v>155</v>
      </c>
      <c r="X565" t="s">
        <v>155</v>
      </c>
      <c r="Y565" t="s">
        <v>155</v>
      </c>
      <c r="AC565" t="s">
        <v>156</v>
      </c>
      <c r="AD565" t="s">
        <v>155</v>
      </c>
      <c r="AE565" t="s">
        <v>155</v>
      </c>
      <c r="AF565" t="s">
        <v>155</v>
      </c>
      <c r="AG565" t="s">
        <v>155</v>
      </c>
      <c r="AH565" t="s">
        <v>155</v>
      </c>
    </row>
    <row r="566" spans="19:34" ht="16.2" customHeight="1" x14ac:dyDescent="0.3">
      <c r="T566" t="s">
        <v>157</v>
      </c>
      <c r="U566" t="s">
        <v>155</v>
      </c>
      <c r="V566" t="s">
        <v>155</v>
      </c>
      <c r="W566" t="s">
        <v>92</v>
      </c>
      <c r="X566" t="s">
        <v>155</v>
      </c>
      <c r="Y566" t="s">
        <v>155</v>
      </c>
      <c r="AC566" t="s">
        <v>157</v>
      </c>
      <c r="AD566" t="s">
        <v>155</v>
      </c>
      <c r="AE566" t="s">
        <v>155</v>
      </c>
      <c r="AF566" t="s">
        <v>92</v>
      </c>
      <c r="AG566" t="s">
        <v>155</v>
      </c>
      <c r="AH566" t="s">
        <v>155</v>
      </c>
    </row>
    <row r="567" spans="19:34" ht="16.2" customHeight="1" x14ac:dyDescent="0.3">
      <c r="T567" t="s">
        <v>158</v>
      </c>
      <c r="U567" t="s">
        <v>155</v>
      </c>
      <c r="V567" t="s">
        <v>155</v>
      </c>
      <c r="W567" t="s">
        <v>92</v>
      </c>
      <c r="X567" t="s">
        <v>155</v>
      </c>
      <c r="Y567" t="s">
        <v>155</v>
      </c>
      <c r="AC567" t="s">
        <v>158</v>
      </c>
      <c r="AD567" t="s">
        <v>155</v>
      </c>
      <c r="AE567" t="s">
        <v>155</v>
      </c>
      <c r="AF567" t="s">
        <v>92</v>
      </c>
      <c r="AG567" t="s">
        <v>155</v>
      </c>
      <c r="AH567" t="s">
        <v>155</v>
      </c>
    </row>
    <row r="568" spans="19:34" ht="16.2" customHeight="1" x14ac:dyDescent="0.3">
      <c r="T568" t="s">
        <v>159</v>
      </c>
      <c r="U568" t="s">
        <v>155</v>
      </c>
      <c r="V568" t="s">
        <v>155</v>
      </c>
      <c r="W568" t="s">
        <v>92</v>
      </c>
      <c r="X568" t="s">
        <v>155</v>
      </c>
      <c r="Y568" t="s">
        <v>155</v>
      </c>
      <c r="AC568" t="s">
        <v>159</v>
      </c>
      <c r="AD568" t="s">
        <v>155</v>
      </c>
      <c r="AE568" t="s">
        <v>155</v>
      </c>
      <c r="AF568" t="s">
        <v>92</v>
      </c>
      <c r="AG568" t="s">
        <v>155</v>
      </c>
      <c r="AH568" t="s">
        <v>155</v>
      </c>
    </row>
    <row r="569" spans="19:34" ht="16.2" customHeight="1" x14ac:dyDescent="0.3">
      <c r="T569" t="s">
        <v>160</v>
      </c>
      <c r="U569" t="s">
        <v>155</v>
      </c>
      <c r="V569" t="s">
        <v>155</v>
      </c>
      <c r="W569" t="s">
        <v>155</v>
      </c>
      <c r="X569" t="s">
        <v>155</v>
      </c>
      <c r="Y569" t="s">
        <v>155</v>
      </c>
      <c r="AC569" t="s">
        <v>160</v>
      </c>
      <c r="AD569" t="s">
        <v>155</v>
      </c>
      <c r="AE569" t="s">
        <v>155</v>
      </c>
      <c r="AF569" t="s">
        <v>155</v>
      </c>
      <c r="AG569" t="s">
        <v>155</v>
      </c>
      <c r="AH569" t="s">
        <v>155</v>
      </c>
    </row>
    <row r="570" spans="19:34" ht="16.2" customHeight="1" x14ac:dyDescent="0.3">
      <c r="T570" t="s">
        <v>169</v>
      </c>
      <c r="U570" t="s">
        <v>155</v>
      </c>
      <c r="V570" t="s">
        <v>155</v>
      </c>
      <c r="W570" t="s">
        <v>155</v>
      </c>
      <c r="X570" t="s">
        <v>155</v>
      </c>
      <c r="Y570" t="s">
        <v>155</v>
      </c>
      <c r="AC570" t="s">
        <v>169</v>
      </c>
      <c r="AD570" t="s">
        <v>155</v>
      </c>
      <c r="AE570" t="s">
        <v>155</v>
      </c>
      <c r="AF570" t="s">
        <v>155</v>
      </c>
      <c r="AG570" t="s">
        <v>155</v>
      </c>
      <c r="AH570" t="s">
        <v>155</v>
      </c>
    </row>
    <row r="571" spans="19:34" ht="16.2" customHeight="1" x14ac:dyDescent="0.3">
      <c r="T571" t="s">
        <v>170</v>
      </c>
      <c r="U571" t="s">
        <v>155</v>
      </c>
      <c r="V571" t="s">
        <v>155</v>
      </c>
      <c r="W571" t="s">
        <v>155</v>
      </c>
      <c r="X571" t="s">
        <v>155</v>
      </c>
      <c r="Y571" t="s">
        <v>155</v>
      </c>
      <c r="AC571" t="s">
        <v>170</v>
      </c>
      <c r="AD571" t="s">
        <v>155</v>
      </c>
      <c r="AE571" t="s">
        <v>155</v>
      </c>
      <c r="AF571" t="s">
        <v>155</v>
      </c>
      <c r="AG571" t="s">
        <v>155</v>
      </c>
      <c r="AH571" t="s">
        <v>155</v>
      </c>
    </row>
    <row r="572" spans="19:34" ht="16.2" customHeight="1" x14ac:dyDescent="0.3">
      <c r="T572" t="s">
        <v>171</v>
      </c>
      <c r="U572" t="s">
        <v>155</v>
      </c>
      <c r="V572" t="s">
        <v>155</v>
      </c>
      <c r="W572" t="s">
        <v>155</v>
      </c>
      <c r="X572" t="s">
        <v>155</v>
      </c>
      <c r="Y572" t="s">
        <v>155</v>
      </c>
      <c r="AC572" t="s">
        <v>171</v>
      </c>
      <c r="AD572" t="s">
        <v>155</v>
      </c>
      <c r="AE572" t="s">
        <v>155</v>
      </c>
      <c r="AF572" t="s">
        <v>155</v>
      </c>
      <c r="AG572" t="s">
        <v>155</v>
      </c>
      <c r="AH572" t="s">
        <v>155</v>
      </c>
    </row>
    <row r="573" spans="19:34" ht="16.2" customHeight="1" x14ac:dyDescent="0.3">
      <c r="T573" t="s">
        <v>172</v>
      </c>
      <c r="U573" t="s">
        <v>155</v>
      </c>
      <c r="V573" t="s">
        <v>155</v>
      </c>
      <c r="W573" t="s">
        <v>155</v>
      </c>
      <c r="X573" t="s">
        <v>155</v>
      </c>
      <c r="Y573" t="s">
        <v>155</v>
      </c>
      <c r="AC573" t="s">
        <v>172</v>
      </c>
      <c r="AD573" t="s">
        <v>155</v>
      </c>
      <c r="AE573" t="s">
        <v>155</v>
      </c>
      <c r="AF573" t="s">
        <v>155</v>
      </c>
      <c r="AG573" t="s">
        <v>155</v>
      </c>
      <c r="AH573" t="s">
        <v>155</v>
      </c>
    </row>
    <row r="575" spans="19:34" ht="16.2" customHeight="1" x14ac:dyDescent="0.3">
      <c r="S575" s="15" t="s">
        <v>138</v>
      </c>
      <c r="T575" t="s">
        <v>221</v>
      </c>
      <c r="AB575" s="15" t="s">
        <v>138</v>
      </c>
      <c r="AC575" t="s">
        <v>221</v>
      </c>
    </row>
    <row r="576" spans="19:34" ht="16.2" customHeight="1" x14ac:dyDescent="0.3">
      <c r="U576" t="s">
        <v>164</v>
      </c>
      <c r="V576" t="s">
        <v>165</v>
      </c>
      <c r="W576" t="s">
        <v>166</v>
      </c>
      <c r="X576" t="s">
        <v>167</v>
      </c>
      <c r="Y576" t="s">
        <v>168</v>
      </c>
      <c r="AD576" t="s">
        <v>164</v>
      </c>
      <c r="AE576" t="s">
        <v>165</v>
      </c>
      <c r="AF576" t="s">
        <v>166</v>
      </c>
      <c r="AG576" t="s">
        <v>167</v>
      </c>
      <c r="AH576" t="s">
        <v>168</v>
      </c>
    </row>
    <row r="577" spans="19:34" ht="16.2" customHeight="1" x14ac:dyDescent="0.3">
      <c r="T577" t="s">
        <v>154</v>
      </c>
      <c r="U577" t="s">
        <v>155</v>
      </c>
      <c r="V577" t="s">
        <v>93</v>
      </c>
      <c r="W577" t="s">
        <v>155</v>
      </c>
      <c r="X577" t="s">
        <v>155</v>
      </c>
      <c r="Y577" t="s">
        <v>155</v>
      </c>
      <c r="AC577" t="s">
        <v>154</v>
      </c>
      <c r="AD577" t="s">
        <v>155</v>
      </c>
      <c r="AE577" t="s">
        <v>93</v>
      </c>
      <c r="AF577" t="s">
        <v>155</v>
      </c>
      <c r="AG577" t="s">
        <v>155</v>
      </c>
      <c r="AH577" t="s">
        <v>155</v>
      </c>
    </row>
    <row r="578" spans="19:34" ht="16.2" customHeight="1" x14ac:dyDescent="0.3">
      <c r="T578" t="s">
        <v>156</v>
      </c>
      <c r="U578" t="s">
        <v>155</v>
      </c>
      <c r="V578" t="s">
        <v>93</v>
      </c>
      <c r="W578" t="s">
        <v>155</v>
      </c>
      <c r="X578" t="s">
        <v>155</v>
      </c>
      <c r="Y578" t="s">
        <v>155</v>
      </c>
      <c r="AC578" t="s">
        <v>156</v>
      </c>
      <c r="AD578" t="s">
        <v>155</v>
      </c>
      <c r="AE578" t="s">
        <v>93</v>
      </c>
      <c r="AF578" t="s">
        <v>155</v>
      </c>
      <c r="AG578" t="s">
        <v>155</v>
      </c>
      <c r="AH578" t="s">
        <v>155</v>
      </c>
    </row>
    <row r="579" spans="19:34" ht="16.2" customHeight="1" x14ac:dyDescent="0.3">
      <c r="T579" t="s">
        <v>157</v>
      </c>
      <c r="U579" t="s">
        <v>155</v>
      </c>
      <c r="V579" t="s">
        <v>155</v>
      </c>
      <c r="W579" t="s">
        <v>155</v>
      </c>
      <c r="X579" t="s">
        <v>155</v>
      </c>
      <c r="Y579" t="s">
        <v>93</v>
      </c>
      <c r="AC579" t="s">
        <v>157</v>
      </c>
      <c r="AD579" t="s">
        <v>155</v>
      </c>
      <c r="AE579" t="s">
        <v>155</v>
      </c>
      <c r="AF579" t="s">
        <v>155</v>
      </c>
      <c r="AG579" t="s">
        <v>155</v>
      </c>
      <c r="AH579" t="s">
        <v>93</v>
      </c>
    </row>
    <row r="580" spans="19:34" ht="16.2" customHeight="1" x14ac:dyDescent="0.3">
      <c r="T580" t="s">
        <v>158</v>
      </c>
      <c r="U580" t="s">
        <v>155</v>
      </c>
      <c r="V580" t="s">
        <v>155</v>
      </c>
      <c r="W580" t="s">
        <v>155</v>
      </c>
      <c r="X580" t="s">
        <v>155</v>
      </c>
      <c r="Y580" t="s">
        <v>93</v>
      </c>
      <c r="AC580" t="s">
        <v>158</v>
      </c>
      <c r="AD580" t="s">
        <v>155</v>
      </c>
      <c r="AE580" t="s">
        <v>155</v>
      </c>
      <c r="AF580" t="s">
        <v>155</v>
      </c>
      <c r="AG580" t="s">
        <v>155</v>
      </c>
      <c r="AH580" t="s">
        <v>93</v>
      </c>
    </row>
    <row r="581" spans="19:34" ht="16.2" customHeight="1" x14ac:dyDescent="0.3">
      <c r="T581" t="s">
        <v>159</v>
      </c>
      <c r="U581" t="s">
        <v>155</v>
      </c>
      <c r="V581" t="s">
        <v>155</v>
      </c>
      <c r="W581" t="s">
        <v>155</v>
      </c>
      <c r="X581" t="s">
        <v>155</v>
      </c>
      <c r="Y581" t="s">
        <v>155</v>
      </c>
      <c r="AC581" t="s">
        <v>159</v>
      </c>
      <c r="AD581" t="s">
        <v>155</v>
      </c>
      <c r="AE581" t="s">
        <v>155</v>
      </c>
      <c r="AF581" t="s">
        <v>155</v>
      </c>
      <c r="AG581" t="s">
        <v>155</v>
      </c>
      <c r="AH581" t="s">
        <v>155</v>
      </c>
    </row>
    <row r="582" spans="19:34" ht="16.2" customHeight="1" x14ac:dyDescent="0.3">
      <c r="T582" t="s">
        <v>160</v>
      </c>
      <c r="U582" t="s">
        <v>155</v>
      </c>
      <c r="V582" t="s">
        <v>155</v>
      </c>
      <c r="W582" t="s">
        <v>155</v>
      </c>
      <c r="X582" t="s">
        <v>155</v>
      </c>
      <c r="Y582" t="s">
        <v>155</v>
      </c>
      <c r="AC582" t="s">
        <v>160</v>
      </c>
      <c r="AD582" t="s">
        <v>155</v>
      </c>
      <c r="AE582" t="s">
        <v>155</v>
      </c>
      <c r="AF582" t="s">
        <v>155</v>
      </c>
      <c r="AG582" t="s">
        <v>155</v>
      </c>
      <c r="AH582" t="s">
        <v>155</v>
      </c>
    </row>
    <row r="583" spans="19:34" ht="16.2" customHeight="1" x14ac:dyDescent="0.3">
      <c r="T583" t="s">
        <v>169</v>
      </c>
      <c r="U583" t="s">
        <v>155</v>
      </c>
      <c r="V583" t="s">
        <v>155</v>
      </c>
      <c r="W583" t="s">
        <v>155</v>
      </c>
      <c r="X583" t="s">
        <v>155</v>
      </c>
      <c r="Y583" t="s">
        <v>155</v>
      </c>
      <c r="AC583" t="s">
        <v>169</v>
      </c>
      <c r="AD583" t="s">
        <v>155</v>
      </c>
      <c r="AE583" t="s">
        <v>155</v>
      </c>
      <c r="AF583" t="s">
        <v>155</v>
      </c>
      <c r="AG583" t="s">
        <v>155</v>
      </c>
      <c r="AH583" t="s">
        <v>155</v>
      </c>
    </row>
    <row r="584" spans="19:34" ht="16.2" customHeight="1" x14ac:dyDescent="0.3">
      <c r="T584" t="s">
        <v>170</v>
      </c>
      <c r="U584" t="s">
        <v>155</v>
      </c>
      <c r="V584" t="s">
        <v>155</v>
      </c>
      <c r="W584" t="s">
        <v>155</v>
      </c>
      <c r="X584" t="s">
        <v>155</v>
      </c>
      <c r="Y584" t="s">
        <v>155</v>
      </c>
      <c r="AC584" t="s">
        <v>170</v>
      </c>
      <c r="AD584" t="s">
        <v>155</v>
      </c>
      <c r="AE584" t="s">
        <v>155</v>
      </c>
      <c r="AF584" t="s">
        <v>155</v>
      </c>
      <c r="AG584" t="s">
        <v>155</v>
      </c>
      <c r="AH584" t="s">
        <v>155</v>
      </c>
    </row>
    <row r="585" spans="19:34" ht="16.2" customHeight="1" x14ac:dyDescent="0.3">
      <c r="T585" t="s">
        <v>171</v>
      </c>
      <c r="U585" t="s">
        <v>155</v>
      </c>
      <c r="V585" t="s">
        <v>155</v>
      </c>
      <c r="W585" t="s">
        <v>155</v>
      </c>
      <c r="X585" t="s">
        <v>155</v>
      </c>
      <c r="Y585" t="s">
        <v>155</v>
      </c>
      <c r="AC585" t="s">
        <v>171</v>
      </c>
      <c r="AD585" t="s">
        <v>155</v>
      </c>
      <c r="AE585" t="s">
        <v>155</v>
      </c>
      <c r="AF585" t="s">
        <v>155</v>
      </c>
      <c r="AG585" t="s">
        <v>155</v>
      </c>
      <c r="AH585" t="s">
        <v>155</v>
      </c>
    </row>
    <row r="586" spans="19:34" ht="16.2" customHeight="1" x14ac:dyDescent="0.3">
      <c r="T586" t="s">
        <v>172</v>
      </c>
      <c r="U586" t="s">
        <v>155</v>
      </c>
      <c r="V586" t="s">
        <v>155</v>
      </c>
      <c r="W586" t="s">
        <v>155</v>
      </c>
      <c r="X586" t="s">
        <v>155</v>
      </c>
      <c r="Y586" t="s">
        <v>155</v>
      </c>
      <c r="AC586" t="s">
        <v>172</v>
      </c>
      <c r="AD586" t="s">
        <v>155</v>
      </c>
      <c r="AE586" t="s">
        <v>155</v>
      </c>
      <c r="AF586" t="s">
        <v>155</v>
      </c>
      <c r="AG586" t="s">
        <v>155</v>
      </c>
      <c r="AH586" t="s">
        <v>155</v>
      </c>
    </row>
    <row r="588" spans="19:34" ht="16.2" customHeight="1" x14ac:dyDescent="0.3">
      <c r="S588" s="15" t="s">
        <v>139</v>
      </c>
      <c r="T588" t="s">
        <v>222</v>
      </c>
      <c r="AB588" s="15" t="s">
        <v>139</v>
      </c>
      <c r="AC588" t="s">
        <v>222</v>
      </c>
    </row>
    <row r="589" spans="19:34" ht="16.2" customHeight="1" x14ac:dyDescent="0.3">
      <c r="U589" t="s">
        <v>164</v>
      </c>
      <c r="V589" t="s">
        <v>165</v>
      </c>
      <c r="W589" t="s">
        <v>166</v>
      </c>
      <c r="X589" t="s">
        <v>167</v>
      </c>
      <c r="Y589" t="s">
        <v>168</v>
      </c>
      <c r="AD589" t="s">
        <v>164</v>
      </c>
      <c r="AE589" t="s">
        <v>165</v>
      </c>
      <c r="AF589" t="s">
        <v>166</v>
      </c>
      <c r="AG589" t="s">
        <v>167</v>
      </c>
      <c r="AH589" t="s">
        <v>168</v>
      </c>
    </row>
    <row r="590" spans="19:34" ht="16.2" customHeight="1" x14ac:dyDescent="0.3">
      <c r="T590" t="s">
        <v>154</v>
      </c>
      <c r="U590" t="s">
        <v>155</v>
      </c>
      <c r="V590" t="s">
        <v>155</v>
      </c>
      <c r="W590" t="s">
        <v>93</v>
      </c>
      <c r="X590" t="s">
        <v>155</v>
      </c>
      <c r="Y590" t="s">
        <v>155</v>
      </c>
      <c r="AC590" t="s">
        <v>154</v>
      </c>
      <c r="AD590" t="s">
        <v>155</v>
      </c>
      <c r="AE590" t="s">
        <v>155</v>
      </c>
      <c r="AF590" t="s">
        <v>93</v>
      </c>
      <c r="AG590" t="s">
        <v>155</v>
      </c>
      <c r="AH590" t="s">
        <v>155</v>
      </c>
    </row>
    <row r="591" spans="19:34" ht="16.2" customHeight="1" x14ac:dyDescent="0.3">
      <c r="T591" t="s">
        <v>156</v>
      </c>
      <c r="U591" t="s">
        <v>155</v>
      </c>
      <c r="V591" t="s">
        <v>155</v>
      </c>
      <c r="W591" t="s">
        <v>93</v>
      </c>
      <c r="X591" t="s">
        <v>155</v>
      </c>
      <c r="Y591" t="s">
        <v>155</v>
      </c>
      <c r="AC591" t="s">
        <v>156</v>
      </c>
      <c r="AD591" t="s">
        <v>155</v>
      </c>
      <c r="AE591" t="s">
        <v>155</v>
      </c>
      <c r="AF591" t="s">
        <v>93</v>
      </c>
      <c r="AG591" t="s">
        <v>155</v>
      </c>
      <c r="AH591" t="s">
        <v>155</v>
      </c>
    </row>
    <row r="592" spans="19:34" ht="16.2" customHeight="1" x14ac:dyDescent="0.3">
      <c r="T592" t="s">
        <v>157</v>
      </c>
      <c r="U592" t="s">
        <v>155</v>
      </c>
      <c r="V592" t="s">
        <v>155</v>
      </c>
      <c r="W592" t="s">
        <v>155</v>
      </c>
      <c r="X592" t="s">
        <v>155</v>
      </c>
      <c r="Y592" t="s">
        <v>93</v>
      </c>
      <c r="AC592" t="s">
        <v>157</v>
      </c>
      <c r="AD592" t="s">
        <v>155</v>
      </c>
      <c r="AE592" t="s">
        <v>155</v>
      </c>
      <c r="AF592" t="s">
        <v>155</v>
      </c>
      <c r="AG592" t="s">
        <v>155</v>
      </c>
      <c r="AH592" t="s">
        <v>93</v>
      </c>
    </row>
    <row r="593" spans="19:34" ht="16.2" customHeight="1" x14ac:dyDescent="0.3">
      <c r="T593" t="s">
        <v>158</v>
      </c>
      <c r="U593" t="s">
        <v>155</v>
      </c>
      <c r="V593" t="s">
        <v>155</v>
      </c>
      <c r="W593" t="s">
        <v>155</v>
      </c>
      <c r="X593" t="s">
        <v>155</v>
      </c>
      <c r="Y593" t="s">
        <v>93</v>
      </c>
      <c r="AC593" t="s">
        <v>158</v>
      </c>
      <c r="AD593" t="s">
        <v>155</v>
      </c>
      <c r="AE593" t="s">
        <v>155</v>
      </c>
      <c r="AF593" t="s">
        <v>155</v>
      </c>
      <c r="AG593" t="s">
        <v>155</v>
      </c>
      <c r="AH593" t="s">
        <v>93</v>
      </c>
    </row>
    <row r="594" spans="19:34" ht="16.2" customHeight="1" x14ac:dyDescent="0.3">
      <c r="T594" t="s">
        <v>159</v>
      </c>
      <c r="U594" t="s">
        <v>155</v>
      </c>
      <c r="V594" t="s">
        <v>155</v>
      </c>
      <c r="W594" t="s">
        <v>155</v>
      </c>
      <c r="X594" t="s">
        <v>155</v>
      </c>
      <c r="Y594" t="s">
        <v>155</v>
      </c>
      <c r="AC594" t="s">
        <v>159</v>
      </c>
      <c r="AD594" t="s">
        <v>155</v>
      </c>
      <c r="AE594" t="s">
        <v>155</v>
      </c>
      <c r="AF594" t="s">
        <v>155</v>
      </c>
      <c r="AG594" t="s">
        <v>155</v>
      </c>
      <c r="AH594" t="s">
        <v>155</v>
      </c>
    </row>
    <row r="595" spans="19:34" ht="16.2" customHeight="1" x14ac:dyDescent="0.3">
      <c r="T595" t="s">
        <v>160</v>
      </c>
      <c r="U595" t="s">
        <v>155</v>
      </c>
      <c r="V595" t="s">
        <v>155</v>
      </c>
      <c r="W595" t="s">
        <v>155</v>
      </c>
      <c r="X595" t="s">
        <v>155</v>
      </c>
      <c r="Y595" t="s">
        <v>155</v>
      </c>
      <c r="AC595" t="s">
        <v>160</v>
      </c>
      <c r="AD595" t="s">
        <v>155</v>
      </c>
      <c r="AE595" t="s">
        <v>155</v>
      </c>
      <c r="AF595" t="s">
        <v>155</v>
      </c>
      <c r="AG595" t="s">
        <v>155</v>
      </c>
      <c r="AH595" t="s">
        <v>155</v>
      </c>
    </row>
    <row r="596" spans="19:34" ht="16.2" customHeight="1" x14ac:dyDescent="0.3">
      <c r="T596" t="s">
        <v>169</v>
      </c>
      <c r="U596" t="s">
        <v>155</v>
      </c>
      <c r="V596" t="s">
        <v>155</v>
      </c>
      <c r="W596" t="s">
        <v>155</v>
      </c>
      <c r="X596" t="s">
        <v>155</v>
      </c>
      <c r="Y596" t="s">
        <v>155</v>
      </c>
      <c r="AC596" t="s">
        <v>169</v>
      </c>
      <c r="AD596" t="s">
        <v>155</v>
      </c>
      <c r="AE596" t="s">
        <v>155</v>
      </c>
      <c r="AF596" t="s">
        <v>155</v>
      </c>
      <c r="AG596" t="s">
        <v>155</v>
      </c>
      <c r="AH596" t="s">
        <v>155</v>
      </c>
    </row>
    <row r="597" spans="19:34" ht="16.2" customHeight="1" x14ac:dyDescent="0.3">
      <c r="T597" t="s">
        <v>170</v>
      </c>
      <c r="U597" t="s">
        <v>155</v>
      </c>
      <c r="V597" t="s">
        <v>155</v>
      </c>
      <c r="W597" t="s">
        <v>155</v>
      </c>
      <c r="X597" t="s">
        <v>155</v>
      </c>
      <c r="Y597" t="s">
        <v>155</v>
      </c>
      <c r="AC597" t="s">
        <v>170</v>
      </c>
      <c r="AD597" t="s">
        <v>155</v>
      </c>
      <c r="AE597" t="s">
        <v>155</v>
      </c>
      <c r="AF597" t="s">
        <v>155</v>
      </c>
      <c r="AG597" t="s">
        <v>155</v>
      </c>
      <c r="AH597" t="s">
        <v>155</v>
      </c>
    </row>
    <row r="598" spans="19:34" ht="16.2" customHeight="1" x14ac:dyDescent="0.3">
      <c r="T598" t="s">
        <v>171</v>
      </c>
      <c r="U598" t="s">
        <v>155</v>
      </c>
      <c r="V598" t="s">
        <v>155</v>
      </c>
      <c r="W598" t="s">
        <v>155</v>
      </c>
      <c r="X598" t="s">
        <v>155</v>
      </c>
      <c r="Y598" t="s">
        <v>155</v>
      </c>
      <c r="AC598" t="s">
        <v>171</v>
      </c>
      <c r="AD598" t="s">
        <v>155</v>
      </c>
      <c r="AE598" t="s">
        <v>155</v>
      </c>
      <c r="AF598" t="s">
        <v>155</v>
      </c>
      <c r="AG598" t="s">
        <v>155</v>
      </c>
      <c r="AH598" t="s">
        <v>155</v>
      </c>
    </row>
    <row r="599" spans="19:34" ht="16.2" customHeight="1" x14ac:dyDescent="0.3">
      <c r="T599" t="s">
        <v>172</v>
      </c>
      <c r="U599" t="s">
        <v>155</v>
      </c>
      <c r="V599" t="s">
        <v>155</v>
      </c>
      <c r="W599" t="s">
        <v>155</v>
      </c>
      <c r="X599" t="s">
        <v>155</v>
      </c>
      <c r="Y599" t="s">
        <v>155</v>
      </c>
      <c r="AC599" t="s">
        <v>172</v>
      </c>
      <c r="AD599" t="s">
        <v>155</v>
      </c>
      <c r="AE599" t="s">
        <v>155</v>
      </c>
      <c r="AF599" t="s">
        <v>155</v>
      </c>
      <c r="AG599" t="s">
        <v>155</v>
      </c>
      <c r="AH599" t="s">
        <v>155</v>
      </c>
    </row>
    <row r="601" spans="19:34" ht="16.2" customHeight="1" x14ac:dyDescent="0.3">
      <c r="S601" s="15" t="s">
        <v>140</v>
      </c>
      <c r="T601" t="s">
        <v>223</v>
      </c>
      <c r="AB601" s="15" t="s">
        <v>140</v>
      </c>
      <c r="AC601" t="s">
        <v>223</v>
      </c>
    </row>
    <row r="602" spans="19:34" ht="16.2" customHeight="1" x14ac:dyDescent="0.3">
      <c r="U602" t="s">
        <v>164</v>
      </c>
      <c r="V602" t="s">
        <v>165</v>
      </c>
      <c r="W602" t="s">
        <v>166</v>
      </c>
      <c r="X602" t="s">
        <v>167</v>
      </c>
      <c r="Y602" t="s">
        <v>168</v>
      </c>
      <c r="AD602" t="s">
        <v>164</v>
      </c>
      <c r="AE602" t="s">
        <v>165</v>
      </c>
      <c r="AF602" t="s">
        <v>166</v>
      </c>
      <c r="AG602" t="s">
        <v>167</v>
      </c>
      <c r="AH602" t="s">
        <v>168</v>
      </c>
    </row>
    <row r="603" spans="19:34" ht="16.2" customHeight="1" x14ac:dyDescent="0.3">
      <c r="T603" t="s">
        <v>154</v>
      </c>
      <c r="U603" t="s">
        <v>155</v>
      </c>
      <c r="V603" t="s">
        <v>155</v>
      </c>
      <c r="W603" t="s">
        <v>155</v>
      </c>
      <c r="X603" t="s">
        <v>155</v>
      </c>
      <c r="Y603" t="s">
        <v>155</v>
      </c>
      <c r="AC603" t="s">
        <v>154</v>
      </c>
      <c r="AD603" t="s">
        <v>155</v>
      </c>
      <c r="AE603" t="s">
        <v>155</v>
      </c>
      <c r="AF603" t="s">
        <v>155</v>
      </c>
      <c r="AG603" t="s">
        <v>155</v>
      </c>
      <c r="AH603" t="s">
        <v>155</v>
      </c>
    </row>
    <row r="604" spans="19:34" ht="16.2" customHeight="1" x14ac:dyDescent="0.3">
      <c r="T604" t="s">
        <v>156</v>
      </c>
      <c r="U604" t="s">
        <v>155</v>
      </c>
      <c r="V604" t="s">
        <v>155</v>
      </c>
      <c r="W604" t="s">
        <v>155</v>
      </c>
      <c r="X604" t="s">
        <v>155</v>
      </c>
      <c r="Y604" t="s">
        <v>155</v>
      </c>
      <c r="AC604" t="s">
        <v>156</v>
      </c>
      <c r="AD604" t="s">
        <v>155</v>
      </c>
      <c r="AE604" t="s">
        <v>155</v>
      </c>
      <c r="AF604" t="s">
        <v>155</v>
      </c>
      <c r="AG604" t="s">
        <v>155</v>
      </c>
      <c r="AH604" t="s">
        <v>155</v>
      </c>
    </row>
    <row r="605" spans="19:34" ht="16.2" customHeight="1" x14ac:dyDescent="0.3">
      <c r="T605" t="s">
        <v>157</v>
      </c>
      <c r="U605" t="s">
        <v>155</v>
      </c>
      <c r="V605" t="s">
        <v>95</v>
      </c>
      <c r="W605" t="s">
        <v>155</v>
      </c>
      <c r="X605" t="s">
        <v>155</v>
      </c>
      <c r="Y605" t="s">
        <v>155</v>
      </c>
      <c r="AC605" t="s">
        <v>157</v>
      </c>
      <c r="AD605" t="s">
        <v>155</v>
      </c>
      <c r="AE605" t="s">
        <v>95</v>
      </c>
      <c r="AF605" t="s">
        <v>155</v>
      </c>
      <c r="AG605" t="s">
        <v>95</v>
      </c>
      <c r="AH605" t="s">
        <v>155</v>
      </c>
    </row>
    <row r="606" spans="19:34" ht="16.2" customHeight="1" x14ac:dyDescent="0.3">
      <c r="T606" t="s">
        <v>158</v>
      </c>
      <c r="U606" t="s">
        <v>155</v>
      </c>
      <c r="V606" t="s">
        <v>95</v>
      </c>
      <c r="W606" t="s">
        <v>155</v>
      </c>
      <c r="X606" t="s">
        <v>155</v>
      </c>
      <c r="Y606" t="s">
        <v>155</v>
      </c>
      <c r="AC606" t="s">
        <v>158</v>
      </c>
      <c r="AD606" t="s">
        <v>155</v>
      </c>
      <c r="AE606" t="s">
        <v>95</v>
      </c>
      <c r="AF606" t="s">
        <v>155</v>
      </c>
      <c r="AG606" t="s">
        <v>95</v>
      </c>
      <c r="AH606" t="s">
        <v>155</v>
      </c>
    </row>
    <row r="607" spans="19:34" ht="16.2" customHeight="1" x14ac:dyDescent="0.3">
      <c r="T607" t="s">
        <v>159</v>
      </c>
      <c r="U607" t="s">
        <v>155</v>
      </c>
      <c r="V607" t="s">
        <v>155</v>
      </c>
      <c r="W607" t="s">
        <v>155</v>
      </c>
      <c r="X607" t="s">
        <v>155</v>
      </c>
      <c r="Y607" t="s">
        <v>95</v>
      </c>
      <c r="AC607" t="s">
        <v>159</v>
      </c>
      <c r="AD607" t="s">
        <v>155</v>
      </c>
      <c r="AE607" t="s">
        <v>155</v>
      </c>
      <c r="AF607" t="s">
        <v>155</v>
      </c>
      <c r="AG607" t="s">
        <v>155</v>
      </c>
      <c r="AH607" t="s">
        <v>155</v>
      </c>
    </row>
    <row r="608" spans="19:34" ht="16.2" customHeight="1" x14ac:dyDescent="0.3">
      <c r="T608" t="s">
        <v>160</v>
      </c>
      <c r="U608" t="s">
        <v>155</v>
      </c>
      <c r="V608" t="s">
        <v>155</v>
      </c>
      <c r="W608" t="s">
        <v>155</v>
      </c>
      <c r="X608" t="s">
        <v>155</v>
      </c>
      <c r="Y608" t="s">
        <v>95</v>
      </c>
      <c r="AC608" t="s">
        <v>160</v>
      </c>
      <c r="AD608" t="s">
        <v>155</v>
      </c>
      <c r="AE608" t="s">
        <v>155</v>
      </c>
      <c r="AF608" t="s">
        <v>155</v>
      </c>
      <c r="AG608" t="s">
        <v>155</v>
      </c>
      <c r="AH608" t="s">
        <v>155</v>
      </c>
    </row>
    <row r="609" spans="19:34" ht="16.2" customHeight="1" x14ac:dyDescent="0.3">
      <c r="T609" t="s">
        <v>169</v>
      </c>
      <c r="U609" t="s">
        <v>155</v>
      </c>
      <c r="V609" t="s">
        <v>155</v>
      </c>
      <c r="W609" t="s">
        <v>155</v>
      </c>
      <c r="X609" t="s">
        <v>155</v>
      </c>
      <c r="Y609" t="s">
        <v>155</v>
      </c>
      <c r="AC609" t="s">
        <v>169</v>
      </c>
      <c r="AD609" t="s">
        <v>155</v>
      </c>
      <c r="AE609" t="s">
        <v>155</v>
      </c>
      <c r="AF609" t="s">
        <v>155</v>
      </c>
      <c r="AG609" t="s">
        <v>155</v>
      </c>
      <c r="AH609" t="s">
        <v>155</v>
      </c>
    </row>
    <row r="610" spans="19:34" ht="16.2" customHeight="1" x14ac:dyDescent="0.3">
      <c r="T610" t="s">
        <v>170</v>
      </c>
      <c r="U610" t="s">
        <v>155</v>
      </c>
      <c r="V610" t="s">
        <v>155</v>
      </c>
      <c r="W610" t="s">
        <v>155</v>
      </c>
      <c r="X610" t="s">
        <v>155</v>
      </c>
      <c r="Y610" t="s">
        <v>155</v>
      </c>
      <c r="AC610" t="s">
        <v>170</v>
      </c>
      <c r="AD610" t="s">
        <v>155</v>
      </c>
      <c r="AE610" t="s">
        <v>155</v>
      </c>
      <c r="AF610" t="s">
        <v>155</v>
      </c>
      <c r="AG610" t="s">
        <v>155</v>
      </c>
      <c r="AH610" t="s">
        <v>155</v>
      </c>
    </row>
    <row r="611" spans="19:34" ht="16.2" customHeight="1" x14ac:dyDescent="0.3">
      <c r="T611" t="s">
        <v>171</v>
      </c>
      <c r="U611" t="s">
        <v>155</v>
      </c>
      <c r="V611" t="s">
        <v>155</v>
      </c>
      <c r="W611" t="s">
        <v>155</v>
      </c>
      <c r="X611" t="s">
        <v>155</v>
      </c>
      <c r="Y611" t="s">
        <v>155</v>
      </c>
      <c r="AC611" t="s">
        <v>171</v>
      </c>
      <c r="AD611" t="s">
        <v>155</v>
      </c>
      <c r="AE611" t="s">
        <v>155</v>
      </c>
      <c r="AF611" t="s">
        <v>155</v>
      </c>
      <c r="AG611" t="s">
        <v>155</v>
      </c>
      <c r="AH611" t="s">
        <v>155</v>
      </c>
    </row>
    <row r="612" spans="19:34" ht="16.2" customHeight="1" x14ac:dyDescent="0.3">
      <c r="T612" t="s">
        <v>172</v>
      </c>
      <c r="U612" t="s">
        <v>155</v>
      </c>
      <c r="V612" t="s">
        <v>155</v>
      </c>
      <c r="W612" t="s">
        <v>155</v>
      </c>
      <c r="X612" t="s">
        <v>155</v>
      </c>
      <c r="Y612" t="s">
        <v>155</v>
      </c>
      <c r="AC612" t="s">
        <v>172</v>
      </c>
      <c r="AD612" t="s">
        <v>155</v>
      </c>
      <c r="AE612" t="s">
        <v>155</v>
      </c>
      <c r="AF612" t="s">
        <v>155</v>
      </c>
      <c r="AG612" t="s">
        <v>155</v>
      </c>
      <c r="AH612" t="s">
        <v>155</v>
      </c>
    </row>
    <row r="614" spans="19:34" ht="16.2" customHeight="1" x14ac:dyDescent="0.3">
      <c r="S614" s="15" t="s">
        <v>141</v>
      </c>
      <c r="T614" t="s">
        <v>224</v>
      </c>
      <c r="AB614" s="15" t="s">
        <v>141</v>
      </c>
      <c r="AC614" t="s">
        <v>224</v>
      </c>
    </row>
    <row r="615" spans="19:34" ht="16.2" customHeight="1" x14ac:dyDescent="0.3">
      <c r="U615" t="s">
        <v>164</v>
      </c>
      <c r="V615" t="s">
        <v>165</v>
      </c>
      <c r="W615" t="s">
        <v>166</v>
      </c>
      <c r="X615" t="s">
        <v>167</v>
      </c>
      <c r="Y615" t="s">
        <v>168</v>
      </c>
      <c r="AD615" t="s">
        <v>164</v>
      </c>
      <c r="AE615" t="s">
        <v>165</v>
      </c>
      <c r="AF615" t="s">
        <v>166</v>
      </c>
      <c r="AG615" t="s">
        <v>167</v>
      </c>
      <c r="AH615" t="s">
        <v>168</v>
      </c>
    </row>
    <row r="616" spans="19:34" ht="16.2" customHeight="1" x14ac:dyDescent="0.3">
      <c r="T616" t="s">
        <v>154</v>
      </c>
      <c r="U616" t="s">
        <v>155</v>
      </c>
      <c r="V616" t="s">
        <v>155</v>
      </c>
      <c r="W616" t="s">
        <v>155</v>
      </c>
      <c r="X616" t="s">
        <v>155</v>
      </c>
      <c r="Y616" t="s">
        <v>155</v>
      </c>
      <c r="AC616" t="s">
        <v>154</v>
      </c>
      <c r="AD616" t="s">
        <v>155</v>
      </c>
      <c r="AE616" t="s">
        <v>155</v>
      </c>
      <c r="AF616" t="s">
        <v>155</v>
      </c>
      <c r="AG616" t="s">
        <v>155</v>
      </c>
      <c r="AH616" t="s">
        <v>155</v>
      </c>
    </row>
    <row r="617" spans="19:34" ht="16.2" customHeight="1" x14ac:dyDescent="0.3">
      <c r="T617" t="s">
        <v>156</v>
      </c>
      <c r="U617" t="s">
        <v>155</v>
      </c>
      <c r="V617" t="s">
        <v>155</v>
      </c>
      <c r="W617" t="s">
        <v>155</v>
      </c>
      <c r="X617" t="s">
        <v>95</v>
      </c>
      <c r="Y617" t="s">
        <v>155</v>
      </c>
      <c r="AC617" t="s">
        <v>156</v>
      </c>
      <c r="AD617" t="s">
        <v>155</v>
      </c>
      <c r="AE617" t="s">
        <v>155</v>
      </c>
      <c r="AF617" t="s">
        <v>155</v>
      </c>
      <c r="AG617" t="s">
        <v>95</v>
      </c>
      <c r="AH617" t="s">
        <v>155</v>
      </c>
    </row>
    <row r="618" spans="19:34" ht="16.2" customHeight="1" x14ac:dyDescent="0.3">
      <c r="T618" t="s">
        <v>157</v>
      </c>
      <c r="U618" t="s">
        <v>155</v>
      </c>
      <c r="V618" t="s">
        <v>155</v>
      </c>
      <c r="W618" t="s">
        <v>155</v>
      </c>
      <c r="X618" t="s">
        <v>95</v>
      </c>
      <c r="Y618" t="s">
        <v>155</v>
      </c>
      <c r="AC618" t="s">
        <v>157</v>
      </c>
      <c r="AD618" t="s">
        <v>155</v>
      </c>
      <c r="AE618" t="s">
        <v>155</v>
      </c>
      <c r="AF618" t="s">
        <v>155</v>
      </c>
      <c r="AG618" t="s">
        <v>95</v>
      </c>
      <c r="AH618" t="s">
        <v>155</v>
      </c>
    </row>
    <row r="619" spans="19:34" ht="16.2" customHeight="1" x14ac:dyDescent="0.3">
      <c r="T619" t="s">
        <v>158</v>
      </c>
      <c r="U619" t="s">
        <v>155</v>
      </c>
      <c r="V619" t="s">
        <v>155</v>
      </c>
      <c r="W619" t="s">
        <v>155</v>
      </c>
      <c r="X619" t="s">
        <v>155</v>
      </c>
      <c r="Y619" t="s">
        <v>155</v>
      </c>
      <c r="AC619" t="s">
        <v>158</v>
      </c>
      <c r="AD619" t="s">
        <v>155</v>
      </c>
      <c r="AE619" t="s">
        <v>155</v>
      </c>
      <c r="AF619" t="s">
        <v>155</v>
      </c>
      <c r="AG619" t="s">
        <v>155</v>
      </c>
      <c r="AH619" t="s">
        <v>155</v>
      </c>
    </row>
    <row r="620" spans="19:34" ht="16.2" customHeight="1" x14ac:dyDescent="0.3">
      <c r="T620" t="s">
        <v>159</v>
      </c>
      <c r="U620" t="s">
        <v>155</v>
      </c>
      <c r="V620" t="s">
        <v>155</v>
      </c>
      <c r="W620" t="s">
        <v>155</v>
      </c>
      <c r="X620" t="s">
        <v>155</v>
      </c>
      <c r="Y620" t="s">
        <v>155</v>
      </c>
      <c r="AC620" t="s">
        <v>159</v>
      </c>
      <c r="AD620" t="s">
        <v>155</v>
      </c>
      <c r="AE620" t="s">
        <v>155</v>
      </c>
      <c r="AF620" t="s">
        <v>155</v>
      </c>
      <c r="AG620" t="s">
        <v>155</v>
      </c>
      <c r="AH620" t="s">
        <v>155</v>
      </c>
    </row>
    <row r="621" spans="19:34" ht="16.2" customHeight="1" x14ac:dyDescent="0.3">
      <c r="T621" t="s">
        <v>160</v>
      </c>
      <c r="U621" t="s">
        <v>155</v>
      </c>
      <c r="V621" t="s">
        <v>155</v>
      </c>
      <c r="W621" t="s">
        <v>155</v>
      </c>
      <c r="X621" t="s">
        <v>155</v>
      </c>
      <c r="Y621" t="s">
        <v>155</v>
      </c>
      <c r="AC621" t="s">
        <v>160</v>
      </c>
      <c r="AD621" t="s">
        <v>155</v>
      </c>
      <c r="AE621" t="s">
        <v>155</v>
      </c>
      <c r="AF621" t="s">
        <v>155</v>
      </c>
      <c r="AG621" t="s">
        <v>155</v>
      </c>
      <c r="AH621" t="s">
        <v>155</v>
      </c>
    </row>
    <row r="622" spans="19:34" ht="16.2" customHeight="1" x14ac:dyDescent="0.3">
      <c r="T622" t="s">
        <v>169</v>
      </c>
      <c r="U622" t="s">
        <v>155</v>
      </c>
      <c r="V622" t="s">
        <v>155</v>
      </c>
      <c r="W622" t="s">
        <v>155</v>
      </c>
      <c r="X622" t="s">
        <v>155</v>
      </c>
      <c r="Y622" t="s">
        <v>155</v>
      </c>
      <c r="AC622" t="s">
        <v>169</v>
      </c>
      <c r="AD622" t="s">
        <v>155</v>
      </c>
      <c r="AE622" t="s">
        <v>155</v>
      </c>
      <c r="AF622" t="s">
        <v>155</v>
      </c>
      <c r="AG622" t="s">
        <v>155</v>
      </c>
      <c r="AH622" t="s">
        <v>155</v>
      </c>
    </row>
    <row r="623" spans="19:34" ht="16.2" customHeight="1" x14ac:dyDescent="0.3">
      <c r="T623" t="s">
        <v>170</v>
      </c>
      <c r="U623" t="s">
        <v>155</v>
      </c>
      <c r="V623" t="s">
        <v>155</v>
      </c>
      <c r="W623" t="s">
        <v>155</v>
      </c>
      <c r="X623" t="s">
        <v>155</v>
      </c>
      <c r="Y623" t="s">
        <v>155</v>
      </c>
      <c r="AC623" t="s">
        <v>170</v>
      </c>
      <c r="AD623" t="s">
        <v>155</v>
      </c>
      <c r="AE623" t="s">
        <v>155</v>
      </c>
      <c r="AF623" t="s">
        <v>155</v>
      </c>
      <c r="AG623" t="s">
        <v>155</v>
      </c>
      <c r="AH623" t="s">
        <v>155</v>
      </c>
    </row>
    <row r="624" spans="19:34" ht="16.2" customHeight="1" x14ac:dyDescent="0.3">
      <c r="T624" t="s">
        <v>171</v>
      </c>
      <c r="U624" t="s">
        <v>155</v>
      </c>
      <c r="V624" t="s">
        <v>155</v>
      </c>
      <c r="W624" t="s">
        <v>155</v>
      </c>
      <c r="X624" t="s">
        <v>155</v>
      </c>
      <c r="Y624" t="s">
        <v>155</v>
      </c>
      <c r="AC624" t="s">
        <v>171</v>
      </c>
      <c r="AD624" t="s">
        <v>155</v>
      </c>
      <c r="AE624" t="s">
        <v>155</v>
      </c>
      <c r="AF624" t="s">
        <v>155</v>
      </c>
      <c r="AG624" t="s">
        <v>155</v>
      </c>
      <c r="AH624" t="s">
        <v>155</v>
      </c>
    </row>
    <row r="625" spans="19:34" ht="16.2" customHeight="1" x14ac:dyDescent="0.3">
      <c r="T625" t="s">
        <v>172</v>
      </c>
      <c r="U625" t="s">
        <v>155</v>
      </c>
      <c r="V625" t="s">
        <v>155</v>
      </c>
      <c r="W625" t="s">
        <v>155</v>
      </c>
      <c r="X625" t="s">
        <v>155</v>
      </c>
      <c r="Y625" t="s">
        <v>155</v>
      </c>
      <c r="AC625" t="s">
        <v>172</v>
      </c>
      <c r="AD625" t="s">
        <v>155</v>
      </c>
      <c r="AE625" t="s">
        <v>155</v>
      </c>
      <c r="AF625" t="s">
        <v>155</v>
      </c>
      <c r="AG625" t="s">
        <v>155</v>
      </c>
      <c r="AH625" t="s">
        <v>155</v>
      </c>
    </row>
    <row r="627" spans="19:34" ht="16.2" customHeight="1" x14ac:dyDescent="0.3">
      <c r="S627" s="15" t="s">
        <v>142</v>
      </c>
      <c r="T627" t="s">
        <v>225</v>
      </c>
      <c r="AB627" s="15" t="s">
        <v>142</v>
      </c>
      <c r="AC627" t="s">
        <v>225</v>
      </c>
    </row>
    <row r="628" spans="19:34" ht="16.2" customHeight="1" x14ac:dyDescent="0.3">
      <c r="U628" t="s">
        <v>164</v>
      </c>
      <c r="V628" t="s">
        <v>165</v>
      </c>
      <c r="W628" t="s">
        <v>166</v>
      </c>
      <c r="X628" t="s">
        <v>167</v>
      </c>
      <c r="Y628" t="s">
        <v>168</v>
      </c>
      <c r="AD628" t="s">
        <v>164</v>
      </c>
      <c r="AE628" t="s">
        <v>165</v>
      </c>
      <c r="AF628" t="s">
        <v>166</v>
      </c>
      <c r="AG628" t="s">
        <v>167</v>
      </c>
      <c r="AH628" t="s">
        <v>168</v>
      </c>
    </row>
    <row r="629" spans="19:34" ht="16.2" customHeight="1" x14ac:dyDescent="0.3">
      <c r="T629" t="s">
        <v>154</v>
      </c>
      <c r="U629" t="s">
        <v>155</v>
      </c>
      <c r="V629" t="s">
        <v>155</v>
      </c>
      <c r="W629" t="s">
        <v>155</v>
      </c>
      <c r="X629" t="s">
        <v>155</v>
      </c>
      <c r="Y629" t="s">
        <v>155</v>
      </c>
      <c r="AC629" t="s">
        <v>154</v>
      </c>
      <c r="AD629" t="s">
        <v>155</v>
      </c>
      <c r="AE629" t="s">
        <v>155</v>
      </c>
      <c r="AF629" t="s">
        <v>155</v>
      </c>
      <c r="AG629" t="s">
        <v>155</v>
      </c>
      <c r="AH629" t="s">
        <v>155</v>
      </c>
    </row>
    <row r="630" spans="19:34" ht="16.2" customHeight="1" x14ac:dyDescent="0.3">
      <c r="T630" t="s">
        <v>156</v>
      </c>
      <c r="U630" t="s">
        <v>155</v>
      </c>
      <c r="V630" t="s">
        <v>155</v>
      </c>
      <c r="W630" t="s">
        <v>155</v>
      </c>
      <c r="X630" t="s">
        <v>155</v>
      </c>
      <c r="Y630" t="s">
        <v>155</v>
      </c>
      <c r="AC630" t="s">
        <v>156</v>
      </c>
      <c r="AD630" t="s">
        <v>155</v>
      </c>
      <c r="AE630" t="s">
        <v>155</v>
      </c>
      <c r="AF630" t="s">
        <v>155</v>
      </c>
      <c r="AG630" t="s">
        <v>155</v>
      </c>
      <c r="AH630" t="s">
        <v>155</v>
      </c>
    </row>
    <row r="631" spans="19:34" ht="16.2" customHeight="1" x14ac:dyDescent="0.3">
      <c r="T631" t="s">
        <v>157</v>
      </c>
      <c r="U631" t="s">
        <v>95</v>
      </c>
      <c r="V631" t="s">
        <v>155</v>
      </c>
      <c r="W631" t="s">
        <v>155</v>
      </c>
      <c r="X631" t="s">
        <v>155</v>
      </c>
      <c r="Y631" t="s">
        <v>155</v>
      </c>
      <c r="AC631" t="s">
        <v>157</v>
      </c>
      <c r="AD631" t="s">
        <v>95</v>
      </c>
      <c r="AE631" t="s">
        <v>155</v>
      </c>
      <c r="AF631" t="s">
        <v>155</v>
      </c>
      <c r="AG631" t="s">
        <v>155</v>
      </c>
      <c r="AH631" t="s">
        <v>155</v>
      </c>
    </row>
    <row r="632" spans="19:34" ht="16.2" customHeight="1" x14ac:dyDescent="0.3">
      <c r="T632" t="s">
        <v>158</v>
      </c>
      <c r="U632" t="s">
        <v>95</v>
      </c>
      <c r="V632" t="s">
        <v>155</v>
      </c>
      <c r="W632" t="s">
        <v>155</v>
      </c>
      <c r="X632" t="s">
        <v>155</v>
      </c>
      <c r="Y632" t="s">
        <v>155</v>
      </c>
      <c r="AC632" t="s">
        <v>158</v>
      </c>
      <c r="AD632" t="s">
        <v>95</v>
      </c>
      <c r="AE632" t="s">
        <v>155</v>
      </c>
      <c r="AF632" t="s">
        <v>155</v>
      </c>
      <c r="AG632" t="s">
        <v>155</v>
      </c>
      <c r="AH632" t="s">
        <v>155</v>
      </c>
    </row>
    <row r="633" spans="19:34" ht="16.2" customHeight="1" x14ac:dyDescent="0.3">
      <c r="T633" t="s">
        <v>159</v>
      </c>
      <c r="U633" t="s">
        <v>155</v>
      </c>
      <c r="V633" t="s">
        <v>155</v>
      </c>
      <c r="W633" t="s">
        <v>155</v>
      </c>
      <c r="X633" t="s">
        <v>155</v>
      </c>
      <c r="Y633" t="s">
        <v>155</v>
      </c>
      <c r="AC633" t="s">
        <v>159</v>
      </c>
      <c r="AD633" t="s">
        <v>155</v>
      </c>
      <c r="AE633" t="s">
        <v>155</v>
      </c>
      <c r="AF633" t="s">
        <v>155</v>
      </c>
      <c r="AG633" t="s">
        <v>155</v>
      </c>
      <c r="AH633" t="s">
        <v>155</v>
      </c>
    </row>
    <row r="634" spans="19:34" ht="16.2" customHeight="1" x14ac:dyDescent="0.3">
      <c r="T634" t="s">
        <v>160</v>
      </c>
      <c r="U634" t="s">
        <v>155</v>
      </c>
      <c r="V634" t="s">
        <v>155</v>
      </c>
      <c r="W634" t="s">
        <v>155</v>
      </c>
      <c r="X634" t="s">
        <v>155</v>
      </c>
      <c r="Y634" t="s">
        <v>155</v>
      </c>
      <c r="AC634" t="s">
        <v>160</v>
      </c>
      <c r="AD634" t="s">
        <v>155</v>
      </c>
      <c r="AE634" t="s">
        <v>155</v>
      </c>
      <c r="AF634" t="s">
        <v>155</v>
      </c>
      <c r="AG634" t="s">
        <v>155</v>
      </c>
      <c r="AH634" t="s">
        <v>155</v>
      </c>
    </row>
    <row r="635" spans="19:34" ht="16.2" customHeight="1" x14ac:dyDescent="0.3">
      <c r="T635" t="s">
        <v>169</v>
      </c>
      <c r="U635" t="s">
        <v>155</v>
      </c>
      <c r="V635" t="s">
        <v>155</v>
      </c>
      <c r="W635" t="s">
        <v>155</v>
      </c>
      <c r="X635" t="s">
        <v>155</v>
      </c>
      <c r="Y635" t="s">
        <v>155</v>
      </c>
      <c r="AC635" t="s">
        <v>169</v>
      </c>
      <c r="AD635" t="s">
        <v>155</v>
      </c>
      <c r="AE635" t="s">
        <v>155</v>
      </c>
      <c r="AF635" t="s">
        <v>155</v>
      </c>
      <c r="AG635" t="s">
        <v>155</v>
      </c>
      <c r="AH635" t="s">
        <v>155</v>
      </c>
    </row>
    <row r="636" spans="19:34" ht="16.2" customHeight="1" x14ac:dyDescent="0.3">
      <c r="T636" t="s">
        <v>170</v>
      </c>
      <c r="U636" t="s">
        <v>155</v>
      </c>
      <c r="V636" t="s">
        <v>155</v>
      </c>
      <c r="W636" t="s">
        <v>155</v>
      </c>
      <c r="X636" t="s">
        <v>155</v>
      </c>
      <c r="Y636" t="s">
        <v>155</v>
      </c>
      <c r="AC636" t="s">
        <v>170</v>
      </c>
      <c r="AD636" t="s">
        <v>155</v>
      </c>
      <c r="AE636" t="s">
        <v>155</v>
      </c>
      <c r="AF636" t="s">
        <v>155</v>
      </c>
      <c r="AG636" t="s">
        <v>155</v>
      </c>
      <c r="AH636" t="s">
        <v>155</v>
      </c>
    </row>
    <row r="637" spans="19:34" ht="16.2" customHeight="1" x14ac:dyDescent="0.3">
      <c r="T637" t="s">
        <v>171</v>
      </c>
      <c r="U637" t="s">
        <v>155</v>
      </c>
      <c r="V637" t="s">
        <v>155</v>
      </c>
      <c r="W637" t="s">
        <v>155</v>
      </c>
      <c r="X637" t="s">
        <v>155</v>
      </c>
      <c r="Y637" t="s">
        <v>155</v>
      </c>
      <c r="AC637" t="s">
        <v>171</v>
      </c>
      <c r="AD637" t="s">
        <v>155</v>
      </c>
      <c r="AE637" t="s">
        <v>155</v>
      </c>
      <c r="AF637" t="s">
        <v>155</v>
      </c>
      <c r="AG637" t="s">
        <v>155</v>
      </c>
      <c r="AH637" t="s">
        <v>155</v>
      </c>
    </row>
    <row r="638" spans="19:34" ht="16.2" customHeight="1" x14ac:dyDescent="0.3">
      <c r="T638" t="s">
        <v>172</v>
      </c>
      <c r="U638" t="s">
        <v>155</v>
      </c>
      <c r="V638" t="s">
        <v>155</v>
      </c>
      <c r="W638" t="s">
        <v>155</v>
      </c>
      <c r="X638" t="s">
        <v>155</v>
      </c>
      <c r="Y638" t="s">
        <v>155</v>
      </c>
      <c r="AC638" t="s">
        <v>172</v>
      </c>
      <c r="AD638" t="s">
        <v>155</v>
      </c>
      <c r="AE638" t="s">
        <v>155</v>
      </c>
      <c r="AF638" t="s">
        <v>155</v>
      </c>
      <c r="AG638" t="s">
        <v>155</v>
      </c>
      <c r="AH638" t="s">
        <v>155</v>
      </c>
    </row>
    <row r="640" spans="19:34" ht="16.2" customHeight="1" x14ac:dyDescent="0.3">
      <c r="S640" s="15" t="s">
        <v>143</v>
      </c>
      <c r="T640" t="s">
        <v>226</v>
      </c>
      <c r="AB640" s="15" t="s">
        <v>143</v>
      </c>
      <c r="AC640" t="s">
        <v>226</v>
      </c>
    </row>
    <row r="641" spans="19:34" ht="16.2" customHeight="1" x14ac:dyDescent="0.3">
      <c r="U641" t="s">
        <v>164</v>
      </c>
      <c r="V641" t="s">
        <v>165</v>
      </c>
      <c r="W641" t="s">
        <v>166</v>
      </c>
      <c r="X641" t="s">
        <v>167</v>
      </c>
      <c r="Y641" t="s">
        <v>168</v>
      </c>
      <c r="AD641" t="s">
        <v>164</v>
      </c>
      <c r="AE641" t="s">
        <v>165</v>
      </c>
      <c r="AF641" t="s">
        <v>166</v>
      </c>
      <c r="AG641" t="s">
        <v>167</v>
      </c>
      <c r="AH641" t="s">
        <v>168</v>
      </c>
    </row>
    <row r="642" spans="19:34" ht="16.2" customHeight="1" x14ac:dyDescent="0.3">
      <c r="T642" t="s">
        <v>154</v>
      </c>
      <c r="U642" t="s">
        <v>155</v>
      </c>
      <c r="V642" t="s">
        <v>155</v>
      </c>
      <c r="W642" t="s">
        <v>155</v>
      </c>
      <c r="X642" t="s">
        <v>155</v>
      </c>
      <c r="Y642" t="s">
        <v>155</v>
      </c>
      <c r="AC642" t="s">
        <v>154</v>
      </c>
      <c r="AD642" t="s">
        <v>155</v>
      </c>
      <c r="AE642" t="s">
        <v>155</v>
      </c>
      <c r="AF642" t="s">
        <v>155</v>
      </c>
      <c r="AG642" t="s">
        <v>155</v>
      </c>
      <c r="AH642" t="s">
        <v>155</v>
      </c>
    </row>
    <row r="643" spans="19:34" ht="16.2" customHeight="1" x14ac:dyDescent="0.3">
      <c r="T643" t="s">
        <v>156</v>
      </c>
      <c r="U643" t="s">
        <v>155</v>
      </c>
      <c r="V643" t="s">
        <v>155</v>
      </c>
      <c r="W643" t="s">
        <v>155</v>
      </c>
      <c r="X643" t="s">
        <v>155</v>
      </c>
      <c r="Y643" t="s">
        <v>155</v>
      </c>
      <c r="AC643" t="s">
        <v>156</v>
      </c>
      <c r="AD643" t="s">
        <v>155</v>
      </c>
      <c r="AE643" t="s">
        <v>155</v>
      </c>
      <c r="AF643" t="s">
        <v>155</v>
      </c>
      <c r="AG643" t="s">
        <v>155</v>
      </c>
      <c r="AH643" t="s">
        <v>155</v>
      </c>
    </row>
    <row r="644" spans="19:34" ht="16.2" customHeight="1" x14ac:dyDescent="0.3">
      <c r="T644" t="s">
        <v>157</v>
      </c>
      <c r="U644" t="s">
        <v>155</v>
      </c>
      <c r="V644" t="s">
        <v>155</v>
      </c>
      <c r="W644" t="s">
        <v>155</v>
      </c>
      <c r="X644" t="s">
        <v>155</v>
      </c>
      <c r="Y644" t="s">
        <v>155</v>
      </c>
      <c r="AC644" t="s">
        <v>157</v>
      </c>
      <c r="AD644" t="s">
        <v>155</v>
      </c>
      <c r="AE644" t="s">
        <v>155</v>
      </c>
      <c r="AF644" t="s">
        <v>96</v>
      </c>
      <c r="AG644" t="s">
        <v>155</v>
      </c>
      <c r="AH644" t="s">
        <v>155</v>
      </c>
    </row>
    <row r="645" spans="19:34" ht="16.2" customHeight="1" x14ac:dyDescent="0.3">
      <c r="T645" t="s">
        <v>158</v>
      </c>
      <c r="U645" t="s">
        <v>155</v>
      </c>
      <c r="V645" t="s">
        <v>96</v>
      </c>
      <c r="W645" t="s">
        <v>155</v>
      </c>
      <c r="X645" t="s">
        <v>155</v>
      </c>
      <c r="Y645" t="s">
        <v>155</v>
      </c>
      <c r="AC645" t="s">
        <v>158</v>
      </c>
      <c r="AD645" t="s">
        <v>155</v>
      </c>
      <c r="AE645" t="s">
        <v>155</v>
      </c>
      <c r="AF645" t="s">
        <v>96</v>
      </c>
      <c r="AG645" t="s">
        <v>155</v>
      </c>
      <c r="AH645" t="s">
        <v>155</v>
      </c>
    </row>
    <row r="646" spans="19:34" ht="16.2" customHeight="1" x14ac:dyDescent="0.3">
      <c r="T646" t="s">
        <v>159</v>
      </c>
      <c r="U646" t="s">
        <v>155</v>
      </c>
      <c r="V646" t="s">
        <v>96</v>
      </c>
      <c r="W646" t="s">
        <v>155</v>
      </c>
      <c r="X646" t="s">
        <v>96</v>
      </c>
      <c r="Y646" t="s">
        <v>155</v>
      </c>
      <c r="AC646" t="s">
        <v>159</v>
      </c>
      <c r="AD646" t="s">
        <v>96</v>
      </c>
      <c r="AE646" t="s">
        <v>155</v>
      </c>
      <c r="AF646" t="s">
        <v>155</v>
      </c>
      <c r="AG646" t="s">
        <v>155</v>
      </c>
      <c r="AH646" t="s">
        <v>155</v>
      </c>
    </row>
    <row r="647" spans="19:34" ht="16.2" customHeight="1" x14ac:dyDescent="0.3">
      <c r="T647" t="s">
        <v>160</v>
      </c>
      <c r="U647" t="s">
        <v>155</v>
      </c>
      <c r="V647" t="s">
        <v>155</v>
      </c>
      <c r="W647" t="s">
        <v>155</v>
      </c>
      <c r="X647" t="s">
        <v>96</v>
      </c>
      <c r="Y647" t="s">
        <v>155</v>
      </c>
      <c r="AC647" t="s">
        <v>160</v>
      </c>
      <c r="AD647" t="s">
        <v>96</v>
      </c>
      <c r="AE647" t="s">
        <v>155</v>
      </c>
      <c r="AF647" t="s">
        <v>155</v>
      </c>
      <c r="AG647" t="s">
        <v>155</v>
      </c>
      <c r="AH647" t="s">
        <v>155</v>
      </c>
    </row>
    <row r="648" spans="19:34" ht="16.2" customHeight="1" x14ac:dyDescent="0.3">
      <c r="T648" t="s">
        <v>169</v>
      </c>
      <c r="U648" t="s">
        <v>155</v>
      </c>
      <c r="V648" t="s">
        <v>155</v>
      </c>
      <c r="W648" t="s">
        <v>155</v>
      </c>
      <c r="X648" t="s">
        <v>155</v>
      </c>
      <c r="Y648" t="s">
        <v>155</v>
      </c>
      <c r="AC648" t="s">
        <v>169</v>
      </c>
      <c r="AD648" t="s">
        <v>155</v>
      </c>
      <c r="AE648" t="s">
        <v>155</v>
      </c>
      <c r="AF648" t="s">
        <v>155</v>
      </c>
      <c r="AG648" t="s">
        <v>155</v>
      </c>
      <c r="AH648" t="s">
        <v>155</v>
      </c>
    </row>
    <row r="649" spans="19:34" ht="16.2" customHeight="1" x14ac:dyDescent="0.3">
      <c r="T649" t="s">
        <v>170</v>
      </c>
      <c r="U649" t="s">
        <v>155</v>
      </c>
      <c r="V649" t="s">
        <v>155</v>
      </c>
      <c r="W649" t="s">
        <v>155</v>
      </c>
      <c r="X649" t="s">
        <v>155</v>
      </c>
      <c r="Y649" t="s">
        <v>155</v>
      </c>
      <c r="AC649" t="s">
        <v>170</v>
      </c>
      <c r="AD649" t="s">
        <v>155</v>
      </c>
      <c r="AE649" t="s">
        <v>155</v>
      </c>
      <c r="AF649" t="s">
        <v>155</v>
      </c>
      <c r="AG649" t="s">
        <v>155</v>
      </c>
      <c r="AH649" t="s">
        <v>155</v>
      </c>
    </row>
    <row r="650" spans="19:34" ht="16.2" customHeight="1" x14ac:dyDescent="0.3">
      <c r="T650" t="s">
        <v>171</v>
      </c>
      <c r="U650" t="s">
        <v>155</v>
      </c>
      <c r="V650" t="s">
        <v>155</v>
      </c>
      <c r="W650" t="s">
        <v>155</v>
      </c>
      <c r="X650" t="s">
        <v>155</v>
      </c>
      <c r="Y650" t="s">
        <v>155</v>
      </c>
      <c r="AC650" t="s">
        <v>171</v>
      </c>
      <c r="AD650" t="s">
        <v>155</v>
      </c>
      <c r="AE650" t="s">
        <v>155</v>
      </c>
      <c r="AF650" t="s">
        <v>155</v>
      </c>
      <c r="AG650" t="s">
        <v>155</v>
      </c>
      <c r="AH650" t="s">
        <v>155</v>
      </c>
    </row>
    <row r="651" spans="19:34" ht="16.2" customHeight="1" x14ac:dyDescent="0.3">
      <c r="T651" t="s">
        <v>172</v>
      </c>
      <c r="U651" t="s">
        <v>155</v>
      </c>
      <c r="V651" t="s">
        <v>155</v>
      </c>
      <c r="W651" t="s">
        <v>155</v>
      </c>
      <c r="X651" t="s">
        <v>155</v>
      </c>
      <c r="Y651" t="s">
        <v>155</v>
      </c>
      <c r="AC651" t="s">
        <v>172</v>
      </c>
      <c r="AD651" t="s">
        <v>155</v>
      </c>
      <c r="AE651" t="s">
        <v>155</v>
      </c>
      <c r="AF651" t="s">
        <v>155</v>
      </c>
      <c r="AG651" t="s">
        <v>155</v>
      </c>
      <c r="AH651" t="s">
        <v>155</v>
      </c>
    </row>
    <row r="653" spans="19:34" ht="16.2" customHeight="1" x14ac:dyDescent="0.3">
      <c r="S653" s="15" t="s">
        <v>144</v>
      </c>
      <c r="T653" t="s">
        <v>227</v>
      </c>
      <c r="AB653" s="15" t="s">
        <v>144</v>
      </c>
      <c r="AC653" t="s">
        <v>227</v>
      </c>
    </row>
    <row r="654" spans="19:34" ht="16.2" customHeight="1" x14ac:dyDescent="0.3">
      <c r="U654" t="s">
        <v>164</v>
      </c>
      <c r="V654" t="s">
        <v>165</v>
      </c>
      <c r="W654" t="s">
        <v>166</v>
      </c>
      <c r="X654" t="s">
        <v>167</v>
      </c>
      <c r="Y654" t="s">
        <v>168</v>
      </c>
      <c r="AD654" t="s">
        <v>164</v>
      </c>
      <c r="AE654" t="s">
        <v>165</v>
      </c>
      <c r="AF654" t="s">
        <v>166</v>
      </c>
      <c r="AG654" t="s">
        <v>167</v>
      </c>
      <c r="AH654" t="s">
        <v>168</v>
      </c>
    </row>
    <row r="655" spans="19:34" ht="16.2" customHeight="1" x14ac:dyDescent="0.3">
      <c r="T655" t="s">
        <v>154</v>
      </c>
      <c r="U655" t="s">
        <v>155</v>
      </c>
      <c r="V655" t="s">
        <v>155</v>
      </c>
      <c r="W655" t="s">
        <v>155</v>
      </c>
      <c r="X655" t="s">
        <v>155</v>
      </c>
      <c r="Y655" t="s">
        <v>155</v>
      </c>
      <c r="AC655" t="s">
        <v>154</v>
      </c>
      <c r="AD655" t="s">
        <v>155</v>
      </c>
      <c r="AE655" t="s">
        <v>155</v>
      </c>
      <c r="AF655" t="s">
        <v>155</v>
      </c>
      <c r="AG655" t="s">
        <v>155</v>
      </c>
      <c r="AH655" t="s">
        <v>155</v>
      </c>
    </row>
    <row r="656" spans="19:34" ht="16.2" customHeight="1" x14ac:dyDescent="0.3">
      <c r="T656" t="s">
        <v>156</v>
      </c>
      <c r="U656" t="s">
        <v>155</v>
      </c>
      <c r="V656" t="s">
        <v>155</v>
      </c>
      <c r="W656" t="s">
        <v>155</v>
      </c>
      <c r="X656" t="s">
        <v>155</v>
      </c>
      <c r="Y656" t="s">
        <v>155</v>
      </c>
      <c r="AC656" t="s">
        <v>156</v>
      </c>
      <c r="AD656" t="s">
        <v>155</v>
      </c>
      <c r="AE656" t="s">
        <v>155</v>
      </c>
      <c r="AF656" t="s">
        <v>155</v>
      </c>
      <c r="AG656" t="s">
        <v>155</v>
      </c>
      <c r="AH656" t="s">
        <v>155</v>
      </c>
    </row>
    <row r="657" spans="19:34" ht="16.2" customHeight="1" x14ac:dyDescent="0.3">
      <c r="T657" t="s">
        <v>157</v>
      </c>
      <c r="U657" t="s">
        <v>155</v>
      </c>
      <c r="V657" t="s">
        <v>155</v>
      </c>
      <c r="W657" t="s">
        <v>155</v>
      </c>
      <c r="X657" t="s">
        <v>155</v>
      </c>
      <c r="Y657" t="s">
        <v>155</v>
      </c>
      <c r="AC657" t="s">
        <v>157</v>
      </c>
      <c r="AD657" t="s">
        <v>155</v>
      </c>
      <c r="AE657" t="s">
        <v>155</v>
      </c>
      <c r="AF657" t="s">
        <v>96</v>
      </c>
      <c r="AG657" t="s">
        <v>155</v>
      </c>
      <c r="AH657" t="s">
        <v>155</v>
      </c>
    </row>
    <row r="658" spans="19:34" ht="16.2" customHeight="1" x14ac:dyDescent="0.3">
      <c r="T658" t="s">
        <v>158</v>
      </c>
      <c r="U658" t="s">
        <v>155</v>
      </c>
      <c r="V658" t="s">
        <v>96</v>
      </c>
      <c r="W658" t="s">
        <v>155</v>
      </c>
      <c r="X658" t="s">
        <v>155</v>
      </c>
      <c r="Y658" t="s">
        <v>155</v>
      </c>
      <c r="AC658" t="s">
        <v>158</v>
      </c>
      <c r="AD658" t="s">
        <v>155</v>
      </c>
      <c r="AE658" t="s">
        <v>155</v>
      </c>
      <c r="AF658" t="s">
        <v>96</v>
      </c>
      <c r="AG658" t="s">
        <v>155</v>
      </c>
      <c r="AH658" t="s">
        <v>155</v>
      </c>
    </row>
    <row r="659" spans="19:34" ht="16.2" customHeight="1" x14ac:dyDescent="0.3">
      <c r="T659" t="s">
        <v>159</v>
      </c>
      <c r="U659" t="s">
        <v>155</v>
      </c>
      <c r="V659" t="s">
        <v>96</v>
      </c>
      <c r="W659" t="s">
        <v>155</v>
      </c>
      <c r="X659" t="s">
        <v>96</v>
      </c>
      <c r="Y659" t="s">
        <v>155</v>
      </c>
      <c r="AC659" t="s">
        <v>159</v>
      </c>
      <c r="AD659" t="s">
        <v>96</v>
      </c>
      <c r="AE659" t="s">
        <v>155</v>
      </c>
      <c r="AF659" t="s">
        <v>155</v>
      </c>
      <c r="AG659" t="s">
        <v>155</v>
      </c>
      <c r="AH659" t="s">
        <v>155</v>
      </c>
    </row>
    <row r="660" spans="19:34" ht="16.2" customHeight="1" x14ac:dyDescent="0.3">
      <c r="T660" t="s">
        <v>160</v>
      </c>
      <c r="U660" t="s">
        <v>155</v>
      </c>
      <c r="V660" t="s">
        <v>155</v>
      </c>
      <c r="W660" t="s">
        <v>155</v>
      </c>
      <c r="X660" t="s">
        <v>96</v>
      </c>
      <c r="Y660" t="s">
        <v>155</v>
      </c>
      <c r="AC660" t="s">
        <v>160</v>
      </c>
      <c r="AD660" t="s">
        <v>96</v>
      </c>
      <c r="AE660" t="s">
        <v>155</v>
      </c>
      <c r="AF660" t="s">
        <v>155</v>
      </c>
      <c r="AG660" t="s">
        <v>155</v>
      </c>
      <c r="AH660" t="s">
        <v>155</v>
      </c>
    </row>
    <row r="661" spans="19:34" ht="16.2" customHeight="1" x14ac:dyDescent="0.3">
      <c r="T661" t="s">
        <v>169</v>
      </c>
      <c r="U661" t="s">
        <v>155</v>
      </c>
      <c r="V661" t="s">
        <v>155</v>
      </c>
      <c r="W661" t="s">
        <v>155</v>
      </c>
      <c r="X661" t="s">
        <v>155</v>
      </c>
      <c r="Y661" t="s">
        <v>155</v>
      </c>
      <c r="AC661" t="s">
        <v>169</v>
      </c>
      <c r="AD661" t="s">
        <v>155</v>
      </c>
      <c r="AE661" t="s">
        <v>155</v>
      </c>
      <c r="AF661" t="s">
        <v>155</v>
      </c>
      <c r="AG661" t="s">
        <v>155</v>
      </c>
      <c r="AH661" t="s">
        <v>155</v>
      </c>
    </row>
    <row r="662" spans="19:34" ht="16.2" customHeight="1" x14ac:dyDescent="0.3">
      <c r="T662" t="s">
        <v>170</v>
      </c>
      <c r="U662" t="s">
        <v>155</v>
      </c>
      <c r="V662" t="s">
        <v>155</v>
      </c>
      <c r="W662" t="s">
        <v>155</v>
      </c>
      <c r="X662" t="s">
        <v>155</v>
      </c>
      <c r="Y662" t="s">
        <v>155</v>
      </c>
      <c r="AC662" t="s">
        <v>170</v>
      </c>
      <c r="AD662" t="s">
        <v>155</v>
      </c>
      <c r="AE662" t="s">
        <v>155</v>
      </c>
      <c r="AF662" t="s">
        <v>155</v>
      </c>
      <c r="AG662" t="s">
        <v>155</v>
      </c>
      <c r="AH662" t="s">
        <v>155</v>
      </c>
    </row>
    <row r="663" spans="19:34" ht="16.2" customHeight="1" x14ac:dyDescent="0.3">
      <c r="T663" t="s">
        <v>171</v>
      </c>
      <c r="U663" t="s">
        <v>155</v>
      </c>
      <c r="V663" t="s">
        <v>155</v>
      </c>
      <c r="W663" t="s">
        <v>155</v>
      </c>
      <c r="X663" t="s">
        <v>155</v>
      </c>
      <c r="Y663" t="s">
        <v>155</v>
      </c>
      <c r="AC663" t="s">
        <v>171</v>
      </c>
      <c r="AD663" t="s">
        <v>155</v>
      </c>
      <c r="AE663" t="s">
        <v>155</v>
      </c>
      <c r="AF663" t="s">
        <v>155</v>
      </c>
      <c r="AG663" t="s">
        <v>155</v>
      </c>
      <c r="AH663" t="s">
        <v>155</v>
      </c>
    </row>
    <row r="664" spans="19:34" ht="16.2" customHeight="1" x14ac:dyDescent="0.3">
      <c r="T664" t="s">
        <v>172</v>
      </c>
      <c r="U664" t="s">
        <v>155</v>
      </c>
      <c r="V664" t="s">
        <v>155</v>
      </c>
      <c r="W664" t="s">
        <v>155</v>
      </c>
      <c r="X664" t="s">
        <v>155</v>
      </c>
      <c r="Y664" t="s">
        <v>155</v>
      </c>
      <c r="AC664" t="s">
        <v>172</v>
      </c>
      <c r="AD664" t="s">
        <v>155</v>
      </c>
      <c r="AE664" t="s">
        <v>155</v>
      </c>
      <c r="AF664" t="s">
        <v>155</v>
      </c>
      <c r="AG664" t="s">
        <v>155</v>
      </c>
      <c r="AH664" t="s">
        <v>155</v>
      </c>
    </row>
    <row r="666" spans="19:34" ht="16.2" customHeight="1" x14ac:dyDescent="0.3">
      <c r="S666" s="15" t="s">
        <v>145</v>
      </c>
      <c r="T666" t="s">
        <v>228</v>
      </c>
      <c r="AB666" s="15" t="s">
        <v>145</v>
      </c>
      <c r="AC666" t="s">
        <v>228</v>
      </c>
    </row>
    <row r="667" spans="19:34" ht="16.2" customHeight="1" x14ac:dyDescent="0.3">
      <c r="U667" t="s">
        <v>164</v>
      </c>
      <c r="V667" t="s">
        <v>165</v>
      </c>
      <c r="W667" t="s">
        <v>166</v>
      </c>
      <c r="X667" t="s">
        <v>167</v>
      </c>
      <c r="Y667" t="s">
        <v>168</v>
      </c>
      <c r="AD667" t="s">
        <v>164</v>
      </c>
      <c r="AE667" t="s">
        <v>165</v>
      </c>
      <c r="AF667" t="s">
        <v>166</v>
      </c>
      <c r="AG667" t="s">
        <v>167</v>
      </c>
      <c r="AH667" t="s">
        <v>168</v>
      </c>
    </row>
    <row r="668" spans="19:34" ht="16.2" customHeight="1" x14ac:dyDescent="0.3">
      <c r="T668" t="s">
        <v>154</v>
      </c>
      <c r="U668" t="s">
        <v>155</v>
      </c>
      <c r="V668" t="s">
        <v>97</v>
      </c>
      <c r="W668" t="s">
        <v>155</v>
      </c>
      <c r="X668" t="s">
        <v>155</v>
      </c>
      <c r="Y668" t="s">
        <v>97</v>
      </c>
      <c r="AC668" t="s">
        <v>154</v>
      </c>
      <c r="AD668" t="s">
        <v>155</v>
      </c>
      <c r="AE668" t="s">
        <v>97</v>
      </c>
      <c r="AF668" t="s">
        <v>155</v>
      </c>
      <c r="AG668" t="s">
        <v>155</v>
      </c>
      <c r="AH668" t="s">
        <v>97</v>
      </c>
    </row>
    <row r="669" spans="19:34" ht="16.2" customHeight="1" x14ac:dyDescent="0.3">
      <c r="T669" t="s">
        <v>156</v>
      </c>
      <c r="U669" t="s">
        <v>155</v>
      </c>
      <c r="V669" t="s">
        <v>97</v>
      </c>
      <c r="W669" t="s">
        <v>155</v>
      </c>
      <c r="X669" t="s">
        <v>155</v>
      </c>
      <c r="Y669" t="s">
        <v>97</v>
      </c>
      <c r="AC669" t="s">
        <v>156</v>
      </c>
      <c r="AD669" t="s">
        <v>155</v>
      </c>
      <c r="AE669" t="s">
        <v>97</v>
      </c>
      <c r="AF669" t="s">
        <v>155</v>
      </c>
      <c r="AG669" t="s">
        <v>155</v>
      </c>
      <c r="AH669" t="s">
        <v>97</v>
      </c>
    </row>
    <row r="670" spans="19:34" ht="16.2" customHeight="1" x14ac:dyDescent="0.3">
      <c r="T670" t="s">
        <v>157</v>
      </c>
      <c r="U670" t="s">
        <v>155</v>
      </c>
      <c r="V670" t="s">
        <v>97</v>
      </c>
      <c r="W670" t="s">
        <v>155</v>
      </c>
      <c r="X670" t="s">
        <v>155</v>
      </c>
      <c r="Y670" t="s">
        <v>155</v>
      </c>
      <c r="AC670" t="s">
        <v>157</v>
      </c>
      <c r="AD670" t="s">
        <v>155</v>
      </c>
      <c r="AE670" t="s">
        <v>97</v>
      </c>
      <c r="AF670" t="s">
        <v>155</v>
      </c>
      <c r="AG670" t="s">
        <v>155</v>
      </c>
      <c r="AH670" t="s">
        <v>155</v>
      </c>
    </row>
    <row r="671" spans="19:34" ht="16.2" customHeight="1" x14ac:dyDescent="0.3">
      <c r="T671" t="s">
        <v>158</v>
      </c>
      <c r="U671" t="s">
        <v>155</v>
      </c>
      <c r="V671" t="s">
        <v>155</v>
      </c>
      <c r="W671" t="s">
        <v>155</v>
      </c>
      <c r="X671" t="s">
        <v>155</v>
      </c>
      <c r="Y671" t="s">
        <v>155</v>
      </c>
      <c r="AC671" t="s">
        <v>158</v>
      </c>
      <c r="AD671" t="s">
        <v>155</v>
      </c>
      <c r="AE671" t="s">
        <v>155</v>
      </c>
      <c r="AF671" t="s">
        <v>155</v>
      </c>
      <c r="AG671" t="s">
        <v>155</v>
      </c>
      <c r="AH671" t="s">
        <v>155</v>
      </c>
    </row>
    <row r="672" spans="19:34" ht="16.2" customHeight="1" x14ac:dyDescent="0.3">
      <c r="T672" t="s">
        <v>159</v>
      </c>
      <c r="U672" t="s">
        <v>155</v>
      </c>
      <c r="V672" t="s">
        <v>155</v>
      </c>
      <c r="W672" t="s">
        <v>155</v>
      </c>
      <c r="X672" t="s">
        <v>155</v>
      </c>
      <c r="Y672" t="s">
        <v>155</v>
      </c>
      <c r="AC672" t="s">
        <v>159</v>
      </c>
      <c r="AD672" t="s">
        <v>155</v>
      </c>
      <c r="AE672" t="s">
        <v>155</v>
      </c>
      <c r="AF672" t="s">
        <v>155</v>
      </c>
      <c r="AG672" t="s">
        <v>155</v>
      </c>
      <c r="AH672" t="s">
        <v>155</v>
      </c>
    </row>
    <row r="673" spans="19:34" ht="16.2" customHeight="1" x14ac:dyDescent="0.3">
      <c r="T673" t="s">
        <v>160</v>
      </c>
      <c r="U673" t="s">
        <v>155</v>
      </c>
      <c r="V673" t="s">
        <v>155</v>
      </c>
      <c r="W673" t="s">
        <v>155</v>
      </c>
      <c r="X673" t="s">
        <v>155</v>
      </c>
      <c r="Y673" t="s">
        <v>155</v>
      </c>
      <c r="AC673" t="s">
        <v>160</v>
      </c>
      <c r="AD673" t="s">
        <v>155</v>
      </c>
      <c r="AE673" t="s">
        <v>155</v>
      </c>
      <c r="AF673" t="s">
        <v>155</v>
      </c>
      <c r="AG673" t="s">
        <v>155</v>
      </c>
      <c r="AH673" t="s">
        <v>155</v>
      </c>
    </row>
    <row r="674" spans="19:34" ht="16.2" customHeight="1" x14ac:dyDescent="0.3">
      <c r="T674" t="s">
        <v>169</v>
      </c>
      <c r="U674" t="s">
        <v>155</v>
      </c>
      <c r="V674" t="s">
        <v>155</v>
      </c>
      <c r="W674" t="s">
        <v>155</v>
      </c>
      <c r="X674" t="s">
        <v>155</v>
      </c>
      <c r="Y674" t="s">
        <v>155</v>
      </c>
      <c r="AC674" t="s">
        <v>169</v>
      </c>
      <c r="AD674" t="s">
        <v>155</v>
      </c>
      <c r="AE674" t="s">
        <v>155</v>
      </c>
      <c r="AF674" t="s">
        <v>155</v>
      </c>
      <c r="AG674" t="s">
        <v>155</v>
      </c>
      <c r="AH674" t="s">
        <v>155</v>
      </c>
    </row>
    <row r="675" spans="19:34" ht="16.2" customHeight="1" x14ac:dyDescent="0.3">
      <c r="T675" t="s">
        <v>170</v>
      </c>
      <c r="U675" t="s">
        <v>155</v>
      </c>
      <c r="V675" t="s">
        <v>155</v>
      </c>
      <c r="W675" t="s">
        <v>155</v>
      </c>
      <c r="X675" t="s">
        <v>155</v>
      </c>
      <c r="Y675" t="s">
        <v>155</v>
      </c>
      <c r="AC675" t="s">
        <v>170</v>
      </c>
      <c r="AD675" t="s">
        <v>155</v>
      </c>
      <c r="AE675" t="s">
        <v>155</v>
      </c>
      <c r="AF675" t="s">
        <v>155</v>
      </c>
      <c r="AG675" t="s">
        <v>155</v>
      </c>
      <c r="AH675" t="s">
        <v>155</v>
      </c>
    </row>
    <row r="676" spans="19:34" ht="16.2" customHeight="1" x14ac:dyDescent="0.3">
      <c r="T676" t="s">
        <v>171</v>
      </c>
      <c r="U676" t="s">
        <v>155</v>
      </c>
      <c r="V676" t="s">
        <v>155</v>
      </c>
      <c r="W676" t="s">
        <v>155</v>
      </c>
      <c r="X676" t="s">
        <v>155</v>
      </c>
      <c r="Y676" t="s">
        <v>155</v>
      </c>
      <c r="AC676" t="s">
        <v>171</v>
      </c>
      <c r="AD676" t="s">
        <v>155</v>
      </c>
      <c r="AE676" t="s">
        <v>155</v>
      </c>
      <c r="AF676" t="s">
        <v>155</v>
      </c>
      <c r="AG676" t="s">
        <v>155</v>
      </c>
      <c r="AH676" t="s">
        <v>155</v>
      </c>
    </row>
    <row r="677" spans="19:34" ht="16.2" customHeight="1" x14ac:dyDescent="0.3">
      <c r="T677" t="s">
        <v>172</v>
      </c>
      <c r="U677" t="s">
        <v>155</v>
      </c>
      <c r="V677" t="s">
        <v>155</v>
      </c>
      <c r="W677" t="s">
        <v>155</v>
      </c>
      <c r="X677" t="s">
        <v>155</v>
      </c>
      <c r="Y677" t="s">
        <v>155</v>
      </c>
      <c r="AC677" t="s">
        <v>172</v>
      </c>
      <c r="AD677" t="s">
        <v>155</v>
      </c>
      <c r="AE677" t="s">
        <v>155</v>
      </c>
      <c r="AF677" t="s">
        <v>155</v>
      </c>
      <c r="AG677" t="s">
        <v>155</v>
      </c>
      <c r="AH677" t="s">
        <v>155</v>
      </c>
    </row>
    <row r="679" spans="19:34" ht="16.2" customHeight="1" x14ac:dyDescent="0.3">
      <c r="S679" s="15" t="s">
        <v>146</v>
      </c>
      <c r="T679" t="s">
        <v>229</v>
      </c>
      <c r="AB679" s="15" t="s">
        <v>146</v>
      </c>
      <c r="AC679" t="s">
        <v>229</v>
      </c>
    </row>
    <row r="680" spans="19:34" ht="16.2" customHeight="1" x14ac:dyDescent="0.3">
      <c r="U680" t="s">
        <v>164</v>
      </c>
      <c r="V680" t="s">
        <v>165</v>
      </c>
      <c r="W680" t="s">
        <v>166</v>
      </c>
      <c r="X680" t="s">
        <v>167</v>
      </c>
      <c r="Y680" t="s">
        <v>168</v>
      </c>
      <c r="AD680" t="s">
        <v>164</v>
      </c>
      <c r="AE680" t="s">
        <v>165</v>
      </c>
      <c r="AF680" t="s">
        <v>166</v>
      </c>
      <c r="AG680" t="s">
        <v>167</v>
      </c>
      <c r="AH680" t="s">
        <v>168</v>
      </c>
    </row>
    <row r="681" spans="19:34" ht="16.2" customHeight="1" x14ac:dyDescent="0.3">
      <c r="T681" t="s">
        <v>154</v>
      </c>
      <c r="U681" t="s">
        <v>155</v>
      </c>
      <c r="V681" t="s">
        <v>97</v>
      </c>
      <c r="W681" t="s">
        <v>155</v>
      </c>
      <c r="X681" t="s">
        <v>155</v>
      </c>
      <c r="Y681" t="s">
        <v>97</v>
      </c>
      <c r="AC681" t="s">
        <v>154</v>
      </c>
      <c r="AD681" t="s">
        <v>155</v>
      </c>
      <c r="AE681" t="s">
        <v>97</v>
      </c>
      <c r="AF681" t="s">
        <v>155</v>
      </c>
      <c r="AG681" t="s">
        <v>155</v>
      </c>
      <c r="AH681" t="s">
        <v>97</v>
      </c>
    </row>
    <row r="682" spans="19:34" ht="16.2" customHeight="1" x14ac:dyDescent="0.3">
      <c r="T682" t="s">
        <v>156</v>
      </c>
      <c r="U682" t="s">
        <v>155</v>
      </c>
      <c r="V682" t="s">
        <v>97</v>
      </c>
      <c r="W682" t="s">
        <v>155</v>
      </c>
      <c r="X682" t="s">
        <v>155</v>
      </c>
      <c r="Y682" t="s">
        <v>97</v>
      </c>
      <c r="AC682" t="s">
        <v>156</v>
      </c>
      <c r="AD682" t="s">
        <v>155</v>
      </c>
      <c r="AE682" t="s">
        <v>97</v>
      </c>
      <c r="AF682" t="s">
        <v>155</v>
      </c>
      <c r="AG682" t="s">
        <v>155</v>
      </c>
      <c r="AH682" t="s">
        <v>97</v>
      </c>
    </row>
    <row r="683" spans="19:34" ht="16.2" customHeight="1" x14ac:dyDescent="0.3">
      <c r="T683" t="s">
        <v>157</v>
      </c>
      <c r="U683" t="s">
        <v>155</v>
      </c>
      <c r="V683" t="s">
        <v>97</v>
      </c>
      <c r="W683" t="s">
        <v>155</v>
      </c>
      <c r="X683" t="s">
        <v>155</v>
      </c>
      <c r="Y683" t="s">
        <v>155</v>
      </c>
      <c r="AC683" t="s">
        <v>157</v>
      </c>
      <c r="AD683" t="s">
        <v>155</v>
      </c>
      <c r="AE683" t="s">
        <v>97</v>
      </c>
      <c r="AF683" t="s">
        <v>155</v>
      </c>
      <c r="AG683" t="s">
        <v>155</v>
      </c>
      <c r="AH683" t="s">
        <v>155</v>
      </c>
    </row>
    <row r="684" spans="19:34" ht="16.2" customHeight="1" x14ac:dyDescent="0.3">
      <c r="T684" t="s">
        <v>158</v>
      </c>
      <c r="U684" t="s">
        <v>155</v>
      </c>
      <c r="V684" t="s">
        <v>155</v>
      </c>
      <c r="W684" t="s">
        <v>155</v>
      </c>
      <c r="X684" t="s">
        <v>155</v>
      </c>
      <c r="Y684" t="s">
        <v>155</v>
      </c>
      <c r="AC684" t="s">
        <v>158</v>
      </c>
      <c r="AD684" t="s">
        <v>155</v>
      </c>
      <c r="AE684" t="s">
        <v>155</v>
      </c>
      <c r="AF684" t="s">
        <v>155</v>
      </c>
      <c r="AG684" t="s">
        <v>155</v>
      </c>
      <c r="AH684" t="s">
        <v>155</v>
      </c>
    </row>
    <row r="685" spans="19:34" ht="16.2" customHeight="1" x14ac:dyDescent="0.3">
      <c r="T685" t="s">
        <v>159</v>
      </c>
      <c r="U685" t="s">
        <v>155</v>
      </c>
      <c r="V685" t="s">
        <v>155</v>
      </c>
      <c r="W685" t="s">
        <v>155</v>
      </c>
      <c r="X685" t="s">
        <v>155</v>
      </c>
      <c r="Y685" t="s">
        <v>155</v>
      </c>
      <c r="AC685" t="s">
        <v>159</v>
      </c>
      <c r="AD685" t="s">
        <v>155</v>
      </c>
      <c r="AE685" t="s">
        <v>155</v>
      </c>
      <c r="AF685" t="s">
        <v>155</v>
      </c>
      <c r="AG685" t="s">
        <v>155</v>
      </c>
      <c r="AH685" t="s">
        <v>155</v>
      </c>
    </row>
    <row r="686" spans="19:34" ht="16.2" customHeight="1" x14ac:dyDescent="0.3">
      <c r="T686" t="s">
        <v>160</v>
      </c>
      <c r="U686" t="s">
        <v>155</v>
      </c>
      <c r="V686" t="s">
        <v>155</v>
      </c>
      <c r="W686" t="s">
        <v>155</v>
      </c>
      <c r="X686" t="s">
        <v>155</v>
      </c>
      <c r="Y686" t="s">
        <v>155</v>
      </c>
      <c r="AC686" t="s">
        <v>160</v>
      </c>
      <c r="AD686" t="s">
        <v>155</v>
      </c>
      <c r="AE686" t="s">
        <v>155</v>
      </c>
      <c r="AF686" t="s">
        <v>155</v>
      </c>
      <c r="AG686" t="s">
        <v>155</v>
      </c>
      <c r="AH686" t="s">
        <v>155</v>
      </c>
    </row>
    <row r="687" spans="19:34" ht="16.2" customHeight="1" x14ac:dyDescent="0.3">
      <c r="T687" t="s">
        <v>169</v>
      </c>
      <c r="U687" t="s">
        <v>155</v>
      </c>
      <c r="V687" t="s">
        <v>155</v>
      </c>
      <c r="W687" t="s">
        <v>155</v>
      </c>
      <c r="X687" t="s">
        <v>155</v>
      </c>
      <c r="Y687" t="s">
        <v>155</v>
      </c>
      <c r="AC687" t="s">
        <v>169</v>
      </c>
      <c r="AD687" t="s">
        <v>155</v>
      </c>
      <c r="AE687" t="s">
        <v>155</v>
      </c>
      <c r="AF687" t="s">
        <v>155</v>
      </c>
      <c r="AG687" t="s">
        <v>155</v>
      </c>
      <c r="AH687" t="s">
        <v>155</v>
      </c>
    </row>
    <row r="688" spans="19:34" ht="16.2" customHeight="1" x14ac:dyDescent="0.3">
      <c r="T688" t="s">
        <v>170</v>
      </c>
      <c r="U688" t="s">
        <v>155</v>
      </c>
      <c r="V688" t="s">
        <v>155</v>
      </c>
      <c r="W688" t="s">
        <v>155</v>
      </c>
      <c r="X688" t="s">
        <v>155</v>
      </c>
      <c r="Y688" t="s">
        <v>155</v>
      </c>
      <c r="AC688" t="s">
        <v>170</v>
      </c>
      <c r="AD688" t="s">
        <v>155</v>
      </c>
      <c r="AE688" t="s">
        <v>155</v>
      </c>
      <c r="AF688" t="s">
        <v>155</v>
      </c>
      <c r="AG688" t="s">
        <v>155</v>
      </c>
      <c r="AH688" t="s">
        <v>155</v>
      </c>
    </row>
    <row r="689" spans="19:34" ht="16.2" customHeight="1" x14ac:dyDescent="0.3">
      <c r="T689" t="s">
        <v>171</v>
      </c>
      <c r="U689" t="s">
        <v>155</v>
      </c>
      <c r="V689" t="s">
        <v>155</v>
      </c>
      <c r="W689" t="s">
        <v>155</v>
      </c>
      <c r="X689" t="s">
        <v>155</v>
      </c>
      <c r="Y689" t="s">
        <v>155</v>
      </c>
      <c r="AC689" t="s">
        <v>171</v>
      </c>
      <c r="AD689" t="s">
        <v>155</v>
      </c>
      <c r="AE689" t="s">
        <v>155</v>
      </c>
      <c r="AF689" t="s">
        <v>155</v>
      </c>
      <c r="AG689" t="s">
        <v>155</v>
      </c>
      <c r="AH689" t="s">
        <v>155</v>
      </c>
    </row>
    <row r="690" spans="19:34" ht="16.2" customHeight="1" x14ac:dyDescent="0.3">
      <c r="T690" t="s">
        <v>172</v>
      </c>
      <c r="U690" t="s">
        <v>155</v>
      </c>
      <c r="V690" t="s">
        <v>155</v>
      </c>
      <c r="W690" t="s">
        <v>155</v>
      </c>
      <c r="X690" t="s">
        <v>155</v>
      </c>
      <c r="Y690" t="s">
        <v>155</v>
      </c>
      <c r="AC690" t="s">
        <v>172</v>
      </c>
      <c r="AD690" t="s">
        <v>155</v>
      </c>
      <c r="AE690" t="s">
        <v>155</v>
      </c>
      <c r="AF690" t="s">
        <v>155</v>
      </c>
      <c r="AG690" t="s">
        <v>155</v>
      </c>
      <c r="AH690" t="s">
        <v>155</v>
      </c>
    </row>
    <row r="692" spans="19:34" ht="16.2" customHeight="1" x14ac:dyDescent="0.3">
      <c r="S692" s="15" t="s">
        <v>147</v>
      </c>
      <c r="T692" t="s">
        <v>230</v>
      </c>
      <c r="AB692" s="15" t="s">
        <v>147</v>
      </c>
      <c r="AC692" t="s">
        <v>230</v>
      </c>
    </row>
    <row r="693" spans="19:34" ht="16.2" customHeight="1" x14ac:dyDescent="0.3">
      <c r="U693" t="s">
        <v>164</v>
      </c>
      <c r="V693" t="s">
        <v>165</v>
      </c>
      <c r="W693" t="s">
        <v>166</v>
      </c>
      <c r="X693" t="s">
        <v>167</v>
      </c>
      <c r="Y693" t="s">
        <v>168</v>
      </c>
      <c r="AD693" t="s">
        <v>164</v>
      </c>
      <c r="AE693" t="s">
        <v>165</v>
      </c>
      <c r="AF693" t="s">
        <v>166</v>
      </c>
      <c r="AG693" t="s">
        <v>167</v>
      </c>
      <c r="AH693" t="s">
        <v>168</v>
      </c>
    </row>
    <row r="694" spans="19:34" ht="16.2" customHeight="1" x14ac:dyDescent="0.3">
      <c r="T694" t="s">
        <v>154</v>
      </c>
      <c r="U694" t="s">
        <v>99</v>
      </c>
      <c r="V694" t="s">
        <v>155</v>
      </c>
      <c r="W694" t="s">
        <v>155</v>
      </c>
      <c r="X694" t="s">
        <v>99</v>
      </c>
      <c r="Y694" t="s">
        <v>155</v>
      </c>
      <c r="AC694" t="s">
        <v>154</v>
      </c>
      <c r="AD694" t="s">
        <v>99</v>
      </c>
      <c r="AE694" t="s">
        <v>155</v>
      </c>
      <c r="AF694" t="s">
        <v>155</v>
      </c>
      <c r="AG694" t="s">
        <v>99</v>
      </c>
      <c r="AH694" t="s">
        <v>155</v>
      </c>
    </row>
    <row r="695" spans="19:34" ht="16.2" customHeight="1" x14ac:dyDescent="0.3">
      <c r="T695" t="s">
        <v>156</v>
      </c>
      <c r="U695" t="s">
        <v>99</v>
      </c>
      <c r="V695" t="s">
        <v>155</v>
      </c>
      <c r="W695" t="s">
        <v>155</v>
      </c>
      <c r="X695" t="s">
        <v>99</v>
      </c>
      <c r="Y695" t="s">
        <v>155</v>
      </c>
      <c r="AC695" t="s">
        <v>156</v>
      </c>
      <c r="AD695" t="s">
        <v>99</v>
      </c>
      <c r="AE695" t="s">
        <v>155</v>
      </c>
      <c r="AF695" t="s">
        <v>155</v>
      </c>
      <c r="AG695" t="s">
        <v>99</v>
      </c>
      <c r="AH695" t="s">
        <v>155</v>
      </c>
    </row>
    <row r="696" spans="19:34" ht="16.2" customHeight="1" x14ac:dyDescent="0.3">
      <c r="T696" t="s">
        <v>157</v>
      </c>
      <c r="U696" t="s">
        <v>155</v>
      </c>
      <c r="V696" t="s">
        <v>155</v>
      </c>
      <c r="W696" t="s">
        <v>155</v>
      </c>
      <c r="X696" t="s">
        <v>155</v>
      </c>
      <c r="Y696" t="s">
        <v>155</v>
      </c>
      <c r="AC696" t="s">
        <v>157</v>
      </c>
      <c r="AD696" t="s">
        <v>155</v>
      </c>
      <c r="AE696" t="s">
        <v>155</v>
      </c>
      <c r="AF696" t="s">
        <v>155</v>
      </c>
      <c r="AG696" t="s">
        <v>155</v>
      </c>
      <c r="AH696" t="s">
        <v>155</v>
      </c>
    </row>
    <row r="697" spans="19:34" ht="16.2" customHeight="1" x14ac:dyDescent="0.3">
      <c r="T697" t="s">
        <v>158</v>
      </c>
      <c r="U697" t="s">
        <v>155</v>
      </c>
      <c r="V697" t="s">
        <v>155</v>
      </c>
      <c r="W697" t="s">
        <v>155</v>
      </c>
      <c r="X697" t="s">
        <v>155</v>
      </c>
      <c r="Y697" t="s">
        <v>155</v>
      </c>
      <c r="AC697" t="s">
        <v>158</v>
      </c>
      <c r="AD697" t="s">
        <v>155</v>
      </c>
      <c r="AE697" t="s">
        <v>155</v>
      </c>
      <c r="AF697" t="s">
        <v>155</v>
      </c>
      <c r="AG697" t="s">
        <v>155</v>
      </c>
      <c r="AH697" t="s">
        <v>155</v>
      </c>
    </row>
    <row r="698" spans="19:34" ht="16.2" customHeight="1" x14ac:dyDescent="0.3">
      <c r="T698" t="s">
        <v>159</v>
      </c>
      <c r="U698" t="s">
        <v>155</v>
      </c>
      <c r="V698" t="s">
        <v>155</v>
      </c>
      <c r="W698" t="s">
        <v>155</v>
      </c>
      <c r="X698" t="s">
        <v>155</v>
      </c>
      <c r="Y698" t="s">
        <v>155</v>
      </c>
      <c r="AC698" t="s">
        <v>159</v>
      </c>
      <c r="AD698" t="s">
        <v>155</v>
      </c>
      <c r="AE698" t="s">
        <v>155</v>
      </c>
      <c r="AF698" t="s">
        <v>155</v>
      </c>
      <c r="AG698" t="s">
        <v>155</v>
      </c>
      <c r="AH698" t="s">
        <v>155</v>
      </c>
    </row>
    <row r="699" spans="19:34" ht="16.2" customHeight="1" x14ac:dyDescent="0.3">
      <c r="T699" t="s">
        <v>160</v>
      </c>
      <c r="U699" t="s">
        <v>155</v>
      </c>
      <c r="V699" t="s">
        <v>155</v>
      </c>
      <c r="W699" t="s">
        <v>155</v>
      </c>
      <c r="X699" t="s">
        <v>155</v>
      </c>
      <c r="Y699" t="s">
        <v>155</v>
      </c>
      <c r="AC699" t="s">
        <v>160</v>
      </c>
      <c r="AD699" t="s">
        <v>155</v>
      </c>
      <c r="AE699" t="s">
        <v>155</v>
      </c>
      <c r="AF699" t="s">
        <v>155</v>
      </c>
      <c r="AG699" t="s">
        <v>155</v>
      </c>
      <c r="AH699" t="s">
        <v>155</v>
      </c>
    </row>
    <row r="700" spans="19:34" ht="16.2" customHeight="1" x14ac:dyDescent="0.3">
      <c r="T700" t="s">
        <v>169</v>
      </c>
      <c r="U700" t="s">
        <v>155</v>
      </c>
      <c r="V700" t="s">
        <v>155</v>
      </c>
      <c r="W700" t="s">
        <v>155</v>
      </c>
      <c r="X700" t="s">
        <v>155</v>
      </c>
      <c r="Y700" t="s">
        <v>155</v>
      </c>
      <c r="AC700" t="s">
        <v>169</v>
      </c>
      <c r="AD700" t="s">
        <v>155</v>
      </c>
      <c r="AE700" t="s">
        <v>155</v>
      </c>
      <c r="AF700" t="s">
        <v>155</v>
      </c>
      <c r="AG700" t="s">
        <v>155</v>
      </c>
      <c r="AH700" t="s">
        <v>155</v>
      </c>
    </row>
    <row r="701" spans="19:34" ht="16.2" customHeight="1" x14ac:dyDescent="0.3">
      <c r="T701" t="s">
        <v>170</v>
      </c>
      <c r="U701" t="s">
        <v>155</v>
      </c>
      <c r="V701" t="s">
        <v>155</v>
      </c>
      <c r="W701" t="s">
        <v>155</v>
      </c>
      <c r="X701" t="s">
        <v>155</v>
      </c>
      <c r="Y701" t="s">
        <v>155</v>
      </c>
      <c r="AC701" t="s">
        <v>170</v>
      </c>
      <c r="AD701" t="s">
        <v>155</v>
      </c>
      <c r="AE701" t="s">
        <v>155</v>
      </c>
      <c r="AF701" t="s">
        <v>155</v>
      </c>
      <c r="AG701" t="s">
        <v>155</v>
      </c>
      <c r="AH701" t="s">
        <v>155</v>
      </c>
    </row>
    <row r="702" spans="19:34" ht="16.2" customHeight="1" x14ac:dyDescent="0.3">
      <c r="T702" t="s">
        <v>171</v>
      </c>
      <c r="U702" t="s">
        <v>155</v>
      </c>
      <c r="V702" t="s">
        <v>155</v>
      </c>
      <c r="W702" t="s">
        <v>155</v>
      </c>
      <c r="X702" t="s">
        <v>155</v>
      </c>
      <c r="Y702" t="s">
        <v>155</v>
      </c>
      <c r="AC702" t="s">
        <v>171</v>
      </c>
      <c r="AD702" t="s">
        <v>155</v>
      </c>
      <c r="AE702" t="s">
        <v>155</v>
      </c>
      <c r="AF702" t="s">
        <v>155</v>
      </c>
      <c r="AG702" t="s">
        <v>155</v>
      </c>
      <c r="AH702" t="s">
        <v>155</v>
      </c>
    </row>
    <row r="703" spans="19:34" ht="16.2" customHeight="1" x14ac:dyDescent="0.3">
      <c r="T703" t="s">
        <v>172</v>
      </c>
      <c r="U703" t="s">
        <v>155</v>
      </c>
      <c r="V703" t="s">
        <v>155</v>
      </c>
      <c r="W703" t="s">
        <v>155</v>
      </c>
      <c r="X703" t="s">
        <v>155</v>
      </c>
      <c r="Y703" t="s">
        <v>155</v>
      </c>
      <c r="AC703" t="s">
        <v>172</v>
      </c>
      <c r="AD703" t="s">
        <v>155</v>
      </c>
      <c r="AE703" t="s">
        <v>155</v>
      </c>
      <c r="AF703" t="s">
        <v>155</v>
      </c>
      <c r="AG703" t="s">
        <v>155</v>
      </c>
      <c r="AH703" t="s">
        <v>155</v>
      </c>
    </row>
    <row r="705" spans="19:34" ht="16.2" customHeight="1" x14ac:dyDescent="0.3">
      <c r="S705" s="15" t="s">
        <v>148</v>
      </c>
      <c r="T705" t="s">
        <v>231</v>
      </c>
      <c r="AB705" s="15" t="s">
        <v>148</v>
      </c>
      <c r="AC705" t="s">
        <v>231</v>
      </c>
    </row>
    <row r="706" spans="19:34" ht="16.2" customHeight="1" x14ac:dyDescent="0.3">
      <c r="U706" t="s">
        <v>164</v>
      </c>
      <c r="V706" t="s">
        <v>165</v>
      </c>
      <c r="W706" t="s">
        <v>166</v>
      </c>
      <c r="X706" t="s">
        <v>167</v>
      </c>
      <c r="Y706" t="s">
        <v>168</v>
      </c>
      <c r="AD706" t="s">
        <v>164</v>
      </c>
      <c r="AE706" t="s">
        <v>165</v>
      </c>
      <c r="AF706" t="s">
        <v>166</v>
      </c>
      <c r="AG706" t="s">
        <v>167</v>
      </c>
      <c r="AH706" t="s">
        <v>168</v>
      </c>
    </row>
    <row r="707" spans="19:34" ht="16.2" customHeight="1" x14ac:dyDescent="0.3">
      <c r="T707" t="s">
        <v>154</v>
      </c>
      <c r="U707" t="s">
        <v>155</v>
      </c>
      <c r="V707" t="s">
        <v>155</v>
      </c>
      <c r="W707" t="s">
        <v>155</v>
      </c>
      <c r="X707" t="s">
        <v>155</v>
      </c>
      <c r="Y707" t="s">
        <v>155</v>
      </c>
      <c r="AC707" t="s">
        <v>154</v>
      </c>
      <c r="AD707" t="s">
        <v>155</v>
      </c>
      <c r="AE707" t="s">
        <v>155</v>
      </c>
      <c r="AF707" t="s">
        <v>155</v>
      </c>
      <c r="AG707" t="s">
        <v>155</v>
      </c>
      <c r="AH707" t="s">
        <v>155</v>
      </c>
    </row>
    <row r="708" spans="19:34" ht="16.2" customHeight="1" x14ac:dyDescent="0.3">
      <c r="T708" t="s">
        <v>156</v>
      </c>
      <c r="U708" t="s">
        <v>155</v>
      </c>
      <c r="V708" t="s">
        <v>155</v>
      </c>
      <c r="W708" t="s">
        <v>155</v>
      </c>
      <c r="X708" t="s">
        <v>155</v>
      </c>
      <c r="Y708" t="s">
        <v>155</v>
      </c>
      <c r="AC708" t="s">
        <v>156</v>
      </c>
      <c r="AD708" t="s">
        <v>155</v>
      </c>
      <c r="AE708" t="s">
        <v>155</v>
      </c>
      <c r="AF708" t="s">
        <v>155</v>
      </c>
      <c r="AG708" t="s">
        <v>155</v>
      </c>
      <c r="AH708" t="s">
        <v>155</v>
      </c>
    </row>
    <row r="709" spans="19:34" ht="16.2" customHeight="1" x14ac:dyDescent="0.3">
      <c r="T709" t="s">
        <v>157</v>
      </c>
      <c r="U709" t="s">
        <v>155</v>
      </c>
      <c r="V709" t="s">
        <v>155</v>
      </c>
      <c r="W709" t="s">
        <v>98</v>
      </c>
      <c r="X709" t="s">
        <v>155</v>
      </c>
      <c r="Y709" t="s">
        <v>155</v>
      </c>
      <c r="AC709" t="s">
        <v>157</v>
      </c>
      <c r="AD709" t="s">
        <v>155</v>
      </c>
      <c r="AE709" t="s">
        <v>155</v>
      </c>
      <c r="AF709" t="s">
        <v>155</v>
      </c>
      <c r="AG709" t="s">
        <v>98</v>
      </c>
      <c r="AH709" t="s">
        <v>155</v>
      </c>
    </row>
    <row r="710" spans="19:34" ht="16.2" customHeight="1" x14ac:dyDescent="0.3">
      <c r="T710" t="s">
        <v>158</v>
      </c>
      <c r="U710" t="s">
        <v>155</v>
      </c>
      <c r="V710" t="s">
        <v>155</v>
      </c>
      <c r="W710" t="s">
        <v>98</v>
      </c>
      <c r="X710" t="s">
        <v>155</v>
      </c>
      <c r="Y710" t="s">
        <v>155</v>
      </c>
      <c r="AC710" t="s">
        <v>158</v>
      </c>
      <c r="AD710" t="s">
        <v>155</v>
      </c>
      <c r="AE710" t="s">
        <v>98</v>
      </c>
      <c r="AF710" t="s">
        <v>155</v>
      </c>
      <c r="AG710" t="s">
        <v>98</v>
      </c>
      <c r="AH710" t="s">
        <v>155</v>
      </c>
    </row>
    <row r="711" spans="19:34" ht="16.2" customHeight="1" x14ac:dyDescent="0.3">
      <c r="T711" t="s">
        <v>159</v>
      </c>
      <c r="U711" t="s">
        <v>98</v>
      </c>
      <c r="V711" t="s">
        <v>155</v>
      </c>
      <c r="W711" t="s">
        <v>98</v>
      </c>
      <c r="X711" t="s">
        <v>155</v>
      </c>
      <c r="Y711" t="s">
        <v>155</v>
      </c>
      <c r="AC711" t="s">
        <v>159</v>
      </c>
      <c r="AD711" t="s">
        <v>155</v>
      </c>
      <c r="AE711" t="s">
        <v>98</v>
      </c>
      <c r="AF711" t="s">
        <v>155</v>
      </c>
      <c r="AG711" t="s">
        <v>155</v>
      </c>
      <c r="AH711" t="s">
        <v>155</v>
      </c>
    </row>
    <row r="712" spans="19:34" ht="16.2" customHeight="1" x14ac:dyDescent="0.3">
      <c r="T712" t="s">
        <v>160</v>
      </c>
      <c r="U712" t="s">
        <v>98</v>
      </c>
      <c r="V712" t="s">
        <v>155</v>
      </c>
      <c r="W712" t="s">
        <v>155</v>
      </c>
      <c r="X712" t="s">
        <v>155</v>
      </c>
      <c r="Y712" t="s">
        <v>155</v>
      </c>
      <c r="AC712" t="s">
        <v>160</v>
      </c>
      <c r="AD712" t="s">
        <v>155</v>
      </c>
      <c r="AE712" t="s">
        <v>98</v>
      </c>
      <c r="AF712" t="s">
        <v>155</v>
      </c>
      <c r="AG712" t="s">
        <v>155</v>
      </c>
      <c r="AH712" t="s">
        <v>155</v>
      </c>
    </row>
    <row r="713" spans="19:34" ht="16.2" customHeight="1" x14ac:dyDescent="0.3">
      <c r="T713" t="s">
        <v>169</v>
      </c>
      <c r="U713" t="s">
        <v>155</v>
      </c>
      <c r="V713" t="s">
        <v>155</v>
      </c>
      <c r="W713" t="s">
        <v>155</v>
      </c>
      <c r="X713" t="s">
        <v>155</v>
      </c>
      <c r="Y713" t="s">
        <v>155</v>
      </c>
      <c r="AC713" t="s">
        <v>169</v>
      </c>
      <c r="AD713" t="s">
        <v>155</v>
      </c>
      <c r="AE713" t="s">
        <v>155</v>
      </c>
      <c r="AF713" t="s">
        <v>155</v>
      </c>
      <c r="AG713" t="s">
        <v>155</v>
      </c>
      <c r="AH713" t="s">
        <v>155</v>
      </c>
    </row>
    <row r="714" spans="19:34" ht="16.2" customHeight="1" x14ac:dyDescent="0.3">
      <c r="T714" t="s">
        <v>170</v>
      </c>
      <c r="U714" t="s">
        <v>155</v>
      </c>
      <c r="V714" t="s">
        <v>155</v>
      </c>
      <c r="W714" t="s">
        <v>155</v>
      </c>
      <c r="X714" t="s">
        <v>155</v>
      </c>
      <c r="Y714" t="s">
        <v>155</v>
      </c>
      <c r="AC714" t="s">
        <v>170</v>
      </c>
      <c r="AD714" t="s">
        <v>155</v>
      </c>
      <c r="AE714" t="s">
        <v>155</v>
      </c>
      <c r="AF714" t="s">
        <v>155</v>
      </c>
      <c r="AG714" t="s">
        <v>155</v>
      </c>
      <c r="AH714" t="s">
        <v>155</v>
      </c>
    </row>
    <row r="715" spans="19:34" ht="16.2" customHeight="1" x14ac:dyDescent="0.3">
      <c r="T715" t="s">
        <v>171</v>
      </c>
      <c r="U715" t="s">
        <v>155</v>
      </c>
      <c r="V715" t="s">
        <v>155</v>
      </c>
      <c r="W715" t="s">
        <v>155</v>
      </c>
      <c r="X715" t="s">
        <v>155</v>
      </c>
      <c r="Y715" t="s">
        <v>155</v>
      </c>
      <c r="AC715" t="s">
        <v>171</v>
      </c>
      <c r="AD715" t="s">
        <v>155</v>
      </c>
      <c r="AE715" t="s">
        <v>155</v>
      </c>
      <c r="AF715" t="s">
        <v>155</v>
      </c>
      <c r="AG715" t="s">
        <v>155</v>
      </c>
      <c r="AH715" t="s">
        <v>155</v>
      </c>
    </row>
    <row r="716" spans="19:34" ht="16.2" customHeight="1" x14ac:dyDescent="0.3">
      <c r="T716" t="s">
        <v>172</v>
      </c>
      <c r="U716" t="s">
        <v>155</v>
      </c>
      <c r="V716" t="s">
        <v>155</v>
      </c>
      <c r="W716" t="s">
        <v>155</v>
      </c>
      <c r="X716" t="s">
        <v>155</v>
      </c>
      <c r="Y716" t="s">
        <v>155</v>
      </c>
      <c r="AC716" t="s">
        <v>172</v>
      </c>
      <c r="AD716" t="s">
        <v>155</v>
      </c>
      <c r="AE716" t="s">
        <v>155</v>
      </c>
      <c r="AF716" t="s">
        <v>155</v>
      </c>
      <c r="AG716" t="s">
        <v>155</v>
      </c>
      <c r="AH716" t="s">
        <v>155</v>
      </c>
    </row>
    <row r="718" spans="19:34" ht="16.2" customHeight="1" x14ac:dyDescent="0.3">
      <c r="S718" s="15" t="s">
        <v>149</v>
      </c>
      <c r="T718" t="s">
        <v>232</v>
      </c>
      <c r="AB718" s="15" t="s">
        <v>149</v>
      </c>
      <c r="AC718" t="s">
        <v>232</v>
      </c>
    </row>
    <row r="719" spans="19:34" ht="16.2" customHeight="1" x14ac:dyDescent="0.3">
      <c r="U719" t="s">
        <v>164</v>
      </c>
      <c r="V719" t="s">
        <v>165</v>
      </c>
      <c r="W719" t="s">
        <v>166</v>
      </c>
      <c r="X719" t="s">
        <v>167</v>
      </c>
      <c r="Y719" t="s">
        <v>168</v>
      </c>
      <c r="AD719" t="s">
        <v>164</v>
      </c>
      <c r="AE719" t="s">
        <v>165</v>
      </c>
      <c r="AF719" t="s">
        <v>166</v>
      </c>
      <c r="AG719" t="s">
        <v>167</v>
      </c>
      <c r="AH719" t="s">
        <v>168</v>
      </c>
    </row>
    <row r="720" spans="19:34" ht="16.2" customHeight="1" x14ac:dyDescent="0.3">
      <c r="T720" t="s">
        <v>154</v>
      </c>
      <c r="U720" t="s">
        <v>155</v>
      </c>
      <c r="V720" t="s">
        <v>155</v>
      </c>
      <c r="W720" t="s">
        <v>155</v>
      </c>
      <c r="X720" t="s">
        <v>155</v>
      </c>
      <c r="Y720" t="s">
        <v>155</v>
      </c>
      <c r="AC720" t="s">
        <v>154</v>
      </c>
      <c r="AD720" t="s">
        <v>155</v>
      </c>
      <c r="AE720" t="s">
        <v>155</v>
      </c>
      <c r="AF720" t="s">
        <v>155</v>
      </c>
      <c r="AG720" t="s">
        <v>155</v>
      </c>
      <c r="AH720" t="s">
        <v>155</v>
      </c>
    </row>
    <row r="721" spans="19:34" ht="16.2" customHeight="1" x14ac:dyDescent="0.3">
      <c r="T721" t="s">
        <v>156</v>
      </c>
      <c r="U721" t="s">
        <v>155</v>
      </c>
      <c r="V721" t="s">
        <v>155</v>
      </c>
      <c r="W721" t="s">
        <v>155</v>
      </c>
      <c r="X721" t="s">
        <v>155</v>
      </c>
      <c r="Y721" t="s">
        <v>155</v>
      </c>
      <c r="AC721" t="s">
        <v>156</v>
      </c>
      <c r="AD721" t="s">
        <v>100</v>
      </c>
      <c r="AE721" t="s">
        <v>155</v>
      </c>
      <c r="AF721" t="s">
        <v>155</v>
      </c>
      <c r="AG721" t="s">
        <v>155</v>
      </c>
      <c r="AH721" t="s">
        <v>155</v>
      </c>
    </row>
    <row r="722" spans="19:34" ht="16.2" customHeight="1" x14ac:dyDescent="0.3">
      <c r="T722" t="s">
        <v>157</v>
      </c>
      <c r="U722" t="s">
        <v>100</v>
      </c>
      <c r="V722" t="s">
        <v>155</v>
      </c>
      <c r="W722" t="s">
        <v>100</v>
      </c>
      <c r="X722" t="s">
        <v>155</v>
      </c>
      <c r="Y722" t="s">
        <v>155</v>
      </c>
      <c r="AC722" t="s">
        <v>157</v>
      </c>
      <c r="AD722" t="s">
        <v>100</v>
      </c>
      <c r="AE722" t="s">
        <v>155</v>
      </c>
      <c r="AF722" t="s">
        <v>100</v>
      </c>
      <c r="AG722" t="s">
        <v>155</v>
      </c>
      <c r="AH722" t="s">
        <v>155</v>
      </c>
    </row>
    <row r="723" spans="19:34" ht="16.2" customHeight="1" x14ac:dyDescent="0.3">
      <c r="T723" t="s">
        <v>158</v>
      </c>
      <c r="U723" t="s">
        <v>100</v>
      </c>
      <c r="V723" t="s">
        <v>155</v>
      </c>
      <c r="W723" t="s">
        <v>100</v>
      </c>
      <c r="X723" t="s">
        <v>155</v>
      </c>
      <c r="Y723" t="s">
        <v>155</v>
      </c>
      <c r="AC723" t="s">
        <v>158</v>
      </c>
      <c r="AD723" t="s">
        <v>100</v>
      </c>
      <c r="AE723" t="s">
        <v>155</v>
      </c>
      <c r="AF723" t="s">
        <v>100</v>
      </c>
      <c r="AG723" t="s">
        <v>155</v>
      </c>
      <c r="AH723" t="s">
        <v>155</v>
      </c>
    </row>
    <row r="724" spans="19:34" ht="16.2" customHeight="1" x14ac:dyDescent="0.3">
      <c r="T724" t="s">
        <v>159</v>
      </c>
      <c r="U724" t="s">
        <v>100</v>
      </c>
      <c r="V724" t="s">
        <v>155</v>
      </c>
      <c r="W724" t="s">
        <v>100</v>
      </c>
      <c r="X724" t="s">
        <v>155</v>
      </c>
      <c r="Y724" t="s">
        <v>155</v>
      </c>
      <c r="AC724" t="s">
        <v>159</v>
      </c>
      <c r="AD724" t="s">
        <v>155</v>
      </c>
      <c r="AE724" t="s">
        <v>155</v>
      </c>
      <c r="AF724" t="s">
        <v>100</v>
      </c>
      <c r="AG724" t="s">
        <v>155</v>
      </c>
      <c r="AH724" t="s">
        <v>155</v>
      </c>
    </row>
    <row r="725" spans="19:34" ht="16.2" customHeight="1" x14ac:dyDescent="0.3">
      <c r="T725" t="s">
        <v>160</v>
      </c>
      <c r="U725" t="s">
        <v>155</v>
      </c>
      <c r="V725" t="s">
        <v>155</v>
      </c>
      <c r="W725" t="s">
        <v>155</v>
      </c>
      <c r="X725" t="s">
        <v>155</v>
      </c>
      <c r="Y725" t="s">
        <v>155</v>
      </c>
      <c r="AC725" t="s">
        <v>160</v>
      </c>
      <c r="AD725" t="s">
        <v>155</v>
      </c>
      <c r="AE725" t="s">
        <v>155</v>
      </c>
      <c r="AF725" t="s">
        <v>155</v>
      </c>
      <c r="AG725" t="s">
        <v>155</v>
      </c>
      <c r="AH725" t="s">
        <v>155</v>
      </c>
    </row>
    <row r="726" spans="19:34" ht="16.2" customHeight="1" x14ac:dyDescent="0.3">
      <c r="T726" t="s">
        <v>169</v>
      </c>
      <c r="U726" t="s">
        <v>155</v>
      </c>
      <c r="V726" t="s">
        <v>155</v>
      </c>
      <c r="W726" t="s">
        <v>155</v>
      </c>
      <c r="X726" t="s">
        <v>155</v>
      </c>
      <c r="Y726" t="s">
        <v>155</v>
      </c>
      <c r="AC726" t="s">
        <v>169</v>
      </c>
      <c r="AD726" t="s">
        <v>155</v>
      </c>
      <c r="AE726" t="s">
        <v>155</v>
      </c>
      <c r="AF726" t="s">
        <v>155</v>
      </c>
      <c r="AG726" t="s">
        <v>155</v>
      </c>
      <c r="AH726" t="s">
        <v>155</v>
      </c>
    </row>
    <row r="727" spans="19:34" ht="16.2" customHeight="1" x14ac:dyDescent="0.3">
      <c r="T727" t="s">
        <v>170</v>
      </c>
      <c r="U727" t="s">
        <v>155</v>
      </c>
      <c r="V727" t="s">
        <v>155</v>
      </c>
      <c r="W727" t="s">
        <v>155</v>
      </c>
      <c r="X727" t="s">
        <v>155</v>
      </c>
      <c r="Y727" t="s">
        <v>155</v>
      </c>
      <c r="AC727" t="s">
        <v>170</v>
      </c>
      <c r="AD727" t="s">
        <v>155</v>
      </c>
      <c r="AE727" t="s">
        <v>155</v>
      </c>
      <c r="AF727" t="s">
        <v>155</v>
      </c>
      <c r="AG727" t="s">
        <v>155</v>
      </c>
      <c r="AH727" t="s">
        <v>155</v>
      </c>
    </row>
    <row r="728" spans="19:34" ht="16.2" customHeight="1" x14ac:dyDescent="0.3">
      <c r="T728" t="s">
        <v>171</v>
      </c>
      <c r="U728" t="s">
        <v>155</v>
      </c>
      <c r="V728" t="s">
        <v>155</v>
      </c>
      <c r="W728" t="s">
        <v>155</v>
      </c>
      <c r="X728" t="s">
        <v>155</v>
      </c>
      <c r="Y728" t="s">
        <v>155</v>
      </c>
      <c r="AC728" t="s">
        <v>171</v>
      </c>
      <c r="AD728" t="s">
        <v>155</v>
      </c>
      <c r="AE728" t="s">
        <v>155</v>
      </c>
      <c r="AF728" t="s">
        <v>155</v>
      </c>
      <c r="AG728" t="s">
        <v>155</v>
      </c>
      <c r="AH728" t="s">
        <v>155</v>
      </c>
    </row>
    <row r="729" spans="19:34" ht="16.2" customHeight="1" x14ac:dyDescent="0.3">
      <c r="T729" t="s">
        <v>172</v>
      </c>
      <c r="U729" t="s">
        <v>155</v>
      </c>
      <c r="V729" t="s">
        <v>155</v>
      </c>
      <c r="W729" t="s">
        <v>155</v>
      </c>
      <c r="X729" t="s">
        <v>155</v>
      </c>
      <c r="Y729" t="s">
        <v>155</v>
      </c>
      <c r="AC729" t="s">
        <v>172</v>
      </c>
      <c r="AD729" t="s">
        <v>155</v>
      </c>
      <c r="AE729" t="s">
        <v>155</v>
      </c>
      <c r="AF729" t="s">
        <v>155</v>
      </c>
      <c r="AG729" t="s">
        <v>155</v>
      </c>
      <c r="AH729" t="s">
        <v>155</v>
      </c>
    </row>
    <row r="731" spans="19:34" ht="16.2" customHeight="1" x14ac:dyDescent="0.3">
      <c r="S731" s="15" t="s">
        <v>150</v>
      </c>
      <c r="T731" t="s">
        <v>233</v>
      </c>
      <c r="AB731" s="15" t="s">
        <v>150</v>
      </c>
      <c r="AC731" t="s">
        <v>233</v>
      </c>
    </row>
    <row r="732" spans="19:34" ht="16.2" customHeight="1" x14ac:dyDescent="0.3">
      <c r="U732" t="s">
        <v>164</v>
      </c>
      <c r="V732" t="s">
        <v>165</v>
      </c>
      <c r="W732" t="s">
        <v>166</v>
      </c>
      <c r="X732" t="s">
        <v>167</v>
      </c>
      <c r="Y732" t="s">
        <v>168</v>
      </c>
      <c r="AD732" t="s">
        <v>164</v>
      </c>
      <c r="AE732" t="s">
        <v>165</v>
      </c>
      <c r="AF732" t="s">
        <v>166</v>
      </c>
      <c r="AG732" t="s">
        <v>167</v>
      </c>
      <c r="AH732" t="s">
        <v>168</v>
      </c>
    </row>
    <row r="733" spans="19:34" ht="16.2" customHeight="1" x14ac:dyDescent="0.3">
      <c r="T733" t="s">
        <v>154</v>
      </c>
      <c r="U733" t="s">
        <v>155</v>
      </c>
      <c r="V733" t="s">
        <v>155</v>
      </c>
      <c r="W733" t="s">
        <v>155</v>
      </c>
      <c r="X733" t="s">
        <v>155</v>
      </c>
      <c r="Y733" t="s">
        <v>155</v>
      </c>
      <c r="AC733" t="s">
        <v>154</v>
      </c>
      <c r="AD733" t="s">
        <v>155</v>
      </c>
      <c r="AE733" t="s">
        <v>155</v>
      </c>
      <c r="AF733" t="s">
        <v>155</v>
      </c>
      <c r="AG733" t="s">
        <v>155</v>
      </c>
      <c r="AH733" t="s">
        <v>155</v>
      </c>
    </row>
    <row r="734" spans="19:34" ht="16.2" customHeight="1" x14ac:dyDescent="0.3">
      <c r="T734" t="s">
        <v>156</v>
      </c>
      <c r="U734" t="s">
        <v>155</v>
      </c>
      <c r="V734" t="s">
        <v>155</v>
      </c>
      <c r="W734" t="s">
        <v>155</v>
      </c>
      <c r="X734" t="s">
        <v>155</v>
      </c>
      <c r="Y734" t="s">
        <v>155</v>
      </c>
      <c r="AC734" t="s">
        <v>156</v>
      </c>
      <c r="AD734" t="s">
        <v>100</v>
      </c>
      <c r="AE734" t="s">
        <v>155</v>
      </c>
      <c r="AF734" t="s">
        <v>155</v>
      </c>
      <c r="AG734" t="s">
        <v>155</v>
      </c>
      <c r="AH734" t="s">
        <v>155</v>
      </c>
    </row>
    <row r="735" spans="19:34" ht="16.2" customHeight="1" x14ac:dyDescent="0.3">
      <c r="T735" t="s">
        <v>157</v>
      </c>
      <c r="U735" t="s">
        <v>100</v>
      </c>
      <c r="V735" t="s">
        <v>155</v>
      </c>
      <c r="W735" t="s">
        <v>100</v>
      </c>
      <c r="X735" t="s">
        <v>155</v>
      </c>
      <c r="Y735" t="s">
        <v>155</v>
      </c>
      <c r="AC735" t="s">
        <v>157</v>
      </c>
      <c r="AD735" t="s">
        <v>100</v>
      </c>
      <c r="AE735" t="s">
        <v>155</v>
      </c>
      <c r="AF735" t="s">
        <v>100</v>
      </c>
      <c r="AG735" t="s">
        <v>155</v>
      </c>
      <c r="AH735" t="s">
        <v>155</v>
      </c>
    </row>
    <row r="736" spans="19:34" ht="16.2" customHeight="1" x14ac:dyDescent="0.3">
      <c r="T736" t="s">
        <v>158</v>
      </c>
      <c r="U736" t="s">
        <v>100</v>
      </c>
      <c r="V736" t="s">
        <v>155</v>
      </c>
      <c r="W736" t="s">
        <v>100</v>
      </c>
      <c r="X736" t="s">
        <v>155</v>
      </c>
      <c r="Y736" t="s">
        <v>155</v>
      </c>
      <c r="AC736" t="s">
        <v>158</v>
      </c>
      <c r="AD736" t="s">
        <v>100</v>
      </c>
      <c r="AE736" t="s">
        <v>155</v>
      </c>
      <c r="AF736" t="s">
        <v>100</v>
      </c>
      <c r="AG736" t="s">
        <v>155</v>
      </c>
      <c r="AH736" t="s">
        <v>155</v>
      </c>
    </row>
    <row r="737" spans="19:34" ht="16.2" customHeight="1" x14ac:dyDescent="0.3">
      <c r="T737" t="s">
        <v>159</v>
      </c>
      <c r="U737" t="s">
        <v>100</v>
      </c>
      <c r="V737" t="s">
        <v>155</v>
      </c>
      <c r="W737" t="s">
        <v>100</v>
      </c>
      <c r="X737" t="s">
        <v>155</v>
      </c>
      <c r="Y737" t="s">
        <v>155</v>
      </c>
      <c r="AC737" t="s">
        <v>159</v>
      </c>
      <c r="AD737" t="s">
        <v>155</v>
      </c>
      <c r="AE737" t="s">
        <v>155</v>
      </c>
      <c r="AF737" t="s">
        <v>100</v>
      </c>
      <c r="AG737" t="s">
        <v>155</v>
      </c>
      <c r="AH737" t="s">
        <v>155</v>
      </c>
    </row>
    <row r="738" spans="19:34" ht="16.2" customHeight="1" x14ac:dyDescent="0.3">
      <c r="T738" t="s">
        <v>160</v>
      </c>
      <c r="U738" t="s">
        <v>155</v>
      </c>
      <c r="V738" t="s">
        <v>155</v>
      </c>
      <c r="W738" t="s">
        <v>155</v>
      </c>
      <c r="X738" t="s">
        <v>155</v>
      </c>
      <c r="Y738" t="s">
        <v>155</v>
      </c>
      <c r="AC738" t="s">
        <v>160</v>
      </c>
      <c r="AD738" t="s">
        <v>155</v>
      </c>
      <c r="AE738" t="s">
        <v>155</v>
      </c>
      <c r="AF738" t="s">
        <v>155</v>
      </c>
      <c r="AG738" t="s">
        <v>155</v>
      </c>
      <c r="AH738" t="s">
        <v>155</v>
      </c>
    </row>
    <row r="739" spans="19:34" ht="16.2" customHeight="1" x14ac:dyDescent="0.3">
      <c r="T739" t="s">
        <v>169</v>
      </c>
      <c r="U739" t="s">
        <v>155</v>
      </c>
      <c r="V739" t="s">
        <v>155</v>
      </c>
      <c r="W739" t="s">
        <v>155</v>
      </c>
      <c r="X739" t="s">
        <v>155</v>
      </c>
      <c r="Y739" t="s">
        <v>155</v>
      </c>
      <c r="AC739" t="s">
        <v>169</v>
      </c>
      <c r="AD739" t="s">
        <v>155</v>
      </c>
      <c r="AE739" t="s">
        <v>155</v>
      </c>
      <c r="AF739" t="s">
        <v>155</v>
      </c>
      <c r="AG739" t="s">
        <v>155</v>
      </c>
      <c r="AH739" t="s">
        <v>155</v>
      </c>
    </row>
    <row r="740" spans="19:34" ht="16.2" customHeight="1" x14ac:dyDescent="0.3">
      <c r="T740" t="s">
        <v>170</v>
      </c>
      <c r="U740" t="s">
        <v>155</v>
      </c>
      <c r="V740" t="s">
        <v>155</v>
      </c>
      <c r="W740" t="s">
        <v>155</v>
      </c>
      <c r="X740" t="s">
        <v>155</v>
      </c>
      <c r="Y740" t="s">
        <v>155</v>
      </c>
      <c r="AC740" t="s">
        <v>170</v>
      </c>
      <c r="AD740" t="s">
        <v>155</v>
      </c>
      <c r="AE740" t="s">
        <v>155</v>
      </c>
      <c r="AF740" t="s">
        <v>155</v>
      </c>
      <c r="AG740" t="s">
        <v>155</v>
      </c>
      <c r="AH740" t="s">
        <v>155</v>
      </c>
    </row>
    <row r="741" spans="19:34" ht="16.2" customHeight="1" x14ac:dyDescent="0.3">
      <c r="T741" t="s">
        <v>171</v>
      </c>
      <c r="U741" t="s">
        <v>155</v>
      </c>
      <c r="V741" t="s">
        <v>155</v>
      </c>
      <c r="W741" t="s">
        <v>155</v>
      </c>
      <c r="X741" t="s">
        <v>155</v>
      </c>
      <c r="Y741" t="s">
        <v>155</v>
      </c>
      <c r="AC741" t="s">
        <v>171</v>
      </c>
      <c r="AD741" t="s">
        <v>155</v>
      </c>
      <c r="AE741" t="s">
        <v>155</v>
      </c>
      <c r="AF741" t="s">
        <v>155</v>
      </c>
      <c r="AG741" t="s">
        <v>155</v>
      </c>
      <c r="AH741" t="s">
        <v>155</v>
      </c>
    </row>
    <row r="742" spans="19:34" ht="16.2" customHeight="1" x14ac:dyDescent="0.3">
      <c r="T742" t="s">
        <v>172</v>
      </c>
      <c r="U742" t="s">
        <v>155</v>
      </c>
      <c r="V742" t="s">
        <v>155</v>
      </c>
      <c r="W742" t="s">
        <v>155</v>
      </c>
      <c r="X742" t="s">
        <v>155</v>
      </c>
      <c r="Y742" t="s">
        <v>155</v>
      </c>
      <c r="AC742" t="s">
        <v>172</v>
      </c>
      <c r="AD742" t="s">
        <v>155</v>
      </c>
      <c r="AE742" t="s">
        <v>155</v>
      </c>
      <c r="AF742" t="s">
        <v>155</v>
      </c>
      <c r="AG742" t="s">
        <v>155</v>
      </c>
      <c r="AH742" t="s">
        <v>155</v>
      </c>
    </row>
    <row r="744" spans="19:34" ht="16.2" customHeight="1" x14ac:dyDescent="0.3">
      <c r="S744" s="15" t="s">
        <v>151</v>
      </c>
      <c r="T744" t="s">
        <v>234</v>
      </c>
      <c r="AB744" s="15" t="s">
        <v>151</v>
      </c>
      <c r="AC744" t="s">
        <v>234</v>
      </c>
    </row>
    <row r="745" spans="19:34" ht="16.2" customHeight="1" x14ac:dyDescent="0.3">
      <c r="U745" t="s">
        <v>164</v>
      </c>
      <c r="V745" t="s">
        <v>165</v>
      </c>
      <c r="W745" t="s">
        <v>166</v>
      </c>
      <c r="X745" t="s">
        <v>167</v>
      </c>
      <c r="Y745" t="s">
        <v>168</v>
      </c>
      <c r="AD745" t="s">
        <v>164</v>
      </c>
      <c r="AE745" t="s">
        <v>165</v>
      </c>
      <c r="AF745" t="s">
        <v>166</v>
      </c>
      <c r="AG745" t="s">
        <v>167</v>
      </c>
      <c r="AH745" t="s">
        <v>168</v>
      </c>
    </row>
    <row r="746" spans="19:34" ht="16.2" customHeight="1" x14ac:dyDescent="0.3">
      <c r="T746" t="s">
        <v>154</v>
      </c>
      <c r="U746" t="s">
        <v>155</v>
      </c>
      <c r="V746" t="s">
        <v>101</v>
      </c>
      <c r="W746" t="s">
        <v>155</v>
      </c>
      <c r="X746" t="s">
        <v>101</v>
      </c>
      <c r="Y746" t="s">
        <v>155</v>
      </c>
      <c r="AC746" t="s">
        <v>154</v>
      </c>
      <c r="AD746" t="s">
        <v>155</v>
      </c>
      <c r="AE746" t="s">
        <v>101</v>
      </c>
      <c r="AF746" t="s">
        <v>155</v>
      </c>
      <c r="AG746" t="s">
        <v>101</v>
      </c>
      <c r="AH746" t="s">
        <v>155</v>
      </c>
    </row>
    <row r="747" spans="19:34" ht="16.2" customHeight="1" x14ac:dyDescent="0.3">
      <c r="T747" t="s">
        <v>156</v>
      </c>
      <c r="U747" t="s">
        <v>155</v>
      </c>
      <c r="V747" t="s">
        <v>101</v>
      </c>
      <c r="W747" t="s">
        <v>155</v>
      </c>
      <c r="X747" t="s">
        <v>101</v>
      </c>
      <c r="Y747" t="s">
        <v>155</v>
      </c>
      <c r="AC747" t="s">
        <v>156</v>
      </c>
      <c r="AD747" t="s">
        <v>155</v>
      </c>
      <c r="AE747" t="s">
        <v>101</v>
      </c>
      <c r="AF747" t="s">
        <v>155</v>
      </c>
      <c r="AG747" t="s">
        <v>101</v>
      </c>
      <c r="AH747" t="s">
        <v>155</v>
      </c>
    </row>
    <row r="748" spans="19:34" ht="16.2" customHeight="1" x14ac:dyDescent="0.3">
      <c r="T748" t="s">
        <v>157</v>
      </c>
      <c r="U748" t="s">
        <v>155</v>
      </c>
      <c r="V748" t="s">
        <v>101</v>
      </c>
      <c r="W748" t="s">
        <v>155</v>
      </c>
      <c r="X748" t="s">
        <v>101</v>
      </c>
      <c r="Y748" t="s">
        <v>155</v>
      </c>
      <c r="AC748" t="s">
        <v>157</v>
      </c>
      <c r="AD748" t="s">
        <v>155</v>
      </c>
      <c r="AE748" t="s">
        <v>101</v>
      </c>
      <c r="AF748" t="s">
        <v>155</v>
      </c>
      <c r="AG748" t="s">
        <v>101</v>
      </c>
      <c r="AH748" t="s">
        <v>155</v>
      </c>
    </row>
    <row r="749" spans="19:34" ht="16.2" customHeight="1" x14ac:dyDescent="0.3">
      <c r="T749" t="s">
        <v>158</v>
      </c>
      <c r="U749" t="s">
        <v>155</v>
      </c>
      <c r="V749" t="s">
        <v>155</v>
      </c>
      <c r="W749" t="s">
        <v>155</v>
      </c>
      <c r="X749" t="s">
        <v>155</v>
      </c>
      <c r="Y749" t="s">
        <v>155</v>
      </c>
      <c r="AC749" t="s">
        <v>158</v>
      </c>
      <c r="AD749" t="s">
        <v>155</v>
      </c>
      <c r="AE749" t="s">
        <v>155</v>
      </c>
      <c r="AF749" t="s">
        <v>155</v>
      </c>
      <c r="AG749" t="s">
        <v>155</v>
      </c>
      <c r="AH749" t="s">
        <v>155</v>
      </c>
    </row>
    <row r="750" spans="19:34" ht="16.2" customHeight="1" x14ac:dyDescent="0.3">
      <c r="T750" t="s">
        <v>159</v>
      </c>
      <c r="U750" t="s">
        <v>155</v>
      </c>
      <c r="V750" t="s">
        <v>155</v>
      </c>
      <c r="W750" t="s">
        <v>155</v>
      </c>
      <c r="X750" t="s">
        <v>155</v>
      </c>
      <c r="Y750" t="s">
        <v>155</v>
      </c>
      <c r="AC750" t="s">
        <v>159</v>
      </c>
      <c r="AD750" t="s">
        <v>155</v>
      </c>
      <c r="AE750" t="s">
        <v>155</v>
      </c>
      <c r="AF750" t="s">
        <v>155</v>
      </c>
      <c r="AG750" t="s">
        <v>155</v>
      </c>
      <c r="AH750" t="s">
        <v>155</v>
      </c>
    </row>
    <row r="751" spans="19:34" ht="16.2" customHeight="1" x14ac:dyDescent="0.3">
      <c r="T751" t="s">
        <v>160</v>
      </c>
      <c r="U751" t="s">
        <v>155</v>
      </c>
      <c r="V751" t="s">
        <v>155</v>
      </c>
      <c r="W751" t="s">
        <v>155</v>
      </c>
      <c r="X751" t="s">
        <v>155</v>
      </c>
      <c r="Y751" t="s">
        <v>155</v>
      </c>
      <c r="AC751" t="s">
        <v>160</v>
      </c>
      <c r="AD751" t="s">
        <v>155</v>
      </c>
      <c r="AE751" t="s">
        <v>155</v>
      </c>
      <c r="AF751" t="s">
        <v>155</v>
      </c>
      <c r="AG751" t="s">
        <v>155</v>
      </c>
      <c r="AH751" t="s">
        <v>155</v>
      </c>
    </row>
    <row r="752" spans="19:34" ht="16.2" customHeight="1" x14ac:dyDescent="0.3">
      <c r="T752" t="s">
        <v>169</v>
      </c>
      <c r="U752" t="s">
        <v>155</v>
      </c>
      <c r="V752" t="s">
        <v>155</v>
      </c>
      <c r="W752" t="s">
        <v>155</v>
      </c>
      <c r="X752" t="s">
        <v>155</v>
      </c>
      <c r="Y752" t="s">
        <v>155</v>
      </c>
      <c r="AC752" t="s">
        <v>169</v>
      </c>
      <c r="AD752" t="s">
        <v>155</v>
      </c>
      <c r="AE752" t="s">
        <v>155</v>
      </c>
      <c r="AF752" t="s">
        <v>155</v>
      </c>
      <c r="AG752" t="s">
        <v>155</v>
      </c>
      <c r="AH752" t="s">
        <v>155</v>
      </c>
    </row>
    <row r="753" spans="19:34" ht="16.2" customHeight="1" x14ac:dyDescent="0.3">
      <c r="T753" t="s">
        <v>170</v>
      </c>
      <c r="U753" t="s">
        <v>155</v>
      </c>
      <c r="V753" t="s">
        <v>155</v>
      </c>
      <c r="W753" t="s">
        <v>155</v>
      </c>
      <c r="X753" t="s">
        <v>155</v>
      </c>
      <c r="Y753" t="s">
        <v>155</v>
      </c>
      <c r="AC753" t="s">
        <v>170</v>
      </c>
      <c r="AD753" t="s">
        <v>155</v>
      </c>
      <c r="AE753" t="s">
        <v>155</v>
      </c>
      <c r="AF753" t="s">
        <v>155</v>
      </c>
      <c r="AG753" t="s">
        <v>155</v>
      </c>
      <c r="AH753" t="s">
        <v>155</v>
      </c>
    </row>
    <row r="754" spans="19:34" ht="16.2" customHeight="1" x14ac:dyDescent="0.3">
      <c r="T754" t="s">
        <v>171</v>
      </c>
      <c r="U754" t="s">
        <v>155</v>
      </c>
      <c r="V754" t="s">
        <v>155</v>
      </c>
      <c r="W754" t="s">
        <v>155</v>
      </c>
      <c r="X754" t="s">
        <v>155</v>
      </c>
      <c r="Y754" t="s">
        <v>155</v>
      </c>
      <c r="AC754" t="s">
        <v>171</v>
      </c>
      <c r="AD754" t="s">
        <v>155</v>
      </c>
      <c r="AE754" t="s">
        <v>155</v>
      </c>
      <c r="AF754" t="s">
        <v>155</v>
      </c>
      <c r="AG754" t="s">
        <v>155</v>
      </c>
      <c r="AH754" t="s">
        <v>155</v>
      </c>
    </row>
    <row r="755" spans="19:34" ht="16.2" customHeight="1" x14ac:dyDescent="0.3">
      <c r="T755" t="s">
        <v>172</v>
      </c>
      <c r="U755" t="s">
        <v>155</v>
      </c>
      <c r="V755" t="s">
        <v>155</v>
      </c>
      <c r="W755" t="s">
        <v>155</v>
      </c>
      <c r="X755" t="s">
        <v>155</v>
      </c>
      <c r="Y755" t="s">
        <v>155</v>
      </c>
      <c r="AC755" t="s">
        <v>172</v>
      </c>
      <c r="AD755" t="s">
        <v>155</v>
      </c>
      <c r="AE755" t="s">
        <v>155</v>
      </c>
      <c r="AF755" t="s">
        <v>155</v>
      </c>
      <c r="AG755" t="s">
        <v>155</v>
      </c>
      <c r="AH755" t="s">
        <v>155</v>
      </c>
    </row>
    <row r="757" spans="19:34" ht="16.2" customHeight="1" x14ac:dyDescent="0.3">
      <c r="S757" s="15" t="s">
        <v>236</v>
      </c>
      <c r="T757" t="s">
        <v>238</v>
      </c>
      <c r="AB757" s="15" t="s">
        <v>236</v>
      </c>
      <c r="AC757" t="s">
        <v>238</v>
      </c>
    </row>
    <row r="758" spans="19:34" ht="16.2" customHeight="1" x14ac:dyDescent="0.3">
      <c r="U758" t="s">
        <v>164</v>
      </c>
      <c r="V758" t="s">
        <v>165</v>
      </c>
      <c r="W758" t="s">
        <v>166</v>
      </c>
      <c r="X758" t="s">
        <v>167</v>
      </c>
      <c r="Y758" t="s">
        <v>168</v>
      </c>
      <c r="AD758" t="s">
        <v>164</v>
      </c>
      <c r="AE758" t="s">
        <v>165</v>
      </c>
      <c r="AF758" t="s">
        <v>166</v>
      </c>
      <c r="AG758" t="s">
        <v>167</v>
      </c>
      <c r="AH758" t="s">
        <v>168</v>
      </c>
    </row>
    <row r="759" spans="19:34" ht="16.2" customHeight="1" x14ac:dyDescent="0.3">
      <c r="T759" t="s">
        <v>154</v>
      </c>
      <c r="U759" t="s">
        <v>155</v>
      </c>
      <c r="V759" t="s">
        <v>155</v>
      </c>
      <c r="W759" t="s">
        <v>155</v>
      </c>
      <c r="X759" t="s">
        <v>155</v>
      </c>
      <c r="Y759" t="s">
        <v>155</v>
      </c>
      <c r="AC759" t="s">
        <v>154</v>
      </c>
      <c r="AD759" t="s">
        <v>155</v>
      </c>
      <c r="AE759" t="s">
        <v>155</v>
      </c>
      <c r="AF759" t="s">
        <v>155</v>
      </c>
      <c r="AG759" t="s">
        <v>155</v>
      </c>
      <c r="AH759" t="s">
        <v>155</v>
      </c>
    </row>
    <row r="760" spans="19:34" ht="16.2" customHeight="1" x14ac:dyDescent="0.3">
      <c r="T760" t="s">
        <v>156</v>
      </c>
      <c r="U760" t="s">
        <v>155</v>
      </c>
      <c r="V760" t="s">
        <v>155</v>
      </c>
      <c r="W760" t="s">
        <v>155</v>
      </c>
      <c r="X760" t="s">
        <v>155</v>
      </c>
      <c r="Y760" t="s">
        <v>155</v>
      </c>
      <c r="AC760" t="s">
        <v>156</v>
      </c>
      <c r="AD760" t="s">
        <v>155</v>
      </c>
      <c r="AE760" t="s">
        <v>155</v>
      </c>
      <c r="AF760" t="s">
        <v>155</v>
      </c>
      <c r="AG760" t="s">
        <v>155</v>
      </c>
      <c r="AH760" t="s">
        <v>155</v>
      </c>
    </row>
    <row r="761" spans="19:34" ht="16.2" customHeight="1" x14ac:dyDescent="0.3">
      <c r="T761" t="s">
        <v>157</v>
      </c>
      <c r="U761" t="s">
        <v>155</v>
      </c>
      <c r="V761" t="s">
        <v>155</v>
      </c>
      <c r="W761" t="s">
        <v>155</v>
      </c>
      <c r="X761" t="s">
        <v>155</v>
      </c>
      <c r="Y761" t="s">
        <v>155</v>
      </c>
      <c r="AC761" t="s">
        <v>157</v>
      </c>
      <c r="AD761" t="s">
        <v>155</v>
      </c>
      <c r="AE761" t="s">
        <v>155</v>
      </c>
      <c r="AF761" t="s">
        <v>155</v>
      </c>
      <c r="AG761" t="s">
        <v>155</v>
      </c>
      <c r="AH761" t="s">
        <v>155</v>
      </c>
    </row>
    <row r="762" spans="19:34" ht="16.2" customHeight="1" x14ac:dyDescent="0.3">
      <c r="T762" t="s">
        <v>158</v>
      </c>
      <c r="U762" t="s">
        <v>155</v>
      </c>
      <c r="V762" t="s">
        <v>153</v>
      </c>
      <c r="W762" t="s">
        <v>155</v>
      </c>
      <c r="X762" t="s">
        <v>153</v>
      </c>
      <c r="Y762" t="s">
        <v>155</v>
      </c>
      <c r="AC762" t="s">
        <v>158</v>
      </c>
      <c r="AD762" t="s">
        <v>155</v>
      </c>
      <c r="AE762" t="s">
        <v>153</v>
      </c>
      <c r="AF762" t="s">
        <v>155</v>
      </c>
      <c r="AG762" t="s">
        <v>153</v>
      </c>
      <c r="AH762" t="s">
        <v>155</v>
      </c>
    </row>
    <row r="763" spans="19:34" ht="16.2" customHeight="1" x14ac:dyDescent="0.3">
      <c r="T763" t="s">
        <v>159</v>
      </c>
      <c r="U763" t="s">
        <v>155</v>
      </c>
      <c r="V763" t="s">
        <v>153</v>
      </c>
      <c r="W763" t="s">
        <v>155</v>
      </c>
      <c r="X763" t="s">
        <v>153</v>
      </c>
      <c r="Y763" t="s">
        <v>155</v>
      </c>
      <c r="AC763" t="s">
        <v>159</v>
      </c>
      <c r="AD763" t="s">
        <v>155</v>
      </c>
      <c r="AE763" t="s">
        <v>153</v>
      </c>
      <c r="AF763" t="s">
        <v>155</v>
      </c>
      <c r="AG763" t="s">
        <v>153</v>
      </c>
      <c r="AH763" t="s">
        <v>155</v>
      </c>
    </row>
    <row r="764" spans="19:34" ht="16.2" customHeight="1" x14ac:dyDescent="0.3">
      <c r="T764" t="s">
        <v>160</v>
      </c>
      <c r="U764" t="s">
        <v>155</v>
      </c>
      <c r="V764" t="s">
        <v>153</v>
      </c>
      <c r="W764" t="s">
        <v>155</v>
      </c>
      <c r="X764" t="s">
        <v>153</v>
      </c>
      <c r="Y764" t="s">
        <v>155</v>
      </c>
      <c r="AC764" t="s">
        <v>160</v>
      </c>
      <c r="AD764" t="s">
        <v>155</v>
      </c>
      <c r="AE764" t="s">
        <v>153</v>
      </c>
      <c r="AF764" t="s">
        <v>155</v>
      </c>
      <c r="AG764" t="s">
        <v>153</v>
      </c>
      <c r="AH764" t="s">
        <v>155</v>
      </c>
    </row>
    <row r="765" spans="19:34" ht="16.2" customHeight="1" x14ac:dyDescent="0.3">
      <c r="T765" t="s">
        <v>169</v>
      </c>
      <c r="U765" t="s">
        <v>155</v>
      </c>
      <c r="V765" t="s">
        <v>155</v>
      </c>
      <c r="W765" t="s">
        <v>155</v>
      </c>
      <c r="X765" t="s">
        <v>155</v>
      </c>
      <c r="Y765" t="s">
        <v>155</v>
      </c>
      <c r="AC765" t="s">
        <v>169</v>
      </c>
      <c r="AD765" t="s">
        <v>155</v>
      </c>
      <c r="AE765" t="s">
        <v>155</v>
      </c>
      <c r="AF765" t="s">
        <v>155</v>
      </c>
      <c r="AG765" t="s">
        <v>155</v>
      </c>
      <c r="AH765" t="s">
        <v>155</v>
      </c>
    </row>
    <row r="766" spans="19:34" ht="16.2" customHeight="1" x14ac:dyDescent="0.3">
      <c r="T766" t="s">
        <v>170</v>
      </c>
      <c r="U766" t="s">
        <v>155</v>
      </c>
      <c r="V766" t="s">
        <v>155</v>
      </c>
      <c r="W766" t="s">
        <v>155</v>
      </c>
      <c r="X766" t="s">
        <v>155</v>
      </c>
      <c r="Y766" t="s">
        <v>155</v>
      </c>
      <c r="AC766" t="s">
        <v>170</v>
      </c>
      <c r="AD766" t="s">
        <v>155</v>
      </c>
      <c r="AE766" t="s">
        <v>155</v>
      </c>
      <c r="AF766" t="s">
        <v>155</v>
      </c>
      <c r="AG766" t="s">
        <v>155</v>
      </c>
      <c r="AH766" t="s">
        <v>155</v>
      </c>
    </row>
    <row r="767" spans="19:34" ht="16.2" customHeight="1" x14ac:dyDescent="0.3">
      <c r="T767" t="s">
        <v>171</v>
      </c>
      <c r="U767" t="s">
        <v>155</v>
      </c>
      <c r="V767" t="s">
        <v>155</v>
      </c>
      <c r="W767" t="s">
        <v>155</v>
      </c>
      <c r="X767" t="s">
        <v>155</v>
      </c>
      <c r="Y767" t="s">
        <v>155</v>
      </c>
      <c r="AC767" t="s">
        <v>171</v>
      </c>
      <c r="AD767" t="s">
        <v>155</v>
      </c>
      <c r="AE767" t="s">
        <v>155</v>
      </c>
      <c r="AF767" t="s">
        <v>155</v>
      </c>
      <c r="AG767" t="s">
        <v>155</v>
      </c>
      <c r="AH767" t="s">
        <v>155</v>
      </c>
    </row>
    <row r="768" spans="19:34" ht="16.2" customHeight="1" x14ac:dyDescent="0.3">
      <c r="T768" t="s">
        <v>172</v>
      </c>
      <c r="U768" t="s">
        <v>155</v>
      </c>
      <c r="V768" t="s">
        <v>155</v>
      </c>
      <c r="W768" t="s">
        <v>155</v>
      </c>
      <c r="X768" t="s">
        <v>155</v>
      </c>
      <c r="Y768" t="s">
        <v>155</v>
      </c>
      <c r="AC768" t="s">
        <v>172</v>
      </c>
      <c r="AD768" t="s">
        <v>155</v>
      </c>
      <c r="AE768" t="s">
        <v>155</v>
      </c>
      <c r="AF768" t="s">
        <v>155</v>
      </c>
      <c r="AG768" t="s">
        <v>155</v>
      </c>
      <c r="AH768" t="s">
        <v>155</v>
      </c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756AFC-55CF-45F8-8D6F-2641C0E41902}">
          <x14:formula1>
            <xm:f>materias!$A$2:$A$2</xm:f>
          </x14:formula1>
          <xm:sqref>F5 H5</xm:sqref>
        </x14:dataValidation>
        <x14:dataValidation type="list" allowBlank="1" showInputMessage="1" showErrorMessage="1" xr:uid="{7A16A3D4-DAC5-470A-81CE-AF394FE32FCB}">
          <x14:formula1>
            <xm:f>materias!$A$2:$A$165</xm:f>
          </x14:formula1>
          <xm:sqref>H2:H4 F2:F4 F6:F107 H6:H107 J2:J107 D2:D107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M31"/>
  <sheetViews>
    <sheetView topLeftCell="A7" workbookViewId="0">
      <selection activeCell="J24" sqref="J24"/>
    </sheetView>
  </sheetViews>
  <sheetFormatPr baseColWidth="10" defaultRowHeight="14.4" x14ac:dyDescent="0.3"/>
  <sheetData>
    <row r="1" spans="1:13" ht="15" thickBot="1" x14ac:dyDescent="0.35">
      <c r="A1" s="2" t="s">
        <v>27</v>
      </c>
      <c r="B1" s="2" t="s">
        <v>3</v>
      </c>
      <c r="C1" s="2" t="s">
        <v>28</v>
      </c>
      <c r="D1" s="2" t="s">
        <v>30</v>
      </c>
      <c r="E1" s="2" t="s">
        <v>29</v>
      </c>
      <c r="F1" s="2" t="s">
        <v>174</v>
      </c>
      <c r="G1" s="2" t="s">
        <v>10</v>
      </c>
      <c r="H1" s="19" t="s">
        <v>246</v>
      </c>
    </row>
    <row r="2" spans="1:13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  <c r="H2">
        <v>45</v>
      </c>
    </row>
    <row r="3" spans="1:13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  <c r="H3">
        <v>45</v>
      </c>
    </row>
    <row r="4" spans="1:13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  <c r="H4">
        <v>45</v>
      </c>
    </row>
    <row r="5" spans="1:13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286</v>
      </c>
      <c r="H5">
        <v>45</v>
      </c>
    </row>
    <row r="6" spans="1:13" ht="15" thickBot="1" x14ac:dyDescent="0.35">
      <c r="A6" s="2" t="str">
        <f t="shared" si="0"/>
        <v>1LIC</v>
      </c>
      <c r="B6" s="2">
        <v>1</v>
      </c>
      <c r="C6" s="2" t="s">
        <v>242</v>
      </c>
      <c r="D6" s="2"/>
      <c r="E6" s="2"/>
      <c r="F6" s="2"/>
      <c r="G6" s="2" t="s">
        <v>301</v>
      </c>
      <c r="H6">
        <v>25</v>
      </c>
    </row>
    <row r="7" spans="1:13" ht="15" thickBot="1" x14ac:dyDescent="0.35">
      <c r="A7" s="2" t="str">
        <f t="shared" si="0"/>
        <v>1REC1</v>
      </c>
      <c r="B7" s="2">
        <v>1</v>
      </c>
      <c r="C7" s="2"/>
      <c r="D7" s="2" t="s">
        <v>444</v>
      </c>
      <c r="E7" s="2">
        <v>1</v>
      </c>
      <c r="F7" s="2"/>
      <c r="G7" s="2" t="s">
        <v>286</v>
      </c>
      <c r="H7">
        <v>35</v>
      </c>
    </row>
    <row r="8" spans="1:13" ht="15" thickBot="1" x14ac:dyDescent="0.35">
      <c r="A8" s="2" t="str">
        <f t="shared" si="0"/>
        <v>1REC2</v>
      </c>
      <c r="B8" s="2">
        <v>1</v>
      </c>
      <c r="C8" s="2"/>
      <c r="D8" s="2" t="s">
        <v>444</v>
      </c>
      <c r="E8" s="2">
        <v>2</v>
      </c>
      <c r="F8" s="2"/>
      <c r="G8" s="2" t="s">
        <v>286</v>
      </c>
      <c r="H8">
        <v>35</v>
      </c>
    </row>
    <row r="9" spans="1:13" ht="15" thickBot="1" x14ac:dyDescent="0.35">
      <c r="A9" s="2" t="str">
        <f>_xlfn.CONCAT(B9:F9)</f>
        <v>2CIV</v>
      </c>
      <c r="B9" s="2">
        <v>2</v>
      </c>
      <c r="C9" s="2" t="s">
        <v>31</v>
      </c>
      <c r="D9" s="2"/>
      <c r="E9" s="2"/>
      <c r="F9" s="2"/>
      <c r="G9" s="2" t="s">
        <v>11</v>
      </c>
      <c r="H9">
        <v>18</v>
      </c>
      <c r="L9" t="s">
        <v>327</v>
      </c>
      <c r="M9" cm="1">
        <f t="array" ref="M9">_xlfn.XLOOKUP(L9,Tabla5[Grupo],$H$2:$H$31,0,0)</f>
        <v>18</v>
      </c>
    </row>
    <row r="10" spans="1:13" ht="15" thickBot="1" x14ac:dyDescent="0.35">
      <c r="A10" s="2" t="str">
        <f>_xlfn.CONCAT(B10:F10)</f>
        <v>2IND</v>
      </c>
      <c r="B10" s="2">
        <v>2</v>
      </c>
      <c r="C10" s="2" t="s">
        <v>32</v>
      </c>
      <c r="D10" s="2"/>
      <c r="E10" s="2"/>
      <c r="F10" s="2"/>
      <c r="G10" s="2" t="s">
        <v>11</v>
      </c>
      <c r="H10">
        <v>26</v>
      </c>
      <c r="L10" t="s">
        <v>328</v>
      </c>
      <c r="M10" cm="1">
        <f t="array" ref="M10">_xlfn.XLOOKUP(L10,Tabla5[Grupo],$H$2:$H$31,0,0)</f>
        <v>26</v>
      </c>
    </row>
    <row r="11" spans="1:13" ht="15" thickBot="1" x14ac:dyDescent="0.35">
      <c r="A11" s="2" t="str">
        <f>_xlfn.CONCAT(B11:F11)</f>
        <v>2INF1</v>
      </c>
      <c r="B11" s="2">
        <v>2</v>
      </c>
      <c r="C11" s="2" t="s">
        <v>34</v>
      </c>
      <c r="D11" s="2"/>
      <c r="E11" s="2">
        <v>1</v>
      </c>
      <c r="F11" s="2"/>
      <c r="G11" s="2" t="s">
        <v>11</v>
      </c>
      <c r="H11">
        <v>34</v>
      </c>
      <c r="I11" s="44" t="s">
        <v>441</v>
      </c>
      <c r="M11">
        <f>SUM(M9:M10)</f>
        <v>44</v>
      </c>
    </row>
    <row r="12" spans="1:13" ht="15" thickBot="1" x14ac:dyDescent="0.35">
      <c r="A12" s="2" t="str">
        <f>_xlfn.CONCAT(B12:F12)</f>
        <v>2INF2</v>
      </c>
      <c r="B12" s="2">
        <v>2</v>
      </c>
      <c r="C12" s="2" t="s">
        <v>34</v>
      </c>
      <c r="D12" s="2"/>
      <c r="E12" s="2">
        <v>2</v>
      </c>
      <c r="F12" s="2"/>
      <c r="G12" s="2" t="s">
        <v>11</v>
      </c>
      <c r="H12">
        <v>34</v>
      </c>
      <c r="I12" s="44" t="s">
        <v>441</v>
      </c>
    </row>
    <row r="13" spans="1:13" ht="15" thickBot="1" x14ac:dyDescent="0.35">
      <c r="A13" s="2" t="str">
        <f>_xlfn.CONCAT(B13:F13)</f>
        <v>2TEL</v>
      </c>
      <c r="B13" s="2">
        <v>2</v>
      </c>
      <c r="C13" s="2" t="s">
        <v>33</v>
      </c>
      <c r="D13" s="2"/>
      <c r="E13" s="2"/>
      <c r="F13" s="2"/>
      <c r="G13" s="2" t="s">
        <v>11</v>
      </c>
      <c r="H13">
        <v>16</v>
      </c>
      <c r="L13" t="s">
        <v>329</v>
      </c>
      <c r="M13" cm="1">
        <f t="array" ref="M13">_xlfn.XLOOKUP(L13,Tabla5[Grupo],$H$2:$H$31,0,0)</f>
        <v>16</v>
      </c>
    </row>
    <row r="14" spans="1:13" ht="15" thickBot="1" x14ac:dyDescent="0.35">
      <c r="A14" s="2" t="str">
        <f t="shared" ref="A14:A25" si="1">_xlfn.CONCAT(B14:F14)</f>
        <v>2LIC</v>
      </c>
      <c r="B14" s="2">
        <v>2</v>
      </c>
      <c r="C14" s="2" t="s">
        <v>242</v>
      </c>
      <c r="D14" s="2"/>
      <c r="E14" s="2"/>
      <c r="F14" s="2"/>
      <c r="G14" s="2" t="s">
        <v>301</v>
      </c>
      <c r="H14">
        <v>26</v>
      </c>
      <c r="L14" t="s">
        <v>331</v>
      </c>
      <c r="M14" cm="1">
        <f t="array" ref="M14">_xlfn.XLOOKUP(L14,Tabla5[Grupo],$H$2:$H$31,0,0)</f>
        <v>34</v>
      </c>
    </row>
    <row r="15" spans="1:13" ht="15" thickBot="1" x14ac:dyDescent="0.35">
      <c r="A15" s="2" t="str">
        <f t="shared" si="1"/>
        <v>3CIV</v>
      </c>
      <c r="B15" s="2">
        <v>3</v>
      </c>
      <c r="C15" s="2" t="s">
        <v>31</v>
      </c>
      <c r="D15" s="2"/>
      <c r="E15" s="2"/>
      <c r="F15" s="2"/>
      <c r="G15" s="2" t="s">
        <v>11</v>
      </c>
      <c r="H15">
        <v>17</v>
      </c>
      <c r="M15">
        <f>SUM(M13:M14)</f>
        <v>50</v>
      </c>
    </row>
    <row r="16" spans="1:13" ht="15" thickBot="1" x14ac:dyDescent="0.35">
      <c r="A16" s="2" t="str">
        <f t="shared" si="1"/>
        <v>3IND</v>
      </c>
      <c r="B16" s="2">
        <v>3</v>
      </c>
      <c r="C16" s="2" t="s">
        <v>32</v>
      </c>
      <c r="D16" s="2"/>
      <c r="E16" s="2"/>
      <c r="F16" s="2"/>
      <c r="G16" s="2" t="s">
        <v>11</v>
      </c>
      <c r="H16">
        <v>32</v>
      </c>
    </row>
    <row r="17" spans="1:13" ht="15" thickBot="1" x14ac:dyDescent="0.35">
      <c r="A17" s="2" t="str">
        <f t="shared" si="1"/>
        <v>3TEL</v>
      </c>
      <c r="B17" s="2">
        <v>3</v>
      </c>
      <c r="C17" s="2" t="s">
        <v>33</v>
      </c>
      <c r="D17" s="2"/>
      <c r="E17" s="2"/>
      <c r="F17" s="2"/>
      <c r="G17" s="2" t="s">
        <v>11</v>
      </c>
      <c r="H17">
        <v>24</v>
      </c>
      <c r="L17" t="s">
        <v>330</v>
      </c>
      <c r="M17" cm="1">
        <f t="array" ref="M17">_xlfn.XLOOKUP(L17,Tabla5[Grupo],$H$2:$H$31,0,0)</f>
        <v>34</v>
      </c>
    </row>
    <row r="18" spans="1:13" ht="15" thickBot="1" x14ac:dyDescent="0.35">
      <c r="A18" s="2" t="str">
        <f t="shared" si="1"/>
        <v>3INF1</v>
      </c>
      <c r="B18" s="2">
        <v>3</v>
      </c>
      <c r="C18" s="2" t="s">
        <v>34</v>
      </c>
      <c r="D18" s="2"/>
      <c r="E18" s="2">
        <v>1</v>
      </c>
      <c r="F18" s="2"/>
      <c r="G18" s="2" t="s">
        <v>11</v>
      </c>
      <c r="H18">
        <v>27</v>
      </c>
    </row>
    <row r="19" spans="1:13" ht="15" thickBot="1" x14ac:dyDescent="0.35">
      <c r="A19" s="2" t="str">
        <f t="shared" si="1"/>
        <v>3INF2</v>
      </c>
      <c r="B19" s="2">
        <v>3</v>
      </c>
      <c r="C19" s="2" t="s">
        <v>34</v>
      </c>
      <c r="D19" s="2"/>
      <c r="E19" s="2">
        <v>2</v>
      </c>
      <c r="F19" s="2"/>
      <c r="G19" s="2" t="s">
        <v>11</v>
      </c>
      <c r="H19">
        <v>26</v>
      </c>
    </row>
    <row r="20" spans="1:13" ht="15" thickBot="1" x14ac:dyDescent="0.35">
      <c r="A20" s="2" t="str">
        <f t="shared" si="1"/>
        <v>3LIC</v>
      </c>
      <c r="B20" s="2">
        <v>3</v>
      </c>
      <c r="C20" s="2" t="s">
        <v>242</v>
      </c>
      <c r="D20" s="2"/>
      <c r="E20" s="2"/>
      <c r="F20" s="2"/>
      <c r="G20" s="2" t="s">
        <v>301</v>
      </c>
      <c r="H20">
        <v>20</v>
      </c>
    </row>
    <row r="21" spans="1:13" ht="15" thickBot="1" x14ac:dyDescent="0.35">
      <c r="A21" s="2" t="str">
        <f t="shared" si="1"/>
        <v>4CIV</v>
      </c>
      <c r="B21" s="2">
        <v>4</v>
      </c>
      <c r="C21" s="2" t="s">
        <v>31</v>
      </c>
      <c r="D21" s="2"/>
      <c r="E21" s="2"/>
      <c r="F21" s="2"/>
      <c r="G21" s="2" t="s">
        <v>296</v>
      </c>
      <c r="H21">
        <v>7</v>
      </c>
    </row>
    <row r="22" spans="1:13" ht="15" thickBot="1" x14ac:dyDescent="0.35">
      <c r="A22" s="2" t="str">
        <f t="shared" si="1"/>
        <v>4IND</v>
      </c>
      <c r="B22" s="2">
        <v>4</v>
      </c>
      <c r="C22" s="2" t="s">
        <v>32</v>
      </c>
      <c r="D22" s="2"/>
      <c r="E22" s="2"/>
      <c r="F22" s="2"/>
      <c r="G22" s="2" t="s">
        <v>296</v>
      </c>
      <c r="H22">
        <v>16</v>
      </c>
    </row>
    <row r="23" spans="1:13" ht="15" thickBot="1" x14ac:dyDescent="0.35">
      <c r="A23" s="2" t="str">
        <f t="shared" si="1"/>
        <v>4TEL</v>
      </c>
      <c r="B23" s="2">
        <v>4</v>
      </c>
      <c r="C23" s="2" t="s">
        <v>33</v>
      </c>
      <c r="D23" s="2"/>
      <c r="E23" s="2"/>
      <c r="F23" s="2"/>
      <c r="G23" s="2" t="s">
        <v>296</v>
      </c>
      <c r="H23">
        <v>8</v>
      </c>
    </row>
    <row r="24" spans="1:13" ht="15" thickBot="1" x14ac:dyDescent="0.35">
      <c r="A24" s="2" t="str">
        <f t="shared" si="1"/>
        <v>4INF1</v>
      </c>
      <c r="B24" s="2">
        <v>4</v>
      </c>
      <c r="C24" s="2" t="s">
        <v>34</v>
      </c>
      <c r="D24" s="2"/>
      <c r="E24" s="2">
        <v>1</v>
      </c>
      <c r="F24" s="2"/>
      <c r="G24" s="2" t="s">
        <v>296</v>
      </c>
      <c r="H24">
        <v>24</v>
      </c>
    </row>
    <row r="25" spans="1:13" ht="15" thickBot="1" x14ac:dyDescent="0.35">
      <c r="A25" s="2" t="str">
        <f t="shared" si="1"/>
        <v>4INF2</v>
      </c>
      <c r="B25" s="2">
        <v>4</v>
      </c>
      <c r="C25" s="2" t="s">
        <v>34</v>
      </c>
      <c r="D25" s="2"/>
      <c r="E25" s="2">
        <v>2</v>
      </c>
      <c r="F25" s="2"/>
      <c r="G25" s="2" t="s">
        <v>296</v>
      </c>
      <c r="H25">
        <v>23</v>
      </c>
    </row>
    <row r="26" spans="1:13" ht="15" thickBot="1" x14ac:dyDescent="0.35">
      <c r="A26" s="2" t="str">
        <f t="shared" ref="A26:A31" si="2">_xlfn.CONCAT(B26:F26)</f>
        <v>4LIC</v>
      </c>
      <c r="B26" s="2">
        <v>4</v>
      </c>
      <c r="C26" s="2" t="s">
        <v>242</v>
      </c>
      <c r="D26" s="2"/>
      <c r="E26" s="2"/>
      <c r="F26" s="2"/>
      <c r="G26" s="2" t="s">
        <v>301</v>
      </c>
      <c r="H26">
        <v>31</v>
      </c>
    </row>
    <row r="27" spans="1:13" ht="15" thickBot="1" x14ac:dyDescent="0.35">
      <c r="A27" s="2" t="str">
        <f t="shared" si="2"/>
        <v>5CIV</v>
      </c>
      <c r="B27" s="2">
        <v>5</v>
      </c>
      <c r="C27" s="2" t="s">
        <v>31</v>
      </c>
      <c r="D27" s="2"/>
      <c r="E27" s="2"/>
      <c r="F27" s="2"/>
      <c r="G27" s="2" t="s">
        <v>296</v>
      </c>
      <c r="H27">
        <v>15</v>
      </c>
    </row>
    <row r="28" spans="1:13" ht="15" thickBot="1" x14ac:dyDescent="0.35">
      <c r="A28" s="2" t="str">
        <f t="shared" si="2"/>
        <v>5IND</v>
      </c>
      <c r="B28" s="2">
        <v>5</v>
      </c>
      <c r="C28" s="2" t="s">
        <v>32</v>
      </c>
      <c r="D28" s="2"/>
      <c r="E28" s="2"/>
      <c r="F28" s="2"/>
      <c r="G28" s="2" t="s">
        <v>296</v>
      </c>
      <c r="H28">
        <v>17</v>
      </c>
    </row>
    <row r="29" spans="1:13" ht="15" thickBot="1" x14ac:dyDescent="0.35">
      <c r="A29" s="2" t="str">
        <f t="shared" si="2"/>
        <v>5TEL</v>
      </c>
      <c r="B29" s="2">
        <v>5</v>
      </c>
      <c r="C29" s="2" t="s">
        <v>33</v>
      </c>
      <c r="D29" s="2"/>
      <c r="E29" s="2"/>
      <c r="F29" s="2"/>
      <c r="G29" s="2" t="s">
        <v>296</v>
      </c>
      <c r="H29">
        <v>14</v>
      </c>
    </row>
    <row r="30" spans="1:13" ht="15" thickBot="1" x14ac:dyDescent="0.35">
      <c r="A30" s="2" t="str">
        <f t="shared" si="2"/>
        <v>5INF</v>
      </c>
      <c r="B30" s="2">
        <v>5</v>
      </c>
      <c r="C30" s="2" t="s">
        <v>34</v>
      </c>
      <c r="D30" s="2"/>
      <c r="E30" s="2"/>
      <c r="F30" s="2"/>
      <c r="G30" s="2" t="s">
        <v>296</v>
      </c>
      <c r="H30">
        <v>21</v>
      </c>
    </row>
    <row r="31" spans="1:13" ht="15" thickBot="1" x14ac:dyDescent="0.35">
      <c r="A31" s="2" t="str">
        <f t="shared" si="2"/>
        <v>dummy</v>
      </c>
      <c r="B31" s="2"/>
      <c r="C31" s="2"/>
      <c r="D31" s="2"/>
      <c r="E31" s="2"/>
      <c r="F31" s="2" t="s">
        <v>173</v>
      </c>
      <c r="G31" s="2"/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9ECF8D-FA42-41B3-9B51-92551C6C85F7}">
          <x14:formula1>
            <xm:f>turnos!$M$2:$M$17</xm:f>
          </x14:formula1>
          <xm:sqref>G31</xm:sqref>
        </x14:dataValidation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topLeftCell="H1" workbookViewId="0">
      <selection activeCell="V6" sqref="V6"/>
    </sheetView>
  </sheetViews>
  <sheetFormatPr baseColWidth="10" defaultRowHeight="14.4" x14ac:dyDescent="0.3"/>
  <cols>
    <col min="1" max="1" width="4.21875" bestFit="1" customWidth="1"/>
    <col min="2" max="2" width="7.33203125" style="32" customWidth="1"/>
    <col min="3" max="3" width="6" style="32" customWidth="1"/>
    <col min="4" max="7" width="9.109375" style="34" customWidth="1"/>
  </cols>
  <sheetData>
    <row r="1" spans="1:21" ht="28.8" x14ac:dyDescent="0.3">
      <c r="A1" s="32" t="s">
        <v>294</v>
      </c>
      <c r="B1" s="32" t="s">
        <v>319</v>
      </c>
      <c r="C1" s="32" t="s">
        <v>320</v>
      </c>
      <c r="D1" s="34" t="s">
        <v>321</v>
      </c>
      <c r="E1" s="34" t="s">
        <v>322</v>
      </c>
      <c r="F1" s="34" t="s">
        <v>323</v>
      </c>
      <c r="G1" s="34" t="s">
        <v>324</v>
      </c>
      <c r="Q1" s="15" t="s">
        <v>294</v>
      </c>
      <c r="R1" t="s">
        <v>11</v>
      </c>
      <c r="S1" t="s">
        <v>286</v>
      </c>
      <c r="T1" t="s">
        <v>296</v>
      </c>
      <c r="U1" t="s">
        <v>301</v>
      </c>
    </row>
    <row r="2" spans="1:21" x14ac:dyDescent="0.3">
      <c r="A2" s="32">
        <v>1</v>
      </c>
      <c r="B2" s="35">
        <v>0.33333333333333331</v>
      </c>
      <c r="C2" s="35">
        <f>B2+(5/6)/24</f>
        <v>0.36805555555555552</v>
      </c>
      <c r="D2" t="s">
        <v>11</v>
      </c>
      <c r="K2" t="s">
        <v>56</v>
      </c>
      <c r="M2" t="s">
        <v>11</v>
      </c>
      <c r="Q2" s="15">
        <v>1</v>
      </c>
      <c r="R2" t="s">
        <v>56</v>
      </c>
    </row>
    <row r="3" spans="1:21" x14ac:dyDescent="0.3">
      <c r="A3" s="32">
        <v>2</v>
      </c>
      <c r="B3" s="35">
        <v>0.36805555555555558</v>
      </c>
      <c r="C3" s="35">
        <f t="shared" ref="C3:C16" si="0">B3+(5/6)/24</f>
        <v>0.40277777777777779</v>
      </c>
      <c r="D3" t="s">
        <v>11</v>
      </c>
      <c r="K3" t="s">
        <v>57</v>
      </c>
      <c r="M3" t="s">
        <v>11</v>
      </c>
      <c r="Q3" s="15">
        <v>2</v>
      </c>
      <c r="R3" t="s">
        <v>57</v>
      </c>
    </row>
    <row r="4" spans="1:21" x14ac:dyDescent="0.3">
      <c r="A4" s="32">
        <v>3</v>
      </c>
      <c r="B4" s="35">
        <v>0.40972222222222221</v>
      </c>
      <c r="C4" s="35">
        <f t="shared" si="0"/>
        <v>0.44444444444444442</v>
      </c>
      <c r="D4" t="s">
        <v>11</v>
      </c>
      <c r="K4" t="s">
        <v>58</v>
      </c>
      <c r="M4" t="s">
        <v>11</v>
      </c>
      <c r="Q4" s="15">
        <v>3</v>
      </c>
      <c r="R4" t="s">
        <v>58</v>
      </c>
    </row>
    <row r="5" spans="1:21" x14ac:dyDescent="0.3">
      <c r="A5" s="32">
        <v>4</v>
      </c>
      <c r="B5" s="35">
        <v>0.44444444444444442</v>
      </c>
      <c r="C5" s="35">
        <f t="shared" si="0"/>
        <v>0.47916666666666663</v>
      </c>
      <c r="D5" t="s">
        <v>11</v>
      </c>
      <c r="K5" t="s">
        <v>59</v>
      </c>
      <c r="M5" t="s">
        <v>11</v>
      </c>
      <c r="Q5" s="15">
        <v>4</v>
      </c>
      <c r="R5" t="s">
        <v>59</v>
      </c>
    </row>
    <row r="6" spans="1:21" x14ac:dyDescent="0.3">
      <c r="A6" s="32">
        <v>5</v>
      </c>
      <c r="B6" s="35">
        <v>0.4861111111111111</v>
      </c>
      <c r="C6" s="35">
        <f t="shared" si="0"/>
        <v>0.52083333333333337</v>
      </c>
      <c r="D6" t="s">
        <v>11</v>
      </c>
      <c r="K6" t="s">
        <v>60</v>
      </c>
      <c r="M6" t="s">
        <v>11</v>
      </c>
      <c r="Q6" s="15">
        <v>5</v>
      </c>
      <c r="R6" t="s">
        <v>60</v>
      </c>
    </row>
    <row r="7" spans="1:21" x14ac:dyDescent="0.3">
      <c r="A7" s="32">
        <v>6</v>
      </c>
      <c r="B7" s="35">
        <v>0.52083333333333337</v>
      </c>
      <c r="C7" s="35">
        <f t="shared" si="0"/>
        <v>0.55555555555555558</v>
      </c>
      <c r="D7" t="s">
        <v>11</v>
      </c>
      <c r="K7" t="s">
        <v>61</v>
      </c>
      <c r="M7" t="s">
        <v>11</v>
      </c>
      <c r="Q7" s="15">
        <v>6</v>
      </c>
      <c r="R7" t="s">
        <v>61</v>
      </c>
    </row>
    <row r="8" spans="1:21" x14ac:dyDescent="0.3">
      <c r="A8" s="32">
        <v>7</v>
      </c>
      <c r="B8" s="35">
        <v>0.59027777777777779</v>
      </c>
      <c r="C8" s="35">
        <f t="shared" si="0"/>
        <v>0.625</v>
      </c>
      <c r="E8" t="s">
        <v>286</v>
      </c>
      <c r="K8" s="33" t="s">
        <v>295</v>
      </c>
      <c r="M8" t="s">
        <v>11</v>
      </c>
      <c r="N8" t="s">
        <v>286</v>
      </c>
      <c r="R8" s="33" t="s">
        <v>295</v>
      </c>
      <c r="S8" s="33" t="s">
        <v>285</v>
      </c>
    </row>
    <row r="9" spans="1:21" x14ac:dyDescent="0.3">
      <c r="A9" s="32">
        <v>8</v>
      </c>
      <c r="B9" s="35">
        <v>0.63194444444444442</v>
      </c>
      <c r="C9" s="35">
        <f t="shared" si="0"/>
        <v>0.66666666666666663</v>
      </c>
      <c r="E9" t="s">
        <v>286</v>
      </c>
      <c r="F9" t="s">
        <v>296</v>
      </c>
      <c r="K9" t="s">
        <v>309</v>
      </c>
      <c r="N9" t="s">
        <v>286</v>
      </c>
      <c r="Q9" s="15">
        <v>7</v>
      </c>
      <c r="S9" t="s">
        <v>289</v>
      </c>
    </row>
    <row r="10" spans="1:21" x14ac:dyDescent="0.3">
      <c r="A10" s="32">
        <v>9</v>
      </c>
      <c r="B10" s="35">
        <v>0.67361111111111116</v>
      </c>
      <c r="C10" s="35">
        <f t="shared" si="0"/>
        <v>0.70833333333333337</v>
      </c>
      <c r="E10" t="s">
        <v>286</v>
      </c>
      <c r="F10" t="s">
        <v>296</v>
      </c>
      <c r="K10" t="s">
        <v>297</v>
      </c>
      <c r="N10" t="s">
        <v>286</v>
      </c>
      <c r="O10" t="s">
        <v>296</v>
      </c>
      <c r="Q10" s="15">
        <v>8</v>
      </c>
      <c r="S10" t="s">
        <v>292</v>
      </c>
      <c r="T10" t="s">
        <v>297</v>
      </c>
    </row>
    <row r="11" spans="1:21" x14ac:dyDescent="0.3">
      <c r="A11" s="32">
        <v>10</v>
      </c>
      <c r="B11" s="35">
        <v>0.70833333333333337</v>
      </c>
      <c r="C11" s="35">
        <f t="shared" si="0"/>
        <v>0.74305555555555558</v>
      </c>
      <c r="E11" t="s">
        <v>286</v>
      </c>
      <c r="F11" t="s">
        <v>296</v>
      </c>
      <c r="K11" t="s">
        <v>298</v>
      </c>
      <c r="N11" t="s">
        <v>286</v>
      </c>
      <c r="O11" t="s">
        <v>296</v>
      </c>
      <c r="Q11" s="15">
        <v>9</v>
      </c>
      <c r="S11" t="s">
        <v>287</v>
      </c>
      <c r="T11" t="s">
        <v>298</v>
      </c>
    </row>
    <row r="12" spans="1:21" x14ac:dyDescent="0.3">
      <c r="A12" s="32">
        <v>11</v>
      </c>
      <c r="B12" s="35">
        <v>0.75</v>
      </c>
      <c r="C12" s="35">
        <f t="shared" si="0"/>
        <v>0.78472222222222221</v>
      </c>
      <c r="E12" t="s">
        <v>286</v>
      </c>
      <c r="F12" t="s">
        <v>296</v>
      </c>
      <c r="G12" t="s">
        <v>301</v>
      </c>
      <c r="K12" t="s">
        <v>299</v>
      </c>
      <c r="N12" t="s">
        <v>286</v>
      </c>
      <c r="O12" t="s">
        <v>296</v>
      </c>
      <c r="Q12" s="15">
        <v>10</v>
      </c>
      <c r="S12" t="s">
        <v>291</v>
      </c>
      <c r="T12" t="s">
        <v>299</v>
      </c>
    </row>
    <row r="13" spans="1:21" x14ac:dyDescent="0.3">
      <c r="A13" s="32">
        <v>12</v>
      </c>
      <c r="B13" s="35">
        <v>0.78472222222222221</v>
      </c>
      <c r="C13" s="35">
        <f t="shared" si="0"/>
        <v>0.81944444444444442</v>
      </c>
      <c r="E13" t="s">
        <v>286</v>
      </c>
      <c r="F13" t="s">
        <v>296</v>
      </c>
      <c r="G13" t="s">
        <v>301</v>
      </c>
      <c r="K13" t="s">
        <v>300</v>
      </c>
      <c r="N13" t="s">
        <v>286</v>
      </c>
      <c r="O13" t="s">
        <v>296</v>
      </c>
      <c r="Q13" s="15">
        <v>11</v>
      </c>
      <c r="S13" t="s">
        <v>288</v>
      </c>
      <c r="T13" t="s">
        <v>300</v>
      </c>
      <c r="U13" t="s">
        <v>300</v>
      </c>
    </row>
    <row r="14" spans="1:21" x14ac:dyDescent="0.3">
      <c r="A14" s="32">
        <v>13</v>
      </c>
      <c r="B14" s="35">
        <v>0.82638888888888884</v>
      </c>
      <c r="C14" s="35">
        <f t="shared" si="0"/>
        <v>0.86111111111111105</v>
      </c>
      <c r="F14" t="s">
        <v>296</v>
      </c>
      <c r="G14" t="s">
        <v>301</v>
      </c>
      <c r="K14" t="s">
        <v>302</v>
      </c>
      <c r="N14" t="s">
        <v>286</v>
      </c>
      <c r="O14" t="s">
        <v>296</v>
      </c>
      <c r="Q14" s="15">
        <v>12</v>
      </c>
      <c r="S14" t="s">
        <v>290</v>
      </c>
      <c r="T14" t="s">
        <v>302</v>
      </c>
      <c r="U14" t="s">
        <v>302</v>
      </c>
    </row>
    <row r="15" spans="1:21" x14ac:dyDescent="0.3">
      <c r="A15" s="32">
        <v>14</v>
      </c>
      <c r="B15" s="35">
        <v>0.86111111111111116</v>
      </c>
      <c r="C15" s="35">
        <f t="shared" si="0"/>
        <v>0.89583333333333337</v>
      </c>
      <c r="F15" t="s">
        <v>296</v>
      </c>
      <c r="G15" t="s">
        <v>301</v>
      </c>
      <c r="K15" t="s">
        <v>293</v>
      </c>
      <c r="O15" t="s">
        <v>296</v>
      </c>
      <c r="Q15" s="15">
        <v>13</v>
      </c>
      <c r="T15" t="s">
        <v>293</v>
      </c>
      <c r="U15" t="s">
        <v>293</v>
      </c>
    </row>
    <row r="16" spans="1:21" x14ac:dyDescent="0.3">
      <c r="A16" s="32">
        <v>15</v>
      </c>
      <c r="B16" s="35">
        <v>0.90277777777777779</v>
      </c>
      <c r="C16" s="35">
        <f t="shared" si="0"/>
        <v>0.9375</v>
      </c>
      <c r="G16" t="s">
        <v>301</v>
      </c>
      <c r="K16" t="s">
        <v>303</v>
      </c>
      <c r="O16" t="s">
        <v>296</v>
      </c>
      <c r="Q16" s="15">
        <v>14</v>
      </c>
      <c r="T16" t="s">
        <v>303</v>
      </c>
      <c r="U16" t="s">
        <v>303</v>
      </c>
    </row>
    <row r="17" spans="11:21" x14ac:dyDescent="0.3">
      <c r="K17" t="s">
        <v>304</v>
      </c>
      <c r="Q17" s="15">
        <v>15</v>
      </c>
      <c r="U17" t="s">
        <v>304</v>
      </c>
    </row>
    <row r="18" spans="11:21" x14ac:dyDescent="0.3">
      <c r="R18" t="s">
        <v>305</v>
      </c>
      <c r="S18" t="s">
        <v>307</v>
      </c>
      <c r="T18" t="s">
        <v>306</v>
      </c>
      <c r="U18" t="s">
        <v>308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2:O1191"/>
  <sheetViews>
    <sheetView tabSelected="1" zoomScale="91" zoomScaleNormal="70" workbookViewId="0">
      <selection activeCell="J5" sqref="J5"/>
    </sheetView>
  </sheetViews>
  <sheetFormatPr baseColWidth="10" defaultColWidth="17.21875" defaultRowHeight="14.4" x14ac:dyDescent="0.3"/>
  <cols>
    <col min="2" max="2" width="17.21875" style="15"/>
    <col min="3" max="7" width="15.44140625" style="17" customWidth="1"/>
    <col min="8" max="8" width="17.21875" style="17"/>
    <col min="9" max="9" width="12.21875" style="18" customWidth="1"/>
    <col min="10" max="10" width="13.21875" customWidth="1"/>
    <col min="11" max="15" width="9.44140625" style="17" customWidth="1"/>
  </cols>
  <sheetData>
    <row r="2" spans="2:15" x14ac:dyDescent="0.3">
      <c r="B2" s="79" t="s">
        <v>657</v>
      </c>
    </row>
    <row r="3" spans="2:15" x14ac:dyDescent="0.3">
      <c r="B3" s="32" t="s">
        <v>603</v>
      </c>
    </row>
    <row r="4" spans="2:15" x14ac:dyDescent="0.3">
      <c r="B4" s="78" t="s">
        <v>547</v>
      </c>
    </row>
    <row r="5" spans="2:15" x14ac:dyDescent="0.3">
      <c r="J5" t="s">
        <v>713</v>
      </c>
    </row>
    <row r="6" spans="2:15" x14ac:dyDescent="0.3">
      <c r="B6" s="15" t="s">
        <v>548</v>
      </c>
      <c r="K6" s="17" t="s">
        <v>164</v>
      </c>
      <c r="L6" s="17" t="s">
        <v>165</v>
      </c>
      <c r="M6" s="17" t="s">
        <v>166</v>
      </c>
      <c r="N6" s="17" t="s">
        <v>167</v>
      </c>
      <c r="O6" s="17" t="s">
        <v>168</v>
      </c>
    </row>
    <row r="7" spans="2:15" x14ac:dyDescent="0.3">
      <c r="C7" s="17" t="s">
        <v>164</v>
      </c>
      <c r="D7" s="17" t="s">
        <v>165</v>
      </c>
      <c r="E7" s="17" t="s">
        <v>166</v>
      </c>
      <c r="F7" s="17" t="s">
        <v>167</v>
      </c>
      <c r="G7" s="17" t="s">
        <v>168</v>
      </c>
      <c r="J7" t="s">
        <v>555</v>
      </c>
      <c r="K7" s="17" t="s">
        <v>155</v>
      </c>
      <c r="L7" s="17" t="s">
        <v>155</v>
      </c>
      <c r="M7" s="17" t="s">
        <v>155</v>
      </c>
      <c r="N7" s="17" t="s">
        <v>155</v>
      </c>
      <c r="O7" s="17" t="s">
        <v>155</v>
      </c>
    </row>
    <row r="8" spans="2:15" x14ac:dyDescent="0.3">
      <c r="B8" s="15" t="s">
        <v>549</v>
      </c>
      <c r="C8" s="17" t="s">
        <v>576</v>
      </c>
      <c r="D8" s="17" t="s">
        <v>577</v>
      </c>
      <c r="E8" s="17" t="s">
        <v>578</v>
      </c>
      <c r="F8" s="17" t="s">
        <v>577</v>
      </c>
      <c r="G8" s="17" t="s">
        <v>578</v>
      </c>
      <c r="J8" t="s">
        <v>556</v>
      </c>
      <c r="K8" s="17" t="s">
        <v>155</v>
      </c>
      <c r="L8" s="17" t="s">
        <v>155</v>
      </c>
      <c r="M8" s="17" t="s">
        <v>155</v>
      </c>
      <c r="N8" s="17" t="s">
        <v>155</v>
      </c>
      <c r="O8" s="17" t="s">
        <v>155</v>
      </c>
    </row>
    <row r="9" spans="2:15" x14ac:dyDescent="0.3">
      <c r="B9" s="15" t="s">
        <v>550</v>
      </c>
      <c r="C9" s="17" t="s">
        <v>576</v>
      </c>
      <c r="D9" s="17" t="s">
        <v>577</v>
      </c>
      <c r="E9" s="17" t="s">
        <v>578</v>
      </c>
      <c r="F9" s="17" t="s">
        <v>577</v>
      </c>
      <c r="G9" s="17" t="s">
        <v>578</v>
      </c>
      <c r="J9" t="s">
        <v>557</v>
      </c>
      <c r="K9" s="17" t="s">
        <v>155</v>
      </c>
      <c r="L9" s="17" t="s">
        <v>155</v>
      </c>
      <c r="M9" s="17" t="s">
        <v>155</v>
      </c>
      <c r="N9" s="17" t="s">
        <v>155</v>
      </c>
      <c r="O9" s="17" t="s">
        <v>6</v>
      </c>
    </row>
    <row r="10" spans="2:15" x14ac:dyDescent="0.3">
      <c r="B10" s="15" t="s">
        <v>551</v>
      </c>
      <c r="C10" s="17" t="s">
        <v>576</v>
      </c>
      <c r="D10" s="17" t="s">
        <v>579</v>
      </c>
      <c r="E10" s="17" t="s">
        <v>578</v>
      </c>
      <c r="F10" s="17" t="s">
        <v>580</v>
      </c>
      <c r="G10" s="17" t="s">
        <v>578</v>
      </c>
      <c r="J10" t="s">
        <v>158</v>
      </c>
      <c r="K10" s="17" t="s">
        <v>155</v>
      </c>
      <c r="L10" s="17" t="s">
        <v>155</v>
      </c>
      <c r="M10" s="17" t="s">
        <v>6</v>
      </c>
      <c r="N10" s="17" t="s">
        <v>155</v>
      </c>
      <c r="O10" s="17" t="s">
        <v>6</v>
      </c>
    </row>
    <row r="11" spans="2:15" x14ac:dyDescent="0.3">
      <c r="B11" s="15" t="s">
        <v>552</v>
      </c>
      <c r="C11" s="17" t="s">
        <v>580</v>
      </c>
      <c r="D11" s="17" t="s">
        <v>579</v>
      </c>
      <c r="E11" s="17" t="s">
        <v>576</v>
      </c>
      <c r="F11" s="17" t="s">
        <v>580</v>
      </c>
      <c r="G11" s="17" t="s">
        <v>155</v>
      </c>
      <c r="J11" t="s">
        <v>159</v>
      </c>
      <c r="K11" s="17" t="s">
        <v>155</v>
      </c>
      <c r="L11" s="17" t="s">
        <v>155</v>
      </c>
      <c r="M11" s="17" t="s">
        <v>6</v>
      </c>
      <c r="N11" s="17" t="s">
        <v>155</v>
      </c>
      <c r="O11" s="17" t="s">
        <v>155</v>
      </c>
    </row>
    <row r="12" spans="2:15" x14ac:dyDescent="0.3">
      <c r="B12" s="15" t="s">
        <v>553</v>
      </c>
      <c r="C12" s="17" t="s">
        <v>580</v>
      </c>
      <c r="D12" s="17" t="s">
        <v>155</v>
      </c>
      <c r="E12" s="17" t="s">
        <v>576</v>
      </c>
      <c r="F12" s="17" t="s">
        <v>155</v>
      </c>
      <c r="G12" s="17" t="s">
        <v>155</v>
      </c>
      <c r="J12" t="s">
        <v>160</v>
      </c>
      <c r="K12" s="17" t="s">
        <v>155</v>
      </c>
      <c r="L12" s="17" t="s">
        <v>155</v>
      </c>
      <c r="M12" s="17" t="s">
        <v>6</v>
      </c>
      <c r="N12" s="17" t="s">
        <v>155</v>
      </c>
      <c r="O12" s="17" t="s">
        <v>155</v>
      </c>
    </row>
    <row r="13" spans="2:15" x14ac:dyDescent="0.3">
      <c r="J13" t="s">
        <v>561</v>
      </c>
      <c r="K13" s="17" t="s">
        <v>155</v>
      </c>
      <c r="L13" s="17" t="s">
        <v>155</v>
      </c>
      <c r="M13" s="17" t="s">
        <v>155</v>
      </c>
      <c r="N13" s="17" t="s">
        <v>155</v>
      </c>
      <c r="O13" s="17" t="s">
        <v>155</v>
      </c>
    </row>
    <row r="14" spans="2:15" x14ac:dyDescent="0.3">
      <c r="B14" s="15" t="s">
        <v>554</v>
      </c>
      <c r="J14" t="s">
        <v>562</v>
      </c>
      <c r="K14" s="17" t="s">
        <v>155</v>
      </c>
      <c r="L14" s="17" t="s">
        <v>155</v>
      </c>
      <c r="M14" s="17" t="s">
        <v>155</v>
      </c>
      <c r="N14" s="17" t="s">
        <v>155</v>
      </c>
      <c r="O14" s="17" t="s">
        <v>155</v>
      </c>
    </row>
    <row r="15" spans="2:15" x14ac:dyDescent="0.3">
      <c r="C15" s="17" t="s">
        <v>164</v>
      </c>
      <c r="D15" s="17" t="s">
        <v>165</v>
      </c>
      <c r="E15" s="17" t="s">
        <v>166</v>
      </c>
      <c r="F15" s="17" t="s">
        <v>167</v>
      </c>
      <c r="G15" s="17" t="s">
        <v>168</v>
      </c>
      <c r="J15" t="s">
        <v>563</v>
      </c>
      <c r="K15" s="17" t="s">
        <v>155</v>
      </c>
      <c r="L15" s="17" t="s">
        <v>155</v>
      </c>
      <c r="M15" s="17" t="s">
        <v>155</v>
      </c>
      <c r="N15" s="17" t="s">
        <v>155</v>
      </c>
      <c r="O15" s="17" t="s">
        <v>155</v>
      </c>
    </row>
    <row r="16" spans="2:15" x14ac:dyDescent="0.3">
      <c r="B16" s="15" t="s">
        <v>555</v>
      </c>
      <c r="C16" s="17" t="s">
        <v>155</v>
      </c>
      <c r="D16" s="17" t="s">
        <v>581</v>
      </c>
      <c r="E16" s="17" t="s">
        <v>155</v>
      </c>
      <c r="F16" s="17" t="s">
        <v>155</v>
      </c>
      <c r="G16" s="17" t="s">
        <v>587</v>
      </c>
      <c r="J16" t="s">
        <v>564</v>
      </c>
      <c r="K16" s="17" t="s">
        <v>155</v>
      </c>
      <c r="L16" s="17" t="s">
        <v>155</v>
      </c>
      <c r="M16" s="17" t="s">
        <v>155</v>
      </c>
      <c r="N16" s="17" t="s">
        <v>155</v>
      </c>
      <c r="O16" s="17" t="s">
        <v>155</v>
      </c>
    </row>
    <row r="17" spans="2:15" x14ac:dyDescent="0.3">
      <c r="B17" s="15" t="s">
        <v>556</v>
      </c>
      <c r="C17" s="17" t="s">
        <v>155</v>
      </c>
      <c r="D17" s="17" t="s">
        <v>581</v>
      </c>
      <c r="E17" s="17" t="s">
        <v>583</v>
      </c>
      <c r="F17" s="17" t="s">
        <v>155</v>
      </c>
      <c r="G17" s="17" t="s">
        <v>587</v>
      </c>
      <c r="J17" t="s">
        <v>549</v>
      </c>
      <c r="K17" s="17" t="s">
        <v>155</v>
      </c>
      <c r="L17" s="17" t="s">
        <v>155</v>
      </c>
      <c r="M17" s="17" t="s">
        <v>243</v>
      </c>
      <c r="N17" s="17" t="s">
        <v>155</v>
      </c>
      <c r="O17" s="17" t="s">
        <v>243</v>
      </c>
    </row>
    <row r="18" spans="2:15" x14ac:dyDescent="0.3">
      <c r="B18" s="15" t="s">
        <v>557</v>
      </c>
      <c r="C18" s="17" t="s">
        <v>584</v>
      </c>
      <c r="D18" s="17" t="s">
        <v>581</v>
      </c>
      <c r="E18" s="17" t="s">
        <v>583</v>
      </c>
      <c r="F18" s="17" t="s">
        <v>584</v>
      </c>
      <c r="G18" s="17" t="s">
        <v>585</v>
      </c>
      <c r="J18" t="s">
        <v>550</v>
      </c>
      <c r="K18" s="17" t="s">
        <v>155</v>
      </c>
      <c r="L18" s="17" t="s">
        <v>155</v>
      </c>
      <c r="M18" s="17" t="s">
        <v>243</v>
      </c>
      <c r="N18" s="17" t="s">
        <v>155</v>
      </c>
      <c r="O18" s="17" t="s">
        <v>243</v>
      </c>
    </row>
    <row r="19" spans="2:15" x14ac:dyDescent="0.3">
      <c r="B19" s="15" t="s">
        <v>158</v>
      </c>
      <c r="C19" s="17" t="s">
        <v>584</v>
      </c>
      <c r="D19" s="17" t="s">
        <v>586</v>
      </c>
      <c r="E19" s="17" t="s">
        <v>707</v>
      </c>
      <c r="F19" s="17" t="s">
        <v>584</v>
      </c>
      <c r="G19" s="17" t="s">
        <v>585</v>
      </c>
      <c r="J19" t="s">
        <v>551</v>
      </c>
      <c r="K19" s="17" t="s">
        <v>155</v>
      </c>
      <c r="L19" s="17" t="s">
        <v>155</v>
      </c>
      <c r="M19" s="17" t="s">
        <v>243</v>
      </c>
      <c r="N19" s="17" t="s">
        <v>155</v>
      </c>
      <c r="O19" s="17" t="s">
        <v>243</v>
      </c>
    </row>
    <row r="20" spans="2:15" x14ac:dyDescent="0.3">
      <c r="B20" s="15" t="s">
        <v>159</v>
      </c>
      <c r="C20" s="17" t="s">
        <v>584</v>
      </c>
      <c r="D20" s="17" t="s">
        <v>586</v>
      </c>
      <c r="E20" s="17" t="s">
        <v>707</v>
      </c>
      <c r="F20" s="17" t="s">
        <v>586</v>
      </c>
      <c r="G20" s="17" t="s">
        <v>707</v>
      </c>
      <c r="J20" t="s">
        <v>552</v>
      </c>
      <c r="K20" s="17" t="s">
        <v>155</v>
      </c>
      <c r="L20" s="17" t="s">
        <v>155</v>
      </c>
      <c r="M20" s="17" t="s">
        <v>155</v>
      </c>
      <c r="N20" s="17" t="s">
        <v>155</v>
      </c>
      <c r="O20" s="17" t="s">
        <v>155</v>
      </c>
    </row>
    <row r="21" spans="2:15" x14ac:dyDescent="0.3">
      <c r="B21" s="15" t="s">
        <v>160</v>
      </c>
      <c r="C21" s="17" t="s">
        <v>155</v>
      </c>
      <c r="D21" s="17" t="s">
        <v>586</v>
      </c>
      <c r="E21" s="17" t="s">
        <v>707</v>
      </c>
      <c r="F21" s="17" t="s">
        <v>586</v>
      </c>
      <c r="G21" s="17" t="s">
        <v>707</v>
      </c>
      <c r="J21" t="s">
        <v>553</v>
      </c>
      <c r="K21" s="17" t="s">
        <v>155</v>
      </c>
      <c r="L21" s="17" t="s">
        <v>155</v>
      </c>
      <c r="M21" s="17" t="s">
        <v>155</v>
      </c>
      <c r="N21" s="17" t="s">
        <v>155</v>
      </c>
      <c r="O21" s="17" t="s">
        <v>155</v>
      </c>
    </row>
    <row r="23" spans="2:15" x14ac:dyDescent="0.3">
      <c r="B23" s="15" t="s">
        <v>558</v>
      </c>
      <c r="J23" t="s">
        <v>714</v>
      </c>
    </row>
    <row r="24" spans="2:15" x14ac:dyDescent="0.3">
      <c r="C24" s="17" t="s">
        <v>164</v>
      </c>
      <c r="D24" s="17" t="s">
        <v>165</v>
      </c>
      <c r="E24" s="17" t="s">
        <v>166</v>
      </c>
      <c r="F24" s="17" t="s">
        <v>167</v>
      </c>
      <c r="G24" s="17" t="s">
        <v>168</v>
      </c>
      <c r="K24" s="17" t="s">
        <v>164</v>
      </c>
      <c r="L24" s="17" t="s">
        <v>165</v>
      </c>
      <c r="M24" s="17" t="s">
        <v>166</v>
      </c>
      <c r="N24" s="17" t="s">
        <v>167</v>
      </c>
      <c r="O24" s="17" t="s">
        <v>168</v>
      </c>
    </row>
    <row r="25" spans="2:15" x14ac:dyDescent="0.3">
      <c r="B25" s="15" t="s">
        <v>555</v>
      </c>
      <c r="C25" s="17" t="s">
        <v>582</v>
      </c>
      <c r="D25" s="17" t="s">
        <v>155</v>
      </c>
      <c r="E25" s="17" t="s">
        <v>155</v>
      </c>
      <c r="F25" s="17" t="s">
        <v>582</v>
      </c>
      <c r="G25" s="17" t="s">
        <v>155</v>
      </c>
      <c r="J25" t="s">
        <v>555</v>
      </c>
      <c r="K25" s="17" t="s">
        <v>155</v>
      </c>
      <c r="L25" s="17" t="s">
        <v>155</v>
      </c>
      <c r="M25" s="17" t="s">
        <v>155</v>
      </c>
      <c r="N25" s="17" t="s">
        <v>155</v>
      </c>
      <c r="O25" s="17" t="s">
        <v>155</v>
      </c>
    </row>
    <row r="26" spans="2:15" x14ac:dyDescent="0.3">
      <c r="B26" s="15" t="s">
        <v>556</v>
      </c>
      <c r="C26" s="17" t="s">
        <v>582</v>
      </c>
      <c r="D26" s="17" t="s">
        <v>583</v>
      </c>
      <c r="E26" s="17" t="s">
        <v>155</v>
      </c>
      <c r="F26" s="17" t="s">
        <v>582</v>
      </c>
      <c r="G26" s="17" t="s">
        <v>155</v>
      </c>
      <c r="J26" t="s">
        <v>556</v>
      </c>
      <c r="K26" s="17" t="s">
        <v>155</v>
      </c>
      <c r="L26" s="17" t="s">
        <v>155</v>
      </c>
      <c r="M26" s="17" t="s">
        <v>155</v>
      </c>
      <c r="N26" s="17" t="s">
        <v>155</v>
      </c>
      <c r="O26" s="17" t="s">
        <v>155</v>
      </c>
    </row>
    <row r="27" spans="2:15" x14ac:dyDescent="0.3">
      <c r="B27" s="15" t="s">
        <v>557</v>
      </c>
      <c r="C27" s="17" t="s">
        <v>582</v>
      </c>
      <c r="D27" s="17" t="s">
        <v>583</v>
      </c>
      <c r="E27" s="17" t="s">
        <v>155</v>
      </c>
      <c r="F27" s="17" t="s">
        <v>589</v>
      </c>
      <c r="G27" s="17" t="s">
        <v>588</v>
      </c>
      <c r="J27" t="s">
        <v>557</v>
      </c>
      <c r="K27" s="17" t="s">
        <v>155</v>
      </c>
      <c r="L27" s="17" t="s">
        <v>155</v>
      </c>
      <c r="M27" s="17" t="s">
        <v>155</v>
      </c>
      <c r="N27" s="17" t="s">
        <v>155</v>
      </c>
      <c r="O27" s="17" t="s">
        <v>155</v>
      </c>
    </row>
    <row r="28" spans="2:15" x14ac:dyDescent="0.3">
      <c r="B28" s="15" t="s">
        <v>158</v>
      </c>
      <c r="C28" s="17" t="s">
        <v>581</v>
      </c>
      <c r="D28" s="17" t="s">
        <v>589</v>
      </c>
      <c r="E28" s="17" t="s">
        <v>588</v>
      </c>
      <c r="F28" s="17" t="s">
        <v>589</v>
      </c>
      <c r="G28" s="17" t="s">
        <v>588</v>
      </c>
      <c r="J28" t="s">
        <v>158</v>
      </c>
      <c r="K28" s="17" t="s">
        <v>155</v>
      </c>
      <c r="L28" s="17" t="s">
        <v>155</v>
      </c>
      <c r="M28" s="17" t="s">
        <v>155</v>
      </c>
      <c r="N28" s="17" t="s">
        <v>155</v>
      </c>
      <c r="O28" s="17" t="s">
        <v>155</v>
      </c>
    </row>
    <row r="29" spans="2:15" x14ac:dyDescent="0.3">
      <c r="B29" s="15" t="s">
        <v>159</v>
      </c>
      <c r="C29" s="17" t="s">
        <v>581</v>
      </c>
      <c r="D29" s="17" t="s">
        <v>589</v>
      </c>
      <c r="E29" s="17" t="s">
        <v>588</v>
      </c>
      <c r="F29" s="17" t="s">
        <v>587</v>
      </c>
      <c r="G29" s="17" t="s">
        <v>585</v>
      </c>
      <c r="J29" t="s">
        <v>159</v>
      </c>
      <c r="K29" s="17" t="s">
        <v>155</v>
      </c>
      <c r="L29" s="17" t="s">
        <v>155</v>
      </c>
      <c r="M29" s="17" t="s">
        <v>155</v>
      </c>
      <c r="N29" s="17" t="s">
        <v>155</v>
      </c>
      <c r="O29" s="17" t="s">
        <v>155</v>
      </c>
    </row>
    <row r="30" spans="2:15" x14ac:dyDescent="0.3">
      <c r="B30" s="15" t="s">
        <v>160</v>
      </c>
      <c r="C30" s="17" t="s">
        <v>581</v>
      </c>
      <c r="D30" s="17" t="s">
        <v>589</v>
      </c>
      <c r="E30" s="17" t="s">
        <v>588</v>
      </c>
      <c r="F30" s="17" t="s">
        <v>587</v>
      </c>
      <c r="G30" s="17" t="s">
        <v>585</v>
      </c>
      <c r="J30" t="s">
        <v>160</v>
      </c>
      <c r="K30" s="17" t="s">
        <v>155</v>
      </c>
      <c r="L30" s="17" t="s">
        <v>155</v>
      </c>
      <c r="M30" s="17" t="s">
        <v>155</v>
      </c>
      <c r="N30" s="17" t="s">
        <v>155</v>
      </c>
      <c r="O30" s="17" t="s">
        <v>155</v>
      </c>
    </row>
    <row r="31" spans="2:15" x14ac:dyDescent="0.3">
      <c r="J31" t="s">
        <v>561</v>
      </c>
      <c r="K31" s="17" t="s">
        <v>155</v>
      </c>
      <c r="L31" s="17" t="s">
        <v>155</v>
      </c>
      <c r="M31" s="17" t="s">
        <v>155</v>
      </c>
      <c r="N31" s="17" t="s">
        <v>155</v>
      </c>
      <c r="O31" s="17" t="s">
        <v>155</v>
      </c>
    </row>
    <row r="32" spans="2:15" x14ac:dyDescent="0.3">
      <c r="B32" s="15" t="s">
        <v>559</v>
      </c>
      <c r="J32" t="s">
        <v>562</v>
      </c>
      <c r="K32" s="17" t="s">
        <v>155</v>
      </c>
      <c r="L32" s="17" t="s">
        <v>155</v>
      </c>
      <c r="M32" s="17" t="s">
        <v>155</v>
      </c>
      <c r="N32" s="17" t="s">
        <v>155</v>
      </c>
      <c r="O32" s="17" t="s">
        <v>155</v>
      </c>
    </row>
    <row r="33" spans="2:15" x14ac:dyDescent="0.3">
      <c r="C33" s="17" t="s">
        <v>164</v>
      </c>
      <c r="D33" s="17" t="s">
        <v>165</v>
      </c>
      <c r="E33" s="17" t="s">
        <v>166</v>
      </c>
      <c r="F33" s="17" t="s">
        <v>167</v>
      </c>
      <c r="G33" s="17" t="s">
        <v>168</v>
      </c>
      <c r="J33" t="s">
        <v>563</v>
      </c>
      <c r="K33" s="17" t="s">
        <v>155</v>
      </c>
      <c r="L33" s="17" t="s">
        <v>155</v>
      </c>
      <c r="M33" s="17" t="s">
        <v>155</v>
      </c>
      <c r="N33" s="17" t="s">
        <v>155</v>
      </c>
      <c r="O33" s="17" t="s">
        <v>155</v>
      </c>
    </row>
    <row r="34" spans="2:15" x14ac:dyDescent="0.3">
      <c r="B34" s="15" t="s">
        <v>555</v>
      </c>
      <c r="C34" s="17" t="s">
        <v>581</v>
      </c>
      <c r="D34" s="17" t="s">
        <v>594</v>
      </c>
      <c r="E34" s="17" t="s">
        <v>155</v>
      </c>
      <c r="F34" s="17" t="s">
        <v>155</v>
      </c>
      <c r="G34" s="17" t="s">
        <v>585</v>
      </c>
      <c r="J34" t="s">
        <v>564</v>
      </c>
      <c r="K34" s="17" t="s">
        <v>155</v>
      </c>
      <c r="L34" s="17" t="s">
        <v>155</v>
      </c>
      <c r="M34" s="17" t="s">
        <v>155</v>
      </c>
      <c r="N34" s="17" t="s">
        <v>155</v>
      </c>
      <c r="O34" s="17" t="s">
        <v>155</v>
      </c>
    </row>
    <row r="35" spans="2:15" x14ac:dyDescent="0.3">
      <c r="B35" s="15" t="s">
        <v>556</v>
      </c>
      <c r="C35" s="17" t="s">
        <v>581</v>
      </c>
      <c r="D35" s="17" t="s">
        <v>594</v>
      </c>
      <c r="E35" s="17" t="s">
        <v>155</v>
      </c>
      <c r="F35" s="17" t="s">
        <v>594</v>
      </c>
      <c r="G35" s="17" t="s">
        <v>585</v>
      </c>
      <c r="J35" t="s">
        <v>549</v>
      </c>
      <c r="K35" s="17" t="s">
        <v>244</v>
      </c>
      <c r="L35" s="17" t="s">
        <v>155</v>
      </c>
      <c r="M35" s="17" t="s">
        <v>257</v>
      </c>
      <c r="N35" s="17" t="s">
        <v>155</v>
      </c>
      <c r="O35" s="17" t="s">
        <v>155</v>
      </c>
    </row>
    <row r="36" spans="2:15" x14ac:dyDescent="0.3">
      <c r="B36" s="15" t="s">
        <v>557</v>
      </c>
      <c r="C36" s="17" t="s">
        <v>581</v>
      </c>
      <c r="D36" s="17" t="s">
        <v>594</v>
      </c>
      <c r="E36" s="17" t="s">
        <v>155</v>
      </c>
      <c r="F36" s="17" t="s">
        <v>594</v>
      </c>
      <c r="G36" s="17" t="s">
        <v>583</v>
      </c>
      <c r="J36" t="s">
        <v>550</v>
      </c>
      <c r="K36" s="17" t="s">
        <v>244</v>
      </c>
      <c r="L36" s="17" t="s">
        <v>155</v>
      </c>
      <c r="M36" s="17" t="s">
        <v>257</v>
      </c>
      <c r="N36" s="17" t="s">
        <v>155</v>
      </c>
      <c r="O36" s="17" t="s">
        <v>155</v>
      </c>
    </row>
    <row r="37" spans="2:15" x14ac:dyDescent="0.3">
      <c r="B37" s="15" t="s">
        <v>158</v>
      </c>
      <c r="C37" s="17" t="s">
        <v>591</v>
      </c>
      <c r="D37" s="17" t="s">
        <v>592</v>
      </c>
      <c r="E37" s="17" t="s">
        <v>591</v>
      </c>
      <c r="F37" s="17" t="s">
        <v>592</v>
      </c>
      <c r="G37" s="17" t="s">
        <v>583</v>
      </c>
      <c r="J37" t="s">
        <v>551</v>
      </c>
      <c r="K37" s="17" t="s">
        <v>244</v>
      </c>
      <c r="L37" s="17" t="s">
        <v>155</v>
      </c>
      <c r="M37" s="17" t="s">
        <v>257</v>
      </c>
      <c r="N37" s="17" t="s">
        <v>155</v>
      </c>
      <c r="O37" s="17" t="s">
        <v>155</v>
      </c>
    </row>
    <row r="38" spans="2:15" x14ac:dyDescent="0.3">
      <c r="B38" s="15" t="s">
        <v>159</v>
      </c>
      <c r="C38" s="17" t="s">
        <v>591</v>
      </c>
      <c r="D38" s="17" t="s">
        <v>592</v>
      </c>
      <c r="E38" s="17" t="s">
        <v>591</v>
      </c>
      <c r="F38" s="17" t="s">
        <v>592</v>
      </c>
      <c r="G38" s="17" t="s">
        <v>587</v>
      </c>
      <c r="J38" t="s">
        <v>552</v>
      </c>
      <c r="K38" s="17" t="s">
        <v>257</v>
      </c>
      <c r="L38" s="17" t="s">
        <v>155</v>
      </c>
      <c r="M38" s="17" t="s">
        <v>244</v>
      </c>
      <c r="N38" s="17" t="s">
        <v>155</v>
      </c>
      <c r="O38" s="17" t="s">
        <v>155</v>
      </c>
    </row>
    <row r="39" spans="2:15" x14ac:dyDescent="0.3">
      <c r="B39" s="15" t="s">
        <v>160</v>
      </c>
      <c r="C39" s="17" t="s">
        <v>155</v>
      </c>
      <c r="D39" s="17" t="s">
        <v>155</v>
      </c>
      <c r="E39" s="17" t="s">
        <v>591</v>
      </c>
      <c r="F39" s="17" t="s">
        <v>592</v>
      </c>
      <c r="G39" s="17" t="s">
        <v>587</v>
      </c>
      <c r="J39" t="s">
        <v>553</v>
      </c>
      <c r="K39" s="17" t="s">
        <v>257</v>
      </c>
      <c r="L39" s="17" t="s">
        <v>155</v>
      </c>
      <c r="M39" s="17" t="s">
        <v>244</v>
      </c>
      <c r="N39" s="17" t="s">
        <v>155</v>
      </c>
      <c r="O39" s="17" t="s">
        <v>155</v>
      </c>
    </row>
    <row r="41" spans="2:15" x14ac:dyDescent="0.3">
      <c r="B41" s="15" t="s">
        <v>560</v>
      </c>
      <c r="J41" t="s">
        <v>715</v>
      </c>
    </row>
    <row r="42" spans="2:15" x14ac:dyDescent="0.3">
      <c r="C42" s="17" t="s">
        <v>164</v>
      </c>
      <c r="D42" s="17" t="s">
        <v>165</v>
      </c>
      <c r="E42" s="17" t="s">
        <v>166</v>
      </c>
      <c r="F42" s="17" t="s">
        <v>167</v>
      </c>
      <c r="G42" s="17" t="s">
        <v>168</v>
      </c>
      <c r="K42" s="17" t="s">
        <v>164</v>
      </c>
      <c r="L42" s="17" t="s">
        <v>165</v>
      </c>
      <c r="M42" s="17" t="s">
        <v>166</v>
      </c>
      <c r="N42" s="17" t="s">
        <v>167</v>
      </c>
      <c r="O42" s="17" t="s">
        <v>168</v>
      </c>
    </row>
    <row r="43" spans="2:15" x14ac:dyDescent="0.3">
      <c r="B43" s="15" t="s">
        <v>561</v>
      </c>
      <c r="C43" s="17" t="s">
        <v>593</v>
      </c>
      <c r="D43" s="17" t="s">
        <v>155</v>
      </c>
      <c r="E43" s="17" t="s">
        <v>581</v>
      </c>
      <c r="F43" s="17" t="s">
        <v>593</v>
      </c>
      <c r="G43" s="17" t="s">
        <v>585</v>
      </c>
      <c r="J43" t="s">
        <v>555</v>
      </c>
      <c r="K43" s="17" t="s">
        <v>155</v>
      </c>
      <c r="L43" s="17" t="s">
        <v>155</v>
      </c>
      <c r="M43" s="17" t="s">
        <v>155</v>
      </c>
      <c r="N43" s="17" t="s">
        <v>155</v>
      </c>
      <c r="O43" s="17" t="s">
        <v>155</v>
      </c>
    </row>
    <row r="44" spans="2:15" x14ac:dyDescent="0.3">
      <c r="B44" s="15" t="s">
        <v>562</v>
      </c>
      <c r="C44" s="17" t="s">
        <v>593</v>
      </c>
      <c r="D44" s="17" t="s">
        <v>155</v>
      </c>
      <c r="E44" s="17" t="s">
        <v>581</v>
      </c>
      <c r="F44" s="17" t="s">
        <v>593</v>
      </c>
      <c r="G44" s="17" t="s">
        <v>585</v>
      </c>
      <c r="J44" t="s">
        <v>556</v>
      </c>
      <c r="K44" s="17" t="s">
        <v>155</v>
      </c>
      <c r="L44" s="17" t="s">
        <v>155</v>
      </c>
      <c r="M44" s="17" t="s">
        <v>155</v>
      </c>
      <c r="N44" s="17" t="s">
        <v>155</v>
      </c>
      <c r="O44" s="17" t="s">
        <v>155</v>
      </c>
    </row>
    <row r="45" spans="2:15" x14ac:dyDescent="0.3">
      <c r="B45" s="15" t="s">
        <v>563</v>
      </c>
      <c r="C45" s="17" t="s">
        <v>593</v>
      </c>
      <c r="D45" s="17" t="s">
        <v>155</v>
      </c>
      <c r="E45" s="17" t="s">
        <v>581</v>
      </c>
      <c r="F45" s="17" t="s">
        <v>583</v>
      </c>
      <c r="G45" s="17" t="s">
        <v>587</v>
      </c>
      <c r="J45" t="s">
        <v>557</v>
      </c>
      <c r="K45" s="17" t="s">
        <v>155</v>
      </c>
      <c r="L45" s="17" t="s">
        <v>155</v>
      </c>
      <c r="M45" s="17" t="s">
        <v>155</v>
      </c>
      <c r="N45" s="17" t="s">
        <v>155</v>
      </c>
      <c r="O45" s="17" t="s">
        <v>155</v>
      </c>
    </row>
    <row r="46" spans="2:15" x14ac:dyDescent="0.3">
      <c r="B46" s="15" t="s">
        <v>564</v>
      </c>
      <c r="C46" s="17" t="s">
        <v>155</v>
      </c>
      <c r="D46" s="17" t="s">
        <v>590</v>
      </c>
      <c r="E46" s="17" t="s">
        <v>595</v>
      </c>
      <c r="F46" s="17" t="s">
        <v>583</v>
      </c>
      <c r="G46" s="17" t="s">
        <v>587</v>
      </c>
      <c r="J46" t="s">
        <v>158</v>
      </c>
      <c r="K46" s="17" t="s">
        <v>155</v>
      </c>
      <c r="L46" s="17" t="s">
        <v>155</v>
      </c>
      <c r="M46" s="17" t="s">
        <v>155</v>
      </c>
      <c r="N46" s="17" t="s">
        <v>155</v>
      </c>
      <c r="O46" s="17" t="s">
        <v>155</v>
      </c>
    </row>
    <row r="47" spans="2:15" x14ac:dyDescent="0.3">
      <c r="B47" s="15" t="s">
        <v>549</v>
      </c>
      <c r="C47" s="17" t="s">
        <v>155</v>
      </c>
      <c r="D47" s="17" t="s">
        <v>590</v>
      </c>
      <c r="E47" s="17" t="s">
        <v>595</v>
      </c>
      <c r="F47" s="17" t="s">
        <v>590</v>
      </c>
      <c r="G47" s="17" t="s">
        <v>595</v>
      </c>
      <c r="J47" t="s">
        <v>159</v>
      </c>
      <c r="K47" s="17" t="s">
        <v>155</v>
      </c>
      <c r="L47" s="17" t="s">
        <v>155</v>
      </c>
      <c r="M47" s="17" t="s">
        <v>155</v>
      </c>
      <c r="N47" s="17" t="s">
        <v>155</v>
      </c>
      <c r="O47" s="17" t="s">
        <v>155</v>
      </c>
    </row>
    <row r="48" spans="2:15" x14ac:dyDescent="0.3">
      <c r="B48" s="15" t="s">
        <v>550</v>
      </c>
      <c r="C48" s="17" t="s">
        <v>155</v>
      </c>
      <c r="D48" s="17" t="s">
        <v>590</v>
      </c>
      <c r="E48" s="17" t="s">
        <v>595</v>
      </c>
      <c r="F48" s="17" t="s">
        <v>590</v>
      </c>
      <c r="G48" s="17" t="s">
        <v>595</v>
      </c>
      <c r="J48" t="s">
        <v>160</v>
      </c>
      <c r="K48" s="17" t="s">
        <v>155</v>
      </c>
      <c r="L48" s="17" t="s">
        <v>155</v>
      </c>
      <c r="M48" s="17" t="s">
        <v>155</v>
      </c>
      <c r="N48" s="17" t="s">
        <v>155</v>
      </c>
      <c r="O48" s="17" t="s">
        <v>155</v>
      </c>
    </row>
    <row r="49" spans="2:15" x14ac:dyDescent="0.3">
      <c r="J49" t="s">
        <v>561</v>
      </c>
      <c r="K49" s="17" t="s">
        <v>155</v>
      </c>
      <c r="L49" s="17" t="s">
        <v>155</v>
      </c>
      <c r="M49" s="17" t="s">
        <v>155</v>
      </c>
      <c r="N49" s="17" t="s">
        <v>155</v>
      </c>
      <c r="O49" s="17" t="s">
        <v>155</v>
      </c>
    </row>
    <row r="50" spans="2:15" x14ac:dyDescent="0.3">
      <c r="B50" s="15" t="s">
        <v>565</v>
      </c>
      <c r="J50" t="s">
        <v>562</v>
      </c>
      <c r="K50" s="17" t="s">
        <v>155</v>
      </c>
      <c r="L50" s="17" t="s">
        <v>155</v>
      </c>
      <c r="M50" s="17" t="s">
        <v>155</v>
      </c>
      <c r="N50" s="17" t="s">
        <v>155</v>
      </c>
      <c r="O50" s="17" t="s">
        <v>155</v>
      </c>
    </row>
    <row r="51" spans="2:15" x14ac:dyDescent="0.3">
      <c r="C51" s="17" t="s">
        <v>164</v>
      </c>
      <c r="D51" s="17" t="s">
        <v>165</v>
      </c>
      <c r="E51" s="17" t="s">
        <v>166</v>
      </c>
      <c r="F51" s="17" t="s">
        <v>167</v>
      </c>
      <c r="G51" s="17" t="s">
        <v>168</v>
      </c>
      <c r="J51" t="s">
        <v>563</v>
      </c>
      <c r="K51" s="17" t="s">
        <v>155</v>
      </c>
      <c r="L51" s="17" t="s">
        <v>155</v>
      </c>
      <c r="M51" s="17" t="s">
        <v>155</v>
      </c>
      <c r="N51" s="17" t="s">
        <v>155</v>
      </c>
      <c r="O51" s="17" t="s">
        <v>155</v>
      </c>
    </row>
    <row r="52" spans="2:15" x14ac:dyDescent="0.3">
      <c r="B52" s="15" t="s">
        <v>561</v>
      </c>
      <c r="C52" s="17" t="s">
        <v>155</v>
      </c>
      <c r="D52" s="17" t="s">
        <v>597</v>
      </c>
      <c r="E52" s="17" t="s">
        <v>598</v>
      </c>
      <c r="F52" s="17" t="s">
        <v>597</v>
      </c>
      <c r="G52" s="17" t="s">
        <v>598</v>
      </c>
      <c r="J52" t="s">
        <v>564</v>
      </c>
      <c r="K52" s="17" t="s">
        <v>155</v>
      </c>
      <c r="L52" s="17" t="s">
        <v>155</v>
      </c>
      <c r="M52" s="17" t="s">
        <v>155</v>
      </c>
      <c r="N52" s="17" t="s">
        <v>155</v>
      </c>
      <c r="O52" s="17" t="s">
        <v>155</v>
      </c>
    </row>
    <row r="53" spans="2:15" x14ac:dyDescent="0.3">
      <c r="B53" s="15" t="s">
        <v>562</v>
      </c>
      <c r="C53" s="17" t="s">
        <v>596</v>
      </c>
      <c r="D53" s="17" t="s">
        <v>597</v>
      </c>
      <c r="E53" s="17" t="s">
        <v>598</v>
      </c>
      <c r="F53" s="17" t="s">
        <v>597</v>
      </c>
      <c r="G53" s="17" t="s">
        <v>598</v>
      </c>
      <c r="J53" t="s">
        <v>549</v>
      </c>
      <c r="K53" s="17" t="s">
        <v>155</v>
      </c>
      <c r="L53" s="17" t="s">
        <v>155</v>
      </c>
      <c r="M53" s="17" t="s">
        <v>155</v>
      </c>
      <c r="N53" s="17" t="s">
        <v>155</v>
      </c>
      <c r="O53" s="17" t="s">
        <v>155</v>
      </c>
    </row>
    <row r="54" spans="2:15" x14ac:dyDescent="0.3">
      <c r="B54" s="15" t="s">
        <v>563</v>
      </c>
      <c r="C54" s="17" t="s">
        <v>596</v>
      </c>
      <c r="D54" s="17" t="s">
        <v>602</v>
      </c>
      <c r="E54" s="17" t="s">
        <v>599</v>
      </c>
      <c r="F54" s="17" t="s">
        <v>597</v>
      </c>
      <c r="G54" s="17" t="s">
        <v>598</v>
      </c>
      <c r="J54" t="s">
        <v>550</v>
      </c>
      <c r="K54" s="17" t="s">
        <v>155</v>
      </c>
      <c r="L54" s="17" t="s">
        <v>155</v>
      </c>
      <c r="M54" s="17" t="s">
        <v>155</v>
      </c>
      <c r="N54" s="17" t="s">
        <v>155</v>
      </c>
      <c r="O54" s="17" t="s">
        <v>155</v>
      </c>
    </row>
    <row r="55" spans="2:15" x14ac:dyDescent="0.3">
      <c r="B55" s="15" t="s">
        <v>564</v>
      </c>
      <c r="C55" s="17" t="s">
        <v>596</v>
      </c>
      <c r="D55" s="17" t="s">
        <v>602</v>
      </c>
      <c r="E55" s="17" t="s">
        <v>599</v>
      </c>
      <c r="F55" s="17" t="s">
        <v>596</v>
      </c>
      <c r="G55" s="17" t="s">
        <v>155</v>
      </c>
      <c r="J55" t="s">
        <v>551</v>
      </c>
      <c r="K55" s="17" t="s">
        <v>155</v>
      </c>
      <c r="L55" s="17" t="s">
        <v>245</v>
      </c>
      <c r="M55" s="17" t="s">
        <v>155</v>
      </c>
      <c r="N55" s="17" t="s">
        <v>155</v>
      </c>
      <c r="O55" s="17" t="s">
        <v>155</v>
      </c>
    </row>
    <row r="56" spans="2:15" x14ac:dyDescent="0.3">
      <c r="B56" s="15" t="s">
        <v>549</v>
      </c>
      <c r="C56" s="17" t="s">
        <v>155</v>
      </c>
      <c r="D56" s="17" t="s">
        <v>155</v>
      </c>
      <c r="E56" s="17" t="s">
        <v>155</v>
      </c>
      <c r="F56" s="17" t="s">
        <v>596</v>
      </c>
      <c r="G56" s="17" t="s">
        <v>155</v>
      </c>
      <c r="J56" t="s">
        <v>552</v>
      </c>
      <c r="K56" s="17" t="s">
        <v>155</v>
      </c>
      <c r="L56" s="17" t="s">
        <v>245</v>
      </c>
      <c r="M56" s="17" t="s">
        <v>155</v>
      </c>
      <c r="N56" s="17" t="s">
        <v>155</v>
      </c>
      <c r="O56" s="17" t="s">
        <v>155</v>
      </c>
    </row>
    <row r="57" spans="2:15" x14ac:dyDescent="0.3">
      <c r="B57" s="15" t="s">
        <v>550</v>
      </c>
      <c r="C57" s="17" t="s">
        <v>155</v>
      </c>
      <c r="D57" s="17" t="s">
        <v>155</v>
      </c>
      <c r="E57" s="17" t="s">
        <v>155</v>
      </c>
      <c r="F57" s="17" t="s">
        <v>155</v>
      </c>
      <c r="G57" s="17" t="s">
        <v>155</v>
      </c>
      <c r="J57" t="s">
        <v>553</v>
      </c>
      <c r="K57" s="17" t="s">
        <v>155</v>
      </c>
      <c r="L57" s="17" t="s">
        <v>155</v>
      </c>
      <c r="M57" s="17" t="s">
        <v>155</v>
      </c>
      <c r="N57" s="17" t="s">
        <v>155</v>
      </c>
      <c r="O57" s="17" t="s">
        <v>155</v>
      </c>
    </row>
    <row r="59" spans="2:15" x14ac:dyDescent="0.3">
      <c r="B59" s="15" t="s">
        <v>566</v>
      </c>
      <c r="J59" t="s">
        <v>716</v>
      </c>
    </row>
    <row r="60" spans="2:15" x14ac:dyDescent="0.3">
      <c r="C60" s="17" t="s">
        <v>164</v>
      </c>
      <c r="D60" s="17" t="s">
        <v>165</v>
      </c>
      <c r="E60" s="17" t="s">
        <v>166</v>
      </c>
      <c r="F60" s="17" t="s">
        <v>167</v>
      </c>
      <c r="G60" s="17" t="s">
        <v>168</v>
      </c>
      <c r="K60" s="17" t="s">
        <v>164</v>
      </c>
      <c r="L60" s="17" t="s">
        <v>165</v>
      </c>
      <c r="M60" s="17" t="s">
        <v>166</v>
      </c>
      <c r="N60" s="17" t="s">
        <v>167</v>
      </c>
      <c r="O60" s="17" t="s">
        <v>168</v>
      </c>
    </row>
    <row r="61" spans="2:15" x14ac:dyDescent="0.3">
      <c r="B61" s="15" t="s">
        <v>561</v>
      </c>
      <c r="C61" s="17" t="s">
        <v>155</v>
      </c>
      <c r="D61" s="17" t="s">
        <v>601</v>
      </c>
      <c r="E61" s="17" t="s">
        <v>598</v>
      </c>
      <c r="F61" s="17" t="s">
        <v>601</v>
      </c>
      <c r="G61" s="17" t="s">
        <v>598</v>
      </c>
      <c r="J61" t="s">
        <v>555</v>
      </c>
      <c r="K61" s="17" t="s">
        <v>155</v>
      </c>
      <c r="L61" s="17" t="s">
        <v>155</v>
      </c>
      <c r="M61" s="17" t="s">
        <v>155</v>
      </c>
      <c r="N61" s="17" t="s">
        <v>155</v>
      </c>
      <c r="O61" s="17" t="s">
        <v>155</v>
      </c>
    </row>
    <row r="62" spans="2:15" x14ac:dyDescent="0.3">
      <c r="B62" s="15" t="s">
        <v>562</v>
      </c>
      <c r="C62" s="17" t="s">
        <v>596</v>
      </c>
      <c r="D62" s="17" t="s">
        <v>601</v>
      </c>
      <c r="E62" s="17" t="s">
        <v>598</v>
      </c>
      <c r="F62" s="17" t="s">
        <v>601</v>
      </c>
      <c r="G62" s="17" t="s">
        <v>598</v>
      </c>
      <c r="J62" t="s">
        <v>556</v>
      </c>
      <c r="K62" s="17" t="s">
        <v>155</v>
      </c>
      <c r="L62" s="17" t="s">
        <v>155</v>
      </c>
      <c r="M62" s="17" t="s">
        <v>155</v>
      </c>
      <c r="N62" s="17" t="s">
        <v>155</v>
      </c>
      <c r="O62" s="17" t="s">
        <v>155</v>
      </c>
    </row>
    <row r="63" spans="2:15" x14ac:dyDescent="0.3">
      <c r="B63" s="15" t="s">
        <v>563</v>
      </c>
      <c r="C63" s="17" t="s">
        <v>596</v>
      </c>
      <c r="D63" s="17" t="s">
        <v>600</v>
      </c>
      <c r="E63" s="17" t="s">
        <v>599</v>
      </c>
      <c r="F63" s="17" t="s">
        <v>601</v>
      </c>
      <c r="G63" s="17" t="s">
        <v>598</v>
      </c>
      <c r="J63" t="s">
        <v>557</v>
      </c>
      <c r="K63" s="17" t="s">
        <v>155</v>
      </c>
      <c r="L63" s="17" t="s">
        <v>155</v>
      </c>
      <c r="M63" s="17" t="s">
        <v>155</v>
      </c>
      <c r="N63" s="17" t="s">
        <v>155</v>
      </c>
      <c r="O63" s="17" t="s">
        <v>155</v>
      </c>
    </row>
    <row r="64" spans="2:15" x14ac:dyDescent="0.3">
      <c r="B64" s="15" t="s">
        <v>564</v>
      </c>
      <c r="C64" s="17" t="s">
        <v>596</v>
      </c>
      <c r="D64" s="17" t="s">
        <v>600</v>
      </c>
      <c r="E64" s="17" t="s">
        <v>599</v>
      </c>
      <c r="F64" s="17" t="s">
        <v>596</v>
      </c>
      <c r="G64" s="17" t="s">
        <v>155</v>
      </c>
      <c r="J64" t="s">
        <v>158</v>
      </c>
      <c r="K64" s="17" t="s">
        <v>155</v>
      </c>
      <c r="L64" s="17" t="s">
        <v>155</v>
      </c>
      <c r="M64" s="17" t="s">
        <v>155</v>
      </c>
      <c r="N64" s="17" t="s">
        <v>155</v>
      </c>
      <c r="O64" s="17" t="s">
        <v>155</v>
      </c>
    </row>
    <row r="65" spans="2:15" x14ac:dyDescent="0.3">
      <c r="B65" s="15" t="s">
        <v>549</v>
      </c>
      <c r="C65" s="17" t="s">
        <v>155</v>
      </c>
      <c r="D65" s="17" t="s">
        <v>155</v>
      </c>
      <c r="E65" s="17" t="s">
        <v>155</v>
      </c>
      <c r="F65" s="17" t="s">
        <v>596</v>
      </c>
      <c r="G65" s="17" t="s">
        <v>155</v>
      </c>
      <c r="J65" t="s">
        <v>159</v>
      </c>
      <c r="K65" s="17" t="s">
        <v>155</v>
      </c>
      <c r="L65" s="17" t="s">
        <v>155</v>
      </c>
      <c r="M65" s="17" t="s">
        <v>155</v>
      </c>
      <c r="N65" s="17" t="s">
        <v>155</v>
      </c>
      <c r="O65" s="17" t="s">
        <v>155</v>
      </c>
    </row>
    <row r="66" spans="2:15" x14ac:dyDescent="0.3">
      <c r="B66" s="15" t="s">
        <v>550</v>
      </c>
      <c r="C66" s="17" t="s">
        <v>155</v>
      </c>
      <c r="D66" s="17" t="s">
        <v>155</v>
      </c>
      <c r="E66" s="17" t="s">
        <v>155</v>
      </c>
      <c r="F66" s="17" t="s">
        <v>155</v>
      </c>
      <c r="G66" s="17" t="s">
        <v>155</v>
      </c>
      <c r="J66" t="s">
        <v>160</v>
      </c>
      <c r="K66" s="17" t="s">
        <v>155</v>
      </c>
      <c r="L66" s="17" t="s">
        <v>155</v>
      </c>
      <c r="M66" s="17" t="s">
        <v>155</v>
      </c>
      <c r="N66" s="17" t="s">
        <v>155</v>
      </c>
      <c r="O66" s="17" t="s">
        <v>155</v>
      </c>
    </row>
    <row r="67" spans="2:15" x14ac:dyDescent="0.3">
      <c r="J67" t="s">
        <v>561</v>
      </c>
      <c r="K67" s="17" t="s">
        <v>155</v>
      </c>
      <c r="L67" s="17" t="s">
        <v>155</v>
      </c>
      <c r="M67" s="17" t="s">
        <v>155</v>
      </c>
      <c r="N67" s="17" t="s">
        <v>155</v>
      </c>
      <c r="O67" s="17" t="s">
        <v>155</v>
      </c>
    </row>
    <row r="68" spans="2:15" x14ac:dyDescent="0.3">
      <c r="B68" s="32" t="s">
        <v>603</v>
      </c>
      <c r="J68" t="s">
        <v>562</v>
      </c>
      <c r="K68" s="17" t="s">
        <v>155</v>
      </c>
      <c r="L68" s="17" t="s">
        <v>155</v>
      </c>
      <c r="M68" s="17" t="s">
        <v>155</v>
      </c>
      <c r="N68" s="17" t="s">
        <v>155</v>
      </c>
      <c r="O68" s="17" t="s">
        <v>155</v>
      </c>
    </row>
    <row r="69" spans="2:15" x14ac:dyDescent="0.3">
      <c r="B69" s="78" t="s">
        <v>604</v>
      </c>
      <c r="J69" t="s">
        <v>563</v>
      </c>
      <c r="K69" s="17" t="s">
        <v>155</v>
      </c>
      <c r="L69" s="17" t="s">
        <v>155</v>
      </c>
      <c r="M69" s="17" t="s">
        <v>155</v>
      </c>
      <c r="N69" s="17" t="s">
        <v>155</v>
      </c>
      <c r="O69" s="17" t="s">
        <v>155</v>
      </c>
    </row>
    <row r="70" spans="2:15" x14ac:dyDescent="0.3">
      <c r="J70" t="s">
        <v>564</v>
      </c>
      <c r="K70" s="17" t="s">
        <v>155</v>
      </c>
      <c r="L70" s="17" t="s">
        <v>155</v>
      </c>
      <c r="M70" s="17" t="s">
        <v>155</v>
      </c>
      <c r="N70" s="17" t="s">
        <v>155</v>
      </c>
      <c r="O70" s="17" t="s">
        <v>155</v>
      </c>
    </row>
    <row r="71" spans="2:15" x14ac:dyDescent="0.3">
      <c r="B71" s="15" t="s">
        <v>605</v>
      </c>
      <c r="J71" t="s">
        <v>549</v>
      </c>
      <c r="K71" s="17" t="s">
        <v>155</v>
      </c>
      <c r="L71" s="17" t="s">
        <v>155</v>
      </c>
      <c r="M71" s="17" t="s">
        <v>155</v>
      </c>
      <c r="N71" s="17" t="s">
        <v>155</v>
      </c>
      <c r="O71" s="17" t="s">
        <v>155</v>
      </c>
    </row>
    <row r="72" spans="2:15" x14ac:dyDescent="0.3">
      <c r="C72" s="17" t="s">
        <v>164</v>
      </c>
      <c r="D72" s="17" t="s">
        <v>165</v>
      </c>
      <c r="E72" s="17" t="s">
        <v>166</v>
      </c>
      <c r="F72" s="17" t="s">
        <v>167</v>
      </c>
      <c r="G72" s="17" t="s">
        <v>168</v>
      </c>
      <c r="J72" t="s">
        <v>550</v>
      </c>
      <c r="K72" s="17" t="s">
        <v>155</v>
      </c>
      <c r="L72" s="17" t="s">
        <v>155</v>
      </c>
      <c r="M72" s="17" t="s">
        <v>155</v>
      </c>
      <c r="N72" s="17" t="s">
        <v>155</v>
      </c>
      <c r="O72" s="17" t="s">
        <v>155</v>
      </c>
    </row>
    <row r="73" spans="2:15" x14ac:dyDescent="0.3">
      <c r="B73" s="15" t="s">
        <v>549</v>
      </c>
      <c r="C73" s="17" t="s">
        <v>606</v>
      </c>
      <c r="D73" s="17" t="s">
        <v>607</v>
      </c>
      <c r="E73" s="17" t="s">
        <v>608</v>
      </c>
      <c r="F73" s="17" t="s">
        <v>607</v>
      </c>
      <c r="G73" s="17" t="s">
        <v>606</v>
      </c>
      <c r="J73" t="s">
        <v>551</v>
      </c>
      <c r="K73" s="17" t="s">
        <v>155</v>
      </c>
      <c r="L73" s="17" t="s">
        <v>155</v>
      </c>
      <c r="M73" s="17" t="s">
        <v>155</v>
      </c>
      <c r="N73" s="17" t="s">
        <v>251</v>
      </c>
      <c r="O73" s="17" t="s">
        <v>155</v>
      </c>
    </row>
    <row r="74" spans="2:15" x14ac:dyDescent="0.3">
      <c r="B74" s="15" t="s">
        <v>550</v>
      </c>
      <c r="C74" s="17" t="s">
        <v>606</v>
      </c>
      <c r="D74" s="17" t="s">
        <v>607</v>
      </c>
      <c r="E74" s="17" t="s">
        <v>608</v>
      </c>
      <c r="F74" s="17" t="s">
        <v>607</v>
      </c>
      <c r="G74" s="17" t="s">
        <v>606</v>
      </c>
      <c r="J74" t="s">
        <v>552</v>
      </c>
      <c r="K74" s="17" t="s">
        <v>251</v>
      </c>
      <c r="L74" s="17" t="s">
        <v>155</v>
      </c>
      <c r="M74" s="17" t="s">
        <v>155</v>
      </c>
      <c r="N74" s="17" t="s">
        <v>251</v>
      </c>
      <c r="O74" s="17" t="s">
        <v>155</v>
      </c>
    </row>
    <row r="75" spans="2:15" x14ac:dyDescent="0.3">
      <c r="B75" s="15" t="s">
        <v>551</v>
      </c>
      <c r="C75" s="17" t="s">
        <v>609</v>
      </c>
      <c r="D75" s="17" t="s">
        <v>607</v>
      </c>
      <c r="E75" s="17" t="s">
        <v>608</v>
      </c>
      <c r="F75" s="17" t="s">
        <v>610</v>
      </c>
      <c r="G75" s="17" t="s">
        <v>606</v>
      </c>
      <c r="J75" t="s">
        <v>553</v>
      </c>
      <c r="K75" s="17" t="s">
        <v>251</v>
      </c>
      <c r="L75" s="17" t="s">
        <v>155</v>
      </c>
      <c r="M75" s="17" t="s">
        <v>155</v>
      </c>
      <c r="N75" s="17" t="s">
        <v>155</v>
      </c>
      <c r="O75" s="17" t="s">
        <v>155</v>
      </c>
    </row>
    <row r="76" spans="2:15" x14ac:dyDescent="0.3">
      <c r="B76" s="15" t="s">
        <v>552</v>
      </c>
      <c r="C76" s="17" t="s">
        <v>608</v>
      </c>
      <c r="D76" s="17" t="s">
        <v>610</v>
      </c>
      <c r="E76" s="17" t="s">
        <v>609</v>
      </c>
      <c r="F76" s="17" t="s">
        <v>610</v>
      </c>
      <c r="G76" s="17" t="s">
        <v>155</v>
      </c>
    </row>
    <row r="77" spans="2:15" x14ac:dyDescent="0.3">
      <c r="B77" s="15" t="s">
        <v>553</v>
      </c>
      <c r="C77" s="17" t="s">
        <v>608</v>
      </c>
      <c r="D77" s="17" t="s">
        <v>610</v>
      </c>
      <c r="E77" s="17" t="s">
        <v>609</v>
      </c>
      <c r="F77" s="17" t="s">
        <v>610</v>
      </c>
      <c r="G77" s="17" t="s">
        <v>155</v>
      </c>
      <c r="J77" t="s">
        <v>717</v>
      </c>
    </row>
    <row r="78" spans="2:15" x14ac:dyDescent="0.3">
      <c r="K78" s="17" t="s">
        <v>164</v>
      </c>
      <c r="L78" s="17" t="s">
        <v>165</v>
      </c>
      <c r="M78" s="17" t="s">
        <v>166</v>
      </c>
      <c r="N78" s="17" t="s">
        <v>167</v>
      </c>
      <c r="O78" s="17" t="s">
        <v>168</v>
      </c>
    </row>
    <row r="79" spans="2:15" x14ac:dyDescent="0.3">
      <c r="B79" s="15" t="s">
        <v>611</v>
      </c>
      <c r="J79" t="s">
        <v>555</v>
      </c>
      <c r="K79" s="17" t="s">
        <v>155</v>
      </c>
      <c r="L79" s="17" t="s">
        <v>155</v>
      </c>
      <c r="M79" s="17" t="s">
        <v>155</v>
      </c>
      <c r="N79" s="17" t="s">
        <v>155</v>
      </c>
      <c r="O79" s="17" t="s">
        <v>155</v>
      </c>
    </row>
    <row r="80" spans="2:15" x14ac:dyDescent="0.3">
      <c r="C80" s="17" t="s">
        <v>164</v>
      </c>
      <c r="D80" s="17" t="s">
        <v>165</v>
      </c>
      <c r="E80" s="17" t="s">
        <v>166</v>
      </c>
      <c r="F80" s="17" t="s">
        <v>167</v>
      </c>
      <c r="G80" s="17" t="s">
        <v>168</v>
      </c>
      <c r="J80" t="s">
        <v>556</v>
      </c>
      <c r="K80" s="17" t="s">
        <v>155</v>
      </c>
      <c r="L80" s="17" t="s">
        <v>155</v>
      </c>
      <c r="M80" s="17" t="s">
        <v>155</v>
      </c>
      <c r="N80" s="17" t="s">
        <v>155</v>
      </c>
      <c r="O80" s="17" t="s">
        <v>155</v>
      </c>
    </row>
    <row r="81" spans="2:15" x14ac:dyDescent="0.3">
      <c r="B81" s="15" t="s">
        <v>555</v>
      </c>
      <c r="C81" s="17" t="s">
        <v>155</v>
      </c>
      <c r="D81" s="17" t="s">
        <v>614</v>
      </c>
      <c r="E81" s="17" t="s">
        <v>616</v>
      </c>
      <c r="F81" s="17" t="s">
        <v>613</v>
      </c>
      <c r="G81" s="17" t="s">
        <v>614</v>
      </c>
      <c r="J81" t="s">
        <v>557</v>
      </c>
      <c r="K81" s="17" t="s">
        <v>155</v>
      </c>
      <c r="L81" s="17" t="s">
        <v>155</v>
      </c>
      <c r="M81" s="17" t="s">
        <v>155</v>
      </c>
      <c r="N81" s="17" t="s">
        <v>155</v>
      </c>
      <c r="O81" s="17" t="s">
        <v>155</v>
      </c>
    </row>
    <row r="82" spans="2:15" x14ac:dyDescent="0.3">
      <c r="B82" s="15" t="s">
        <v>556</v>
      </c>
      <c r="C82" s="17" t="s">
        <v>618</v>
      </c>
      <c r="D82" s="17" t="s">
        <v>614</v>
      </c>
      <c r="E82" s="17" t="s">
        <v>616</v>
      </c>
      <c r="F82" s="17" t="s">
        <v>613</v>
      </c>
      <c r="G82" s="17" t="s">
        <v>614</v>
      </c>
      <c r="J82" t="s">
        <v>158</v>
      </c>
      <c r="K82" s="17" t="s">
        <v>155</v>
      </c>
      <c r="L82" s="17" t="s">
        <v>155</v>
      </c>
      <c r="M82" s="17" t="s">
        <v>155</v>
      </c>
      <c r="N82" s="17" t="s">
        <v>155</v>
      </c>
      <c r="O82" s="17" t="s">
        <v>155</v>
      </c>
    </row>
    <row r="83" spans="2:15" x14ac:dyDescent="0.3">
      <c r="B83" s="15" t="s">
        <v>557</v>
      </c>
      <c r="C83" s="17" t="s">
        <v>618</v>
      </c>
      <c r="D83" s="17" t="s">
        <v>617</v>
      </c>
      <c r="E83" s="17" t="s">
        <v>618</v>
      </c>
      <c r="F83" s="17" t="s">
        <v>613</v>
      </c>
      <c r="G83" s="17" t="s">
        <v>614</v>
      </c>
      <c r="J83" t="s">
        <v>159</v>
      </c>
      <c r="K83" s="17" t="s">
        <v>155</v>
      </c>
      <c r="L83" s="17" t="s">
        <v>155</v>
      </c>
      <c r="M83" s="17" t="s">
        <v>155</v>
      </c>
      <c r="N83" s="17" t="s">
        <v>155</v>
      </c>
      <c r="O83" s="17" t="s">
        <v>155</v>
      </c>
    </row>
    <row r="84" spans="2:15" x14ac:dyDescent="0.3">
      <c r="B84" s="15" t="s">
        <v>158</v>
      </c>
      <c r="C84" s="17" t="s">
        <v>618</v>
      </c>
      <c r="D84" s="17" t="s">
        <v>617</v>
      </c>
      <c r="E84" s="17" t="s">
        <v>618</v>
      </c>
      <c r="F84" s="17" t="s">
        <v>617</v>
      </c>
      <c r="G84" s="17" t="s">
        <v>615</v>
      </c>
      <c r="J84" t="s">
        <v>160</v>
      </c>
      <c r="K84" s="17" t="s">
        <v>155</v>
      </c>
      <c r="L84" s="17" t="s">
        <v>155</v>
      </c>
      <c r="M84" s="17" t="s">
        <v>155</v>
      </c>
      <c r="N84" s="17" t="s">
        <v>155</v>
      </c>
      <c r="O84" s="17" t="s">
        <v>155</v>
      </c>
    </row>
    <row r="85" spans="2:15" x14ac:dyDescent="0.3">
      <c r="B85" s="15" t="s">
        <v>159</v>
      </c>
      <c r="C85" s="17" t="s">
        <v>612</v>
      </c>
      <c r="D85" s="17" t="s">
        <v>615</v>
      </c>
      <c r="E85" s="17" t="s">
        <v>612</v>
      </c>
      <c r="F85" s="17" t="s">
        <v>617</v>
      </c>
      <c r="G85" s="17" t="s">
        <v>615</v>
      </c>
      <c r="J85" t="s">
        <v>561</v>
      </c>
      <c r="K85" s="17" t="s">
        <v>155</v>
      </c>
      <c r="L85" s="17" t="s">
        <v>155</v>
      </c>
      <c r="M85" s="17" t="s">
        <v>155</v>
      </c>
      <c r="N85" s="17" t="s">
        <v>155</v>
      </c>
      <c r="O85" s="17" t="s">
        <v>155</v>
      </c>
    </row>
    <row r="86" spans="2:15" x14ac:dyDescent="0.3">
      <c r="B86" s="15" t="s">
        <v>160</v>
      </c>
      <c r="C86" s="17" t="s">
        <v>612</v>
      </c>
      <c r="D86" s="17" t="s">
        <v>615</v>
      </c>
      <c r="E86" s="17" t="s">
        <v>612</v>
      </c>
      <c r="F86" s="17" t="s">
        <v>617</v>
      </c>
      <c r="G86" s="17" t="s">
        <v>615</v>
      </c>
      <c r="J86" t="s">
        <v>562</v>
      </c>
      <c r="K86" s="17" t="s">
        <v>155</v>
      </c>
      <c r="L86" s="17" t="s">
        <v>155</v>
      </c>
      <c r="M86" s="17" t="s">
        <v>155</v>
      </c>
      <c r="N86" s="17" t="s">
        <v>155</v>
      </c>
      <c r="O86" s="17" t="s">
        <v>155</v>
      </c>
    </row>
    <row r="87" spans="2:15" x14ac:dyDescent="0.3">
      <c r="J87" t="s">
        <v>563</v>
      </c>
      <c r="K87" s="17" t="s">
        <v>155</v>
      </c>
      <c r="L87" s="17" t="s">
        <v>155</v>
      </c>
      <c r="M87" s="17" t="s">
        <v>155</v>
      </c>
      <c r="N87" s="17" t="s">
        <v>155</v>
      </c>
      <c r="O87" s="17" t="s">
        <v>155</v>
      </c>
    </row>
    <row r="88" spans="2:15" x14ac:dyDescent="0.3">
      <c r="B88" s="15" t="s">
        <v>619</v>
      </c>
      <c r="J88" t="s">
        <v>564</v>
      </c>
      <c r="K88" s="17" t="s">
        <v>155</v>
      </c>
      <c r="L88" s="17" t="s">
        <v>155</v>
      </c>
      <c r="M88" s="17" t="s">
        <v>155</v>
      </c>
      <c r="N88" s="17" t="s">
        <v>155</v>
      </c>
      <c r="O88" s="17" t="s">
        <v>155</v>
      </c>
    </row>
    <row r="89" spans="2:15" x14ac:dyDescent="0.3">
      <c r="C89" s="17" t="s">
        <v>164</v>
      </c>
      <c r="D89" s="17" t="s">
        <v>165</v>
      </c>
      <c r="E89" s="17" t="s">
        <v>166</v>
      </c>
      <c r="F89" s="17" t="s">
        <v>167</v>
      </c>
      <c r="G89" s="17" t="s">
        <v>168</v>
      </c>
      <c r="J89" t="s">
        <v>549</v>
      </c>
      <c r="K89" s="17" t="s">
        <v>155</v>
      </c>
      <c r="L89" s="17" t="s">
        <v>254</v>
      </c>
      <c r="M89" s="17" t="s">
        <v>155</v>
      </c>
      <c r="N89" s="17" t="s">
        <v>254</v>
      </c>
      <c r="O89" s="17" t="s">
        <v>155</v>
      </c>
    </row>
    <row r="90" spans="2:15" x14ac:dyDescent="0.3">
      <c r="B90" s="15" t="s">
        <v>555</v>
      </c>
      <c r="C90" s="17" t="s">
        <v>633</v>
      </c>
      <c r="D90" s="17" t="s">
        <v>620</v>
      </c>
      <c r="E90" s="17" t="s">
        <v>616</v>
      </c>
      <c r="F90" s="17" t="s">
        <v>620</v>
      </c>
      <c r="G90" s="17" t="s">
        <v>623</v>
      </c>
      <c r="J90" t="s">
        <v>550</v>
      </c>
      <c r="K90" s="17" t="s">
        <v>155</v>
      </c>
      <c r="L90" s="17" t="s">
        <v>254</v>
      </c>
      <c r="M90" s="17" t="s">
        <v>155</v>
      </c>
      <c r="N90" s="17" t="s">
        <v>254</v>
      </c>
      <c r="O90" s="17" t="s">
        <v>155</v>
      </c>
    </row>
    <row r="91" spans="2:15" x14ac:dyDescent="0.3">
      <c r="B91" s="15" t="s">
        <v>556</v>
      </c>
      <c r="C91" s="17" t="s">
        <v>633</v>
      </c>
      <c r="D91" s="17" t="s">
        <v>620</v>
      </c>
      <c r="E91" s="17" t="s">
        <v>616</v>
      </c>
      <c r="F91" s="17" t="s">
        <v>620</v>
      </c>
      <c r="G91" s="17" t="s">
        <v>623</v>
      </c>
      <c r="J91" t="s">
        <v>551</v>
      </c>
      <c r="K91" s="17" t="s">
        <v>155</v>
      </c>
      <c r="L91" s="17" t="s">
        <v>155</v>
      </c>
      <c r="M91" s="17" t="s">
        <v>155</v>
      </c>
      <c r="N91" s="17" t="s">
        <v>155</v>
      </c>
      <c r="O91" s="17" t="s">
        <v>155</v>
      </c>
    </row>
    <row r="92" spans="2:15" x14ac:dyDescent="0.3">
      <c r="B92" s="15" t="s">
        <v>557</v>
      </c>
      <c r="C92" s="17" t="s">
        <v>633</v>
      </c>
      <c r="D92" s="17" t="s">
        <v>612</v>
      </c>
      <c r="E92" s="17" t="s">
        <v>621</v>
      </c>
      <c r="F92" s="17" t="s">
        <v>620</v>
      </c>
      <c r="G92" s="17" t="s">
        <v>623</v>
      </c>
      <c r="J92" t="s">
        <v>552</v>
      </c>
      <c r="K92" s="17" t="s">
        <v>155</v>
      </c>
      <c r="L92" s="17" t="s">
        <v>155</v>
      </c>
      <c r="M92" s="17" t="s">
        <v>155</v>
      </c>
      <c r="N92" s="17" t="s">
        <v>155</v>
      </c>
      <c r="O92" s="17" t="s">
        <v>155</v>
      </c>
    </row>
    <row r="93" spans="2:15" x14ac:dyDescent="0.3">
      <c r="B93" s="15" t="s">
        <v>158</v>
      </c>
      <c r="C93" s="17" t="s">
        <v>621</v>
      </c>
      <c r="D93" s="17" t="s">
        <v>612</v>
      </c>
      <c r="E93" s="17" t="s">
        <v>621</v>
      </c>
      <c r="F93" s="17" t="s">
        <v>633</v>
      </c>
      <c r="G93" s="17" t="s">
        <v>615</v>
      </c>
      <c r="J93" t="s">
        <v>553</v>
      </c>
      <c r="K93" s="17" t="s">
        <v>155</v>
      </c>
      <c r="L93" s="17" t="s">
        <v>155</v>
      </c>
      <c r="M93" s="17" t="s">
        <v>155</v>
      </c>
      <c r="N93" s="17" t="s">
        <v>155</v>
      </c>
      <c r="O93" s="17" t="s">
        <v>155</v>
      </c>
    </row>
    <row r="94" spans="2:15" x14ac:dyDescent="0.3">
      <c r="B94" s="15" t="s">
        <v>159</v>
      </c>
      <c r="C94" s="17" t="s">
        <v>621</v>
      </c>
      <c r="D94" s="17" t="s">
        <v>615</v>
      </c>
      <c r="E94" s="17" t="s">
        <v>621</v>
      </c>
      <c r="F94" s="17" t="s">
        <v>633</v>
      </c>
      <c r="G94" s="17" t="s">
        <v>615</v>
      </c>
    </row>
    <row r="95" spans="2:15" x14ac:dyDescent="0.3">
      <c r="B95" s="15" t="s">
        <v>160</v>
      </c>
      <c r="C95" s="17" t="s">
        <v>621</v>
      </c>
      <c r="D95" s="17" t="s">
        <v>615</v>
      </c>
      <c r="E95" s="17" t="s">
        <v>155</v>
      </c>
      <c r="F95" s="17" t="s">
        <v>612</v>
      </c>
      <c r="G95" s="17" t="s">
        <v>615</v>
      </c>
      <c r="J95" t="s">
        <v>718</v>
      </c>
    </row>
    <row r="96" spans="2:15" x14ac:dyDescent="0.3">
      <c r="K96" s="17" t="s">
        <v>164</v>
      </c>
      <c r="L96" s="17" t="s">
        <v>165</v>
      </c>
      <c r="M96" s="17" t="s">
        <v>166</v>
      </c>
      <c r="N96" s="17" t="s">
        <v>167</v>
      </c>
      <c r="O96" s="17" t="s">
        <v>168</v>
      </c>
    </row>
    <row r="97" spans="2:15" x14ac:dyDescent="0.3">
      <c r="B97" s="15" t="s">
        <v>624</v>
      </c>
      <c r="J97" t="s">
        <v>555</v>
      </c>
      <c r="K97" s="17" t="s">
        <v>155</v>
      </c>
      <c r="L97" s="17" t="s">
        <v>385</v>
      </c>
      <c r="M97" s="17" t="s">
        <v>155</v>
      </c>
      <c r="N97" s="17" t="s">
        <v>385</v>
      </c>
      <c r="O97" s="17" t="s">
        <v>155</v>
      </c>
    </row>
    <row r="98" spans="2:15" x14ac:dyDescent="0.3">
      <c r="C98" s="17" t="s">
        <v>164</v>
      </c>
      <c r="D98" s="17" t="s">
        <v>165</v>
      </c>
      <c r="E98" s="17" t="s">
        <v>166</v>
      </c>
      <c r="F98" s="17" t="s">
        <v>167</v>
      </c>
      <c r="G98" s="17" t="s">
        <v>168</v>
      </c>
      <c r="J98" t="s">
        <v>556</v>
      </c>
      <c r="K98" s="17" t="s">
        <v>155</v>
      </c>
      <c r="L98" s="17" t="s">
        <v>385</v>
      </c>
      <c r="M98" s="17" t="s">
        <v>155</v>
      </c>
      <c r="N98" s="17" t="s">
        <v>385</v>
      </c>
      <c r="O98" s="17" t="s">
        <v>155</v>
      </c>
    </row>
    <row r="99" spans="2:15" x14ac:dyDescent="0.3">
      <c r="B99" s="15" t="s">
        <v>555</v>
      </c>
      <c r="C99" s="17" t="s">
        <v>155</v>
      </c>
      <c r="D99" s="17" t="s">
        <v>626</v>
      </c>
      <c r="E99" s="17" t="s">
        <v>614</v>
      </c>
      <c r="F99" s="17" t="s">
        <v>625</v>
      </c>
      <c r="G99" s="17" t="s">
        <v>626</v>
      </c>
      <c r="J99" t="s">
        <v>557</v>
      </c>
      <c r="K99" s="17" t="s">
        <v>155</v>
      </c>
      <c r="L99" s="17" t="s">
        <v>155</v>
      </c>
      <c r="M99" s="17" t="s">
        <v>155</v>
      </c>
      <c r="N99" s="17" t="s">
        <v>385</v>
      </c>
      <c r="O99" s="17" t="s">
        <v>155</v>
      </c>
    </row>
    <row r="100" spans="2:15" x14ac:dyDescent="0.3">
      <c r="B100" s="15" t="s">
        <v>556</v>
      </c>
      <c r="C100" s="17" t="s">
        <v>618</v>
      </c>
      <c r="D100" s="17" t="s">
        <v>626</v>
      </c>
      <c r="E100" s="17" t="s">
        <v>614</v>
      </c>
      <c r="F100" s="17" t="s">
        <v>625</v>
      </c>
      <c r="G100" s="17" t="s">
        <v>626</v>
      </c>
      <c r="J100" t="s">
        <v>158</v>
      </c>
      <c r="K100" s="17" t="s">
        <v>155</v>
      </c>
      <c r="L100" s="17" t="s">
        <v>155</v>
      </c>
      <c r="M100" s="17" t="s">
        <v>155</v>
      </c>
      <c r="N100" s="17" t="s">
        <v>155</v>
      </c>
      <c r="O100" s="17" t="s">
        <v>155</v>
      </c>
    </row>
    <row r="101" spans="2:15" x14ac:dyDescent="0.3">
      <c r="B101" s="15" t="s">
        <v>557</v>
      </c>
      <c r="C101" s="17" t="s">
        <v>618</v>
      </c>
      <c r="D101" s="17" t="s">
        <v>617</v>
      </c>
      <c r="E101" s="17" t="s">
        <v>618</v>
      </c>
      <c r="F101" s="17" t="s">
        <v>625</v>
      </c>
      <c r="G101" s="17" t="s">
        <v>626</v>
      </c>
      <c r="J101" t="s">
        <v>159</v>
      </c>
      <c r="K101" s="17" t="s">
        <v>155</v>
      </c>
      <c r="L101" s="17" t="s">
        <v>155</v>
      </c>
      <c r="M101" s="17" t="s">
        <v>155</v>
      </c>
      <c r="N101" s="17" t="s">
        <v>155</v>
      </c>
      <c r="O101" s="17" t="s">
        <v>155</v>
      </c>
    </row>
    <row r="102" spans="2:15" x14ac:dyDescent="0.3">
      <c r="B102" s="15" t="s">
        <v>158</v>
      </c>
      <c r="C102" s="17" t="s">
        <v>618</v>
      </c>
      <c r="D102" s="17" t="s">
        <v>617</v>
      </c>
      <c r="E102" s="17" t="s">
        <v>618</v>
      </c>
      <c r="F102" s="17" t="s">
        <v>617</v>
      </c>
      <c r="G102" s="17" t="s">
        <v>614</v>
      </c>
      <c r="J102" t="s">
        <v>160</v>
      </c>
      <c r="K102" s="17" t="s">
        <v>155</v>
      </c>
      <c r="L102" s="17" t="s">
        <v>155</v>
      </c>
      <c r="M102" s="17" t="s">
        <v>155</v>
      </c>
      <c r="N102" s="17" t="s">
        <v>155</v>
      </c>
      <c r="O102" s="17" t="s">
        <v>155</v>
      </c>
    </row>
    <row r="103" spans="2:15" x14ac:dyDescent="0.3">
      <c r="B103" s="15" t="s">
        <v>159</v>
      </c>
      <c r="C103" s="17" t="s">
        <v>612</v>
      </c>
      <c r="D103" s="17" t="s">
        <v>616</v>
      </c>
      <c r="E103" s="17" t="s">
        <v>612</v>
      </c>
      <c r="F103" s="17" t="s">
        <v>617</v>
      </c>
      <c r="G103" s="17" t="s">
        <v>614</v>
      </c>
      <c r="J103" t="s">
        <v>561</v>
      </c>
      <c r="K103" s="17" t="s">
        <v>155</v>
      </c>
      <c r="L103" s="17" t="s">
        <v>155</v>
      </c>
      <c r="M103" s="17" t="s">
        <v>155</v>
      </c>
      <c r="N103" s="17" t="s">
        <v>155</v>
      </c>
      <c r="O103" s="17" t="s">
        <v>155</v>
      </c>
    </row>
    <row r="104" spans="2:15" x14ac:dyDescent="0.3">
      <c r="B104" s="15" t="s">
        <v>160</v>
      </c>
      <c r="C104" s="17" t="s">
        <v>612</v>
      </c>
      <c r="D104" s="17" t="s">
        <v>616</v>
      </c>
      <c r="E104" s="17" t="s">
        <v>612</v>
      </c>
      <c r="F104" s="17" t="s">
        <v>617</v>
      </c>
      <c r="G104" s="17" t="s">
        <v>614</v>
      </c>
      <c r="J104" t="s">
        <v>562</v>
      </c>
      <c r="K104" s="17" t="s">
        <v>155</v>
      </c>
      <c r="L104" s="17" t="s">
        <v>155</v>
      </c>
      <c r="M104" s="17" t="s">
        <v>155</v>
      </c>
      <c r="N104" s="17" t="s">
        <v>155</v>
      </c>
      <c r="O104" s="17" t="s">
        <v>155</v>
      </c>
    </row>
    <row r="105" spans="2:15" x14ac:dyDescent="0.3">
      <c r="J105" t="s">
        <v>563</v>
      </c>
      <c r="K105" s="17" t="s">
        <v>155</v>
      </c>
      <c r="L105" s="17" t="s">
        <v>155</v>
      </c>
      <c r="M105" s="17" t="s">
        <v>155</v>
      </c>
      <c r="N105" s="17" t="s">
        <v>155</v>
      </c>
      <c r="O105" s="17" t="s">
        <v>155</v>
      </c>
    </row>
    <row r="106" spans="2:15" x14ac:dyDescent="0.3">
      <c r="B106" s="15" t="s">
        <v>627</v>
      </c>
      <c r="J106" t="s">
        <v>564</v>
      </c>
      <c r="K106" s="17" t="s">
        <v>155</v>
      </c>
      <c r="L106" s="17" t="s">
        <v>155</v>
      </c>
      <c r="M106" s="17" t="s">
        <v>155</v>
      </c>
      <c r="N106" s="17" t="s">
        <v>155</v>
      </c>
      <c r="O106" s="17" t="s">
        <v>155</v>
      </c>
    </row>
    <row r="107" spans="2:15" x14ac:dyDescent="0.3">
      <c r="C107" s="17" t="s">
        <v>164</v>
      </c>
      <c r="D107" s="17" t="s">
        <v>165</v>
      </c>
      <c r="E107" s="17" t="s">
        <v>166</v>
      </c>
      <c r="F107" s="17" t="s">
        <v>167</v>
      </c>
      <c r="G107" s="17" t="s">
        <v>168</v>
      </c>
      <c r="J107" t="s">
        <v>549</v>
      </c>
      <c r="K107" s="17" t="s">
        <v>155</v>
      </c>
      <c r="L107" s="17" t="s">
        <v>155</v>
      </c>
      <c r="M107" s="17" t="s">
        <v>155</v>
      </c>
      <c r="N107" s="17" t="s">
        <v>155</v>
      </c>
      <c r="O107" s="17" t="s">
        <v>155</v>
      </c>
    </row>
    <row r="108" spans="2:15" x14ac:dyDescent="0.3">
      <c r="B108" s="15" t="s">
        <v>555</v>
      </c>
      <c r="C108" s="17" t="s">
        <v>633</v>
      </c>
      <c r="D108" s="17" t="s">
        <v>620</v>
      </c>
      <c r="E108" s="17" t="s">
        <v>628</v>
      </c>
      <c r="F108" s="17" t="s">
        <v>620</v>
      </c>
      <c r="G108" s="17" t="s">
        <v>629</v>
      </c>
      <c r="J108" t="s">
        <v>550</v>
      </c>
      <c r="K108" s="17" t="s">
        <v>155</v>
      </c>
      <c r="L108" s="17" t="s">
        <v>155</v>
      </c>
      <c r="M108" s="17" t="s">
        <v>155</v>
      </c>
      <c r="N108" s="17" t="s">
        <v>155</v>
      </c>
      <c r="O108" s="17" t="s">
        <v>155</v>
      </c>
    </row>
    <row r="109" spans="2:15" x14ac:dyDescent="0.3">
      <c r="B109" s="15" t="s">
        <v>556</v>
      </c>
      <c r="C109" s="17" t="s">
        <v>633</v>
      </c>
      <c r="D109" s="17" t="s">
        <v>620</v>
      </c>
      <c r="E109" s="17" t="s">
        <v>628</v>
      </c>
      <c r="F109" s="17" t="s">
        <v>620</v>
      </c>
      <c r="G109" s="17" t="s">
        <v>629</v>
      </c>
      <c r="J109" t="s">
        <v>551</v>
      </c>
      <c r="K109" s="17" t="s">
        <v>155</v>
      </c>
      <c r="L109" s="17" t="s">
        <v>155</v>
      </c>
      <c r="M109" s="17" t="s">
        <v>155</v>
      </c>
      <c r="N109" s="17" t="s">
        <v>79</v>
      </c>
      <c r="O109" s="17" t="s">
        <v>155</v>
      </c>
    </row>
    <row r="110" spans="2:15" x14ac:dyDescent="0.3">
      <c r="B110" s="15" t="s">
        <v>557</v>
      </c>
      <c r="C110" s="17" t="s">
        <v>633</v>
      </c>
      <c r="D110" s="17" t="s">
        <v>612</v>
      </c>
      <c r="E110" s="17" t="s">
        <v>621</v>
      </c>
      <c r="F110" s="17" t="s">
        <v>620</v>
      </c>
      <c r="G110" s="17" t="s">
        <v>628</v>
      </c>
      <c r="J110" t="s">
        <v>552</v>
      </c>
      <c r="K110" s="17" t="s">
        <v>155</v>
      </c>
      <c r="L110" s="17" t="s">
        <v>79</v>
      </c>
      <c r="M110" s="17" t="s">
        <v>155</v>
      </c>
      <c r="N110" s="17" t="s">
        <v>79</v>
      </c>
      <c r="O110" s="17" t="s">
        <v>155</v>
      </c>
    </row>
    <row r="111" spans="2:15" x14ac:dyDescent="0.3">
      <c r="B111" s="15" t="s">
        <v>158</v>
      </c>
      <c r="C111" s="17" t="s">
        <v>621</v>
      </c>
      <c r="D111" s="17" t="s">
        <v>612</v>
      </c>
      <c r="E111" s="17" t="s">
        <v>621</v>
      </c>
      <c r="F111" s="17" t="s">
        <v>633</v>
      </c>
      <c r="G111" s="17" t="s">
        <v>628</v>
      </c>
      <c r="J111" t="s">
        <v>553</v>
      </c>
      <c r="K111" s="17" t="s">
        <v>155</v>
      </c>
      <c r="L111" s="17" t="s">
        <v>79</v>
      </c>
      <c r="M111" s="17" t="s">
        <v>155</v>
      </c>
      <c r="N111" s="17" t="s">
        <v>79</v>
      </c>
      <c r="O111" s="17" t="s">
        <v>155</v>
      </c>
    </row>
    <row r="112" spans="2:15" x14ac:dyDescent="0.3">
      <c r="B112" s="15" t="s">
        <v>159</v>
      </c>
      <c r="C112" s="17" t="s">
        <v>621</v>
      </c>
      <c r="D112" s="17" t="s">
        <v>629</v>
      </c>
      <c r="E112" s="17" t="s">
        <v>621</v>
      </c>
      <c r="F112" s="17" t="s">
        <v>633</v>
      </c>
      <c r="G112" s="17" t="s">
        <v>628</v>
      </c>
    </row>
    <row r="113" spans="2:15" x14ac:dyDescent="0.3">
      <c r="B113" s="15" t="s">
        <v>160</v>
      </c>
      <c r="C113" s="17" t="s">
        <v>621</v>
      </c>
      <c r="D113" s="17" t="s">
        <v>629</v>
      </c>
      <c r="E113" s="17" t="s">
        <v>155</v>
      </c>
      <c r="F113" s="17" t="s">
        <v>612</v>
      </c>
      <c r="G113" s="17" t="s">
        <v>630</v>
      </c>
      <c r="J113" t="s">
        <v>719</v>
      </c>
    </row>
    <row r="114" spans="2:15" x14ac:dyDescent="0.3">
      <c r="K114" s="17" t="s">
        <v>164</v>
      </c>
      <c r="L114" s="17" t="s">
        <v>165</v>
      </c>
      <c r="M114" s="17" t="s">
        <v>166</v>
      </c>
      <c r="N114" s="17" t="s">
        <v>167</v>
      </c>
      <c r="O114" s="17" t="s">
        <v>168</v>
      </c>
    </row>
    <row r="115" spans="2:15" x14ac:dyDescent="0.3">
      <c r="B115" s="15" t="s">
        <v>631</v>
      </c>
      <c r="J115" t="s">
        <v>555</v>
      </c>
      <c r="K115" s="17" t="s">
        <v>155</v>
      </c>
      <c r="L115" s="17" t="s">
        <v>385</v>
      </c>
      <c r="M115" s="17" t="s">
        <v>155</v>
      </c>
      <c r="N115" s="17" t="s">
        <v>385</v>
      </c>
      <c r="O115" s="17" t="s">
        <v>155</v>
      </c>
    </row>
    <row r="116" spans="2:15" x14ac:dyDescent="0.3">
      <c r="C116" s="17" t="s">
        <v>164</v>
      </c>
      <c r="D116" s="17" t="s">
        <v>165</v>
      </c>
      <c r="E116" s="17" t="s">
        <v>166</v>
      </c>
      <c r="F116" s="17" t="s">
        <v>167</v>
      </c>
      <c r="G116" s="17" t="s">
        <v>168</v>
      </c>
      <c r="J116" t="s">
        <v>556</v>
      </c>
      <c r="K116" s="17" t="s">
        <v>155</v>
      </c>
      <c r="L116" s="17" t="s">
        <v>385</v>
      </c>
      <c r="M116" s="17" t="s">
        <v>155</v>
      </c>
      <c r="N116" s="17" t="s">
        <v>385</v>
      </c>
      <c r="O116" s="17" t="s">
        <v>155</v>
      </c>
    </row>
    <row r="117" spans="2:15" x14ac:dyDescent="0.3">
      <c r="B117" s="15" t="s">
        <v>555</v>
      </c>
      <c r="C117" s="17" t="s">
        <v>622</v>
      </c>
      <c r="D117" s="17" t="s">
        <v>629</v>
      </c>
      <c r="E117" s="17" t="s">
        <v>632</v>
      </c>
      <c r="F117" s="17" t="s">
        <v>622</v>
      </c>
      <c r="G117" s="17" t="s">
        <v>632</v>
      </c>
      <c r="J117" t="s">
        <v>557</v>
      </c>
      <c r="K117" s="17" t="s">
        <v>155</v>
      </c>
      <c r="L117" s="17" t="s">
        <v>155</v>
      </c>
      <c r="M117" s="17" t="s">
        <v>155</v>
      </c>
      <c r="N117" s="17" t="s">
        <v>385</v>
      </c>
      <c r="O117" s="17" t="s">
        <v>155</v>
      </c>
    </row>
    <row r="118" spans="2:15" x14ac:dyDescent="0.3">
      <c r="B118" s="15" t="s">
        <v>556</v>
      </c>
      <c r="C118" s="17" t="s">
        <v>622</v>
      </c>
      <c r="D118" s="17" t="s">
        <v>629</v>
      </c>
      <c r="E118" s="17" t="s">
        <v>632</v>
      </c>
      <c r="F118" s="17" t="s">
        <v>622</v>
      </c>
      <c r="G118" s="17" t="s">
        <v>632</v>
      </c>
      <c r="J118" t="s">
        <v>158</v>
      </c>
      <c r="K118" s="17" t="s">
        <v>155</v>
      </c>
      <c r="L118" s="17" t="s">
        <v>155</v>
      </c>
      <c r="M118" s="17" t="s">
        <v>155</v>
      </c>
      <c r="N118" s="17" t="s">
        <v>155</v>
      </c>
      <c r="O118" s="17" t="s">
        <v>155</v>
      </c>
    </row>
    <row r="119" spans="2:15" x14ac:dyDescent="0.3">
      <c r="B119" s="15" t="s">
        <v>557</v>
      </c>
      <c r="C119" s="17" t="s">
        <v>622</v>
      </c>
      <c r="D119" s="17" t="s">
        <v>634</v>
      </c>
      <c r="E119" s="17" t="s">
        <v>706</v>
      </c>
      <c r="F119" s="17" t="s">
        <v>612</v>
      </c>
      <c r="G119" s="17" t="s">
        <v>632</v>
      </c>
      <c r="J119" t="s">
        <v>159</v>
      </c>
      <c r="K119" s="17" t="s">
        <v>155</v>
      </c>
      <c r="L119" s="17" t="s">
        <v>155</v>
      </c>
      <c r="M119" s="17" t="s">
        <v>155</v>
      </c>
      <c r="N119" s="17" t="s">
        <v>155</v>
      </c>
      <c r="O119" s="17" t="s">
        <v>155</v>
      </c>
    </row>
    <row r="120" spans="2:15" x14ac:dyDescent="0.3">
      <c r="B120" s="15" t="s">
        <v>158</v>
      </c>
      <c r="C120" s="17" t="s">
        <v>706</v>
      </c>
      <c r="D120" s="17" t="s">
        <v>634</v>
      </c>
      <c r="E120" s="17" t="s">
        <v>706</v>
      </c>
      <c r="F120" s="17" t="s">
        <v>612</v>
      </c>
      <c r="G120" s="17" t="s">
        <v>629</v>
      </c>
      <c r="J120" t="s">
        <v>160</v>
      </c>
      <c r="K120" s="17" t="s">
        <v>155</v>
      </c>
      <c r="L120" s="17" t="s">
        <v>155</v>
      </c>
      <c r="M120" s="17" t="s">
        <v>155</v>
      </c>
      <c r="N120" s="17" t="s">
        <v>155</v>
      </c>
      <c r="O120" s="17" t="s">
        <v>155</v>
      </c>
    </row>
    <row r="121" spans="2:15" x14ac:dyDescent="0.3">
      <c r="B121" s="15" t="s">
        <v>159</v>
      </c>
      <c r="C121" s="17" t="s">
        <v>706</v>
      </c>
      <c r="D121" s="17" t="s">
        <v>634</v>
      </c>
      <c r="E121" s="17" t="s">
        <v>706</v>
      </c>
      <c r="F121" s="17" t="s">
        <v>634</v>
      </c>
      <c r="G121" s="17" t="s">
        <v>629</v>
      </c>
      <c r="J121" t="s">
        <v>561</v>
      </c>
      <c r="K121" s="17" t="s">
        <v>155</v>
      </c>
      <c r="L121" s="17" t="s">
        <v>155</v>
      </c>
      <c r="M121" s="17" t="s">
        <v>155</v>
      </c>
      <c r="N121" s="17" t="s">
        <v>155</v>
      </c>
      <c r="O121" s="17" t="s">
        <v>155</v>
      </c>
    </row>
    <row r="122" spans="2:15" x14ac:dyDescent="0.3">
      <c r="B122" s="15" t="s">
        <v>160</v>
      </c>
      <c r="C122" s="17" t="s">
        <v>706</v>
      </c>
      <c r="D122" s="17" t="s">
        <v>612</v>
      </c>
      <c r="E122" s="17" t="s">
        <v>630</v>
      </c>
      <c r="F122" s="17" t="s">
        <v>634</v>
      </c>
      <c r="G122" s="17" t="s">
        <v>155</v>
      </c>
      <c r="J122" t="s">
        <v>562</v>
      </c>
      <c r="K122" s="17" t="s">
        <v>155</v>
      </c>
      <c r="L122" s="17" t="s">
        <v>155</v>
      </c>
      <c r="M122" s="17" t="s">
        <v>155</v>
      </c>
      <c r="N122" s="17" t="s">
        <v>155</v>
      </c>
      <c r="O122" s="17" t="s">
        <v>155</v>
      </c>
    </row>
    <row r="123" spans="2:15" x14ac:dyDescent="0.3">
      <c r="J123" t="s">
        <v>563</v>
      </c>
      <c r="K123" s="17" t="s">
        <v>155</v>
      </c>
      <c r="L123" s="17" t="s">
        <v>155</v>
      </c>
      <c r="M123" s="17" t="s">
        <v>155</v>
      </c>
      <c r="N123" s="17" t="s">
        <v>155</v>
      </c>
      <c r="O123" s="17" t="s">
        <v>155</v>
      </c>
    </row>
    <row r="124" spans="2:15" x14ac:dyDescent="0.3">
      <c r="B124" s="32" t="s">
        <v>603</v>
      </c>
      <c r="J124" t="s">
        <v>564</v>
      </c>
      <c r="K124" s="17" t="s">
        <v>155</v>
      </c>
      <c r="L124" s="17" t="s">
        <v>155</v>
      </c>
      <c r="M124" s="17" t="s">
        <v>155</v>
      </c>
      <c r="N124" s="17" t="s">
        <v>155</v>
      </c>
      <c r="O124" s="17" t="s">
        <v>155</v>
      </c>
    </row>
    <row r="125" spans="2:15" x14ac:dyDescent="0.3">
      <c r="B125" s="78" t="s">
        <v>635</v>
      </c>
      <c r="J125" t="s">
        <v>549</v>
      </c>
      <c r="K125" s="17" t="s">
        <v>155</v>
      </c>
      <c r="L125" s="17" t="s">
        <v>155</v>
      </c>
      <c r="M125" s="17" t="s">
        <v>155</v>
      </c>
      <c r="N125" s="17" t="s">
        <v>155</v>
      </c>
      <c r="O125" s="17" t="s">
        <v>155</v>
      </c>
    </row>
    <row r="126" spans="2:15" x14ac:dyDescent="0.3">
      <c r="J126" t="s">
        <v>550</v>
      </c>
      <c r="K126" s="17" t="s">
        <v>155</v>
      </c>
      <c r="L126" s="17" t="s">
        <v>155</v>
      </c>
      <c r="M126" s="17" t="s">
        <v>155</v>
      </c>
      <c r="N126" s="17" t="s">
        <v>155</v>
      </c>
      <c r="O126" s="17" t="s">
        <v>155</v>
      </c>
    </row>
    <row r="127" spans="2:15" x14ac:dyDescent="0.3">
      <c r="B127" s="15" t="s">
        <v>636</v>
      </c>
      <c r="J127" t="s">
        <v>551</v>
      </c>
      <c r="K127" s="17" t="s">
        <v>155</v>
      </c>
      <c r="L127" s="17" t="s">
        <v>155</v>
      </c>
      <c r="M127" s="17" t="s">
        <v>155</v>
      </c>
      <c r="N127" s="17" t="s">
        <v>79</v>
      </c>
      <c r="O127" s="17" t="s">
        <v>155</v>
      </c>
    </row>
    <row r="128" spans="2:15" x14ac:dyDescent="0.3">
      <c r="C128" s="17" t="s">
        <v>164</v>
      </c>
      <c r="D128" s="17" t="s">
        <v>165</v>
      </c>
      <c r="E128" s="17" t="s">
        <v>166</v>
      </c>
      <c r="F128" s="17" t="s">
        <v>167</v>
      </c>
      <c r="G128" s="17" t="s">
        <v>168</v>
      </c>
      <c r="J128" t="s">
        <v>552</v>
      </c>
      <c r="K128" s="17" t="s">
        <v>155</v>
      </c>
      <c r="L128" s="17" t="s">
        <v>79</v>
      </c>
      <c r="M128" s="17" t="s">
        <v>155</v>
      </c>
      <c r="N128" s="17" t="s">
        <v>79</v>
      </c>
      <c r="O128" s="17" t="s">
        <v>155</v>
      </c>
    </row>
    <row r="129" spans="2:15" x14ac:dyDescent="0.3">
      <c r="B129" s="15" t="s">
        <v>549</v>
      </c>
      <c r="C129" s="17" t="s">
        <v>638</v>
      </c>
      <c r="D129" s="17" t="s">
        <v>637</v>
      </c>
      <c r="E129" s="17" t="s">
        <v>639</v>
      </c>
      <c r="F129" s="17" t="s">
        <v>708</v>
      </c>
      <c r="G129" s="17" t="s">
        <v>637</v>
      </c>
      <c r="J129" t="s">
        <v>553</v>
      </c>
      <c r="K129" s="17" t="s">
        <v>155</v>
      </c>
      <c r="L129" s="17" t="s">
        <v>79</v>
      </c>
      <c r="M129" s="17" t="s">
        <v>155</v>
      </c>
      <c r="N129" s="17" t="s">
        <v>79</v>
      </c>
      <c r="O129" s="17" t="s">
        <v>155</v>
      </c>
    </row>
    <row r="130" spans="2:15" x14ac:dyDescent="0.3">
      <c r="B130" s="15" t="s">
        <v>550</v>
      </c>
      <c r="C130" s="17" t="s">
        <v>638</v>
      </c>
      <c r="D130" s="17" t="s">
        <v>637</v>
      </c>
      <c r="E130" s="17" t="s">
        <v>639</v>
      </c>
      <c r="F130" s="17" t="s">
        <v>708</v>
      </c>
      <c r="G130" s="17" t="s">
        <v>637</v>
      </c>
    </row>
    <row r="131" spans="2:15" x14ac:dyDescent="0.3">
      <c r="B131" s="15" t="s">
        <v>551</v>
      </c>
      <c r="C131" s="17" t="s">
        <v>642</v>
      </c>
      <c r="D131" s="17" t="s">
        <v>708</v>
      </c>
      <c r="E131" s="17" t="s">
        <v>640</v>
      </c>
      <c r="F131" s="17" t="s">
        <v>641</v>
      </c>
      <c r="G131" s="17" t="s">
        <v>642</v>
      </c>
      <c r="J131" t="s">
        <v>720</v>
      </c>
    </row>
    <row r="132" spans="2:15" x14ac:dyDescent="0.3">
      <c r="B132" s="15" t="s">
        <v>552</v>
      </c>
      <c r="C132" s="17" t="s">
        <v>641</v>
      </c>
      <c r="D132" s="17" t="s">
        <v>708</v>
      </c>
      <c r="E132" s="17" t="s">
        <v>640</v>
      </c>
      <c r="F132" s="17" t="s">
        <v>641</v>
      </c>
      <c r="G132" s="17" t="s">
        <v>642</v>
      </c>
      <c r="K132" s="17" t="s">
        <v>164</v>
      </c>
      <c r="L132" s="17" t="s">
        <v>165</v>
      </c>
      <c r="M132" s="17" t="s">
        <v>166</v>
      </c>
      <c r="N132" s="17" t="s">
        <v>167</v>
      </c>
      <c r="O132" s="17" t="s">
        <v>168</v>
      </c>
    </row>
    <row r="133" spans="2:15" x14ac:dyDescent="0.3">
      <c r="B133" s="15" t="s">
        <v>553</v>
      </c>
      <c r="C133" s="17" t="s">
        <v>641</v>
      </c>
      <c r="D133" s="17" t="s">
        <v>708</v>
      </c>
      <c r="E133" s="17" t="s">
        <v>155</v>
      </c>
      <c r="F133" s="17" t="s">
        <v>155</v>
      </c>
      <c r="G133" s="17" t="s">
        <v>155</v>
      </c>
      <c r="J133" t="s">
        <v>555</v>
      </c>
      <c r="K133" s="17" t="s">
        <v>155</v>
      </c>
      <c r="L133" s="17" t="s">
        <v>385</v>
      </c>
      <c r="M133" s="17" t="s">
        <v>155</v>
      </c>
      <c r="N133" s="17" t="s">
        <v>385</v>
      </c>
      <c r="O133" s="17" t="s">
        <v>155</v>
      </c>
    </row>
    <row r="134" spans="2:15" x14ac:dyDescent="0.3">
      <c r="J134" t="s">
        <v>556</v>
      </c>
      <c r="K134" s="17" t="s">
        <v>155</v>
      </c>
      <c r="L134" s="17" t="s">
        <v>385</v>
      </c>
      <c r="M134" s="17" t="s">
        <v>155</v>
      </c>
      <c r="N134" s="17" t="s">
        <v>385</v>
      </c>
      <c r="O134" s="17" t="s">
        <v>155</v>
      </c>
    </row>
    <row r="135" spans="2:15" x14ac:dyDescent="0.3">
      <c r="B135" s="15" t="s">
        <v>567</v>
      </c>
      <c r="J135" t="s">
        <v>557</v>
      </c>
      <c r="K135" s="17" t="s">
        <v>155</v>
      </c>
      <c r="L135" s="17" t="s">
        <v>155</v>
      </c>
      <c r="M135" s="17" t="s">
        <v>155</v>
      </c>
      <c r="N135" s="17" t="s">
        <v>385</v>
      </c>
      <c r="O135" s="17" t="s">
        <v>155</v>
      </c>
    </row>
    <row r="136" spans="2:15" x14ac:dyDescent="0.3">
      <c r="C136" s="17" t="s">
        <v>164</v>
      </c>
      <c r="D136" s="17" t="s">
        <v>165</v>
      </c>
      <c r="E136" s="17" t="s">
        <v>166</v>
      </c>
      <c r="F136" s="17" t="s">
        <v>167</v>
      </c>
      <c r="G136" s="17" t="s">
        <v>168</v>
      </c>
      <c r="J136" t="s">
        <v>158</v>
      </c>
      <c r="K136" s="17" t="s">
        <v>155</v>
      </c>
      <c r="L136" s="17" t="s">
        <v>155</v>
      </c>
      <c r="M136" s="17" t="s">
        <v>155</v>
      </c>
      <c r="N136" s="17" t="s">
        <v>155</v>
      </c>
      <c r="O136" s="17" t="s">
        <v>155</v>
      </c>
    </row>
    <row r="137" spans="2:15" x14ac:dyDescent="0.3">
      <c r="B137" s="15" t="s">
        <v>555</v>
      </c>
      <c r="C137" s="17" t="s">
        <v>643</v>
      </c>
      <c r="D137" s="17" t="s">
        <v>569</v>
      </c>
      <c r="E137" s="17" t="s">
        <v>155</v>
      </c>
      <c r="F137" s="17" t="s">
        <v>569</v>
      </c>
      <c r="G137" s="17" t="s">
        <v>709</v>
      </c>
      <c r="J137" t="s">
        <v>159</v>
      </c>
      <c r="K137" s="17" t="s">
        <v>155</v>
      </c>
      <c r="L137" s="17" t="s">
        <v>155</v>
      </c>
      <c r="M137" s="17" t="s">
        <v>155</v>
      </c>
      <c r="N137" s="17" t="s">
        <v>155</v>
      </c>
      <c r="O137" s="17" t="s">
        <v>155</v>
      </c>
    </row>
    <row r="138" spans="2:15" x14ac:dyDescent="0.3">
      <c r="B138" s="15" t="s">
        <v>556</v>
      </c>
      <c r="C138" s="17" t="s">
        <v>643</v>
      </c>
      <c r="D138" s="17" t="s">
        <v>569</v>
      </c>
      <c r="E138" s="17" t="s">
        <v>572</v>
      </c>
      <c r="F138" s="17" t="s">
        <v>569</v>
      </c>
      <c r="G138" s="17" t="s">
        <v>709</v>
      </c>
      <c r="J138" t="s">
        <v>160</v>
      </c>
      <c r="K138" s="17" t="s">
        <v>155</v>
      </c>
      <c r="L138" s="17" t="s">
        <v>155</v>
      </c>
      <c r="M138" s="17" t="s">
        <v>155</v>
      </c>
      <c r="N138" s="17" t="s">
        <v>155</v>
      </c>
      <c r="O138" s="17" t="s">
        <v>155</v>
      </c>
    </row>
    <row r="139" spans="2:15" x14ac:dyDescent="0.3">
      <c r="B139" s="15" t="s">
        <v>557</v>
      </c>
      <c r="C139" s="17" t="s">
        <v>643</v>
      </c>
      <c r="D139" s="17" t="s">
        <v>656</v>
      </c>
      <c r="E139" s="17" t="s">
        <v>572</v>
      </c>
      <c r="F139" s="17" t="s">
        <v>656</v>
      </c>
      <c r="G139" s="17" t="s">
        <v>571</v>
      </c>
      <c r="J139" t="s">
        <v>561</v>
      </c>
      <c r="K139" s="17" t="s">
        <v>155</v>
      </c>
      <c r="L139" s="17" t="s">
        <v>155</v>
      </c>
      <c r="M139" s="17" t="s">
        <v>155</v>
      </c>
      <c r="N139" s="17" t="s">
        <v>155</v>
      </c>
      <c r="O139" s="17" t="s">
        <v>155</v>
      </c>
    </row>
    <row r="140" spans="2:15" x14ac:dyDescent="0.3">
      <c r="B140" s="15" t="s">
        <v>158</v>
      </c>
      <c r="C140" s="17" t="s">
        <v>643</v>
      </c>
      <c r="D140" s="17" t="s">
        <v>656</v>
      </c>
      <c r="E140" s="17" t="s">
        <v>572</v>
      </c>
      <c r="F140" s="17" t="s">
        <v>656</v>
      </c>
      <c r="G140" s="17" t="s">
        <v>571</v>
      </c>
      <c r="J140" t="s">
        <v>562</v>
      </c>
      <c r="K140" s="17" t="s">
        <v>155</v>
      </c>
      <c r="L140" s="17" t="s">
        <v>155</v>
      </c>
      <c r="M140" s="17" t="s">
        <v>155</v>
      </c>
      <c r="N140" s="17" t="s">
        <v>155</v>
      </c>
      <c r="O140" s="17" t="s">
        <v>155</v>
      </c>
    </row>
    <row r="141" spans="2:15" x14ac:dyDescent="0.3">
      <c r="B141" s="15" t="s">
        <v>159</v>
      </c>
      <c r="C141" s="17" t="s">
        <v>643</v>
      </c>
      <c r="D141" s="17" t="s">
        <v>570</v>
      </c>
      <c r="E141" s="17" t="s">
        <v>571</v>
      </c>
      <c r="F141" s="17" t="s">
        <v>570</v>
      </c>
      <c r="G141" s="17" t="s">
        <v>571</v>
      </c>
      <c r="J141" t="s">
        <v>563</v>
      </c>
      <c r="K141" s="17" t="s">
        <v>155</v>
      </c>
      <c r="L141" s="17" t="s">
        <v>155</v>
      </c>
      <c r="M141" s="17" t="s">
        <v>155</v>
      </c>
      <c r="N141" s="17" t="s">
        <v>155</v>
      </c>
      <c r="O141" s="17" t="s">
        <v>155</v>
      </c>
    </row>
    <row r="142" spans="2:15" x14ac:dyDescent="0.3">
      <c r="B142" s="15" t="s">
        <v>160</v>
      </c>
      <c r="C142" s="17" t="s">
        <v>643</v>
      </c>
      <c r="D142" s="17" t="s">
        <v>155</v>
      </c>
      <c r="E142" s="17" t="s">
        <v>571</v>
      </c>
      <c r="F142" s="17" t="s">
        <v>570</v>
      </c>
      <c r="G142" s="17" t="s">
        <v>155</v>
      </c>
      <c r="J142" t="s">
        <v>564</v>
      </c>
      <c r="K142" s="17" t="s">
        <v>155</v>
      </c>
      <c r="L142" s="17" t="s">
        <v>155</v>
      </c>
      <c r="M142" s="17" t="s">
        <v>155</v>
      </c>
      <c r="N142" s="17" t="s">
        <v>155</v>
      </c>
      <c r="O142" s="17" t="s">
        <v>155</v>
      </c>
    </row>
    <row r="143" spans="2:15" x14ac:dyDescent="0.3">
      <c r="J143" t="s">
        <v>549</v>
      </c>
      <c r="K143" s="17" t="s">
        <v>155</v>
      </c>
      <c r="L143" s="17" t="s">
        <v>155</v>
      </c>
      <c r="M143" s="17" t="s">
        <v>155</v>
      </c>
      <c r="N143" s="17" t="s">
        <v>155</v>
      </c>
      <c r="O143" s="17" t="s">
        <v>155</v>
      </c>
    </row>
    <row r="144" spans="2:15" x14ac:dyDescent="0.3">
      <c r="B144" s="15" t="s">
        <v>568</v>
      </c>
      <c r="J144" t="s">
        <v>550</v>
      </c>
      <c r="K144" s="17" t="s">
        <v>155</v>
      </c>
      <c r="L144" s="17" t="s">
        <v>155</v>
      </c>
      <c r="M144" s="17" t="s">
        <v>155</v>
      </c>
      <c r="N144" s="17" t="s">
        <v>155</v>
      </c>
      <c r="O144" s="17" t="s">
        <v>155</v>
      </c>
    </row>
    <row r="145" spans="2:15" x14ac:dyDescent="0.3">
      <c r="C145" s="17" t="s">
        <v>164</v>
      </c>
      <c r="D145" s="17" t="s">
        <v>165</v>
      </c>
      <c r="E145" s="17" t="s">
        <v>166</v>
      </c>
      <c r="F145" s="17" t="s">
        <v>167</v>
      </c>
      <c r="G145" s="17" t="s">
        <v>168</v>
      </c>
      <c r="J145" t="s">
        <v>551</v>
      </c>
      <c r="K145" s="17" t="s">
        <v>155</v>
      </c>
      <c r="L145" s="17" t="s">
        <v>155</v>
      </c>
      <c r="M145" s="17" t="s">
        <v>155</v>
      </c>
      <c r="N145" s="17" t="s">
        <v>79</v>
      </c>
      <c r="O145" s="17" t="s">
        <v>155</v>
      </c>
    </row>
    <row r="146" spans="2:15" x14ac:dyDescent="0.3">
      <c r="B146" s="15" t="s">
        <v>555</v>
      </c>
      <c r="C146" s="17" t="s">
        <v>710</v>
      </c>
      <c r="D146" s="17" t="s">
        <v>569</v>
      </c>
      <c r="E146" s="17" t="s">
        <v>573</v>
      </c>
      <c r="F146" s="17" t="s">
        <v>569</v>
      </c>
      <c r="G146" s="17" t="s">
        <v>573</v>
      </c>
      <c r="J146" t="s">
        <v>552</v>
      </c>
      <c r="K146" s="17" t="s">
        <v>155</v>
      </c>
      <c r="L146" s="17" t="s">
        <v>79</v>
      </c>
      <c r="M146" s="17" t="s">
        <v>155</v>
      </c>
      <c r="N146" s="17" t="s">
        <v>79</v>
      </c>
      <c r="O146" s="17" t="s">
        <v>155</v>
      </c>
    </row>
    <row r="147" spans="2:15" x14ac:dyDescent="0.3">
      <c r="B147" s="15" t="s">
        <v>556</v>
      </c>
      <c r="C147" s="17" t="s">
        <v>710</v>
      </c>
      <c r="D147" s="17" t="s">
        <v>569</v>
      </c>
      <c r="E147" s="17" t="s">
        <v>573</v>
      </c>
      <c r="F147" s="17" t="s">
        <v>569</v>
      </c>
      <c r="G147" s="17" t="s">
        <v>573</v>
      </c>
      <c r="J147" t="s">
        <v>553</v>
      </c>
      <c r="K147" s="17" t="s">
        <v>155</v>
      </c>
      <c r="L147" s="17" t="s">
        <v>79</v>
      </c>
      <c r="M147" s="17" t="s">
        <v>155</v>
      </c>
      <c r="N147" s="17" t="s">
        <v>79</v>
      </c>
      <c r="O147" s="17" t="s">
        <v>155</v>
      </c>
    </row>
    <row r="148" spans="2:15" x14ac:dyDescent="0.3">
      <c r="B148" s="15" t="s">
        <v>557</v>
      </c>
      <c r="C148" s="17" t="s">
        <v>574</v>
      </c>
      <c r="D148" s="17" t="s">
        <v>656</v>
      </c>
      <c r="E148" s="17" t="s">
        <v>573</v>
      </c>
      <c r="F148" s="17" t="s">
        <v>656</v>
      </c>
      <c r="G148" s="17" t="s">
        <v>573</v>
      </c>
    </row>
    <row r="149" spans="2:15" x14ac:dyDescent="0.3">
      <c r="B149" s="15" t="s">
        <v>158</v>
      </c>
      <c r="C149" s="17" t="s">
        <v>574</v>
      </c>
      <c r="D149" s="17" t="s">
        <v>656</v>
      </c>
      <c r="E149" s="17" t="s">
        <v>574</v>
      </c>
      <c r="F149" s="17" t="s">
        <v>656</v>
      </c>
      <c r="G149" s="17" t="s">
        <v>710</v>
      </c>
      <c r="J149" t="s">
        <v>721</v>
      </c>
    </row>
    <row r="150" spans="2:15" x14ac:dyDescent="0.3">
      <c r="B150" s="15" t="s">
        <v>159</v>
      </c>
      <c r="C150" s="17" t="s">
        <v>574</v>
      </c>
      <c r="D150" s="17" t="s">
        <v>570</v>
      </c>
      <c r="E150" s="17" t="s">
        <v>574</v>
      </c>
      <c r="F150" s="17" t="s">
        <v>570</v>
      </c>
      <c r="G150" s="17" t="s">
        <v>710</v>
      </c>
      <c r="K150" s="17" t="s">
        <v>164</v>
      </c>
      <c r="L150" s="17" t="s">
        <v>165</v>
      </c>
      <c r="M150" s="17" t="s">
        <v>166</v>
      </c>
      <c r="N150" s="17" t="s">
        <v>167</v>
      </c>
      <c r="O150" s="17" t="s">
        <v>168</v>
      </c>
    </row>
    <row r="151" spans="2:15" x14ac:dyDescent="0.3">
      <c r="B151" s="15" t="s">
        <v>160</v>
      </c>
      <c r="C151" s="17" t="s">
        <v>155</v>
      </c>
      <c r="D151" s="17" t="s">
        <v>155</v>
      </c>
      <c r="E151" s="17" t="s">
        <v>574</v>
      </c>
      <c r="F151" s="17" t="s">
        <v>570</v>
      </c>
      <c r="G151" s="17" t="s">
        <v>155</v>
      </c>
      <c r="J151" t="s">
        <v>555</v>
      </c>
      <c r="K151" s="17" t="s">
        <v>155</v>
      </c>
      <c r="L151" s="17" t="s">
        <v>155</v>
      </c>
      <c r="M151" s="17" t="s">
        <v>155</v>
      </c>
      <c r="N151" s="17" t="s">
        <v>155</v>
      </c>
      <c r="O151" s="17" t="s">
        <v>155</v>
      </c>
    </row>
    <row r="152" spans="2:15" x14ac:dyDescent="0.3">
      <c r="J152" t="s">
        <v>556</v>
      </c>
      <c r="K152" s="17" t="s">
        <v>155</v>
      </c>
      <c r="L152" s="17" t="s">
        <v>155</v>
      </c>
      <c r="M152" s="17" t="s">
        <v>155</v>
      </c>
      <c r="N152" s="17" t="s">
        <v>155</v>
      </c>
      <c r="O152" s="17" t="s">
        <v>155</v>
      </c>
    </row>
    <row r="153" spans="2:15" x14ac:dyDescent="0.3">
      <c r="B153" s="15" t="s">
        <v>644</v>
      </c>
      <c r="J153" t="s">
        <v>557</v>
      </c>
      <c r="K153" s="17" t="s">
        <v>155</v>
      </c>
      <c r="L153" s="17" t="s">
        <v>155</v>
      </c>
      <c r="M153" s="17" t="s">
        <v>155</v>
      </c>
      <c r="N153" s="17" t="s">
        <v>155</v>
      </c>
      <c r="O153" s="17" t="s">
        <v>155</v>
      </c>
    </row>
    <row r="154" spans="2:15" x14ac:dyDescent="0.3">
      <c r="C154" s="17" t="s">
        <v>164</v>
      </c>
      <c r="D154" s="17" t="s">
        <v>165</v>
      </c>
      <c r="E154" s="17" t="s">
        <v>166</v>
      </c>
      <c r="F154" s="17" t="s">
        <v>167</v>
      </c>
      <c r="G154" s="17" t="s">
        <v>168</v>
      </c>
      <c r="J154" t="s">
        <v>158</v>
      </c>
      <c r="K154" s="17" t="s">
        <v>155</v>
      </c>
      <c r="L154" s="17" t="s">
        <v>155</v>
      </c>
      <c r="M154" s="17" t="s">
        <v>155</v>
      </c>
      <c r="N154" s="17" t="s">
        <v>155</v>
      </c>
      <c r="O154" s="17" t="s">
        <v>155</v>
      </c>
    </row>
    <row r="155" spans="2:15" x14ac:dyDescent="0.3">
      <c r="B155" s="15" t="s">
        <v>555</v>
      </c>
      <c r="C155" s="17" t="s">
        <v>645</v>
      </c>
      <c r="D155" s="17" t="s">
        <v>646</v>
      </c>
      <c r="E155" s="17" t="s">
        <v>155</v>
      </c>
      <c r="F155" s="17" t="s">
        <v>646</v>
      </c>
      <c r="G155" s="17" t="s">
        <v>645</v>
      </c>
      <c r="J155" t="s">
        <v>159</v>
      </c>
      <c r="K155" s="17" t="s">
        <v>155</v>
      </c>
      <c r="L155" s="17" t="s">
        <v>155</v>
      </c>
      <c r="M155" s="17" t="s">
        <v>155</v>
      </c>
      <c r="N155" s="17" t="s">
        <v>155</v>
      </c>
      <c r="O155" s="17" t="s">
        <v>155</v>
      </c>
    </row>
    <row r="156" spans="2:15" x14ac:dyDescent="0.3">
      <c r="B156" s="15" t="s">
        <v>556</v>
      </c>
      <c r="C156" s="17" t="s">
        <v>645</v>
      </c>
      <c r="D156" s="17" t="s">
        <v>646</v>
      </c>
      <c r="E156" s="17" t="s">
        <v>647</v>
      </c>
      <c r="F156" s="17" t="s">
        <v>646</v>
      </c>
      <c r="G156" s="17" t="s">
        <v>645</v>
      </c>
      <c r="J156" t="s">
        <v>160</v>
      </c>
      <c r="K156" s="17" t="s">
        <v>155</v>
      </c>
      <c r="L156" s="17" t="s">
        <v>155</v>
      </c>
      <c r="M156" s="17" t="s">
        <v>155</v>
      </c>
      <c r="N156" s="17" t="s">
        <v>155</v>
      </c>
      <c r="O156" s="17" t="s">
        <v>155</v>
      </c>
    </row>
    <row r="157" spans="2:15" x14ac:dyDescent="0.3">
      <c r="B157" s="15" t="s">
        <v>557</v>
      </c>
      <c r="C157" s="17" t="s">
        <v>574</v>
      </c>
      <c r="D157" s="17" t="s">
        <v>570</v>
      </c>
      <c r="E157" s="17" t="s">
        <v>647</v>
      </c>
      <c r="F157" s="17" t="s">
        <v>646</v>
      </c>
      <c r="G157" s="17" t="s">
        <v>570</v>
      </c>
      <c r="J157" t="s">
        <v>561</v>
      </c>
      <c r="K157" s="17" t="s">
        <v>155</v>
      </c>
      <c r="L157" s="17" t="s">
        <v>155</v>
      </c>
      <c r="M157" s="17" t="s">
        <v>155</v>
      </c>
      <c r="N157" s="17" t="s">
        <v>155</v>
      </c>
      <c r="O157" s="17" t="s">
        <v>155</v>
      </c>
    </row>
    <row r="158" spans="2:15" x14ac:dyDescent="0.3">
      <c r="B158" s="15" t="s">
        <v>158</v>
      </c>
      <c r="C158" s="17" t="s">
        <v>574</v>
      </c>
      <c r="D158" s="17" t="s">
        <v>570</v>
      </c>
      <c r="E158" s="17" t="s">
        <v>574</v>
      </c>
      <c r="F158" s="17" t="s">
        <v>648</v>
      </c>
      <c r="G158" s="17" t="s">
        <v>647</v>
      </c>
      <c r="J158" t="s">
        <v>562</v>
      </c>
      <c r="K158" s="17" t="s">
        <v>155</v>
      </c>
      <c r="L158" s="17" t="s">
        <v>155</v>
      </c>
      <c r="M158" s="17" t="s">
        <v>155</v>
      </c>
      <c r="N158" s="17" t="s">
        <v>155</v>
      </c>
      <c r="O158" s="17" t="s">
        <v>155</v>
      </c>
    </row>
    <row r="159" spans="2:15" x14ac:dyDescent="0.3">
      <c r="B159" s="15" t="s">
        <v>159</v>
      </c>
      <c r="C159" s="17" t="s">
        <v>574</v>
      </c>
      <c r="D159" s="17" t="s">
        <v>648</v>
      </c>
      <c r="E159" s="17" t="s">
        <v>574</v>
      </c>
      <c r="F159" s="17" t="s">
        <v>648</v>
      </c>
      <c r="G159" s="17" t="s">
        <v>647</v>
      </c>
      <c r="J159" t="s">
        <v>563</v>
      </c>
      <c r="K159" s="17" t="s">
        <v>155</v>
      </c>
      <c r="L159" s="17" t="s">
        <v>155</v>
      </c>
      <c r="M159" s="17" t="s">
        <v>155</v>
      </c>
      <c r="N159" s="17" t="s">
        <v>155</v>
      </c>
      <c r="O159" s="17" t="s">
        <v>155</v>
      </c>
    </row>
    <row r="160" spans="2:15" x14ac:dyDescent="0.3">
      <c r="B160" s="15" t="s">
        <v>160</v>
      </c>
      <c r="C160" s="17" t="s">
        <v>155</v>
      </c>
      <c r="D160" s="17" t="s">
        <v>648</v>
      </c>
      <c r="E160" s="17" t="s">
        <v>574</v>
      </c>
      <c r="F160" s="17" t="s">
        <v>155</v>
      </c>
      <c r="G160" s="17" t="s">
        <v>647</v>
      </c>
      <c r="J160" t="s">
        <v>564</v>
      </c>
      <c r="K160" s="17" t="s">
        <v>155</v>
      </c>
      <c r="L160" s="17" t="s">
        <v>155</v>
      </c>
      <c r="M160" s="17" t="s">
        <v>155</v>
      </c>
      <c r="N160" s="17" t="s">
        <v>155</v>
      </c>
      <c r="O160" s="17" t="s">
        <v>155</v>
      </c>
    </row>
    <row r="161" spans="2:15" x14ac:dyDescent="0.3">
      <c r="J161" t="s">
        <v>549</v>
      </c>
      <c r="K161" s="17" t="s">
        <v>259</v>
      </c>
      <c r="L161" s="17" t="s">
        <v>155</v>
      </c>
      <c r="M161" s="17" t="s">
        <v>155</v>
      </c>
      <c r="N161" s="17" t="s">
        <v>155</v>
      </c>
      <c r="O161" s="17" t="s">
        <v>259</v>
      </c>
    </row>
    <row r="162" spans="2:15" x14ac:dyDescent="0.3">
      <c r="B162" s="15" t="s">
        <v>649</v>
      </c>
      <c r="J162" t="s">
        <v>550</v>
      </c>
      <c r="K162" s="17" t="s">
        <v>259</v>
      </c>
      <c r="L162" s="17" t="s">
        <v>155</v>
      </c>
      <c r="M162" s="17" t="s">
        <v>155</v>
      </c>
      <c r="N162" s="17" t="s">
        <v>155</v>
      </c>
      <c r="O162" s="17" t="s">
        <v>259</v>
      </c>
    </row>
    <row r="163" spans="2:15" x14ac:dyDescent="0.3">
      <c r="C163" s="17" t="s">
        <v>164</v>
      </c>
      <c r="D163" s="17" t="s">
        <v>165</v>
      </c>
      <c r="E163" s="17" t="s">
        <v>166</v>
      </c>
      <c r="F163" s="17" t="s">
        <v>167</v>
      </c>
      <c r="G163" s="17" t="s">
        <v>168</v>
      </c>
      <c r="J163" t="s">
        <v>551</v>
      </c>
      <c r="K163" s="17" t="s">
        <v>155</v>
      </c>
      <c r="L163" s="17" t="s">
        <v>155</v>
      </c>
      <c r="M163" s="17" t="s">
        <v>155</v>
      </c>
      <c r="N163" s="17" t="s">
        <v>155</v>
      </c>
      <c r="O163" s="17" t="s">
        <v>259</v>
      </c>
    </row>
    <row r="164" spans="2:15" x14ac:dyDescent="0.3">
      <c r="B164" s="15" t="s">
        <v>555</v>
      </c>
      <c r="C164" s="17" t="s">
        <v>645</v>
      </c>
      <c r="D164" s="17" t="s">
        <v>654</v>
      </c>
      <c r="E164" s="17" t="s">
        <v>155</v>
      </c>
      <c r="F164" s="17" t="s">
        <v>654</v>
      </c>
      <c r="G164" s="17" t="s">
        <v>645</v>
      </c>
      <c r="J164" t="s">
        <v>552</v>
      </c>
      <c r="K164" s="17" t="s">
        <v>155</v>
      </c>
      <c r="L164" s="17" t="s">
        <v>155</v>
      </c>
      <c r="M164" s="17" t="s">
        <v>155</v>
      </c>
      <c r="N164" s="17" t="s">
        <v>155</v>
      </c>
      <c r="O164" s="17" t="s">
        <v>155</v>
      </c>
    </row>
    <row r="165" spans="2:15" x14ac:dyDescent="0.3">
      <c r="B165" s="15" t="s">
        <v>556</v>
      </c>
      <c r="C165" s="17" t="s">
        <v>645</v>
      </c>
      <c r="D165" s="17" t="s">
        <v>654</v>
      </c>
      <c r="E165" s="17" t="s">
        <v>647</v>
      </c>
      <c r="F165" s="17" t="s">
        <v>654</v>
      </c>
      <c r="G165" s="17" t="s">
        <v>645</v>
      </c>
      <c r="J165" t="s">
        <v>553</v>
      </c>
      <c r="K165" s="17" t="s">
        <v>155</v>
      </c>
      <c r="L165" s="17" t="s">
        <v>155</v>
      </c>
      <c r="M165" s="17" t="s">
        <v>155</v>
      </c>
      <c r="N165" s="17" t="s">
        <v>155</v>
      </c>
      <c r="O165" s="17" t="s">
        <v>155</v>
      </c>
    </row>
    <row r="166" spans="2:15" x14ac:dyDescent="0.3">
      <c r="B166" s="15" t="s">
        <v>557</v>
      </c>
      <c r="C166" s="17" t="s">
        <v>711</v>
      </c>
      <c r="D166" s="17" t="s">
        <v>570</v>
      </c>
      <c r="E166" s="17" t="s">
        <v>647</v>
      </c>
      <c r="F166" s="17" t="s">
        <v>654</v>
      </c>
      <c r="G166" s="17" t="s">
        <v>570</v>
      </c>
    </row>
    <row r="167" spans="2:15" x14ac:dyDescent="0.3">
      <c r="B167" s="15" t="s">
        <v>158</v>
      </c>
      <c r="C167" s="17" t="s">
        <v>711</v>
      </c>
      <c r="D167" s="17" t="s">
        <v>570</v>
      </c>
      <c r="E167" s="17" t="s">
        <v>711</v>
      </c>
      <c r="F167" s="17" t="s">
        <v>648</v>
      </c>
      <c r="G167" s="17" t="s">
        <v>647</v>
      </c>
      <c r="J167" t="s">
        <v>722</v>
      </c>
    </row>
    <row r="168" spans="2:15" x14ac:dyDescent="0.3">
      <c r="B168" s="15" t="s">
        <v>159</v>
      </c>
      <c r="C168" s="17" t="s">
        <v>155</v>
      </c>
      <c r="D168" s="17" t="s">
        <v>648</v>
      </c>
      <c r="E168" s="17" t="s">
        <v>711</v>
      </c>
      <c r="F168" s="17" t="s">
        <v>648</v>
      </c>
      <c r="G168" s="17" t="s">
        <v>647</v>
      </c>
      <c r="K168" s="17" t="s">
        <v>164</v>
      </c>
      <c r="L168" s="17" t="s">
        <v>165</v>
      </c>
      <c r="M168" s="17" t="s">
        <v>166</v>
      </c>
      <c r="N168" s="17" t="s">
        <v>167</v>
      </c>
      <c r="O168" s="17" t="s">
        <v>168</v>
      </c>
    </row>
    <row r="169" spans="2:15" x14ac:dyDescent="0.3">
      <c r="B169" s="15" t="s">
        <v>160</v>
      </c>
      <c r="C169" s="17" t="s">
        <v>155</v>
      </c>
      <c r="D169" s="17" t="s">
        <v>648</v>
      </c>
      <c r="E169" s="17" t="s">
        <v>155</v>
      </c>
      <c r="F169" s="17" t="s">
        <v>155</v>
      </c>
      <c r="G169" s="17" t="s">
        <v>647</v>
      </c>
      <c r="J169" t="s">
        <v>555</v>
      </c>
      <c r="K169" s="17" t="s">
        <v>155</v>
      </c>
      <c r="L169" s="17" t="s">
        <v>155</v>
      </c>
      <c r="M169" s="17" t="s">
        <v>155</v>
      </c>
      <c r="N169" s="17" t="s">
        <v>155</v>
      </c>
      <c r="O169" s="17" t="s">
        <v>155</v>
      </c>
    </row>
    <row r="170" spans="2:15" x14ac:dyDescent="0.3">
      <c r="J170" t="s">
        <v>556</v>
      </c>
      <c r="K170" s="17" t="s">
        <v>155</v>
      </c>
      <c r="L170" s="17" t="s">
        <v>155</v>
      </c>
      <c r="M170" s="17" t="s">
        <v>155</v>
      </c>
      <c r="N170" s="17" t="s">
        <v>155</v>
      </c>
      <c r="O170" s="17" t="s">
        <v>155</v>
      </c>
    </row>
    <row r="171" spans="2:15" x14ac:dyDescent="0.3">
      <c r="B171" s="15" t="s">
        <v>652</v>
      </c>
      <c r="J171" t="s">
        <v>557</v>
      </c>
      <c r="K171" s="17" t="s">
        <v>155</v>
      </c>
      <c r="L171" s="17" t="s">
        <v>356</v>
      </c>
      <c r="M171" s="17" t="s">
        <v>155</v>
      </c>
      <c r="N171" s="17" t="s">
        <v>155</v>
      </c>
      <c r="O171" s="17" t="s">
        <v>155</v>
      </c>
    </row>
    <row r="172" spans="2:15" x14ac:dyDescent="0.3">
      <c r="C172" s="17" t="s">
        <v>164</v>
      </c>
      <c r="D172" s="17" t="s">
        <v>165</v>
      </c>
      <c r="E172" s="17" t="s">
        <v>166</v>
      </c>
      <c r="F172" s="17" t="s">
        <v>167</v>
      </c>
      <c r="G172" s="17" t="s">
        <v>168</v>
      </c>
      <c r="J172" t="s">
        <v>158</v>
      </c>
      <c r="K172" s="17" t="s">
        <v>155</v>
      </c>
      <c r="L172" s="17" t="s">
        <v>356</v>
      </c>
      <c r="M172" s="17" t="s">
        <v>155</v>
      </c>
      <c r="N172" s="17" t="s">
        <v>155</v>
      </c>
      <c r="O172" s="17" t="s">
        <v>155</v>
      </c>
    </row>
    <row r="173" spans="2:15" x14ac:dyDescent="0.3">
      <c r="B173" s="15" t="s">
        <v>555</v>
      </c>
      <c r="C173" s="17" t="s">
        <v>650</v>
      </c>
      <c r="D173" s="17" t="s">
        <v>651</v>
      </c>
      <c r="E173" s="17" t="s">
        <v>653</v>
      </c>
      <c r="F173" s="17" t="s">
        <v>650</v>
      </c>
      <c r="G173" s="17" t="s">
        <v>155</v>
      </c>
      <c r="J173" t="s">
        <v>159</v>
      </c>
      <c r="K173" s="17" t="s">
        <v>155</v>
      </c>
      <c r="L173" s="17" t="s">
        <v>356</v>
      </c>
      <c r="M173" s="17" t="s">
        <v>155</v>
      </c>
      <c r="N173" s="17" t="s">
        <v>356</v>
      </c>
      <c r="O173" s="17" t="s">
        <v>155</v>
      </c>
    </row>
    <row r="174" spans="2:15" x14ac:dyDescent="0.3">
      <c r="B174" s="15" t="s">
        <v>556</v>
      </c>
      <c r="C174" s="17" t="s">
        <v>650</v>
      </c>
      <c r="D174" s="17" t="s">
        <v>651</v>
      </c>
      <c r="E174" s="17" t="s">
        <v>653</v>
      </c>
      <c r="F174" s="17" t="s">
        <v>650</v>
      </c>
      <c r="G174" s="17" t="s">
        <v>653</v>
      </c>
      <c r="J174" t="s">
        <v>160</v>
      </c>
      <c r="K174" s="17" t="s">
        <v>155</v>
      </c>
      <c r="L174" s="17" t="s">
        <v>155</v>
      </c>
      <c r="M174" s="17" t="s">
        <v>155</v>
      </c>
      <c r="N174" s="17" t="s">
        <v>356</v>
      </c>
      <c r="O174" s="17" t="s">
        <v>155</v>
      </c>
    </row>
    <row r="175" spans="2:15" x14ac:dyDescent="0.3">
      <c r="B175" s="15" t="s">
        <v>557</v>
      </c>
      <c r="C175" s="17" t="s">
        <v>655</v>
      </c>
      <c r="D175" s="17" t="s">
        <v>651</v>
      </c>
      <c r="E175" s="17" t="s">
        <v>570</v>
      </c>
      <c r="F175" s="17" t="s">
        <v>712</v>
      </c>
      <c r="G175" s="17" t="s">
        <v>653</v>
      </c>
      <c r="J175" t="s">
        <v>561</v>
      </c>
      <c r="K175" s="17" t="s">
        <v>155</v>
      </c>
      <c r="L175" s="17" t="s">
        <v>155</v>
      </c>
      <c r="M175" s="17" t="s">
        <v>155</v>
      </c>
      <c r="N175" s="17" t="s">
        <v>155</v>
      </c>
      <c r="O175" s="17" t="s">
        <v>155</v>
      </c>
    </row>
    <row r="176" spans="2:15" x14ac:dyDescent="0.3">
      <c r="B176" s="15" t="s">
        <v>158</v>
      </c>
      <c r="C176" s="17" t="s">
        <v>655</v>
      </c>
      <c r="D176" s="17" t="s">
        <v>712</v>
      </c>
      <c r="E176" s="17" t="s">
        <v>570</v>
      </c>
      <c r="F176" s="17" t="s">
        <v>712</v>
      </c>
      <c r="G176" s="17" t="s">
        <v>655</v>
      </c>
      <c r="J176" t="s">
        <v>562</v>
      </c>
      <c r="K176" s="17" t="s">
        <v>155</v>
      </c>
      <c r="L176" s="17" t="s">
        <v>155</v>
      </c>
      <c r="M176" s="17" t="s">
        <v>155</v>
      </c>
      <c r="N176" s="17" t="s">
        <v>155</v>
      </c>
      <c r="O176" s="17" t="s">
        <v>155</v>
      </c>
    </row>
    <row r="177" spans="2:15" x14ac:dyDescent="0.3">
      <c r="B177" s="15" t="s">
        <v>159</v>
      </c>
      <c r="C177" s="17" t="s">
        <v>655</v>
      </c>
      <c r="D177" s="17" t="s">
        <v>712</v>
      </c>
      <c r="E177" s="17" t="s">
        <v>155</v>
      </c>
      <c r="F177" s="17" t="s">
        <v>651</v>
      </c>
      <c r="G177" s="17" t="s">
        <v>655</v>
      </c>
      <c r="J177" t="s">
        <v>563</v>
      </c>
      <c r="K177" s="17" t="s">
        <v>155</v>
      </c>
      <c r="L177" s="17" t="s">
        <v>155</v>
      </c>
      <c r="M177" s="17" t="s">
        <v>155</v>
      </c>
      <c r="N177" s="17" t="s">
        <v>155</v>
      </c>
      <c r="O177" s="17" t="s">
        <v>155</v>
      </c>
    </row>
    <row r="178" spans="2:15" x14ac:dyDescent="0.3">
      <c r="B178" s="15" t="s">
        <v>160</v>
      </c>
      <c r="C178" s="17" t="s">
        <v>570</v>
      </c>
      <c r="D178" s="17" t="s">
        <v>155</v>
      </c>
      <c r="E178" s="17" t="s">
        <v>155</v>
      </c>
      <c r="F178" s="17" t="s">
        <v>651</v>
      </c>
      <c r="G178" s="17" t="s">
        <v>155</v>
      </c>
      <c r="J178" t="s">
        <v>564</v>
      </c>
      <c r="K178" s="17" t="s">
        <v>155</v>
      </c>
      <c r="L178" s="17" t="s">
        <v>155</v>
      </c>
      <c r="M178" s="17" t="s">
        <v>155</v>
      </c>
      <c r="N178" s="17" t="s">
        <v>155</v>
      </c>
      <c r="O178" s="17" t="s">
        <v>155</v>
      </c>
    </row>
    <row r="179" spans="2:15" x14ac:dyDescent="0.3">
      <c r="J179" t="s">
        <v>549</v>
      </c>
      <c r="K179" s="17" t="s">
        <v>155</v>
      </c>
      <c r="L179" s="17" t="s">
        <v>102</v>
      </c>
      <c r="M179" s="17" t="s">
        <v>155</v>
      </c>
      <c r="N179" s="17" t="s">
        <v>102</v>
      </c>
      <c r="O179" s="17" t="s">
        <v>155</v>
      </c>
    </row>
    <row r="180" spans="2:15" x14ac:dyDescent="0.3">
      <c r="J180" t="s">
        <v>550</v>
      </c>
      <c r="K180" s="17" t="s">
        <v>155</v>
      </c>
      <c r="L180" s="17" t="s">
        <v>102</v>
      </c>
      <c r="M180" s="17" t="s">
        <v>155</v>
      </c>
      <c r="N180" s="17" t="s">
        <v>102</v>
      </c>
      <c r="O180" s="17" t="s">
        <v>155</v>
      </c>
    </row>
    <row r="181" spans="2:15" x14ac:dyDescent="0.3">
      <c r="J181" t="s">
        <v>551</v>
      </c>
      <c r="K181" s="17" t="s">
        <v>155</v>
      </c>
      <c r="L181" s="17" t="s">
        <v>102</v>
      </c>
      <c r="M181" s="17" t="s">
        <v>155</v>
      </c>
      <c r="N181" s="17" t="s">
        <v>155</v>
      </c>
      <c r="O181" s="17" t="s">
        <v>155</v>
      </c>
    </row>
    <row r="182" spans="2:15" x14ac:dyDescent="0.3">
      <c r="J182" t="s">
        <v>552</v>
      </c>
      <c r="K182" s="17" t="s">
        <v>155</v>
      </c>
      <c r="L182" s="17" t="s">
        <v>155</v>
      </c>
      <c r="M182" s="17" t="s">
        <v>155</v>
      </c>
      <c r="N182" s="17" t="s">
        <v>155</v>
      </c>
      <c r="O182" s="17" t="s">
        <v>155</v>
      </c>
    </row>
    <row r="183" spans="2:15" x14ac:dyDescent="0.3">
      <c r="J183" t="s">
        <v>553</v>
      </c>
      <c r="K183" s="17" t="s">
        <v>155</v>
      </c>
      <c r="L183" s="17" t="s">
        <v>155</v>
      </c>
      <c r="M183" s="17" t="s">
        <v>155</v>
      </c>
      <c r="N183" s="17" t="s">
        <v>155</v>
      </c>
      <c r="O183" s="17" t="s">
        <v>155</v>
      </c>
    </row>
    <row r="185" spans="2:15" x14ac:dyDescent="0.3">
      <c r="J185" t="s">
        <v>723</v>
      </c>
    </row>
    <row r="186" spans="2:15" x14ac:dyDescent="0.3">
      <c r="K186" s="17" t="s">
        <v>164</v>
      </c>
      <c r="L186" s="17" t="s">
        <v>165</v>
      </c>
      <c r="M186" s="17" t="s">
        <v>166</v>
      </c>
      <c r="N186" s="17" t="s">
        <v>167</v>
      </c>
      <c r="O186" s="17" t="s">
        <v>168</v>
      </c>
    </row>
    <row r="187" spans="2:15" x14ac:dyDescent="0.3">
      <c r="J187" t="s">
        <v>555</v>
      </c>
      <c r="K187" s="17" t="s">
        <v>155</v>
      </c>
      <c r="L187" s="17" t="s">
        <v>155</v>
      </c>
      <c r="M187" s="17" t="s">
        <v>155</v>
      </c>
      <c r="N187" s="17" t="s">
        <v>155</v>
      </c>
      <c r="O187" s="17" t="s">
        <v>155</v>
      </c>
    </row>
    <row r="188" spans="2:15" x14ac:dyDescent="0.3">
      <c r="J188" t="s">
        <v>556</v>
      </c>
      <c r="K188" s="17" t="s">
        <v>155</v>
      </c>
      <c r="L188" s="17" t="s">
        <v>155</v>
      </c>
      <c r="M188" s="17" t="s">
        <v>155</v>
      </c>
      <c r="N188" s="17" t="s">
        <v>155</v>
      </c>
      <c r="O188" s="17" t="s">
        <v>155</v>
      </c>
    </row>
    <row r="189" spans="2:15" x14ac:dyDescent="0.3">
      <c r="J189" t="s">
        <v>557</v>
      </c>
      <c r="K189" s="17" t="s">
        <v>155</v>
      </c>
      <c r="L189" s="17" t="s">
        <v>155</v>
      </c>
      <c r="M189" s="17" t="s">
        <v>155</v>
      </c>
      <c r="N189" s="17" t="s">
        <v>155</v>
      </c>
      <c r="O189" s="17" t="s">
        <v>155</v>
      </c>
    </row>
    <row r="190" spans="2:15" x14ac:dyDescent="0.3">
      <c r="J190" t="s">
        <v>158</v>
      </c>
      <c r="K190" s="17" t="s">
        <v>155</v>
      </c>
      <c r="L190" s="17" t="s">
        <v>155</v>
      </c>
      <c r="M190" s="17" t="s">
        <v>155</v>
      </c>
      <c r="N190" s="17" t="s">
        <v>155</v>
      </c>
      <c r="O190" s="17" t="s">
        <v>155</v>
      </c>
    </row>
    <row r="191" spans="2:15" x14ac:dyDescent="0.3">
      <c r="J191" t="s">
        <v>159</v>
      </c>
      <c r="K191" s="17" t="s">
        <v>155</v>
      </c>
      <c r="L191" s="17" t="s">
        <v>155</v>
      </c>
      <c r="M191" s="17" t="s">
        <v>155</v>
      </c>
      <c r="N191" s="17" t="s">
        <v>155</v>
      </c>
      <c r="O191" s="17" t="s">
        <v>155</v>
      </c>
    </row>
    <row r="192" spans="2:15" x14ac:dyDescent="0.3">
      <c r="J192" t="s">
        <v>160</v>
      </c>
      <c r="K192" s="17" t="s">
        <v>155</v>
      </c>
      <c r="L192" s="17" t="s">
        <v>155</v>
      </c>
      <c r="M192" s="17" t="s">
        <v>155</v>
      </c>
      <c r="N192" s="17" t="s">
        <v>155</v>
      </c>
      <c r="O192" s="17" t="s">
        <v>155</v>
      </c>
    </row>
    <row r="193" spans="10:15" x14ac:dyDescent="0.3">
      <c r="J193" t="s">
        <v>561</v>
      </c>
      <c r="K193" s="17" t="s">
        <v>155</v>
      </c>
      <c r="L193" s="17" t="s">
        <v>155</v>
      </c>
      <c r="M193" s="17" t="s">
        <v>155</v>
      </c>
      <c r="N193" s="17" t="s">
        <v>155</v>
      </c>
      <c r="O193" s="17" t="s">
        <v>155</v>
      </c>
    </row>
    <row r="194" spans="10:15" x14ac:dyDescent="0.3">
      <c r="J194" t="s">
        <v>562</v>
      </c>
      <c r="K194" s="17" t="s">
        <v>155</v>
      </c>
      <c r="L194" s="17" t="s">
        <v>155</v>
      </c>
      <c r="M194" s="17" t="s">
        <v>155</v>
      </c>
      <c r="N194" s="17" t="s">
        <v>155</v>
      </c>
      <c r="O194" s="17" t="s">
        <v>155</v>
      </c>
    </row>
    <row r="195" spans="10:15" x14ac:dyDescent="0.3">
      <c r="J195" t="s">
        <v>563</v>
      </c>
      <c r="K195" s="17" t="s">
        <v>155</v>
      </c>
      <c r="L195" s="17" t="s">
        <v>155</v>
      </c>
      <c r="M195" s="17" t="s">
        <v>155</v>
      </c>
      <c r="N195" s="17" t="s">
        <v>155</v>
      </c>
      <c r="O195" s="17" t="s">
        <v>155</v>
      </c>
    </row>
    <row r="196" spans="10:15" x14ac:dyDescent="0.3">
      <c r="J196" t="s">
        <v>564</v>
      </c>
      <c r="K196" s="17" t="s">
        <v>155</v>
      </c>
      <c r="L196" s="17" t="s">
        <v>155</v>
      </c>
      <c r="M196" s="17" t="s">
        <v>155</v>
      </c>
      <c r="N196" s="17" t="s">
        <v>155</v>
      </c>
      <c r="O196" s="17" t="s">
        <v>155</v>
      </c>
    </row>
    <row r="197" spans="10:15" x14ac:dyDescent="0.3">
      <c r="J197" t="s">
        <v>549</v>
      </c>
      <c r="K197" s="17" t="s">
        <v>155</v>
      </c>
      <c r="L197" s="17" t="s">
        <v>155</v>
      </c>
      <c r="M197" s="17" t="s">
        <v>155</v>
      </c>
      <c r="N197" s="17" t="s">
        <v>155</v>
      </c>
      <c r="O197" s="17" t="s">
        <v>155</v>
      </c>
    </row>
    <row r="198" spans="10:15" x14ac:dyDescent="0.3">
      <c r="J198" t="s">
        <v>550</v>
      </c>
      <c r="K198" s="17" t="s">
        <v>155</v>
      </c>
      <c r="L198" s="17" t="s">
        <v>155</v>
      </c>
      <c r="M198" s="17" t="s">
        <v>155</v>
      </c>
      <c r="N198" s="17" t="s">
        <v>155</v>
      </c>
      <c r="O198" s="17" t="s">
        <v>155</v>
      </c>
    </row>
    <row r="199" spans="10:15" x14ac:dyDescent="0.3">
      <c r="J199" t="s">
        <v>551</v>
      </c>
      <c r="K199" s="17" t="s">
        <v>261</v>
      </c>
      <c r="L199" s="17" t="s">
        <v>155</v>
      </c>
      <c r="M199" s="17" t="s">
        <v>155</v>
      </c>
      <c r="N199" s="17" t="s">
        <v>155</v>
      </c>
      <c r="O199" s="17" t="s">
        <v>155</v>
      </c>
    </row>
    <row r="200" spans="10:15" x14ac:dyDescent="0.3">
      <c r="J200" t="s">
        <v>552</v>
      </c>
      <c r="K200" s="17" t="s">
        <v>155</v>
      </c>
      <c r="L200" s="17" t="s">
        <v>155</v>
      </c>
      <c r="M200" s="17" t="s">
        <v>261</v>
      </c>
      <c r="N200" s="17" t="s">
        <v>155</v>
      </c>
      <c r="O200" s="17" t="s">
        <v>155</v>
      </c>
    </row>
    <row r="201" spans="10:15" x14ac:dyDescent="0.3">
      <c r="J201" t="s">
        <v>553</v>
      </c>
      <c r="K201" s="17" t="s">
        <v>155</v>
      </c>
      <c r="L201" s="17" t="s">
        <v>155</v>
      </c>
      <c r="M201" s="17" t="s">
        <v>261</v>
      </c>
      <c r="N201" s="17" t="s">
        <v>155</v>
      </c>
      <c r="O201" s="17" t="s">
        <v>155</v>
      </c>
    </row>
    <row r="203" spans="10:15" x14ac:dyDescent="0.3">
      <c r="J203" t="s">
        <v>724</v>
      </c>
    </row>
    <row r="204" spans="10:15" x14ac:dyDescent="0.3">
      <c r="K204" s="17" t="s">
        <v>164</v>
      </c>
      <c r="L204" s="17" t="s">
        <v>165</v>
      </c>
      <c r="M204" s="17" t="s">
        <v>166</v>
      </c>
      <c r="N204" s="17" t="s">
        <v>167</v>
      </c>
      <c r="O204" s="17" t="s">
        <v>168</v>
      </c>
    </row>
    <row r="205" spans="10:15" x14ac:dyDescent="0.3">
      <c r="J205" t="s">
        <v>555</v>
      </c>
      <c r="K205" s="17" t="s">
        <v>155</v>
      </c>
      <c r="L205" s="17" t="s">
        <v>155</v>
      </c>
      <c r="M205" s="17" t="s">
        <v>155</v>
      </c>
      <c r="N205" s="17" t="s">
        <v>155</v>
      </c>
      <c r="O205" s="17" t="s">
        <v>155</v>
      </c>
    </row>
    <row r="206" spans="10:15" x14ac:dyDescent="0.3">
      <c r="J206" t="s">
        <v>556</v>
      </c>
      <c r="K206" s="17" t="s">
        <v>155</v>
      </c>
      <c r="L206" s="17" t="s">
        <v>155</v>
      </c>
      <c r="M206" s="17" t="s">
        <v>155</v>
      </c>
      <c r="N206" s="17" t="s">
        <v>155</v>
      </c>
      <c r="O206" s="17" t="s">
        <v>155</v>
      </c>
    </row>
    <row r="207" spans="10:15" x14ac:dyDescent="0.3">
      <c r="J207" t="s">
        <v>557</v>
      </c>
      <c r="K207" s="17" t="s">
        <v>155</v>
      </c>
      <c r="L207" s="17" t="s">
        <v>155</v>
      </c>
      <c r="M207" s="17" t="s">
        <v>155</v>
      </c>
      <c r="N207" s="17" t="s">
        <v>155</v>
      </c>
      <c r="O207" s="17" t="s">
        <v>155</v>
      </c>
    </row>
    <row r="208" spans="10:15" x14ac:dyDescent="0.3">
      <c r="J208" t="s">
        <v>158</v>
      </c>
      <c r="K208" s="17" t="s">
        <v>155</v>
      </c>
      <c r="L208" s="17" t="s">
        <v>155</v>
      </c>
      <c r="M208" s="17" t="s">
        <v>155</v>
      </c>
      <c r="N208" s="17" t="s">
        <v>155</v>
      </c>
      <c r="O208" s="17" t="s">
        <v>155</v>
      </c>
    </row>
    <row r="209" spans="10:15" x14ac:dyDescent="0.3">
      <c r="J209" t="s">
        <v>159</v>
      </c>
      <c r="K209" s="17" t="s">
        <v>155</v>
      </c>
      <c r="L209" s="17" t="s">
        <v>155</v>
      </c>
      <c r="M209" s="17" t="s">
        <v>155</v>
      </c>
      <c r="N209" s="17" t="s">
        <v>155</v>
      </c>
      <c r="O209" s="17" t="s">
        <v>155</v>
      </c>
    </row>
    <row r="210" spans="10:15" x14ac:dyDescent="0.3">
      <c r="J210" t="s">
        <v>160</v>
      </c>
      <c r="K210" s="17" t="s">
        <v>155</v>
      </c>
      <c r="L210" s="17" t="s">
        <v>155</v>
      </c>
      <c r="M210" s="17" t="s">
        <v>155</v>
      </c>
      <c r="N210" s="17" t="s">
        <v>155</v>
      </c>
      <c r="O210" s="17" t="s">
        <v>155</v>
      </c>
    </row>
    <row r="211" spans="10:15" x14ac:dyDescent="0.3">
      <c r="J211" t="s">
        <v>561</v>
      </c>
      <c r="K211" s="17" t="s">
        <v>155</v>
      </c>
      <c r="L211" s="17" t="s">
        <v>155</v>
      </c>
      <c r="M211" s="17" t="s">
        <v>155</v>
      </c>
      <c r="N211" s="17" t="s">
        <v>155</v>
      </c>
      <c r="O211" s="17" t="s">
        <v>155</v>
      </c>
    </row>
    <row r="212" spans="10:15" x14ac:dyDescent="0.3">
      <c r="J212" t="s">
        <v>562</v>
      </c>
      <c r="K212" s="17" t="s">
        <v>155</v>
      </c>
      <c r="L212" s="17" t="s">
        <v>155</v>
      </c>
      <c r="M212" s="17" t="s">
        <v>155</v>
      </c>
      <c r="N212" s="17" t="s">
        <v>155</v>
      </c>
      <c r="O212" s="17" t="s">
        <v>155</v>
      </c>
    </row>
    <row r="213" spans="10:15" x14ac:dyDescent="0.3">
      <c r="J213" t="s">
        <v>563</v>
      </c>
      <c r="K213" s="17" t="s">
        <v>155</v>
      </c>
      <c r="L213" s="17" t="s">
        <v>155</v>
      </c>
      <c r="M213" s="17" t="s">
        <v>155</v>
      </c>
      <c r="N213" s="17" t="s">
        <v>155</v>
      </c>
      <c r="O213" s="17" t="s">
        <v>155</v>
      </c>
    </row>
    <row r="214" spans="10:15" x14ac:dyDescent="0.3">
      <c r="J214" t="s">
        <v>564</v>
      </c>
      <c r="K214" s="17" t="s">
        <v>155</v>
      </c>
      <c r="L214" s="17" t="s">
        <v>155</v>
      </c>
      <c r="M214" s="17" t="s">
        <v>155</v>
      </c>
      <c r="N214" s="17" t="s">
        <v>155</v>
      </c>
      <c r="O214" s="17" t="s">
        <v>155</v>
      </c>
    </row>
    <row r="215" spans="10:15" x14ac:dyDescent="0.3">
      <c r="J215" t="s">
        <v>549</v>
      </c>
      <c r="K215" s="17" t="s">
        <v>155</v>
      </c>
      <c r="L215" s="17" t="s">
        <v>155</v>
      </c>
      <c r="M215" s="17" t="s">
        <v>155</v>
      </c>
      <c r="N215" s="17" t="s">
        <v>155</v>
      </c>
      <c r="O215" s="17" t="s">
        <v>155</v>
      </c>
    </row>
    <row r="216" spans="10:15" x14ac:dyDescent="0.3">
      <c r="J216" t="s">
        <v>550</v>
      </c>
      <c r="K216" s="17" t="s">
        <v>155</v>
      </c>
      <c r="L216" s="17" t="s">
        <v>155</v>
      </c>
      <c r="M216" s="17" t="s">
        <v>155</v>
      </c>
      <c r="N216" s="17" t="s">
        <v>155</v>
      </c>
      <c r="O216" s="17" t="s">
        <v>155</v>
      </c>
    </row>
    <row r="217" spans="10:15" x14ac:dyDescent="0.3">
      <c r="J217" t="s">
        <v>551</v>
      </c>
      <c r="K217" s="17" t="s">
        <v>155</v>
      </c>
      <c r="L217" s="17" t="s">
        <v>155</v>
      </c>
      <c r="M217" s="17" t="s">
        <v>155</v>
      </c>
      <c r="N217" s="17" t="s">
        <v>91</v>
      </c>
      <c r="O217" s="17" t="s">
        <v>155</v>
      </c>
    </row>
    <row r="218" spans="10:15" x14ac:dyDescent="0.3">
      <c r="J218" t="s">
        <v>552</v>
      </c>
      <c r="K218" s="17" t="s">
        <v>91</v>
      </c>
      <c r="L218" s="17" t="s">
        <v>155</v>
      </c>
      <c r="M218" s="17" t="s">
        <v>155</v>
      </c>
      <c r="N218" s="17" t="s">
        <v>91</v>
      </c>
      <c r="O218" s="17" t="s">
        <v>155</v>
      </c>
    </row>
    <row r="219" spans="10:15" x14ac:dyDescent="0.3">
      <c r="J219" t="s">
        <v>553</v>
      </c>
      <c r="K219" s="17" t="s">
        <v>91</v>
      </c>
      <c r="L219" s="17" t="s">
        <v>155</v>
      </c>
      <c r="M219" s="17" t="s">
        <v>155</v>
      </c>
      <c r="N219" s="17" t="s">
        <v>155</v>
      </c>
      <c r="O219" s="17" t="s">
        <v>155</v>
      </c>
    </row>
    <row r="221" spans="10:15" x14ac:dyDescent="0.3">
      <c r="J221" t="s">
        <v>725</v>
      </c>
    </row>
    <row r="222" spans="10:15" x14ac:dyDescent="0.3">
      <c r="K222" s="17" t="s">
        <v>164</v>
      </c>
      <c r="L222" s="17" t="s">
        <v>165</v>
      </c>
      <c r="M222" s="17" t="s">
        <v>166</v>
      </c>
      <c r="N222" s="17" t="s">
        <v>167</v>
      </c>
      <c r="O222" s="17" t="s">
        <v>168</v>
      </c>
    </row>
    <row r="223" spans="10:15" x14ac:dyDescent="0.3">
      <c r="J223" t="s">
        <v>555</v>
      </c>
      <c r="K223" s="17" t="s">
        <v>155</v>
      </c>
      <c r="L223" s="17" t="s">
        <v>155</v>
      </c>
      <c r="M223" s="17" t="s">
        <v>155</v>
      </c>
      <c r="N223" s="17" t="s">
        <v>155</v>
      </c>
      <c r="O223" s="17" t="s">
        <v>155</v>
      </c>
    </row>
    <row r="224" spans="10:15" x14ac:dyDescent="0.3">
      <c r="J224" t="s">
        <v>556</v>
      </c>
      <c r="K224" s="17" t="s">
        <v>155</v>
      </c>
      <c r="L224" s="17" t="s">
        <v>155</v>
      </c>
      <c r="M224" s="17" t="s">
        <v>155</v>
      </c>
      <c r="N224" s="17" t="s">
        <v>155</v>
      </c>
      <c r="O224" s="17" t="s">
        <v>155</v>
      </c>
    </row>
    <row r="225" spans="10:15" x14ac:dyDescent="0.3">
      <c r="J225" t="s">
        <v>557</v>
      </c>
      <c r="K225" s="17" t="s">
        <v>155</v>
      </c>
      <c r="L225" s="17" t="s">
        <v>155</v>
      </c>
      <c r="M225" s="17" t="s">
        <v>155</v>
      </c>
      <c r="N225" s="17" t="s">
        <v>155</v>
      </c>
      <c r="O225" s="17" t="s">
        <v>155</v>
      </c>
    </row>
    <row r="226" spans="10:15" x14ac:dyDescent="0.3">
      <c r="J226" t="s">
        <v>158</v>
      </c>
      <c r="K226" s="17" t="s">
        <v>155</v>
      </c>
      <c r="L226" s="17" t="s">
        <v>155</v>
      </c>
      <c r="M226" s="17" t="s">
        <v>155</v>
      </c>
      <c r="N226" s="17" t="s">
        <v>155</v>
      </c>
      <c r="O226" s="17" t="s">
        <v>155</v>
      </c>
    </row>
    <row r="227" spans="10:15" x14ac:dyDescent="0.3">
      <c r="J227" t="s">
        <v>159</v>
      </c>
      <c r="K227" s="17" t="s">
        <v>155</v>
      </c>
      <c r="L227" s="17" t="s">
        <v>155</v>
      </c>
      <c r="M227" s="17" t="s">
        <v>155</v>
      </c>
      <c r="N227" s="17" t="s">
        <v>155</v>
      </c>
      <c r="O227" s="17" t="s">
        <v>155</v>
      </c>
    </row>
    <row r="228" spans="10:15" x14ac:dyDescent="0.3">
      <c r="J228" t="s">
        <v>160</v>
      </c>
      <c r="K228" s="17" t="s">
        <v>155</v>
      </c>
      <c r="L228" s="17" t="s">
        <v>155</v>
      </c>
      <c r="M228" s="17" t="s">
        <v>155</v>
      </c>
      <c r="N228" s="17" t="s">
        <v>155</v>
      </c>
      <c r="O228" s="17" t="s">
        <v>155</v>
      </c>
    </row>
    <row r="229" spans="10:15" x14ac:dyDescent="0.3">
      <c r="J229" t="s">
        <v>561</v>
      </c>
      <c r="K229" s="17" t="s">
        <v>155</v>
      </c>
      <c r="L229" s="17" t="s">
        <v>155</v>
      </c>
      <c r="M229" s="17" t="s">
        <v>155</v>
      </c>
      <c r="N229" s="17" t="s">
        <v>155</v>
      </c>
      <c r="O229" s="17" t="s">
        <v>155</v>
      </c>
    </row>
    <row r="230" spans="10:15" x14ac:dyDescent="0.3">
      <c r="J230" t="s">
        <v>562</v>
      </c>
      <c r="K230" s="17" t="s">
        <v>155</v>
      </c>
      <c r="L230" s="17" t="s">
        <v>155</v>
      </c>
      <c r="M230" s="17" t="s">
        <v>155</v>
      </c>
      <c r="N230" s="17" t="s">
        <v>155</v>
      </c>
      <c r="O230" s="17" t="s">
        <v>155</v>
      </c>
    </row>
    <row r="231" spans="10:15" x14ac:dyDescent="0.3">
      <c r="J231" t="s">
        <v>563</v>
      </c>
      <c r="K231" s="17" t="s">
        <v>155</v>
      </c>
      <c r="L231" s="17" t="s">
        <v>155</v>
      </c>
      <c r="M231" s="17" t="s">
        <v>155</v>
      </c>
      <c r="N231" s="17" t="s">
        <v>155</v>
      </c>
      <c r="O231" s="17" t="s">
        <v>155</v>
      </c>
    </row>
    <row r="232" spans="10:15" x14ac:dyDescent="0.3">
      <c r="J232" t="s">
        <v>564</v>
      </c>
      <c r="K232" s="17" t="s">
        <v>155</v>
      </c>
      <c r="L232" s="17" t="s">
        <v>155</v>
      </c>
      <c r="M232" s="17" t="s">
        <v>155</v>
      </c>
      <c r="N232" s="17" t="s">
        <v>155</v>
      </c>
      <c r="O232" s="17" t="s">
        <v>155</v>
      </c>
    </row>
    <row r="233" spans="10:15" x14ac:dyDescent="0.3">
      <c r="J233" t="s">
        <v>549</v>
      </c>
      <c r="K233" s="17" t="s">
        <v>155</v>
      </c>
      <c r="L233" s="17" t="s">
        <v>155</v>
      </c>
      <c r="M233" s="17" t="s">
        <v>155</v>
      </c>
      <c r="N233" s="17" t="s">
        <v>155</v>
      </c>
      <c r="O233" s="17" t="s">
        <v>155</v>
      </c>
    </row>
    <row r="234" spans="10:15" x14ac:dyDescent="0.3">
      <c r="J234" t="s">
        <v>550</v>
      </c>
      <c r="K234" s="17" t="s">
        <v>155</v>
      </c>
      <c r="L234" s="17" t="s">
        <v>155</v>
      </c>
      <c r="M234" s="17" t="s">
        <v>155</v>
      </c>
      <c r="N234" s="17" t="s">
        <v>155</v>
      </c>
      <c r="O234" s="17" t="s">
        <v>155</v>
      </c>
    </row>
    <row r="235" spans="10:15" x14ac:dyDescent="0.3">
      <c r="J235" t="s">
        <v>551</v>
      </c>
      <c r="K235" s="17" t="s">
        <v>155</v>
      </c>
      <c r="L235" s="17" t="s">
        <v>155</v>
      </c>
      <c r="M235" s="17" t="s">
        <v>155</v>
      </c>
      <c r="N235" s="17" t="s">
        <v>155</v>
      </c>
      <c r="O235" s="17" t="s">
        <v>155</v>
      </c>
    </row>
    <row r="236" spans="10:15" x14ac:dyDescent="0.3">
      <c r="J236" t="s">
        <v>552</v>
      </c>
      <c r="K236" s="17" t="s">
        <v>155</v>
      </c>
      <c r="L236" s="17" t="s">
        <v>155</v>
      </c>
      <c r="M236" s="17" t="s">
        <v>155</v>
      </c>
      <c r="N236" s="17" t="s">
        <v>155</v>
      </c>
      <c r="O236" s="17" t="s">
        <v>155</v>
      </c>
    </row>
    <row r="237" spans="10:15" x14ac:dyDescent="0.3">
      <c r="J237" t="s">
        <v>553</v>
      </c>
      <c r="K237" s="17" t="s">
        <v>155</v>
      </c>
      <c r="L237" s="17" t="s">
        <v>155</v>
      </c>
      <c r="M237" s="17" t="s">
        <v>155</v>
      </c>
      <c r="N237" s="17" t="s">
        <v>155</v>
      </c>
      <c r="O237" s="17" t="s">
        <v>155</v>
      </c>
    </row>
    <row r="239" spans="10:15" x14ac:dyDescent="0.3">
      <c r="J239" t="s">
        <v>726</v>
      </c>
    </row>
    <row r="240" spans="10:15" x14ac:dyDescent="0.3">
      <c r="K240" s="17" t="s">
        <v>164</v>
      </c>
      <c r="L240" s="17" t="s">
        <v>165</v>
      </c>
      <c r="M240" s="17" t="s">
        <v>166</v>
      </c>
      <c r="N240" s="17" t="s">
        <v>167</v>
      </c>
      <c r="O240" s="17" t="s">
        <v>168</v>
      </c>
    </row>
    <row r="241" spans="10:15" x14ac:dyDescent="0.3">
      <c r="J241" t="s">
        <v>555</v>
      </c>
      <c r="K241" s="17" t="s">
        <v>155</v>
      </c>
      <c r="L241" s="17" t="s">
        <v>155</v>
      </c>
      <c r="M241" s="17" t="s">
        <v>155</v>
      </c>
      <c r="N241" s="17" t="s">
        <v>155</v>
      </c>
      <c r="O241" s="17" t="s">
        <v>155</v>
      </c>
    </row>
    <row r="242" spans="10:15" x14ac:dyDescent="0.3">
      <c r="J242" t="s">
        <v>556</v>
      </c>
      <c r="K242" s="17" t="s">
        <v>155</v>
      </c>
      <c r="L242" s="17" t="s">
        <v>155</v>
      </c>
      <c r="M242" s="17" t="s">
        <v>155</v>
      </c>
      <c r="N242" s="17" t="s">
        <v>155</v>
      </c>
      <c r="O242" s="17" t="s">
        <v>155</v>
      </c>
    </row>
    <row r="243" spans="10:15" x14ac:dyDescent="0.3">
      <c r="J243" t="s">
        <v>557</v>
      </c>
      <c r="K243" s="17" t="s">
        <v>155</v>
      </c>
      <c r="L243" s="17" t="s">
        <v>155</v>
      </c>
      <c r="M243" s="17" t="s">
        <v>155</v>
      </c>
      <c r="N243" s="17" t="s">
        <v>155</v>
      </c>
      <c r="O243" s="17" t="s">
        <v>155</v>
      </c>
    </row>
    <row r="244" spans="10:15" x14ac:dyDescent="0.3">
      <c r="J244" t="s">
        <v>158</v>
      </c>
      <c r="K244" s="17" t="s">
        <v>155</v>
      </c>
      <c r="L244" s="17" t="s">
        <v>155</v>
      </c>
      <c r="M244" s="17" t="s">
        <v>155</v>
      </c>
      <c r="N244" s="17" t="s">
        <v>155</v>
      </c>
      <c r="O244" s="17" t="s">
        <v>155</v>
      </c>
    </row>
    <row r="245" spans="10:15" x14ac:dyDescent="0.3">
      <c r="J245" t="s">
        <v>159</v>
      </c>
      <c r="K245" s="17" t="s">
        <v>155</v>
      </c>
      <c r="L245" s="17" t="s">
        <v>155</v>
      </c>
      <c r="M245" s="17" t="s">
        <v>155</v>
      </c>
      <c r="N245" s="17" t="s">
        <v>155</v>
      </c>
      <c r="O245" s="17" t="s">
        <v>155</v>
      </c>
    </row>
    <row r="246" spans="10:15" x14ac:dyDescent="0.3">
      <c r="J246" t="s">
        <v>160</v>
      </c>
      <c r="K246" s="17" t="s">
        <v>155</v>
      </c>
      <c r="L246" s="17" t="s">
        <v>155</v>
      </c>
      <c r="M246" s="17" t="s">
        <v>155</v>
      </c>
      <c r="N246" s="17" t="s">
        <v>155</v>
      </c>
      <c r="O246" s="17" t="s">
        <v>155</v>
      </c>
    </row>
    <row r="247" spans="10:15" x14ac:dyDescent="0.3">
      <c r="J247" t="s">
        <v>561</v>
      </c>
      <c r="K247" s="17" t="s">
        <v>155</v>
      </c>
      <c r="L247" s="17" t="s">
        <v>155</v>
      </c>
      <c r="M247" s="17" t="s">
        <v>155</v>
      </c>
      <c r="N247" s="17" t="s">
        <v>155</v>
      </c>
      <c r="O247" s="17" t="s">
        <v>155</v>
      </c>
    </row>
    <row r="248" spans="10:15" x14ac:dyDescent="0.3">
      <c r="J248" t="s">
        <v>562</v>
      </c>
      <c r="K248" s="17" t="s">
        <v>155</v>
      </c>
      <c r="L248" s="17" t="s">
        <v>155</v>
      </c>
      <c r="M248" s="17" t="s">
        <v>155</v>
      </c>
      <c r="N248" s="17" t="s">
        <v>155</v>
      </c>
      <c r="O248" s="17" t="s">
        <v>155</v>
      </c>
    </row>
    <row r="249" spans="10:15" x14ac:dyDescent="0.3">
      <c r="J249" t="s">
        <v>563</v>
      </c>
      <c r="K249" s="17" t="s">
        <v>155</v>
      </c>
      <c r="L249" s="17" t="s">
        <v>155</v>
      </c>
      <c r="M249" s="17" t="s">
        <v>155</v>
      </c>
      <c r="N249" s="17" t="s">
        <v>155</v>
      </c>
      <c r="O249" s="17" t="s">
        <v>155</v>
      </c>
    </row>
    <row r="250" spans="10:15" x14ac:dyDescent="0.3">
      <c r="J250" t="s">
        <v>564</v>
      </c>
      <c r="K250" s="17" t="s">
        <v>155</v>
      </c>
      <c r="L250" s="17" t="s">
        <v>155</v>
      </c>
      <c r="M250" s="17" t="s">
        <v>155</v>
      </c>
      <c r="N250" s="17" t="s">
        <v>155</v>
      </c>
      <c r="O250" s="17" t="s">
        <v>155</v>
      </c>
    </row>
    <row r="251" spans="10:15" x14ac:dyDescent="0.3">
      <c r="J251" t="s">
        <v>549</v>
      </c>
      <c r="K251" s="17" t="s">
        <v>155</v>
      </c>
      <c r="L251" s="17" t="s">
        <v>155</v>
      </c>
      <c r="M251" s="17" t="s">
        <v>155</v>
      </c>
      <c r="N251" s="17" t="s">
        <v>155</v>
      </c>
      <c r="O251" s="17" t="s">
        <v>155</v>
      </c>
    </row>
    <row r="252" spans="10:15" x14ac:dyDescent="0.3">
      <c r="J252" t="s">
        <v>550</v>
      </c>
      <c r="K252" s="17" t="s">
        <v>155</v>
      </c>
      <c r="L252" s="17" t="s">
        <v>155</v>
      </c>
      <c r="M252" s="17" t="s">
        <v>155</v>
      </c>
      <c r="N252" s="17" t="s">
        <v>155</v>
      </c>
      <c r="O252" s="17" t="s">
        <v>155</v>
      </c>
    </row>
    <row r="253" spans="10:15" x14ac:dyDescent="0.3">
      <c r="J253" t="s">
        <v>551</v>
      </c>
      <c r="K253" s="17" t="s">
        <v>262</v>
      </c>
      <c r="L253" s="17" t="s">
        <v>155</v>
      </c>
      <c r="M253" s="17" t="s">
        <v>155</v>
      </c>
      <c r="N253" s="17" t="s">
        <v>155</v>
      </c>
      <c r="O253" s="17" t="s">
        <v>262</v>
      </c>
    </row>
    <row r="254" spans="10:15" x14ac:dyDescent="0.3">
      <c r="J254" t="s">
        <v>552</v>
      </c>
      <c r="K254" s="17" t="s">
        <v>155</v>
      </c>
      <c r="L254" s="17" t="s">
        <v>155</v>
      </c>
      <c r="M254" s="17" t="s">
        <v>155</v>
      </c>
      <c r="N254" s="17" t="s">
        <v>155</v>
      </c>
      <c r="O254" s="17" t="s">
        <v>262</v>
      </c>
    </row>
    <row r="255" spans="10:15" x14ac:dyDescent="0.3">
      <c r="J255" t="s">
        <v>553</v>
      </c>
      <c r="K255" s="17" t="s">
        <v>155</v>
      </c>
      <c r="L255" s="17" t="s">
        <v>155</v>
      </c>
      <c r="M255" s="17" t="s">
        <v>155</v>
      </c>
      <c r="N255" s="17" t="s">
        <v>155</v>
      </c>
      <c r="O255" s="17" t="s">
        <v>155</v>
      </c>
    </row>
    <row r="257" spans="10:15" x14ac:dyDescent="0.3">
      <c r="J257" t="s">
        <v>727</v>
      </c>
    </row>
    <row r="258" spans="10:15" x14ac:dyDescent="0.3">
      <c r="K258" s="17" t="s">
        <v>164</v>
      </c>
      <c r="L258" s="17" t="s">
        <v>165</v>
      </c>
      <c r="M258" s="17" t="s">
        <v>166</v>
      </c>
      <c r="N258" s="17" t="s">
        <v>167</v>
      </c>
      <c r="O258" s="17" t="s">
        <v>168</v>
      </c>
    </row>
    <row r="259" spans="10:15" x14ac:dyDescent="0.3">
      <c r="J259" t="s">
        <v>555</v>
      </c>
      <c r="K259" s="17" t="s">
        <v>155</v>
      </c>
      <c r="L259" s="17" t="s">
        <v>155</v>
      </c>
      <c r="M259" s="17" t="s">
        <v>155</v>
      </c>
      <c r="N259" s="17" t="s">
        <v>155</v>
      </c>
      <c r="O259" s="17" t="s">
        <v>155</v>
      </c>
    </row>
    <row r="260" spans="10:15" x14ac:dyDescent="0.3">
      <c r="J260" t="s">
        <v>556</v>
      </c>
      <c r="K260" s="17" t="s">
        <v>155</v>
      </c>
      <c r="L260" s="17" t="s">
        <v>155</v>
      </c>
      <c r="M260" s="17" t="s">
        <v>155</v>
      </c>
      <c r="N260" s="17" t="s">
        <v>155</v>
      </c>
      <c r="O260" s="17" t="s">
        <v>155</v>
      </c>
    </row>
    <row r="261" spans="10:15" x14ac:dyDescent="0.3">
      <c r="J261" t="s">
        <v>557</v>
      </c>
      <c r="K261" s="17" t="s">
        <v>155</v>
      </c>
      <c r="L261" s="17" t="s">
        <v>155</v>
      </c>
      <c r="M261" s="17" t="s">
        <v>155</v>
      </c>
      <c r="N261" s="17" t="s">
        <v>155</v>
      </c>
      <c r="O261" s="17" t="s">
        <v>155</v>
      </c>
    </row>
    <row r="262" spans="10:15" x14ac:dyDescent="0.3">
      <c r="J262" t="s">
        <v>158</v>
      </c>
      <c r="K262" s="17" t="s">
        <v>155</v>
      </c>
      <c r="L262" s="17" t="s">
        <v>155</v>
      </c>
      <c r="M262" s="17" t="s">
        <v>155</v>
      </c>
      <c r="N262" s="17" t="s">
        <v>155</v>
      </c>
      <c r="O262" s="17" t="s">
        <v>155</v>
      </c>
    </row>
    <row r="263" spans="10:15" x14ac:dyDescent="0.3">
      <c r="J263" t="s">
        <v>159</v>
      </c>
      <c r="K263" s="17" t="s">
        <v>155</v>
      </c>
      <c r="L263" s="17" t="s">
        <v>155</v>
      </c>
      <c r="M263" s="17" t="s">
        <v>155</v>
      </c>
      <c r="N263" s="17" t="s">
        <v>155</v>
      </c>
      <c r="O263" s="17" t="s">
        <v>155</v>
      </c>
    </row>
    <row r="264" spans="10:15" x14ac:dyDescent="0.3">
      <c r="J264" t="s">
        <v>160</v>
      </c>
      <c r="K264" s="17" t="s">
        <v>155</v>
      </c>
      <c r="L264" s="17" t="s">
        <v>155</v>
      </c>
      <c r="M264" s="17" t="s">
        <v>155</v>
      </c>
      <c r="N264" s="17" t="s">
        <v>155</v>
      </c>
      <c r="O264" s="17" t="s">
        <v>155</v>
      </c>
    </row>
    <row r="265" spans="10:15" x14ac:dyDescent="0.3">
      <c r="J265" t="s">
        <v>561</v>
      </c>
      <c r="K265" s="17" t="s">
        <v>155</v>
      </c>
      <c r="L265" s="17" t="s">
        <v>155</v>
      </c>
      <c r="M265" s="17" t="s">
        <v>155</v>
      </c>
      <c r="N265" s="17" t="s">
        <v>155</v>
      </c>
      <c r="O265" s="17" t="s">
        <v>155</v>
      </c>
    </row>
    <row r="266" spans="10:15" x14ac:dyDescent="0.3">
      <c r="J266" t="s">
        <v>562</v>
      </c>
      <c r="K266" s="17" t="s">
        <v>155</v>
      </c>
      <c r="L266" s="17" t="s">
        <v>155</v>
      </c>
      <c r="M266" s="17" t="s">
        <v>155</v>
      </c>
      <c r="N266" s="17" t="s">
        <v>155</v>
      </c>
      <c r="O266" s="17" t="s">
        <v>155</v>
      </c>
    </row>
    <row r="267" spans="10:15" x14ac:dyDescent="0.3">
      <c r="J267" t="s">
        <v>563</v>
      </c>
      <c r="K267" s="17" t="s">
        <v>155</v>
      </c>
      <c r="L267" s="17" t="s">
        <v>155</v>
      </c>
      <c r="M267" s="17" t="s">
        <v>155</v>
      </c>
      <c r="N267" s="17" t="s">
        <v>155</v>
      </c>
      <c r="O267" s="17" t="s">
        <v>155</v>
      </c>
    </row>
    <row r="268" spans="10:15" x14ac:dyDescent="0.3">
      <c r="J268" t="s">
        <v>564</v>
      </c>
      <c r="K268" s="17" t="s">
        <v>155</v>
      </c>
      <c r="L268" s="17" t="s">
        <v>155</v>
      </c>
      <c r="M268" s="17" t="s">
        <v>155</v>
      </c>
      <c r="N268" s="17" t="s">
        <v>155</v>
      </c>
      <c r="O268" s="17" t="s">
        <v>155</v>
      </c>
    </row>
    <row r="269" spans="10:15" x14ac:dyDescent="0.3">
      <c r="J269" t="s">
        <v>549</v>
      </c>
      <c r="K269" s="17" t="s">
        <v>155</v>
      </c>
      <c r="L269" s="17" t="s">
        <v>95</v>
      </c>
      <c r="M269" s="17" t="s">
        <v>155</v>
      </c>
      <c r="N269" s="17" t="s">
        <v>155</v>
      </c>
      <c r="O269" s="17" t="s">
        <v>95</v>
      </c>
    </row>
    <row r="270" spans="10:15" x14ac:dyDescent="0.3">
      <c r="J270" t="s">
        <v>550</v>
      </c>
      <c r="K270" s="17" t="s">
        <v>155</v>
      </c>
      <c r="L270" s="17" t="s">
        <v>95</v>
      </c>
      <c r="M270" s="17" t="s">
        <v>155</v>
      </c>
      <c r="N270" s="17" t="s">
        <v>155</v>
      </c>
      <c r="O270" s="17" t="s">
        <v>95</v>
      </c>
    </row>
    <row r="271" spans="10:15" x14ac:dyDescent="0.3">
      <c r="J271" t="s">
        <v>551</v>
      </c>
      <c r="K271" s="17" t="s">
        <v>155</v>
      </c>
      <c r="L271" s="17" t="s">
        <v>155</v>
      </c>
      <c r="M271" s="17" t="s">
        <v>155</v>
      </c>
      <c r="N271" s="17" t="s">
        <v>155</v>
      </c>
      <c r="O271" s="17" t="s">
        <v>155</v>
      </c>
    </row>
    <row r="272" spans="10:15" x14ac:dyDescent="0.3">
      <c r="J272" t="s">
        <v>552</v>
      </c>
      <c r="K272" s="17" t="s">
        <v>155</v>
      </c>
      <c r="L272" s="17" t="s">
        <v>155</v>
      </c>
      <c r="M272" s="17" t="s">
        <v>155</v>
      </c>
      <c r="N272" s="17" t="s">
        <v>155</v>
      </c>
      <c r="O272" s="17" t="s">
        <v>155</v>
      </c>
    </row>
    <row r="273" spans="10:15" x14ac:dyDescent="0.3">
      <c r="J273" t="s">
        <v>553</v>
      </c>
      <c r="K273" s="17" t="s">
        <v>155</v>
      </c>
      <c r="L273" s="17" t="s">
        <v>155</v>
      </c>
      <c r="M273" s="17" t="s">
        <v>155</v>
      </c>
      <c r="N273" s="17" t="s">
        <v>155</v>
      </c>
      <c r="O273" s="17" t="s">
        <v>155</v>
      </c>
    </row>
    <row r="275" spans="10:15" x14ac:dyDescent="0.3">
      <c r="J275" t="s">
        <v>728</v>
      </c>
    </row>
    <row r="276" spans="10:15" x14ac:dyDescent="0.3">
      <c r="K276" s="17" t="s">
        <v>164</v>
      </c>
      <c r="L276" s="17" t="s">
        <v>165</v>
      </c>
      <c r="M276" s="17" t="s">
        <v>166</v>
      </c>
      <c r="N276" s="17" t="s">
        <v>167</v>
      </c>
      <c r="O276" s="17" t="s">
        <v>168</v>
      </c>
    </row>
    <row r="277" spans="10:15" x14ac:dyDescent="0.3">
      <c r="J277" t="s">
        <v>555</v>
      </c>
      <c r="K277" s="17" t="s">
        <v>155</v>
      </c>
      <c r="L277" s="17" t="s">
        <v>155</v>
      </c>
      <c r="M277" s="17" t="s">
        <v>155</v>
      </c>
      <c r="N277" s="17" t="s">
        <v>155</v>
      </c>
      <c r="O277" s="17" t="s">
        <v>155</v>
      </c>
    </row>
    <row r="278" spans="10:15" x14ac:dyDescent="0.3">
      <c r="J278" t="s">
        <v>556</v>
      </c>
      <c r="K278" s="17" t="s">
        <v>155</v>
      </c>
      <c r="L278" s="17" t="s">
        <v>155</v>
      </c>
      <c r="M278" s="17" t="s">
        <v>155</v>
      </c>
      <c r="N278" s="17" t="s">
        <v>155</v>
      </c>
      <c r="O278" s="17" t="s">
        <v>155</v>
      </c>
    </row>
    <row r="279" spans="10:15" x14ac:dyDescent="0.3">
      <c r="J279" t="s">
        <v>557</v>
      </c>
      <c r="K279" s="17" t="s">
        <v>155</v>
      </c>
      <c r="L279" s="17" t="s">
        <v>155</v>
      </c>
      <c r="M279" s="17" t="s">
        <v>155</v>
      </c>
      <c r="N279" s="17" t="s">
        <v>155</v>
      </c>
      <c r="O279" s="17" t="s">
        <v>155</v>
      </c>
    </row>
    <row r="280" spans="10:15" x14ac:dyDescent="0.3">
      <c r="J280" t="s">
        <v>158</v>
      </c>
      <c r="K280" s="17" t="s">
        <v>155</v>
      </c>
      <c r="L280" s="17" t="s">
        <v>155</v>
      </c>
      <c r="M280" s="17" t="s">
        <v>155</v>
      </c>
      <c r="N280" s="17" t="s">
        <v>155</v>
      </c>
      <c r="O280" s="17" t="s">
        <v>155</v>
      </c>
    </row>
    <row r="281" spans="10:15" x14ac:dyDescent="0.3">
      <c r="J281" t="s">
        <v>159</v>
      </c>
      <c r="K281" s="17" t="s">
        <v>155</v>
      </c>
      <c r="L281" s="17" t="s">
        <v>155</v>
      </c>
      <c r="M281" s="17" t="s">
        <v>155</v>
      </c>
      <c r="N281" s="17" t="s">
        <v>155</v>
      </c>
      <c r="O281" s="17" t="s">
        <v>155</v>
      </c>
    </row>
    <row r="282" spans="10:15" x14ac:dyDescent="0.3">
      <c r="J282" t="s">
        <v>160</v>
      </c>
      <c r="K282" s="17" t="s">
        <v>155</v>
      </c>
      <c r="L282" s="17" t="s">
        <v>155</v>
      </c>
      <c r="M282" s="17" t="s">
        <v>155</v>
      </c>
      <c r="N282" s="17" t="s">
        <v>155</v>
      </c>
      <c r="O282" s="17" t="s">
        <v>155</v>
      </c>
    </row>
    <row r="283" spans="10:15" x14ac:dyDescent="0.3">
      <c r="J283" t="s">
        <v>561</v>
      </c>
      <c r="K283" s="17" t="s">
        <v>155</v>
      </c>
      <c r="L283" s="17" t="s">
        <v>155</v>
      </c>
      <c r="M283" s="17" t="s">
        <v>155</v>
      </c>
      <c r="N283" s="17" t="s">
        <v>155</v>
      </c>
      <c r="O283" s="17" t="s">
        <v>155</v>
      </c>
    </row>
    <row r="284" spans="10:15" x14ac:dyDescent="0.3">
      <c r="J284" t="s">
        <v>562</v>
      </c>
      <c r="K284" s="17" t="s">
        <v>155</v>
      </c>
      <c r="L284" s="17" t="s">
        <v>155</v>
      </c>
      <c r="M284" s="17" t="s">
        <v>155</v>
      </c>
      <c r="N284" s="17" t="s">
        <v>155</v>
      </c>
      <c r="O284" s="17" t="s">
        <v>155</v>
      </c>
    </row>
    <row r="285" spans="10:15" x14ac:dyDescent="0.3">
      <c r="J285" t="s">
        <v>563</v>
      </c>
      <c r="K285" s="17" t="s">
        <v>155</v>
      </c>
      <c r="L285" s="17" t="s">
        <v>155</v>
      </c>
      <c r="M285" s="17" t="s">
        <v>155</v>
      </c>
      <c r="N285" s="17" t="s">
        <v>155</v>
      </c>
      <c r="O285" s="17" t="s">
        <v>155</v>
      </c>
    </row>
    <row r="286" spans="10:15" x14ac:dyDescent="0.3">
      <c r="J286" t="s">
        <v>564</v>
      </c>
      <c r="K286" s="17" t="s">
        <v>155</v>
      </c>
      <c r="L286" s="17" t="s">
        <v>155</v>
      </c>
      <c r="M286" s="17" t="s">
        <v>155</v>
      </c>
      <c r="N286" s="17" t="s">
        <v>155</v>
      </c>
      <c r="O286" s="17" t="s">
        <v>155</v>
      </c>
    </row>
    <row r="287" spans="10:15" x14ac:dyDescent="0.3">
      <c r="J287" t="s">
        <v>549</v>
      </c>
      <c r="K287" s="17" t="s">
        <v>155</v>
      </c>
      <c r="L287" s="17" t="s">
        <v>155</v>
      </c>
      <c r="M287" s="17" t="s">
        <v>155</v>
      </c>
      <c r="N287" s="17" t="s">
        <v>90</v>
      </c>
      <c r="O287" s="17" t="s">
        <v>155</v>
      </c>
    </row>
    <row r="288" spans="10:15" x14ac:dyDescent="0.3">
      <c r="J288" t="s">
        <v>550</v>
      </c>
      <c r="K288" s="17" t="s">
        <v>155</v>
      </c>
      <c r="L288" s="17" t="s">
        <v>155</v>
      </c>
      <c r="M288" s="17" t="s">
        <v>155</v>
      </c>
      <c r="N288" s="17" t="s">
        <v>90</v>
      </c>
      <c r="O288" s="17" t="s">
        <v>155</v>
      </c>
    </row>
    <row r="289" spans="10:15" x14ac:dyDescent="0.3">
      <c r="J289" t="s">
        <v>551</v>
      </c>
      <c r="K289" s="17" t="s">
        <v>155</v>
      </c>
      <c r="L289" s="17" t="s">
        <v>90</v>
      </c>
      <c r="M289" s="17" t="s">
        <v>155</v>
      </c>
      <c r="N289" s="17" t="s">
        <v>155</v>
      </c>
      <c r="O289" s="17" t="s">
        <v>155</v>
      </c>
    </row>
    <row r="290" spans="10:15" x14ac:dyDescent="0.3">
      <c r="J290" t="s">
        <v>552</v>
      </c>
      <c r="K290" s="17" t="s">
        <v>155</v>
      </c>
      <c r="L290" s="17" t="s">
        <v>90</v>
      </c>
      <c r="M290" s="17" t="s">
        <v>155</v>
      </c>
      <c r="N290" s="17" t="s">
        <v>155</v>
      </c>
      <c r="O290" s="17" t="s">
        <v>155</v>
      </c>
    </row>
    <row r="291" spans="10:15" x14ac:dyDescent="0.3">
      <c r="J291" t="s">
        <v>553</v>
      </c>
      <c r="K291" s="17" t="s">
        <v>155</v>
      </c>
      <c r="L291" s="17" t="s">
        <v>90</v>
      </c>
      <c r="M291" s="17" t="s">
        <v>155</v>
      </c>
      <c r="N291" s="17" t="s">
        <v>155</v>
      </c>
      <c r="O291" s="17" t="s">
        <v>155</v>
      </c>
    </row>
    <row r="293" spans="10:15" x14ac:dyDescent="0.3">
      <c r="J293" t="s">
        <v>729</v>
      </c>
    </row>
    <row r="294" spans="10:15" x14ac:dyDescent="0.3">
      <c r="K294" s="17" t="s">
        <v>164</v>
      </c>
      <c r="L294" s="17" t="s">
        <v>165</v>
      </c>
      <c r="M294" s="17" t="s">
        <v>166</v>
      </c>
      <c r="N294" s="17" t="s">
        <v>167</v>
      </c>
      <c r="O294" s="17" t="s">
        <v>168</v>
      </c>
    </row>
    <row r="295" spans="10:15" x14ac:dyDescent="0.3">
      <c r="J295" t="s">
        <v>555</v>
      </c>
      <c r="K295" s="17" t="s">
        <v>155</v>
      </c>
      <c r="L295" s="17" t="s">
        <v>155</v>
      </c>
      <c r="M295" s="17" t="s">
        <v>155</v>
      </c>
      <c r="N295" s="17" t="s">
        <v>155</v>
      </c>
      <c r="O295" s="17" t="s">
        <v>155</v>
      </c>
    </row>
    <row r="296" spans="10:15" x14ac:dyDescent="0.3">
      <c r="J296" t="s">
        <v>556</v>
      </c>
      <c r="K296" s="17" t="s">
        <v>155</v>
      </c>
      <c r="L296" s="17" t="s">
        <v>155</v>
      </c>
      <c r="M296" s="17" t="s">
        <v>155</v>
      </c>
      <c r="N296" s="17" t="s">
        <v>155</v>
      </c>
      <c r="O296" s="17" t="s">
        <v>155</v>
      </c>
    </row>
    <row r="297" spans="10:15" x14ac:dyDescent="0.3">
      <c r="J297" t="s">
        <v>557</v>
      </c>
      <c r="K297" s="17" t="s">
        <v>155</v>
      </c>
      <c r="L297" s="17" t="s">
        <v>155</v>
      </c>
      <c r="M297" s="17" t="s">
        <v>155</v>
      </c>
      <c r="N297" s="17" t="s">
        <v>155</v>
      </c>
      <c r="O297" s="17" t="s">
        <v>155</v>
      </c>
    </row>
    <row r="298" spans="10:15" x14ac:dyDescent="0.3">
      <c r="J298" t="s">
        <v>158</v>
      </c>
      <c r="K298" s="17" t="s">
        <v>155</v>
      </c>
      <c r="L298" s="17" t="s">
        <v>155</v>
      </c>
      <c r="M298" s="17" t="s">
        <v>155</v>
      </c>
      <c r="N298" s="17" t="s">
        <v>155</v>
      </c>
      <c r="O298" s="17" t="s">
        <v>155</v>
      </c>
    </row>
    <row r="299" spans="10:15" x14ac:dyDescent="0.3">
      <c r="J299" t="s">
        <v>159</v>
      </c>
      <c r="K299" s="17" t="s">
        <v>155</v>
      </c>
      <c r="L299" s="17" t="s">
        <v>155</v>
      </c>
      <c r="M299" s="17" t="s">
        <v>155</v>
      </c>
      <c r="N299" s="17" t="s">
        <v>155</v>
      </c>
      <c r="O299" s="17" t="s">
        <v>155</v>
      </c>
    </row>
    <row r="300" spans="10:15" x14ac:dyDescent="0.3">
      <c r="J300" t="s">
        <v>160</v>
      </c>
      <c r="K300" s="17" t="s">
        <v>155</v>
      </c>
      <c r="L300" s="17" t="s">
        <v>155</v>
      </c>
      <c r="M300" s="17" t="s">
        <v>155</v>
      </c>
      <c r="N300" s="17" t="s">
        <v>155</v>
      </c>
      <c r="O300" s="17" t="s">
        <v>155</v>
      </c>
    </row>
    <row r="301" spans="10:15" x14ac:dyDescent="0.3">
      <c r="J301" t="s">
        <v>561</v>
      </c>
      <c r="K301" s="17" t="s">
        <v>155</v>
      </c>
      <c r="L301" s="17" t="s">
        <v>155</v>
      </c>
      <c r="M301" s="17" t="s">
        <v>155</v>
      </c>
      <c r="N301" s="17" t="s">
        <v>155</v>
      </c>
      <c r="O301" s="17" t="s">
        <v>155</v>
      </c>
    </row>
    <row r="302" spans="10:15" x14ac:dyDescent="0.3">
      <c r="J302" t="s">
        <v>562</v>
      </c>
      <c r="K302" s="17" t="s">
        <v>155</v>
      </c>
      <c r="L302" s="17" t="s">
        <v>155</v>
      </c>
      <c r="M302" s="17" t="s">
        <v>155</v>
      </c>
      <c r="N302" s="17" t="s">
        <v>155</v>
      </c>
      <c r="O302" s="17" t="s">
        <v>155</v>
      </c>
    </row>
    <row r="303" spans="10:15" x14ac:dyDescent="0.3">
      <c r="J303" t="s">
        <v>563</v>
      </c>
      <c r="K303" s="17" t="s">
        <v>155</v>
      </c>
      <c r="L303" s="17" t="s">
        <v>155</v>
      </c>
      <c r="M303" s="17" t="s">
        <v>155</v>
      </c>
      <c r="N303" s="17" t="s">
        <v>155</v>
      </c>
      <c r="O303" s="17" t="s">
        <v>155</v>
      </c>
    </row>
    <row r="304" spans="10:15" x14ac:dyDescent="0.3">
      <c r="J304" t="s">
        <v>564</v>
      </c>
      <c r="K304" s="17" t="s">
        <v>155</v>
      </c>
      <c r="L304" s="17" t="s">
        <v>155</v>
      </c>
      <c r="M304" s="17" t="s">
        <v>155</v>
      </c>
      <c r="N304" s="17" t="s">
        <v>155</v>
      </c>
      <c r="O304" s="17" t="s">
        <v>155</v>
      </c>
    </row>
    <row r="305" spans="10:15" x14ac:dyDescent="0.3">
      <c r="J305" t="s">
        <v>549</v>
      </c>
      <c r="K305" s="17" t="s">
        <v>155</v>
      </c>
      <c r="L305" s="17" t="s">
        <v>155</v>
      </c>
      <c r="M305" s="17" t="s">
        <v>155</v>
      </c>
      <c r="N305" s="17" t="s">
        <v>90</v>
      </c>
      <c r="O305" s="17" t="s">
        <v>155</v>
      </c>
    </row>
    <row r="306" spans="10:15" x14ac:dyDescent="0.3">
      <c r="J306" t="s">
        <v>550</v>
      </c>
      <c r="K306" s="17" t="s">
        <v>155</v>
      </c>
      <c r="L306" s="17" t="s">
        <v>155</v>
      </c>
      <c r="M306" s="17" t="s">
        <v>155</v>
      </c>
      <c r="N306" s="17" t="s">
        <v>90</v>
      </c>
      <c r="O306" s="17" t="s">
        <v>155</v>
      </c>
    </row>
    <row r="307" spans="10:15" x14ac:dyDescent="0.3">
      <c r="J307" t="s">
        <v>551</v>
      </c>
      <c r="K307" s="17" t="s">
        <v>155</v>
      </c>
      <c r="L307" s="17" t="s">
        <v>90</v>
      </c>
      <c r="M307" s="17" t="s">
        <v>155</v>
      </c>
      <c r="N307" s="17" t="s">
        <v>155</v>
      </c>
      <c r="O307" s="17" t="s">
        <v>155</v>
      </c>
    </row>
    <row r="308" spans="10:15" x14ac:dyDescent="0.3">
      <c r="J308" t="s">
        <v>552</v>
      </c>
      <c r="K308" s="17" t="s">
        <v>155</v>
      </c>
      <c r="L308" s="17" t="s">
        <v>90</v>
      </c>
      <c r="M308" s="17" t="s">
        <v>155</v>
      </c>
      <c r="N308" s="17" t="s">
        <v>155</v>
      </c>
      <c r="O308" s="17" t="s">
        <v>155</v>
      </c>
    </row>
    <row r="309" spans="10:15" x14ac:dyDescent="0.3">
      <c r="J309" t="s">
        <v>553</v>
      </c>
      <c r="K309" s="17" t="s">
        <v>155</v>
      </c>
      <c r="L309" s="17" t="s">
        <v>90</v>
      </c>
      <c r="M309" s="17" t="s">
        <v>155</v>
      </c>
      <c r="N309" s="17" t="s">
        <v>155</v>
      </c>
      <c r="O309" s="17" t="s">
        <v>155</v>
      </c>
    </row>
    <row r="311" spans="10:15" x14ac:dyDescent="0.3">
      <c r="J311" t="s">
        <v>730</v>
      </c>
    </row>
    <row r="312" spans="10:15" x14ac:dyDescent="0.3">
      <c r="K312" s="17" t="s">
        <v>164</v>
      </c>
      <c r="L312" s="17" t="s">
        <v>165</v>
      </c>
      <c r="M312" s="17" t="s">
        <v>166</v>
      </c>
      <c r="N312" s="17" t="s">
        <v>167</v>
      </c>
      <c r="O312" s="17" t="s">
        <v>168</v>
      </c>
    </row>
    <row r="313" spans="10:15" x14ac:dyDescent="0.3">
      <c r="J313" t="s">
        <v>555</v>
      </c>
      <c r="K313" s="17" t="s">
        <v>155</v>
      </c>
      <c r="L313" s="17" t="s">
        <v>155</v>
      </c>
      <c r="M313" s="17" t="s">
        <v>155</v>
      </c>
      <c r="N313" s="17" t="s">
        <v>155</v>
      </c>
      <c r="O313" s="17" t="s">
        <v>155</v>
      </c>
    </row>
    <row r="314" spans="10:15" x14ac:dyDescent="0.3">
      <c r="J314" t="s">
        <v>556</v>
      </c>
      <c r="K314" s="17" t="s">
        <v>155</v>
      </c>
      <c r="L314" s="17" t="s">
        <v>155</v>
      </c>
      <c r="M314" s="17" t="s">
        <v>155</v>
      </c>
      <c r="N314" s="17" t="s">
        <v>155</v>
      </c>
      <c r="O314" s="17" t="s">
        <v>155</v>
      </c>
    </row>
    <row r="315" spans="10:15" x14ac:dyDescent="0.3">
      <c r="J315" t="s">
        <v>557</v>
      </c>
      <c r="K315" s="17" t="s">
        <v>155</v>
      </c>
      <c r="L315" s="17" t="s">
        <v>155</v>
      </c>
      <c r="M315" s="17" t="s">
        <v>155</v>
      </c>
      <c r="N315" s="17" t="s">
        <v>155</v>
      </c>
      <c r="O315" s="17" t="s">
        <v>155</v>
      </c>
    </row>
    <row r="316" spans="10:15" x14ac:dyDescent="0.3">
      <c r="J316" t="s">
        <v>158</v>
      </c>
      <c r="K316" s="17" t="s">
        <v>155</v>
      </c>
      <c r="L316" s="17" t="s">
        <v>155</v>
      </c>
      <c r="M316" s="17" t="s">
        <v>155</v>
      </c>
      <c r="N316" s="17" t="s">
        <v>155</v>
      </c>
      <c r="O316" s="17" t="s">
        <v>155</v>
      </c>
    </row>
    <row r="317" spans="10:15" x14ac:dyDescent="0.3">
      <c r="J317" t="s">
        <v>159</v>
      </c>
      <c r="K317" s="17" t="s">
        <v>155</v>
      </c>
      <c r="L317" s="17" t="s">
        <v>155</v>
      </c>
      <c r="M317" s="17" t="s">
        <v>155</v>
      </c>
      <c r="N317" s="17" t="s">
        <v>155</v>
      </c>
      <c r="O317" s="17" t="s">
        <v>155</v>
      </c>
    </row>
    <row r="318" spans="10:15" x14ac:dyDescent="0.3">
      <c r="J318" t="s">
        <v>160</v>
      </c>
      <c r="K318" s="17" t="s">
        <v>155</v>
      </c>
      <c r="L318" s="17" t="s">
        <v>155</v>
      </c>
      <c r="M318" s="17" t="s">
        <v>155</v>
      </c>
      <c r="N318" s="17" t="s">
        <v>155</v>
      </c>
      <c r="O318" s="17" t="s">
        <v>155</v>
      </c>
    </row>
    <row r="319" spans="10:15" x14ac:dyDescent="0.3">
      <c r="J319" t="s">
        <v>561</v>
      </c>
      <c r="K319" s="17" t="s">
        <v>155</v>
      </c>
      <c r="L319" s="17" t="s">
        <v>155</v>
      </c>
      <c r="M319" s="17" t="s">
        <v>155</v>
      </c>
      <c r="N319" s="17" t="s">
        <v>155</v>
      </c>
      <c r="O319" s="17" t="s">
        <v>155</v>
      </c>
    </row>
    <row r="320" spans="10:15" x14ac:dyDescent="0.3">
      <c r="J320" t="s">
        <v>562</v>
      </c>
      <c r="K320" s="17" t="s">
        <v>155</v>
      </c>
      <c r="L320" s="17" t="s">
        <v>155</v>
      </c>
      <c r="M320" s="17" t="s">
        <v>155</v>
      </c>
      <c r="N320" s="17" t="s">
        <v>155</v>
      </c>
      <c r="O320" s="17" t="s">
        <v>155</v>
      </c>
    </row>
    <row r="321" spans="10:15" x14ac:dyDescent="0.3">
      <c r="J321" t="s">
        <v>563</v>
      </c>
      <c r="K321" s="17" t="s">
        <v>155</v>
      </c>
      <c r="L321" s="17" t="s">
        <v>155</v>
      </c>
      <c r="M321" s="17" t="s">
        <v>155</v>
      </c>
      <c r="N321" s="17" t="s">
        <v>155</v>
      </c>
      <c r="O321" s="17" t="s">
        <v>155</v>
      </c>
    </row>
    <row r="322" spans="10:15" x14ac:dyDescent="0.3">
      <c r="J322" t="s">
        <v>564</v>
      </c>
      <c r="K322" s="17" t="s">
        <v>155</v>
      </c>
      <c r="L322" s="17" t="s">
        <v>155</v>
      </c>
      <c r="M322" s="17" t="s">
        <v>155</v>
      </c>
      <c r="N322" s="17" t="s">
        <v>155</v>
      </c>
      <c r="O322" s="17" t="s">
        <v>155</v>
      </c>
    </row>
    <row r="323" spans="10:15" x14ac:dyDescent="0.3">
      <c r="J323" t="s">
        <v>549</v>
      </c>
      <c r="K323" s="17" t="s">
        <v>77</v>
      </c>
      <c r="L323" s="17" t="s">
        <v>155</v>
      </c>
      <c r="M323" s="17" t="s">
        <v>155</v>
      </c>
      <c r="N323" s="17" t="s">
        <v>155</v>
      </c>
      <c r="O323" s="17" t="s">
        <v>155</v>
      </c>
    </row>
    <row r="324" spans="10:15" x14ac:dyDescent="0.3">
      <c r="J324" t="s">
        <v>550</v>
      </c>
      <c r="K324" s="17" t="s">
        <v>77</v>
      </c>
      <c r="L324" s="17" t="s">
        <v>155</v>
      </c>
      <c r="M324" s="17" t="s">
        <v>155</v>
      </c>
      <c r="N324" s="17" t="s">
        <v>155</v>
      </c>
      <c r="O324" s="17" t="s">
        <v>155</v>
      </c>
    </row>
    <row r="325" spans="10:15" x14ac:dyDescent="0.3">
      <c r="J325" t="s">
        <v>551</v>
      </c>
      <c r="K325" s="17" t="s">
        <v>155</v>
      </c>
      <c r="L325" s="17" t="s">
        <v>155</v>
      </c>
      <c r="M325" s="17" t="s">
        <v>155</v>
      </c>
      <c r="N325" s="17" t="s">
        <v>155</v>
      </c>
      <c r="O325" s="17" t="s">
        <v>155</v>
      </c>
    </row>
    <row r="326" spans="10:15" x14ac:dyDescent="0.3">
      <c r="J326" t="s">
        <v>552</v>
      </c>
      <c r="K326" s="17" t="s">
        <v>155</v>
      </c>
      <c r="L326" s="17" t="s">
        <v>155</v>
      </c>
      <c r="M326" s="17" t="s">
        <v>155</v>
      </c>
      <c r="N326" s="17" t="s">
        <v>155</v>
      </c>
      <c r="O326" s="17" t="s">
        <v>155</v>
      </c>
    </row>
    <row r="327" spans="10:15" x14ac:dyDescent="0.3">
      <c r="J327" t="s">
        <v>553</v>
      </c>
      <c r="K327" s="17" t="s">
        <v>155</v>
      </c>
      <c r="L327" s="17" t="s">
        <v>155</v>
      </c>
      <c r="M327" s="17" t="s">
        <v>155</v>
      </c>
      <c r="N327" s="17" t="s">
        <v>155</v>
      </c>
      <c r="O327" s="17" t="s">
        <v>155</v>
      </c>
    </row>
    <row r="329" spans="10:15" x14ac:dyDescent="0.3">
      <c r="J329" t="s">
        <v>731</v>
      </c>
    </row>
    <row r="330" spans="10:15" x14ac:dyDescent="0.3">
      <c r="K330" s="17" t="s">
        <v>164</v>
      </c>
      <c r="L330" s="17" t="s">
        <v>165</v>
      </c>
      <c r="M330" s="17" t="s">
        <v>166</v>
      </c>
      <c r="N330" s="17" t="s">
        <v>167</v>
      </c>
      <c r="O330" s="17" t="s">
        <v>168</v>
      </c>
    </row>
    <row r="331" spans="10:15" x14ac:dyDescent="0.3">
      <c r="J331" t="s">
        <v>555</v>
      </c>
      <c r="K331" s="17" t="s">
        <v>155</v>
      </c>
      <c r="L331" s="17" t="s">
        <v>155</v>
      </c>
      <c r="M331" s="17" t="s">
        <v>155</v>
      </c>
      <c r="N331" s="17" t="s">
        <v>155</v>
      </c>
      <c r="O331" s="17" t="s">
        <v>155</v>
      </c>
    </row>
    <row r="332" spans="10:15" x14ac:dyDescent="0.3">
      <c r="J332" t="s">
        <v>556</v>
      </c>
      <c r="K332" s="17" t="s">
        <v>155</v>
      </c>
      <c r="L332" s="17" t="s">
        <v>155</v>
      </c>
      <c r="M332" s="17" t="s">
        <v>155</v>
      </c>
      <c r="N332" s="17" t="s">
        <v>155</v>
      </c>
      <c r="O332" s="17" t="s">
        <v>155</v>
      </c>
    </row>
    <row r="333" spans="10:15" x14ac:dyDescent="0.3">
      <c r="J333" t="s">
        <v>557</v>
      </c>
      <c r="K333" s="17" t="s">
        <v>155</v>
      </c>
      <c r="L333" s="17" t="s">
        <v>155</v>
      </c>
      <c r="M333" s="17" t="s">
        <v>155</v>
      </c>
      <c r="N333" s="17" t="s">
        <v>155</v>
      </c>
      <c r="O333" s="17" t="s">
        <v>155</v>
      </c>
    </row>
    <row r="334" spans="10:15" x14ac:dyDescent="0.3">
      <c r="J334" t="s">
        <v>158</v>
      </c>
      <c r="K334" s="17" t="s">
        <v>155</v>
      </c>
      <c r="L334" s="17" t="s">
        <v>155</v>
      </c>
      <c r="M334" s="17" t="s">
        <v>155</v>
      </c>
      <c r="N334" s="17" t="s">
        <v>155</v>
      </c>
      <c r="O334" s="17" t="s">
        <v>155</v>
      </c>
    </row>
    <row r="335" spans="10:15" x14ac:dyDescent="0.3">
      <c r="J335" t="s">
        <v>159</v>
      </c>
      <c r="K335" s="17" t="s">
        <v>155</v>
      </c>
      <c r="L335" s="17" t="s">
        <v>155</v>
      </c>
      <c r="M335" s="17" t="s">
        <v>155</v>
      </c>
      <c r="N335" s="17" t="s">
        <v>155</v>
      </c>
      <c r="O335" s="17" t="s">
        <v>155</v>
      </c>
    </row>
    <row r="336" spans="10:15" x14ac:dyDescent="0.3">
      <c r="J336" t="s">
        <v>160</v>
      </c>
      <c r="K336" s="17" t="s">
        <v>155</v>
      </c>
      <c r="L336" s="17" t="s">
        <v>155</v>
      </c>
      <c r="M336" s="17" t="s">
        <v>155</v>
      </c>
      <c r="N336" s="17" t="s">
        <v>155</v>
      </c>
      <c r="O336" s="17" t="s">
        <v>155</v>
      </c>
    </row>
    <row r="337" spans="10:15" x14ac:dyDescent="0.3">
      <c r="J337" t="s">
        <v>561</v>
      </c>
      <c r="K337" s="17" t="s">
        <v>155</v>
      </c>
      <c r="L337" s="17" t="s">
        <v>155</v>
      </c>
      <c r="M337" s="17" t="s">
        <v>155</v>
      </c>
      <c r="N337" s="17" t="s">
        <v>155</v>
      </c>
      <c r="O337" s="17" t="s">
        <v>155</v>
      </c>
    </row>
    <row r="338" spans="10:15" x14ac:dyDescent="0.3">
      <c r="J338" t="s">
        <v>562</v>
      </c>
      <c r="K338" s="17" t="s">
        <v>155</v>
      </c>
      <c r="L338" s="17" t="s">
        <v>155</v>
      </c>
      <c r="M338" s="17" t="s">
        <v>155</v>
      </c>
      <c r="N338" s="17" t="s">
        <v>155</v>
      </c>
      <c r="O338" s="17" t="s">
        <v>155</v>
      </c>
    </row>
    <row r="339" spans="10:15" x14ac:dyDescent="0.3">
      <c r="J339" t="s">
        <v>563</v>
      </c>
      <c r="K339" s="17" t="s">
        <v>155</v>
      </c>
      <c r="L339" s="17" t="s">
        <v>155</v>
      </c>
      <c r="M339" s="17" t="s">
        <v>155</v>
      </c>
      <c r="N339" s="17" t="s">
        <v>155</v>
      </c>
      <c r="O339" s="17" t="s">
        <v>155</v>
      </c>
    </row>
    <row r="340" spans="10:15" x14ac:dyDescent="0.3">
      <c r="J340" t="s">
        <v>564</v>
      </c>
      <c r="K340" s="17" t="s">
        <v>155</v>
      </c>
      <c r="L340" s="17" t="s">
        <v>155</v>
      </c>
      <c r="M340" s="17" t="s">
        <v>155</v>
      </c>
      <c r="N340" s="17" t="s">
        <v>155</v>
      </c>
      <c r="O340" s="17" t="s">
        <v>155</v>
      </c>
    </row>
    <row r="341" spans="10:15" x14ac:dyDescent="0.3">
      <c r="J341" t="s">
        <v>549</v>
      </c>
      <c r="K341" s="17" t="s">
        <v>155</v>
      </c>
      <c r="L341" s="17" t="s">
        <v>155</v>
      </c>
      <c r="M341" s="17" t="s">
        <v>77</v>
      </c>
      <c r="N341" s="17" t="s">
        <v>155</v>
      </c>
      <c r="O341" s="17" t="s">
        <v>155</v>
      </c>
    </row>
    <row r="342" spans="10:15" x14ac:dyDescent="0.3">
      <c r="J342" t="s">
        <v>550</v>
      </c>
      <c r="K342" s="17" t="s">
        <v>155</v>
      </c>
      <c r="L342" s="17" t="s">
        <v>155</v>
      </c>
      <c r="M342" s="17" t="s">
        <v>77</v>
      </c>
      <c r="N342" s="17" t="s">
        <v>155</v>
      </c>
      <c r="O342" s="17" t="s">
        <v>155</v>
      </c>
    </row>
    <row r="343" spans="10:15" x14ac:dyDescent="0.3">
      <c r="J343" t="s">
        <v>551</v>
      </c>
      <c r="K343" s="17" t="s">
        <v>155</v>
      </c>
      <c r="L343" s="17" t="s">
        <v>155</v>
      </c>
      <c r="M343" s="17" t="s">
        <v>155</v>
      </c>
      <c r="N343" s="17" t="s">
        <v>155</v>
      </c>
      <c r="O343" s="17" t="s">
        <v>155</v>
      </c>
    </row>
    <row r="344" spans="10:15" x14ac:dyDescent="0.3">
      <c r="J344" t="s">
        <v>552</v>
      </c>
      <c r="K344" s="17" t="s">
        <v>155</v>
      </c>
      <c r="L344" s="17" t="s">
        <v>155</v>
      </c>
      <c r="M344" s="17" t="s">
        <v>155</v>
      </c>
      <c r="N344" s="17" t="s">
        <v>155</v>
      </c>
      <c r="O344" s="17" t="s">
        <v>155</v>
      </c>
    </row>
    <row r="345" spans="10:15" x14ac:dyDescent="0.3">
      <c r="J345" t="s">
        <v>553</v>
      </c>
      <c r="K345" s="17" t="s">
        <v>155</v>
      </c>
      <c r="L345" s="17" t="s">
        <v>155</v>
      </c>
      <c r="M345" s="17" t="s">
        <v>155</v>
      </c>
      <c r="N345" s="17" t="s">
        <v>155</v>
      </c>
      <c r="O345" s="17" t="s">
        <v>155</v>
      </c>
    </row>
    <row r="347" spans="10:15" x14ac:dyDescent="0.3">
      <c r="J347" t="s">
        <v>732</v>
      </c>
    </row>
    <row r="348" spans="10:15" x14ac:dyDescent="0.3">
      <c r="K348" s="17" t="s">
        <v>164</v>
      </c>
      <c r="L348" s="17" t="s">
        <v>165</v>
      </c>
      <c r="M348" s="17" t="s">
        <v>166</v>
      </c>
      <c r="N348" s="17" t="s">
        <v>167</v>
      </c>
      <c r="O348" s="17" t="s">
        <v>168</v>
      </c>
    </row>
    <row r="349" spans="10:15" x14ac:dyDescent="0.3">
      <c r="J349" t="s">
        <v>555</v>
      </c>
      <c r="K349" s="17" t="s">
        <v>155</v>
      </c>
      <c r="L349" s="17" t="s">
        <v>155</v>
      </c>
      <c r="M349" s="17" t="s">
        <v>155</v>
      </c>
      <c r="N349" s="17" t="s">
        <v>155</v>
      </c>
      <c r="O349" s="17" t="s">
        <v>155</v>
      </c>
    </row>
    <row r="350" spans="10:15" x14ac:dyDescent="0.3">
      <c r="J350" t="s">
        <v>556</v>
      </c>
      <c r="K350" s="17" t="s">
        <v>155</v>
      </c>
      <c r="L350" s="17" t="s">
        <v>155</v>
      </c>
      <c r="M350" s="17" t="s">
        <v>155</v>
      </c>
      <c r="N350" s="17" t="s">
        <v>155</v>
      </c>
      <c r="O350" s="17" t="s">
        <v>155</v>
      </c>
    </row>
    <row r="351" spans="10:15" x14ac:dyDescent="0.3">
      <c r="J351" t="s">
        <v>557</v>
      </c>
      <c r="K351" s="17" t="s">
        <v>155</v>
      </c>
      <c r="L351" s="17" t="s">
        <v>155</v>
      </c>
      <c r="M351" s="17" t="s">
        <v>155</v>
      </c>
      <c r="N351" s="17" t="s">
        <v>8</v>
      </c>
      <c r="O351" s="17" t="s">
        <v>155</v>
      </c>
    </row>
    <row r="352" spans="10:15" x14ac:dyDescent="0.3">
      <c r="J352" t="s">
        <v>158</v>
      </c>
      <c r="K352" s="17" t="s">
        <v>155</v>
      </c>
      <c r="L352" s="17" t="s">
        <v>8</v>
      </c>
      <c r="M352" s="17" t="s">
        <v>155</v>
      </c>
      <c r="N352" s="17" t="s">
        <v>8</v>
      </c>
      <c r="O352" s="17" t="s">
        <v>155</v>
      </c>
    </row>
    <row r="353" spans="10:15" x14ac:dyDescent="0.3">
      <c r="J353" t="s">
        <v>159</v>
      </c>
      <c r="K353" s="17" t="s">
        <v>155</v>
      </c>
      <c r="L353" s="17" t="s">
        <v>8</v>
      </c>
      <c r="M353" s="17" t="s">
        <v>155</v>
      </c>
      <c r="N353" s="17" t="s">
        <v>155</v>
      </c>
      <c r="O353" s="17" t="s">
        <v>155</v>
      </c>
    </row>
    <row r="354" spans="10:15" x14ac:dyDescent="0.3">
      <c r="J354" t="s">
        <v>160</v>
      </c>
      <c r="K354" s="17" t="s">
        <v>155</v>
      </c>
      <c r="L354" s="17" t="s">
        <v>8</v>
      </c>
      <c r="M354" s="17" t="s">
        <v>155</v>
      </c>
      <c r="N354" s="17" t="s">
        <v>155</v>
      </c>
      <c r="O354" s="17" t="s">
        <v>155</v>
      </c>
    </row>
    <row r="355" spans="10:15" x14ac:dyDescent="0.3">
      <c r="J355" t="s">
        <v>561</v>
      </c>
      <c r="K355" s="17" t="s">
        <v>155</v>
      </c>
      <c r="L355" s="17" t="s">
        <v>22</v>
      </c>
      <c r="M355" s="17" t="s">
        <v>155</v>
      </c>
      <c r="N355" s="17" t="s">
        <v>22</v>
      </c>
      <c r="O355" s="17" t="s">
        <v>155</v>
      </c>
    </row>
    <row r="356" spans="10:15" x14ac:dyDescent="0.3">
      <c r="J356" t="s">
        <v>562</v>
      </c>
      <c r="K356" s="17" t="s">
        <v>155</v>
      </c>
      <c r="L356" s="17" t="s">
        <v>22</v>
      </c>
      <c r="M356" s="17" t="s">
        <v>155</v>
      </c>
      <c r="N356" s="17" t="s">
        <v>22</v>
      </c>
      <c r="O356" s="17" t="s">
        <v>155</v>
      </c>
    </row>
    <row r="357" spans="10:15" x14ac:dyDescent="0.3">
      <c r="J357" t="s">
        <v>563</v>
      </c>
      <c r="K357" s="17" t="s">
        <v>155</v>
      </c>
      <c r="L357" s="17" t="s">
        <v>23</v>
      </c>
      <c r="M357" s="17" t="s">
        <v>155</v>
      </c>
      <c r="N357" s="17" t="s">
        <v>22</v>
      </c>
      <c r="O357" s="17" t="s">
        <v>155</v>
      </c>
    </row>
    <row r="358" spans="10:15" x14ac:dyDescent="0.3">
      <c r="J358" t="s">
        <v>564</v>
      </c>
      <c r="K358" s="17" t="s">
        <v>155</v>
      </c>
      <c r="L358" s="17" t="s">
        <v>23</v>
      </c>
      <c r="M358" s="17" t="s">
        <v>155</v>
      </c>
      <c r="N358" s="17" t="s">
        <v>155</v>
      </c>
      <c r="O358" s="17" t="s">
        <v>155</v>
      </c>
    </row>
    <row r="359" spans="10:15" x14ac:dyDescent="0.3">
      <c r="J359" t="s">
        <v>549</v>
      </c>
      <c r="K359" s="17" t="s">
        <v>155</v>
      </c>
      <c r="L359" s="17" t="s">
        <v>155</v>
      </c>
      <c r="M359" s="17" t="s">
        <v>155</v>
      </c>
      <c r="N359" s="17" t="s">
        <v>155</v>
      </c>
      <c r="O359" s="17" t="s">
        <v>155</v>
      </c>
    </row>
    <row r="360" spans="10:15" x14ac:dyDescent="0.3">
      <c r="J360" t="s">
        <v>550</v>
      </c>
      <c r="K360" s="17" t="s">
        <v>155</v>
      </c>
      <c r="L360" s="17" t="s">
        <v>155</v>
      </c>
      <c r="M360" s="17" t="s">
        <v>155</v>
      </c>
      <c r="N360" s="17" t="s">
        <v>155</v>
      </c>
      <c r="O360" s="17" t="s">
        <v>155</v>
      </c>
    </row>
    <row r="361" spans="10:15" x14ac:dyDescent="0.3">
      <c r="J361" t="s">
        <v>551</v>
      </c>
      <c r="K361" s="17" t="s">
        <v>155</v>
      </c>
      <c r="L361" s="17" t="s">
        <v>155</v>
      </c>
      <c r="M361" s="17" t="s">
        <v>155</v>
      </c>
      <c r="N361" s="17" t="s">
        <v>155</v>
      </c>
      <c r="O361" s="17" t="s">
        <v>155</v>
      </c>
    </row>
    <row r="362" spans="10:15" x14ac:dyDescent="0.3">
      <c r="J362" t="s">
        <v>552</v>
      </c>
      <c r="K362" s="17" t="s">
        <v>155</v>
      </c>
      <c r="L362" s="17" t="s">
        <v>155</v>
      </c>
      <c r="M362" s="17" t="s">
        <v>155</v>
      </c>
      <c r="N362" s="17" t="s">
        <v>155</v>
      </c>
      <c r="O362" s="17" t="s">
        <v>155</v>
      </c>
    </row>
    <row r="363" spans="10:15" x14ac:dyDescent="0.3">
      <c r="J363" t="s">
        <v>553</v>
      </c>
      <c r="K363" s="17" t="s">
        <v>155</v>
      </c>
      <c r="L363" s="17" t="s">
        <v>155</v>
      </c>
      <c r="M363" s="17" t="s">
        <v>155</v>
      </c>
      <c r="N363" s="17" t="s">
        <v>155</v>
      </c>
      <c r="O363" s="17" t="s">
        <v>155</v>
      </c>
    </row>
    <row r="365" spans="10:15" x14ac:dyDescent="0.3">
      <c r="J365" t="s">
        <v>733</v>
      </c>
    </row>
    <row r="366" spans="10:15" x14ac:dyDescent="0.3">
      <c r="K366" s="17" t="s">
        <v>164</v>
      </c>
      <c r="L366" s="17" t="s">
        <v>165</v>
      </c>
      <c r="M366" s="17" t="s">
        <v>166</v>
      </c>
      <c r="N366" s="17" t="s">
        <v>167</v>
      </c>
      <c r="O366" s="17" t="s">
        <v>168</v>
      </c>
    </row>
    <row r="367" spans="10:15" x14ac:dyDescent="0.3">
      <c r="J367" t="s">
        <v>555</v>
      </c>
      <c r="K367" s="17" t="s">
        <v>155</v>
      </c>
      <c r="L367" s="17" t="s">
        <v>155</v>
      </c>
      <c r="M367" s="17" t="s">
        <v>155</v>
      </c>
      <c r="N367" s="17" t="s">
        <v>155</v>
      </c>
      <c r="O367" s="17" t="s">
        <v>155</v>
      </c>
    </row>
    <row r="368" spans="10:15" x14ac:dyDescent="0.3">
      <c r="J368" t="s">
        <v>556</v>
      </c>
      <c r="K368" s="17" t="s">
        <v>155</v>
      </c>
      <c r="L368" s="17" t="s">
        <v>155</v>
      </c>
      <c r="M368" s="17" t="s">
        <v>155</v>
      </c>
      <c r="N368" s="17" t="s">
        <v>155</v>
      </c>
      <c r="O368" s="17" t="s">
        <v>155</v>
      </c>
    </row>
    <row r="369" spans="10:15" x14ac:dyDescent="0.3">
      <c r="J369" t="s">
        <v>557</v>
      </c>
      <c r="K369" s="17" t="s">
        <v>155</v>
      </c>
      <c r="L369" s="17" t="s">
        <v>155</v>
      </c>
      <c r="M369" s="17" t="s">
        <v>155</v>
      </c>
      <c r="N369" s="17" t="s">
        <v>155</v>
      </c>
      <c r="O369" s="17" t="s">
        <v>155</v>
      </c>
    </row>
    <row r="370" spans="10:15" x14ac:dyDescent="0.3">
      <c r="J370" t="s">
        <v>158</v>
      </c>
      <c r="K370" s="17" t="s">
        <v>6</v>
      </c>
      <c r="L370" s="17" t="s">
        <v>8</v>
      </c>
      <c r="M370" s="17" t="s">
        <v>6</v>
      </c>
      <c r="N370" s="17" t="s">
        <v>155</v>
      </c>
      <c r="O370" s="17" t="s">
        <v>155</v>
      </c>
    </row>
    <row r="371" spans="10:15" x14ac:dyDescent="0.3">
      <c r="J371" t="s">
        <v>159</v>
      </c>
      <c r="K371" s="17" t="s">
        <v>6</v>
      </c>
      <c r="L371" s="17" t="s">
        <v>8</v>
      </c>
      <c r="M371" s="17" t="s">
        <v>6</v>
      </c>
      <c r="N371" s="17" t="s">
        <v>8</v>
      </c>
      <c r="O371" s="17" t="s">
        <v>155</v>
      </c>
    </row>
    <row r="372" spans="10:15" x14ac:dyDescent="0.3">
      <c r="J372" t="s">
        <v>160</v>
      </c>
      <c r="K372" s="17" t="s">
        <v>155</v>
      </c>
      <c r="L372" s="17" t="s">
        <v>8</v>
      </c>
      <c r="M372" s="17" t="s">
        <v>6</v>
      </c>
      <c r="N372" s="17" t="s">
        <v>8</v>
      </c>
      <c r="O372" s="17" t="s">
        <v>155</v>
      </c>
    </row>
    <row r="373" spans="10:15" x14ac:dyDescent="0.3">
      <c r="J373" t="s">
        <v>561</v>
      </c>
      <c r="K373" s="17" t="s">
        <v>155</v>
      </c>
      <c r="L373" s="17" t="s">
        <v>155</v>
      </c>
      <c r="M373" s="17" t="s">
        <v>155</v>
      </c>
      <c r="N373" s="17" t="s">
        <v>155</v>
      </c>
      <c r="O373" s="17" t="s">
        <v>155</v>
      </c>
    </row>
    <row r="374" spans="10:15" x14ac:dyDescent="0.3">
      <c r="J374" t="s">
        <v>562</v>
      </c>
      <c r="K374" s="17" t="s">
        <v>155</v>
      </c>
      <c r="L374" s="17" t="s">
        <v>155</v>
      </c>
      <c r="M374" s="17" t="s">
        <v>155</v>
      </c>
      <c r="N374" s="17" t="s">
        <v>155</v>
      </c>
      <c r="O374" s="17" t="s">
        <v>155</v>
      </c>
    </row>
    <row r="375" spans="10:15" x14ac:dyDescent="0.3">
      <c r="J375" t="s">
        <v>563</v>
      </c>
      <c r="K375" s="17" t="s">
        <v>155</v>
      </c>
      <c r="L375" s="17" t="s">
        <v>155</v>
      </c>
      <c r="M375" s="17" t="s">
        <v>155</v>
      </c>
      <c r="N375" s="17" t="s">
        <v>155</v>
      </c>
      <c r="O375" s="17" t="s">
        <v>155</v>
      </c>
    </row>
    <row r="376" spans="10:15" x14ac:dyDescent="0.3">
      <c r="J376" t="s">
        <v>564</v>
      </c>
      <c r="K376" s="17" t="s">
        <v>155</v>
      </c>
      <c r="L376" s="17" t="s">
        <v>155</v>
      </c>
      <c r="M376" s="17" t="s">
        <v>155</v>
      </c>
      <c r="N376" s="17" t="s">
        <v>155</v>
      </c>
      <c r="O376" s="17" t="s">
        <v>155</v>
      </c>
    </row>
    <row r="377" spans="10:15" x14ac:dyDescent="0.3">
      <c r="J377" t="s">
        <v>549</v>
      </c>
      <c r="K377" s="17" t="s">
        <v>155</v>
      </c>
      <c r="L377" s="17" t="s">
        <v>155</v>
      </c>
      <c r="M377" s="17" t="s">
        <v>155</v>
      </c>
      <c r="N377" s="17" t="s">
        <v>155</v>
      </c>
      <c r="O377" s="17" t="s">
        <v>155</v>
      </c>
    </row>
    <row r="378" spans="10:15" x14ac:dyDescent="0.3">
      <c r="J378" t="s">
        <v>550</v>
      </c>
      <c r="K378" s="17" t="s">
        <v>155</v>
      </c>
      <c r="L378" s="17" t="s">
        <v>155</v>
      </c>
      <c r="M378" s="17" t="s">
        <v>155</v>
      </c>
      <c r="N378" s="17" t="s">
        <v>155</v>
      </c>
      <c r="O378" s="17" t="s">
        <v>155</v>
      </c>
    </row>
    <row r="379" spans="10:15" x14ac:dyDescent="0.3">
      <c r="J379" t="s">
        <v>551</v>
      </c>
      <c r="K379" s="17" t="s">
        <v>155</v>
      </c>
      <c r="L379" s="17" t="s">
        <v>155</v>
      </c>
      <c r="M379" s="17" t="s">
        <v>155</v>
      </c>
      <c r="N379" s="17" t="s">
        <v>155</v>
      </c>
      <c r="O379" s="17" t="s">
        <v>155</v>
      </c>
    </row>
    <row r="380" spans="10:15" x14ac:dyDescent="0.3">
      <c r="J380" t="s">
        <v>552</v>
      </c>
      <c r="K380" s="17" t="s">
        <v>155</v>
      </c>
      <c r="L380" s="17" t="s">
        <v>155</v>
      </c>
      <c r="M380" s="17" t="s">
        <v>155</v>
      </c>
      <c r="N380" s="17" t="s">
        <v>155</v>
      </c>
      <c r="O380" s="17" t="s">
        <v>155</v>
      </c>
    </row>
    <row r="381" spans="10:15" x14ac:dyDescent="0.3">
      <c r="J381" t="s">
        <v>553</v>
      </c>
      <c r="K381" s="17" t="s">
        <v>155</v>
      </c>
      <c r="L381" s="17" t="s">
        <v>155</v>
      </c>
      <c r="M381" s="17" t="s">
        <v>155</v>
      </c>
      <c r="N381" s="17" t="s">
        <v>155</v>
      </c>
      <c r="O381" s="17" t="s">
        <v>155</v>
      </c>
    </row>
    <row r="383" spans="10:15" x14ac:dyDescent="0.3">
      <c r="J383" t="s">
        <v>734</v>
      </c>
    </row>
    <row r="384" spans="10:15" x14ac:dyDescent="0.3">
      <c r="K384" s="17" t="s">
        <v>164</v>
      </c>
      <c r="L384" s="17" t="s">
        <v>165</v>
      </c>
      <c r="M384" s="17" t="s">
        <v>166</v>
      </c>
      <c r="N384" s="17" t="s">
        <v>167</v>
      </c>
      <c r="O384" s="17" t="s">
        <v>168</v>
      </c>
    </row>
    <row r="385" spans="10:15" x14ac:dyDescent="0.3">
      <c r="J385" t="s">
        <v>555</v>
      </c>
      <c r="K385" s="17" t="s">
        <v>155</v>
      </c>
      <c r="L385" s="17" t="s">
        <v>155</v>
      </c>
      <c r="M385" s="17" t="s">
        <v>155</v>
      </c>
      <c r="N385" s="17" t="s">
        <v>155</v>
      </c>
      <c r="O385" s="17" t="s">
        <v>155</v>
      </c>
    </row>
    <row r="386" spans="10:15" x14ac:dyDescent="0.3">
      <c r="J386" t="s">
        <v>556</v>
      </c>
      <c r="K386" s="17" t="s">
        <v>155</v>
      </c>
      <c r="L386" s="17" t="s">
        <v>155</v>
      </c>
      <c r="M386" s="17" t="s">
        <v>155</v>
      </c>
      <c r="N386" s="17" t="s">
        <v>155</v>
      </c>
      <c r="O386" s="17" t="s">
        <v>155</v>
      </c>
    </row>
    <row r="387" spans="10:15" x14ac:dyDescent="0.3">
      <c r="J387" t="s">
        <v>557</v>
      </c>
      <c r="K387" s="17" t="s">
        <v>155</v>
      </c>
      <c r="L387" s="17" t="s">
        <v>155</v>
      </c>
      <c r="M387" s="17" t="s">
        <v>155</v>
      </c>
      <c r="N387" s="17" t="s">
        <v>155</v>
      </c>
      <c r="O387" s="17" t="s">
        <v>155</v>
      </c>
    </row>
    <row r="388" spans="10:15" x14ac:dyDescent="0.3">
      <c r="J388" t="s">
        <v>158</v>
      </c>
      <c r="K388" s="17" t="s">
        <v>155</v>
      </c>
      <c r="L388" s="17" t="s">
        <v>8</v>
      </c>
      <c r="M388" s="17" t="s">
        <v>155</v>
      </c>
      <c r="N388" s="17" t="s">
        <v>8</v>
      </c>
      <c r="O388" s="17" t="s">
        <v>155</v>
      </c>
    </row>
    <row r="389" spans="10:15" x14ac:dyDescent="0.3">
      <c r="J389" t="s">
        <v>159</v>
      </c>
      <c r="K389" s="17" t="s">
        <v>155</v>
      </c>
      <c r="L389" s="17" t="s">
        <v>8</v>
      </c>
      <c r="M389" s="17" t="s">
        <v>155</v>
      </c>
      <c r="N389" s="17" t="s">
        <v>8</v>
      </c>
      <c r="O389" s="17" t="s">
        <v>155</v>
      </c>
    </row>
    <row r="390" spans="10:15" x14ac:dyDescent="0.3">
      <c r="J390" t="s">
        <v>160</v>
      </c>
      <c r="K390" s="17" t="s">
        <v>155</v>
      </c>
      <c r="L390" s="17" t="s">
        <v>155</v>
      </c>
      <c r="M390" s="17" t="s">
        <v>155</v>
      </c>
      <c r="N390" s="17" t="s">
        <v>8</v>
      </c>
      <c r="O390" s="17" t="s">
        <v>155</v>
      </c>
    </row>
    <row r="391" spans="10:15" x14ac:dyDescent="0.3">
      <c r="J391" t="s">
        <v>561</v>
      </c>
      <c r="K391" s="17" t="s">
        <v>155</v>
      </c>
      <c r="L391" s="17" t="s">
        <v>22</v>
      </c>
      <c r="M391" s="17" t="s">
        <v>155</v>
      </c>
      <c r="N391" s="17" t="s">
        <v>22</v>
      </c>
      <c r="O391" s="17" t="s">
        <v>155</v>
      </c>
    </row>
    <row r="392" spans="10:15" x14ac:dyDescent="0.3">
      <c r="J392" t="s">
        <v>562</v>
      </c>
      <c r="K392" s="17" t="s">
        <v>155</v>
      </c>
      <c r="L392" s="17" t="s">
        <v>22</v>
      </c>
      <c r="M392" s="17" t="s">
        <v>155</v>
      </c>
      <c r="N392" s="17" t="s">
        <v>22</v>
      </c>
      <c r="O392" s="17" t="s">
        <v>155</v>
      </c>
    </row>
    <row r="393" spans="10:15" x14ac:dyDescent="0.3">
      <c r="J393" t="s">
        <v>563</v>
      </c>
      <c r="K393" s="17" t="s">
        <v>155</v>
      </c>
      <c r="L393" s="17" t="s">
        <v>23</v>
      </c>
      <c r="M393" s="17" t="s">
        <v>155</v>
      </c>
      <c r="N393" s="17" t="s">
        <v>22</v>
      </c>
      <c r="O393" s="17" t="s">
        <v>155</v>
      </c>
    </row>
    <row r="394" spans="10:15" x14ac:dyDescent="0.3">
      <c r="J394" t="s">
        <v>564</v>
      </c>
      <c r="K394" s="17" t="s">
        <v>155</v>
      </c>
      <c r="L394" s="17" t="s">
        <v>23</v>
      </c>
      <c r="M394" s="17" t="s">
        <v>155</v>
      </c>
      <c r="N394" s="17" t="s">
        <v>155</v>
      </c>
      <c r="O394" s="17" t="s">
        <v>155</v>
      </c>
    </row>
    <row r="395" spans="10:15" x14ac:dyDescent="0.3">
      <c r="J395" t="s">
        <v>549</v>
      </c>
      <c r="K395" s="17" t="s">
        <v>155</v>
      </c>
      <c r="L395" s="17" t="s">
        <v>155</v>
      </c>
      <c r="M395" s="17" t="s">
        <v>155</v>
      </c>
      <c r="N395" s="17" t="s">
        <v>155</v>
      </c>
      <c r="O395" s="17" t="s">
        <v>155</v>
      </c>
    </row>
    <row r="396" spans="10:15" x14ac:dyDescent="0.3">
      <c r="J396" t="s">
        <v>550</v>
      </c>
      <c r="K396" s="17" t="s">
        <v>155</v>
      </c>
      <c r="L396" s="17" t="s">
        <v>155</v>
      </c>
      <c r="M396" s="17" t="s">
        <v>155</v>
      </c>
      <c r="N396" s="17" t="s">
        <v>155</v>
      </c>
      <c r="O396" s="17" t="s">
        <v>155</v>
      </c>
    </row>
    <row r="397" spans="10:15" x14ac:dyDescent="0.3">
      <c r="J397" t="s">
        <v>551</v>
      </c>
      <c r="K397" s="17" t="s">
        <v>155</v>
      </c>
      <c r="L397" s="17" t="s">
        <v>155</v>
      </c>
      <c r="M397" s="17" t="s">
        <v>155</v>
      </c>
      <c r="N397" s="17" t="s">
        <v>155</v>
      </c>
      <c r="O397" s="17" t="s">
        <v>155</v>
      </c>
    </row>
    <row r="398" spans="10:15" x14ac:dyDescent="0.3">
      <c r="J398" t="s">
        <v>552</v>
      </c>
      <c r="K398" s="17" t="s">
        <v>155</v>
      </c>
      <c r="L398" s="17" t="s">
        <v>155</v>
      </c>
      <c r="M398" s="17" t="s">
        <v>155</v>
      </c>
      <c r="N398" s="17" t="s">
        <v>155</v>
      </c>
      <c r="O398" s="17" t="s">
        <v>155</v>
      </c>
    </row>
    <row r="399" spans="10:15" x14ac:dyDescent="0.3">
      <c r="J399" t="s">
        <v>553</v>
      </c>
      <c r="K399" s="17" t="s">
        <v>155</v>
      </c>
      <c r="L399" s="17" t="s">
        <v>155</v>
      </c>
      <c r="M399" s="17" t="s">
        <v>155</v>
      </c>
      <c r="N399" s="17" t="s">
        <v>155</v>
      </c>
      <c r="O399" s="17" t="s">
        <v>155</v>
      </c>
    </row>
    <row r="401" spans="10:15" x14ac:dyDescent="0.3">
      <c r="J401" t="s">
        <v>735</v>
      </c>
    </row>
    <row r="402" spans="10:15" x14ac:dyDescent="0.3">
      <c r="K402" s="17" t="s">
        <v>164</v>
      </c>
      <c r="L402" s="17" t="s">
        <v>165</v>
      </c>
      <c r="M402" s="17" t="s">
        <v>166</v>
      </c>
      <c r="N402" s="17" t="s">
        <v>167</v>
      </c>
      <c r="O402" s="17" t="s">
        <v>168</v>
      </c>
    </row>
    <row r="403" spans="10:15" x14ac:dyDescent="0.3">
      <c r="J403" t="s">
        <v>555</v>
      </c>
      <c r="K403" s="17" t="s">
        <v>155</v>
      </c>
      <c r="L403" s="17" t="s">
        <v>325</v>
      </c>
      <c r="M403" s="17" t="s">
        <v>155</v>
      </c>
      <c r="N403" s="17" t="s">
        <v>155</v>
      </c>
      <c r="O403" s="17" t="s">
        <v>325</v>
      </c>
    </row>
    <row r="404" spans="10:15" x14ac:dyDescent="0.3">
      <c r="J404" t="s">
        <v>556</v>
      </c>
      <c r="K404" s="17" t="s">
        <v>155</v>
      </c>
      <c r="L404" s="17" t="s">
        <v>325</v>
      </c>
      <c r="M404" s="17" t="s">
        <v>155</v>
      </c>
      <c r="N404" s="17" t="s">
        <v>155</v>
      </c>
      <c r="O404" s="17" t="s">
        <v>325</v>
      </c>
    </row>
    <row r="405" spans="10:15" x14ac:dyDescent="0.3">
      <c r="J405" t="s">
        <v>557</v>
      </c>
      <c r="K405" s="17" t="s">
        <v>155</v>
      </c>
      <c r="L405" s="17" t="s">
        <v>155</v>
      </c>
      <c r="M405" s="17" t="s">
        <v>155</v>
      </c>
      <c r="N405" s="17" t="s">
        <v>155</v>
      </c>
      <c r="O405" s="17" t="s">
        <v>325</v>
      </c>
    </row>
    <row r="406" spans="10:15" x14ac:dyDescent="0.3">
      <c r="J406" t="s">
        <v>158</v>
      </c>
      <c r="K406" s="17" t="s">
        <v>155</v>
      </c>
      <c r="L406" s="17" t="s">
        <v>155</v>
      </c>
      <c r="M406" s="17" t="s">
        <v>155</v>
      </c>
      <c r="N406" s="17" t="s">
        <v>155</v>
      </c>
      <c r="O406" s="17" t="s">
        <v>155</v>
      </c>
    </row>
    <row r="407" spans="10:15" x14ac:dyDescent="0.3">
      <c r="J407" t="s">
        <v>159</v>
      </c>
      <c r="K407" s="17" t="s">
        <v>155</v>
      </c>
      <c r="L407" s="17" t="s">
        <v>155</v>
      </c>
      <c r="M407" s="17" t="s">
        <v>155</v>
      </c>
      <c r="N407" s="17" t="s">
        <v>155</v>
      </c>
      <c r="O407" s="17" t="s">
        <v>155</v>
      </c>
    </row>
    <row r="408" spans="10:15" x14ac:dyDescent="0.3">
      <c r="J408" t="s">
        <v>160</v>
      </c>
      <c r="K408" s="17" t="s">
        <v>155</v>
      </c>
      <c r="L408" s="17" t="s">
        <v>155</v>
      </c>
      <c r="M408" s="17" t="s">
        <v>155</v>
      </c>
      <c r="N408" s="17" t="s">
        <v>155</v>
      </c>
      <c r="O408" s="17" t="s">
        <v>155</v>
      </c>
    </row>
    <row r="409" spans="10:15" x14ac:dyDescent="0.3">
      <c r="J409" t="s">
        <v>561</v>
      </c>
      <c r="K409" s="17" t="s">
        <v>8</v>
      </c>
      <c r="L409" s="17" t="s">
        <v>155</v>
      </c>
      <c r="M409" s="17" t="s">
        <v>155</v>
      </c>
      <c r="N409" s="17" t="s">
        <v>8</v>
      </c>
      <c r="O409" s="17" t="s">
        <v>155</v>
      </c>
    </row>
    <row r="410" spans="10:15" x14ac:dyDescent="0.3">
      <c r="J410" t="s">
        <v>562</v>
      </c>
      <c r="K410" s="17" t="s">
        <v>8</v>
      </c>
      <c r="L410" s="17" t="s">
        <v>155</v>
      </c>
      <c r="M410" s="17" t="s">
        <v>155</v>
      </c>
      <c r="N410" s="17" t="s">
        <v>8</v>
      </c>
      <c r="O410" s="17" t="s">
        <v>155</v>
      </c>
    </row>
    <row r="411" spans="10:15" x14ac:dyDescent="0.3">
      <c r="J411" t="s">
        <v>563</v>
      </c>
      <c r="K411" s="17" t="s">
        <v>8</v>
      </c>
      <c r="L411" s="17" t="s">
        <v>155</v>
      </c>
      <c r="M411" s="17" t="s">
        <v>155</v>
      </c>
      <c r="N411" s="17" t="s">
        <v>155</v>
      </c>
      <c r="O411" s="17" t="s">
        <v>155</v>
      </c>
    </row>
    <row r="412" spans="10:15" x14ac:dyDescent="0.3">
      <c r="J412" t="s">
        <v>564</v>
      </c>
      <c r="K412" s="17" t="s">
        <v>155</v>
      </c>
      <c r="L412" s="17" t="s">
        <v>155</v>
      </c>
      <c r="M412" s="17" t="s">
        <v>155</v>
      </c>
      <c r="N412" s="17" t="s">
        <v>155</v>
      </c>
      <c r="O412" s="17" t="s">
        <v>155</v>
      </c>
    </row>
    <row r="413" spans="10:15" x14ac:dyDescent="0.3">
      <c r="J413" t="s">
        <v>549</v>
      </c>
      <c r="K413" s="17" t="s">
        <v>155</v>
      </c>
      <c r="L413" s="17" t="s">
        <v>155</v>
      </c>
      <c r="M413" s="17" t="s">
        <v>155</v>
      </c>
      <c r="N413" s="17" t="s">
        <v>155</v>
      </c>
      <c r="O413" s="17" t="s">
        <v>155</v>
      </c>
    </row>
    <row r="414" spans="10:15" x14ac:dyDescent="0.3">
      <c r="J414" t="s">
        <v>550</v>
      </c>
      <c r="K414" s="17" t="s">
        <v>155</v>
      </c>
      <c r="L414" s="17" t="s">
        <v>155</v>
      </c>
      <c r="M414" s="17" t="s">
        <v>155</v>
      </c>
      <c r="N414" s="17" t="s">
        <v>155</v>
      </c>
      <c r="O414" s="17" t="s">
        <v>155</v>
      </c>
    </row>
    <row r="415" spans="10:15" x14ac:dyDescent="0.3">
      <c r="J415" t="s">
        <v>551</v>
      </c>
      <c r="K415" s="17" t="s">
        <v>155</v>
      </c>
      <c r="L415" s="17" t="s">
        <v>155</v>
      </c>
      <c r="M415" s="17" t="s">
        <v>155</v>
      </c>
      <c r="N415" s="17" t="s">
        <v>155</v>
      </c>
      <c r="O415" s="17" t="s">
        <v>155</v>
      </c>
    </row>
    <row r="416" spans="10:15" x14ac:dyDescent="0.3">
      <c r="J416" t="s">
        <v>552</v>
      </c>
      <c r="K416" s="17" t="s">
        <v>155</v>
      </c>
      <c r="L416" s="17" t="s">
        <v>155</v>
      </c>
      <c r="M416" s="17" t="s">
        <v>155</v>
      </c>
      <c r="N416" s="17" t="s">
        <v>155</v>
      </c>
      <c r="O416" s="17" t="s">
        <v>155</v>
      </c>
    </row>
    <row r="417" spans="10:15" x14ac:dyDescent="0.3">
      <c r="J417" t="s">
        <v>553</v>
      </c>
      <c r="K417" s="17" t="s">
        <v>155</v>
      </c>
      <c r="L417" s="17" t="s">
        <v>155</v>
      </c>
      <c r="M417" s="17" t="s">
        <v>155</v>
      </c>
      <c r="N417" s="17" t="s">
        <v>155</v>
      </c>
      <c r="O417" s="17" t="s">
        <v>155</v>
      </c>
    </row>
    <row r="419" spans="10:15" x14ac:dyDescent="0.3">
      <c r="J419" t="s">
        <v>736</v>
      </c>
    </row>
    <row r="420" spans="10:15" x14ac:dyDescent="0.3">
      <c r="K420" s="17" t="s">
        <v>164</v>
      </c>
      <c r="L420" s="17" t="s">
        <v>165</v>
      </c>
      <c r="M420" s="17" t="s">
        <v>166</v>
      </c>
      <c r="N420" s="17" t="s">
        <v>167</v>
      </c>
      <c r="O420" s="17" t="s">
        <v>168</v>
      </c>
    </row>
    <row r="421" spans="10:15" x14ac:dyDescent="0.3">
      <c r="J421" t="s">
        <v>555</v>
      </c>
      <c r="K421" s="17" t="s">
        <v>155</v>
      </c>
      <c r="L421" s="17" t="s">
        <v>155</v>
      </c>
      <c r="M421" s="17" t="s">
        <v>155</v>
      </c>
      <c r="N421" s="17" t="s">
        <v>155</v>
      </c>
      <c r="O421" s="17" t="s">
        <v>9</v>
      </c>
    </row>
    <row r="422" spans="10:15" x14ac:dyDescent="0.3">
      <c r="J422" t="s">
        <v>556</v>
      </c>
      <c r="K422" s="17" t="s">
        <v>155</v>
      </c>
      <c r="L422" s="17" t="s">
        <v>155</v>
      </c>
      <c r="M422" s="17" t="s">
        <v>155</v>
      </c>
      <c r="N422" s="17" t="s">
        <v>155</v>
      </c>
      <c r="O422" s="17" t="s">
        <v>9</v>
      </c>
    </row>
    <row r="423" spans="10:15" x14ac:dyDescent="0.3">
      <c r="J423" t="s">
        <v>557</v>
      </c>
      <c r="K423" s="17" t="s">
        <v>155</v>
      </c>
      <c r="L423" s="17" t="s">
        <v>155</v>
      </c>
      <c r="M423" s="17" t="s">
        <v>155</v>
      </c>
      <c r="N423" s="17" t="s">
        <v>155</v>
      </c>
      <c r="O423" s="17" t="s">
        <v>155</v>
      </c>
    </row>
    <row r="424" spans="10:15" x14ac:dyDescent="0.3">
      <c r="J424" t="s">
        <v>158</v>
      </c>
      <c r="K424" s="17" t="s">
        <v>155</v>
      </c>
      <c r="L424" s="17" t="s">
        <v>155</v>
      </c>
      <c r="M424" s="17" t="s">
        <v>155</v>
      </c>
      <c r="N424" s="17" t="s">
        <v>155</v>
      </c>
      <c r="O424" s="17" t="s">
        <v>155</v>
      </c>
    </row>
    <row r="425" spans="10:15" x14ac:dyDescent="0.3">
      <c r="J425" t="s">
        <v>159</v>
      </c>
      <c r="K425" s="17" t="s">
        <v>155</v>
      </c>
      <c r="L425" s="17" t="s">
        <v>155</v>
      </c>
      <c r="M425" s="17" t="s">
        <v>155</v>
      </c>
      <c r="N425" s="17" t="s">
        <v>9</v>
      </c>
      <c r="O425" s="17" t="s">
        <v>9</v>
      </c>
    </row>
    <row r="426" spans="10:15" x14ac:dyDescent="0.3">
      <c r="J426" t="s">
        <v>160</v>
      </c>
      <c r="K426" s="17" t="s">
        <v>155</v>
      </c>
      <c r="L426" s="17" t="s">
        <v>155</v>
      </c>
      <c r="M426" s="17" t="s">
        <v>155</v>
      </c>
      <c r="N426" s="17" t="s">
        <v>9</v>
      </c>
      <c r="O426" s="17" t="s">
        <v>9</v>
      </c>
    </row>
    <row r="427" spans="10:15" x14ac:dyDescent="0.3">
      <c r="J427" t="s">
        <v>561</v>
      </c>
      <c r="K427" s="17" t="s">
        <v>155</v>
      </c>
      <c r="L427" s="17" t="s">
        <v>155</v>
      </c>
      <c r="M427" s="17" t="s">
        <v>155</v>
      </c>
      <c r="N427" s="17" t="s">
        <v>155</v>
      </c>
      <c r="O427" s="17" t="s">
        <v>155</v>
      </c>
    </row>
    <row r="428" spans="10:15" x14ac:dyDescent="0.3">
      <c r="J428" t="s">
        <v>562</v>
      </c>
      <c r="K428" s="17" t="s">
        <v>155</v>
      </c>
      <c r="L428" s="17" t="s">
        <v>155</v>
      </c>
      <c r="M428" s="17" t="s">
        <v>155</v>
      </c>
      <c r="N428" s="17" t="s">
        <v>155</v>
      </c>
      <c r="O428" s="17" t="s">
        <v>155</v>
      </c>
    </row>
    <row r="429" spans="10:15" x14ac:dyDescent="0.3">
      <c r="J429" t="s">
        <v>563</v>
      </c>
      <c r="K429" s="17" t="s">
        <v>155</v>
      </c>
      <c r="L429" s="17" t="s">
        <v>155</v>
      </c>
      <c r="M429" s="17" t="s">
        <v>155</v>
      </c>
      <c r="N429" s="17" t="s">
        <v>155</v>
      </c>
      <c r="O429" s="17" t="s">
        <v>9</v>
      </c>
    </row>
    <row r="430" spans="10:15" x14ac:dyDescent="0.3">
      <c r="J430" t="s">
        <v>564</v>
      </c>
      <c r="K430" s="17" t="s">
        <v>155</v>
      </c>
      <c r="L430" s="17" t="s">
        <v>155</v>
      </c>
      <c r="M430" s="17" t="s">
        <v>155</v>
      </c>
      <c r="N430" s="17" t="s">
        <v>155</v>
      </c>
      <c r="O430" s="17" t="s">
        <v>9</v>
      </c>
    </row>
    <row r="431" spans="10:15" x14ac:dyDescent="0.3">
      <c r="J431" t="s">
        <v>549</v>
      </c>
      <c r="K431" s="17" t="s">
        <v>155</v>
      </c>
      <c r="L431" s="17" t="s">
        <v>155</v>
      </c>
      <c r="M431" s="17" t="s">
        <v>155</v>
      </c>
      <c r="N431" s="17" t="s">
        <v>155</v>
      </c>
      <c r="O431" s="17" t="s">
        <v>155</v>
      </c>
    </row>
    <row r="432" spans="10:15" x14ac:dyDescent="0.3">
      <c r="J432" t="s">
        <v>550</v>
      </c>
      <c r="K432" s="17" t="s">
        <v>155</v>
      </c>
      <c r="L432" s="17" t="s">
        <v>155</v>
      </c>
      <c r="M432" s="17" t="s">
        <v>155</v>
      </c>
      <c r="N432" s="17" t="s">
        <v>155</v>
      </c>
      <c r="O432" s="17" t="s">
        <v>155</v>
      </c>
    </row>
    <row r="433" spans="10:15" x14ac:dyDescent="0.3">
      <c r="J433" t="s">
        <v>551</v>
      </c>
      <c r="K433" s="17" t="s">
        <v>155</v>
      </c>
      <c r="L433" s="17" t="s">
        <v>155</v>
      </c>
      <c r="M433" s="17" t="s">
        <v>155</v>
      </c>
      <c r="N433" s="17" t="s">
        <v>155</v>
      </c>
      <c r="O433" s="17" t="s">
        <v>155</v>
      </c>
    </row>
    <row r="434" spans="10:15" x14ac:dyDescent="0.3">
      <c r="J434" t="s">
        <v>552</v>
      </c>
      <c r="K434" s="17" t="s">
        <v>155</v>
      </c>
      <c r="L434" s="17" t="s">
        <v>155</v>
      </c>
      <c r="M434" s="17" t="s">
        <v>155</v>
      </c>
      <c r="N434" s="17" t="s">
        <v>155</v>
      </c>
      <c r="O434" s="17" t="s">
        <v>155</v>
      </c>
    </row>
    <row r="435" spans="10:15" x14ac:dyDescent="0.3">
      <c r="J435" t="s">
        <v>553</v>
      </c>
      <c r="K435" s="17" t="s">
        <v>155</v>
      </c>
      <c r="L435" s="17" t="s">
        <v>155</v>
      </c>
      <c r="M435" s="17" t="s">
        <v>155</v>
      </c>
      <c r="N435" s="17" t="s">
        <v>155</v>
      </c>
      <c r="O435" s="17" t="s">
        <v>155</v>
      </c>
    </row>
    <row r="437" spans="10:15" x14ac:dyDescent="0.3">
      <c r="J437" t="s">
        <v>737</v>
      </c>
    </row>
    <row r="438" spans="10:15" x14ac:dyDescent="0.3">
      <c r="K438" s="17" t="s">
        <v>164</v>
      </c>
      <c r="L438" s="17" t="s">
        <v>165</v>
      </c>
      <c r="M438" s="17" t="s">
        <v>166</v>
      </c>
      <c r="N438" s="17" t="s">
        <v>167</v>
      </c>
      <c r="O438" s="17" t="s">
        <v>168</v>
      </c>
    </row>
    <row r="439" spans="10:15" x14ac:dyDescent="0.3">
      <c r="J439" t="s">
        <v>555</v>
      </c>
      <c r="K439" s="17" t="s">
        <v>155</v>
      </c>
      <c r="L439" s="17" t="s">
        <v>155</v>
      </c>
      <c r="M439" s="17" t="s">
        <v>155</v>
      </c>
      <c r="N439" s="17" t="s">
        <v>155</v>
      </c>
      <c r="O439" s="17" t="s">
        <v>155</v>
      </c>
    </row>
    <row r="440" spans="10:15" x14ac:dyDescent="0.3">
      <c r="J440" t="s">
        <v>556</v>
      </c>
      <c r="K440" s="17" t="s">
        <v>155</v>
      </c>
      <c r="L440" s="17" t="s">
        <v>155</v>
      </c>
      <c r="M440" s="17" t="s">
        <v>155</v>
      </c>
      <c r="N440" s="17" t="s">
        <v>155</v>
      </c>
      <c r="O440" s="17" t="s">
        <v>155</v>
      </c>
    </row>
    <row r="441" spans="10:15" x14ac:dyDescent="0.3">
      <c r="J441" t="s">
        <v>557</v>
      </c>
      <c r="K441" s="17" t="s">
        <v>6</v>
      </c>
      <c r="L441" s="17" t="s">
        <v>155</v>
      </c>
      <c r="M441" s="17" t="s">
        <v>155</v>
      </c>
      <c r="N441" s="17" t="s">
        <v>6</v>
      </c>
      <c r="O441" s="17" t="s">
        <v>155</v>
      </c>
    </row>
    <row r="442" spans="10:15" x14ac:dyDescent="0.3">
      <c r="J442" t="s">
        <v>158</v>
      </c>
      <c r="K442" s="17" t="s">
        <v>6</v>
      </c>
      <c r="L442" s="17" t="s">
        <v>155</v>
      </c>
      <c r="M442" s="17" t="s">
        <v>155</v>
      </c>
      <c r="N442" s="17" t="s">
        <v>6</v>
      </c>
      <c r="O442" s="17" t="s">
        <v>325</v>
      </c>
    </row>
    <row r="443" spans="10:15" x14ac:dyDescent="0.3">
      <c r="J443" t="s">
        <v>159</v>
      </c>
      <c r="K443" s="17" t="s">
        <v>6</v>
      </c>
      <c r="L443" s="17" t="s">
        <v>325</v>
      </c>
      <c r="M443" s="17" t="s">
        <v>155</v>
      </c>
      <c r="N443" s="17" t="s">
        <v>155</v>
      </c>
      <c r="O443" s="17" t="s">
        <v>325</v>
      </c>
    </row>
    <row r="444" spans="10:15" x14ac:dyDescent="0.3">
      <c r="J444" t="s">
        <v>160</v>
      </c>
      <c r="K444" s="17" t="s">
        <v>155</v>
      </c>
      <c r="L444" s="17" t="s">
        <v>325</v>
      </c>
      <c r="M444" s="17" t="s">
        <v>155</v>
      </c>
      <c r="N444" s="17" t="s">
        <v>155</v>
      </c>
      <c r="O444" s="17" t="s">
        <v>325</v>
      </c>
    </row>
    <row r="445" spans="10:15" x14ac:dyDescent="0.3">
      <c r="J445" t="s">
        <v>561</v>
      </c>
      <c r="K445" s="17" t="s">
        <v>155</v>
      </c>
      <c r="L445" s="17" t="s">
        <v>155</v>
      </c>
      <c r="M445" s="17" t="s">
        <v>155</v>
      </c>
      <c r="N445" s="17" t="s">
        <v>155</v>
      </c>
      <c r="O445" s="17" t="s">
        <v>155</v>
      </c>
    </row>
    <row r="446" spans="10:15" x14ac:dyDescent="0.3">
      <c r="J446" t="s">
        <v>562</v>
      </c>
      <c r="K446" s="17" t="s">
        <v>155</v>
      </c>
      <c r="L446" s="17" t="s">
        <v>155</v>
      </c>
      <c r="M446" s="17" t="s">
        <v>155</v>
      </c>
      <c r="N446" s="17" t="s">
        <v>155</v>
      </c>
      <c r="O446" s="17" t="s">
        <v>155</v>
      </c>
    </row>
    <row r="447" spans="10:15" x14ac:dyDescent="0.3">
      <c r="J447" t="s">
        <v>563</v>
      </c>
      <c r="K447" s="17" t="s">
        <v>155</v>
      </c>
      <c r="L447" s="17" t="s">
        <v>155</v>
      </c>
      <c r="M447" s="17" t="s">
        <v>155</v>
      </c>
      <c r="N447" s="17" t="s">
        <v>155</v>
      </c>
      <c r="O447" s="17" t="s">
        <v>155</v>
      </c>
    </row>
    <row r="448" spans="10:15" x14ac:dyDescent="0.3">
      <c r="J448" t="s">
        <v>564</v>
      </c>
      <c r="K448" s="17" t="s">
        <v>155</v>
      </c>
      <c r="L448" s="17" t="s">
        <v>155</v>
      </c>
      <c r="M448" s="17" t="s">
        <v>155</v>
      </c>
      <c r="N448" s="17" t="s">
        <v>155</v>
      </c>
      <c r="O448" s="17" t="s">
        <v>155</v>
      </c>
    </row>
    <row r="449" spans="10:15" x14ac:dyDescent="0.3">
      <c r="J449" t="s">
        <v>549</v>
      </c>
      <c r="K449" s="17" t="s">
        <v>155</v>
      </c>
      <c r="L449" s="17" t="s">
        <v>155</v>
      </c>
      <c r="M449" s="17" t="s">
        <v>155</v>
      </c>
      <c r="N449" s="17" t="s">
        <v>155</v>
      </c>
      <c r="O449" s="17" t="s">
        <v>155</v>
      </c>
    </row>
    <row r="450" spans="10:15" x14ac:dyDescent="0.3">
      <c r="J450" t="s">
        <v>550</v>
      </c>
      <c r="K450" s="17" t="s">
        <v>155</v>
      </c>
      <c r="L450" s="17" t="s">
        <v>155</v>
      </c>
      <c r="M450" s="17" t="s">
        <v>155</v>
      </c>
      <c r="N450" s="17" t="s">
        <v>155</v>
      </c>
      <c r="O450" s="17" t="s">
        <v>155</v>
      </c>
    </row>
    <row r="451" spans="10:15" x14ac:dyDescent="0.3">
      <c r="J451" t="s">
        <v>551</v>
      </c>
      <c r="K451" s="17" t="s">
        <v>155</v>
      </c>
      <c r="L451" s="17" t="s">
        <v>155</v>
      </c>
      <c r="M451" s="17" t="s">
        <v>155</v>
      </c>
      <c r="N451" s="17" t="s">
        <v>155</v>
      </c>
      <c r="O451" s="17" t="s">
        <v>155</v>
      </c>
    </row>
    <row r="452" spans="10:15" x14ac:dyDescent="0.3">
      <c r="J452" t="s">
        <v>552</v>
      </c>
      <c r="K452" s="17" t="s">
        <v>155</v>
      </c>
      <c r="L452" s="17" t="s">
        <v>155</v>
      </c>
      <c r="M452" s="17" t="s">
        <v>155</v>
      </c>
      <c r="N452" s="17" t="s">
        <v>155</v>
      </c>
      <c r="O452" s="17" t="s">
        <v>155</v>
      </c>
    </row>
    <row r="453" spans="10:15" x14ac:dyDescent="0.3">
      <c r="J453" t="s">
        <v>553</v>
      </c>
      <c r="K453" s="17" t="s">
        <v>155</v>
      </c>
      <c r="L453" s="17" t="s">
        <v>155</v>
      </c>
      <c r="M453" s="17" t="s">
        <v>155</v>
      </c>
      <c r="N453" s="17" t="s">
        <v>155</v>
      </c>
      <c r="O453" s="17" t="s">
        <v>155</v>
      </c>
    </row>
    <row r="455" spans="10:15" x14ac:dyDescent="0.3">
      <c r="J455" t="s">
        <v>738</v>
      </c>
    </row>
    <row r="456" spans="10:15" x14ac:dyDescent="0.3">
      <c r="K456" s="17" t="s">
        <v>164</v>
      </c>
      <c r="L456" s="17" t="s">
        <v>165</v>
      </c>
      <c r="M456" s="17" t="s">
        <v>166</v>
      </c>
      <c r="N456" s="17" t="s">
        <v>167</v>
      </c>
      <c r="O456" s="17" t="s">
        <v>168</v>
      </c>
    </row>
    <row r="457" spans="10:15" x14ac:dyDescent="0.3">
      <c r="J457" t="s">
        <v>555</v>
      </c>
      <c r="K457" s="17" t="s">
        <v>155</v>
      </c>
      <c r="L457" s="17" t="s">
        <v>155</v>
      </c>
      <c r="M457" s="17" t="s">
        <v>155</v>
      </c>
      <c r="N457" s="17" t="s">
        <v>155</v>
      </c>
      <c r="O457" s="17" t="s">
        <v>155</v>
      </c>
    </row>
    <row r="458" spans="10:15" x14ac:dyDescent="0.3">
      <c r="J458" t="s">
        <v>556</v>
      </c>
      <c r="K458" s="17" t="s">
        <v>155</v>
      </c>
      <c r="L458" s="17" t="s">
        <v>155</v>
      </c>
      <c r="M458" s="17" t="s">
        <v>155</v>
      </c>
      <c r="N458" s="17" t="s">
        <v>155</v>
      </c>
      <c r="O458" s="17" t="s">
        <v>155</v>
      </c>
    </row>
    <row r="459" spans="10:15" x14ac:dyDescent="0.3">
      <c r="J459" t="s">
        <v>557</v>
      </c>
      <c r="K459" s="17" t="s">
        <v>155</v>
      </c>
      <c r="L459" s="17" t="s">
        <v>155</v>
      </c>
      <c r="M459" s="17" t="s">
        <v>155</v>
      </c>
      <c r="N459" s="17" t="s">
        <v>155</v>
      </c>
      <c r="O459" s="17" t="s">
        <v>155</v>
      </c>
    </row>
    <row r="460" spans="10:15" x14ac:dyDescent="0.3">
      <c r="J460" t="s">
        <v>158</v>
      </c>
      <c r="K460" s="17" t="s">
        <v>155</v>
      </c>
      <c r="L460" s="17" t="s">
        <v>155</v>
      </c>
      <c r="M460" s="17" t="s">
        <v>155</v>
      </c>
      <c r="N460" s="17" t="s">
        <v>155</v>
      </c>
      <c r="O460" s="17" t="s">
        <v>155</v>
      </c>
    </row>
    <row r="461" spans="10:15" x14ac:dyDescent="0.3">
      <c r="J461" t="s">
        <v>159</v>
      </c>
      <c r="K461" s="17" t="s">
        <v>155</v>
      </c>
      <c r="L461" s="17" t="s">
        <v>155</v>
      </c>
      <c r="M461" s="17" t="s">
        <v>155</v>
      </c>
      <c r="N461" s="17" t="s">
        <v>155</v>
      </c>
      <c r="O461" s="17" t="s">
        <v>155</v>
      </c>
    </row>
    <row r="462" spans="10:15" x14ac:dyDescent="0.3">
      <c r="J462" t="s">
        <v>160</v>
      </c>
      <c r="K462" s="17" t="s">
        <v>155</v>
      </c>
      <c r="L462" s="17" t="s">
        <v>155</v>
      </c>
      <c r="M462" s="17" t="s">
        <v>155</v>
      </c>
      <c r="N462" s="17" t="s">
        <v>155</v>
      </c>
      <c r="O462" s="17" t="s">
        <v>155</v>
      </c>
    </row>
    <row r="463" spans="10:15" x14ac:dyDescent="0.3">
      <c r="J463" t="s">
        <v>561</v>
      </c>
      <c r="K463" s="17" t="s">
        <v>155</v>
      </c>
      <c r="L463" s="17" t="s">
        <v>155</v>
      </c>
      <c r="M463" s="17" t="s">
        <v>155</v>
      </c>
      <c r="N463" s="17" t="s">
        <v>155</v>
      </c>
      <c r="O463" s="17" t="s">
        <v>155</v>
      </c>
    </row>
    <row r="464" spans="10:15" x14ac:dyDescent="0.3">
      <c r="J464" t="s">
        <v>562</v>
      </c>
      <c r="K464" s="17" t="s">
        <v>155</v>
      </c>
      <c r="L464" s="17" t="s">
        <v>155</v>
      </c>
      <c r="M464" s="17" t="s">
        <v>155</v>
      </c>
      <c r="N464" s="17" t="s">
        <v>155</v>
      </c>
      <c r="O464" s="17" t="s">
        <v>155</v>
      </c>
    </row>
    <row r="465" spans="10:15" x14ac:dyDescent="0.3">
      <c r="J465" t="s">
        <v>563</v>
      </c>
      <c r="K465" s="17" t="s">
        <v>155</v>
      </c>
      <c r="L465" s="17" t="s">
        <v>155</v>
      </c>
      <c r="M465" s="17" t="s">
        <v>155</v>
      </c>
      <c r="N465" s="17" t="s">
        <v>155</v>
      </c>
      <c r="O465" s="17" t="s">
        <v>155</v>
      </c>
    </row>
    <row r="466" spans="10:15" x14ac:dyDescent="0.3">
      <c r="J466" t="s">
        <v>564</v>
      </c>
      <c r="K466" s="17" t="s">
        <v>155</v>
      </c>
      <c r="L466" s="17" t="s">
        <v>155</v>
      </c>
      <c r="M466" s="17" t="s">
        <v>6</v>
      </c>
      <c r="N466" s="17" t="s">
        <v>155</v>
      </c>
      <c r="O466" s="17" t="s">
        <v>155</v>
      </c>
    </row>
    <row r="467" spans="10:15" x14ac:dyDescent="0.3">
      <c r="J467" t="s">
        <v>549</v>
      </c>
      <c r="K467" s="17" t="s">
        <v>155</v>
      </c>
      <c r="L467" s="17" t="s">
        <v>155</v>
      </c>
      <c r="M467" s="17" t="s">
        <v>6</v>
      </c>
      <c r="N467" s="17" t="s">
        <v>155</v>
      </c>
      <c r="O467" s="17" t="s">
        <v>6</v>
      </c>
    </row>
    <row r="468" spans="10:15" x14ac:dyDescent="0.3">
      <c r="J468" t="s">
        <v>550</v>
      </c>
      <c r="K468" s="17" t="s">
        <v>155</v>
      </c>
      <c r="L468" s="17" t="s">
        <v>155</v>
      </c>
      <c r="M468" s="17" t="s">
        <v>6</v>
      </c>
      <c r="N468" s="17" t="s">
        <v>155</v>
      </c>
      <c r="O468" s="17" t="s">
        <v>6</v>
      </c>
    </row>
    <row r="469" spans="10:15" x14ac:dyDescent="0.3">
      <c r="J469" t="s">
        <v>551</v>
      </c>
      <c r="K469" s="17" t="s">
        <v>155</v>
      </c>
      <c r="L469" s="17" t="s">
        <v>155</v>
      </c>
      <c r="M469" s="17" t="s">
        <v>155</v>
      </c>
      <c r="N469" s="17" t="s">
        <v>155</v>
      </c>
      <c r="O469" s="17" t="s">
        <v>155</v>
      </c>
    </row>
    <row r="470" spans="10:15" x14ac:dyDescent="0.3">
      <c r="J470" t="s">
        <v>552</v>
      </c>
      <c r="K470" s="17" t="s">
        <v>155</v>
      </c>
      <c r="L470" s="17" t="s">
        <v>155</v>
      </c>
      <c r="M470" s="17" t="s">
        <v>155</v>
      </c>
      <c r="N470" s="17" t="s">
        <v>155</v>
      </c>
      <c r="O470" s="17" t="s">
        <v>155</v>
      </c>
    </row>
    <row r="471" spans="10:15" x14ac:dyDescent="0.3">
      <c r="J471" t="s">
        <v>553</v>
      </c>
      <c r="K471" s="17" t="s">
        <v>155</v>
      </c>
      <c r="L471" s="17" t="s">
        <v>155</v>
      </c>
      <c r="M471" s="17" t="s">
        <v>155</v>
      </c>
      <c r="N471" s="17" t="s">
        <v>155</v>
      </c>
      <c r="O471" s="17" t="s">
        <v>155</v>
      </c>
    </row>
    <row r="473" spans="10:15" x14ac:dyDescent="0.3">
      <c r="J473" t="s">
        <v>739</v>
      </c>
    </row>
    <row r="474" spans="10:15" x14ac:dyDescent="0.3">
      <c r="K474" s="17" t="s">
        <v>164</v>
      </c>
      <c r="L474" s="17" t="s">
        <v>165</v>
      </c>
      <c r="M474" s="17" t="s">
        <v>166</v>
      </c>
      <c r="N474" s="17" t="s">
        <v>167</v>
      </c>
      <c r="O474" s="17" t="s">
        <v>168</v>
      </c>
    </row>
    <row r="475" spans="10:15" x14ac:dyDescent="0.3">
      <c r="J475" t="s">
        <v>555</v>
      </c>
      <c r="K475" s="17" t="s">
        <v>155</v>
      </c>
      <c r="L475" s="17" t="s">
        <v>155</v>
      </c>
      <c r="M475" s="17" t="s">
        <v>155</v>
      </c>
      <c r="N475" s="17" t="s">
        <v>155</v>
      </c>
      <c r="O475" s="17" t="s">
        <v>7</v>
      </c>
    </row>
    <row r="476" spans="10:15" x14ac:dyDescent="0.3">
      <c r="J476" t="s">
        <v>556</v>
      </c>
      <c r="K476" s="17" t="s">
        <v>155</v>
      </c>
      <c r="L476" s="17" t="s">
        <v>155</v>
      </c>
      <c r="M476" s="17" t="s">
        <v>155</v>
      </c>
      <c r="N476" s="17" t="s">
        <v>155</v>
      </c>
      <c r="O476" s="17" t="s">
        <v>7</v>
      </c>
    </row>
    <row r="477" spans="10:15" x14ac:dyDescent="0.3">
      <c r="J477" t="s">
        <v>557</v>
      </c>
      <c r="K477" s="17" t="s">
        <v>155</v>
      </c>
      <c r="L477" s="17" t="s">
        <v>155</v>
      </c>
      <c r="M477" s="17" t="s">
        <v>155</v>
      </c>
      <c r="N477" s="17" t="s">
        <v>155</v>
      </c>
      <c r="O477" s="17" t="s">
        <v>7</v>
      </c>
    </row>
    <row r="478" spans="10:15" x14ac:dyDescent="0.3">
      <c r="J478" t="s">
        <v>158</v>
      </c>
      <c r="K478" s="17" t="s">
        <v>155</v>
      </c>
      <c r="L478" s="17" t="s">
        <v>155</v>
      </c>
      <c r="M478" s="17" t="s">
        <v>155</v>
      </c>
      <c r="N478" s="17" t="s">
        <v>155</v>
      </c>
      <c r="O478" s="17" t="s">
        <v>7</v>
      </c>
    </row>
    <row r="479" spans="10:15" x14ac:dyDescent="0.3">
      <c r="J479" t="s">
        <v>159</v>
      </c>
      <c r="K479" s="17" t="s">
        <v>155</v>
      </c>
      <c r="L479" s="17" t="s">
        <v>155</v>
      </c>
      <c r="M479" s="17" t="s">
        <v>155</v>
      </c>
      <c r="N479" s="17" t="s">
        <v>155</v>
      </c>
      <c r="O479" s="17" t="s">
        <v>7</v>
      </c>
    </row>
    <row r="480" spans="10:15" x14ac:dyDescent="0.3">
      <c r="J480" t="s">
        <v>160</v>
      </c>
      <c r="K480" s="17" t="s">
        <v>155</v>
      </c>
      <c r="L480" s="17" t="s">
        <v>155</v>
      </c>
      <c r="M480" s="17" t="s">
        <v>155</v>
      </c>
      <c r="N480" s="17" t="s">
        <v>155</v>
      </c>
      <c r="O480" s="17" t="s">
        <v>7</v>
      </c>
    </row>
    <row r="481" spans="10:15" x14ac:dyDescent="0.3">
      <c r="J481" t="s">
        <v>561</v>
      </c>
      <c r="K481" s="17" t="s">
        <v>155</v>
      </c>
      <c r="L481" s="17" t="s">
        <v>155</v>
      </c>
      <c r="M481" s="17" t="s">
        <v>155</v>
      </c>
      <c r="N481" s="17" t="s">
        <v>155</v>
      </c>
      <c r="O481" s="17" t="s">
        <v>7</v>
      </c>
    </row>
    <row r="482" spans="10:15" x14ac:dyDescent="0.3">
      <c r="J482" t="s">
        <v>562</v>
      </c>
      <c r="K482" s="17" t="s">
        <v>155</v>
      </c>
      <c r="L482" s="17" t="s">
        <v>155</v>
      </c>
      <c r="M482" s="17" t="s">
        <v>155</v>
      </c>
      <c r="N482" s="17" t="s">
        <v>155</v>
      </c>
      <c r="O482" s="17" t="s">
        <v>7</v>
      </c>
    </row>
    <row r="483" spans="10:15" x14ac:dyDescent="0.3">
      <c r="J483" t="s">
        <v>563</v>
      </c>
      <c r="K483" s="17" t="s">
        <v>155</v>
      </c>
      <c r="L483" s="17" t="s">
        <v>155</v>
      </c>
      <c r="M483" s="17" t="s">
        <v>155</v>
      </c>
      <c r="N483" s="17" t="s">
        <v>155</v>
      </c>
      <c r="O483" s="17" t="s">
        <v>155</v>
      </c>
    </row>
    <row r="484" spans="10:15" x14ac:dyDescent="0.3">
      <c r="J484" t="s">
        <v>564</v>
      </c>
      <c r="K484" s="17" t="s">
        <v>155</v>
      </c>
      <c r="L484" s="17" t="s">
        <v>155</v>
      </c>
      <c r="M484" s="17" t="s">
        <v>155</v>
      </c>
      <c r="N484" s="17" t="s">
        <v>155</v>
      </c>
      <c r="O484" s="17" t="s">
        <v>155</v>
      </c>
    </row>
    <row r="485" spans="10:15" x14ac:dyDescent="0.3">
      <c r="J485" t="s">
        <v>549</v>
      </c>
      <c r="K485" s="17" t="s">
        <v>155</v>
      </c>
      <c r="L485" s="17" t="s">
        <v>155</v>
      </c>
      <c r="M485" s="17" t="s">
        <v>155</v>
      </c>
      <c r="N485" s="17" t="s">
        <v>155</v>
      </c>
      <c r="O485" s="17" t="s">
        <v>155</v>
      </c>
    </row>
    <row r="486" spans="10:15" x14ac:dyDescent="0.3">
      <c r="J486" t="s">
        <v>550</v>
      </c>
      <c r="K486" s="17" t="s">
        <v>155</v>
      </c>
      <c r="L486" s="17" t="s">
        <v>155</v>
      </c>
      <c r="M486" s="17" t="s">
        <v>155</v>
      </c>
      <c r="N486" s="17" t="s">
        <v>155</v>
      </c>
      <c r="O486" s="17" t="s">
        <v>155</v>
      </c>
    </row>
    <row r="487" spans="10:15" x14ac:dyDescent="0.3">
      <c r="J487" t="s">
        <v>551</v>
      </c>
      <c r="K487" s="17" t="s">
        <v>155</v>
      </c>
      <c r="L487" s="17" t="s">
        <v>155</v>
      </c>
      <c r="M487" s="17" t="s">
        <v>155</v>
      </c>
      <c r="N487" s="17" t="s">
        <v>155</v>
      </c>
      <c r="O487" s="17" t="s">
        <v>155</v>
      </c>
    </row>
    <row r="488" spans="10:15" x14ac:dyDescent="0.3">
      <c r="J488" t="s">
        <v>552</v>
      </c>
      <c r="K488" s="17" t="s">
        <v>155</v>
      </c>
      <c r="L488" s="17" t="s">
        <v>155</v>
      </c>
      <c r="M488" s="17" t="s">
        <v>155</v>
      </c>
      <c r="N488" s="17" t="s">
        <v>155</v>
      </c>
      <c r="O488" s="17" t="s">
        <v>155</v>
      </c>
    </row>
    <row r="489" spans="10:15" x14ac:dyDescent="0.3">
      <c r="J489" t="s">
        <v>553</v>
      </c>
      <c r="K489" s="17" t="s">
        <v>155</v>
      </c>
      <c r="L489" s="17" t="s">
        <v>155</v>
      </c>
      <c r="M489" s="17" t="s">
        <v>155</v>
      </c>
      <c r="N489" s="17" t="s">
        <v>155</v>
      </c>
      <c r="O489" s="17" t="s">
        <v>155</v>
      </c>
    </row>
    <row r="491" spans="10:15" x14ac:dyDescent="0.3">
      <c r="J491" t="s">
        <v>740</v>
      </c>
    </row>
    <row r="492" spans="10:15" x14ac:dyDescent="0.3">
      <c r="K492" s="17" t="s">
        <v>164</v>
      </c>
      <c r="L492" s="17" t="s">
        <v>165</v>
      </c>
      <c r="M492" s="17" t="s">
        <v>166</v>
      </c>
      <c r="N492" s="17" t="s">
        <v>167</v>
      </c>
      <c r="O492" s="17" t="s">
        <v>168</v>
      </c>
    </row>
    <row r="493" spans="10:15" x14ac:dyDescent="0.3">
      <c r="J493" t="s">
        <v>555</v>
      </c>
      <c r="K493" s="17" t="s">
        <v>155</v>
      </c>
      <c r="L493" s="17" t="s">
        <v>314</v>
      </c>
      <c r="M493" s="17" t="s">
        <v>155</v>
      </c>
      <c r="N493" s="17" t="s">
        <v>155</v>
      </c>
      <c r="O493" s="17" t="s">
        <v>155</v>
      </c>
    </row>
    <row r="494" spans="10:15" x14ac:dyDescent="0.3">
      <c r="J494" t="s">
        <v>556</v>
      </c>
      <c r="K494" s="17" t="s">
        <v>155</v>
      </c>
      <c r="L494" s="17" t="s">
        <v>314</v>
      </c>
      <c r="M494" s="17" t="s">
        <v>155</v>
      </c>
      <c r="N494" s="17" t="s">
        <v>314</v>
      </c>
      <c r="O494" s="17" t="s">
        <v>155</v>
      </c>
    </row>
    <row r="495" spans="10:15" x14ac:dyDescent="0.3">
      <c r="J495" t="s">
        <v>557</v>
      </c>
      <c r="K495" s="17" t="s">
        <v>155</v>
      </c>
      <c r="L495" s="17" t="s">
        <v>314</v>
      </c>
      <c r="M495" s="17" t="s">
        <v>155</v>
      </c>
      <c r="N495" s="17" t="s">
        <v>314</v>
      </c>
      <c r="O495" s="17" t="s">
        <v>155</v>
      </c>
    </row>
    <row r="496" spans="10:15" x14ac:dyDescent="0.3">
      <c r="J496" t="s">
        <v>158</v>
      </c>
      <c r="K496" s="17" t="s">
        <v>155</v>
      </c>
      <c r="L496" s="17" t="s">
        <v>155</v>
      </c>
      <c r="M496" s="17" t="s">
        <v>155</v>
      </c>
      <c r="N496" s="17" t="s">
        <v>155</v>
      </c>
      <c r="O496" s="17" t="s">
        <v>155</v>
      </c>
    </row>
    <row r="497" spans="10:15" x14ac:dyDescent="0.3">
      <c r="J497" t="s">
        <v>159</v>
      </c>
      <c r="K497" s="17" t="s">
        <v>155</v>
      </c>
      <c r="L497" s="17" t="s">
        <v>155</v>
      </c>
      <c r="M497" s="17" t="s">
        <v>155</v>
      </c>
      <c r="N497" s="17" t="s">
        <v>155</v>
      </c>
      <c r="O497" s="17" t="s">
        <v>155</v>
      </c>
    </row>
    <row r="498" spans="10:15" x14ac:dyDescent="0.3">
      <c r="J498" t="s">
        <v>160</v>
      </c>
      <c r="K498" s="17" t="s">
        <v>155</v>
      </c>
      <c r="L498" s="17" t="s">
        <v>155</v>
      </c>
      <c r="M498" s="17" t="s">
        <v>155</v>
      </c>
      <c r="N498" s="17" t="s">
        <v>155</v>
      </c>
      <c r="O498" s="17" t="s">
        <v>155</v>
      </c>
    </row>
    <row r="499" spans="10:15" x14ac:dyDescent="0.3">
      <c r="J499" t="s">
        <v>561</v>
      </c>
      <c r="K499" s="17" t="s">
        <v>155</v>
      </c>
      <c r="L499" s="17" t="s">
        <v>155</v>
      </c>
      <c r="M499" s="17" t="s">
        <v>155</v>
      </c>
      <c r="N499" s="17" t="s">
        <v>155</v>
      </c>
      <c r="O499" s="17" t="s">
        <v>155</v>
      </c>
    </row>
    <row r="500" spans="10:15" x14ac:dyDescent="0.3">
      <c r="J500" t="s">
        <v>562</v>
      </c>
      <c r="K500" s="17" t="s">
        <v>155</v>
      </c>
      <c r="L500" s="17" t="s">
        <v>155</v>
      </c>
      <c r="M500" s="17" t="s">
        <v>155</v>
      </c>
      <c r="N500" s="17" t="s">
        <v>155</v>
      </c>
      <c r="O500" s="17" t="s">
        <v>155</v>
      </c>
    </row>
    <row r="501" spans="10:15" x14ac:dyDescent="0.3">
      <c r="J501" t="s">
        <v>563</v>
      </c>
      <c r="K501" s="17" t="s">
        <v>155</v>
      </c>
      <c r="L501" s="17" t="s">
        <v>155</v>
      </c>
      <c r="M501" s="17" t="s">
        <v>155</v>
      </c>
      <c r="N501" s="17" t="s">
        <v>155</v>
      </c>
      <c r="O501" s="17" t="s">
        <v>155</v>
      </c>
    </row>
    <row r="502" spans="10:15" x14ac:dyDescent="0.3">
      <c r="J502" t="s">
        <v>564</v>
      </c>
      <c r="K502" s="17" t="s">
        <v>155</v>
      </c>
      <c r="L502" s="17" t="s">
        <v>155</v>
      </c>
      <c r="M502" s="17" t="s">
        <v>155</v>
      </c>
      <c r="N502" s="17" t="s">
        <v>155</v>
      </c>
      <c r="O502" s="17" t="s">
        <v>155</v>
      </c>
    </row>
    <row r="503" spans="10:15" x14ac:dyDescent="0.3">
      <c r="J503" t="s">
        <v>549</v>
      </c>
      <c r="K503" s="17" t="s">
        <v>155</v>
      </c>
      <c r="L503" s="17" t="s">
        <v>155</v>
      </c>
      <c r="M503" s="17" t="s">
        <v>155</v>
      </c>
      <c r="N503" s="17" t="s">
        <v>155</v>
      </c>
      <c r="O503" s="17" t="s">
        <v>155</v>
      </c>
    </row>
    <row r="504" spans="10:15" x14ac:dyDescent="0.3">
      <c r="J504" t="s">
        <v>550</v>
      </c>
      <c r="K504" s="17" t="s">
        <v>155</v>
      </c>
      <c r="L504" s="17" t="s">
        <v>155</v>
      </c>
      <c r="M504" s="17" t="s">
        <v>155</v>
      </c>
      <c r="N504" s="17" t="s">
        <v>155</v>
      </c>
      <c r="O504" s="17" t="s">
        <v>155</v>
      </c>
    </row>
    <row r="505" spans="10:15" x14ac:dyDescent="0.3">
      <c r="J505" t="s">
        <v>551</v>
      </c>
      <c r="K505" s="17" t="s">
        <v>155</v>
      </c>
      <c r="L505" s="17" t="s">
        <v>155</v>
      </c>
      <c r="M505" s="17" t="s">
        <v>155</v>
      </c>
      <c r="N505" s="17" t="s">
        <v>155</v>
      </c>
      <c r="O505" s="17" t="s">
        <v>155</v>
      </c>
    </row>
    <row r="506" spans="10:15" x14ac:dyDescent="0.3">
      <c r="J506" t="s">
        <v>552</v>
      </c>
      <c r="K506" s="17" t="s">
        <v>155</v>
      </c>
      <c r="L506" s="17" t="s">
        <v>155</v>
      </c>
      <c r="M506" s="17" t="s">
        <v>155</v>
      </c>
      <c r="N506" s="17" t="s">
        <v>155</v>
      </c>
      <c r="O506" s="17" t="s">
        <v>155</v>
      </c>
    </row>
    <row r="507" spans="10:15" x14ac:dyDescent="0.3">
      <c r="J507" t="s">
        <v>553</v>
      </c>
      <c r="K507" s="17" t="s">
        <v>155</v>
      </c>
      <c r="L507" s="17" t="s">
        <v>155</v>
      </c>
      <c r="M507" s="17" t="s">
        <v>155</v>
      </c>
      <c r="N507" s="17" t="s">
        <v>155</v>
      </c>
      <c r="O507" s="17" t="s">
        <v>155</v>
      </c>
    </row>
    <row r="509" spans="10:15" x14ac:dyDescent="0.3">
      <c r="J509" t="s">
        <v>741</v>
      </c>
    </row>
    <row r="510" spans="10:15" x14ac:dyDescent="0.3">
      <c r="K510" s="17" t="s">
        <v>164</v>
      </c>
      <c r="L510" s="17" t="s">
        <v>165</v>
      </c>
      <c r="M510" s="17" t="s">
        <v>166</v>
      </c>
      <c r="N510" s="17" t="s">
        <v>167</v>
      </c>
      <c r="O510" s="17" t="s">
        <v>168</v>
      </c>
    </row>
    <row r="511" spans="10:15" x14ac:dyDescent="0.3">
      <c r="J511" t="s">
        <v>555</v>
      </c>
      <c r="K511" s="17" t="s">
        <v>314</v>
      </c>
      <c r="L511" s="17" t="s">
        <v>155</v>
      </c>
      <c r="M511" s="17" t="s">
        <v>155</v>
      </c>
      <c r="N511" s="17" t="s">
        <v>314</v>
      </c>
      <c r="O511" s="17" t="s">
        <v>155</v>
      </c>
    </row>
    <row r="512" spans="10:15" x14ac:dyDescent="0.3">
      <c r="J512" t="s">
        <v>556</v>
      </c>
      <c r="K512" s="17" t="s">
        <v>314</v>
      </c>
      <c r="L512" s="17" t="s">
        <v>155</v>
      </c>
      <c r="M512" s="17" t="s">
        <v>155</v>
      </c>
      <c r="N512" s="17" t="s">
        <v>314</v>
      </c>
      <c r="O512" s="17" t="s">
        <v>155</v>
      </c>
    </row>
    <row r="513" spans="10:15" x14ac:dyDescent="0.3">
      <c r="J513" t="s">
        <v>557</v>
      </c>
      <c r="K513" s="17" t="s">
        <v>314</v>
      </c>
      <c r="L513" s="17" t="s">
        <v>155</v>
      </c>
      <c r="M513" s="17" t="s">
        <v>155</v>
      </c>
      <c r="N513" s="17" t="s">
        <v>155</v>
      </c>
      <c r="O513" s="17" t="s">
        <v>155</v>
      </c>
    </row>
    <row r="514" spans="10:15" x14ac:dyDescent="0.3">
      <c r="J514" t="s">
        <v>158</v>
      </c>
      <c r="K514" s="17" t="s">
        <v>155</v>
      </c>
      <c r="L514" s="17" t="s">
        <v>155</v>
      </c>
      <c r="M514" s="17" t="s">
        <v>155</v>
      </c>
      <c r="N514" s="17" t="s">
        <v>155</v>
      </c>
      <c r="O514" s="17" t="s">
        <v>155</v>
      </c>
    </row>
    <row r="515" spans="10:15" x14ac:dyDescent="0.3">
      <c r="J515" t="s">
        <v>159</v>
      </c>
      <c r="K515" s="17" t="s">
        <v>155</v>
      </c>
      <c r="L515" s="17" t="s">
        <v>155</v>
      </c>
      <c r="M515" s="17" t="s">
        <v>155</v>
      </c>
      <c r="N515" s="17" t="s">
        <v>155</v>
      </c>
      <c r="O515" s="17" t="s">
        <v>155</v>
      </c>
    </row>
    <row r="516" spans="10:15" x14ac:dyDescent="0.3">
      <c r="J516" t="s">
        <v>160</v>
      </c>
      <c r="K516" s="17" t="s">
        <v>155</v>
      </c>
      <c r="L516" s="17" t="s">
        <v>155</v>
      </c>
      <c r="M516" s="17" t="s">
        <v>155</v>
      </c>
      <c r="N516" s="17" t="s">
        <v>155</v>
      </c>
      <c r="O516" s="17" t="s">
        <v>155</v>
      </c>
    </row>
    <row r="517" spans="10:15" x14ac:dyDescent="0.3">
      <c r="J517" t="s">
        <v>561</v>
      </c>
      <c r="K517" s="17" t="s">
        <v>155</v>
      </c>
      <c r="L517" s="17" t="s">
        <v>155</v>
      </c>
      <c r="M517" s="17" t="s">
        <v>155</v>
      </c>
      <c r="N517" s="17" t="s">
        <v>155</v>
      </c>
      <c r="O517" s="17" t="s">
        <v>155</v>
      </c>
    </row>
    <row r="518" spans="10:15" x14ac:dyDescent="0.3">
      <c r="J518" t="s">
        <v>562</v>
      </c>
      <c r="K518" s="17" t="s">
        <v>155</v>
      </c>
      <c r="L518" s="17" t="s">
        <v>155</v>
      </c>
      <c r="M518" s="17" t="s">
        <v>155</v>
      </c>
      <c r="N518" s="17" t="s">
        <v>155</v>
      </c>
      <c r="O518" s="17" t="s">
        <v>155</v>
      </c>
    </row>
    <row r="519" spans="10:15" x14ac:dyDescent="0.3">
      <c r="J519" t="s">
        <v>563</v>
      </c>
      <c r="K519" s="17" t="s">
        <v>155</v>
      </c>
      <c r="L519" s="17" t="s">
        <v>155</v>
      </c>
      <c r="M519" s="17" t="s">
        <v>155</v>
      </c>
      <c r="N519" s="17" t="s">
        <v>155</v>
      </c>
      <c r="O519" s="17" t="s">
        <v>155</v>
      </c>
    </row>
    <row r="520" spans="10:15" x14ac:dyDescent="0.3">
      <c r="J520" t="s">
        <v>564</v>
      </c>
      <c r="K520" s="17" t="s">
        <v>155</v>
      </c>
      <c r="L520" s="17" t="s">
        <v>155</v>
      </c>
      <c r="M520" s="17" t="s">
        <v>155</v>
      </c>
      <c r="N520" s="17" t="s">
        <v>155</v>
      </c>
      <c r="O520" s="17" t="s">
        <v>155</v>
      </c>
    </row>
    <row r="521" spans="10:15" x14ac:dyDescent="0.3">
      <c r="J521" t="s">
        <v>549</v>
      </c>
      <c r="K521" s="17" t="s">
        <v>155</v>
      </c>
      <c r="L521" s="17" t="s">
        <v>155</v>
      </c>
      <c r="M521" s="17" t="s">
        <v>155</v>
      </c>
      <c r="N521" s="17" t="s">
        <v>155</v>
      </c>
      <c r="O521" s="17" t="s">
        <v>155</v>
      </c>
    </row>
    <row r="522" spans="10:15" x14ac:dyDescent="0.3">
      <c r="J522" t="s">
        <v>550</v>
      </c>
      <c r="K522" s="17" t="s">
        <v>155</v>
      </c>
      <c r="L522" s="17" t="s">
        <v>155</v>
      </c>
      <c r="M522" s="17" t="s">
        <v>155</v>
      </c>
      <c r="N522" s="17" t="s">
        <v>155</v>
      </c>
      <c r="O522" s="17" t="s">
        <v>155</v>
      </c>
    </row>
    <row r="523" spans="10:15" x14ac:dyDescent="0.3">
      <c r="J523" t="s">
        <v>551</v>
      </c>
      <c r="K523" s="17" t="s">
        <v>155</v>
      </c>
      <c r="L523" s="17" t="s">
        <v>155</v>
      </c>
      <c r="M523" s="17" t="s">
        <v>155</v>
      </c>
      <c r="N523" s="17" t="s">
        <v>155</v>
      </c>
      <c r="O523" s="17" t="s">
        <v>155</v>
      </c>
    </row>
    <row r="524" spans="10:15" x14ac:dyDescent="0.3">
      <c r="J524" t="s">
        <v>552</v>
      </c>
      <c r="K524" s="17" t="s">
        <v>155</v>
      </c>
      <c r="L524" s="17" t="s">
        <v>155</v>
      </c>
      <c r="M524" s="17" t="s">
        <v>155</v>
      </c>
      <c r="N524" s="17" t="s">
        <v>155</v>
      </c>
      <c r="O524" s="17" t="s">
        <v>155</v>
      </c>
    </row>
    <row r="525" spans="10:15" x14ac:dyDescent="0.3">
      <c r="J525" t="s">
        <v>553</v>
      </c>
      <c r="K525" s="17" t="s">
        <v>155</v>
      </c>
      <c r="L525" s="17" t="s">
        <v>155</v>
      </c>
      <c r="M525" s="17" t="s">
        <v>155</v>
      </c>
      <c r="N525" s="17" t="s">
        <v>155</v>
      </c>
      <c r="O525" s="17" t="s">
        <v>155</v>
      </c>
    </row>
    <row r="527" spans="10:15" x14ac:dyDescent="0.3">
      <c r="J527" t="s">
        <v>742</v>
      </c>
    </row>
    <row r="528" spans="10:15" x14ac:dyDescent="0.3">
      <c r="K528" s="17" t="s">
        <v>164</v>
      </c>
      <c r="L528" s="17" t="s">
        <v>165</v>
      </c>
      <c r="M528" s="17" t="s">
        <v>166</v>
      </c>
      <c r="N528" s="17" t="s">
        <v>167</v>
      </c>
      <c r="O528" s="17" t="s">
        <v>168</v>
      </c>
    </row>
    <row r="529" spans="10:15" x14ac:dyDescent="0.3">
      <c r="J529" t="s">
        <v>555</v>
      </c>
      <c r="K529" s="17" t="s">
        <v>155</v>
      </c>
      <c r="L529" s="17" t="s">
        <v>155</v>
      </c>
      <c r="M529" s="17" t="s">
        <v>155</v>
      </c>
      <c r="N529" s="17" t="s">
        <v>155</v>
      </c>
      <c r="O529" s="17" t="s">
        <v>155</v>
      </c>
    </row>
    <row r="530" spans="10:15" x14ac:dyDescent="0.3">
      <c r="J530" t="s">
        <v>556</v>
      </c>
      <c r="K530" s="17" t="s">
        <v>155</v>
      </c>
      <c r="L530" s="17" t="s">
        <v>155</v>
      </c>
      <c r="M530" s="17" t="s">
        <v>155</v>
      </c>
      <c r="N530" s="17" t="s">
        <v>155</v>
      </c>
      <c r="O530" s="17" t="s">
        <v>155</v>
      </c>
    </row>
    <row r="531" spans="10:15" x14ac:dyDescent="0.3">
      <c r="J531" t="s">
        <v>557</v>
      </c>
      <c r="K531" s="17" t="s">
        <v>155</v>
      </c>
      <c r="L531" s="17" t="s">
        <v>155</v>
      </c>
      <c r="M531" s="17" t="s">
        <v>155</v>
      </c>
      <c r="N531" s="17" t="s">
        <v>155</v>
      </c>
      <c r="O531" s="17" t="s">
        <v>155</v>
      </c>
    </row>
    <row r="532" spans="10:15" x14ac:dyDescent="0.3">
      <c r="J532" t="s">
        <v>158</v>
      </c>
      <c r="K532" s="17" t="s">
        <v>155</v>
      </c>
      <c r="L532" s="17" t="s">
        <v>155</v>
      </c>
      <c r="M532" s="17" t="s">
        <v>155</v>
      </c>
      <c r="N532" s="17" t="s">
        <v>155</v>
      </c>
      <c r="O532" s="17" t="s">
        <v>155</v>
      </c>
    </row>
    <row r="533" spans="10:15" x14ac:dyDescent="0.3">
      <c r="J533" t="s">
        <v>159</v>
      </c>
      <c r="K533" s="17" t="s">
        <v>155</v>
      </c>
      <c r="L533" s="17" t="s">
        <v>155</v>
      </c>
      <c r="M533" s="17" t="s">
        <v>155</v>
      </c>
      <c r="N533" s="17" t="s">
        <v>155</v>
      </c>
      <c r="O533" s="17" t="s">
        <v>155</v>
      </c>
    </row>
    <row r="534" spans="10:15" x14ac:dyDescent="0.3">
      <c r="J534" t="s">
        <v>160</v>
      </c>
      <c r="K534" s="17" t="s">
        <v>155</v>
      </c>
      <c r="L534" s="17" t="s">
        <v>155</v>
      </c>
      <c r="M534" s="17" t="s">
        <v>155</v>
      </c>
      <c r="N534" s="17" t="s">
        <v>155</v>
      </c>
      <c r="O534" s="17" t="s">
        <v>155</v>
      </c>
    </row>
    <row r="535" spans="10:15" x14ac:dyDescent="0.3">
      <c r="J535" t="s">
        <v>561</v>
      </c>
      <c r="K535" s="17" t="s">
        <v>155</v>
      </c>
      <c r="L535" s="17" t="s">
        <v>155</v>
      </c>
      <c r="M535" s="17" t="s">
        <v>155</v>
      </c>
      <c r="N535" s="17" t="s">
        <v>155</v>
      </c>
      <c r="O535" s="17" t="s">
        <v>155</v>
      </c>
    </row>
    <row r="536" spans="10:15" x14ac:dyDescent="0.3">
      <c r="J536" t="s">
        <v>562</v>
      </c>
      <c r="K536" s="17" t="s">
        <v>155</v>
      </c>
      <c r="L536" s="17" t="s">
        <v>155</v>
      </c>
      <c r="M536" s="17" t="s">
        <v>155</v>
      </c>
      <c r="N536" s="17" t="s">
        <v>155</v>
      </c>
      <c r="O536" s="17" t="s">
        <v>155</v>
      </c>
    </row>
    <row r="537" spans="10:15" x14ac:dyDescent="0.3">
      <c r="J537" t="s">
        <v>563</v>
      </c>
      <c r="K537" s="17" t="s">
        <v>155</v>
      </c>
      <c r="L537" s="17" t="s">
        <v>155</v>
      </c>
      <c r="M537" s="17" t="s">
        <v>155</v>
      </c>
      <c r="N537" s="17" t="s">
        <v>155</v>
      </c>
      <c r="O537" s="17" t="s">
        <v>155</v>
      </c>
    </row>
    <row r="538" spans="10:15" x14ac:dyDescent="0.3">
      <c r="J538" t="s">
        <v>564</v>
      </c>
      <c r="K538" s="17" t="s">
        <v>155</v>
      </c>
      <c r="L538" s="17" t="s">
        <v>314</v>
      </c>
      <c r="M538" s="17" t="s">
        <v>155</v>
      </c>
      <c r="N538" s="17" t="s">
        <v>155</v>
      </c>
      <c r="O538" s="17" t="s">
        <v>155</v>
      </c>
    </row>
    <row r="539" spans="10:15" x14ac:dyDescent="0.3">
      <c r="J539" t="s">
        <v>549</v>
      </c>
      <c r="K539" s="17" t="s">
        <v>155</v>
      </c>
      <c r="L539" s="17" t="s">
        <v>314</v>
      </c>
      <c r="M539" s="17" t="s">
        <v>155</v>
      </c>
      <c r="N539" s="17" t="s">
        <v>314</v>
      </c>
      <c r="O539" s="17" t="s">
        <v>155</v>
      </c>
    </row>
    <row r="540" spans="10:15" x14ac:dyDescent="0.3">
      <c r="J540" t="s">
        <v>550</v>
      </c>
      <c r="K540" s="17" t="s">
        <v>155</v>
      </c>
      <c r="L540" s="17" t="s">
        <v>314</v>
      </c>
      <c r="M540" s="17" t="s">
        <v>155</v>
      </c>
      <c r="N540" s="17" t="s">
        <v>314</v>
      </c>
      <c r="O540" s="17" t="s">
        <v>155</v>
      </c>
    </row>
    <row r="541" spans="10:15" x14ac:dyDescent="0.3">
      <c r="J541" t="s">
        <v>551</v>
      </c>
      <c r="K541" s="17" t="s">
        <v>155</v>
      </c>
      <c r="L541" s="17" t="s">
        <v>155</v>
      </c>
      <c r="M541" s="17" t="s">
        <v>155</v>
      </c>
      <c r="N541" s="17" t="s">
        <v>155</v>
      </c>
      <c r="O541" s="17" t="s">
        <v>155</v>
      </c>
    </row>
    <row r="542" spans="10:15" x14ac:dyDescent="0.3">
      <c r="J542" t="s">
        <v>552</v>
      </c>
      <c r="K542" s="17" t="s">
        <v>155</v>
      </c>
      <c r="L542" s="17" t="s">
        <v>155</v>
      </c>
      <c r="M542" s="17" t="s">
        <v>155</v>
      </c>
      <c r="N542" s="17" t="s">
        <v>155</v>
      </c>
      <c r="O542" s="17" t="s">
        <v>155</v>
      </c>
    </row>
    <row r="543" spans="10:15" x14ac:dyDescent="0.3">
      <c r="J543" t="s">
        <v>553</v>
      </c>
      <c r="K543" s="17" t="s">
        <v>155</v>
      </c>
      <c r="L543" s="17" t="s">
        <v>155</v>
      </c>
      <c r="M543" s="17" t="s">
        <v>155</v>
      </c>
      <c r="N543" s="17" t="s">
        <v>155</v>
      </c>
      <c r="O543" s="17" t="s">
        <v>155</v>
      </c>
    </row>
    <row r="545" spans="10:15" x14ac:dyDescent="0.3">
      <c r="J545" t="s">
        <v>743</v>
      </c>
    </row>
    <row r="546" spans="10:15" x14ac:dyDescent="0.3">
      <c r="K546" s="17" t="s">
        <v>164</v>
      </c>
      <c r="L546" s="17" t="s">
        <v>165</v>
      </c>
      <c r="M546" s="17" t="s">
        <v>166</v>
      </c>
      <c r="N546" s="17" t="s">
        <v>167</v>
      </c>
      <c r="O546" s="17" t="s">
        <v>168</v>
      </c>
    </row>
    <row r="547" spans="10:15" x14ac:dyDescent="0.3">
      <c r="J547" t="s">
        <v>555</v>
      </c>
      <c r="K547" s="17" t="s">
        <v>155</v>
      </c>
      <c r="L547" s="17" t="s">
        <v>155</v>
      </c>
      <c r="M547" s="17" t="s">
        <v>155</v>
      </c>
      <c r="N547" s="17" t="s">
        <v>155</v>
      </c>
      <c r="O547" s="17" t="s">
        <v>155</v>
      </c>
    </row>
    <row r="548" spans="10:15" x14ac:dyDescent="0.3">
      <c r="J548" t="s">
        <v>556</v>
      </c>
      <c r="K548" s="17" t="s">
        <v>155</v>
      </c>
      <c r="L548" s="17" t="s">
        <v>155</v>
      </c>
      <c r="M548" s="17" t="s">
        <v>155</v>
      </c>
      <c r="N548" s="17" t="s">
        <v>155</v>
      </c>
      <c r="O548" s="17" t="s">
        <v>155</v>
      </c>
    </row>
    <row r="549" spans="10:15" x14ac:dyDescent="0.3">
      <c r="J549" t="s">
        <v>557</v>
      </c>
      <c r="K549" s="17" t="s">
        <v>155</v>
      </c>
      <c r="L549" s="17" t="s">
        <v>155</v>
      </c>
      <c r="M549" s="17" t="s">
        <v>155</v>
      </c>
      <c r="N549" s="17" t="s">
        <v>155</v>
      </c>
      <c r="O549" s="17" t="s">
        <v>155</v>
      </c>
    </row>
    <row r="550" spans="10:15" x14ac:dyDescent="0.3">
      <c r="J550" t="s">
        <v>158</v>
      </c>
      <c r="K550" s="17" t="s">
        <v>155</v>
      </c>
      <c r="L550" s="17" t="s">
        <v>155</v>
      </c>
      <c r="M550" s="17" t="s">
        <v>314</v>
      </c>
      <c r="N550" s="17" t="s">
        <v>155</v>
      </c>
      <c r="O550" s="17" t="s">
        <v>155</v>
      </c>
    </row>
    <row r="551" spans="10:15" x14ac:dyDescent="0.3">
      <c r="J551" t="s">
        <v>159</v>
      </c>
      <c r="K551" s="17" t="s">
        <v>155</v>
      </c>
      <c r="L551" s="17" t="s">
        <v>155</v>
      </c>
      <c r="M551" s="17" t="s">
        <v>314</v>
      </c>
      <c r="N551" s="17" t="s">
        <v>155</v>
      </c>
      <c r="O551" s="17" t="s">
        <v>314</v>
      </c>
    </row>
    <row r="552" spans="10:15" x14ac:dyDescent="0.3">
      <c r="J552" t="s">
        <v>160</v>
      </c>
      <c r="K552" s="17" t="s">
        <v>155</v>
      </c>
      <c r="L552" s="17" t="s">
        <v>155</v>
      </c>
      <c r="M552" s="17" t="s">
        <v>314</v>
      </c>
      <c r="N552" s="17" t="s">
        <v>155</v>
      </c>
      <c r="O552" s="17" t="s">
        <v>314</v>
      </c>
    </row>
    <row r="553" spans="10:15" x14ac:dyDescent="0.3">
      <c r="J553" t="s">
        <v>561</v>
      </c>
      <c r="K553" s="17" t="s">
        <v>155</v>
      </c>
      <c r="L553" s="17" t="s">
        <v>155</v>
      </c>
      <c r="M553" s="17" t="s">
        <v>155</v>
      </c>
      <c r="N553" s="17" t="s">
        <v>155</v>
      </c>
      <c r="O553" s="17" t="s">
        <v>155</v>
      </c>
    </row>
    <row r="554" spans="10:15" x14ac:dyDescent="0.3">
      <c r="J554" t="s">
        <v>562</v>
      </c>
      <c r="K554" s="17" t="s">
        <v>155</v>
      </c>
      <c r="L554" s="17" t="s">
        <v>155</v>
      </c>
      <c r="M554" s="17" t="s">
        <v>155</v>
      </c>
      <c r="N554" s="17" t="s">
        <v>155</v>
      </c>
      <c r="O554" s="17" t="s">
        <v>155</v>
      </c>
    </row>
    <row r="555" spans="10:15" x14ac:dyDescent="0.3">
      <c r="J555" t="s">
        <v>563</v>
      </c>
      <c r="K555" s="17" t="s">
        <v>155</v>
      </c>
      <c r="L555" s="17" t="s">
        <v>155</v>
      </c>
      <c r="M555" s="17" t="s">
        <v>155</v>
      </c>
      <c r="N555" s="17" t="s">
        <v>155</v>
      </c>
      <c r="O555" s="17" t="s">
        <v>155</v>
      </c>
    </row>
    <row r="556" spans="10:15" x14ac:dyDescent="0.3">
      <c r="J556" t="s">
        <v>564</v>
      </c>
      <c r="K556" s="17" t="s">
        <v>155</v>
      </c>
      <c r="L556" s="17" t="s">
        <v>155</v>
      </c>
      <c r="M556" s="17" t="s">
        <v>155</v>
      </c>
      <c r="N556" s="17" t="s">
        <v>155</v>
      </c>
      <c r="O556" s="17" t="s">
        <v>155</v>
      </c>
    </row>
    <row r="557" spans="10:15" x14ac:dyDescent="0.3">
      <c r="J557" t="s">
        <v>549</v>
      </c>
      <c r="K557" s="17" t="s">
        <v>155</v>
      </c>
      <c r="L557" s="17" t="s">
        <v>155</v>
      </c>
      <c r="M557" s="17" t="s">
        <v>155</v>
      </c>
      <c r="N557" s="17" t="s">
        <v>155</v>
      </c>
      <c r="O557" s="17" t="s">
        <v>155</v>
      </c>
    </row>
    <row r="558" spans="10:15" x14ac:dyDescent="0.3">
      <c r="J558" t="s">
        <v>550</v>
      </c>
      <c r="K558" s="17" t="s">
        <v>155</v>
      </c>
      <c r="L558" s="17" t="s">
        <v>155</v>
      </c>
      <c r="M558" s="17" t="s">
        <v>155</v>
      </c>
      <c r="N558" s="17" t="s">
        <v>155</v>
      </c>
      <c r="O558" s="17" t="s">
        <v>155</v>
      </c>
    </row>
    <row r="559" spans="10:15" x14ac:dyDescent="0.3">
      <c r="J559" t="s">
        <v>551</v>
      </c>
      <c r="K559" s="17" t="s">
        <v>155</v>
      </c>
      <c r="L559" s="17" t="s">
        <v>155</v>
      </c>
      <c r="M559" s="17" t="s">
        <v>155</v>
      </c>
      <c r="N559" s="17" t="s">
        <v>155</v>
      </c>
      <c r="O559" s="17" t="s">
        <v>155</v>
      </c>
    </row>
    <row r="560" spans="10:15" x14ac:dyDescent="0.3">
      <c r="J560" t="s">
        <v>552</v>
      </c>
      <c r="K560" s="17" t="s">
        <v>155</v>
      </c>
      <c r="L560" s="17" t="s">
        <v>155</v>
      </c>
      <c r="M560" s="17" t="s">
        <v>155</v>
      </c>
      <c r="N560" s="17" t="s">
        <v>155</v>
      </c>
      <c r="O560" s="17" t="s">
        <v>155</v>
      </c>
    </row>
    <row r="561" spans="10:15" x14ac:dyDescent="0.3">
      <c r="J561" t="s">
        <v>553</v>
      </c>
      <c r="K561" s="17" t="s">
        <v>155</v>
      </c>
      <c r="L561" s="17" t="s">
        <v>155</v>
      </c>
      <c r="M561" s="17" t="s">
        <v>155</v>
      </c>
      <c r="N561" s="17" t="s">
        <v>155</v>
      </c>
      <c r="O561" s="17" t="s">
        <v>155</v>
      </c>
    </row>
    <row r="563" spans="10:15" x14ac:dyDescent="0.3">
      <c r="J563" t="s">
        <v>744</v>
      </c>
    </row>
    <row r="564" spans="10:15" x14ac:dyDescent="0.3">
      <c r="K564" s="17" t="s">
        <v>164</v>
      </c>
      <c r="L564" s="17" t="s">
        <v>165</v>
      </c>
      <c r="M564" s="17" t="s">
        <v>166</v>
      </c>
      <c r="N564" s="17" t="s">
        <v>167</v>
      </c>
      <c r="O564" s="17" t="s">
        <v>168</v>
      </c>
    </row>
    <row r="565" spans="10:15" x14ac:dyDescent="0.3">
      <c r="J565" t="s">
        <v>555</v>
      </c>
      <c r="K565" s="17" t="s">
        <v>155</v>
      </c>
      <c r="L565" s="17" t="s">
        <v>155</v>
      </c>
      <c r="M565" s="17" t="s">
        <v>155</v>
      </c>
      <c r="N565" s="17" t="s">
        <v>155</v>
      </c>
      <c r="O565" s="17" t="s">
        <v>155</v>
      </c>
    </row>
    <row r="566" spans="10:15" x14ac:dyDescent="0.3">
      <c r="J566" t="s">
        <v>556</v>
      </c>
      <c r="K566" s="17" t="s">
        <v>155</v>
      </c>
      <c r="L566" s="17" t="s">
        <v>516</v>
      </c>
      <c r="M566" s="17" t="s">
        <v>516</v>
      </c>
      <c r="N566" s="17" t="s">
        <v>155</v>
      </c>
      <c r="O566" s="17" t="s">
        <v>155</v>
      </c>
    </row>
    <row r="567" spans="10:15" x14ac:dyDescent="0.3">
      <c r="J567" t="s">
        <v>557</v>
      </c>
      <c r="K567" s="17" t="s">
        <v>155</v>
      </c>
      <c r="L567" s="17" t="s">
        <v>516</v>
      </c>
      <c r="M567" s="17" t="s">
        <v>516</v>
      </c>
      <c r="N567" s="17" t="s">
        <v>155</v>
      </c>
      <c r="O567" s="17" t="s">
        <v>516</v>
      </c>
    </row>
    <row r="568" spans="10:15" x14ac:dyDescent="0.3">
      <c r="J568" t="s">
        <v>158</v>
      </c>
      <c r="K568" s="17" t="s">
        <v>155</v>
      </c>
      <c r="L568" s="17" t="s">
        <v>155</v>
      </c>
      <c r="M568" s="17" t="s">
        <v>155</v>
      </c>
      <c r="N568" s="17" t="s">
        <v>155</v>
      </c>
      <c r="O568" s="17" t="s">
        <v>516</v>
      </c>
    </row>
    <row r="569" spans="10:15" x14ac:dyDescent="0.3">
      <c r="J569" t="s">
        <v>159</v>
      </c>
      <c r="K569" s="17" t="s">
        <v>155</v>
      </c>
      <c r="L569" s="17" t="s">
        <v>155</v>
      </c>
      <c r="M569" s="17" t="s">
        <v>155</v>
      </c>
      <c r="N569" s="17" t="s">
        <v>155</v>
      </c>
      <c r="O569" s="17" t="s">
        <v>155</v>
      </c>
    </row>
    <row r="570" spans="10:15" x14ac:dyDescent="0.3">
      <c r="J570" t="s">
        <v>160</v>
      </c>
      <c r="K570" s="17" t="s">
        <v>155</v>
      </c>
      <c r="L570" s="17" t="s">
        <v>155</v>
      </c>
      <c r="M570" s="17" t="s">
        <v>155</v>
      </c>
      <c r="N570" s="17" t="s">
        <v>155</v>
      </c>
      <c r="O570" s="17" t="s">
        <v>155</v>
      </c>
    </row>
    <row r="571" spans="10:15" x14ac:dyDescent="0.3">
      <c r="J571" t="s">
        <v>561</v>
      </c>
      <c r="K571" s="17" t="s">
        <v>155</v>
      </c>
      <c r="L571" s="17" t="s">
        <v>155</v>
      </c>
      <c r="M571" s="17" t="s">
        <v>155</v>
      </c>
      <c r="N571" s="17" t="s">
        <v>155</v>
      </c>
      <c r="O571" s="17" t="s">
        <v>155</v>
      </c>
    </row>
    <row r="572" spans="10:15" x14ac:dyDescent="0.3">
      <c r="J572" t="s">
        <v>562</v>
      </c>
      <c r="K572" s="17" t="s">
        <v>155</v>
      </c>
      <c r="L572" s="17" t="s">
        <v>155</v>
      </c>
      <c r="M572" s="17" t="s">
        <v>155</v>
      </c>
      <c r="N572" s="17" t="s">
        <v>155</v>
      </c>
      <c r="O572" s="17" t="s">
        <v>155</v>
      </c>
    </row>
    <row r="573" spans="10:15" x14ac:dyDescent="0.3">
      <c r="J573" t="s">
        <v>563</v>
      </c>
      <c r="K573" s="17" t="s">
        <v>155</v>
      </c>
      <c r="L573" s="17" t="s">
        <v>155</v>
      </c>
      <c r="M573" s="17" t="s">
        <v>155</v>
      </c>
      <c r="N573" s="17" t="s">
        <v>516</v>
      </c>
      <c r="O573" s="17" t="s">
        <v>155</v>
      </c>
    </row>
    <row r="574" spans="10:15" x14ac:dyDescent="0.3">
      <c r="J574" t="s">
        <v>564</v>
      </c>
      <c r="K574" s="17" t="s">
        <v>155</v>
      </c>
      <c r="L574" s="17" t="s">
        <v>155</v>
      </c>
      <c r="M574" s="17" t="s">
        <v>155</v>
      </c>
      <c r="N574" s="17" t="s">
        <v>516</v>
      </c>
      <c r="O574" s="17" t="s">
        <v>155</v>
      </c>
    </row>
    <row r="575" spans="10:15" x14ac:dyDescent="0.3">
      <c r="J575" t="s">
        <v>549</v>
      </c>
      <c r="K575" s="17" t="s">
        <v>155</v>
      </c>
      <c r="L575" s="17" t="s">
        <v>155</v>
      </c>
      <c r="M575" s="17" t="s">
        <v>155</v>
      </c>
      <c r="N575" s="17" t="s">
        <v>155</v>
      </c>
      <c r="O575" s="17" t="s">
        <v>155</v>
      </c>
    </row>
    <row r="576" spans="10:15" x14ac:dyDescent="0.3">
      <c r="J576" t="s">
        <v>550</v>
      </c>
      <c r="K576" s="17" t="s">
        <v>155</v>
      </c>
      <c r="L576" s="17" t="s">
        <v>155</v>
      </c>
      <c r="M576" s="17" t="s">
        <v>155</v>
      </c>
      <c r="N576" s="17" t="s">
        <v>155</v>
      </c>
      <c r="O576" s="17" t="s">
        <v>155</v>
      </c>
    </row>
    <row r="577" spans="10:15" x14ac:dyDescent="0.3">
      <c r="J577" t="s">
        <v>551</v>
      </c>
      <c r="K577" s="17" t="s">
        <v>155</v>
      </c>
      <c r="L577" s="17" t="s">
        <v>155</v>
      </c>
      <c r="M577" s="17" t="s">
        <v>155</v>
      </c>
      <c r="N577" s="17" t="s">
        <v>155</v>
      </c>
      <c r="O577" s="17" t="s">
        <v>155</v>
      </c>
    </row>
    <row r="578" spans="10:15" x14ac:dyDescent="0.3">
      <c r="J578" t="s">
        <v>552</v>
      </c>
      <c r="K578" s="17" t="s">
        <v>155</v>
      </c>
      <c r="L578" s="17" t="s">
        <v>155</v>
      </c>
      <c r="M578" s="17" t="s">
        <v>155</v>
      </c>
      <c r="N578" s="17" t="s">
        <v>155</v>
      </c>
      <c r="O578" s="17" t="s">
        <v>155</v>
      </c>
    </row>
    <row r="579" spans="10:15" x14ac:dyDescent="0.3">
      <c r="J579" t="s">
        <v>553</v>
      </c>
      <c r="K579" s="17" t="s">
        <v>155</v>
      </c>
      <c r="L579" s="17" t="s">
        <v>155</v>
      </c>
      <c r="M579" s="17" t="s">
        <v>155</v>
      </c>
      <c r="N579" s="17" t="s">
        <v>155</v>
      </c>
      <c r="O579" s="17" t="s">
        <v>155</v>
      </c>
    </row>
    <row r="581" spans="10:15" x14ac:dyDescent="0.3">
      <c r="J581" t="s">
        <v>745</v>
      </c>
    </row>
    <row r="582" spans="10:15" x14ac:dyDescent="0.3">
      <c r="K582" s="17" t="s">
        <v>164</v>
      </c>
      <c r="L582" s="17" t="s">
        <v>165</v>
      </c>
      <c r="M582" s="17" t="s">
        <v>166</v>
      </c>
      <c r="N582" s="17" t="s">
        <v>167</v>
      </c>
      <c r="O582" s="17" t="s">
        <v>168</v>
      </c>
    </row>
    <row r="583" spans="10:15" x14ac:dyDescent="0.3">
      <c r="J583" t="s">
        <v>555</v>
      </c>
      <c r="K583" s="17" t="s">
        <v>517</v>
      </c>
      <c r="L583" s="17" t="s">
        <v>517</v>
      </c>
      <c r="M583" s="17" t="s">
        <v>155</v>
      </c>
      <c r="N583" s="17" t="s">
        <v>155</v>
      </c>
      <c r="O583" s="17" t="s">
        <v>155</v>
      </c>
    </row>
    <row r="584" spans="10:15" x14ac:dyDescent="0.3">
      <c r="J584" t="s">
        <v>556</v>
      </c>
      <c r="K584" s="17" t="s">
        <v>517</v>
      </c>
      <c r="L584" s="17" t="s">
        <v>517</v>
      </c>
      <c r="M584" s="17" t="s">
        <v>155</v>
      </c>
      <c r="N584" s="17" t="s">
        <v>155</v>
      </c>
      <c r="O584" s="17" t="s">
        <v>155</v>
      </c>
    </row>
    <row r="585" spans="10:15" x14ac:dyDescent="0.3">
      <c r="J585" t="s">
        <v>557</v>
      </c>
      <c r="K585" s="17" t="s">
        <v>517</v>
      </c>
      <c r="L585" s="17" t="s">
        <v>517</v>
      </c>
      <c r="M585" s="17" t="s">
        <v>155</v>
      </c>
      <c r="N585" s="17" t="s">
        <v>155</v>
      </c>
      <c r="O585" s="17" t="s">
        <v>155</v>
      </c>
    </row>
    <row r="586" spans="10:15" x14ac:dyDescent="0.3">
      <c r="J586" t="s">
        <v>158</v>
      </c>
      <c r="K586" s="17" t="s">
        <v>517</v>
      </c>
      <c r="L586" s="17" t="s">
        <v>155</v>
      </c>
      <c r="M586" s="17" t="s">
        <v>155</v>
      </c>
      <c r="N586" s="17" t="s">
        <v>155</v>
      </c>
      <c r="O586" s="17" t="s">
        <v>155</v>
      </c>
    </row>
    <row r="587" spans="10:15" x14ac:dyDescent="0.3">
      <c r="J587" t="s">
        <v>159</v>
      </c>
      <c r="K587" s="17" t="s">
        <v>517</v>
      </c>
      <c r="L587" s="17" t="s">
        <v>155</v>
      </c>
      <c r="M587" s="17" t="s">
        <v>155</v>
      </c>
      <c r="N587" s="17" t="s">
        <v>155</v>
      </c>
      <c r="O587" s="17" t="s">
        <v>155</v>
      </c>
    </row>
    <row r="588" spans="10:15" x14ac:dyDescent="0.3">
      <c r="J588" t="s">
        <v>160</v>
      </c>
      <c r="K588" s="17" t="s">
        <v>517</v>
      </c>
      <c r="L588" s="17" t="s">
        <v>155</v>
      </c>
      <c r="M588" s="17" t="s">
        <v>155</v>
      </c>
      <c r="N588" s="17" t="s">
        <v>155</v>
      </c>
      <c r="O588" s="17" t="s">
        <v>155</v>
      </c>
    </row>
    <row r="589" spans="10:15" x14ac:dyDescent="0.3">
      <c r="J589" t="s">
        <v>561</v>
      </c>
      <c r="K589" s="17" t="s">
        <v>155</v>
      </c>
      <c r="L589" s="17" t="s">
        <v>155</v>
      </c>
      <c r="M589" s="17" t="s">
        <v>517</v>
      </c>
      <c r="N589" s="17" t="s">
        <v>155</v>
      </c>
      <c r="O589" s="17" t="s">
        <v>155</v>
      </c>
    </row>
    <row r="590" spans="10:15" x14ac:dyDescent="0.3">
      <c r="J590" t="s">
        <v>562</v>
      </c>
      <c r="K590" s="17" t="s">
        <v>155</v>
      </c>
      <c r="L590" s="17" t="s">
        <v>155</v>
      </c>
      <c r="M590" s="17" t="s">
        <v>517</v>
      </c>
      <c r="N590" s="17" t="s">
        <v>155</v>
      </c>
      <c r="O590" s="17" t="s">
        <v>155</v>
      </c>
    </row>
    <row r="591" spans="10:15" x14ac:dyDescent="0.3">
      <c r="J591" t="s">
        <v>563</v>
      </c>
      <c r="K591" s="17" t="s">
        <v>155</v>
      </c>
      <c r="L591" s="17" t="s">
        <v>155</v>
      </c>
      <c r="M591" s="17" t="s">
        <v>517</v>
      </c>
      <c r="N591" s="17" t="s">
        <v>155</v>
      </c>
      <c r="O591" s="17" t="s">
        <v>155</v>
      </c>
    </row>
    <row r="592" spans="10:15" x14ac:dyDescent="0.3">
      <c r="J592" t="s">
        <v>564</v>
      </c>
      <c r="K592" s="17" t="s">
        <v>155</v>
      </c>
      <c r="L592" s="17" t="s">
        <v>155</v>
      </c>
      <c r="M592" s="17" t="s">
        <v>155</v>
      </c>
      <c r="N592" s="17" t="s">
        <v>155</v>
      </c>
      <c r="O592" s="17" t="s">
        <v>155</v>
      </c>
    </row>
    <row r="593" spans="10:15" x14ac:dyDescent="0.3">
      <c r="J593" t="s">
        <v>549</v>
      </c>
      <c r="K593" s="17" t="s">
        <v>155</v>
      </c>
      <c r="L593" s="17" t="s">
        <v>155</v>
      </c>
      <c r="M593" s="17" t="s">
        <v>155</v>
      </c>
      <c r="N593" s="17" t="s">
        <v>155</v>
      </c>
      <c r="O593" s="17" t="s">
        <v>155</v>
      </c>
    </row>
    <row r="594" spans="10:15" x14ac:dyDescent="0.3">
      <c r="J594" t="s">
        <v>550</v>
      </c>
      <c r="K594" s="17" t="s">
        <v>155</v>
      </c>
      <c r="L594" s="17" t="s">
        <v>155</v>
      </c>
      <c r="M594" s="17" t="s">
        <v>155</v>
      </c>
      <c r="N594" s="17" t="s">
        <v>155</v>
      </c>
      <c r="O594" s="17" t="s">
        <v>155</v>
      </c>
    </row>
    <row r="595" spans="10:15" x14ac:dyDescent="0.3">
      <c r="J595" t="s">
        <v>551</v>
      </c>
      <c r="K595" s="17" t="s">
        <v>155</v>
      </c>
      <c r="L595" s="17" t="s">
        <v>155</v>
      </c>
      <c r="M595" s="17" t="s">
        <v>155</v>
      </c>
      <c r="N595" s="17" t="s">
        <v>155</v>
      </c>
      <c r="O595" s="17" t="s">
        <v>155</v>
      </c>
    </row>
    <row r="596" spans="10:15" x14ac:dyDescent="0.3">
      <c r="J596" t="s">
        <v>552</v>
      </c>
      <c r="K596" s="17" t="s">
        <v>155</v>
      </c>
      <c r="L596" s="17" t="s">
        <v>155</v>
      </c>
      <c r="M596" s="17" t="s">
        <v>155</v>
      </c>
      <c r="N596" s="17" t="s">
        <v>155</v>
      </c>
      <c r="O596" s="17" t="s">
        <v>155</v>
      </c>
    </row>
    <row r="597" spans="10:15" x14ac:dyDescent="0.3">
      <c r="J597" t="s">
        <v>553</v>
      </c>
      <c r="K597" s="17" t="s">
        <v>155</v>
      </c>
      <c r="L597" s="17" t="s">
        <v>155</v>
      </c>
      <c r="M597" s="17" t="s">
        <v>155</v>
      </c>
      <c r="N597" s="17" t="s">
        <v>155</v>
      </c>
      <c r="O597" s="17" t="s">
        <v>155</v>
      </c>
    </row>
    <row r="599" spans="10:15" x14ac:dyDescent="0.3">
      <c r="J599" t="s">
        <v>746</v>
      </c>
    </row>
    <row r="600" spans="10:15" x14ac:dyDescent="0.3">
      <c r="K600" s="17" t="s">
        <v>164</v>
      </c>
      <c r="L600" s="17" t="s">
        <v>165</v>
      </c>
      <c r="M600" s="17" t="s">
        <v>166</v>
      </c>
      <c r="N600" s="17" t="s">
        <v>167</v>
      </c>
      <c r="O600" s="17" t="s">
        <v>168</v>
      </c>
    </row>
    <row r="601" spans="10:15" x14ac:dyDescent="0.3">
      <c r="J601" t="s">
        <v>555</v>
      </c>
      <c r="K601" s="17" t="s">
        <v>155</v>
      </c>
      <c r="L601" s="17" t="s">
        <v>155</v>
      </c>
      <c r="M601" s="17" t="s">
        <v>348</v>
      </c>
      <c r="N601" s="17" t="s">
        <v>155</v>
      </c>
      <c r="O601" s="17" t="s">
        <v>155</v>
      </c>
    </row>
    <row r="602" spans="10:15" x14ac:dyDescent="0.3">
      <c r="J602" t="s">
        <v>556</v>
      </c>
      <c r="K602" s="17" t="s">
        <v>155</v>
      </c>
      <c r="L602" s="17" t="s">
        <v>155</v>
      </c>
      <c r="M602" s="17" t="s">
        <v>348</v>
      </c>
      <c r="N602" s="17" t="s">
        <v>155</v>
      </c>
      <c r="O602" s="17" t="s">
        <v>155</v>
      </c>
    </row>
    <row r="603" spans="10:15" x14ac:dyDescent="0.3">
      <c r="J603" t="s">
        <v>557</v>
      </c>
      <c r="K603" s="17" t="s">
        <v>155</v>
      </c>
      <c r="L603" s="17" t="s">
        <v>155</v>
      </c>
      <c r="M603" s="17" t="s">
        <v>155</v>
      </c>
      <c r="N603" s="17" t="s">
        <v>155</v>
      </c>
      <c r="O603" s="17" t="s">
        <v>348</v>
      </c>
    </row>
    <row r="604" spans="10:15" x14ac:dyDescent="0.3">
      <c r="J604" t="s">
        <v>158</v>
      </c>
      <c r="K604" s="17" t="s">
        <v>155</v>
      </c>
      <c r="L604" s="17" t="s">
        <v>155</v>
      </c>
      <c r="M604" s="17" t="s">
        <v>155</v>
      </c>
      <c r="N604" s="17" t="s">
        <v>155</v>
      </c>
      <c r="O604" s="17" t="s">
        <v>348</v>
      </c>
    </row>
    <row r="605" spans="10:15" x14ac:dyDescent="0.3">
      <c r="J605" t="s">
        <v>159</v>
      </c>
      <c r="K605" s="17" t="s">
        <v>155</v>
      </c>
      <c r="L605" s="17" t="s">
        <v>155</v>
      </c>
      <c r="M605" s="17" t="s">
        <v>155</v>
      </c>
      <c r="N605" s="17" t="s">
        <v>155</v>
      </c>
      <c r="O605" s="17" t="s">
        <v>348</v>
      </c>
    </row>
    <row r="606" spans="10:15" x14ac:dyDescent="0.3">
      <c r="J606" t="s">
        <v>160</v>
      </c>
      <c r="K606" s="17" t="s">
        <v>155</v>
      </c>
      <c r="L606" s="17" t="s">
        <v>155</v>
      </c>
      <c r="M606" s="17" t="s">
        <v>349</v>
      </c>
      <c r="N606" s="17" t="s">
        <v>155</v>
      </c>
      <c r="O606" s="17" t="s">
        <v>349</v>
      </c>
    </row>
    <row r="607" spans="10:15" x14ac:dyDescent="0.3">
      <c r="J607" t="s">
        <v>561</v>
      </c>
      <c r="K607" s="17" t="s">
        <v>155</v>
      </c>
      <c r="L607" s="17" t="s">
        <v>155</v>
      </c>
      <c r="M607" s="17" t="s">
        <v>20</v>
      </c>
      <c r="N607" s="17" t="s">
        <v>155</v>
      </c>
      <c r="O607" s="17" t="s">
        <v>20</v>
      </c>
    </row>
    <row r="608" spans="10:15" x14ac:dyDescent="0.3">
      <c r="J608" t="s">
        <v>562</v>
      </c>
      <c r="K608" s="17" t="s">
        <v>155</v>
      </c>
      <c r="L608" s="17" t="s">
        <v>155</v>
      </c>
      <c r="M608" s="17" t="s">
        <v>20</v>
      </c>
      <c r="N608" s="17" t="s">
        <v>155</v>
      </c>
      <c r="O608" s="17" t="s">
        <v>20</v>
      </c>
    </row>
    <row r="609" spans="10:15" x14ac:dyDescent="0.3">
      <c r="J609" t="s">
        <v>563</v>
      </c>
      <c r="K609" s="17" t="s">
        <v>155</v>
      </c>
      <c r="L609" s="17" t="s">
        <v>155</v>
      </c>
      <c r="M609" s="17" t="s">
        <v>21</v>
      </c>
      <c r="N609" s="17" t="s">
        <v>155</v>
      </c>
      <c r="O609" s="17" t="s">
        <v>20</v>
      </c>
    </row>
    <row r="610" spans="10:15" x14ac:dyDescent="0.3">
      <c r="J610" t="s">
        <v>564</v>
      </c>
      <c r="K610" s="17" t="s">
        <v>155</v>
      </c>
      <c r="L610" s="17" t="s">
        <v>155</v>
      </c>
      <c r="M610" s="17" t="s">
        <v>21</v>
      </c>
      <c r="N610" s="17" t="s">
        <v>155</v>
      </c>
      <c r="O610" s="17" t="s">
        <v>155</v>
      </c>
    </row>
    <row r="611" spans="10:15" x14ac:dyDescent="0.3">
      <c r="J611" t="s">
        <v>549</v>
      </c>
      <c r="K611" s="17" t="s">
        <v>155</v>
      </c>
      <c r="L611" s="17" t="s">
        <v>155</v>
      </c>
      <c r="M611" s="17" t="s">
        <v>155</v>
      </c>
      <c r="N611" s="17" t="s">
        <v>155</v>
      </c>
      <c r="O611" s="17" t="s">
        <v>155</v>
      </c>
    </row>
    <row r="612" spans="10:15" x14ac:dyDescent="0.3">
      <c r="J612" t="s">
        <v>550</v>
      </c>
      <c r="K612" s="17" t="s">
        <v>155</v>
      </c>
      <c r="L612" s="17" t="s">
        <v>155</v>
      </c>
      <c r="M612" s="17" t="s">
        <v>155</v>
      </c>
      <c r="N612" s="17" t="s">
        <v>155</v>
      </c>
      <c r="O612" s="17" t="s">
        <v>155</v>
      </c>
    </row>
    <row r="613" spans="10:15" x14ac:dyDescent="0.3">
      <c r="J613" t="s">
        <v>551</v>
      </c>
      <c r="K613" s="17" t="s">
        <v>155</v>
      </c>
      <c r="L613" s="17" t="s">
        <v>155</v>
      </c>
      <c r="M613" s="17" t="s">
        <v>155</v>
      </c>
      <c r="N613" s="17" t="s">
        <v>155</v>
      </c>
      <c r="O613" s="17" t="s">
        <v>155</v>
      </c>
    </row>
    <row r="614" spans="10:15" x14ac:dyDescent="0.3">
      <c r="J614" t="s">
        <v>552</v>
      </c>
      <c r="K614" s="17" t="s">
        <v>155</v>
      </c>
      <c r="L614" s="17" t="s">
        <v>155</v>
      </c>
      <c r="M614" s="17" t="s">
        <v>155</v>
      </c>
      <c r="N614" s="17" t="s">
        <v>155</v>
      </c>
      <c r="O614" s="17" t="s">
        <v>155</v>
      </c>
    </row>
    <row r="615" spans="10:15" x14ac:dyDescent="0.3">
      <c r="J615" t="s">
        <v>553</v>
      </c>
      <c r="K615" s="17" t="s">
        <v>155</v>
      </c>
      <c r="L615" s="17" t="s">
        <v>155</v>
      </c>
      <c r="M615" s="17" t="s">
        <v>155</v>
      </c>
      <c r="N615" s="17" t="s">
        <v>155</v>
      </c>
      <c r="O615" s="17" t="s">
        <v>155</v>
      </c>
    </row>
    <row r="617" spans="10:15" x14ac:dyDescent="0.3">
      <c r="J617" t="s">
        <v>747</v>
      </c>
    </row>
    <row r="618" spans="10:15" x14ac:dyDescent="0.3">
      <c r="K618" s="17" t="s">
        <v>164</v>
      </c>
      <c r="L618" s="17" t="s">
        <v>165</v>
      </c>
      <c r="M618" s="17" t="s">
        <v>166</v>
      </c>
      <c r="N618" s="17" t="s">
        <v>167</v>
      </c>
      <c r="O618" s="17" t="s">
        <v>168</v>
      </c>
    </row>
    <row r="619" spans="10:15" x14ac:dyDescent="0.3">
      <c r="J619" t="s">
        <v>555</v>
      </c>
      <c r="K619" s="17" t="s">
        <v>155</v>
      </c>
      <c r="L619" s="17" t="s">
        <v>155</v>
      </c>
      <c r="M619" s="17" t="s">
        <v>155</v>
      </c>
      <c r="N619" s="17" t="s">
        <v>155</v>
      </c>
      <c r="O619" s="17" t="s">
        <v>155</v>
      </c>
    </row>
    <row r="620" spans="10:15" x14ac:dyDescent="0.3">
      <c r="J620" t="s">
        <v>556</v>
      </c>
      <c r="K620" s="17" t="s">
        <v>335</v>
      </c>
      <c r="L620" s="17" t="s">
        <v>155</v>
      </c>
      <c r="M620" s="17" t="s">
        <v>155</v>
      </c>
      <c r="N620" s="17" t="s">
        <v>155</v>
      </c>
      <c r="O620" s="17" t="s">
        <v>155</v>
      </c>
    </row>
    <row r="621" spans="10:15" x14ac:dyDescent="0.3">
      <c r="J621" t="s">
        <v>557</v>
      </c>
      <c r="K621" s="17" t="s">
        <v>335</v>
      </c>
      <c r="L621" s="17" t="s">
        <v>155</v>
      </c>
      <c r="M621" s="17" t="s">
        <v>335</v>
      </c>
      <c r="N621" s="17" t="s">
        <v>155</v>
      </c>
      <c r="O621" s="17" t="s">
        <v>155</v>
      </c>
    </row>
    <row r="622" spans="10:15" x14ac:dyDescent="0.3">
      <c r="J622" t="s">
        <v>158</v>
      </c>
      <c r="K622" s="17" t="s">
        <v>335</v>
      </c>
      <c r="L622" s="17" t="s">
        <v>155</v>
      </c>
      <c r="M622" s="17" t="s">
        <v>335</v>
      </c>
      <c r="N622" s="17" t="s">
        <v>155</v>
      </c>
      <c r="O622" s="17" t="s">
        <v>155</v>
      </c>
    </row>
    <row r="623" spans="10:15" x14ac:dyDescent="0.3">
      <c r="J623" t="s">
        <v>159</v>
      </c>
      <c r="K623" s="17" t="s">
        <v>155</v>
      </c>
      <c r="L623" s="17" t="s">
        <v>155</v>
      </c>
      <c r="M623" s="17" t="s">
        <v>155</v>
      </c>
      <c r="N623" s="17" t="s">
        <v>155</v>
      </c>
      <c r="O623" s="17" t="s">
        <v>155</v>
      </c>
    </row>
    <row r="624" spans="10:15" x14ac:dyDescent="0.3">
      <c r="J624" t="s">
        <v>160</v>
      </c>
      <c r="K624" s="17" t="s">
        <v>155</v>
      </c>
      <c r="L624" s="17" t="s">
        <v>155</v>
      </c>
      <c r="M624" s="17" t="s">
        <v>155</v>
      </c>
      <c r="N624" s="17" t="s">
        <v>155</v>
      </c>
      <c r="O624" s="17" t="s">
        <v>155</v>
      </c>
    </row>
    <row r="625" spans="10:15" x14ac:dyDescent="0.3">
      <c r="J625" t="s">
        <v>561</v>
      </c>
      <c r="K625" s="17" t="s">
        <v>155</v>
      </c>
      <c r="L625" s="17" t="s">
        <v>155</v>
      </c>
      <c r="M625" s="17" t="s">
        <v>155</v>
      </c>
      <c r="N625" s="17" t="s">
        <v>155</v>
      </c>
      <c r="O625" s="17" t="s">
        <v>155</v>
      </c>
    </row>
    <row r="626" spans="10:15" x14ac:dyDescent="0.3">
      <c r="J626" t="s">
        <v>562</v>
      </c>
      <c r="K626" s="17" t="s">
        <v>24</v>
      </c>
      <c r="L626" s="17" t="s">
        <v>155</v>
      </c>
      <c r="M626" s="17" t="s">
        <v>155</v>
      </c>
      <c r="N626" s="17" t="s">
        <v>155</v>
      </c>
      <c r="O626" s="17" t="s">
        <v>155</v>
      </c>
    </row>
    <row r="627" spans="10:15" x14ac:dyDescent="0.3">
      <c r="J627" t="s">
        <v>563</v>
      </c>
      <c r="K627" s="17" t="s">
        <v>24</v>
      </c>
      <c r="L627" s="17" t="s">
        <v>155</v>
      </c>
      <c r="M627" s="17" t="s">
        <v>155</v>
      </c>
      <c r="N627" s="17" t="s">
        <v>155</v>
      </c>
      <c r="O627" s="17" t="s">
        <v>155</v>
      </c>
    </row>
    <row r="628" spans="10:15" x14ac:dyDescent="0.3">
      <c r="J628" t="s">
        <v>564</v>
      </c>
      <c r="K628" s="17" t="s">
        <v>24</v>
      </c>
      <c r="L628" s="17" t="s">
        <v>155</v>
      </c>
      <c r="M628" s="17" t="s">
        <v>155</v>
      </c>
      <c r="N628" s="17" t="s">
        <v>24</v>
      </c>
      <c r="O628" s="17" t="s">
        <v>155</v>
      </c>
    </row>
    <row r="629" spans="10:15" x14ac:dyDescent="0.3">
      <c r="J629" t="s">
        <v>549</v>
      </c>
      <c r="K629" s="17" t="s">
        <v>155</v>
      </c>
      <c r="L629" s="17" t="s">
        <v>155</v>
      </c>
      <c r="M629" s="17" t="s">
        <v>155</v>
      </c>
      <c r="N629" s="17" t="s">
        <v>24</v>
      </c>
      <c r="O629" s="17" t="s">
        <v>155</v>
      </c>
    </row>
    <row r="630" spans="10:15" x14ac:dyDescent="0.3">
      <c r="J630" t="s">
        <v>550</v>
      </c>
      <c r="K630" s="17" t="s">
        <v>155</v>
      </c>
      <c r="L630" s="17" t="s">
        <v>155</v>
      </c>
      <c r="M630" s="17" t="s">
        <v>155</v>
      </c>
      <c r="N630" s="17" t="s">
        <v>155</v>
      </c>
      <c r="O630" s="17" t="s">
        <v>155</v>
      </c>
    </row>
    <row r="631" spans="10:15" x14ac:dyDescent="0.3">
      <c r="J631" t="s">
        <v>551</v>
      </c>
      <c r="K631" s="17" t="s">
        <v>155</v>
      </c>
      <c r="L631" s="17" t="s">
        <v>155</v>
      </c>
      <c r="M631" s="17" t="s">
        <v>155</v>
      </c>
      <c r="N631" s="17" t="s">
        <v>155</v>
      </c>
      <c r="O631" s="17" t="s">
        <v>155</v>
      </c>
    </row>
    <row r="632" spans="10:15" x14ac:dyDescent="0.3">
      <c r="J632" t="s">
        <v>552</v>
      </c>
      <c r="K632" s="17" t="s">
        <v>155</v>
      </c>
      <c r="L632" s="17" t="s">
        <v>155</v>
      </c>
      <c r="M632" s="17" t="s">
        <v>155</v>
      </c>
      <c r="N632" s="17" t="s">
        <v>155</v>
      </c>
      <c r="O632" s="17" t="s">
        <v>155</v>
      </c>
    </row>
    <row r="633" spans="10:15" x14ac:dyDescent="0.3">
      <c r="J633" t="s">
        <v>553</v>
      </c>
      <c r="K633" s="17" t="s">
        <v>155</v>
      </c>
      <c r="L633" s="17" t="s">
        <v>155</v>
      </c>
      <c r="M633" s="17" t="s">
        <v>155</v>
      </c>
      <c r="N633" s="17" t="s">
        <v>155</v>
      </c>
      <c r="O633" s="17" t="s">
        <v>155</v>
      </c>
    </row>
    <row r="635" spans="10:15" x14ac:dyDescent="0.3">
      <c r="J635" t="s">
        <v>748</v>
      </c>
    </row>
    <row r="636" spans="10:15" x14ac:dyDescent="0.3">
      <c r="K636" s="17" t="s">
        <v>164</v>
      </c>
      <c r="L636" s="17" t="s">
        <v>165</v>
      </c>
      <c r="M636" s="17" t="s">
        <v>166</v>
      </c>
      <c r="N636" s="17" t="s">
        <v>167</v>
      </c>
      <c r="O636" s="17" t="s">
        <v>168</v>
      </c>
    </row>
    <row r="637" spans="10:15" x14ac:dyDescent="0.3">
      <c r="J637" t="s">
        <v>555</v>
      </c>
      <c r="K637" s="17" t="s">
        <v>155</v>
      </c>
      <c r="L637" s="17" t="s">
        <v>155</v>
      </c>
      <c r="M637" s="17" t="s">
        <v>326</v>
      </c>
      <c r="N637" s="17" t="s">
        <v>155</v>
      </c>
      <c r="O637" s="17" t="s">
        <v>155</v>
      </c>
    </row>
    <row r="638" spans="10:15" x14ac:dyDescent="0.3">
      <c r="J638" t="s">
        <v>556</v>
      </c>
      <c r="K638" s="17" t="s">
        <v>155</v>
      </c>
      <c r="L638" s="17" t="s">
        <v>155</v>
      </c>
      <c r="M638" s="17" t="s">
        <v>326</v>
      </c>
      <c r="N638" s="17" t="s">
        <v>155</v>
      </c>
      <c r="O638" s="17" t="s">
        <v>155</v>
      </c>
    </row>
    <row r="639" spans="10:15" x14ac:dyDescent="0.3">
      <c r="J639" t="s">
        <v>557</v>
      </c>
      <c r="K639" s="17" t="s">
        <v>155</v>
      </c>
      <c r="L639" s="17" t="s">
        <v>155</v>
      </c>
      <c r="M639" s="17" t="s">
        <v>155</v>
      </c>
      <c r="N639" s="17" t="s">
        <v>155</v>
      </c>
      <c r="O639" s="17" t="s">
        <v>155</v>
      </c>
    </row>
    <row r="640" spans="10:15" x14ac:dyDescent="0.3">
      <c r="J640" t="s">
        <v>158</v>
      </c>
      <c r="K640" s="17" t="s">
        <v>155</v>
      </c>
      <c r="L640" s="17" t="s">
        <v>155</v>
      </c>
      <c r="M640" s="17" t="s">
        <v>155</v>
      </c>
      <c r="N640" s="17" t="s">
        <v>155</v>
      </c>
      <c r="O640" s="17" t="s">
        <v>155</v>
      </c>
    </row>
    <row r="641" spans="10:15" x14ac:dyDescent="0.3">
      <c r="J641" t="s">
        <v>159</v>
      </c>
      <c r="K641" s="17" t="s">
        <v>155</v>
      </c>
      <c r="L641" s="17" t="s">
        <v>326</v>
      </c>
      <c r="M641" s="17" t="s">
        <v>155</v>
      </c>
      <c r="N641" s="17" t="s">
        <v>155</v>
      </c>
      <c r="O641" s="17" t="s">
        <v>155</v>
      </c>
    </row>
    <row r="642" spans="10:15" x14ac:dyDescent="0.3">
      <c r="J642" t="s">
        <v>160</v>
      </c>
      <c r="K642" s="17" t="s">
        <v>155</v>
      </c>
      <c r="L642" s="17" t="s">
        <v>326</v>
      </c>
      <c r="M642" s="17" t="s">
        <v>155</v>
      </c>
      <c r="N642" s="17" t="s">
        <v>155</v>
      </c>
      <c r="O642" s="17" t="s">
        <v>155</v>
      </c>
    </row>
    <row r="643" spans="10:15" x14ac:dyDescent="0.3">
      <c r="J643" t="s">
        <v>561</v>
      </c>
      <c r="K643" s="17" t="s">
        <v>155</v>
      </c>
      <c r="L643" s="17" t="s">
        <v>155</v>
      </c>
      <c r="M643" s="17" t="s">
        <v>155</v>
      </c>
      <c r="N643" s="17" t="s">
        <v>155</v>
      </c>
      <c r="O643" s="17" t="s">
        <v>155</v>
      </c>
    </row>
    <row r="644" spans="10:15" x14ac:dyDescent="0.3">
      <c r="J644" t="s">
        <v>562</v>
      </c>
      <c r="K644" s="17" t="s">
        <v>155</v>
      </c>
      <c r="L644" s="17" t="s">
        <v>155</v>
      </c>
      <c r="M644" s="17" t="s">
        <v>155</v>
      </c>
      <c r="N644" s="17" t="s">
        <v>155</v>
      </c>
      <c r="O644" s="17" t="s">
        <v>155</v>
      </c>
    </row>
    <row r="645" spans="10:15" x14ac:dyDescent="0.3">
      <c r="J645" t="s">
        <v>563</v>
      </c>
      <c r="K645" s="17" t="s">
        <v>155</v>
      </c>
      <c r="L645" s="17" t="s">
        <v>155</v>
      </c>
      <c r="M645" s="17" t="s">
        <v>155</v>
      </c>
      <c r="N645" s="17" t="s">
        <v>155</v>
      </c>
      <c r="O645" s="17" t="s">
        <v>155</v>
      </c>
    </row>
    <row r="646" spans="10:15" x14ac:dyDescent="0.3">
      <c r="J646" t="s">
        <v>564</v>
      </c>
      <c r="K646" s="17" t="s">
        <v>155</v>
      </c>
      <c r="L646" s="17" t="s">
        <v>155</v>
      </c>
      <c r="M646" s="17" t="s">
        <v>155</v>
      </c>
      <c r="N646" s="17" t="s">
        <v>155</v>
      </c>
      <c r="O646" s="17" t="s">
        <v>155</v>
      </c>
    </row>
    <row r="647" spans="10:15" x14ac:dyDescent="0.3">
      <c r="J647" t="s">
        <v>549</v>
      </c>
      <c r="K647" s="17" t="s">
        <v>155</v>
      </c>
      <c r="L647" s="17" t="s">
        <v>155</v>
      </c>
      <c r="M647" s="17" t="s">
        <v>155</v>
      </c>
      <c r="N647" s="17" t="s">
        <v>155</v>
      </c>
      <c r="O647" s="17" t="s">
        <v>155</v>
      </c>
    </row>
    <row r="648" spans="10:15" x14ac:dyDescent="0.3">
      <c r="J648" t="s">
        <v>550</v>
      </c>
      <c r="K648" s="17" t="s">
        <v>155</v>
      </c>
      <c r="L648" s="17" t="s">
        <v>155</v>
      </c>
      <c r="M648" s="17" t="s">
        <v>155</v>
      </c>
      <c r="N648" s="17" t="s">
        <v>155</v>
      </c>
      <c r="O648" s="17" t="s">
        <v>155</v>
      </c>
    </row>
    <row r="649" spans="10:15" x14ac:dyDescent="0.3">
      <c r="J649" t="s">
        <v>551</v>
      </c>
      <c r="K649" s="17" t="s">
        <v>155</v>
      </c>
      <c r="L649" s="17" t="s">
        <v>155</v>
      </c>
      <c r="M649" s="17" t="s">
        <v>155</v>
      </c>
      <c r="N649" s="17" t="s">
        <v>155</v>
      </c>
      <c r="O649" s="17" t="s">
        <v>155</v>
      </c>
    </row>
    <row r="650" spans="10:15" x14ac:dyDescent="0.3">
      <c r="J650" t="s">
        <v>552</v>
      </c>
      <c r="K650" s="17" t="s">
        <v>155</v>
      </c>
      <c r="L650" s="17" t="s">
        <v>155</v>
      </c>
      <c r="M650" s="17" t="s">
        <v>155</v>
      </c>
      <c r="N650" s="17" t="s">
        <v>155</v>
      </c>
      <c r="O650" s="17" t="s">
        <v>155</v>
      </c>
    </row>
    <row r="651" spans="10:15" x14ac:dyDescent="0.3">
      <c r="J651" t="s">
        <v>553</v>
      </c>
      <c r="K651" s="17" t="s">
        <v>155</v>
      </c>
      <c r="L651" s="17" t="s">
        <v>155</v>
      </c>
      <c r="M651" s="17" t="s">
        <v>155</v>
      </c>
      <c r="N651" s="17" t="s">
        <v>155</v>
      </c>
      <c r="O651" s="17" t="s">
        <v>155</v>
      </c>
    </row>
    <row r="653" spans="10:15" x14ac:dyDescent="0.3">
      <c r="J653" t="s">
        <v>749</v>
      </c>
    </row>
    <row r="654" spans="10:15" x14ac:dyDescent="0.3">
      <c r="K654" s="17" t="s">
        <v>164</v>
      </c>
      <c r="L654" s="17" t="s">
        <v>165</v>
      </c>
      <c r="M654" s="17" t="s">
        <v>166</v>
      </c>
      <c r="N654" s="17" t="s">
        <v>167</v>
      </c>
      <c r="O654" s="17" t="s">
        <v>168</v>
      </c>
    </row>
    <row r="655" spans="10:15" x14ac:dyDescent="0.3">
      <c r="J655" t="s">
        <v>555</v>
      </c>
      <c r="K655" s="17" t="s">
        <v>155</v>
      </c>
      <c r="L655" s="17" t="s">
        <v>155</v>
      </c>
      <c r="M655" s="17" t="s">
        <v>155</v>
      </c>
      <c r="N655" s="17" t="s">
        <v>155</v>
      </c>
      <c r="O655" s="17" t="s">
        <v>155</v>
      </c>
    </row>
    <row r="656" spans="10:15" x14ac:dyDescent="0.3">
      <c r="J656" t="s">
        <v>556</v>
      </c>
      <c r="K656" s="17" t="s">
        <v>155</v>
      </c>
      <c r="L656" s="17" t="s">
        <v>155</v>
      </c>
      <c r="M656" s="17" t="s">
        <v>155</v>
      </c>
      <c r="N656" s="17" t="s">
        <v>155</v>
      </c>
      <c r="O656" s="17" t="s">
        <v>155</v>
      </c>
    </row>
    <row r="657" spans="10:15" x14ac:dyDescent="0.3">
      <c r="J657" t="s">
        <v>557</v>
      </c>
      <c r="K657" s="17" t="s">
        <v>376</v>
      </c>
      <c r="L657" s="17" t="s">
        <v>334</v>
      </c>
      <c r="M657" s="17" t="s">
        <v>155</v>
      </c>
      <c r="N657" s="17" t="s">
        <v>155</v>
      </c>
      <c r="O657" s="17" t="s">
        <v>155</v>
      </c>
    </row>
    <row r="658" spans="10:15" x14ac:dyDescent="0.3">
      <c r="J658" t="s">
        <v>158</v>
      </c>
      <c r="K658" s="17" t="s">
        <v>376</v>
      </c>
      <c r="L658" s="17" t="s">
        <v>334</v>
      </c>
      <c r="M658" s="17" t="s">
        <v>376</v>
      </c>
      <c r="N658" s="17" t="s">
        <v>334</v>
      </c>
      <c r="O658" s="17" t="s">
        <v>155</v>
      </c>
    </row>
    <row r="659" spans="10:15" x14ac:dyDescent="0.3">
      <c r="J659" t="s">
        <v>159</v>
      </c>
      <c r="K659" s="17" t="s">
        <v>376</v>
      </c>
      <c r="L659" s="17" t="s">
        <v>155</v>
      </c>
      <c r="M659" s="17" t="s">
        <v>376</v>
      </c>
      <c r="N659" s="17" t="s">
        <v>334</v>
      </c>
      <c r="O659" s="17" t="s">
        <v>155</v>
      </c>
    </row>
    <row r="660" spans="10:15" x14ac:dyDescent="0.3">
      <c r="J660" t="s">
        <v>160</v>
      </c>
      <c r="K660" s="17" t="s">
        <v>155</v>
      </c>
      <c r="L660" s="17" t="s">
        <v>155</v>
      </c>
      <c r="M660" s="17" t="s">
        <v>376</v>
      </c>
      <c r="N660" s="17" t="s">
        <v>334</v>
      </c>
      <c r="O660" s="17" t="s">
        <v>155</v>
      </c>
    </row>
    <row r="661" spans="10:15" x14ac:dyDescent="0.3">
      <c r="J661" t="s">
        <v>561</v>
      </c>
      <c r="K661" s="17" t="s">
        <v>155</v>
      </c>
      <c r="L661" s="17" t="s">
        <v>155</v>
      </c>
      <c r="M661" s="17" t="s">
        <v>155</v>
      </c>
      <c r="N661" s="17" t="s">
        <v>155</v>
      </c>
      <c r="O661" s="17" t="s">
        <v>155</v>
      </c>
    </row>
    <row r="662" spans="10:15" x14ac:dyDescent="0.3">
      <c r="J662" t="s">
        <v>562</v>
      </c>
      <c r="K662" s="17" t="s">
        <v>155</v>
      </c>
      <c r="L662" s="17" t="s">
        <v>155</v>
      </c>
      <c r="M662" s="17" t="s">
        <v>155</v>
      </c>
      <c r="N662" s="17" t="s">
        <v>155</v>
      </c>
      <c r="O662" s="17" t="s">
        <v>155</v>
      </c>
    </row>
    <row r="663" spans="10:15" x14ac:dyDescent="0.3">
      <c r="J663" t="s">
        <v>563</v>
      </c>
      <c r="K663" s="17" t="s">
        <v>155</v>
      </c>
      <c r="L663" s="17" t="s">
        <v>155</v>
      </c>
      <c r="M663" s="17" t="s">
        <v>155</v>
      </c>
      <c r="N663" s="17" t="s">
        <v>155</v>
      </c>
      <c r="O663" s="17" t="s">
        <v>155</v>
      </c>
    </row>
    <row r="664" spans="10:15" x14ac:dyDescent="0.3">
      <c r="J664" t="s">
        <v>564</v>
      </c>
      <c r="K664" s="17" t="s">
        <v>155</v>
      </c>
      <c r="L664" s="17" t="s">
        <v>155</v>
      </c>
      <c r="M664" s="17" t="s">
        <v>155</v>
      </c>
      <c r="N664" s="17" t="s">
        <v>155</v>
      </c>
      <c r="O664" s="17" t="s">
        <v>155</v>
      </c>
    </row>
    <row r="665" spans="10:15" x14ac:dyDescent="0.3">
      <c r="J665" t="s">
        <v>549</v>
      </c>
      <c r="K665" s="17" t="s">
        <v>155</v>
      </c>
      <c r="L665" s="17" t="s">
        <v>155</v>
      </c>
      <c r="M665" s="17" t="s">
        <v>155</v>
      </c>
      <c r="N665" s="17" t="s">
        <v>155</v>
      </c>
      <c r="O665" s="17" t="s">
        <v>155</v>
      </c>
    </row>
    <row r="666" spans="10:15" x14ac:dyDescent="0.3">
      <c r="J666" t="s">
        <v>550</v>
      </c>
      <c r="K666" s="17" t="s">
        <v>155</v>
      </c>
      <c r="L666" s="17" t="s">
        <v>155</v>
      </c>
      <c r="M666" s="17" t="s">
        <v>155</v>
      </c>
      <c r="N666" s="17" t="s">
        <v>155</v>
      </c>
      <c r="O666" s="17" t="s">
        <v>155</v>
      </c>
    </row>
    <row r="667" spans="10:15" x14ac:dyDescent="0.3">
      <c r="J667" t="s">
        <v>551</v>
      </c>
      <c r="K667" s="17" t="s">
        <v>155</v>
      </c>
      <c r="L667" s="17" t="s">
        <v>155</v>
      </c>
      <c r="M667" s="17" t="s">
        <v>155</v>
      </c>
      <c r="N667" s="17" t="s">
        <v>155</v>
      </c>
      <c r="O667" s="17" t="s">
        <v>155</v>
      </c>
    </row>
    <row r="668" spans="10:15" x14ac:dyDescent="0.3">
      <c r="J668" t="s">
        <v>552</v>
      </c>
      <c r="K668" s="17" t="s">
        <v>155</v>
      </c>
      <c r="L668" s="17" t="s">
        <v>155</v>
      </c>
      <c r="M668" s="17" t="s">
        <v>155</v>
      </c>
      <c r="N668" s="17" t="s">
        <v>155</v>
      </c>
      <c r="O668" s="17" t="s">
        <v>155</v>
      </c>
    </row>
    <row r="669" spans="10:15" x14ac:dyDescent="0.3">
      <c r="J669" t="s">
        <v>553</v>
      </c>
      <c r="K669" s="17" t="s">
        <v>155</v>
      </c>
      <c r="L669" s="17" t="s">
        <v>155</v>
      </c>
      <c r="M669" s="17" t="s">
        <v>155</v>
      </c>
      <c r="N669" s="17" t="s">
        <v>155</v>
      </c>
      <c r="O669" s="17" t="s">
        <v>155</v>
      </c>
    </row>
    <row r="671" spans="10:15" x14ac:dyDescent="0.3">
      <c r="J671" t="s">
        <v>750</v>
      </c>
    </row>
    <row r="672" spans="10:15" x14ac:dyDescent="0.3">
      <c r="K672" s="17" t="s">
        <v>164</v>
      </c>
      <c r="L672" s="17" t="s">
        <v>165</v>
      </c>
      <c r="M672" s="17" t="s">
        <v>166</v>
      </c>
      <c r="N672" s="17" t="s">
        <v>167</v>
      </c>
      <c r="O672" s="17" t="s">
        <v>168</v>
      </c>
    </row>
    <row r="673" spans="10:15" x14ac:dyDescent="0.3">
      <c r="J673" t="s">
        <v>555</v>
      </c>
      <c r="K673" s="17" t="s">
        <v>155</v>
      </c>
      <c r="L673" s="17" t="s">
        <v>336</v>
      </c>
      <c r="M673" s="17" t="s">
        <v>336</v>
      </c>
      <c r="N673" s="17" t="s">
        <v>155</v>
      </c>
      <c r="O673" s="17" t="s">
        <v>336</v>
      </c>
    </row>
    <row r="674" spans="10:15" x14ac:dyDescent="0.3">
      <c r="J674" t="s">
        <v>556</v>
      </c>
      <c r="K674" s="17" t="s">
        <v>155</v>
      </c>
      <c r="L674" s="17" t="s">
        <v>336</v>
      </c>
      <c r="M674" s="17" t="s">
        <v>336</v>
      </c>
      <c r="N674" s="17" t="s">
        <v>155</v>
      </c>
      <c r="O674" s="17" t="s">
        <v>336</v>
      </c>
    </row>
    <row r="675" spans="10:15" x14ac:dyDescent="0.3">
      <c r="J675" t="s">
        <v>557</v>
      </c>
      <c r="K675" s="17" t="s">
        <v>155</v>
      </c>
      <c r="L675" s="17" t="s">
        <v>155</v>
      </c>
      <c r="M675" s="17" t="s">
        <v>155</v>
      </c>
      <c r="N675" s="17" t="s">
        <v>155</v>
      </c>
      <c r="O675" s="17" t="s">
        <v>336</v>
      </c>
    </row>
    <row r="676" spans="10:15" x14ac:dyDescent="0.3">
      <c r="J676" t="s">
        <v>158</v>
      </c>
      <c r="K676" s="17" t="s">
        <v>155</v>
      </c>
      <c r="L676" s="17" t="s">
        <v>155</v>
      </c>
      <c r="M676" s="17" t="s">
        <v>155</v>
      </c>
      <c r="N676" s="17" t="s">
        <v>155</v>
      </c>
      <c r="O676" s="17" t="s">
        <v>336</v>
      </c>
    </row>
    <row r="677" spans="10:15" x14ac:dyDescent="0.3">
      <c r="J677" t="s">
        <v>159</v>
      </c>
      <c r="K677" s="17" t="s">
        <v>155</v>
      </c>
      <c r="L677" s="17" t="s">
        <v>155</v>
      </c>
      <c r="M677" s="17" t="s">
        <v>155</v>
      </c>
      <c r="N677" s="17" t="s">
        <v>155</v>
      </c>
      <c r="O677" s="17" t="s">
        <v>336</v>
      </c>
    </row>
    <row r="678" spans="10:15" x14ac:dyDescent="0.3">
      <c r="J678" t="s">
        <v>160</v>
      </c>
      <c r="K678" s="17" t="s">
        <v>155</v>
      </c>
      <c r="L678" s="17" t="s">
        <v>155</v>
      </c>
      <c r="M678" s="17" t="s">
        <v>155</v>
      </c>
      <c r="N678" s="17" t="s">
        <v>155</v>
      </c>
      <c r="O678" s="17" t="s">
        <v>336</v>
      </c>
    </row>
    <row r="679" spans="10:15" x14ac:dyDescent="0.3">
      <c r="J679" t="s">
        <v>561</v>
      </c>
      <c r="K679" s="17" t="s">
        <v>155</v>
      </c>
      <c r="L679" s="17" t="s">
        <v>155</v>
      </c>
      <c r="M679" s="17" t="s">
        <v>155</v>
      </c>
      <c r="N679" s="17" t="s">
        <v>155</v>
      </c>
      <c r="O679" s="17" t="s">
        <v>155</v>
      </c>
    </row>
    <row r="680" spans="10:15" x14ac:dyDescent="0.3">
      <c r="J680" t="s">
        <v>562</v>
      </c>
      <c r="K680" s="17" t="s">
        <v>155</v>
      </c>
      <c r="L680" s="17" t="s">
        <v>155</v>
      </c>
      <c r="M680" s="17" t="s">
        <v>155</v>
      </c>
      <c r="N680" s="17" t="s">
        <v>155</v>
      </c>
      <c r="O680" s="17" t="s">
        <v>155</v>
      </c>
    </row>
    <row r="681" spans="10:15" x14ac:dyDescent="0.3">
      <c r="J681" t="s">
        <v>563</v>
      </c>
      <c r="K681" s="17" t="s">
        <v>155</v>
      </c>
      <c r="L681" s="17" t="s">
        <v>155</v>
      </c>
      <c r="M681" s="17" t="s">
        <v>155</v>
      </c>
      <c r="N681" s="17" t="s">
        <v>155</v>
      </c>
      <c r="O681" s="17" t="s">
        <v>155</v>
      </c>
    </row>
    <row r="682" spans="10:15" x14ac:dyDescent="0.3">
      <c r="J682" t="s">
        <v>564</v>
      </c>
      <c r="K682" s="17" t="s">
        <v>155</v>
      </c>
      <c r="L682" s="17" t="s">
        <v>155</v>
      </c>
      <c r="M682" s="17" t="s">
        <v>155</v>
      </c>
      <c r="N682" s="17" t="s">
        <v>155</v>
      </c>
      <c r="O682" s="17" t="s">
        <v>155</v>
      </c>
    </row>
    <row r="683" spans="10:15" x14ac:dyDescent="0.3">
      <c r="J683" t="s">
        <v>549</v>
      </c>
      <c r="K683" s="17" t="s">
        <v>155</v>
      </c>
      <c r="L683" s="17" t="s">
        <v>155</v>
      </c>
      <c r="M683" s="17" t="s">
        <v>155</v>
      </c>
      <c r="N683" s="17" t="s">
        <v>155</v>
      </c>
      <c r="O683" s="17" t="s">
        <v>155</v>
      </c>
    </row>
    <row r="684" spans="10:15" x14ac:dyDescent="0.3">
      <c r="J684" t="s">
        <v>550</v>
      </c>
      <c r="K684" s="17" t="s">
        <v>155</v>
      </c>
      <c r="L684" s="17" t="s">
        <v>155</v>
      </c>
      <c r="M684" s="17" t="s">
        <v>155</v>
      </c>
      <c r="N684" s="17" t="s">
        <v>155</v>
      </c>
      <c r="O684" s="17" t="s">
        <v>155</v>
      </c>
    </row>
    <row r="685" spans="10:15" x14ac:dyDescent="0.3">
      <c r="J685" t="s">
        <v>551</v>
      </c>
      <c r="K685" s="17" t="s">
        <v>155</v>
      </c>
      <c r="L685" s="17" t="s">
        <v>155</v>
      </c>
      <c r="M685" s="17" t="s">
        <v>155</v>
      </c>
      <c r="N685" s="17" t="s">
        <v>155</v>
      </c>
      <c r="O685" s="17" t="s">
        <v>155</v>
      </c>
    </row>
    <row r="686" spans="10:15" x14ac:dyDescent="0.3">
      <c r="J686" t="s">
        <v>552</v>
      </c>
      <c r="K686" s="17" t="s">
        <v>155</v>
      </c>
      <c r="L686" s="17" t="s">
        <v>155</v>
      </c>
      <c r="M686" s="17" t="s">
        <v>155</v>
      </c>
      <c r="N686" s="17" t="s">
        <v>155</v>
      </c>
      <c r="O686" s="17" t="s">
        <v>155</v>
      </c>
    </row>
    <row r="687" spans="10:15" x14ac:dyDescent="0.3">
      <c r="J687" t="s">
        <v>553</v>
      </c>
      <c r="K687" s="17" t="s">
        <v>155</v>
      </c>
      <c r="L687" s="17" t="s">
        <v>155</v>
      </c>
      <c r="M687" s="17" t="s">
        <v>155</v>
      </c>
      <c r="N687" s="17" t="s">
        <v>155</v>
      </c>
      <c r="O687" s="17" t="s">
        <v>155</v>
      </c>
    </row>
    <row r="689" spans="10:15" x14ac:dyDescent="0.3">
      <c r="J689" t="s">
        <v>751</v>
      </c>
    </row>
    <row r="690" spans="10:15" x14ac:dyDescent="0.3">
      <c r="K690" s="17" t="s">
        <v>164</v>
      </c>
      <c r="L690" s="17" t="s">
        <v>165</v>
      </c>
      <c r="M690" s="17" t="s">
        <v>166</v>
      </c>
      <c r="N690" s="17" t="s">
        <v>167</v>
      </c>
      <c r="O690" s="17" t="s">
        <v>168</v>
      </c>
    </row>
    <row r="691" spans="10:15" x14ac:dyDescent="0.3">
      <c r="J691" t="s">
        <v>555</v>
      </c>
      <c r="K691" s="17" t="s">
        <v>155</v>
      </c>
      <c r="L691" s="17" t="s">
        <v>155</v>
      </c>
      <c r="M691" s="17" t="s">
        <v>155</v>
      </c>
      <c r="N691" s="17" t="s">
        <v>339</v>
      </c>
      <c r="O691" s="17" t="s">
        <v>155</v>
      </c>
    </row>
    <row r="692" spans="10:15" x14ac:dyDescent="0.3">
      <c r="J692" t="s">
        <v>556</v>
      </c>
      <c r="K692" s="17" t="s">
        <v>155</v>
      </c>
      <c r="L692" s="17" t="s">
        <v>155</v>
      </c>
      <c r="M692" s="17" t="s">
        <v>155</v>
      </c>
      <c r="N692" s="17" t="s">
        <v>339</v>
      </c>
      <c r="O692" s="17" t="s">
        <v>155</v>
      </c>
    </row>
    <row r="693" spans="10:15" x14ac:dyDescent="0.3">
      <c r="J693" t="s">
        <v>557</v>
      </c>
      <c r="K693" s="17" t="s">
        <v>155</v>
      </c>
      <c r="L693" s="17" t="s">
        <v>155</v>
      </c>
      <c r="M693" s="17" t="s">
        <v>155</v>
      </c>
      <c r="N693" s="17" t="s">
        <v>339</v>
      </c>
      <c r="O693" s="17" t="s">
        <v>155</v>
      </c>
    </row>
    <row r="694" spans="10:15" x14ac:dyDescent="0.3">
      <c r="J694" t="s">
        <v>158</v>
      </c>
      <c r="K694" s="17" t="s">
        <v>155</v>
      </c>
      <c r="L694" s="17" t="s">
        <v>155</v>
      </c>
      <c r="M694" s="17" t="s">
        <v>155</v>
      </c>
      <c r="N694" s="17" t="s">
        <v>155</v>
      </c>
      <c r="O694" s="17" t="s">
        <v>155</v>
      </c>
    </row>
    <row r="695" spans="10:15" x14ac:dyDescent="0.3">
      <c r="J695" t="s">
        <v>159</v>
      </c>
      <c r="K695" s="17" t="s">
        <v>155</v>
      </c>
      <c r="L695" s="17" t="s">
        <v>155</v>
      </c>
      <c r="M695" s="17" t="s">
        <v>155</v>
      </c>
      <c r="N695" s="17" t="s">
        <v>155</v>
      </c>
      <c r="O695" s="17" t="s">
        <v>155</v>
      </c>
    </row>
    <row r="696" spans="10:15" x14ac:dyDescent="0.3">
      <c r="J696" t="s">
        <v>160</v>
      </c>
      <c r="K696" s="17" t="s">
        <v>155</v>
      </c>
      <c r="L696" s="17" t="s">
        <v>155</v>
      </c>
      <c r="M696" s="17" t="s">
        <v>155</v>
      </c>
      <c r="N696" s="17" t="s">
        <v>155</v>
      </c>
      <c r="O696" s="17" t="s">
        <v>155</v>
      </c>
    </row>
    <row r="697" spans="10:15" x14ac:dyDescent="0.3">
      <c r="J697" t="s">
        <v>561</v>
      </c>
      <c r="K697" s="17" t="s">
        <v>155</v>
      </c>
      <c r="L697" s="17" t="s">
        <v>155</v>
      </c>
      <c r="M697" s="17" t="s">
        <v>155</v>
      </c>
      <c r="N697" s="17" t="s">
        <v>155</v>
      </c>
      <c r="O697" s="17" t="s">
        <v>155</v>
      </c>
    </row>
    <row r="698" spans="10:15" x14ac:dyDescent="0.3">
      <c r="J698" t="s">
        <v>562</v>
      </c>
      <c r="K698" s="17" t="s">
        <v>155</v>
      </c>
      <c r="L698" s="17" t="s">
        <v>155</v>
      </c>
      <c r="M698" s="17" t="s">
        <v>155</v>
      </c>
      <c r="N698" s="17" t="s">
        <v>155</v>
      </c>
      <c r="O698" s="17" t="s">
        <v>155</v>
      </c>
    </row>
    <row r="699" spans="10:15" x14ac:dyDescent="0.3">
      <c r="J699" t="s">
        <v>563</v>
      </c>
      <c r="K699" s="17" t="s">
        <v>155</v>
      </c>
      <c r="L699" s="17" t="s">
        <v>155</v>
      </c>
      <c r="M699" s="17" t="s">
        <v>155</v>
      </c>
      <c r="N699" s="17" t="s">
        <v>155</v>
      </c>
      <c r="O699" s="17" t="s">
        <v>155</v>
      </c>
    </row>
    <row r="700" spans="10:15" x14ac:dyDescent="0.3">
      <c r="J700" t="s">
        <v>564</v>
      </c>
      <c r="K700" s="17" t="s">
        <v>155</v>
      </c>
      <c r="L700" s="17" t="s">
        <v>155</v>
      </c>
      <c r="M700" s="17" t="s">
        <v>155</v>
      </c>
      <c r="N700" s="17" t="s">
        <v>155</v>
      </c>
      <c r="O700" s="17" t="s">
        <v>155</v>
      </c>
    </row>
    <row r="701" spans="10:15" x14ac:dyDescent="0.3">
      <c r="J701" t="s">
        <v>549</v>
      </c>
      <c r="K701" s="17" t="s">
        <v>155</v>
      </c>
      <c r="L701" s="17" t="s">
        <v>155</v>
      </c>
      <c r="M701" s="17" t="s">
        <v>155</v>
      </c>
      <c r="N701" s="17" t="s">
        <v>155</v>
      </c>
      <c r="O701" s="17" t="s">
        <v>155</v>
      </c>
    </row>
    <row r="702" spans="10:15" x14ac:dyDescent="0.3">
      <c r="J702" t="s">
        <v>550</v>
      </c>
      <c r="K702" s="17" t="s">
        <v>155</v>
      </c>
      <c r="L702" s="17" t="s">
        <v>155</v>
      </c>
      <c r="M702" s="17" t="s">
        <v>155</v>
      </c>
      <c r="N702" s="17" t="s">
        <v>155</v>
      </c>
      <c r="O702" s="17" t="s">
        <v>155</v>
      </c>
    </row>
    <row r="703" spans="10:15" x14ac:dyDescent="0.3">
      <c r="J703" t="s">
        <v>551</v>
      </c>
      <c r="K703" s="17" t="s">
        <v>155</v>
      </c>
      <c r="L703" s="17" t="s">
        <v>155</v>
      </c>
      <c r="M703" s="17" t="s">
        <v>155</v>
      </c>
      <c r="N703" s="17" t="s">
        <v>155</v>
      </c>
      <c r="O703" s="17" t="s">
        <v>155</v>
      </c>
    </row>
    <row r="704" spans="10:15" x14ac:dyDescent="0.3">
      <c r="J704" t="s">
        <v>552</v>
      </c>
      <c r="K704" s="17" t="s">
        <v>155</v>
      </c>
      <c r="L704" s="17" t="s">
        <v>155</v>
      </c>
      <c r="M704" s="17" t="s">
        <v>155</v>
      </c>
      <c r="N704" s="17" t="s">
        <v>155</v>
      </c>
      <c r="O704" s="17" t="s">
        <v>155</v>
      </c>
    </row>
    <row r="705" spans="10:15" x14ac:dyDescent="0.3">
      <c r="J705" t="s">
        <v>553</v>
      </c>
      <c r="K705" s="17" t="s">
        <v>155</v>
      </c>
      <c r="L705" s="17" t="s">
        <v>155</v>
      </c>
      <c r="M705" s="17" t="s">
        <v>155</v>
      </c>
      <c r="N705" s="17" t="s">
        <v>155</v>
      </c>
      <c r="O705" s="17" t="s">
        <v>155</v>
      </c>
    </row>
    <row r="707" spans="10:15" x14ac:dyDescent="0.3">
      <c r="J707" t="s">
        <v>752</v>
      </c>
    </row>
    <row r="708" spans="10:15" x14ac:dyDescent="0.3">
      <c r="K708" s="17" t="s">
        <v>164</v>
      </c>
      <c r="L708" s="17" t="s">
        <v>165</v>
      </c>
      <c r="M708" s="17" t="s">
        <v>166</v>
      </c>
      <c r="N708" s="17" t="s">
        <v>167</v>
      </c>
      <c r="O708" s="17" t="s">
        <v>168</v>
      </c>
    </row>
    <row r="709" spans="10:15" x14ac:dyDescent="0.3">
      <c r="J709" t="s">
        <v>555</v>
      </c>
      <c r="K709" s="17" t="s">
        <v>155</v>
      </c>
      <c r="L709" s="17" t="s">
        <v>155</v>
      </c>
      <c r="M709" s="17" t="s">
        <v>155</v>
      </c>
      <c r="N709" s="17" t="s">
        <v>155</v>
      </c>
      <c r="O709" s="17" t="s">
        <v>155</v>
      </c>
    </row>
    <row r="710" spans="10:15" x14ac:dyDescent="0.3">
      <c r="J710" t="s">
        <v>556</v>
      </c>
      <c r="K710" s="17" t="s">
        <v>155</v>
      </c>
      <c r="L710" s="17" t="s">
        <v>155</v>
      </c>
      <c r="M710" s="17" t="s">
        <v>155</v>
      </c>
      <c r="N710" s="17" t="s">
        <v>155</v>
      </c>
      <c r="O710" s="17" t="s">
        <v>155</v>
      </c>
    </row>
    <row r="711" spans="10:15" x14ac:dyDescent="0.3">
      <c r="J711" t="s">
        <v>557</v>
      </c>
      <c r="K711" s="17" t="s">
        <v>155</v>
      </c>
      <c r="L711" s="17" t="s">
        <v>342</v>
      </c>
      <c r="M711" s="17" t="s">
        <v>155</v>
      </c>
      <c r="N711" s="17" t="s">
        <v>342</v>
      </c>
      <c r="O711" s="17" t="s">
        <v>155</v>
      </c>
    </row>
    <row r="712" spans="10:15" x14ac:dyDescent="0.3">
      <c r="J712" t="s">
        <v>158</v>
      </c>
      <c r="K712" s="17" t="s">
        <v>155</v>
      </c>
      <c r="L712" s="17" t="s">
        <v>342</v>
      </c>
      <c r="M712" s="17" t="s">
        <v>155</v>
      </c>
      <c r="N712" s="17" t="s">
        <v>342</v>
      </c>
      <c r="O712" s="17" t="s">
        <v>155</v>
      </c>
    </row>
    <row r="713" spans="10:15" x14ac:dyDescent="0.3">
      <c r="J713" t="s">
        <v>159</v>
      </c>
      <c r="K713" s="17" t="s">
        <v>342</v>
      </c>
      <c r="L713" s="17" t="s">
        <v>155</v>
      </c>
      <c r="M713" s="17" t="s">
        <v>342</v>
      </c>
      <c r="N713" s="17" t="s">
        <v>155</v>
      </c>
      <c r="O713" s="17" t="s">
        <v>155</v>
      </c>
    </row>
    <row r="714" spans="10:15" x14ac:dyDescent="0.3">
      <c r="J714" t="s">
        <v>160</v>
      </c>
      <c r="K714" s="17" t="s">
        <v>342</v>
      </c>
      <c r="L714" s="17" t="s">
        <v>342</v>
      </c>
      <c r="M714" s="17" t="s">
        <v>342</v>
      </c>
      <c r="N714" s="17" t="s">
        <v>342</v>
      </c>
      <c r="O714" s="17" t="s">
        <v>155</v>
      </c>
    </row>
    <row r="715" spans="10:15" x14ac:dyDescent="0.3">
      <c r="J715" t="s">
        <v>561</v>
      </c>
      <c r="K715" s="17" t="s">
        <v>155</v>
      </c>
      <c r="L715" s="17" t="s">
        <v>155</v>
      </c>
      <c r="M715" s="17" t="s">
        <v>155</v>
      </c>
      <c r="N715" s="17" t="s">
        <v>155</v>
      </c>
      <c r="O715" s="17" t="s">
        <v>155</v>
      </c>
    </row>
    <row r="716" spans="10:15" x14ac:dyDescent="0.3">
      <c r="J716" t="s">
        <v>562</v>
      </c>
      <c r="K716" s="17" t="s">
        <v>155</v>
      </c>
      <c r="L716" s="17" t="s">
        <v>155</v>
      </c>
      <c r="M716" s="17" t="s">
        <v>155</v>
      </c>
      <c r="N716" s="17" t="s">
        <v>155</v>
      </c>
      <c r="O716" s="17" t="s">
        <v>155</v>
      </c>
    </row>
    <row r="717" spans="10:15" x14ac:dyDescent="0.3">
      <c r="J717" t="s">
        <v>563</v>
      </c>
      <c r="K717" s="17" t="s">
        <v>155</v>
      </c>
      <c r="L717" s="17" t="s">
        <v>155</v>
      </c>
      <c r="M717" s="17" t="s">
        <v>155</v>
      </c>
      <c r="N717" s="17" t="s">
        <v>155</v>
      </c>
      <c r="O717" s="17" t="s">
        <v>155</v>
      </c>
    </row>
    <row r="718" spans="10:15" x14ac:dyDescent="0.3">
      <c r="J718" t="s">
        <v>564</v>
      </c>
      <c r="K718" s="17" t="s">
        <v>155</v>
      </c>
      <c r="L718" s="17" t="s">
        <v>155</v>
      </c>
      <c r="M718" s="17" t="s">
        <v>155</v>
      </c>
      <c r="N718" s="17" t="s">
        <v>155</v>
      </c>
      <c r="O718" s="17" t="s">
        <v>155</v>
      </c>
    </row>
    <row r="719" spans="10:15" x14ac:dyDescent="0.3">
      <c r="J719" t="s">
        <v>549</v>
      </c>
      <c r="K719" s="17" t="s">
        <v>155</v>
      </c>
      <c r="L719" s="17" t="s">
        <v>155</v>
      </c>
      <c r="M719" s="17" t="s">
        <v>155</v>
      </c>
      <c r="N719" s="17" t="s">
        <v>155</v>
      </c>
      <c r="O719" s="17" t="s">
        <v>155</v>
      </c>
    </row>
    <row r="720" spans="10:15" x14ac:dyDescent="0.3">
      <c r="J720" t="s">
        <v>550</v>
      </c>
      <c r="K720" s="17" t="s">
        <v>155</v>
      </c>
      <c r="L720" s="17" t="s">
        <v>155</v>
      </c>
      <c r="M720" s="17" t="s">
        <v>155</v>
      </c>
      <c r="N720" s="17" t="s">
        <v>155</v>
      </c>
      <c r="O720" s="17" t="s">
        <v>155</v>
      </c>
    </row>
    <row r="721" spans="10:15" x14ac:dyDescent="0.3">
      <c r="J721" t="s">
        <v>551</v>
      </c>
      <c r="K721" s="17" t="s">
        <v>155</v>
      </c>
      <c r="L721" s="17" t="s">
        <v>155</v>
      </c>
      <c r="M721" s="17" t="s">
        <v>155</v>
      </c>
      <c r="N721" s="17" t="s">
        <v>155</v>
      </c>
      <c r="O721" s="17" t="s">
        <v>155</v>
      </c>
    </row>
    <row r="722" spans="10:15" x14ac:dyDescent="0.3">
      <c r="J722" t="s">
        <v>552</v>
      </c>
      <c r="K722" s="17" t="s">
        <v>155</v>
      </c>
      <c r="L722" s="17" t="s">
        <v>155</v>
      </c>
      <c r="M722" s="17" t="s">
        <v>155</v>
      </c>
      <c r="N722" s="17" t="s">
        <v>155</v>
      </c>
      <c r="O722" s="17" t="s">
        <v>155</v>
      </c>
    </row>
    <row r="723" spans="10:15" x14ac:dyDescent="0.3">
      <c r="J723" t="s">
        <v>553</v>
      </c>
      <c r="K723" s="17" t="s">
        <v>155</v>
      </c>
      <c r="L723" s="17" t="s">
        <v>155</v>
      </c>
      <c r="M723" s="17" t="s">
        <v>155</v>
      </c>
      <c r="N723" s="17" t="s">
        <v>155</v>
      </c>
      <c r="O723" s="17" t="s">
        <v>155</v>
      </c>
    </row>
    <row r="725" spans="10:15" x14ac:dyDescent="0.3">
      <c r="J725" t="s">
        <v>753</v>
      </c>
    </row>
    <row r="726" spans="10:15" x14ac:dyDescent="0.3">
      <c r="K726" s="17" t="s">
        <v>164</v>
      </c>
      <c r="L726" s="17" t="s">
        <v>165</v>
      </c>
      <c r="M726" s="17" t="s">
        <v>166</v>
      </c>
      <c r="N726" s="17" t="s">
        <v>167</v>
      </c>
      <c r="O726" s="17" t="s">
        <v>168</v>
      </c>
    </row>
    <row r="727" spans="10:15" x14ac:dyDescent="0.3">
      <c r="J727" t="s">
        <v>555</v>
      </c>
      <c r="K727" s="17" t="s">
        <v>155</v>
      </c>
      <c r="L727" s="17" t="s">
        <v>155</v>
      </c>
      <c r="M727" s="17" t="s">
        <v>155</v>
      </c>
      <c r="N727" s="17" t="s">
        <v>345</v>
      </c>
      <c r="O727" s="17" t="s">
        <v>155</v>
      </c>
    </row>
    <row r="728" spans="10:15" x14ac:dyDescent="0.3">
      <c r="J728" t="s">
        <v>556</v>
      </c>
      <c r="K728" s="17" t="s">
        <v>155</v>
      </c>
      <c r="L728" s="17" t="s">
        <v>155</v>
      </c>
      <c r="M728" s="17" t="s">
        <v>155</v>
      </c>
      <c r="N728" s="17" t="s">
        <v>345</v>
      </c>
      <c r="O728" s="17" t="s">
        <v>155</v>
      </c>
    </row>
    <row r="729" spans="10:15" x14ac:dyDescent="0.3">
      <c r="J729" t="s">
        <v>557</v>
      </c>
      <c r="K729" s="17" t="s">
        <v>155</v>
      </c>
      <c r="L729" s="17" t="s">
        <v>155</v>
      </c>
      <c r="M729" s="17" t="s">
        <v>155</v>
      </c>
      <c r="N729" s="17" t="s">
        <v>345</v>
      </c>
      <c r="O729" s="17" t="s">
        <v>155</v>
      </c>
    </row>
    <row r="730" spans="10:15" x14ac:dyDescent="0.3">
      <c r="J730" t="s">
        <v>158</v>
      </c>
      <c r="K730" s="17" t="s">
        <v>155</v>
      </c>
      <c r="L730" s="17" t="s">
        <v>155</v>
      </c>
      <c r="M730" s="17" t="s">
        <v>155</v>
      </c>
      <c r="N730" s="17" t="s">
        <v>155</v>
      </c>
      <c r="O730" s="17" t="s">
        <v>155</v>
      </c>
    </row>
    <row r="731" spans="10:15" x14ac:dyDescent="0.3">
      <c r="J731" t="s">
        <v>159</v>
      </c>
      <c r="K731" s="17" t="s">
        <v>155</v>
      </c>
      <c r="L731" s="17" t="s">
        <v>155</v>
      </c>
      <c r="M731" s="17" t="s">
        <v>155</v>
      </c>
      <c r="N731" s="17" t="s">
        <v>155</v>
      </c>
      <c r="O731" s="17" t="s">
        <v>155</v>
      </c>
    </row>
    <row r="732" spans="10:15" x14ac:dyDescent="0.3">
      <c r="J732" t="s">
        <v>160</v>
      </c>
      <c r="K732" s="17" t="s">
        <v>155</v>
      </c>
      <c r="L732" s="17" t="s">
        <v>155</v>
      </c>
      <c r="M732" s="17" t="s">
        <v>155</v>
      </c>
      <c r="N732" s="17" t="s">
        <v>155</v>
      </c>
      <c r="O732" s="17" t="s">
        <v>155</v>
      </c>
    </row>
    <row r="733" spans="10:15" x14ac:dyDescent="0.3">
      <c r="J733" t="s">
        <v>561</v>
      </c>
      <c r="K733" s="17" t="s">
        <v>155</v>
      </c>
      <c r="L733" s="17" t="s">
        <v>155</v>
      </c>
      <c r="M733" s="17" t="s">
        <v>155</v>
      </c>
      <c r="N733" s="17" t="s">
        <v>155</v>
      </c>
      <c r="O733" s="17" t="s">
        <v>155</v>
      </c>
    </row>
    <row r="734" spans="10:15" x14ac:dyDescent="0.3">
      <c r="J734" t="s">
        <v>562</v>
      </c>
      <c r="K734" s="17" t="s">
        <v>155</v>
      </c>
      <c r="L734" s="17" t="s">
        <v>155</v>
      </c>
      <c r="M734" s="17" t="s">
        <v>155</v>
      </c>
      <c r="N734" s="17" t="s">
        <v>155</v>
      </c>
      <c r="O734" s="17" t="s">
        <v>155</v>
      </c>
    </row>
    <row r="735" spans="10:15" x14ac:dyDescent="0.3">
      <c r="J735" t="s">
        <v>563</v>
      </c>
      <c r="K735" s="17" t="s">
        <v>155</v>
      </c>
      <c r="L735" s="17" t="s">
        <v>155</v>
      </c>
      <c r="M735" s="17" t="s">
        <v>155</v>
      </c>
      <c r="N735" s="17" t="s">
        <v>155</v>
      </c>
      <c r="O735" s="17" t="s">
        <v>155</v>
      </c>
    </row>
    <row r="736" spans="10:15" x14ac:dyDescent="0.3">
      <c r="J736" t="s">
        <v>564</v>
      </c>
      <c r="K736" s="17" t="s">
        <v>155</v>
      </c>
      <c r="L736" s="17" t="s">
        <v>155</v>
      </c>
      <c r="M736" s="17" t="s">
        <v>155</v>
      </c>
      <c r="N736" s="17" t="s">
        <v>155</v>
      </c>
      <c r="O736" s="17" t="s">
        <v>155</v>
      </c>
    </row>
    <row r="737" spans="10:15" x14ac:dyDescent="0.3">
      <c r="J737" t="s">
        <v>549</v>
      </c>
      <c r="K737" s="17" t="s">
        <v>155</v>
      </c>
      <c r="L737" s="17" t="s">
        <v>155</v>
      </c>
      <c r="M737" s="17" t="s">
        <v>155</v>
      </c>
      <c r="N737" s="17" t="s">
        <v>155</v>
      </c>
      <c r="O737" s="17" t="s">
        <v>155</v>
      </c>
    </row>
    <row r="738" spans="10:15" x14ac:dyDescent="0.3">
      <c r="J738" t="s">
        <v>550</v>
      </c>
      <c r="K738" s="17" t="s">
        <v>155</v>
      </c>
      <c r="L738" s="17" t="s">
        <v>155</v>
      </c>
      <c r="M738" s="17" t="s">
        <v>155</v>
      </c>
      <c r="N738" s="17" t="s">
        <v>155</v>
      </c>
      <c r="O738" s="17" t="s">
        <v>155</v>
      </c>
    </row>
    <row r="739" spans="10:15" x14ac:dyDescent="0.3">
      <c r="J739" t="s">
        <v>551</v>
      </c>
      <c r="K739" s="17" t="s">
        <v>155</v>
      </c>
      <c r="L739" s="17" t="s">
        <v>155</v>
      </c>
      <c r="M739" s="17" t="s">
        <v>155</v>
      </c>
      <c r="N739" s="17" t="s">
        <v>155</v>
      </c>
      <c r="O739" s="17" t="s">
        <v>155</v>
      </c>
    </row>
    <row r="740" spans="10:15" x14ac:dyDescent="0.3">
      <c r="J740" t="s">
        <v>552</v>
      </c>
      <c r="K740" s="17" t="s">
        <v>155</v>
      </c>
      <c r="L740" s="17" t="s">
        <v>155</v>
      </c>
      <c r="M740" s="17" t="s">
        <v>155</v>
      </c>
      <c r="N740" s="17" t="s">
        <v>155</v>
      </c>
      <c r="O740" s="17" t="s">
        <v>155</v>
      </c>
    </row>
    <row r="741" spans="10:15" x14ac:dyDescent="0.3">
      <c r="J741" t="s">
        <v>553</v>
      </c>
      <c r="K741" s="17" t="s">
        <v>155</v>
      </c>
      <c r="L741" s="17" t="s">
        <v>155</v>
      </c>
      <c r="M741" s="17" t="s">
        <v>155</v>
      </c>
      <c r="N741" s="17" t="s">
        <v>155</v>
      </c>
      <c r="O741" s="17" t="s">
        <v>155</v>
      </c>
    </row>
    <row r="743" spans="10:15" x14ac:dyDescent="0.3">
      <c r="J743" t="s">
        <v>754</v>
      </c>
    </row>
    <row r="744" spans="10:15" x14ac:dyDescent="0.3">
      <c r="K744" s="17" t="s">
        <v>164</v>
      </c>
      <c r="L744" s="17" t="s">
        <v>165</v>
      </c>
      <c r="M744" s="17" t="s">
        <v>166</v>
      </c>
      <c r="N744" s="17" t="s">
        <v>167</v>
      </c>
      <c r="O744" s="17" t="s">
        <v>168</v>
      </c>
    </row>
    <row r="745" spans="10:15" x14ac:dyDescent="0.3">
      <c r="J745" t="s">
        <v>555</v>
      </c>
      <c r="K745" s="17" t="s">
        <v>155</v>
      </c>
      <c r="L745" s="17" t="s">
        <v>155</v>
      </c>
      <c r="M745" s="17" t="s">
        <v>348</v>
      </c>
      <c r="N745" s="17" t="s">
        <v>155</v>
      </c>
      <c r="O745" s="17" t="s">
        <v>348</v>
      </c>
    </row>
    <row r="746" spans="10:15" x14ac:dyDescent="0.3">
      <c r="J746" t="s">
        <v>556</v>
      </c>
      <c r="K746" s="17" t="s">
        <v>155</v>
      </c>
      <c r="L746" s="17" t="s">
        <v>155</v>
      </c>
      <c r="M746" s="17" t="s">
        <v>348</v>
      </c>
      <c r="N746" s="17" t="s">
        <v>155</v>
      </c>
      <c r="O746" s="17" t="s">
        <v>348</v>
      </c>
    </row>
    <row r="747" spans="10:15" x14ac:dyDescent="0.3">
      <c r="J747" t="s">
        <v>557</v>
      </c>
      <c r="K747" s="17" t="s">
        <v>155</v>
      </c>
      <c r="L747" s="17" t="s">
        <v>155</v>
      </c>
      <c r="M747" s="17" t="s">
        <v>155</v>
      </c>
      <c r="N747" s="17" t="s">
        <v>155</v>
      </c>
      <c r="O747" s="17" t="s">
        <v>348</v>
      </c>
    </row>
    <row r="748" spans="10:15" x14ac:dyDescent="0.3">
      <c r="J748" t="s">
        <v>158</v>
      </c>
      <c r="K748" s="17" t="s">
        <v>155</v>
      </c>
      <c r="L748" s="17" t="s">
        <v>155</v>
      </c>
      <c r="M748" s="17" t="s">
        <v>155</v>
      </c>
      <c r="N748" s="17" t="s">
        <v>155</v>
      </c>
      <c r="O748" s="17" t="s">
        <v>155</v>
      </c>
    </row>
    <row r="749" spans="10:15" x14ac:dyDescent="0.3">
      <c r="J749" t="s">
        <v>159</v>
      </c>
      <c r="K749" s="17" t="s">
        <v>155</v>
      </c>
      <c r="L749" s="17" t="s">
        <v>155</v>
      </c>
      <c r="M749" s="17" t="s">
        <v>155</v>
      </c>
      <c r="N749" s="17" t="s">
        <v>155</v>
      </c>
      <c r="O749" s="17" t="s">
        <v>155</v>
      </c>
    </row>
    <row r="750" spans="10:15" x14ac:dyDescent="0.3">
      <c r="J750" t="s">
        <v>160</v>
      </c>
      <c r="K750" s="17" t="s">
        <v>155</v>
      </c>
      <c r="L750" s="17" t="s">
        <v>155</v>
      </c>
      <c r="M750" s="17" t="s">
        <v>155</v>
      </c>
      <c r="N750" s="17" t="s">
        <v>155</v>
      </c>
      <c r="O750" s="17" t="s">
        <v>155</v>
      </c>
    </row>
    <row r="751" spans="10:15" x14ac:dyDescent="0.3">
      <c r="J751" t="s">
        <v>561</v>
      </c>
      <c r="K751" s="17" t="s">
        <v>155</v>
      </c>
      <c r="L751" s="17" t="s">
        <v>155</v>
      </c>
      <c r="M751" s="17" t="s">
        <v>155</v>
      </c>
      <c r="N751" s="17" t="s">
        <v>155</v>
      </c>
      <c r="O751" s="17" t="s">
        <v>155</v>
      </c>
    </row>
    <row r="752" spans="10:15" x14ac:dyDescent="0.3">
      <c r="J752" t="s">
        <v>562</v>
      </c>
      <c r="K752" s="17" t="s">
        <v>155</v>
      </c>
      <c r="L752" s="17" t="s">
        <v>155</v>
      </c>
      <c r="M752" s="17" t="s">
        <v>155</v>
      </c>
      <c r="N752" s="17" t="s">
        <v>155</v>
      </c>
      <c r="O752" s="17" t="s">
        <v>155</v>
      </c>
    </row>
    <row r="753" spans="10:15" x14ac:dyDescent="0.3">
      <c r="J753" t="s">
        <v>563</v>
      </c>
      <c r="K753" s="17" t="s">
        <v>155</v>
      </c>
      <c r="L753" s="17" t="s">
        <v>155</v>
      </c>
      <c r="M753" s="17" t="s">
        <v>155</v>
      </c>
      <c r="N753" s="17" t="s">
        <v>155</v>
      </c>
      <c r="O753" s="17" t="s">
        <v>155</v>
      </c>
    </row>
    <row r="754" spans="10:15" x14ac:dyDescent="0.3">
      <c r="J754" t="s">
        <v>564</v>
      </c>
      <c r="K754" s="17" t="s">
        <v>155</v>
      </c>
      <c r="L754" s="17" t="s">
        <v>155</v>
      </c>
      <c r="M754" s="17" t="s">
        <v>155</v>
      </c>
      <c r="N754" s="17" t="s">
        <v>155</v>
      </c>
      <c r="O754" s="17" t="s">
        <v>155</v>
      </c>
    </row>
    <row r="755" spans="10:15" x14ac:dyDescent="0.3">
      <c r="J755" t="s">
        <v>549</v>
      </c>
      <c r="K755" s="17" t="s">
        <v>155</v>
      </c>
      <c r="L755" s="17" t="s">
        <v>155</v>
      </c>
      <c r="M755" s="17" t="s">
        <v>155</v>
      </c>
      <c r="N755" s="17" t="s">
        <v>155</v>
      </c>
      <c r="O755" s="17" t="s">
        <v>155</v>
      </c>
    </row>
    <row r="756" spans="10:15" x14ac:dyDescent="0.3">
      <c r="J756" t="s">
        <v>550</v>
      </c>
      <c r="K756" s="17" t="s">
        <v>155</v>
      </c>
      <c r="L756" s="17" t="s">
        <v>155</v>
      </c>
      <c r="M756" s="17" t="s">
        <v>155</v>
      </c>
      <c r="N756" s="17" t="s">
        <v>155</v>
      </c>
      <c r="O756" s="17" t="s">
        <v>155</v>
      </c>
    </row>
    <row r="757" spans="10:15" x14ac:dyDescent="0.3">
      <c r="J757" t="s">
        <v>551</v>
      </c>
      <c r="K757" s="17" t="s">
        <v>155</v>
      </c>
      <c r="L757" s="17" t="s">
        <v>155</v>
      </c>
      <c r="M757" s="17" t="s">
        <v>155</v>
      </c>
      <c r="N757" s="17" t="s">
        <v>155</v>
      </c>
      <c r="O757" s="17" t="s">
        <v>155</v>
      </c>
    </row>
    <row r="758" spans="10:15" x14ac:dyDescent="0.3">
      <c r="J758" t="s">
        <v>552</v>
      </c>
      <c r="K758" s="17" t="s">
        <v>155</v>
      </c>
      <c r="L758" s="17" t="s">
        <v>155</v>
      </c>
      <c r="M758" s="17" t="s">
        <v>155</v>
      </c>
      <c r="N758" s="17" t="s">
        <v>155</v>
      </c>
      <c r="O758" s="17" t="s">
        <v>155</v>
      </c>
    </row>
    <row r="759" spans="10:15" x14ac:dyDescent="0.3">
      <c r="J759" t="s">
        <v>553</v>
      </c>
      <c r="K759" s="17" t="s">
        <v>155</v>
      </c>
      <c r="L759" s="17" t="s">
        <v>155</v>
      </c>
      <c r="M759" s="17" t="s">
        <v>155</v>
      </c>
      <c r="N759" s="17" t="s">
        <v>155</v>
      </c>
      <c r="O759" s="17" t="s">
        <v>155</v>
      </c>
    </row>
    <row r="761" spans="10:15" x14ac:dyDescent="0.3">
      <c r="J761" t="s">
        <v>755</v>
      </c>
    </row>
    <row r="762" spans="10:15" x14ac:dyDescent="0.3">
      <c r="K762" s="17" t="s">
        <v>164</v>
      </c>
      <c r="L762" s="17" t="s">
        <v>165</v>
      </c>
      <c r="M762" s="17" t="s">
        <v>166</v>
      </c>
      <c r="N762" s="17" t="s">
        <v>167</v>
      </c>
      <c r="O762" s="17" t="s">
        <v>168</v>
      </c>
    </row>
    <row r="763" spans="10:15" x14ac:dyDescent="0.3">
      <c r="J763" t="s">
        <v>555</v>
      </c>
      <c r="K763" s="17" t="s">
        <v>155</v>
      </c>
      <c r="L763" s="17" t="s">
        <v>350</v>
      </c>
      <c r="M763" s="17" t="s">
        <v>155</v>
      </c>
      <c r="N763" s="17" t="s">
        <v>155</v>
      </c>
      <c r="O763" s="17" t="s">
        <v>350</v>
      </c>
    </row>
    <row r="764" spans="10:15" x14ac:dyDescent="0.3">
      <c r="J764" t="s">
        <v>556</v>
      </c>
      <c r="K764" s="17" t="s">
        <v>155</v>
      </c>
      <c r="L764" s="17" t="s">
        <v>350</v>
      </c>
      <c r="M764" s="17" t="s">
        <v>155</v>
      </c>
      <c r="N764" s="17" t="s">
        <v>155</v>
      </c>
      <c r="O764" s="17" t="s">
        <v>350</v>
      </c>
    </row>
    <row r="765" spans="10:15" x14ac:dyDescent="0.3">
      <c r="J765" t="s">
        <v>557</v>
      </c>
      <c r="K765" s="17" t="s">
        <v>155</v>
      </c>
      <c r="L765" s="17" t="s">
        <v>155</v>
      </c>
      <c r="M765" s="17" t="s">
        <v>155</v>
      </c>
      <c r="N765" s="17" t="s">
        <v>155</v>
      </c>
      <c r="O765" s="17" t="s">
        <v>155</v>
      </c>
    </row>
    <row r="766" spans="10:15" x14ac:dyDescent="0.3">
      <c r="J766" t="s">
        <v>158</v>
      </c>
      <c r="K766" s="17" t="s">
        <v>155</v>
      </c>
      <c r="L766" s="17" t="s">
        <v>155</v>
      </c>
      <c r="M766" s="17" t="s">
        <v>155</v>
      </c>
      <c r="N766" s="17" t="s">
        <v>155</v>
      </c>
      <c r="O766" s="17" t="s">
        <v>350</v>
      </c>
    </row>
    <row r="767" spans="10:15" x14ac:dyDescent="0.3">
      <c r="J767" t="s">
        <v>159</v>
      </c>
      <c r="K767" s="17" t="s">
        <v>155</v>
      </c>
      <c r="L767" s="17" t="s">
        <v>350</v>
      </c>
      <c r="M767" s="17" t="s">
        <v>155</v>
      </c>
      <c r="N767" s="17" t="s">
        <v>155</v>
      </c>
      <c r="O767" s="17" t="s">
        <v>350</v>
      </c>
    </row>
    <row r="768" spans="10:15" x14ac:dyDescent="0.3">
      <c r="J768" t="s">
        <v>160</v>
      </c>
      <c r="K768" s="17" t="s">
        <v>155</v>
      </c>
      <c r="L768" s="17" t="s">
        <v>350</v>
      </c>
      <c r="M768" s="17" t="s">
        <v>155</v>
      </c>
      <c r="N768" s="17" t="s">
        <v>155</v>
      </c>
      <c r="O768" s="17" t="s">
        <v>155</v>
      </c>
    </row>
    <row r="769" spans="10:15" x14ac:dyDescent="0.3">
      <c r="J769" t="s">
        <v>561</v>
      </c>
      <c r="K769" s="17" t="s">
        <v>155</v>
      </c>
      <c r="L769" s="17" t="s">
        <v>155</v>
      </c>
      <c r="M769" s="17" t="s">
        <v>155</v>
      </c>
      <c r="N769" s="17" t="s">
        <v>155</v>
      </c>
      <c r="O769" s="17" t="s">
        <v>155</v>
      </c>
    </row>
    <row r="770" spans="10:15" x14ac:dyDescent="0.3">
      <c r="J770" t="s">
        <v>562</v>
      </c>
      <c r="K770" s="17" t="s">
        <v>155</v>
      </c>
      <c r="L770" s="17" t="s">
        <v>155</v>
      </c>
      <c r="M770" s="17" t="s">
        <v>155</v>
      </c>
      <c r="N770" s="17" t="s">
        <v>155</v>
      </c>
      <c r="O770" s="17" t="s">
        <v>155</v>
      </c>
    </row>
    <row r="771" spans="10:15" x14ac:dyDescent="0.3">
      <c r="J771" t="s">
        <v>563</v>
      </c>
      <c r="K771" s="17" t="s">
        <v>155</v>
      </c>
      <c r="L771" s="17" t="s">
        <v>155</v>
      </c>
      <c r="M771" s="17" t="s">
        <v>155</v>
      </c>
      <c r="N771" s="17" t="s">
        <v>155</v>
      </c>
      <c r="O771" s="17" t="s">
        <v>155</v>
      </c>
    </row>
    <row r="772" spans="10:15" x14ac:dyDescent="0.3">
      <c r="J772" t="s">
        <v>564</v>
      </c>
      <c r="K772" s="17" t="s">
        <v>155</v>
      </c>
      <c r="L772" s="17" t="s">
        <v>155</v>
      </c>
      <c r="M772" s="17" t="s">
        <v>155</v>
      </c>
      <c r="N772" s="17" t="s">
        <v>155</v>
      </c>
      <c r="O772" s="17" t="s">
        <v>155</v>
      </c>
    </row>
    <row r="773" spans="10:15" x14ac:dyDescent="0.3">
      <c r="J773" t="s">
        <v>549</v>
      </c>
      <c r="K773" s="17" t="s">
        <v>155</v>
      </c>
      <c r="L773" s="17" t="s">
        <v>155</v>
      </c>
      <c r="M773" s="17" t="s">
        <v>155</v>
      </c>
      <c r="N773" s="17" t="s">
        <v>155</v>
      </c>
      <c r="O773" s="17" t="s">
        <v>155</v>
      </c>
    </row>
    <row r="774" spans="10:15" x14ac:dyDescent="0.3">
      <c r="J774" t="s">
        <v>550</v>
      </c>
      <c r="K774" s="17" t="s">
        <v>155</v>
      </c>
      <c r="L774" s="17" t="s">
        <v>155</v>
      </c>
      <c r="M774" s="17" t="s">
        <v>155</v>
      </c>
      <c r="N774" s="17" t="s">
        <v>155</v>
      </c>
      <c r="O774" s="17" t="s">
        <v>155</v>
      </c>
    </row>
    <row r="775" spans="10:15" x14ac:dyDescent="0.3">
      <c r="J775" t="s">
        <v>551</v>
      </c>
      <c r="K775" s="17" t="s">
        <v>155</v>
      </c>
      <c r="L775" s="17" t="s">
        <v>155</v>
      </c>
      <c r="M775" s="17" t="s">
        <v>155</v>
      </c>
      <c r="N775" s="17" t="s">
        <v>155</v>
      </c>
      <c r="O775" s="17" t="s">
        <v>155</v>
      </c>
    </row>
    <row r="776" spans="10:15" x14ac:dyDescent="0.3">
      <c r="J776" t="s">
        <v>552</v>
      </c>
      <c r="K776" s="17" t="s">
        <v>155</v>
      </c>
      <c r="L776" s="17" t="s">
        <v>155</v>
      </c>
      <c r="M776" s="17" t="s">
        <v>155</v>
      </c>
      <c r="N776" s="17" t="s">
        <v>155</v>
      </c>
      <c r="O776" s="17" t="s">
        <v>155</v>
      </c>
    </row>
    <row r="777" spans="10:15" x14ac:dyDescent="0.3">
      <c r="J777" t="s">
        <v>553</v>
      </c>
      <c r="K777" s="17" t="s">
        <v>155</v>
      </c>
      <c r="L777" s="17" t="s">
        <v>155</v>
      </c>
      <c r="M777" s="17" t="s">
        <v>155</v>
      </c>
      <c r="N777" s="17" t="s">
        <v>155</v>
      </c>
      <c r="O777" s="17" t="s">
        <v>155</v>
      </c>
    </row>
    <row r="779" spans="10:15" x14ac:dyDescent="0.3">
      <c r="J779" t="s">
        <v>756</v>
      </c>
    </row>
    <row r="780" spans="10:15" x14ac:dyDescent="0.3">
      <c r="K780" s="17" t="s">
        <v>164</v>
      </c>
      <c r="L780" s="17" t="s">
        <v>165</v>
      </c>
      <c r="M780" s="17" t="s">
        <v>166</v>
      </c>
      <c r="N780" s="17" t="s">
        <v>167</v>
      </c>
      <c r="O780" s="17" t="s">
        <v>168</v>
      </c>
    </row>
    <row r="781" spans="10:15" x14ac:dyDescent="0.3">
      <c r="J781" t="s">
        <v>555</v>
      </c>
      <c r="K781" s="17" t="s">
        <v>155</v>
      </c>
      <c r="L781" s="17" t="s">
        <v>155</v>
      </c>
      <c r="M781" s="17" t="s">
        <v>155</v>
      </c>
      <c r="N781" s="17" t="s">
        <v>155</v>
      </c>
      <c r="O781" s="17" t="s">
        <v>155</v>
      </c>
    </row>
    <row r="782" spans="10:15" x14ac:dyDescent="0.3">
      <c r="J782" t="s">
        <v>556</v>
      </c>
      <c r="K782" s="17" t="s">
        <v>155</v>
      </c>
      <c r="L782" s="17" t="s">
        <v>155</v>
      </c>
      <c r="M782" s="17" t="s">
        <v>155</v>
      </c>
      <c r="N782" s="17" t="s">
        <v>155</v>
      </c>
      <c r="O782" s="17" t="s">
        <v>155</v>
      </c>
    </row>
    <row r="783" spans="10:15" x14ac:dyDescent="0.3">
      <c r="J783" t="s">
        <v>557</v>
      </c>
      <c r="K783" s="17" t="s">
        <v>155</v>
      </c>
      <c r="L783" s="17" t="s">
        <v>155</v>
      </c>
      <c r="M783" s="17" t="s">
        <v>353</v>
      </c>
      <c r="N783" s="17" t="s">
        <v>155</v>
      </c>
      <c r="O783" s="17" t="s">
        <v>155</v>
      </c>
    </row>
    <row r="784" spans="10:15" x14ac:dyDescent="0.3">
      <c r="J784" t="s">
        <v>158</v>
      </c>
      <c r="K784" s="17" t="s">
        <v>353</v>
      </c>
      <c r="L784" s="17" t="s">
        <v>155</v>
      </c>
      <c r="M784" s="17" t="s">
        <v>353</v>
      </c>
      <c r="N784" s="17" t="s">
        <v>155</v>
      </c>
      <c r="O784" s="17" t="s">
        <v>155</v>
      </c>
    </row>
    <row r="785" spans="10:15" x14ac:dyDescent="0.3">
      <c r="J785" t="s">
        <v>159</v>
      </c>
      <c r="K785" s="17" t="s">
        <v>353</v>
      </c>
      <c r="L785" s="17" t="s">
        <v>155</v>
      </c>
      <c r="M785" s="17" t="s">
        <v>353</v>
      </c>
      <c r="N785" s="17" t="s">
        <v>155</v>
      </c>
      <c r="O785" s="17" t="s">
        <v>155</v>
      </c>
    </row>
    <row r="786" spans="10:15" x14ac:dyDescent="0.3">
      <c r="J786" t="s">
        <v>160</v>
      </c>
      <c r="K786" s="17" t="s">
        <v>353</v>
      </c>
      <c r="L786" s="17" t="s">
        <v>155</v>
      </c>
      <c r="M786" s="17" t="s">
        <v>155</v>
      </c>
      <c r="N786" s="17" t="s">
        <v>155</v>
      </c>
      <c r="O786" s="17" t="s">
        <v>155</v>
      </c>
    </row>
    <row r="787" spans="10:15" x14ac:dyDescent="0.3">
      <c r="J787" t="s">
        <v>561</v>
      </c>
      <c r="K787" s="17" t="s">
        <v>155</v>
      </c>
      <c r="L787" s="17" t="s">
        <v>155</v>
      </c>
      <c r="M787" s="17" t="s">
        <v>155</v>
      </c>
      <c r="N787" s="17" t="s">
        <v>155</v>
      </c>
      <c r="O787" s="17" t="s">
        <v>155</v>
      </c>
    </row>
    <row r="788" spans="10:15" x14ac:dyDescent="0.3">
      <c r="J788" t="s">
        <v>562</v>
      </c>
      <c r="K788" s="17" t="s">
        <v>155</v>
      </c>
      <c r="L788" s="17" t="s">
        <v>155</v>
      </c>
      <c r="M788" s="17" t="s">
        <v>155</v>
      </c>
      <c r="N788" s="17" t="s">
        <v>155</v>
      </c>
      <c r="O788" s="17" t="s">
        <v>155</v>
      </c>
    </row>
    <row r="789" spans="10:15" x14ac:dyDescent="0.3">
      <c r="J789" t="s">
        <v>563</v>
      </c>
      <c r="K789" s="17" t="s">
        <v>155</v>
      </c>
      <c r="L789" s="17" t="s">
        <v>155</v>
      </c>
      <c r="M789" s="17" t="s">
        <v>155</v>
      </c>
      <c r="N789" s="17" t="s">
        <v>155</v>
      </c>
      <c r="O789" s="17" t="s">
        <v>155</v>
      </c>
    </row>
    <row r="790" spans="10:15" x14ac:dyDescent="0.3">
      <c r="J790" t="s">
        <v>564</v>
      </c>
      <c r="K790" s="17" t="s">
        <v>155</v>
      </c>
      <c r="L790" s="17" t="s">
        <v>155</v>
      </c>
      <c r="M790" s="17" t="s">
        <v>155</v>
      </c>
      <c r="N790" s="17" t="s">
        <v>155</v>
      </c>
      <c r="O790" s="17" t="s">
        <v>155</v>
      </c>
    </row>
    <row r="791" spans="10:15" x14ac:dyDescent="0.3">
      <c r="J791" t="s">
        <v>549</v>
      </c>
      <c r="K791" s="17" t="s">
        <v>155</v>
      </c>
      <c r="L791" s="17" t="s">
        <v>155</v>
      </c>
      <c r="M791" s="17" t="s">
        <v>155</v>
      </c>
      <c r="N791" s="17" t="s">
        <v>155</v>
      </c>
      <c r="O791" s="17" t="s">
        <v>155</v>
      </c>
    </row>
    <row r="792" spans="10:15" x14ac:dyDescent="0.3">
      <c r="J792" t="s">
        <v>550</v>
      </c>
      <c r="K792" s="17" t="s">
        <v>155</v>
      </c>
      <c r="L792" s="17" t="s">
        <v>155</v>
      </c>
      <c r="M792" s="17" t="s">
        <v>155</v>
      </c>
      <c r="N792" s="17" t="s">
        <v>155</v>
      </c>
      <c r="O792" s="17" t="s">
        <v>155</v>
      </c>
    </row>
    <row r="793" spans="10:15" x14ac:dyDescent="0.3">
      <c r="J793" t="s">
        <v>551</v>
      </c>
      <c r="K793" s="17" t="s">
        <v>155</v>
      </c>
      <c r="L793" s="17" t="s">
        <v>155</v>
      </c>
      <c r="M793" s="17" t="s">
        <v>155</v>
      </c>
      <c r="N793" s="17" t="s">
        <v>155</v>
      </c>
      <c r="O793" s="17" t="s">
        <v>155</v>
      </c>
    </row>
    <row r="794" spans="10:15" x14ac:dyDescent="0.3">
      <c r="J794" t="s">
        <v>552</v>
      </c>
      <c r="K794" s="17" t="s">
        <v>155</v>
      </c>
      <c r="L794" s="17" t="s">
        <v>155</v>
      </c>
      <c r="M794" s="17" t="s">
        <v>155</v>
      </c>
      <c r="N794" s="17" t="s">
        <v>155</v>
      </c>
      <c r="O794" s="17" t="s">
        <v>155</v>
      </c>
    </row>
    <row r="795" spans="10:15" x14ac:dyDescent="0.3">
      <c r="J795" t="s">
        <v>553</v>
      </c>
      <c r="K795" s="17" t="s">
        <v>155</v>
      </c>
      <c r="L795" s="17" t="s">
        <v>155</v>
      </c>
      <c r="M795" s="17" t="s">
        <v>155</v>
      </c>
      <c r="N795" s="17" t="s">
        <v>155</v>
      </c>
      <c r="O795" s="17" t="s">
        <v>155</v>
      </c>
    </row>
    <row r="797" spans="10:15" x14ac:dyDescent="0.3">
      <c r="J797" t="s">
        <v>757</v>
      </c>
    </row>
    <row r="798" spans="10:15" x14ac:dyDescent="0.3">
      <c r="K798" s="17" t="s">
        <v>164</v>
      </c>
      <c r="L798" s="17" t="s">
        <v>165</v>
      </c>
      <c r="M798" s="17" t="s">
        <v>166</v>
      </c>
      <c r="N798" s="17" t="s">
        <v>167</v>
      </c>
      <c r="O798" s="17" t="s">
        <v>168</v>
      </c>
    </row>
    <row r="799" spans="10:15" x14ac:dyDescent="0.3">
      <c r="J799" t="s">
        <v>555</v>
      </c>
      <c r="K799" s="17" t="s">
        <v>155</v>
      </c>
      <c r="L799" s="17" t="s">
        <v>356</v>
      </c>
      <c r="M799" s="17" t="s">
        <v>155</v>
      </c>
      <c r="N799" s="17" t="s">
        <v>356</v>
      </c>
      <c r="O799" s="17" t="s">
        <v>155</v>
      </c>
    </row>
    <row r="800" spans="10:15" x14ac:dyDescent="0.3">
      <c r="J800" t="s">
        <v>556</v>
      </c>
      <c r="K800" s="17" t="s">
        <v>155</v>
      </c>
      <c r="L800" s="17" t="s">
        <v>356</v>
      </c>
      <c r="M800" s="17" t="s">
        <v>155</v>
      </c>
      <c r="N800" s="17" t="s">
        <v>356</v>
      </c>
      <c r="O800" s="17" t="s">
        <v>155</v>
      </c>
    </row>
    <row r="801" spans="10:15" x14ac:dyDescent="0.3">
      <c r="J801" t="s">
        <v>557</v>
      </c>
      <c r="K801" s="17" t="s">
        <v>155</v>
      </c>
      <c r="L801" s="17" t="s">
        <v>155</v>
      </c>
      <c r="M801" s="17" t="s">
        <v>155</v>
      </c>
      <c r="N801" s="17" t="s">
        <v>356</v>
      </c>
      <c r="O801" s="17" t="s">
        <v>155</v>
      </c>
    </row>
    <row r="802" spans="10:15" x14ac:dyDescent="0.3">
      <c r="J802" t="s">
        <v>158</v>
      </c>
      <c r="K802" s="17" t="s">
        <v>155</v>
      </c>
      <c r="L802" s="17" t="s">
        <v>155</v>
      </c>
      <c r="M802" s="17" t="s">
        <v>155</v>
      </c>
      <c r="N802" s="17" t="s">
        <v>155</v>
      </c>
      <c r="O802" s="17" t="s">
        <v>155</v>
      </c>
    </row>
    <row r="803" spans="10:15" x14ac:dyDescent="0.3">
      <c r="J803" t="s">
        <v>159</v>
      </c>
      <c r="K803" s="17" t="s">
        <v>155</v>
      </c>
      <c r="L803" s="17" t="s">
        <v>155</v>
      </c>
      <c r="M803" s="17" t="s">
        <v>155</v>
      </c>
      <c r="N803" s="17" t="s">
        <v>155</v>
      </c>
      <c r="O803" s="17" t="s">
        <v>155</v>
      </c>
    </row>
    <row r="804" spans="10:15" x14ac:dyDescent="0.3">
      <c r="J804" t="s">
        <v>160</v>
      </c>
      <c r="K804" s="17" t="s">
        <v>155</v>
      </c>
      <c r="L804" s="17" t="s">
        <v>155</v>
      </c>
      <c r="M804" s="17" t="s">
        <v>155</v>
      </c>
      <c r="N804" s="17" t="s">
        <v>155</v>
      </c>
      <c r="O804" s="17" t="s">
        <v>155</v>
      </c>
    </row>
    <row r="805" spans="10:15" x14ac:dyDescent="0.3">
      <c r="J805" t="s">
        <v>561</v>
      </c>
      <c r="K805" s="17" t="s">
        <v>155</v>
      </c>
      <c r="L805" s="17" t="s">
        <v>155</v>
      </c>
      <c r="M805" s="17" t="s">
        <v>155</v>
      </c>
      <c r="N805" s="17" t="s">
        <v>155</v>
      </c>
      <c r="O805" s="17" t="s">
        <v>155</v>
      </c>
    </row>
    <row r="806" spans="10:15" x14ac:dyDescent="0.3">
      <c r="J806" t="s">
        <v>562</v>
      </c>
      <c r="K806" s="17" t="s">
        <v>155</v>
      </c>
      <c r="L806" s="17" t="s">
        <v>155</v>
      </c>
      <c r="M806" s="17" t="s">
        <v>155</v>
      </c>
      <c r="N806" s="17" t="s">
        <v>155</v>
      </c>
      <c r="O806" s="17" t="s">
        <v>155</v>
      </c>
    </row>
    <row r="807" spans="10:15" x14ac:dyDescent="0.3">
      <c r="J807" t="s">
        <v>563</v>
      </c>
      <c r="K807" s="17" t="s">
        <v>155</v>
      </c>
      <c r="L807" s="17" t="s">
        <v>155</v>
      </c>
      <c r="M807" s="17" t="s">
        <v>155</v>
      </c>
      <c r="N807" s="17" t="s">
        <v>155</v>
      </c>
      <c r="O807" s="17" t="s">
        <v>155</v>
      </c>
    </row>
    <row r="808" spans="10:15" x14ac:dyDescent="0.3">
      <c r="J808" t="s">
        <v>564</v>
      </c>
      <c r="K808" s="17" t="s">
        <v>155</v>
      </c>
      <c r="L808" s="17" t="s">
        <v>155</v>
      </c>
      <c r="M808" s="17" t="s">
        <v>155</v>
      </c>
      <c r="N808" s="17" t="s">
        <v>155</v>
      </c>
      <c r="O808" s="17" t="s">
        <v>155</v>
      </c>
    </row>
    <row r="809" spans="10:15" x14ac:dyDescent="0.3">
      <c r="J809" t="s">
        <v>549</v>
      </c>
      <c r="K809" s="17" t="s">
        <v>155</v>
      </c>
      <c r="L809" s="17" t="s">
        <v>155</v>
      </c>
      <c r="M809" s="17" t="s">
        <v>155</v>
      </c>
      <c r="N809" s="17" t="s">
        <v>155</v>
      </c>
      <c r="O809" s="17" t="s">
        <v>155</v>
      </c>
    </row>
    <row r="810" spans="10:15" x14ac:dyDescent="0.3">
      <c r="J810" t="s">
        <v>550</v>
      </c>
      <c r="K810" s="17" t="s">
        <v>155</v>
      </c>
      <c r="L810" s="17" t="s">
        <v>155</v>
      </c>
      <c r="M810" s="17" t="s">
        <v>155</v>
      </c>
      <c r="N810" s="17" t="s">
        <v>155</v>
      </c>
      <c r="O810" s="17" t="s">
        <v>155</v>
      </c>
    </row>
    <row r="811" spans="10:15" x14ac:dyDescent="0.3">
      <c r="J811" t="s">
        <v>551</v>
      </c>
      <c r="K811" s="17" t="s">
        <v>155</v>
      </c>
      <c r="L811" s="17" t="s">
        <v>155</v>
      </c>
      <c r="M811" s="17" t="s">
        <v>155</v>
      </c>
      <c r="N811" s="17" t="s">
        <v>155</v>
      </c>
      <c r="O811" s="17" t="s">
        <v>155</v>
      </c>
    </row>
    <row r="812" spans="10:15" x14ac:dyDescent="0.3">
      <c r="J812" t="s">
        <v>552</v>
      </c>
      <c r="K812" s="17" t="s">
        <v>155</v>
      </c>
      <c r="L812" s="17" t="s">
        <v>155</v>
      </c>
      <c r="M812" s="17" t="s">
        <v>155</v>
      </c>
      <c r="N812" s="17" t="s">
        <v>155</v>
      </c>
      <c r="O812" s="17" t="s">
        <v>155</v>
      </c>
    </row>
    <row r="813" spans="10:15" x14ac:dyDescent="0.3">
      <c r="J813" t="s">
        <v>553</v>
      </c>
      <c r="K813" s="17" t="s">
        <v>155</v>
      </c>
      <c r="L813" s="17" t="s">
        <v>155</v>
      </c>
      <c r="M813" s="17" t="s">
        <v>155</v>
      </c>
      <c r="N813" s="17" t="s">
        <v>155</v>
      </c>
      <c r="O813" s="17" t="s">
        <v>155</v>
      </c>
    </row>
    <row r="815" spans="10:15" x14ac:dyDescent="0.3">
      <c r="J815" t="s">
        <v>758</v>
      </c>
    </row>
    <row r="816" spans="10:15" x14ac:dyDescent="0.3">
      <c r="K816" s="17" t="s">
        <v>164</v>
      </c>
      <c r="L816" s="17" t="s">
        <v>165</v>
      </c>
      <c r="M816" s="17" t="s">
        <v>166</v>
      </c>
      <c r="N816" s="17" t="s">
        <v>167</v>
      </c>
      <c r="O816" s="17" t="s">
        <v>168</v>
      </c>
    </row>
    <row r="817" spans="10:15" x14ac:dyDescent="0.3">
      <c r="J817" t="s">
        <v>555</v>
      </c>
      <c r="K817" s="17" t="s">
        <v>259</v>
      </c>
      <c r="L817" s="17" t="s">
        <v>155</v>
      </c>
      <c r="M817" s="17" t="s">
        <v>155</v>
      </c>
      <c r="N817" s="17" t="s">
        <v>155</v>
      </c>
      <c r="O817" s="17" t="s">
        <v>155</v>
      </c>
    </row>
    <row r="818" spans="10:15" x14ac:dyDescent="0.3">
      <c r="J818" t="s">
        <v>556</v>
      </c>
      <c r="K818" s="17" t="s">
        <v>259</v>
      </c>
      <c r="L818" s="17" t="s">
        <v>155</v>
      </c>
      <c r="M818" s="17" t="s">
        <v>155</v>
      </c>
      <c r="N818" s="17" t="s">
        <v>155</v>
      </c>
      <c r="O818" s="17" t="s">
        <v>155</v>
      </c>
    </row>
    <row r="819" spans="10:15" x14ac:dyDescent="0.3">
      <c r="J819" t="s">
        <v>557</v>
      </c>
      <c r="K819" s="17" t="s">
        <v>259</v>
      </c>
      <c r="L819" s="17" t="s">
        <v>155</v>
      </c>
      <c r="M819" s="17" t="s">
        <v>155</v>
      </c>
      <c r="N819" s="17" t="s">
        <v>155</v>
      </c>
      <c r="O819" s="17" t="s">
        <v>155</v>
      </c>
    </row>
    <row r="820" spans="10:15" x14ac:dyDescent="0.3">
      <c r="J820" t="s">
        <v>158</v>
      </c>
      <c r="K820" s="17" t="s">
        <v>155</v>
      </c>
      <c r="L820" s="17" t="s">
        <v>155</v>
      </c>
      <c r="M820" s="17" t="s">
        <v>155</v>
      </c>
      <c r="N820" s="17" t="s">
        <v>259</v>
      </c>
      <c r="O820" s="17" t="s">
        <v>155</v>
      </c>
    </row>
    <row r="821" spans="10:15" x14ac:dyDescent="0.3">
      <c r="J821" t="s">
        <v>159</v>
      </c>
      <c r="K821" s="17" t="s">
        <v>155</v>
      </c>
      <c r="L821" s="17" t="s">
        <v>155</v>
      </c>
      <c r="M821" s="17" t="s">
        <v>155</v>
      </c>
      <c r="N821" s="17" t="s">
        <v>259</v>
      </c>
      <c r="O821" s="17" t="s">
        <v>155</v>
      </c>
    </row>
    <row r="822" spans="10:15" x14ac:dyDescent="0.3">
      <c r="J822" t="s">
        <v>160</v>
      </c>
      <c r="K822" s="17" t="s">
        <v>155</v>
      </c>
      <c r="L822" s="17" t="s">
        <v>155</v>
      </c>
      <c r="M822" s="17" t="s">
        <v>155</v>
      </c>
      <c r="N822" s="17" t="s">
        <v>155</v>
      </c>
      <c r="O822" s="17" t="s">
        <v>155</v>
      </c>
    </row>
    <row r="823" spans="10:15" x14ac:dyDescent="0.3">
      <c r="J823" t="s">
        <v>561</v>
      </c>
      <c r="K823" s="17" t="s">
        <v>155</v>
      </c>
      <c r="L823" s="17" t="s">
        <v>155</v>
      </c>
      <c r="M823" s="17" t="s">
        <v>155</v>
      </c>
      <c r="N823" s="17" t="s">
        <v>155</v>
      </c>
      <c r="O823" s="17" t="s">
        <v>155</v>
      </c>
    </row>
    <row r="824" spans="10:15" x14ac:dyDescent="0.3">
      <c r="J824" t="s">
        <v>562</v>
      </c>
      <c r="K824" s="17" t="s">
        <v>155</v>
      </c>
      <c r="L824" s="17" t="s">
        <v>155</v>
      </c>
      <c r="M824" s="17" t="s">
        <v>155</v>
      </c>
      <c r="N824" s="17" t="s">
        <v>155</v>
      </c>
      <c r="O824" s="17" t="s">
        <v>155</v>
      </c>
    </row>
    <row r="825" spans="10:15" x14ac:dyDescent="0.3">
      <c r="J825" t="s">
        <v>563</v>
      </c>
      <c r="K825" s="17" t="s">
        <v>155</v>
      </c>
      <c r="L825" s="17" t="s">
        <v>155</v>
      </c>
      <c r="M825" s="17" t="s">
        <v>155</v>
      </c>
      <c r="N825" s="17" t="s">
        <v>155</v>
      </c>
      <c r="O825" s="17" t="s">
        <v>155</v>
      </c>
    </row>
    <row r="826" spans="10:15" x14ac:dyDescent="0.3">
      <c r="J826" t="s">
        <v>564</v>
      </c>
      <c r="K826" s="17" t="s">
        <v>155</v>
      </c>
      <c r="L826" s="17" t="s">
        <v>155</v>
      </c>
      <c r="M826" s="17" t="s">
        <v>155</v>
      </c>
      <c r="N826" s="17" t="s">
        <v>155</v>
      </c>
      <c r="O826" s="17" t="s">
        <v>155</v>
      </c>
    </row>
    <row r="827" spans="10:15" x14ac:dyDescent="0.3">
      <c r="J827" t="s">
        <v>549</v>
      </c>
      <c r="K827" s="17" t="s">
        <v>155</v>
      </c>
      <c r="L827" s="17" t="s">
        <v>155</v>
      </c>
      <c r="M827" s="17" t="s">
        <v>155</v>
      </c>
      <c r="N827" s="17" t="s">
        <v>155</v>
      </c>
      <c r="O827" s="17" t="s">
        <v>155</v>
      </c>
    </row>
    <row r="828" spans="10:15" x14ac:dyDescent="0.3">
      <c r="J828" t="s">
        <v>550</v>
      </c>
      <c r="K828" s="17" t="s">
        <v>155</v>
      </c>
      <c r="L828" s="17" t="s">
        <v>155</v>
      </c>
      <c r="M828" s="17" t="s">
        <v>155</v>
      </c>
      <c r="N828" s="17" t="s">
        <v>155</v>
      </c>
      <c r="O828" s="17" t="s">
        <v>155</v>
      </c>
    </row>
    <row r="829" spans="10:15" x14ac:dyDescent="0.3">
      <c r="J829" t="s">
        <v>551</v>
      </c>
      <c r="K829" s="17" t="s">
        <v>155</v>
      </c>
      <c r="L829" s="17" t="s">
        <v>155</v>
      </c>
      <c r="M829" s="17" t="s">
        <v>155</v>
      </c>
      <c r="N829" s="17" t="s">
        <v>155</v>
      </c>
      <c r="O829" s="17" t="s">
        <v>155</v>
      </c>
    </row>
    <row r="830" spans="10:15" x14ac:dyDescent="0.3">
      <c r="J830" t="s">
        <v>552</v>
      </c>
      <c r="K830" s="17" t="s">
        <v>155</v>
      </c>
      <c r="L830" s="17" t="s">
        <v>155</v>
      </c>
      <c r="M830" s="17" t="s">
        <v>155</v>
      </c>
      <c r="N830" s="17" t="s">
        <v>155</v>
      </c>
      <c r="O830" s="17" t="s">
        <v>155</v>
      </c>
    </row>
    <row r="831" spans="10:15" x14ac:dyDescent="0.3">
      <c r="J831" t="s">
        <v>553</v>
      </c>
      <c r="K831" s="17" t="s">
        <v>155</v>
      </c>
      <c r="L831" s="17" t="s">
        <v>155</v>
      </c>
      <c r="M831" s="17" t="s">
        <v>155</v>
      </c>
      <c r="N831" s="17" t="s">
        <v>155</v>
      </c>
      <c r="O831" s="17" t="s">
        <v>155</v>
      </c>
    </row>
    <row r="833" spans="10:15" x14ac:dyDescent="0.3">
      <c r="J833" t="s">
        <v>759</v>
      </c>
    </row>
    <row r="834" spans="10:15" x14ac:dyDescent="0.3">
      <c r="K834" s="17" t="s">
        <v>164</v>
      </c>
      <c r="L834" s="17" t="s">
        <v>165</v>
      </c>
      <c r="M834" s="17" t="s">
        <v>166</v>
      </c>
      <c r="N834" s="17" t="s">
        <v>167</v>
      </c>
      <c r="O834" s="17" t="s">
        <v>168</v>
      </c>
    </row>
    <row r="835" spans="10:15" x14ac:dyDescent="0.3">
      <c r="J835" t="s">
        <v>555</v>
      </c>
      <c r="K835" s="17" t="s">
        <v>259</v>
      </c>
      <c r="L835" s="17" t="s">
        <v>155</v>
      </c>
      <c r="M835" s="17" t="s">
        <v>155</v>
      </c>
      <c r="N835" s="17" t="s">
        <v>259</v>
      </c>
      <c r="O835" s="17" t="s">
        <v>155</v>
      </c>
    </row>
    <row r="836" spans="10:15" x14ac:dyDescent="0.3">
      <c r="J836" t="s">
        <v>556</v>
      </c>
      <c r="K836" s="17" t="s">
        <v>259</v>
      </c>
      <c r="L836" s="17" t="s">
        <v>155</v>
      </c>
      <c r="M836" s="17" t="s">
        <v>155</v>
      </c>
      <c r="N836" s="17" t="s">
        <v>259</v>
      </c>
      <c r="O836" s="17" t="s">
        <v>155</v>
      </c>
    </row>
    <row r="837" spans="10:15" x14ac:dyDescent="0.3">
      <c r="J837" t="s">
        <v>557</v>
      </c>
      <c r="K837" s="17" t="s">
        <v>259</v>
      </c>
      <c r="L837" s="17" t="s">
        <v>155</v>
      </c>
      <c r="M837" s="17" t="s">
        <v>155</v>
      </c>
      <c r="N837" s="17" t="s">
        <v>155</v>
      </c>
      <c r="O837" s="17" t="s">
        <v>155</v>
      </c>
    </row>
    <row r="838" spans="10:15" x14ac:dyDescent="0.3">
      <c r="J838" t="s">
        <v>158</v>
      </c>
      <c r="K838" s="17" t="s">
        <v>155</v>
      </c>
      <c r="L838" s="17" t="s">
        <v>155</v>
      </c>
      <c r="M838" s="17" t="s">
        <v>155</v>
      </c>
      <c r="N838" s="17" t="s">
        <v>155</v>
      </c>
      <c r="O838" s="17" t="s">
        <v>155</v>
      </c>
    </row>
    <row r="839" spans="10:15" x14ac:dyDescent="0.3">
      <c r="J839" t="s">
        <v>159</v>
      </c>
      <c r="K839" s="17" t="s">
        <v>155</v>
      </c>
      <c r="L839" s="17" t="s">
        <v>155</v>
      </c>
      <c r="M839" s="17" t="s">
        <v>155</v>
      </c>
      <c r="N839" s="17" t="s">
        <v>155</v>
      </c>
      <c r="O839" s="17" t="s">
        <v>155</v>
      </c>
    </row>
    <row r="840" spans="10:15" x14ac:dyDescent="0.3">
      <c r="J840" t="s">
        <v>160</v>
      </c>
      <c r="K840" s="17" t="s">
        <v>155</v>
      </c>
      <c r="L840" s="17" t="s">
        <v>155</v>
      </c>
      <c r="M840" s="17" t="s">
        <v>155</v>
      </c>
      <c r="N840" s="17" t="s">
        <v>155</v>
      </c>
      <c r="O840" s="17" t="s">
        <v>155</v>
      </c>
    </row>
    <row r="841" spans="10:15" x14ac:dyDescent="0.3">
      <c r="J841" t="s">
        <v>561</v>
      </c>
      <c r="K841" s="17" t="s">
        <v>155</v>
      </c>
      <c r="L841" s="17" t="s">
        <v>155</v>
      </c>
      <c r="M841" s="17" t="s">
        <v>155</v>
      </c>
      <c r="N841" s="17" t="s">
        <v>155</v>
      </c>
      <c r="O841" s="17" t="s">
        <v>155</v>
      </c>
    </row>
    <row r="842" spans="10:15" x14ac:dyDescent="0.3">
      <c r="J842" t="s">
        <v>562</v>
      </c>
      <c r="K842" s="17" t="s">
        <v>155</v>
      </c>
      <c r="L842" s="17" t="s">
        <v>155</v>
      </c>
      <c r="M842" s="17" t="s">
        <v>155</v>
      </c>
      <c r="N842" s="17" t="s">
        <v>155</v>
      </c>
      <c r="O842" s="17" t="s">
        <v>155</v>
      </c>
    </row>
    <row r="843" spans="10:15" x14ac:dyDescent="0.3">
      <c r="J843" t="s">
        <v>563</v>
      </c>
      <c r="K843" s="17" t="s">
        <v>155</v>
      </c>
      <c r="L843" s="17" t="s">
        <v>155</v>
      </c>
      <c r="M843" s="17" t="s">
        <v>155</v>
      </c>
      <c r="N843" s="17" t="s">
        <v>155</v>
      </c>
      <c r="O843" s="17" t="s">
        <v>155</v>
      </c>
    </row>
    <row r="844" spans="10:15" x14ac:dyDescent="0.3">
      <c r="J844" t="s">
        <v>564</v>
      </c>
      <c r="K844" s="17" t="s">
        <v>155</v>
      </c>
      <c r="L844" s="17" t="s">
        <v>155</v>
      </c>
      <c r="M844" s="17" t="s">
        <v>155</v>
      </c>
      <c r="N844" s="17" t="s">
        <v>155</v>
      </c>
      <c r="O844" s="17" t="s">
        <v>155</v>
      </c>
    </row>
    <row r="845" spans="10:15" x14ac:dyDescent="0.3">
      <c r="J845" t="s">
        <v>549</v>
      </c>
      <c r="K845" s="17" t="s">
        <v>155</v>
      </c>
      <c r="L845" s="17" t="s">
        <v>155</v>
      </c>
      <c r="M845" s="17" t="s">
        <v>155</v>
      </c>
      <c r="N845" s="17" t="s">
        <v>155</v>
      </c>
      <c r="O845" s="17" t="s">
        <v>155</v>
      </c>
    </row>
    <row r="846" spans="10:15" x14ac:dyDescent="0.3">
      <c r="J846" t="s">
        <v>550</v>
      </c>
      <c r="K846" s="17" t="s">
        <v>155</v>
      </c>
      <c r="L846" s="17" t="s">
        <v>155</v>
      </c>
      <c r="M846" s="17" t="s">
        <v>155</v>
      </c>
      <c r="N846" s="17" t="s">
        <v>155</v>
      </c>
      <c r="O846" s="17" t="s">
        <v>155</v>
      </c>
    </row>
    <row r="847" spans="10:15" x14ac:dyDescent="0.3">
      <c r="J847" t="s">
        <v>551</v>
      </c>
      <c r="K847" s="17" t="s">
        <v>155</v>
      </c>
      <c r="L847" s="17" t="s">
        <v>155</v>
      </c>
      <c r="M847" s="17" t="s">
        <v>155</v>
      </c>
      <c r="N847" s="17" t="s">
        <v>155</v>
      </c>
      <c r="O847" s="17" t="s">
        <v>155</v>
      </c>
    </row>
    <row r="848" spans="10:15" x14ac:dyDescent="0.3">
      <c r="J848" t="s">
        <v>552</v>
      </c>
      <c r="K848" s="17" t="s">
        <v>155</v>
      </c>
      <c r="L848" s="17" t="s">
        <v>155</v>
      </c>
      <c r="M848" s="17" t="s">
        <v>155</v>
      </c>
      <c r="N848" s="17" t="s">
        <v>155</v>
      </c>
      <c r="O848" s="17" t="s">
        <v>155</v>
      </c>
    </row>
    <row r="849" spans="10:15" x14ac:dyDescent="0.3">
      <c r="J849" t="s">
        <v>553</v>
      </c>
      <c r="K849" s="17" t="s">
        <v>155</v>
      </c>
      <c r="L849" s="17" t="s">
        <v>155</v>
      </c>
      <c r="M849" s="17" t="s">
        <v>155</v>
      </c>
      <c r="N849" s="17" t="s">
        <v>155</v>
      </c>
      <c r="O849" s="17" t="s">
        <v>155</v>
      </c>
    </row>
    <row r="851" spans="10:15" x14ac:dyDescent="0.3">
      <c r="J851" t="s">
        <v>760</v>
      </c>
    </row>
    <row r="852" spans="10:15" x14ac:dyDescent="0.3">
      <c r="K852" s="17" t="s">
        <v>164</v>
      </c>
      <c r="L852" s="17" t="s">
        <v>165</v>
      </c>
      <c r="M852" s="17" t="s">
        <v>166</v>
      </c>
      <c r="N852" s="17" t="s">
        <v>167</v>
      </c>
      <c r="O852" s="17" t="s">
        <v>168</v>
      </c>
    </row>
    <row r="853" spans="10:15" x14ac:dyDescent="0.3">
      <c r="J853" t="s">
        <v>555</v>
      </c>
      <c r="K853" s="17" t="s">
        <v>155</v>
      </c>
      <c r="L853" s="17" t="s">
        <v>155</v>
      </c>
      <c r="M853" s="17" t="s">
        <v>155</v>
      </c>
      <c r="N853" s="17" t="s">
        <v>155</v>
      </c>
      <c r="O853" s="17" t="s">
        <v>359</v>
      </c>
    </row>
    <row r="854" spans="10:15" x14ac:dyDescent="0.3">
      <c r="J854" t="s">
        <v>556</v>
      </c>
      <c r="K854" s="17" t="s">
        <v>155</v>
      </c>
      <c r="L854" s="17" t="s">
        <v>155</v>
      </c>
      <c r="M854" s="17" t="s">
        <v>155</v>
      </c>
      <c r="N854" s="17" t="s">
        <v>155</v>
      </c>
      <c r="O854" s="17" t="s">
        <v>359</v>
      </c>
    </row>
    <row r="855" spans="10:15" x14ac:dyDescent="0.3">
      <c r="J855" t="s">
        <v>557</v>
      </c>
      <c r="K855" s="17" t="s">
        <v>155</v>
      </c>
      <c r="L855" s="17" t="s">
        <v>155</v>
      </c>
      <c r="M855" s="17" t="s">
        <v>155</v>
      </c>
      <c r="N855" s="17" t="s">
        <v>155</v>
      </c>
      <c r="O855" s="17" t="s">
        <v>359</v>
      </c>
    </row>
    <row r="856" spans="10:15" x14ac:dyDescent="0.3">
      <c r="J856" t="s">
        <v>158</v>
      </c>
      <c r="K856" s="17" t="s">
        <v>155</v>
      </c>
      <c r="L856" s="17" t="s">
        <v>155</v>
      </c>
      <c r="M856" s="17" t="s">
        <v>155</v>
      </c>
      <c r="N856" s="17" t="s">
        <v>155</v>
      </c>
      <c r="O856" s="17" t="s">
        <v>155</v>
      </c>
    </row>
    <row r="857" spans="10:15" x14ac:dyDescent="0.3">
      <c r="J857" t="s">
        <v>159</v>
      </c>
      <c r="K857" s="17" t="s">
        <v>155</v>
      </c>
      <c r="L857" s="17" t="s">
        <v>155</v>
      </c>
      <c r="M857" s="17" t="s">
        <v>155</v>
      </c>
      <c r="N857" s="17" t="s">
        <v>155</v>
      </c>
      <c r="O857" s="17" t="s">
        <v>155</v>
      </c>
    </row>
    <row r="858" spans="10:15" x14ac:dyDescent="0.3">
      <c r="J858" t="s">
        <v>160</v>
      </c>
      <c r="K858" s="17" t="s">
        <v>155</v>
      </c>
      <c r="L858" s="17" t="s">
        <v>155</v>
      </c>
      <c r="M858" s="17" t="s">
        <v>155</v>
      </c>
      <c r="N858" s="17" t="s">
        <v>155</v>
      </c>
      <c r="O858" s="17" t="s">
        <v>155</v>
      </c>
    </row>
    <row r="859" spans="10:15" x14ac:dyDescent="0.3">
      <c r="J859" t="s">
        <v>561</v>
      </c>
      <c r="K859" s="17" t="s">
        <v>155</v>
      </c>
      <c r="L859" s="17" t="s">
        <v>155</v>
      </c>
      <c r="M859" s="17" t="s">
        <v>155</v>
      </c>
      <c r="N859" s="17" t="s">
        <v>155</v>
      </c>
      <c r="O859" s="17" t="s">
        <v>155</v>
      </c>
    </row>
    <row r="860" spans="10:15" x14ac:dyDescent="0.3">
      <c r="J860" t="s">
        <v>562</v>
      </c>
      <c r="K860" s="17" t="s">
        <v>155</v>
      </c>
      <c r="L860" s="17" t="s">
        <v>155</v>
      </c>
      <c r="M860" s="17" t="s">
        <v>155</v>
      </c>
      <c r="N860" s="17" t="s">
        <v>155</v>
      </c>
      <c r="O860" s="17" t="s">
        <v>155</v>
      </c>
    </row>
    <row r="861" spans="10:15" x14ac:dyDescent="0.3">
      <c r="J861" t="s">
        <v>563</v>
      </c>
      <c r="K861" s="17" t="s">
        <v>155</v>
      </c>
      <c r="L861" s="17" t="s">
        <v>155</v>
      </c>
      <c r="M861" s="17" t="s">
        <v>155</v>
      </c>
      <c r="N861" s="17" t="s">
        <v>155</v>
      </c>
      <c r="O861" s="17" t="s">
        <v>155</v>
      </c>
    </row>
    <row r="862" spans="10:15" x14ac:dyDescent="0.3">
      <c r="J862" t="s">
        <v>564</v>
      </c>
      <c r="K862" s="17" t="s">
        <v>155</v>
      </c>
      <c r="L862" s="17" t="s">
        <v>155</v>
      </c>
      <c r="M862" s="17" t="s">
        <v>155</v>
      </c>
      <c r="N862" s="17" t="s">
        <v>155</v>
      </c>
      <c r="O862" s="17" t="s">
        <v>155</v>
      </c>
    </row>
    <row r="863" spans="10:15" x14ac:dyDescent="0.3">
      <c r="J863" t="s">
        <v>549</v>
      </c>
      <c r="K863" s="17" t="s">
        <v>155</v>
      </c>
      <c r="L863" s="17" t="s">
        <v>155</v>
      </c>
      <c r="M863" s="17" t="s">
        <v>155</v>
      </c>
      <c r="N863" s="17" t="s">
        <v>155</v>
      </c>
      <c r="O863" s="17" t="s">
        <v>155</v>
      </c>
    </row>
    <row r="864" spans="10:15" x14ac:dyDescent="0.3">
      <c r="J864" t="s">
        <v>550</v>
      </c>
      <c r="K864" s="17" t="s">
        <v>155</v>
      </c>
      <c r="L864" s="17" t="s">
        <v>155</v>
      </c>
      <c r="M864" s="17" t="s">
        <v>155</v>
      </c>
      <c r="N864" s="17" t="s">
        <v>155</v>
      </c>
      <c r="O864" s="17" t="s">
        <v>155</v>
      </c>
    </row>
    <row r="865" spans="10:15" x14ac:dyDescent="0.3">
      <c r="J865" t="s">
        <v>551</v>
      </c>
      <c r="K865" s="17" t="s">
        <v>155</v>
      </c>
      <c r="L865" s="17" t="s">
        <v>155</v>
      </c>
      <c r="M865" s="17" t="s">
        <v>155</v>
      </c>
      <c r="N865" s="17" t="s">
        <v>155</v>
      </c>
      <c r="O865" s="17" t="s">
        <v>155</v>
      </c>
    </row>
    <row r="866" spans="10:15" x14ac:dyDescent="0.3">
      <c r="J866" t="s">
        <v>552</v>
      </c>
      <c r="K866" s="17" t="s">
        <v>155</v>
      </c>
      <c r="L866" s="17" t="s">
        <v>155</v>
      </c>
      <c r="M866" s="17" t="s">
        <v>155</v>
      </c>
      <c r="N866" s="17" t="s">
        <v>155</v>
      </c>
      <c r="O866" s="17" t="s">
        <v>155</v>
      </c>
    </row>
    <row r="867" spans="10:15" x14ac:dyDescent="0.3">
      <c r="J867" t="s">
        <v>553</v>
      </c>
      <c r="K867" s="17" t="s">
        <v>155</v>
      </c>
      <c r="L867" s="17" t="s">
        <v>155</v>
      </c>
      <c r="M867" s="17" t="s">
        <v>155</v>
      </c>
      <c r="N867" s="17" t="s">
        <v>155</v>
      </c>
      <c r="O867" s="17" t="s">
        <v>155</v>
      </c>
    </row>
    <row r="869" spans="10:15" x14ac:dyDescent="0.3">
      <c r="J869" t="s">
        <v>761</v>
      </c>
    </row>
    <row r="870" spans="10:15" x14ac:dyDescent="0.3">
      <c r="K870" s="17" t="s">
        <v>164</v>
      </c>
      <c r="L870" s="17" t="s">
        <v>165</v>
      </c>
      <c r="M870" s="17" t="s">
        <v>166</v>
      </c>
      <c r="N870" s="17" t="s">
        <v>167</v>
      </c>
      <c r="O870" s="17" t="s">
        <v>168</v>
      </c>
    </row>
    <row r="871" spans="10:15" x14ac:dyDescent="0.3">
      <c r="J871" t="s">
        <v>555</v>
      </c>
      <c r="K871" s="17" t="s">
        <v>155</v>
      </c>
      <c r="L871" s="17" t="s">
        <v>155</v>
      </c>
      <c r="M871" s="17" t="s">
        <v>155</v>
      </c>
      <c r="N871" s="17" t="s">
        <v>155</v>
      </c>
      <c r="O871" s="17" t="s">
        <v>155</v>
      </c>
    </row>
    <row r="872" spans="10:15" x14ac:dyDescent="0.3">
      <c r="J872" t="s">
        <v>556</v>
      </c>
      <c r="K872" s="17" t="s">
        <v>155</v>
      </c>
      <c r="L872" s="17" t="s">
        <v>155</v>
      </c>
      <c r="M872" s="17" t="s">
        <v>155</v>
      </c>
      <c r="N872" s="17" t="s">
        <v>155</v>
      </c>
      <c r="O872" s="17" t="s">
        <v>155</v>
      </c>
    </row>
    <row r="873" spans="10:15" x14ac:dyDescent="0.3">
      <c r="J873" t="s">
        <v>557</v>
      </c>
      <c r="K873" s="17" t="s">
        <v>155</v>
      </c>
      <c r="L873" s="17" t="s">
        <v>155</v>
      </c>
      <c r="M873" s="17" t="s">
        <v>155</v>
      </c>
      <c r="N873" s="17" t="s">
        <v>155</v>
      </c>
      <c r="O873" s="17" t="s">
        <v>155</v>
      </c>
    </row>
    <row r="874" spans="10:15" x14ac:dyDescent="0.3">
      <c r="J874" t="s">
        <v>158</v>
      </c>
      <c r="K874" s="17" t="s">
        <v>155</v>
      </c>
      <c r="L874" s="17" t="s">
        <v>155</v>
      </c>
      <c r="M874" s="17" t="s">
        <v>155</v>
      </c>
      <c r="N874" s="17" t="s">
        <v>362</v>
      </c>
      <c r="O874" s="17" t="s">
        <v>155</v>
      </c>
    </row>
    <row r="875" spans="10:15" x14ac:dyDescent="0.3">
      <c r="J875" t="s">
        <v>159</v>
      </c>
      <c r="K875" s="17" t="s">
        <v>155</v>
      </c>
      <c r="L875" s="17" t="s">
        <v>362</v>
      </c>
      <c r="M875" s="17" t="s">
        <v>155</v>
      </c>
      <c r="N875" s="17" t="s">
        <v>362</v>
      </c>
      <c r="O875" s="17" t="s">
        <v>155</v>
      </c>
    </row>
    <row r="876" spans="10:15" x14ac:dyDescent="0.3">
      <c r="J876" t="s">
        <v>160</v>
      </c>
      <c r="K876" s="17" t="s">
        <v>155</v>
      </c>
      <c r="L876" s="17" t="s">
        <v>362</v>
      </c>
      <c r="M876" s="17" t="s">
        <v>155</v>
      </c>
      <c r="N876" s="17" t="s">
        <v>155</v>
      </c>
      <c r="O876" s="17" t="s">
        <v>155</v>
      </c>
    </row>
    <row r="877" spans="10:15" x14ac:dyDescent="0.3">
      <c r="J877" t="s">
        <v>561</v>
      </c>
      <c r="K877" s="17" t="s">
        <v>155</v>
      </c>
      <c r="L877" s="17" t="s">
        <v>155</v>
      </c>
      <c r="M877" s="17" t="s">
        <v>155</v>
      </c>
      <c r="N877" s="17" t="s">
        <v>155</v>
      </c>
      <c r="O877" s="17" t="s">
        <v>155</v>
      </c>
    </row>
    <row r="878" spans="10:15" x14ac:dyDescent="0.3">
      <c r="J878" t="s">
        <v>562</v>
      </c>
      <c r="K878" s="17" t="s">
        <v>155</v>
      </c>
      <c r="L878" s="17" t="s">
        <v>155</v>
      </c>
      <c r="M878" s="17" t="s">
        <v>155</v>
      </c>
      <c r="N878" s="17" t="s">
        <v>155</v>
      </c>
      <c r="O878" s="17" t="s">
        <v>155</v>
      </c>
    </row>
    <row r="879" spans="10:15" x14ac:dyDescent="0.3">
      <c r="J879" t="s">
        <v>563</v>
      </c>
      <c r="K879" s="17" t="s">
        <v>155</v>
      </c>
      <c r="L879" s="17" t="s">
        <v>155</v>
      </c>
      <c r="M879" s="17" t="s">
        <v>155</v>
      </c>
      <c r="N879" s="17" t="s">
        <v>155</v>
      </c>
      <c r="O879" s="17" t="s">
        <v>155</v>
      </c>
    </row>
    <row r="880" spans="10:15" x14ac:dyDescent="0.3">
      <c r="J880" t="s">
        <v>564</v>
      </c>
      <c r="K880" s="17" t="s">
        <v>155</v>
      </c>
      <c r="L880" s="17" t="s">
        <v>155</v>
      </c>
      <c r="M880" s="17" t="s">
        <v>155</v>
      </c>
      <c r="N880" s="17" t="s">
        <v>155</v>
      </c>
      <c r="O880" s="17" t="s">
        <v>155</v>
      </c>
    </row>
    <row r="881" spans="10:15" x14ac:dyDescent="0.3">
      <c r="J881" t="s">
        <v>549</v>
      </c>
      <c r="K881" s="17" t="s">
        <v>155</v>
      </c>
      <c r="L881" s="17" t="s">
        <v>155</v>
      </c>
      <c r="M881" s="17" t="s">
        <v>155</v>
      </c>
      <c r="N881" s="17" t="s">
        <v>155</v>
      </c>
      <c r="O881" s="17" t="s">
        <v>155</v>
      </c>
    </row>
    <row r="882" spans="10:15" x14ac:dyDescent="0.3">
      <c r="J882" t="s">
        <v>550</v>
      </c>
      <c r="K882" s="17" t="s">
        <v>155</v>
      </c>
      <c r="L882" s="17" t="s">
        <v>155</v>
      </c>
      <c r="M882" s="17" t="s">
        <v>155</v>
      </c>
      <c r="N882" s="17" t="s">
        <v>155</v>
      </c>
      <c r="O882" s="17" t="s">
        <v>155</v>
      </c>
    </row>
    <row r="883" spans="10:15" x14ac:dyDescent="0.3">
      <c r="J883" t="s">
        <v>551</v>
      </c>
      <c r="K883" s="17" t="s">
        <v>155</v>
      </c>
      <c r="L883" s="17" t="s">
        <v>155</v>
      </c>
      <c r="M883" s="17" t="s">
        <v>155</v>
      </c>
      <c r="N883" s="17" t="s">
        <v>155</v>
      </c>
      <c r="O883" s="17" t="s">
        <v>155</v>
      </c>
    </row>
    <row r="884" spans="10:15" x14ac:dyDescent="0.3">
      <c r="J884" t="s">
        <v>552</v>
      </c>
      <c r="K884" s="17" t="s">
        <v>155</v>
      </c>
      <c r="L884" s="17" t="s">
        <v>155</v>
      </c>
      <c r="M884" s="17" t="s">
        <v>155</v>
      </c>
      <c r="N884" s="17" t="s">
        <v>155</v>
      </c>
      <c r="O884" s="17" t="s">
        <v>155</v>
      </c>
    </row>
    <row r="885" spans="10:15" x14ac:dyDescent="0.3">
      <c r="J885" t="s">
        <v>553</v>
      </c>
      <c r="K885" s="17" t="s">
        <v>155</v>
      </c>
      <c r="L885" s="17" t="s">
        <v>155</v>
      </c>
      <c r="M885" s="17" t="s">
        <v>155</v>
      </c>
      <c r="N885" s="17" t="s">
        <v>155</v>
      </c>
      <c r="O885" s="17" t="s">
        <v>155</v>
      </c>
    </row>
    <row r="887" spans="10:15" x14ac:dyDescent="0.3">
      <c r="J887" t="s">
        <v>762</v>
      </c>
    </row>
    <row r="888" spans="10:15" x14ac:dyDescent="0.3">
      <c r="K888" s="17" t="s">
        <v>164</v>
      </c>
      <c r="L888" s="17" t="s">
        <v>165</v>
      </c>
      <c r="M888" s="17" t="s">
        <v>166</v>
      </c>
      <c r="N888" s="17" t="s">
        <v>167</v>
      </c>
      <c r="O888" s="17" t="s">
        <v>168</v>
      </c>
    </row>
    <row r="889" spans="10:15" x14ac:dyDescent="0.3">
      <c r="J889" t="s">
        <v>555</v>
      </c>
      <c r="K889" s="17" t="s">
        <v>155</v>
      </c>
      <c r="L889" s="17" t="s">
        <v>155</v>
      </c>
      <c r="M889" s="17" t="s">
        <v>155</v>
      </c>
      <c r="N889" s="17" t="s">
        <v>155</v>
      </c>
      <c r="O889" s="17" t="s">
        <v>155</v>
      </c>
    </row>
    <row r="890" spans="10:15" x14ac:dyDescent="0.3">
      <c r="J890" t="s">
        <v>556</v>
      </c>
      <c r="K890" s="17" t="s">
        <v>155</v>
      </c>
      <c r="L890" s="17" t="s">
        <v>155</v>
      </c>
      <c r="M890" s="17" t="s">
        <v>155</v>
      </c>
      <c r="N890" s="17" t="s">
        <v>155</v>
      </c>
      <c r="O890" s="17" t="s">
        <v>155</v>
      </c>
    </row>
    <row r="891" spans="10:15" x14ac:dyDescent="0.3">
      <c r="J891" t="s">
        <v>557</v>
      </c>
      <c r="K891" s="17" t="s">
        <v>155</v>
      </c>
      <c r="L891" s="17" t="s">
        <v>362</v>
      </c>
      <c r="M891" s="17" t="s">
        <v>155</v>
      </c>
      <c r="N891" s="17" t="s">
        <v>362</v>
      </c>
      <c r="O891" s="17" t="s">
        <v>155</v>
      </c>
    </row>
    <row r="892" spans="10:15" x14ac:dyDescent="0.3">
      <c r="J892" t="s">
        <v>158</v>
      </c>
      <c r="K892" s="17" t="s">
        <v>155</v>
      </c>
      <c r="L892" s="17" t="s">
        <v>362</v>
      </c>
      <c r="M892" s="17" t="s">
        <v>155</v>
      </c>
      <c r="N892" s="17" t="s">
        <v>362</v>
      </c>
      <c r="O892" s="17" t="s">
        <v>155</v>
      </c>
    </row>
    <row r="893" spans="10:15" x14ac:dyDescent="0.3">
      <c r="J893" t="s">
        <v>159</v>
      </c>
      <c r="K893" s="17" t="s">
        <v>155</v>
      </c>
      <c r="L893" s="17" t="s">
        <v>155</v>
      </c>
      <c r="M893" s="17" t="s">
        <v>155</v>
      </c>
      <c r="N893" s="17" t="s">
        <v>155</v>
      </c>
      <c r="O893" s="17" t="s">
        <v>155</v>
      </c>
    </row>
    <row r="894" spans="10:15" x14ac:dyDescent="0.3">
      <c r="J894" t="s">
        <v>160</v>
      </c>
      <c r="K894" s="17" t="s">
        <v>155</v>
      </c>
      <c r="L894" s="17" t="s">
        <v>155</v>
      </c>
      <c r="M894" s="17" t="s">
        <v>155</v>
      </c>
      <c r="N894" s="17" t="s">
        <v>155</v>
      </c>
      <c r="O894" s="17" t="s">
        <v>155</v>
      </c>
    </row>
    <row r="895" spans="10:15" x14ac:dyDescent="0.3">
      <c r="J895" t="s">
        <v>561</v>
      </c>
      <c r="K895" s="17" t="s">
        <v>155</v>
      </c>
      <c r="L895" s="17" t="s">
        <v>155</v>
      </c>
      <c r="M895" s="17" t="s">
        <v>155</v>
      </c>
      <c r="N895" s="17" t="s">
        <v>155</v>
      </c>
      <c r="O895" s="17" t="s">
        <v>155</v>
      </c>
    </row>
    <row r="896" spans="10:15" x14ac:dyDescent="0.3">
      <c r="J896" t="s">
        <v>562</v>
      </c>
      <c r="K896" s="17" t="s">
        <v>155</v>
      </c>
      <c r="L896" s="17" t="s">
        <v>155</v>
      </c>
      <c r="M896" s="17" t="s">
        <v>155</v>
      </c>
      <c r="N896" s="17" t="s">
        <v>155</v>
      </c>
      <c r="O896" s="17" t="s">
        <v>155</v>
      </c>
    </row>
    <row r="897" spans="10:15" x14ac:dyDescent="0.3">
      <c r="J897" t="s">
        <v>563</v>
      </c>
      <c r="K897" s="17" t="s">
        <v>155</v>
      </c>
      <c r="L897" s="17" t="s">
        <v>155</v>
      </c>
      <c r="M897" s="17" t="s">
        <v>155</v>
      </c>
      <c r="N897" s="17" t="s">
        <v>155</v>
      </c>
      <c r="O897" s="17" t="s">
        <v>155</v>
      </c>
    </row>
    <row r="898" spans="10:15" x14ac:dyDescent="0.3">
      <c r="J898" t="s">
        <v>564</v>
      </c>
      <c r="K898" s="17" t="s">
        <v>155</v>
      </c>
      <c r="L898" s="17" t="s">
        <v>155</v>
      </c>
      <c r="M898" s="17" t="s">
        <v>155</v>
      </c>
      <c r="N898" s="17" t="s">
        <v>155</v>
      </c>
      <c r="O898" s="17" t="s">
        <v>155</v>
      </c>
    </row>
    <row r="899" spans="10:15" x14ac:dyDescent="0.3">
      <c r="J899" t="s">
        <v>549</v>
      </c>
      <c r="K899" s="17" t="s">
        <v>155</v>
      </c>
      <c r="L899" s="17" t="s">
        <v>155</v>
      </c>
      <c r="M899" s="17" t="s">
        <v>155</v>
      </c>
      <c r="N899" s="17" t="s">
        <v>155</v>
      </c>
      <c r="O899" s="17" t="s">
        <v>155</v>
      </c>
    </row>
    <row r="900" spans="10:15" x14ac:dyDescent="0.3">
      <c r="J900" t="s">
        <v>550</v>
      </c>
      <c r="K900" s="17" t="s">
        <v>155</v>
      </c>
      <c r="L900" s="17" t="s">
        <v>155</v>
      </c>
      <c r="M900" s="17" t="s">
        <v>155</v>
      </c>
      <c r="N900" s="17" t="s">
        <v>155</v>
      </c>
      <c r="O900" s="17" t="s">
        <v>155</v>
      </c>
    </row>
    <row r="901" spans="10:15" x14ac:dyDescent="0.3">
      <c r="J901" t="s">
        <v>551</v>
      </c>
      <c r="K901" s="17" t="s">
        <v>155</v>
      </c>
      <c r="L901" s="17" t="s">
        <v>155</v>
      </c>
      <c r="M901" s="17" t="s">
        <v>155</v>
      </c>
      <c r="N901" s="17" t="s">
        <v>155</v>
      </c>
      <c r="O901" s="17" t="s">
        <v>155</v>
      </c>
    </row>
    <row r="902" spans="10:15" x14ac:dyDescent="0.3">
      <c r="J902" t="s">
        <v>552</v>
      </c>
      <c r="K902" s="17" t="s">
        <v>155</v>
      </c>
      <c r="L902" s="17" t="s">
        <v>155</v>
      </c>
      <c r="M902" s="17" t="s">
        <v>155</v>
      </c>
      <c r="N902" s="17" t="s">
        <v>155</v>
      </c>
      <c r="O902" s="17" t="s">
        <v>155</v>
      </c>
    </row>
    <row r="903" spans="10:15" x14ac:dyDescent="0.3">
      <c r="J903" t="s">
        <v>553</v>
      </c>
      <c r="K903" s="17" t="s">
        <v>155</v>
      </c>
      <c r="L903" s="17" t="s">
        <v>155</v>
      </c>
      <c r="M903" s="17" t="s">
        <v>155</v>
      </c>
      <c r="N903" s="17" t="s">
        <v>155</v>
      </c>
      <c r="O903" s="17" t="s">
        <v>155</v>
      </c>
    </row>
    <row r="905" spans="10:15" x14ac:dyDescent="0.3">
      <c r="J905" t="s">
        <v>763</v>
      </c>
    </row>
    <row r="906" spans="10:15" x14ac:dyDescent="0.3">
      <c r="K906" s="17" t="s">
        <v>164</v>
      </c>
      <c r="L906" s="17" t="s">
        <v>165</v>
      </c>
      <c r="M906" s="17" t="s">
        <v>166</v>
      </c>
      <c r="N906" s="17" t="s">
        <v>167</v>
      </c>
      <c r="O906" s="17" t="s">
        <v>168</v>
      </c>
    </row>
    <row r="907" spans="10:15" x14ac:dyDescent="0.3">
      <c r="J907" t="s">
        <v>555</v>
      </c>
      <c r="K907" s="17" t="s">
        <v>155</v>
      </c>
      <c r="L907" s="17" t="s">
        <v>370</v>
      </c>
      <c r="M907" s="17" t="s">
        <v>155</v>
      </c>
      <c r="N907" s="17" t="s">
        <v>370</v>
      </c>
      <c r="O907" s="17" t="s">
        <v>155</v>
      </c>
    </row>
    <row r="908" spans="10:15" x14ac:dyDescent="0.3">
      <c r="J908" t="s">
        <v>556</v>
      </c>
      <c r="K908" s="17" t="s">
        <v>155</v>
      </c>
      <c r="L908" s="17" t="s">
        <v>370</v>
      </c>
      <c r="M908" s="17" t="s">
        <v>155</v>
      </c>
      <c r="N908" s="17" t="s">
        <v>370</v>
      </c>
      <c r="O908" s="17" t="s">
        <v>155</v>
      </c>
    </row>
    <row r="909" spans="10:15" x14ac:dyDescent="0.3">
      <c r="J909" t="s">
        <v>557</v>
      </c>
      <c r="K909" s="17" t="s">
        <v>155</v>
      </c>
      <c r="L909" s="17" t="s">
        <v>155</v>
      </c>
      <c r="M909" s="17" t="s">
        <v>155</v>
      </c>
      <c r="N909" s="17" t="s">
        <v>155</v>
      </c>
      <c r="O909" s="17" t="s">
        <v>155</v>
      </c>
    </row>
    <row r="910" spans="10:15" x14ac:dyDescent="0.3">
      <c r="J910" t="s">
        <v>158</v>
      </c>
      <c r="K910" s="17" t="s">
        <v>155</v>
      </c>
      <c r="L910" s="17" t="s">
        <v>155</v>
      </c>
      <c r="M910" s="17" t="s">
        <v>155</v>
      </c>
      <c r="N910" s="17" t="s">
        <v>155</v>
      </c>
      <c r="O910" s="17" t="s">
        <v>155</v>
      </c>
    </row>
    <row r="911" spans="10:15" x14ac:dyDescent="0.3">
      <c r="J911" t="s">
        <v>159</v>
      </c>
      <c r="K911" s="17" t="s">
        <v>155</v>
      </c>
      <c r="L911" s="17" t="s">
        <v>155</v>
      </c>
      <c r="M911" s="17" t="s">
        <v>155</v>
      </c>
      <c r="N911" s="17" t="s">
        <v>155</v>
      </c>
      <c r="O911" s="17" t="s">
        <v>155</v>
      </c>
    </row>
    <row r="912" spans="10:15" x14ac:dyDescent="0.3">
      <c r="J912" t="s">
        <v>160</v>
      </c>
      <c r="K912" s="17" t="s">
        <v>155</v>
      </c>
      <c r="L912" s="17" t="s">
        <v>155</v>
      </c>
      <c r="M912" s="17" t="s">
        <v>155</v>
      </c>
      <c r="N912" s="17" t="s">
        <v>155</v>
      </c>
      <c r="O912" s="17" t="s">
        <v>155</v>
      </c>
    </row>
    <row r="913" spans="10:15" x14ac:dyDescent="0.3">
      <c r="J913" t="s">
        <v>561</v>
      </c>
      <c r="K913" s="17" t="s">
        <v>155</v>
      </c>
      <c r="L913" s="17" t="s">
        <v>155</v>
      </c>
      <c r="M913" s="17" t="s">
        <v>155</v>
      </c>
      <c r="N913" s="17" t="s">
        <v>155</v>
      </c>
      <c r="O913" s="17" t="s">
        <v>155</v>
      </c>
    </row>
    <row r="914" spans="10:15" x14ac:dyDescent="0.3">
      <c r="J914" t="s">
        <v>562</v>
      </c>
      <c r="K914" s="17" t="s">
        <v>155</v>
      </c>
      <c r="L914" s="17" t="s">
        <v>155</v>
      </c>
      <c r="M914" s="17" t="s">
        <v>155</v>
      </c>
      <c r="N914" s="17" t="s">
        <v>155</v>
      </c>
      <c r="O914" s="17" t="s">
        <v>155</v>
      </c>
    </row>
    <row r="915" spans="10:15" x14ac:dyDescent="0.3">
      <c r="J915" t="s">
        <v>563</v>
      </c>
      <c r="K915" s="17" t="s">
        <v>155</v>
      </c>
      <c r="L915" s="17" t="s">
        <v>155</v>
      </c>
      <c r="M915" s="17" t="s">
        <v>155</v>
      </c>
      <c r="N915" s="17" t="s">
        <v>155</v>
      </c>
      <c r="O915" s="17" t="s">
        <v>155</v>
      </c>
    </row>
    <row r="916" spans="10:15" x14ac:dyDescent="0.3">
      <c r="J916" t="s">
        <v>564</v>
      </c>
      <c r="K916" s="17" t="s">
        <v>155</v>
      </c>
      <c r="L916" s="17" t="s">
        <v>155</v>
      </c>
      <c r="M916" s="17" t="s">
        <v>155</v>
      </c>
      <c r="N916" s="17" t="s">
        <v>155</v>
      </c>
      <c r="O916" s="17" t="s">
        <v>155</v>
      </c>
    </row>
    <row r="917" spans="10:15" x14ac:dyDescent="0.3">
      <c r="J917" t="s">
        <v>549</v>
      </c>
      <c r="K917" s="17" t="s">
        <v>155</v>
      </c>
      <c r="L917" s="17" t="s">
        <v>155</v>
      </c>
      <c r="M917" s="17" t="s">
        <v>155</v>
      </c>
      <c r="N917" s="17" t="s">
        <v>155</v>
      </c>
      <c r="O917" s="17" t="s">
        <v>155</v>
      </c>
    </row>
    <row r="918" spans="10:15" x14ac:dyDescent="0.3">
      <c r="J918" t="s">
        <v>550</v>
      </c>
      <c r="K918" s="17" t="s">
        <v>155</v>
      </c>
      <c r="L918" s="17" t="s">
        <v>155</v>
      </c>
      <c r="M918" s="17" t="s">
        <v>155</v>
      </c>
      <c r="N918" s="17" t="s">
        <v>155</v>
      </c>
      <c r="O918" s="17" t="s">
        <v>155</v>
      </c>
    </row>
    <row r="919" spans="10:15" x14ac:dyDescent="0.3">
      <c r="J919" t="s">
        <v>551</v>
      </c>
      <c r="K919" s="17" t="s">
        <v>155</v>
      </c>
      <c r="L919" s="17" t="s">
        <v>155</v>
      </c>
      <c r="M919" s="17" t="s">
        <v>155</v>
      </c>
      <c r="N919" s="17" t="s">
        <v>155</v>
      </c>
      <c r="O919" s="17" t="s">
        <v>155</v>
      </c>
    </row>
    <row r="920" spans="10:15" x14ac:dyDescent="0.3">
      <c r="J920" t="s">
        <v>552</v>
      </c>
      <c r="K920" s="17" t="s">
        <v>155</v>
      </c>
      <c r="L920" s="17" t="s">
        <v>155</v>
      </c>
      <c r="M920" s="17" t="s">
        <v>155</v>
      </c>
      <c r="N920" s="17" t="s">
        <v>155</v>
      </c>
      <c r="O920" s="17" t="s">
        <v>155</v>
      </c>
    </row>
    <row r="921" spans="10:15" x14ac:dyDescent="0.3">
      <c r="J921" t="s">
        <v>553</v>
      </c>
      <c r="K921" s="17" t="s">
        <v>155</v>
      </c>
      <c r="L921" s="17" t="s">
        <v>155</v>
      </c>
      <c r="M921" s="17" t="s">
        <v>155</v>
      </c>
      <c r="N921" s="17" t="s">
        <v>155</v>
      </c>
      <c r="O921" s="17" t="s">
        <v>155</v>
      </c>
    </row>
    <row r="923" spans="10:15" x14ac:dyDescent="0.3">
      <c r="J923" t="s">
        <v>764</v>
      </c>
    </row>
    <row r="924" spans="10:15" x14ac:dyDescent="0.3">
      <c r="K924" s="17" t="s">
        <v>164</v>
      </c>
      <c r="L924" s="17" t="s">
        <v>165</v>
      </c>
      <c r="M924" s="17" t="s">
        <v>166</v>
      </c>
      <c r="N924" s="17" t="s">
        <v>167</v>
      </c>
      <c r="O924" s="17" t="s">
        <v>168</v>
      </c>
    </row>
    <row r="925" spans="10:15" x14ac:dyDescent="0.3">
      <c r="J925" t="s">
        <v>555</v>
      </c>
      <c r="K925" s="17" t="s">
        <v>155</v>
      </c>
      <c r="L925" s="17" t="s">
        <v>155</v>
      </c>
      <c r="M925" s="17" t="s">
        <v>155</v>
      </c>
      <c r="N925" s="17" t="s">
        <v>155</v>
      </c>
      <c r="O925" s="17" t="s">
        <v>155</v>
      </c>
    </row>
    <row r="926" spans="10:15" x14ac:dyDescent="0.3">
      <c r="J926" t="s">
        <v>556</v>
      </c>
      <c r="K926" s="17" t="s">
        <v>155</v>
      </c>
      <c r="L926" s="17" t="s">
        <v>155</v>
      </c>
      <c r="M926" s="17" t="s">
        <v>373</v>
      </c>
      <c r="N926" s="17" t="s">
        <v>155</v>
      </c>
      <c r="O926" s="17" t="s">
        <v>155</v>
      </c>
    </row>
    <row r="927" spans="10:15" x14ac:dyDescent="0.3">
      <c r="J927" t="s">
        <v>557</v>
      </c>
      <c r="K927" s="17" t="s">
        <v>155</v>
      </c>
      <c r="L927" s="17" t="s">
        <v>155</v>
      </c>
      <c r="M927" s="17" t="s">
        <v>373</v>
      </c>
      <c r="N927" s="17" t="s">
        <v>155</v>
      </c>
      <c r="O927" s="17" t="s">
        <v>155</v>
      </c>
    </row>
    <row r="928" spans="10:15" x14ac:dyDescent="0.3">
      <c r="J928" t="s">
        <v>158</v>
      </c>
      <c r="K928" s="17" t="s">
        <v>155</v>
      </c>
      <c r="L928" s="17" t="s">
        <v>155</v>
      </c>
      <c r="M928" s="17" t="s">
        <v>373</v>
      </c>
      <c r="N928" s="17" t="s">
        <v>155</v>
      </c>
      <c r="O928" s="17" t="s">
        <v>155</v>
      </c>
    </row>
    <row r="929" spans="10:15" x14ac:dyDescent="0.3">
      <c r="J929" t="s">
        <v>159</v>
      </c>
      <c r="K929" s="17" t="s">
        <v>155</v>
      </c>
      <c r="L929" s="17" t="s">
        <v>155</v>
      </c>
      <c r="M929" s="17" t="s">
        <v>155</v>
      </c>
      <c r="N929" s="17" t="s">
        <v>155</v>
      </c>
      <c r="O929" s="17" t="s">
        <v>155</v>
      </c>
    </row>
    <row r="930" spans="10:15" x14ac:dyDescent="0.3">
      <c r="J930" t="s">
        <v>160</v>
      </c>
      <c r="K930" s="17" t="s">
        <v>155</v>
      </c>
      <c r="L930" s="17" t="s">
        <v>155</v>
      </c>
      <c r="M930" s="17" t="s">
        <v>155</v>
      </c>
      <c r="N930" s="17" t="s">
        <v>155</v>
      </c>
      <c r="O930" s="17" t="s">
        <v>155</v>
      </c>
    </row>
    <row r="931" spans="10:15" x14ac:dyDescent="0.3">
      <c r="J931" t="s">
        <v>561</v>
      </c>
      <c r="K931" s="17" t="s">
        <v>155</v>
      </c>
      <c r="L931" s="17" t="s">
        <v>155</v>
      </c>
      <c r="M931" s="17" t="s">
        <v>155</v>
      </c>
      <c r="N931" s="17" t="s">
        <v>155</v>
      </c>
      <c r="O931" s="17" t="s">
        <v>155</v>
      </c>
    </row>
    <row r="932" spans="10:15" x14ac:dyDescent="0.3">
      <c r="J932" t="s">
        <v>562</v>
      </c>
      <c r="K932" s="17" t="s">
        <v>155</v>
      </c>
      <c r="L932" s="17" t="s">
        <v>155</v>
      </c>
      <c r="M932" s="17" t="s">
        <v>155</v>
      </c>
      <c r="N932" s="17" t="s">
        <v>155</v>
      </c>
      <c r="O932" s="17" t="s">
        <v>155</v>
      </c>
    </row>
    <row r="933" spans="10:15" x14ac:dyDescent="0.3">
      <c r="J933" t="s">
        <v>563</v>
      </c>
      <c r="K933" s="17" t="s">
        <v>155</v>
      </c>
      <c r="L933" s="17" t="s">
        <v>155</v>
      </c>
      <c r="M933" s="17" t="s">
        <v>155</v>
      </c>
      <c r="N933" s="17" t="s">
        <v>155</v>
      </c>
      <c r="O933" s="17" t="s">
        <v>155</v>
      </c>
    </row>
    <row r="934" spans="10:15" x14ac:dyDescent="0.3">
      <c r="J934" t="s">
        <v>564</v>
      </c>
      <c r="K934" s="17" t="s">
        <v>155</v>
      </c>
      <c r="L934" s="17" t="s">
        <v>155</v>
      </c>
      <c r="M934" s="17" t="s">
        <v>155</v>
      </c>
      <c r="N934" s="17" t="s">
        <v>155</v>
      </c>
      <c r="O934" s="17" t="s">
        <v>155</v>
      </c>
    </row>
    <row r="935" spans="10:15" x14ac:dyDescent="0.3">
      <c r="J935" t="s">
        <v>549</v>
      </c>
      <c r="K935" s="17" t="s">
        <v>155</v>
      </c>
      <c r="L935" s="17" t="s">
        <v>155</v>
      </c>
      <c r="M935" s="17" t="s">
        <v>155</v>
      </c>
      <c r="N935" s="17" t="s">
        <v>155</v>
      </c>
      <c r="O935" s="17" t="s">
        <v>155</v>
      </c>
    </row>
    <row r="936" spans="10:15" x14ac:dyDescent="0.3">
      <c r="J936" t="s">
        <v>550</v>
      </c>
      <c r="K936" s="17" t="s">
        <v>155</v>
      </c>
      <c r="L936" s="17" t="s">
        <v>155</v>
      </c>
      <c r="M936" s="17" t="s">
        <v>155</v>
      </c>
      <c r="N936" s="17" t="s">
        <v>155</v>
      </c>
      <c r="O936" s="17" t="s">
        <v>155</v>
      </c>
    </row>
    <row r="937" spans="10:15" x14ac:dyDescent="0.3">
      <c r="J937" t="s">
        <v>551</v>
      </c>
      <c r="K937" s="17" t="s">
        <v>155</v>
      </c>
      <c r="L937" s="17" t="s">
        <v>155</v>
      </c>
      <c r="M937" s="17" t="s">
        <v>155</v>
      </c>
      <c r="N937" s="17" t="s">
        <v>155</v>
      </c>
      <c r="O937" s="17" t="s">
        <v>155</v>
      </c>
    </row>
    <row r="938" spans="10:15" x14ac:dyDescent="0.3">
      <c r="J938" t="s">
        <v>552</v>
      </c>
      <c r="K938" s="17" t="s">
        <v>155</v>
      </c>
      <c r="L938" s="17" t="s">
        <v>155</v>
      </c>
      <c r="M938" s="17" t="s">
        <v>155</v>
      </c>
      <c r="N938" s="17" t="s">
        <v>155</v>
      </c>
      <c r="O938" s="17" t="s">
        <v>155</v>
      </c>
    </row>
    <row r="939" spans="10:15" x14ac:dyDescent="0.3">
      <c r="J939" t="s">
        <v>553</v>
      </c>
      <c r="K939" s="17" t="s">
        <v>155</v>
      </c>
      <c r="L939" s="17" t="s">
        <v>155</v>
      </c>
      <c r="M939" s="17" t="s">
        <v>155</v>
      </c>
      <c r="N939" s="17" t="s">
        <v>155</v>
      </c>
      <c r="O939" s="17" t="s">
        <v>155</v>
      </c>
    </row>
    <row r="941" spans="10:15" x14ac:dyDescent="0.3">
      <c r="J941" t="s">
        <v>765</v>
      </c>
    </row>
    <row r="942" spans="10:15" x14ac:dyDescent="0.3">
      <c r="K942" s="17" t="s">
        <v>164</v>
      </c>
      <c r="L942" s="17" t="s">
        <v>165</v>
      </c>
      <c r="M942" s="17" t="s">
        <v>166</v>
      </c>
      <c r="N942" s="17" t="s">
        <v>167</v>
      </c>
      <c r="O942" s="17" t="s">
        <v>168</v>
      </c>
    </row>
    <row r="943" spans="10:15" x14ac:dyDescent="0.3">
      <c r="J943" t="s">
        <v>555</v>
      </c>
      <c r="K943" s="17" t="s">
        <v>155</v>
      </c>
      <c r="L943" s="17" t="s">
        <v>155</v>
      </c>
      <c r="M943" s="17" t="s">
        <v>155</v>
      </c>
      <c r="N943" s="17" t="s">
        <v>155</v>
      </c>
      <c r="O943" s="17" t="s">
        <v>155</v>
      </c>
    </row>
    <row r="944" spans="10:15" x14ac:dyDescent="0.3">
      <c r="J944" t="s">
        <v>556</v>
      </c>
      <c r="K944" s="17" t="s">
        <v>155</v>
      </c>
      <c r="L944" s="17" t="s">
        <v>155</v>
      </c>
      <c r="M944" s="17" t="s">
        <v>155</v>
      </c>
      <c r="N944" s="17" t="s">
        <v>155</v>
      </c>
      <c r="O944" s="17" t="s">
        <v>155</v>
      </c>
    </row>
    <row r="945" spans="10:15" x14ac:dyDescent="0.3">
      <c r="J945" t="s">
        <v>557</v>
      </c>
      <c r="K945" s="17" t="s">
        <v>155</v>
      </c>
      <c r="L945" s="17" t="s">
        <v>155</v>
      </c>
      <c r="M945" s="17" t="s">
        <v>155</v>
      </c>
      <c r="N945" s="17" t="s">
        <v>155</v>
      </c>
      <c r="O945" s="17" t="s">
        <v>374</v>
      </c>
    </row>
    <row r="946" spans="10:15" x14ac:dyDescent="0.3">
      <c r="J946" t="s">
        <v>158</v>
      </c>
      <c r="K946" s="17" t="s">
        <v>155</v>
      </c>
      <c r="L946" s="17" t="s">
        <v>155</v>
      </c>
      <c r="M946" s="17" t="s">
        <v>155</v>
      </c>
      <c r="N946" s="17" t="s">
        <v>155</v>
      </c>
      <c r="O946" s="17" t="s">
        <v>374</v>
      </c>
    </row>
    <row r="947" spans="10:15" x14ac:dyDescent="0.3">
      <c r="J947" t="s">
        <v>159</v>
      </c>
      <c r="K947" s="17" t="s">
        <v>155</v>
      </c>
      <c r="L947" s="17" t="s">
        <v>155</v>
      </c>
      <c r="M947" s="17" t="s">
        <v>374</v>
      </c>
      <c r="N947" s="17" t="s">
        <v>155</v>
      </c>
      <c r="O947" s="17" t="s">
        <v>374</v>
      </c>
    </row>
    <row r="948" spans="10:15" x14ac:dyDescent="0.3">
      <c r="J948" t="s">
        <v>160</v>
      </c>
      <c r="K948" s="17" t="s">
        <v>155</v>
      </c>
      <c r="L948" s="17" t="s">
        <v>155</v>
      </c>
      <c r="M948" s="17" t="s">
        <v>374</v>
      </c>
      <c r="N948" s="17" t="s">
        <v>155</v>
      </c>
      <c r="O948" s="17" t="s">
        <v>155</v>
      </c>
    </row>
    <row r="949" spans="10:15" x14ac:dyDescent="0.3">
      <c r="J949" t="s">
        <v>561</v>
      </c>
      <c r="K949" s="17" t="s">
        <v>155</v>
      </c>
      <c r="L949" s="17" t="s">
        <v>155</v>
      </c>
      <c r="M949" s="17" t="s">
        <v>155</v>
      </c>
      <c r="N949" s="17" t="s">
        <v>155</v>
      </c>
      <c r="O949" s="17" t="s">
        <v>155</v>
      </c>
    </row>
    <row r="950" spans="10:15" x14ac:dyDescent="0.3">
      <c r="J950" t="s">
        <v>562</v>
      </c>
      <c r="K950" s="17" t="s">
        <v>155</v>
      </c>
      <c r="L950" s="17" t="s">
        <v>155</v>
      </c>
      <c r="M950" s="17" t="s">
        <v>155</v>
      </c>
      <c r="N950" s="17" t="s">
        <v>155</v>
      </c>
      <c r="O950" s="17" t="s">
        <v>155</v>
      </c>
    </row>
    <row r="951" spans="10:15" x14ac:dyDescent="0.3">
      <c r="J951" t="s">
        <v>563</v>
      </c>
      <c r="K951" s="17" t="s">
        <v>155</v>
      </c>
      <c r="L951" s="17" t="s">
        <v>155</v>
      </c>
      <c r="M951" s="17" t="s">
        <v>155</v>
      </c>
      <c r="N951" s="17" t="s">
        <v>155</v>
      </c>
      <c r="O951" s="17" t="s">
        <v>155</v>
      </c>
    </row>
    <row r="952" spans="10:15" x14ac:dyDescent="0.3">
      <c r="J952" t="s">
        <v>564</v>
      </c>
      <c r="K952" s="17" t="s">
        <v>155</v>
      </c>
      <c r="L952" s="17" t="s">
        <v>155</v>
      </c>
      <c r="M952" s="17" t="s">
        <v>155</v>
      </c>
      <c r="N952" s="17" t="s">
        <v>155</v>
      </c>
      <c r="O952" s="17" t="s">
        <v>155</v>
      </c>
    </row>
    <row r="953" spans="10:15" x14ac:dyDescent="0.3">
      <c r="J953" t="s">
        <v>549</v>
      </c>
      <c r="K953" s="17" t="s">
        <v>155</v>
      </c>
      <c r="L953" s="17" t="s">
        <v>155</v>
      </c>
      <c r="M953" s="17" t="s">
        <v>155</v>
      </c>
      <c r="N953" s="17" t="s">
        <v>155</v>
      </c>
      <c r="O953" s="17" t="s">
        <v>155</v>
      </c>
    </row>
    <row r="954" spans="10:15" x14ac:dyDescent="0.3">
      <c r="J954" t="s">
        <v>550</v>
      </c>
      <c r="K954" s="17" t="s">
        <v>155</v>
      </c>
      <c r="L954" s="17" t="s">
        <v>155</v>
      </c>
      <c r="M954" s="17" t="s">
        <v>155</v>
      </c>
      <c r="N954" s="17" t="s">
        <v>155</v>
      </c>
      <c r="O954" s="17" t="s">
        <v>155</v>
      </c>
    </row>
    <row r="955" spans="10:15" x14ac:dyDescent="0.3">
      <c r="J955" t="s">
        <v>551</v>
      </c>
      <c r="K955" s="17" t="s">
        <v>155</v>
      </c>
      <c r="L955" s="17" t="s">
        <v>155</v>
      </c>
      <c r="M955" s="17" t="s">
        <v>155</v>
      </c>
      <c r="N955" s="17" t="s">
        <v>155</v>
      </c>
      <c r="O955" s="17" t="s">
        <v>155</v>
      </c>
    </row>
    <row r="956" spans="10:15" x14ac:dyDescent="0.3">
      <c r="J956" t="s">
        <v>552</v>
      </c>
      <c r="K956" s="17" t="s">
        <v>155</v>
      </c>
      <c r="L956" s="17" t="s">
        <v>155</v>
      </c>
      <c r="M956" s="17" t="s">
        <v>155</v>
      </c>
      <c r="N956" s="17" t="s">
        <v>155</v>
      </c>
      <c r="O956" s="17" t="s">
        <v>155</v>
      </c>
    </row>
    <row r="957" spans="10:15" x14ac:dyDescent="0.3">
      <c r="J957" t="s">
        <v>553</v>
      </c>
      <c r="K957" s="17" t="s">
        <v>155</v>
      </c>
      <c r="L957" s="17" t="s">
        <v>155</v>
      </c>
      <c r="M957" s="17" t="s">
        <v>155</v>
      </c>
      <c r="N957" s="17" t="s">
        <v>155</v>
      </c>
      <c r="O957" s="17" t="s">
        <v>155</v>
      </c>
    </row>
    <row r="959" spans="10:15" x14ac:dyDescent="0.3">
      <c r="J959" t="s">
        <v>766</v>
      </c>
    </row>
    <row r="960" spans="10:15" x14ac:dyDescent="0.3">
      <c r="K960" s="17" t="s">
        <v>164</v>
      </c>
      <c r="L960" s="17" t="s">
        <v>165</v>
      </c>
      <c r="M960" s="17" t="s">
        <v>166</v>
      </c>
      <c r="N960" s="17" t="s">
        <v>167</v>
      </c>
      <c r="O960" s="17" t="s">
        <v>168</v>
      </c>
    </row>
    <row r="961" spans="10:15" x14ac:dyDescent="0.3">
      <c r="J961" t="s">
        <v>555</v>
      </c>
      <c r="K961" s="17" t="s">
        <v>155</v>
      </c>
      <c r="L961" s="17" t="s">
        <v>155</v>
      </c>
      <c r="M961" s="17" t="s">
        <v>155</v>
      </c>
      <c r="N961" s="17" t="s">
        <v>155</v>
      </c>
      <c r="O961" s="17" t="s">
        <v>155</v>
      </c>
    </row>
    <row r="962" spans="10:15" x14ac:dyDescent="0.3">
      <c r="J962" t="s">
        <v>556</v>
      </c>
      <c r="K962" s="17" t="s">
        <v>155</v>
      </c>
      <c r="L962" s="17" t="s">
        <v>155</v>
      </c>
      <c r="M962" s="17" t="s">
        <v>155</v>
      </c>
      <c r="N962" s="17" t="s">
        <v>155</v>
      </c>
      <c r="O962" s="17" t="s">
        <v>155</v>
      </c>
    </row>
    <row r="963" spans="10:15" x14ac:dyDescent="0.3">
      <c r="J963" t="s">
        <v>557</v>
      </c>
      <c r="K963" s="17" t="s">
        <v>155</v>
      </c>
      <c r="L963" s="17" t="s">
        <v>155</v>
      </c>
      <c r="M963" s="17" t="s">
        <v>155</v>
      </c>
      <c r="N963" s="17" t="s">
        <v>155</v>
      </c>
      <c r="O963" s="17" t="s">
        <v>374</v>
      </c>
    </row>
    <row r="964" spans="10:15" x14ac:dyDescent="0.3">
      <c r="J964" t="s">
        <v>158</v>
      </c>
      <c r="K964" s="17" t="s">
        <v>155</v>
      </c>
      <c r="L964" s="17" t="s">
        <v>155</v>
      </c>
      <c r="M964" s="17" t="s">
        <v>155</v>
      </c>
      <c r="N964" s="17" t="s">
        <v>155</v>
      </c>
      <c r="O964" s="17" t="s">
        <v>374</v>
      </c>
    </row>
    <row r="965" spans="10:15" x14ac:dyDescent="0.3">
      <c r="J965" t="s">
        <v>159</v>
      </c>
      <c r="K965" s="17" t="s">
        <v>155</v>
      </c>
      <c r="L965" s="17" t="s">
        <v>155</v>
      </c>
      <c r="M965" s="17" t="s">
        <v>374</v>
      </c>
      <c r="N965" s="17" t="s">
        <v>155</v>
      </c>
      <c r="O965" s="17" t="s">
        <v>374</v>
      </c>
    </row>
    <row r="966" spans="10:15" x14ac:dyDescent="0.3">
      <c r="J966" t="s">
        <v>160</v>
      </c>
      <c r="K966" s="17" t="s">
        <v>155</v>
      </c>
      <c r="L966" s="17" t="s">
        <v>155</v>
      </c>
      <c r="M966" s="17" t="s">
        <v>374</v>
      </c>
      <c r="N966" s="17" t="s">
        <v>155</v>
      </c>
      <c r="O966" s="17" t="s">
        <v>155</v>
      </c>
    </row>
    <row r="967" spans="10:15" x14ac:dyDescent="0.3">
      <c r="J967" t="s">
        <v>561</v>
      </c>
      <c r="K967" s="17" t="s">
        <v>155</v>
      </c>
      <c r="L967" s="17" t="s">
        <v>155</v>
      </c>
      <c r="M967" s="17" t="s">
        <v>155</v>
      </c>
      <c r="N967" s="17" t="s">
        <v>155</v>
      </c>
      <c r="O967" s="17" t="s">
        <v>155</v>
      </c>
    </row>
    <row r="968" spans="10:15" x14ac:dyDescent="0.3">
      <c r="J968" t="s">
        <v>562</v>
      </c>
      <c r="K968" s="17" t="s">
        <v>155</v>
      </c>
      <c r="L968" s="17" t="s">
        <v>155</v>
      </c>
      <c r="M968" s="17" t="s">
        <v>155</v>
      </c>
      <c r="N968" s="17" t="s">
        <v>155</v>
      </c>
      <c r="O968" s="17" t="s">
        <v>155</v>
      </c>
    </row>
    <row r="969" spans="10:15" x14ac:dyDescent="0.3">
      <c r="J969" t="s">
        <v>563</v>
      </c>
      <c r="K969" s="17" t="s">
        <v>155</v>
      </c>
      <c r="L969" s="17" t="s">
        <v>155</v>
      </c>
      <c r="M969" s="17" t="s">
        <v>155</v>
      </c>
      <c r="N969" s="17" t="s">
        <v>155</v>
      </c>
      <c r="O969" s="17" t="s">
        <v>155</v>
      </c>
    </row>
    <row r="970" spans="10:15" x14ac:dyDescent="0.3">
      <c r="J970" t="s">
        <v>564</v>
      </c>
      <c r="K970" s="17" t="s">
        <v>155</v>
      </c>
      <c r="L970" s="17" t="s">
        <v>155</v>
      </c>
      <c r="M970" s="17" t="s">
        <v>155</v>
      </c>
      <c r="N970" s="17" t="s">
        <v>155</v>
      </c>
      <c r="O970" s="17" t="s">
        <v>155</v>
      </c>
    </row>
    <row r="971" spans="10:15" x14ac:dyDescent="0.3">
      <c r="J971" t="s">
        <v>549</v>
      </c>
      <c r="K971" s="17" t="s">
        <v>155</v>
      </c>
      <c r="L971" s="17" t="s">
        <v>155</v>
      </c>
      <c r="M971" s="17" t="s">
        <v>155</v>
      </c>
      <c r="N971" s="17" t="s">
        <v>155</v>
      </c>
      <c r="O971" s="17" t="s">
        <v>155</v>
      </c>
    </row>
    <row r="972" spans="10:15" x14ac:dyDescent="0.3">
      <c r="J972" t="s">
        <v>550</v>
      </c>
      <c r="K972" s="17" t="s">
        <v>155</v>
      </c>
      <c r="L972" s="17" t="s">
        <v>155</v>
      </c>
      <c r="M972" s="17" t="s">
        <v>155</v>
      </c>
      <c r="N972" s="17" t="s">
        <v>155</v>
      </c>
      <c r="O972" s="17" t="s">
        <v>155</v>
      </c>
    </row>
    <row r="973" spans="10:15" x14ac:dyDescent="0.3">
      <c r="J973" t="s">
        <v>551</v>
      </c>
      <c r="K973" s="17" t="s">
        <v>155</v>
      </c>
      <c r="L973" s="17" t="s">
        <v>155</v>
      </c>
      <c r="M973" s="17" t="s">
        <v>155</v>
      </c>
      <c r="N973" s="17" t="s">
        <v>155</v>
      </c>
      <c r="O973" s="17" t="s">
        <v>155</v>
      </c>
    </row>
    <row r="974" spans="10:15" x14ac:dyDescent="0.3">
      <c r="J974" t="s">
        <v>552</v>
      </c>
      <c r="K974" s="17" t="s">
        <v>155</v>
      </c>
      <c r="L974" s="17" t="s">
        <v>155</v>
      </c>
      <c r="M974" s="17" t="s">
        <v>155</v>
      </c>
      <c r="N974" s="17" t="s">
        <v>155</v>
      </c>
      <c r="O974" s="17" t="s">
        <v>155</v>
      </c>
    </row>
    <row r="975" spans="10:15" x14ac:dyDescent="0.3">
      <c r="J975" t="s">
        <v>553</v>
      </c>
      <c r="K975" s="17" t="s">
        <v>155</v>
      </c>
      <c r="L975" s="17" t="s">
        <v>155</v>
      </c>
      <c r="M975" s="17" t="s">
        <v>155</v>
      </c>
      <c r="N975" s="17" t="s">
        <v>155</v>
      </c>
      <c r="O975" s="17" t="s">
        <v>155</v>
      </c>
    </row>
    <row r="977" spans="10:15" x14ac:dyDescent="0.3">
      <c r="J977" t="s">
        <v>767</v>
      </c>
    </row>
    <row r="978" spans="10:15" x14ac:dyDescent="0.3">
      <c r="K978" s="17" t="s">
        <v>164</v>
      </c>
      <c r="L978" s="17" t="s">
        <v>165</v>
      </c>
      <c r="M978" s="17" t="s">
        <v>166</v>
      </c>
      <c r="N978" s="17" t="s">
        <v>167</v>
      </c>
      <c r="O978" s="17" t="s">
        <v>168</v>
      </c>
    </row>
    <row r="979" spans="10:15" x14ac:dyDescent="0.3">
      <c r="J979" t="s">
        <v>555</v>
      </c>
      <c r="K979" s="17" t="s">
        <v>375</v>
      </c>
      <c r="L979" s="17" t="s">
        <v>155</v>
      </c>
      <c r="M979" s="17" t="s">
        <v>155</v>
      </c>
      <c r="N979" s="17" t="s">
        <v>155</v>
      </c>
      <c r="O979" s="17" t="s">
        <v>155</v>
      </c>
    </row>
    <row r="980" spans="10:15" x14ac:dyDescent="0.3">
      <c r="J980" t="s">
        <v>556</v>
      </c>
      <c r="K980" s="17" t="s">
        <v>375</v>
      </c>
      <c r="L980" s="17" t="s">
        <v>155</v>
      </c>
      <c r="M980" s="17" t="s">
        <v>155</v>
      </c>
      <c r="N980" s="17" t="s">
        <v>155</v>
      </c>
      <c r="O980" s="17" t="s">
        <v>155</v>
      </c>
    </row>
    <row r="981" spans="10:15" x14ac:dyDescent="0.3">
      <c r="J981" t="s">
        <v>557</v>
      </c>
      <c r="K981" s="17" t="s">
        <v>375</v>
      </c>
      <c r="L981" s="17" t="s">
        <v>155</v>
      </c>
      <c r="M981" s="17" t="s">
        <v>155</v>
      </c>
      <c r="N981" s="17" t="s">
        <v>155</v>
      </c>
      <c r="O981" s="17" t="s">
        <v>155</v>
      </c>
    </row>
    <row r="982" spans="10:15" x14ac:dyDescent="0.3">
      <c r="J982" t="s">
        <v>158</v>
      </c>
      <c r="K982" s="17" t="s">
        <v>375</v>
      </c>
      <c r="L982" s="17" t="s">
        <v>155</v>
      </c>
      <c r="M982" s="17" t="s">
        <v>155</v>
      </c>
      <c r="N982" s="17" t="s">
        <v>155</v>
      </c>
      <c r="O982" s="17" t="s">
        <v>155</v>
      </c>
    </row>
    <row r="983" spans="10:15" x14ac:dyDescent="0.3">
      <c r="J983" t="s">
        <v>159</v>
      </c>
      <c r="K983" s="17" t="s">
        <v>375</v>
      </c>
      <c r="L983" s="17" t="s">
        <v>155</v>
      </c>
      <c r="M983" s="17" t="s">
        <v>155</v>
      </c>
      <c r="N983" s="17" t="s">
        <v>155</v>
      </c>
      <c r="O983" s="17" t="s">
        <v>155</v>
      </c>
    </row>
    <row r="984" spans="10:15" x14ac:dyDescent="0.3">
      <c r="J984" t="s">
        <v>160</v>
      </c>
      <c r="K984" s="17" t="s">
        <v>375</v>
      </c>
      <c r="L984" s="17" t="s">
        <v>155</v>
      </c>
      <c r="M984" s="17" t="s">
        <v>155</v>
      </c>
      <c r="N984" s="17" t="s">
        <v>155</v>
      </c>
      <c r="O984" s="17" t="s">
        <v>155</v>
      </c>
    </row>
    <row r="985" spans="10:15" x14ac:dyDescent="0.3">
      <c r="J985" t="s">
        <v>561</v>
      </c>
      <c r="K985" s="17" t="s">
        <v>155</v>
      </c>
      <c r="L985" s="17" t="s">
        <v>155</v>
      </c>
      <c r="M985" s="17" t="s">
        <v>155</v>
      </c>
      <c r="N985" s="17" t="s">
        <v>155</v>
      </c>
      <c r="O985" s="17" t="s">
        <v>155</v>
      </c>
    </row>
    <row r="986" spans="10:15" x14ac:dyDescent="0.3">
      <c r="J986" t="s">
        <v>562</v>
      </c>
      <c r="K986" s="17" t="s">
        <v>155</v>
      </c>
      <c r="L986" s="17" t="s">
        <v>155</v>
      </c>
      <c r="M986" s="17" t="s">
        <v>155</v>
      </c>
      <c r="N986" s="17" t="s">
        <v>155</v>
      </c>
      <c r="O986" s="17" t="s">
        <v>155</v>
      </c>
    </row>
    <row r="987" spans="10:15" x14ac:dyDescent="0.3">
      <c r="J987" t="s">
        <v>563</v>
      </c>
      <c r="K987" s="17" t="s">
        <v>155</v>
      </c>
      <c r="L987" s="17" t="s">
        <v>155</v>
      </c>
      <c r="M987" s="17" t="s">
        <v>155</v>
      </c>
      <c r="N987" s="17" t="s">
        <v>155</v>
      </c>
      <c r="O987" s="17" t="s">
        <v>155</v>
      </c>
    </row>
    <row r="988" spans="10:15" x14ac:dyDescent="0.3">
      <c r="J988" t="s">
        <v>564</v>
      </c>
      <c r="K988" s="17" t="s">
        <v>155</v>
      </c>
      <c r="L988" s="17" t="s">
        <v>155</v>
      </c>
      <c r="M988" s="17" t="s">
        <v>155</v>
      </c>
      <c r="N988" s="17" t="s">
        <v>155</v>
      </c>
      <c r="O988" s="17" t="s">
        <v>155</v>
      </c>
    </row>
    <row r="989" spans="10:15" x14ac:dyDescent="0.3">
      <c r="J989" t="s">
        <v>549</v>
      </c>
      <c r="K989" s="17" t="s">
        <v>155</v>
      </c>
      <c r="L989" s="17" t="s">
        <v>155</v>
      </c>
      <c r="M989" s="17" t="s">
        <v>155</v>
      </c>
      <c r="N989" s="17" t="s">
        <v>155</v>
      </c>
      <c r="O989" s="17" t="s">
        <v>155</v>
      </c>
    </row>
    <row r="990" spans="10:15" x14ac:dyDescent="0.3">
      <c r="J990" t="s">
        <v>550</v>
      </c>
      <c r="K990" s="17" t="s">
        <v>155</v>
      </c>
      <c r="L990" s="17" t="s">
        <v>155</v>
      </c>
      <c r="M990" s="17" t="s">
        <v>155</v>
      </c>
      <c r="N990" s="17" t="s">
        <v>155</v>
      </c>
      <c r="O990" s="17" t="s">
        <v>155</v>
      </c>
    </row>
    <row r="991" spans="10:15" x14ac:dyDescent="0.3">
      <c r="J991" t="s">
        <v>551</v>
      </c>
      <c r="K991" s="17" t="s">
        <v>155</v>
      </c>
      <c r="L991" s="17" t="s">
        <v>155</v>
      </c>
      <c r="M991" s="17" t="s">
        <v>155</v>
      </c>
      <c r="N991" s="17" t="s">
        <v>155</v>
      </c>
      <c r="O991" s="17" t="s">
        <v>155</v>
      </c>
    </row>
    <row r="992" spans="10:15" x14ac:dyDescent="0.3">
      <c r="J992" t="s">
        <v>552</v>
      </c>
      <c r="K992" s="17" t="s">
        <v>155</v>
      </c>
      <c r="L992" s="17" t="s">
        <v>155</v>
      </c>
      <c r="M992" s="17" t="s">
        <v>155</v>
      </c>
      <c r="N992" s="17" t="s">
        <v>155</v>
      </c>
      <c r="O992" s="17" t="s">
        <v>155</v>
      </c>
    </row>
    <row r="993" spans="10:15" x14ac:dyDescent="0.3">
      <c r="J993" t="s">
        <v>553</v>
      </c>
      <c r="K993" s="17" t="s">
        <v>155</v>
      </c>
      <c r="L993" s="17" t="s">
        <v>155</v>
      </c>
      <c r="M993" s="17" t="s">
        <v>155</v>
      </c>
      <c r="N993" s="17" t="s">
        <v>155</v>
      </c>
      <c r="O993" s="17" t="s">
        <v>155</v>
      </c>
    </row>
    <row r="995" spans="10:15" x14ac:dyDescent="0.3">
      <c r="J995" t="s">
        <v>768</v>
      </c>
    </row>
    <row r="996" spans="10:15" x14ac:dyDescent="0.3">
      <c r="K996" s="17" t="s">
        <v>164</v>
      </c>
      <c r="L996" s="17" t="s">
        <v>165</v>
      </c>
      <c r="M996" s="17" t="s">
        <v>166</v>
      </c>
      <c r="N996" s="17" t="s">
        <v>167</v>
      </c>
      <c r="O996" s="17" t="s">
        <v>168</v>
      </c>
    </row>
    <row r="997" spans="10:15" x14ac:dyDescent="0.3">
      <c r="J997" t="s">
        <v>555</v>
      </c>
      <c r="K997" s="17" t="s">
        <v>375</v>
      </c>
      <c r="L997" s="17" t="s">
        <v>155</v>
      </c>
      <c r="M997" s="17" t="s">
        <v>155</v>
      </c>
      <c r="N997" s="17" t="s">
        <v>155</v>
      </c>
      <c r="O997" s="17" t="s">
        <v>155</v>
      </c>
    </row>
    <row r="998" spans="10:15" x14ac:dyDescent="0.3">
      <c r="J998" t="s">
        <v>556</v>
      </c>
      <c r="K998" s="17" t="s">
        <v>375</v>
      </c>
      <c r="L998" s="17" t="s">
        <v>155</v>
      </c>
      <c r="M998" s="17" t="s">
        <v>155</v>
      </c>
      <c r="N998" s="17" t="s">
        <v>155</v>
      </c>
      <c r="O998" s="17" t="s">
        <v>155</v>
      </c>
    </row>
    <row r="999" spans="10:15" x14ac:dyDescent="0.3">
      <c r="J999" t="s">
        <v>557</v>
      </c>
      <c r="K999" s="17" t="s">
        <v>375</v>
      </c>
      <c r="L999" s="17" t="s">
        <v>155</v>
      </c>
      <c r="M999" s="17" t="s">
        <v>155</v>
      </c>
      <c r="N999" s="17" t="s">
        <v>155</v>
      </c>
      <c r="O999" s="17" t="s">
        <v>155</v>
      </c>
    </row>
    <row r="1000" spans="10:15" x14ac:dyDescent="0.3">
      <c r="J1000" t="s">
        <v>158</v>
      </c>
      <c r="K1000" s="17" t="s">
        <v>375</v>
      </c>
      <c r="L1000" s="17" t="s">
        <v>155</v>
      </c>
      <c r="M1000" s="17" t="s">
        <v>155</v>
      </c>
      <c r="N1000" s="17" t="s">
        <v>155</v>
      </c>
      <c r="O1000" s="17" t="s">
        <v>155</v>
      </c>
    </row>
    <row r="1001" spans="10:15" x14ac:dyDescent="0.3">
      <c r="J1001" t="s">
        <v>159</v>
      </c>
      <c r="K1001" s="17" t="s">
        <v>375</v>
      </c>
      <c r="L1001" s="17" t="s">
        <v>155</v>
      </c>
      <c r="M1001" s="17" t="s">
        <v>155</v>
      </c>
      <c r="N1001" s="17" t="s">
        <v>155</v>
      </c>
      <c r="O1001" s="17" t="s">
        <v>155</v>
      </c>
    </row>
    <row r="1002" spans="10:15" x14ac:dyDescent="0.3">
      <c r="J1002" t="s">
        <v>160</v>
      </c>
      <c r="K1002" s="17" t="s">
        <v>375</v>
      </c>
      <c r="L1002" s="17" t="s">
        <v>155</v>
      </c>
      <c r="M1002" s="17" t="s">
        <v>155</v>
      </c>
      <c r="N1002" s="17" t="s">
        <v>155</v>
      </c>
      <c r="O1002" s="17" t="s">
        <v>155</v>
      </c>
    </row>
    <row r="1003" spans="10:15" x14ac:dyDescent="0.3">
      <c r="J1003" t="s">
        <v>561</v>
      </c>
      <c r="K1003" s="17" t="s">
        <v>155</v>
      </c>
      <c r="L1003" s="17" t="s">
        <v>155</v>
      </c>
      <c r="M1003" s="17" t="s">
        <v>155</v>
      </c>
      <c r="N1003" s="17" t="s">
        <v>155</v>
      </c>
      <c r="O1003" s="17" t="s">
        <v>155</v>
      </c>
    </row>
    <row r="1004" spans="10:15" x14ac:dyDescent="0.3">
      <c r="J1004" t="s">
        <v>562</v>
      </c>
      <c r="K1004" s="17" t="s">
        <v>155</v>
      </c>
      <c r="L1004" s="17" t="s">
        <v>155</v>
      </c>
      <c r="M1004" s="17" t="s">
        <v>155</v>
      </c>
      <c r="N1004" s="17" t="s">
        <v>155</v>
      </c>
      <c r="O1004" s="17" t="s">
        <v>155</v>
      </c>
    </row>
    <row r="1005" spans="10:15" x14ac:dyDescent="0.3">
      <c r="J1005" t="s">
        <v>563</v>
      </c>
      <c r="K1005" s="17" t="s">
        <v>155</v>
      </c>
      <c r="L1005" s="17" t="s">
        <v>155</v>
      </c>
      <c r="M1005" s="17" t="s">
        <v>155</v>
      </c>
      <c r="N1005" s="17" t="s">
        <v>155</v>
      </c>
      <c r="O1005" s="17" t="s">
        <v>155</v>
      </c>
    </row>
    <row r="1006" spans="10:15" x14ac:dyDescent="0.3">
      <c r="J1006" t="s">
        <v>564</v>
      </c>
      <c r="K1006" s="17" t="s">
        <v>155</v>
      </c>
      <c r="L1006" s="17" t="s">
        <v>155</v>
      </c>
      <c r="M1006" s="17" t="s">
        <v>155</v>
      </c>
      <c r="N1006" s="17" t="s">
        <v>155</v>
      </c>
      <c r="O1006" s="17" t="s">
        <v>155</v>
      </c>
    </row>
    <row r="1007" spans="10:15" x14ac:dyDescent="0.3">
      <c r="J1007" t="s">
        <v>549</v>
      </c>
      <c r="K1007" s="17" t="s">
        <v>155</v>
      </c>
      <c r="L1007" s="17" t="s">
        <v>155</v>
      </c>
      <c r="M1007" s="17" t="s">
        <v>155</v>
      </c>
      <c r="N1007" s="17" t="s">
        <v>155</v>
      </c>
      <c r="O1007" s="17" t="s">
        <v>155</v>
      </c>
    </row>
    <row r="1008" spans="10:15" x14ac:dyDescent="0.3">
      <c r="J1008" t="s">
        <v>550</v>
      </c>
      <c r="K1008" s="17" t="s">
        <v>155</v>
      </c>
      <c r="L1008" s="17" t="s">
        <v>155</v>
      </c>
      <c r="M1008" s="17" t="s">
        <v>155</v>
      </c>
      <c r="N1008" s="17" t="s">
        <v>155</v>
      </c>
      <c r="O1008" s="17" t="s">
        <v>155</v>
      </c>
    </row>
    <row r="1009" spans="10:15" x14ac:dyDescent="0.3">
      <c r="J1009" t="s">
        <v>551</v>
      </c>
      <c r="K1009" s="17" t="s">
        <v>155</v>
      </c>
      <c r="L1009" s="17" t="s">
        <v>155</v>
      </c>
      <c r="M1009" s="17" t="s">
        <v>155</v>
      </c>
      <c r="N1009" s="17" t="s">
        <v>155</v>
      </c>
      <c r="O1009" s="17" t="s">
        <v>155</v>
      </c>
    </row>
    <row r="1010" spans="10:15" x14ac:dyDescent="0.3">
      <c r="J1010" t="s">
        <v>552</v>
      </c>
      <c r="K1010" s="17" t="s">
        <v>155</v>
      </c>
      <c r="L1010" s="17" t="s">
        <v>155</v>
      </c>
      <c r="M1010" s="17" t="s">
        <v>155</v>
      </c>
      <c r="N1010" s="17" t="s">
        <v>155</v>
      </c>
      <c r="O1010" s="17" t="s">
        <v>155</v>
      </c>
    </row>
    <row r="1011" spans="10:15" x14ac:dyDescent="0.3">
      <c r="J1011" t="s">
        <v>553</v>
      </c>
      <c r="K1011" s="17" t="s">
        <v>155</v>
      </c>
      <c r="L1011" s="17" t="s">
        <v>155</v>
      </c>
      <c r="M1011" s="17" t="s">
        <v>155</v>
      </c>
      <c r="N1011" s="17" t="s">
        <v>155</v>
      </c>
      <c r="O1011" s="17" t="s">
        <v>155</v>
      </c>
    </row>
    <row r="1013" spans="10:15" x14ac:dyDescent="0.3">
      <c r="J1013" t="s">
        <v>769</v>
      </c>
    </row>
    <row r="1014" spans="10:15" x14ac:dyDescent="0.3">
      <c r="K1014" s="17" t="s">
        <v>164</v>
      </c>
      <c r="L1014" s="17" t="s">
        <v>165</v>
      </c>
      <c r="M1014" s="17" t="s">
        <v>166</v>
      </c>
      <c r="N1014" s="17" t="s">
        <v>167</v>
      </c>
      <c r="O1014" s="17" t="s">
        <v>168</v>
      </c>
    </row>
    <row r="1015" spans="10:15" x14ac:dyDescent="0.3">
      <c r="J1015" t="s">
        <v>555</v>
      </c>
      <c r="K1015" s="17" t="s">
        <v>155</v>
      </c>
      <c r="L1015" s="17" t="s">
        <v>155</v>
      </c>
      <c r="M1015" s="17" t="s">
        <v>155</v>
      </c>
      <c r="N1015" s="17" t="s">
        <v>155</v>
      </c>
      <c r="O1015" s="17" t="s">
        <v>155</v>
      </c>
    </row>
    <row r="1016" spans="10:15" x14ac:dyDescent="0.3">
      <c r="J1016" t="s">
        <v>556</v>
      </c>
      <c r="K1016" s="17" t="s">
        <v>155</v>
      </c>
      <c r="L1016" s="17" t="s">
        <v>155</v>
      </c>
      <c r="M1016" s="17" t="s">
        <v>155</v>
      </c>
      <c r="N1016" s="17" t="s">
        <v>155</v>
      </c>
      <c r="O1016" s="17" t="s">
        <v>155</v>
      </c>
    </row>
    <row r="1017" spans="10:15" x14ac:dyDescent="0.3">
      <c r="J1017" t="s">
        <v>557</v>
      </c>
      <c r="K1017" s="17" t="s">
        <v>155</v>
      </c>
      <c r="L1017" s="17" t="s">
        <v>276</v>
      </c>
      <c r="M1017" s="17" t="s">
        <v>276</v>
      </c>
      <c r="N1017" s="17" t="s">
        <v>155</v>
      </c>
      <c r="O1017" s="17" t="s">
        <v>276</v>
      </c>
    </row>
    <row r="1018" spans="10:15" x14ac:dyDescent="0.3">
      <c r="J1018" t="s">
        <v>158</v>
      </c>
      <c r="K1018" s="17" t="s">
        <v>155</v>
      </c>
      <c r="L1018" s="17" t="s">
        <v>276</v>
      </c>
      <c r="M1018" s="17" t="s">
        <v>276</v>
      </c>
      <c r="N1018" s="17" t="s">
        <v>155</v>
      </c>
      <c r="O1018" s="17" t="s">
        <v>155</v>
      </c>
    </row>
    <row r="1019" spans="10:15" x14ac:dyDescent="0.3">
      <c r="J1019" t="s">
        <v>159</v>
      </c>
      <c r="K1019" s="17" t="s">
        <v>155</v>
      </c>
      <c r="L1019" s="17" t="s">
        <v>276</v>
      </c>
      <c r="M1019" s="17" t="s">
        <v>155</v>
      </c>
      <c r="N1019" s="17" t="s">
        <v>276</v>
      </c>
      <c r="O1019" s="17" t="s">
        <v>155</v>
      </c>
    </row>
    <row r="1020" spans="10:15" x14ac:dyDescent="0.3">
      <c r="J1020" t="s">
        <v>160</v>
      </c>
      <c r="K1020" s="17" t="s">
        <v>276</v>
      </c>
      <c r="L1020" s="17" t="s">
        <v>155</v>
      </c>
      <c r="M1020" s="17" t="s">
        <v>155</v>
      </c>
      <c r="N1020" s="17" t="s">
        <v>276</v>
      </c>
      <c r="O1020" s="17" t="s">
        <v>155</v>
      </c>
    </row>
    <row r="1021" spans="10:15" x14ac:dyDescent="0.3">
      <c r="J1021" t="s">
        <v>561</v>
      </c>
      <c r="K1021" s="17" t="s">
        <v>155</v>
      </c>
      <c r="L1021" s="17" t="s">
        <v>155</v>
      </c>
      <c r="M1021" s="17" t="s">
        <v>155</v>
      </c>
      <c r="N1021" s="17" t="s">
        <v>155</v>
      </c>
      <c r="O1021" s="17" t="s">
        <v>155</v>
      </c>
    </row>
    <row r="1022" spans="10:15" x14ac:dyDescent="0.3">
      <c r="J1022" t="s">
        <v>562</v>
      </c>
      <c r="K1022" s="17" t="s">
        <v>155</v>
      </c>
      <c r="L1022" s="17" t="s">
        <v>155</v>
      </c>
      <c r="M1022" s="17" t="s">
        <v>155</v>
      </c>
      <c r="N1022" s="17" t="s">
        <v>155</v>
      </c>
      <c r="O1022" s="17" t="s">
        <v>155</v>
      </c>
    </row>
    <row r="1023" spans="10:15" x14ac:dyDescent="0.3">
      <c r="J1023" t="s">
        <v>563</v>
      </c>
      <c r="K1023" s="17" t="s">
        <v>155</v>
      </c>
      <c r="L1023" s="17" t="s">
        <v>155</v>
      </c>
      <c r="M1023" s="17" t="s">
        <v>155</v>
      </c>
      <c r="N1023" s="17" t="s">
        <v>155</v>
      </c>
      <c r="O1023" s="17" t="s">
        <v>155</v>
      </c>
    </row>
    <row r="1024" spans="10:15" x14ac:dyDescent="0.3">
      <c r="J1024" t="s">
        <v>564</v>
      </c>
      <c r="K1024" s="17" t="s">
        <v>155</v>
      </c>
      <c r="L1024" s="17" t="s">
        <v>155</v>
      </c>
      <c r="M1024" s="17" t="s">
        <v>155</v>
      </c>
      <c r="N1024" s="17" t="s">
        <v>155</v>
      </c>
      <c r="O1024" s="17" t="s">
        <v>155</v>
      </c>
    </row>
    <row r="1025" spans="10:15" x14ac:dyDescent="0.3">
      <c r="J1025" t="s">
        <v>549</v>
      </c>
      <c r="K1025" s="17" t="s">
        <v>155</v>
      </c>
      <c r="L1025" s="17" t="s">
        <v>155</v>
      </c>
      <c r="M1025" s="17" t="s">
        <v>155</v>
      </c>
      <c r="N1025" s="17" t="s">
        <v>155</v>
      </c>
      <c r="O1025" s="17" t="s">
        <v>155</v>
      </c>
    </row>
    <row r="1026" spans="10:15" x14ac:dyDescent="0.3">
      <c r="J1026" t="s">
        <v>550</v>
      </c>
      <c r="K1026" s="17" t="s">
        <v>155</v>
      </c>
      <c r="L1026" s="17" t="s">
        <v>155</v>
      </c>
      <c r="M1026" s="17" t="s">
        <v>155</v>
      </c>
      <c r="N1026" s="17" t="s">
        <v>155</v>
      </c>
      <c r="O1026" s="17" t="s">
        <v>155</v>
      </c>
    </row>
    <row r="1027" spans="10:15" x14ac:dyDescent="0.3">
      <c r="J1027" t="s">
        <v>551</v>
      </c>
      <c r="K1027" s="17" t="s">
        <v>155</v>
      </c>
      <c r="L1027" s="17" t="s">
        <v>155</v>
      </c>
      <c r="M1027" s="17" t="s">
        <v>155</v>
      </c>
      <c r="N1027" s="17" t="s">
        <v>155</v>
      </c>
      <c r="O1027" s="17" t="s">
        <v>155</v>
      </c>
    </row>
    <row r="1028" spans="10:15" x14ac:dyDescent="0.3">
      <c r="J1028" t="s">
        <v>552</v>
      </c>
      <c r="K1028" s="17" t="s">
        <v>155</v>
      </c>
      <c r="L1028" s="17" t="s">
        <v>155</v>
      </c>
      <c r="M1028" s="17" t="s">
        <v>155</v>
      </c>
      <c r="N1028" s="17" t="s">
        <v>155</v>
      </c>
      <c r="O1028" s="17" t="s">
        <v>155</v>
      </c>
    </row>
    <row r="1029" spans="10:15" x14ac:dyDescent="0.3">
      <c r="J1029" t="s">
        <v>553</v>
      </c>
      <c r="K1029" s="17" t="s">
        <v>155</v>
      </c>
      <c r="L1029" s="17" t="s">
        <v>155</v>
      </c>
      <c r="M1029" s="17" t="s">
        <v>155</v>
      </c>
      <c r="N1029" s="17" t="s">
        <v>155</v>
      </c>
      <c r="O1029" s="17" t="s">
        <v>155</v>
      </c>
    </row>
    <row r="1031" spans="10:15" x14ac:dyDescent="0.3">
      <c r="J1031" t="s">
        <v>770</v>
      </c>
    </row>
    <row r="1032" spans="10:15" x14ac:dyDescent="0.3">
      <c r="K1032" s="17" t="s">
        <v>164</v>
      </c>
      <c r="L1032" s="17" t="s">
        <v>165</v>
      </c>
      <c r="M1032" s="17" t="s">
        <v>166</v>
      </c>
      <c r="N1032" s="17" t="s">
        <v>167</v>
      </c>
      <c r="O1032" s="17" t="s">
        <v>168</v>
      </c>
    </row>
    <row r="1033" spans="10:15" x14ac:dyDescent="0.3">
      <c r="J1033" t="s">
        <v>555</v>
      </c>
      <c r="K1033" s="17" t="s">
        <v>155</v>
      </c>
      <c r="L1033" s="17" t="s">
        <v>155</v>
      </c>
      <c r="M1033" s="17" t="s">
        <v>425</v>
      </c>
      <c r="N1033" s="17" t="s">
        <v>155</v>
      </c>
      <c r="O1033" s="17" t="s">
        <v>425</v>
      </c>
    </row>
    <row r="1034" spans="10:15" x14ac:dyDescent="0.3">
      <c r="J1034" t="s">
        <v>556</v>
      </c>
      <c r="K1034" s="17" t="s">
        <v>155</v>
      </c>
      <c r="L1034" s="17" t="s">
        <v>155</v>
      </c>
      <c r="M1034" s="17" t="s">
        <v>425</v>
      </c>
      <c r="N1034" s="17" t="s">
        <v>155</v>
      </c>
      <c r="O1034" s="17" t="s">
        <v>425</v>
      </c>
    </row>
    <row r="1035" spans="10:15" x14ac:dyDescent="0.3">
      <c r="J1035" t="s">
        <v>557</v>
      </c>
      <c r="K1035" s="17" t="s">
        <v>155</v>
      </c>
      <c r="L1035" s="17" t="s">
        <v>155</v>
      </c>
      <c r="M1035" s="17" t="s">
        <v>425</v>
      </c>
      <c r="N1035" s="17" t="s">
        <v>155</v>
      </c>
      <c r="O1035" s="17" t="s">
        <v>425</v>
      </c>
    </row>
    <row r="1036" spans="10:15" x14ac:dyDescent="0.3">
      <c r="J1036" t="s">
        <v>158</v>
      </c>
      <c r="K1036" s="17" t="s">
        <v>155</v>
      </c>
      <c r="L1036" s="17" t="s">
        <v>155</v>
      </c>
      <c r="M1036" s="17" t="s">
        <v>155</v>
      </c>
      <c r="N1036" s="17" t="s">
        <v>155</v>
      </c>
      <c r="O1036" s="17" t="s">
        <v>155</v>
      </c>
    </row>
    <row r="1037" spans="10:15" x14ac:dyDescent="0.3">
      <c r="J1037" t="s">
        <v>159</v>
      </c>
      <c r="K1037" s="17" t="s">
        <v>155</v>
      </c>
      <c r="L1037" s="17" t="s">
        <v>155</v>
      </c>
      <c r="M1037" s="17" t="s">
        <v>155</v>
      </c>
      <c r="N1037" s="17" t="s">
        <v>155</v>
      </c>
      <c r="O1037" s="17" t="s">
        <v>155</v>
      </c>
    </row>
    <row r="1038" spans="10:15" x14ac:dyDescent="0.3">
      <c r="J1038" t="s">
        <v>160</v>
      </c>
      <c r="K1038" s="17" t="s">
        <v>155</v>
      </c>
      <c r="L1038" s="17" t="s">
        <v>155</v>
      </c>
      <c r="M1038" s="17" t="s">
        <v>155</v>
      </c>
      <c r="N1038" s="17" t="s">
        <v>155</v>
      </c>
      <c r="O1038" s="17" t="s">
        <v>155</v>
      </c>
    </row>
    <row r="1039" spans="10:15" x14ac:dyDescent="0.3">
      <c r="J1039" t="s">
        <v>561</v>
      </c>
      <c r="K1039" s="17" t="s">
        <v>155</v>
      </c>
      <c r="L1039" s="17" t="s">
        <v>155</v>
      </c>
      <c r="M1039" s="17" t="s">
        <v>155</v>
      </c>
      <c r="N1039" s="17" t="s">
        <v>155</v>
      </c>
      <c r="O1039" s="17" t="s">
        <v>155</v>
      </c>
    </row>
    <row r="1040" spans="10:15" x14ac:dyDescent="0.3">
      <c r="J1040" t="s">
        <v>562</v>
      </c>
      <c r="K1040" s="17" t="s">
        <v>155</v>
      </c>
      <c r="L1040" s="17" t="s">
        <v>155</v>
      </c>
      <c r="M1040" s="17" t="s">
        <v>155</v>
      </c>
      <c r="N1040" s="17" t="s">
        <v>155</v>
      </c>
      <c r="O1040" s="17" t="s">
        <v>155</v>
      </c>
    </row>
    <row r="1041" spans="10:15" x14ac:dyDescent="0.3">
      <c r="J1041" t="s">
        <v>563</v>
      </c>
      <c r="K1041" s="17" t="s">
        <v>155</v>
      </c>
      <c r="L1041" s="17" t="s">
        <v>155</v>
      </c>
      <c r="M1041" s="17" t="s">
        <v>155</v>
      </c>
      <c r="N1041" s="17" t="s">
        <v>155</v>
      </c>
      <c r="O1041" s="17" t="s">
        <v>155</v>
      </c>
    </row>
    <row r="1042" spans="10:15" x14ac:dyDescent="0.3">
      <c r="J1042" t="s">
        <v>564</v>
      </c>
      <c r="K1042" s="17" t="s">
        <v>155</v>
      </c>
      <c r="L1042" s="17" t="s">
        <v>155</v>
      </c>
      <c r="M1042" s="17" t="s">
        <v>155</v>
      </c>
      <c r="N1042" s="17" t="s">
        <v>155</v>
      </c>
      <c r="O1042" s="17" t="s">
        <v>155</v>
      </c>
    </row>
    <row r="1043" spans="10:15" x14ac:dyDescent="0.3">
      <c r="J1043" t="s">
        <v>549</v>
      </c>
      <c r="K1043" s="17" t="s">
        <v>155</v>
      </c>
      <c r="L1043" s="17" t="s">
        <v>155</v>
      </c>
      <c r="M1043" s="17" t="s">
        <v>155</v>
      </c>
      <c r="N1043" s="17" t="s">
        <v>155</v>
      </c>
      <c r="O1043" s="17" t="s">
        <v>155</v>
      </c>
    </row>
    <row r="1044" spans="10:15" x14ac:dyDescent="0.3">
      <c r="J1044" t="s">
        <v>550</v>
      </c>
      <c r="K1044" s="17" t="s">
        <v>155</v>
      </c>
      <c r="L1044" s="17" t="s">
        <v>155</v>
      </c>
      <c r="M1044" s="17" t="s">
        <v>155</v>
      </c>
      <c r="N1044" s="17" t="s">
        <v>155</v>
      </c>
      <c r="O1044" s="17" t="s">
        <v>155</v>
      </c>
    </row>
    <row r="1045" spans="10:15" x14ac:dyDescent="0.3">
      <c r="J1045" t="s">
        <v>551</v>
      </c>
      <c r="K1045" s="17" t="s">
        <v>155</v>
      </c>
      <c r="L1045" s="17" t="s">
        <v>155</v>
      </c>
      <c r="M1045" s="17" t="s">
        <v>155</v>
      </c>
      <c r="N1045" s="17" t="s">
        <v>155</v>
      </c>
      <c r="O1045" s="17" t="s">
        <v>155</v>
      </c>
    </row>
    <row r="1046" spans="10:15" x14ac:dyDescent="0.3">
      <c r="J1046" t="s">
        <v>552</v>
      </c>
      <c r="K1046" s="17" t="s">
        <v>155</v>
      </c>
      <c r="L1046" s="17" t="s">
        <v>155</v>
      </c>
      <c r="M1046" s="17" t="s">
        <v>155</v>
      </c>
      <c r="N1046" s="17" t="s">
        <v>155</v>
      </c>
      <c r="O1046" s="17" t="s">
        <v>155</v>
      </c>
    </row>
    <row r="1047" spans="10:15" x14ac:dyDescent="0.3">
      <c r="J1047" t="s">
        <v>553</v>
      </c>
      <c r="K1047" s="17" t="s">
        <v>155</v>
      </c>
      <c r="L1047" s="17" t="s">
        <v>155</v>
      </c>
      <c r="M1047" s="17" t="s">
        <v>155</v>
      </c>
      <c r="N1047" s="17" t="s">
        <v>155</v>
      </c>
      <c r="O1047" s="17" t="s">
        <v>155</v>
      </c>
    </row>
    <row r="1049" spans="10:15" x14ac:dyDescent="0.3">
      <c r="J1049" t="s">
        <v>771</v>
      </c>
    </row>
    <row r="1050" spans="10:15" x14ac:dyDescent="0.3">
      <c r="K1050" s="17" t="s">
        <v>164</v>
      </c>
      <c r="L1050" s="17" t="s">
        <v>165</v>
      </c>
      <c r="M1050" s="17" t="s">
        <v>166</v>
      </c>
      <c r="N1050" s="17" t="s">
        <v>167</v>
      </c>
      <c r="O1050" s="17" t="s">
        <v>168</v>
      </c>
    </row>
    <row r="1051" spans="10:15" x14ac:dyDescent="0.3">
      <c r="J1051" t="s">
        <v>555</v>
      </c>
      <c r="K1051" s="17" t="s">
        <v>155</v>
      </c>
      <c r="L1051" s="17" t="s">
        <v>274</v>
      </c>
      <c r="M1051" s="17" t="s">
        <v>155</v>
      </c>
      <c r="N1051" s="17" t="s">
        <v>274</v>
      </c>
      <c r="O1051" s="17" t="s">
        <v>155</v>
      </c>
    </row>
    <row r="1052" spans="10:15" x14ac:dyDescent="0.3">
      <c r="J1052" t="s">
        <v>556</v>
      </c>
      <c r="K1052" s="17" t="s">
        <v>155</v>
      </c>
      <c r="L1052" s="17" t="s">
        <v>274</v>
      </c>
      <c r="M1052" s="17" t="s">
        <v>155</v>
      </c>
      <c r="N1052" s="17" t="s">
        <v>274</v>
      </c>
      <c r="O1052" s="17" t="s">
        <v>155</v>
      </c>
    </row>
    <row r="1053" spans="10:15" x14ac:dyDescent="0.3">
      <c r="J1053" t="s">
        <v>557</v>
      </c>
      <c r="K1053" s="17" t="s">
        <v>155</v>
      </c>
      <c r="L1053" s="17" t="s">
        <v>155</v>
      </c>
      <c r="M1053" s="17" t="s">
        <v>155</v>
      </c>
      <c r="N1053" s="17" t="s">
        <v>274</v>
      </c>
      <c r="O1053" s="17" t="s">
        <v>155</v>
      </c>
    </row>
    <row r="1054" spans="10:15" x14ac:dyDescent="0.3">
      <c r="J1054" t="s">
        <v>158</v>
      </c>
      <c r="K1054" s="17" t="s">
        <v>155</v>
      </c>
      <c r="L1054" s="17" t="s">
        <v>155</v>
      </c>
      <c r="M1054" s="17" t="s">
        <v>155</v>
      </c>
      <c r="N1054" s="17" t="s">
        <v>155</v>
      </c>
      <c r="O1054" s="17" t="s">
        <v>155</v>
      </c>
    </row>
    <row r="1055" spans="10:15" x14ac:dyDescent="0.3">
      <c r="J1055" t="s">
        <v>159</v>
      </c>
      <c r="K1055" s="17" t="s">
        <v>155</v>
      </c>
      <c r="L1055" s="17" t="s">
        <v>155</v>
      </c>
      <c r="M1055" s="17" t="s">
        <v>155</v>
      </c>
      <c r="N1055" s="17" t="s">
        <v>155</v>
      </c>
      <c r="O1055" s="17" t="s">
        <v>155</v>
      </c>
    </row>
    <row r="1056" spans="10:15" x14ac:dyDescent="0.3">
      <c r="J1056" t="s">
        <v>160</v>
      </c>
      <c r="K1056" s="17" t="s">
        <v>155</v>
      </c>
      <c r="L1056" s="17" t="s">
        <v>155</v>
      </c>
      <c r="M1056" s="17" t="s">
        <v>155</v>
      </c>
      <c r="N1056" s="17" t="s">
        <v>155</v>
      </c>
      <c r="O1056" s="17" t="s">
        <v>155</v>
      </c>
    </row>
    <row r="1057" spans="10:15" x14ac:dyDescent="0.3">
      <c r="J1057" t="s">
        <v>561</v>
      </c>
      <c r="K1057" s="17" t="s">
        <v>155</v>
      </c>
      <c r="L1057" s="17" t="s">
        <v>155</v>
      </c>
      <c r="M1057" s="17" t="s">
        <v>155</v>
      </c>
      <c r="N1057" s="17" t="s">
        <v>155</v>
      </c>
      <c r="O1057" s="17" t="s">
        <v>155</v>
      </c>
    </row>
    <row r="1058" spans="10:15" x14ac:dyDescent="0.3">
      <c r="J1058" t="s">
        <v>562</v>
      </c>
      <c r="K1058" s="17" t="s">
        <v>155</v>
      </c>
      <c r="L1058" s="17" t="s">
        <v>155</v>
      </c>
      <c r="M1058" s="17" t="s">
        <v>155</v>
      </c>
      <c r="N1058" s="17" t="s">
        <v>155</v>
      </c>
      <c r="O1058" s="17" t="s">
        <v>155</v>
      </c>
    </row>
    <row r="1059" spans="10:15" x14ac:dyDescent="0.3">
      <c r="J1059" t="s">
        <v>563</v>
      </c>
      <c r="K1059" s="17" t="s">
        <v>155</v>
      </c>
      <c r="L1059" s="17" t="s">
        <v>155</v>
      </c>
      <c r="M1059" s="17" t="s">
        <v>155</v>
      </c>
      <c r="N1059" s="17" t="s">
        <v>155</v>
      </c>
      <c r="O1059" s="17" t="s">
        <v>155</v>
      </c>
    </row>
    <row r="1060" spans="10:15" x14ac:dyDescent="0.3">
      <c r="J1060" t="s">
        <v>564</v>
      </c>
      <c r="K1060" s="17" t="s">
        <v>155</v>
      </c>
      <c r="L1060" s="17" t="s">
        <v>155</v>
      </c>
      <c r="M1060" s="17" t="s">
        <v>155</v>
      </c>
      <c r="N1060" s="17" t="s">
        <v>155</v>
      </c>
      <c r="O1060" s="17" t="s">
        <v>155</v>
      </c>
    </row>
    <row r="1061" spans="10:15" x14ac:dyDescent="0.3">
      <c r="J1061" t="s">
        <v>549</v>
      </c>
      <c r="K1061" s="17" t="s">
        <v>155</v>
      </c>
      <c r="L1061" s="17" t="s">
        <v>155</v>
      </c>
      <c r="M1061" s="17" t="s">
        <v>155</v>
      </c>
      <c r="N1061" s="17" t="s">
        <v>155</v>
      </c>
      <c r="O1061" s="17" t="s">
        <v>155</v>
      </c>
    </row>
    <row r="1062" spans="10:15" x14ac:dyDescent="0.3">
      <c r="J1062" t="s">
        <v>550</v>
      </c>
      <c r="K1062" s="17" t="s">
        <v>155</v>
      </c>
      <c r="L1062" s="17" t="s">
        <v>155</v>
      </c>
      <c r="M1062" s="17" t="s">
        <v>155</v>
      </c>
      <c r="N1062" s="17" t="s">
        <v>155</v>
      </c>
      <c r="O1062" s="17" t="s">
        <v>155</v>
      </c>
    </row>
    <row r="1063" spans="10:15" x14ac:dyDescent="0.3">
      <c r="J1063" t="s">
        <v>551</v>
      </c>
      <c r="K1063" s="17" t="s">
        <v>155</v>
      </c>
      <c r="L1063" s="17" t="s">
        <v>155</v>
      </c>
      <c r="M1063" s="17" t="s">
        <v>155</v>
      </c>
      <c r="N1063" s="17" t="s">
        <v>155</v>
      </c>
      <c r="O1063" s="17" t="s">
        <v>155</v>
      </c>
    </row>
    <row r="1064" spans="10:15" x14ac:dyDescent="0.3">
      <c r="J1064" t="s">
        <v>552</v>
      </c>
      <c r="K1064" s="17" t="s">
        <v>155</v>
      </c>
      <c r="L1064" s="17" t="s">
        <v>155</v>
      </c>
      <c r="M1064" s="17" t="s">
        <v>155</v>
      </c>
      <c r="N1064" s="17" t="s">
        <v>155</v>
      </c>
      <c r="O1064" s="17" t="s">
        <v>155</v>
      </c>
    </row>
    <row r="1065" spans="10:15" x14ac:dyDescent="0.3">
      <c r="J1065" t="s">
        <v>553</v>
      </c>
      <c r="K1065" s="17" t="s">
        <v>155</v>
      </c>
      <c r="L1065" s="17" t="s">
        <v>155</v>
      </c>
      <c r="M1065" s="17" t="s">
        <v>155</v>
      </c>
      <c r="N1065" s="17" t="s">
        <v>155</v>
      </c>
      <c r="O1065" s="17" t="s">
        <v>155</v>
      </c>
    </row>
    <row r="1067" spans="10:15" x14ac:dyDescent="0.3">
      <c r="J1067" t="s">
        <v>772</v>
      </c>
    </row>
    <row r="1068" spans="10:15" x14ac:dyDescent="0.3">
      <c r="K1068" s="17" t="s">
        <v>164</v>
      </c>
      <c r="L1068" s="17" t="s">
        <v>165</v>
      </c>
      <c r="M1068" s="17" t="s">
        <v>166</v>
      </c>
      <c r="N1068" s="17" t="s">
        <v>167</v>
      </c>
      <c r="O1068" s="17" t="s">
        <v>168</v>
      </c>
    </row>
    <row r="1069" spans="10:15" x14ac:dyDescent="0.3">
      <c r="J1069" t="s">
        <v>555</v>
      </c>
      <c r="K1069" s="17" t="s">
        <v>155</v>
      </c>
      <c r="L1069" s="17" t="s">
        <v>274</v>
      </c>
      <c r="M1069" s="17" t="s">
        <v>155</v>
      </c>
      <c r="N1069" s="17" t="s">
        <v>155</v>
      </c>
      <c r="O1069" s="17" t="s">
        <v>155</v>
      </c>
    </row>
    <row r="1070" spans="10:15" x14ac:dyDescent="0.3">
      <c r="J1070" t="s">
        <v>556</v>
      </c>
      <c r="K1070" s="17" t="s">
        <v>155</v>
      </c>
      <c r="L1070" s="17" t="s">
        <v>274</v>
      </c>
      <c r="M1070" s="17" t="s">
        <v>155</v>
      </c>
      <c r="N1070" s="17" t="s">
        <v>155</v>
      </c>
      <c r="O1070" s="17" t="s">
        <v>155</v>
      </c>
    </row>
    <row r="1071" spans="10:15" x14ac:dyDescent="0.3">
      <c r="J1071" t="s">
        <v>557</v>
      </c>
      <c r="K1071" s="17" t="s">
        <v>155</v>
      </c>
      <c r="L1071" s="17" t="s">
        <v>274</v>
      </c>
      <c r="M1071" s="17" t="s">
        <v>155</v>
      </c>
      <c r="N1071" s="17" t="s">
        <v>155</v>
      </c>
      <c r="O1071" s="17" t="s">
        <v>155</v>
      </c>
    </row>
    <row r="1072" spans="10:15" x14ac:dyDescent="0.3">
      <c r="J1072" t="s">
        <v>158</v>
      </c>
      <c r="K1072" s="17" t="s">
        <v>155</v>
      </c>
      <c r="L1072" s="17" t="s">
        <v>155</v>
      </c>
      <c r="M1072" s="17" t="s">
        <v>155</v>
      </c>
      <c r="N1072" s="17" t="s">
        <v>155</v>
      </c>
      <c r="O1072" s="17" t="s">
        <v>155</v>
      </c>
    </row>
    <row r="1073" spans="10:15" x14ac:dyDescent="0.3">
      <c r="J1073" t="s">
        <v>159</v>
      </c>
      <c r="K1073" s="17" t="s">
        <v>155</v>
      </c>
      <c r="L1073" s="17" t="s">
        <v>155</v>
      </c>
      <c r="M1073" s="17" t="s">
        <v>155</v>
      </c>
      <c r="N1073" s="17" t="s">
        <v>274</v>
      </c>
      <c r="O1073" s="17" t="s">
        <v>155</v>
      </c>
    </row>
    <row r="1074" spans="10:15" x14ac:dyDescent="0.3">
      <c r="J1074" t="s">
        <v>160</v>
      </c>
      <c r="K1074" s="17" t="s">
        <v>155</v>
      </c>
      <c r="L1074" s="17" t="s">
        <v>155</v>
      </c>
      <c r="M1074" s="17" t="s">
        <v>155</v>
      </c>
      <c r="N1074" s="17" t="s">
        <v>274</v>
      </c>
      <c r="O1074" s="17" t="s">
        <v>155</v>
      </c>
    </row>
    <row r="1075" spans="10:15" x14ac:dyDescent="0.3">
      <c r="J1075" t="s">
        <v>561</v>
      </c>
      <c r="K1075" s="17" t="s">
        <v>155</v>
      </c>
      <c r="L1075" s="17" t="s">
        <v>155</v>
      </c>
      <c r="M1075" s="17" t="s">
        <v>155</v>
      </c>
      <c r="N1075" s="17" t="s">
        <v>155</v>
      </c>
      <c r="O1075" s="17" t="s">
        <v>155</v>
      </c>
    </row>
    <row r="1076" spans="10:15" x14ac:dyDescent="0.3">
      <c r="J1076" t="s">
        <v>562</v>
      </c>
      <c r="K1076" s="17" t="s">
        <v>155</v>
      </c>
      <c r="L1076" s="17" t="s">
        <v>155</v>
      </c>
      <c r="M1076" s="17" t="s">
        <v>155</v>
      </c>
      <c r="N1076" s="17" t="s">
        <v>155</v>
      </c>
      <c r="O1076" s="17" t="s">
        <v>155</v>
      </c>
    </row>
    <row r="1077" spans="10:15" x14ac:dyDescent="0.3">
      <c r="J1077" t="s">
        <v>563</v>
      </c>
      <c r="K1077" s="17" t="s">
        <v>155</v>
      </c>
      <c r="L1077" s="17" t="s">
        <v>155</v>
      </c>
      <c r="M1077" s="17" t="s">
        <v>155</v>
      </c>
      <c r="N1077" s="17" t="s">
        <v>155</v>
      </c>
      <c r="O1077" s="17" t="s">
        <v>155</v>
      </c>
    </row>
    <row r="1078" spans="10:15" x14ac:dyDescent="0.3">
      <c r="J1078" t="s">
        <v>564</v>
      </c>
      <c r="K1078" s="17" t="s">
        <v>155</v>
      </c>
      <c r="L1078" s="17" t="s">
        <v>155</v>
      </c>
      <c r="M1078" s="17" t="s">
        <v>155</v>
      </c>
      <c r="N1078" s="17" t="s">
        <v>155</v>
      </c>
      <c r="O1078" s="17" t="s">
        <v>155</v>
      </c>
    </row>
    <row r="1079" spans="10:15" x14ac:dyDescent="0.3">
      <c r="J1079" t="s">
        <v>549</v>
      </c>
      <c r="K1079" s="17" t="s">
        <v>155</v>
      </c>
      <c r="L1079" s="17" t="s">
        <v>155</v>
      </c>
      <c r="M1079" s="17" t="s">
        <v>155</v>
      </c>
      <c r="N1079" s="17" t="s">
        <v>155</v>
      </c>
      <c r="O1079" s="17" t="s">
        <v>155</v>
      </c>
    </row>
    <row r="1080" spans="10:15" x14ac:dyDescent="0.3">
      <c r="J1080" t="s">
        <v>550</v>
      </c>
      <c r="K1080" s="17" t="s">
        <v>155</v>
      </c>
      <c r="L1080" s="17" t="s">
        <v>155</v>
      </c>
      <c r="M1080" s="17" t="s">
        <v>155</v>
      </c>
      <c r="N1080" s="17" t="s">
        <v>155</v>
      </c>
      <c r="O1080" s="17" t="s">
        <v>155</v>
      </c>
    </row>
    <row r="1081" spans="10:15" x14ac:dyDescent="0.3">
      <c r="J1081" t="s">
        <v>551</v>
      </c>
      <c r="K1081" s="17" t="s">
        <v>155</v>
      </c>
      <c r="L1081" s="17" t="s">
        <v>155</v>
      </c>
      <c r="M1081" s="17" t="s">
        <v>155</v>
      </c>
      <c r="N1081" s="17" t="s">
        <v>155</v>
      </c>
      <c r="O1081" s="17" t="s">
        <v>155</v>
      </c>
    </row>
    <row r="1082" spans="10:15" x14ac:dyDescent="0.3">
      <c r="J1082" t="s">
        <v>552</v>
      </c>
      <c r="K1082" s="17" t="s">
        <v>155</v>
      </c>
      <c r="L1082" s="17" t="s">
        <v>155</v>
      </c>
      <c r="M1082" s="17" t="s">
        <v>155</v>
      </c>
      <c r="N1082" s="17" t="s">
        <v>155</v>
      </c>
      <c r="O1082" s="17" t="s">
        <v>155</v>
      </c>
    </row>
    <row r="1083" spans="10:15" x14ac:dyDescent="0.3">
      <c r="J1083" t="s">
        <v>553</v>
      </c>
      <c r="K1083" s="17" t="s">
        <v>155</v>
      </c>
      <c r="L1083" s="17" t="s">
        <v>155</v>
      </c>
      <c r="M1083" s="17" t="s">
        <v>155</v>
      </c>
      <c r="N1083" s="17" t="s">
        <v>155</v>
      </c>
      <c r="O1083" s="17" t="s">
        <v>155</v>
      </c>
    </row>
    <row r="1085" spans="10:15" x14ac:dyDescent="0.3">
      <c r="J1085" t="s">
        <v>773</v>
      </c>
    </row>
    <row r="1086" spans="10:15" x14ac:dyDescent="0.3">
      <c r="K1086" s="17" t="s">
        <v>164</v>
      </c>
      <c r="L1086" s="17" t="s">
        <v>165</v>
      </c>
      <c r="M1086" s="17" t="s">
        <v>166</v>
      </c>
      <c r="N1086" s="17" t="s">
        <v>167</v>
      </c>
      <c r="O1086" s="17" t="s">
        <v>168</v>
      </c>
    </row>
    <row r="1087" spans="10:15" x14ac:dyDescent="0.3">
      <c r="J1087" t="s">
        <v>555</v>
      </c>
      <c r="K1087" s="17" t="s">
        <v>155</v>
      </c>
      <c r="L1087" s="17" t="s">
        <v>155</v>
      </c>
      <c r="M1087" s="17" t="s">
        <v>155</v>
      </c>
      <c r="N1087" s="17" t="s">
        <v>155</v>
      </c>
      <c r="O1087" s="17" t="s">
        <v>155</v>
      </c>
    </row>
    <row r="1088" spans="10:15" x14ac:dyDescent="0.3">
      <c r="J1088" t="s">
        <v>556</v>
      </c>
      <c r="K1088" s="17" t="s">
        <v>155</v>
      </c>
      <c r="L1088" s="17" t="s">
        <v>155</v>
      </c>
      <c r="M1088" s="17" t="s">
        <v>155</v>
      </c>
      <c r="N1088" s="17" t="s">
        <v>155</v>
      </c>
      <c r="O1088" s="17" t="s">
        <v>155</v>
      </c>
    </row>
    <row r="1089" spans="10:15" x14ac:dyDescent="0.3">
      <c r="J1089" t="s">
        <v>557</v>
      </c>
      <c r="K1089" s="17" t="s">
        <v>380</v>
      </c>
      <c r="L1089" s="17" t="s">
        <v>155</v>
      </c>
      <c r="M1089" s="17" t="s">
        <v>155</v>
      </c>
      <c r="N1089" s="17" t="s">
        <v>155</v>
      </c>
      <c r="O1089" s="17" t="s">
        <v>155</v>
      </c>
    </row>
    <row r="1090" spans="10:15" x14ac:dyDescent="0.3">
      <c r="J1090" t="s">
        <v>158</v>
      </c>
      <c r="K1090" s="17" t="s">
        <v>380</v>
      </c>
      <c r="L1090" s="17" t="s">
        <v>155</v>
      </c>
      <c r="M1090" s="17" t="s">
        <v>155</v>
      </c>
      <c r="N1090" s="17" t="s">
        <v>155</v>
      </c>
      <c r="O1090" s="17" t="s">
        <v>380</v>
      </c>
    </row>
    <row r="1091" spans="10:15" x14ac:dyDescent="0.3">
      <c r="J1091" t="s">
        <v>159</v>
      </c>
      <c r="K1091" s="17" t="s">
        <v>380</v>
      </c>
      <c r="L1091" s="17" t="s">
        <v>155</v>
      </c>
      <c r="M1091" s="17" t="s">
        <v>155</v>
      </c>
      <c r="N1091" s="17" t="s">
        <v>155</v>
      </c>
      <c r="O1091" s="17" t="s">
        <v>380</v>
      </c>
    </row>
    <row r="1092" spans="10:15" x14ac:dyDescent="0.3">
      <c r="J1092" t="s">
        <v>160</v>
      </c>
      <c r="K1092" s="17" t="s">
        <v>155</v>
      </c>
      <c r="L1092" s="17" t="s">
        <v>155</v>
      </c>
      <c r="M1092" s="17" t="s">
        <v>155</v>
      </c>
      <c r="N1092" s="17" t="s">
        <v>155</v>
      </c>
      <c r="O1092" s="17" t="s">
        <v>155</v>
      </c>
    </row>
    <row r="1093" spans="10:15" x14ac:dyDescent="0.3">
      <c r="J1093" t="s">
        <v>561</v>
      </c>
      <c r="K1093" s="17" t="s">
        <v>155</v>
      </c>
      <c r="L1093" s="17" t="s">
        <v>155</v>
      </c>
      <c r="M1093" s="17" t="s">
        <v>155</v>
      </c>
      <c r="N1093" s="17" t="s">
        <v>155</v>
      </c>
      <c r="O1093" s="17" t="s">
        <v>155</v>
      </c>
    </row>
    <row r="1094" spans="10:15" x14ac:dyDescent="0.3">
      <c r="J1094" t="s">
        <v>562</v>
      </c>
      <c r="K1094" s="17" t="s">
        <v>155</v>
      </c>
      <c r="L1094" s="17" t="s">
        <v>155</v>
      </c>
      <c r="M1094" s="17" t="s">
        <v>155</v>
      </c>
      <c r="N1094" s="17" t="s">
        <v>155</v>
      </c>
      <c r="O1094" s="17" t="s">
        <v>155</v>
      </c>
    </row>
    <row r="1095" spans="10:15" x14ac:dyDescent="0.3">
      <c r="J1095" t="s">
        <v>563</v>
      </c>
      <c r="K1095" s="17" t="s">
        <v>155</v>
      </c>
      <c r="L1095" s="17" t="s">
        <v>155</v>
      </c>
      <c r="M1095" s="17" t="s">
        <v>155</v>
      </c>
      <c r="N1095" s="17" t="s">
        <v>155</v>
      </c>
      <c r="O1095" s="17" t="s">
        <v>155</v>
      </c>
    </row>
    <row r="1096" spans="10:15" x14ac:dyDescent="0.3">
      <c r="J1096" t="s">
        <v>564</v>
      </c>
      <c r="K1096" s="17" t="s">
        <v>155</v>
      </c>
      <c r="L1096" s="17" t="s">
        <v>155</v>
      </c>
      <c r="M1096" s="17" t="s">
        <v>155</v>
      </c>
      <c r="N1096" s="17" t="s">
        <v>155</v>
      </c>
      <c r="O1096" s="17" t="s">
        <v>155</v>
      </c>
    </row>
    <row r="1097" spans="10:15" x14ac:dyDescent="0.3">
      <c r="J1097" t="s">
        <v>549</v>
      </c>
      <c r="K1097" s="17" t="s">
        <v>155</v>
      </c>
      <c r="L1097" s="17" t="s">
        <v>155</v>
      </c>
      <c r="M1097" s="17" t="s">
        <v>155</v>
      </c>
      <c r="N1097" s="17" t="s">
        <v>155</v>
      </c>
      <c r="O1097" s="17" t="s">
        <v>155</v>
      </c>
    </row>
    <row r="1098" spans="10:15" x14ac:dyDescent="0.3">
      <c r="J1098" t="s">
        <v>550</v>
      </c>
      <c r="K1098" s="17" t="s">
        <v>155</v>
      </c>
      <c r="L1098" s="17" t="s">
        <v>155</v>
      </c>
      <c r="M1098" s="17" t="s">
        <v>155</v>
      </c>
      <c r="N1098" s="17" t="s">
        <v>155</v>
      </c>
      <c r="O1098" s="17" t="s">
        <v>155</v>
      </c>
    </row>
    <row r="1099" spans="10:15" x14ac:dyDescent="0.3">
      <c r="J1099" t="s">
        <v>551</v>
      </c>
      <c r="K1099" s="17" t="s">
        <v>155</v>
      </c>
      <c r="L1099" s="17" t="s">
        <v>155</v>
      </c>
      <c r="M1099" s="17" t="s">
        <v>155</v>
      </c>
      <c r="N1099" s="17" t="s">
        <v>155</v>
      </c>
      <c r="O1099" s="17" t="s">
        <v>155</v>
      </c>
    </row>
    <row r="1100" spans="10:15" x14ac:dyDescent="0.3">
      <c r="J1100" t="s">
        <v>552</v>
      </c>
      <c r="K1100" s="17" t="s">
        <v>155</v>
      </c>
      <c r="L1100" s="17" t="s">
        <v>155</v>
      </c>
      <c r="M1100" s="17" t="s">
        <v>155</v>
      </c>
      <c r="N1100" s="17" t="s">
        <v>155</v>
      </c>
      <c r="O1100" s="17" t="s">
        <v>155</v>
      </c>
    </row>
    <row r="1101" spans="10:15" x14ac:dyDescent="0.3">
      <c r="J1101" t="s">
        <v>553</v>
      </c>
      <c r="K1101" s="17" t="s">
        <v>155</v>
      </c>
      <c r="L1101" s="17" t="s">
        <v>155</v>
      </c>
      <c r="M1101" s="17" t="s">
        <v>155</v>
      </c>
      <c r="N1101" s="17" t="s">
        <v>155</v>
      </c>
      <c r="O1101" s="17" t="s">
        <v>155</v>
      </c>
    </row>
    <row r="1103" spans="10:15" x14ac:dyDescent="0.3">
      <c r="J1103" t="s">
        <v>774</v>
      </c>
    </row>
    <row r="1104" spans="10:15" x14ac:dyDescent="0.3">
      <c r="K1104" s="17" t="s">
        <v>164</v>
      </c>
      <c r="L1104" s="17" t="s">
        <v>165</v>
      </c>
      <c r="M1104" s="17" t="s">
        <v>166</v>
      </c>
      <c r="N1104" s="17" t="s">
        <v>167</v>
      </c>
      <c r="O1104" s="17" t="s">
        <v>168</v>
      </c>
    </row>
    <row r="1105" spans="10:15" x14ac:dyDescent="0.3">
      <c r="J1105" t="s">
        <v>555</v>
      </c>
      <c r="K1105" s="17" t="s">
        <v>155</v>
      </c>
      <c r="L1105" s="17" t="s">
        <v>155</v>
      </c>
      <c r="M1105" s="17" t="s">
        <v>155</v>
      </c>
      <c r="N1105" s="17" t="s">
        <v>155</v>
      </c>
      <c r="O1105" s="17" t="s">
        <v>155</v>
      </c>
    </row>
    <row r="1106" spans="10:15" x14ac:dyDescent="0.3">
      <c r="J1106" t="s">
        <v>556</v>
      </c>
      <c r="K1106" s="17" t="s">
        <v>155</v>
      </c>
      <c r="L1106" s="17" t="s">
        <v>155</v>
      </c>
      <c r="M1106" s="17" t="s">
        <v>380</v>
      </c>
      <c r="N1106" s="17" t="s">
        <v>155</v>
      </c>
      <c r="O1106" s="17" t="s">
        <v>155</v>
      </c>
    </row>
    <row r="1107" spans="10:15" x14ac:dyDescent="0.3">
      <c r="J1107" t="s">
        <v>557</v>
      </c>
      <c r="K1107" s="17" t="s">
        <v>155</v>
      </c>
      <c r="L1107" s="17" t="s">
        <v>155</v>
      </c>
      <c r="M1107" s="17" t="s">
        <v>380</v>
      </c>
      <c r="N1107" s="17" t="s">
        <v>155</v>
      </c>
      <c r="O1107" s="17" t="s">
        <v>155</v>
      </c>
    </row>
    <row r="1108" spans="10:15" x14ac:dyDescent="0.3">
      <c r="J1108" t="s">
        <v>158</v>
      </c>
      <c r="K1108" s="17" t="s">
        <v>155</v>
      </c>
      <c r="L1108" s="17" t="s">
        <v>155</v>
      </c>
      <c r="M1108" s="17" t="s">
        <v>155</v>
      </c>
      <c r="N1108" s="17" t="s">
        <v>155</v>
      </c>
      <c r="O1108" s="17" t="s">
        <v>380</v>
      </c>
    </row>
    <row r="1109" spans="10:15" x14ac:dyDescent="0.3">
      <c r="J1109" t="s">
        <v>159</v>
      </c>
      <c r="K1109" s="17" t="s">
        <v>155</v>
      </c>
      <c r="L1109" s="17" t="s">
        <v>155</v>
      </c>
      <c r="M1109" s="17" t="s">
        <v>155</v>
      </c>
      <c r="N1109" s="17" t="s">
        <v>155</v>
      </c>
      <c r="O1109" s="17" t="s">
        <v>380</v>
      </c>
    </row>
    <row r="1110" spans="10:15" x14ac:dyDescent="0.3">
      <c r="J1110" t="s">
        <v>160</v>
      </c>
      <c r="K1110" s="17" t="s">
        <v>155</v>
      </c>
      <c r="L1110" s="17" t="s">
        <v>155</v>
      </c>
      <c r="M1110" s="17" t="s">
        <v>155</v>
      </c>
      <c r="N1110" s="17" t="s">
        <v>155</v>
      </c>
      <c r="O1110" s="17" t="s">
        <v>380</v>
      </c>
    </row>
    <row r="1111" spans="10:15" x14ac:dyDescent="0.3">
      <c r="J1111" t="s">
        <v>561</v>
      </c>
      <c r="K1111" s="17" t="s">
        <v>155</v>
      </c>
      <c r="L1111" s="17" t="s">
        <v>155</v>
      </c>
      <c r="M1111" s="17" t="s">
        <v>155</v>
      </c>
      <c r="N1111" s="17" t="s">
        <v>155</v>
      </c>
      <c r="O1111" s="17" t="s">
        <v>155</v>
      </c>
    </row>
    <row r="1112" spans="10:15" x14ac:dyDescent="0.3">
      <c r="J1112" t="s">
        <v>562</v>
      </c>
      <c r="K1112" s="17" t="s">
        <v>155</v>
      </c>
      <c r="L1112" s="17" t="s">
        <v>155</v>
      </c>
      <c r="M1112" s="17" t="s">
        <v>155</v>
      </c>
      <c r="N1112" s="17" t="s">
        <v>155</v>
      </c>
      <c r="O1112" s="17" t="s">
        <v>155</v>
      </c>
    </row>
    <row r="1113" spans="10:15" x14ac:dyDescent="0.3">
      <c r="J1113" t="s">
        <v>563</v>
      </c>
      <c r="K1113" s="17" t="s">
        <v>155</v>
      </c>
      <c r="L1113" s="17" t="s">
        <v>155</v>
      </c>
      <c r="M1113" s="17" t="s">
        <v>155</v>
      </c>
      <c r="N1113" s="17" t="s">
        <v>155</v>
      </c>
      <c r="O1113" s="17" t="s">
        <v>155</v>
      </c>
    </row>
    <row r="1114" spans="10:15" x14ac:dyDescent="0.3">
      <c r="J1114" t="s">
        <v>564</v>
      </c>
      <c r="K1114" s="17" t="s">
        <v>155</v>
      </c>
      <c r="L1114" s="17" t="s">
        <v>155</v>
      </c>
      <c r="M1114" s="17" t="s">
        <v>155</v>
      </c>
      <c r="N1114" s="17" t="s">
        <v>155</v>
      </c>
      <c r="O1114" s="17" t="s">
        <v>155</v>
      </c>
    </row>
    <row r="1115" spans="10:15" x14ac:dyDescent="0.3">
      <c r="J1115" t="s">
        <v>549</v>
      </c>
      <c r="K1115" s="17" t="s">
        <v>155</v>
      </c>
      <c r="L1115" s="17" t="s">
        <v>155</v>
      </c>
      <c r="M1115" s="17" t="s">
        <v>155</v>
      </c>
      <c r="N1115" s="17" t="s">
        <v>155</v>
      </c>
      <c r="O1115" s="17" t="s">
        <v>155</v>
      </c>
    </row>
    <row r="1116" spans="10:15" x14ac:dyDescent="0.3">
      <c r="J1116" t="s">
        <v>550</v>
      </c>
      <c r="K1116" s="17" t="s">
        <v>155</v>
      </c>
      <c r="L1116" s="17" t="s">
        <v>155</v>
      </c>
      <c r="M1116" s="17" t="s">
        <v>155</v>
      </c>
      <c r="N1116" s="17" t="s">
        <v>155</v>
      </c>
      <c r="O1116" s="17" t="s">
        <v>155</v>
      </c>
    </row>
    <row r="1117" spans="10:15" x14ac:dyDescent="0.3">
      <c r="J1117" t="s">
        <v>551</v>
      </c>
      <c r="K1117" s="17" t="s">
        <v>155</v>
      </c>
      <c r="L1117" s="17" t="s">
        <v>155</v>
      </c>
      <c r="M1117" s="17" t="s">
        <v>155</v>
      </c>
      <c r="N1117" s="17" t="s">
        <v>155</v>
      </c>
      <c r="O1117" s="17" t="s">
        <v>155</v>
      </c>
    </row>
    <row r="1118" spans="10:15" x14ac:dyDescent="0.3">
      <c r="J1118" t="s">
        <v>552</v>
      </c>
      <c r="K1118" s="17" t="s">
        <v>155</v>
      </c>
      <c r="L1118" s="17" t="s">
        <v>155</v>
      </c>
      <c r="M1118" s="17" t="s">
        <v>155</v>
      </c>
      <c r="N1118" s="17" t="s">
        <v>155</v>
      </c>
      <c r="O1118" s="17" t="s">
        <v>155</v>
      </c>
    </row>
    <row r="1119" spans="10:15" x14ac:dyDescent="0.3">
      <c r="J1119" t="s">
        <v>553</v>
      </c>
      <c r="K1119" s="17" t="s">
        <v>155</v>
      </c>
      <c r="L1119" s="17" t="s">
        <v>155</v>
      </c>
      <c r="M1119" s="17" t="s">
        <v>155</v>
      </c>
      <c r="N1119" s="17" t="s">
        <v>155</v>
      </c>
      <c r="O1119" s="17" t="s">
        <v>155</v>
      </c>
    </row>
    <row r="1121" spans="10:15" x14ac:dyDescent="0.3">
      <c r="J1121" t="s">
        <v>775</v>
      </c>
    </row>
    <row r="1122" spans="10:15" x14ac:dyDescent="0.3">
      <c r="K1122" s="17" t="s">
        <v>164</v>
      </c>
      <c r="L1122" s="17" t="s">
        <v>165</v>
      </c>
      <c r="M1122" s="17" t="s">
        <v>166</v>
      </c>
      <c r="N1122" s="17" t="s">
        <v>167</v>
      </c>
      <c r="O1122" s="17" t="s">
        <v>168</v>
      </c>
    </row>
    <row r="1123" spans="10:15" x14ac:dyDescent="0.3">
      <c r="J1123" t="s">
        <v>555</v>
      </c>
      <c r="K1123" s="17" t="s">
        <v>271</v>
      </c>
      <c r="L1123" s="17" t="s">
        <v>155</v>
      </c>
      <c r="M1123" s="17" t="s">
        <v>155</v>
      </c>
      <c r="N1123" s="17" t="s">
        <v>271</v>
      </c>
      <c r="O1123" s="17" t="s">
        <v>155</v>
      </c>
    </row>
    <row r="1124" spans="10:15" x14ac:dyDescent="0.3">
      <c r="J1124" t="s">
        <v>556</v>
      </c>
      <c r="K1124" s="17" t="s">
        <v>271</v>
      </c>
      <c r="L1124" s="17" t="s">
        <v>155</v>
      </c>
      <c r="M1124" s="17" t="s">
        <v>155</v>
      </c>
      <c r="N1124" s="17" t="s">
        <v>271</v>
      </c>
      <c r="O1124" s="17" t="s">
        <v>155</v>
      </c>
    </row>
    <row r="1125" spans="10:15" x14ac:dyDescent="0.3">
      <c r="J1125" t="s">
        <v>557</v>
      </c>
      <c r="K1125" s="17" t="s">
        <v>155</v>
      </c>
      <c r="L1125" s="17" t="s">
        <v>155</v>
      </c>
      <c r="M1125" s="17" t="s">
        <v>155</v>
      </c>
      <c r="N1125" s="17" t="s">
        <v>155</v>
      </c>
      <c r="O1125" s="17" t="s">
        <v>155</v>
      </c>
    </row>
    <row r="1126" spans="10:15" x14ac:dyDescent="0.3">
      <c r="J1126" t="s">
        <v>158</v>
      </c>
      <c r="K1126" s="17" t="s">
        <v>155</v>
      </c>
      <c r="L1126" s="17" t="s">
        <v>155</v>
      </c>
      <c r="M1126" s="17" t="s">
        <v>155</v>
      </c>
      <c r="N1126" s="17" t="s">
        <v>155</v>
      </c>
      <c r="O1126" s="17" t="s">
        <v>155</v>
      </c>
    </row>
    <row r="1127" spans="10:15" x14ac:dyDescent="0.3">
      <c r="J1127" t="s">
        <v>159</v>
      </c>
      <c r="K1127" s="17" t="s">
        <v>155</v>
      </c>
      <c r="L1127" s="17" t="s">
        <v>155</v>
      </c>
      <c r="M1127" s="17" t="s">
        <v>155</v>
      </c>
      <c r="N1127" s="17" t="s">
        <v>155</v>
      </c>
      <c r="O1127" s="17" t="s">
        <v>155</v>
      </c>
    </row>
    <row r="1128" spans="10:15" x14ac:dyDescent="0.3">
      <c r="J1128" t="s">
        <v>160</v>
      </c>
      <c r="K1128" s="17" t="s">
        <v>155</v>
      </c>
      <c r="L1128" s="17" t="s">
        <v>155</v>
      </c>
      <c r="M1128" s="17" t="s">
        <v>155</v>
      </c>
      <c r="N1128" s="17" t="s">
        <v>155</v>
      </c>
      <c r="O1128" s="17" t="s">
        <v>155</v>
      </c>
    </row>
    <row r="1129" spans="10:15" x14ac:dyDescent="0.3">
      <c r="J1129" t="s">
        <v>561</v>
      </c>
      <c r="K1129" s="17" t="s">
        <v>155</v>
      </c>
      <c r="L1129" s="17" t="s">
        <v>155</v>
      </c>
      <c r="M1129" s="17" t="s">
        <v>155</v>
      </c>
      <c r="N1129" s="17" t="s">
        <v>155</v>
      </c>
      <c r="O1129" s="17" t="s">
        <v>155</v>
      </c>
    </row>
    <row r="1130" spans="10:15" x14ac:dyDescent="0.3">
      <c r="J1130" t="s">
        <v>562</v>
      </c>
      <c r="K1130" s="17" t="s">
        <v>155</v>
      </c>
      <c r="L1130" s="17" t="s">
        <v>155</v>
      </c>
      <c r="M1130" s="17" t="s">
        <v>155</v>
      </c>
      <c r="N1130" s="17" t="s">
        <v>155</v>
      </c>
      <c r="O1130" s="17" t="s">
        <v>155</v>
      </c>
    </row>
    <row r="1131" spans="10:15" x14ac:dyDescent="0.3">
      <c r="J1131" t="s">
        <v>563</v>
      </c>
      <c r="K1131" s="17" t="s">
        <v>155</v>
      </c>
      <c r="L1131" s="17" t="s">
        <v>155</v>
      </c>
      <c r="M1131" s="17" t="s">
        <v>155</v>
      </c>
      <c r="N1131" s="17" t="s">
        <v>155</v>
      </c>
      <c r="O1131" s="17" t="s">
        <v>155</v>
      </c>
    </row>
    <row r="1132" spans="10:15" x14ac:dyDescent="0.3">
      <c r="J1132" t="s">
        <v>564</v>
      </c>
      <c r="K1132" s="17" t="s">
        <v>155</v>
      </c>
      <c r="L1132" s="17" t="s">
        <v>155</v>
      </c>
      <c r="M1132" s="17" t="s">
        <v>155</v>
      </c>
      <c r="N1132" s="17" t="s">
        <v>155</v>
      </c>
      <c r="O1132" s="17" t="s">
        <v>155</v>
      </c>
    </row>
    <row r="1133" spans="10:15" x14ac:dyDescent="0.3">
      <c r="J1133" t="s">
        <v>549</v>
      </c>
      <c r="K1133" s="17" t="s">
        <v>155</v>
      </c>
      <c r="L1133" s="17" t="s">
        <v>155</v>
      </c>
      <c r="M1133" s="17" t="s">
        <v>155</v>
      </c>
      <c r="N1133" s="17" t="s">
        <v>155</v>
      </c>
      <c r="O1133" s="17" t="s">
        <v>155</v>
      </c>
    </row>
    <row r="1134" spans="10:15" x14ac:dyDescent="0.3">
      <c r="J1134" t="s">
        <v>550</v>
      </c>
      <c r="K1134" s="17" t="s">
        <v>155</v>
      </c>
      <c r="L1134" s="17" t="s">
        <v>155</v>
      </c>
      <c r="M1134" s="17" t="s">
        <v>155</v>
      </c>
      <c r="N1134" s="17" t="s">
        <v>155</v>
      </c>
      <c r="O1134" s="17" t="s">
        <v>155</v>
      </c>
    </row>
    <row r="1135" spans="10:15" x14ac:dyDescent="0.3">
      <c r="J1135" t="s">
        <v>551</v>
      </c>
      <c r="K1135" s="17" t="s">
        <v>155</v>
      </c>
      <c r="L1135" s="17" t="s">
        <v>155</v>
      </c>
      <c r="M1135" s="17" t="s">
        <v>155</v>
      </c>
      <c r="N1135" s="17" t="s">
        <v>155</v>
      </c>
      <c r="O1135" s="17" t="s">
        <v>155</v>
      </c>
    </row>
    <row r="1136" spans="10:15" x14ac:dyDescent="0.3">
      <c r="J1136" t="s">
        <v>552</v>
      </c>
      <c r="K1136" s="17" t="s">
        <v>155</v>
      </c>
      <c r="L1136" s="17" t="s">
        <v>155</v>
      </c>
      <c r="M1136" s="17" t="s">
        <v>155</v>
      </c>
      <c r="N1136" s="17" t="s">
        <v>155</v>
      </c>
      <c r="O1136" s="17" t="s">
        <v>155</v>
      </c>
    </row>
    <row r="1137" spans="10:15" x14ac:dyDescent="0.3">
      <c r="J1137" t="s">
        <v>553</v>
      </c>
      <c r="K1137" s="17" t="s">
        <v>155</v>
      </c>
      <c r="L1137" s="17" t="s">
        <v>155</v>
      </c>
      <c r="M1137" s="17" t="s">
        <v>155</v>
      </c>
      <c r="N1137" s="17" t="s">
        <v>155</v>
      </c>
      <c r="O1137" s="17" t="s">
        <v>155</v>
      </c>
    </row>
    <row r="1139" spans="10:15" x14ac:dyDescent="0.3">
      <c r="J1139" t="s">
        <v>776</v>
      </c>
    </row>
    <row r="1140" spans="10:15" x14ac:dyDescent="0.3">
      <c r="K1140" s="17" t="s">
        <v>164</v>
      </c>
      <c r="L1140" s="17" t="s">
        <v>165</v>
      </c>
      <c r="M1140" s="17" t="s">
        <v>166</v>
      </c>
      <c r="N1140" s="17" t="s">
        <v>167</v>
      </c>
      <c r="O1140" s="17" t="s">
        <v>168</v>
      </c>
    </row>
    <row r="1141" spans="10:15" x14ac:dyDescent="0.3">
      <c r="J1141" t="s">
        <v>555</v>
      </c>
      <c r="K1141" s="17" t="s">
        <v>386</v>
      </c>
      <c r="L1141" s="17" t="s">
        <v>155</v>
      </c>
      <c r="M1141" s="17" t="s">
        <v>155</v>
      </c>
      <c r="N1141" s="17" t="s">
        <v>155</v>
      </c>
      <c r="O1141" s="17" t="s">
        <v>386</v>
      </c>
    </row>
    <row r="1142" spans="10:15" x14ac:dyDescent="0.3">
      <c r="J1142" t="s">
        <v>556</v>
      </c>
      <c r="K1142" s="17" t="s">
        <v>386</v>
      </c>
      <c r="L1142" s="17" t="s">
        <v>155</v>
      </c>
      <c r="M1142" s="17" t="s">
        <v>155</v>
      </c>
      <c r="N1142" s="17" t="s">
        <v>155</v>
      </c>
      <c r="O1142" s="17" t="s">
        <v>386</v>
      </c>
    </row>
    <row r="1143" spans="10:15" x14ac:dyDescent="0.3">
      <c r="J1143" t="s">
        <v>557</v>
      </c>
      <c r="K1143" s="17" t="s">
        <v>155</v>
      </c>
      <c r="L1143" s="17" t="s">
        <v>155</v>
      </c>
      <c r="M1143" s="17" t="s">
        <v>155</v>
      </c>
      <c r="N1143" s="17" t="s">
        <v>155</v>
      </c>
      <c r="O1143" s="17" t="s">
        <v>155</v>
      </c>
    </row>
    <row r="1144" spans="10:15" x14ac:dyDescent="0.3">
      <c r="J1144" t="s">
        <v>158</v>
      </c>
      <c r="K1144" s="17" t="s">
        <v>155</v>
      </c>
      <c r="L1144" s="17" t="s">
        <v>155</v>
      </c>
      <c r="M1144" s="17" t="s">
        <v>155</v>
      </c>
      <c r="N1144" s="17" t="s">
        <v>155</v>
      </c>
      <c r="O1144" s="17" t="s">
        <v>155</v>
      </c>
    </row>
    <row r="1145" spans="10:15" x14ac:dyDescent="0.3">
      <c r="J1145" t="s">
        <v>159</v>
      </c>
      <c r="K1145" s="17" t="s">
        <v>155</v>
      </c>
      <c r="L1145" s="17" t="s">
        <v>155</v>
      </c>
      <c r="M1145" s="17" t="s">
        <v>155</v>
      </c>
      <c r="N1145" s="17" t="s">
        <v>155</v>
      </c>
      <c r="O1145" s="17" t="s">
        <v>155</v>
      </c>
    </row>
    <row r="1146" spans="10:15" x14ac:dyDescent="0.3">
      <c r="J1146" t="s">
        <v>160</v>
      </c>
      <c r="K1146" s="17" t="s">
        <v>155</v>
      </c>
      <c r="L1146" s="17" t="s">
        <v>155</v>
      </c>
      <c r="M1146" s="17" t="s">
        <v>155</v>
      </c>
      <c r="N1146" s="17" t="s">
        <v>155</v>
      </c>
      <c r="O1146" s="17" t="s">
        <v>155</v>
      </c>
    </row>
    <row r="1147" spans="10:15" x14ac:dyDescent="0.3">
      <c r="J1147" t="s">
        <v>561</v>
      </c>
      <c r="K1147" s="17" t="s">
        <v>155</v>
      </c>
      <c r="L1147" s="17" t="s">
        <v>155</v>
      </c>
      <c r="M1147" s="17" t="s">
        <v>155</v>
      </c>
      <c r="N1147" s="17" t="s">
        <v>155</v>
      </c>
      <c r="O1147" s="17" t="s">
        <v>155</v>
      </c>
    </row>
    <row r="1148" spans="10:15" x14ac:dyDescent="0.3">
      <c r="J1148" t="s">
        <v>562</v>
      </c>
      <c r="K1148" s="17" t="s">
        <v>155</v>
      </c>
      <c r="L1148" s="17" t="s">
        <v>155</v>
      </c>
      <c r="M1148" s="17" t="s">
        <v>155</v>
      </c>
      <c r="N1148" s="17" t="s">
        <v>155</v>
      </c>
      <c r="O1148" s="17" t="s">
        <v>155</v>
      </c>
    </row>
    <row r="1149" spans="10:15" x14ac:dyDescent="0.3">
      <c r="J1149" t="s">
        <v>563</v>
      </c>
      <c r="K1149" s="17" t="s">
        <v>155</v>
      </c>
      <c r="L1149" s="17" t="s">
        <v>155</v>
      </c>
      <c r="M1149" s="17" t="s">
        <v>155</v>
      </c>
      <c r="N1149" s="17" t="s">
        <v>155</v>
      </c>
      <c r="O1149" s="17" t="s">
        <v>155</v>
      </c>
    </row>
    <row r="1150" spans="10:15" x14ac:dyDescent="0.3">
      <c r="J1150" t="s">
        <v>564</v>
      </c>
      <c r="K1150" s="17" t="s">
        <v>155</v>
      </c>
      <c r="L1150" s="17" t="s">
        <v>155</v>
      </c>
      <c r="M1150" s="17" t="s">
        <v>155</v>
      </c>
      <c r="N1150" s="17" t="s">
        <v>155</v>
      </c>
      <c r="O1150" s="17" t="s">
        <v>155</v>
      </c>
    </row>
    <row r="1151" spans="10:15" x14ac:dyDescent="0.3">
      <c r="J1151" t="s">
        <v>549</v>
      </c>
      <c r="K1151" s="17" t="s">
        <v>155</v>
      </c>
      <c r="L1151" s="17" t="s">
        <v>155</v>
      </c>
      <c r="M1151" s="17" t="s">
        <v>155</v>
      </c>
      <c r="N1151" s="17" t="s">
        <v>155</v>
      </c>
      <c r="O1151" s="17" t="s">
        <v>155</v>
      </c>
    </row>
    <row r="1152" spans="10:15" x14ac:dyDescent="0.3">
      <c r="J1152" t="s">
        <v>550</v>
      </c>
      <c r="K1152" s="17" t="s">
        <v>155</v>
      </c>
      <c r="L1152" s="17" t="s">
        <v>155</v>
      </c>
      <c r="M1152" s="17" t="s">
        <v>155</v>
      </c>
      <c r="N1152" s="17" t="s">
        <v>155</v>
      </c>
      <c r="O1152" s="17" t="s">
        <v>155</v>
      </c>
    </row>
    <row r="1153" spans="10:15" x14ac:dyDescent="0.3">
      <c r="J1153" t="s">
        <v>551</v>
      </c>
      <c r="K1153" s="17" t="s">
        <v>155</v>
      </c>
      <c r="L1153" s="17" t="s">
        <v>155</v>
      </c>
      <c r="M1153" s="17" t="s">
        <v>155</v>
      </c>
      <c r="N1153" s="17" t="s">
        <v>155</v>
      </c>
      <c r="O1153" s="17" t="s">
        <v>155</v>
      </c>
    </row>
    <row r="1154" spans="10:15" x14ac:dyDescent="0.3">
      <c r="J1154" t="s">
        <v>552</v>
      </c>
      <c r="K1154" s="17" t="s">
        <v>155</v>
      </c>
      <c r="L1154" s="17" t="s">
        <v>155</v>
      </c>
      <c r="M1154" s="17" t="s">
        <v>155</v>
      </c>
      <c r="N1154" s="17" t="s">
        <v>155</v>
      </c>
      <c r="O1154" s="17" t="s">
        <v>155</v>
      </c>
    </row>
    <row r="1155" spans="10:15" x14ac:dyDescent="0.3">
      <c r="J1155" t="s">
        <v>553</v>
      </c>
      <c r="K1155" s="17" t="s">
        <v>155</v>
      </c>
      <c r="L1155" s="17" t="s">
        <v>155</v>
      </c>
      <c r="M1155" s="17" t="s">
        <v>155</v>
      </c>
      <c r="N1155" s="17" t="s">
        <v>155</v>
      </c>
      <c r="O1155" s="17" t="s">
        <v>155</v>
      </c>
    </row>
    <row r="1157" spans="10:15" x14ac:dyDescent="0.3">
      <c r="J1157" t="s">
        <v>777</v>
      </c>
    </row>
    <row r="1158" spans="10:15" x14ac:dyDescent="0.3">
      <c r="K1158" s="17" t="s">
        <v>164</v>
      </c>
      <c r="L1158" s="17" t="s">
        <v>165</v>
      </c>
      <c r="M1158" s="17" t="s">
        <v>166</v>
      </c>
      <c r="N1158" s="17" t="s">
        <v>167</v>
      </c>
      <c r="O1158" s="17" t="s">
        <v>168</v>
      </c>
    </row>
    <row r="1159" spans="10:15" x14ac:dyDescent="0.3">
      <c r="J1159" t="s">
        <v>555</v>
      </c>
      <c r="K1159" s="17" t="s">
        <v>155</v>
      </c>
      <c r="L1159" s="17" t="s">
        <v>155</v>
      </c>
      <c r="M1159" s="17" t="s">
        <v>386</v>
      </c>
      <c r="N1159" s="17" t="s">
        <v>155</v>
      </c>
      <c r="O1159" s="17" t="s">
        <v>155</v>
      </c>
    </row>
    <row r="1160" spans="10:15" x14ac:dyDescent="0.3">
      <c r="J1160" t="s">
        <v>556</v>
      </c>
      <c r="K1160" s="17" t="s">
        <v>155</v>
      </c>
      <c r="L1160" s="17" t="s">
        <v>155</v>
      </c>
      <c r="M1160" s="17" t="s">
        <v>386</v>
      </c>
      <c r="N1160" s="17" t="s">
        <v>155</v>
      </c>
      <c r="O1160" s="17" t="s">
        <v>386</v>
      </c>
    </row>
    <row r="1161" spans="10:15" x14ac:dyDescent="0.3">
      <c r="J1161" t="s">
        <v>557</v>
      </c>
      <c r="K1161" s="17" t="s">
        <v>155</v>
      </c>
      <c r="L1161" s="17" t="s">
        <v>155</v>
      </c>
      <c r="M1161" s="17" t="s">
        <v>155</v>
      </c>
      <c r="N1161" s="17" t="s">
        <v>155</v>
      </c>
      <c r="O1161" s="17" t="s">
        <v>386</v>
      </c>
    </row>
    <row r="1162" spans="10:15" x14ac:dyDescent="0.3">
      <c r="J1162" t="s">
        <v>158</v>
      </c>
      <c r="K1162" s="17" t="s">
        <v>155</v>
      </c>
      <c r="L1162" s="17" t="s">
        <v>155</v>
      </c>
      <c r="M1162" s="17" t="s">
        <v>155</v>
      </c>
      <c r="N1162" s="17" t="s">
        <v>155</v>
      </c>
      <c r="O1162" s="17" t="s">
        <v>155</v>
      </c>
    </row>
    <row r="1163" spans="10:15" x14ac:dyDescent="0.3">
      <c r="J1163" t="s">
        <v>159</v>
      </c>
      <c r="K1163" s="17" t="s">
        <v>155</v>
      </c>
      <c r="L1163" s="17" t="s">
        <v>155</v>
      </c>
      <c r="M1163" s="17" t="s">
        <v>155</v>
      </c>
      <c r="N1163" s="17" t="s">
        <v>155</v>
      </c>
      <c r="O1163" s="17" t="s">
        <v>155</v>
      </c>
    </row>
    <row r="1164" spans="10:15" x14ac:dyDescent="0.3">
      <c r="J1164" t="s">
        <v>160</v>
      </c>
      <c r="K1164" s="17" t="s">
        <v>155</v>
      </c>
      <c r="L1164" s="17" t="s">
        <v>155</v>
      </c>
      <c r="M1164" s="17" t="s">
        <v>155</v>
      </c>
      <c r="N1164" s="17" t="s">
        <v>155</v>
      </c>
      <c r="O1164" s="17" t="s">
        <v>155</v>
      </c>
    </row>
    <row r="1165" spans="10:15" x14ac:dyDescent="0.3">
      <c r="J1165" t="s">
        <v>561</v>
      </c>
      <c r="K1165" s="17" t="s">
        <v>155</v>
      </c>
      <c r="L1165" s="17" t="s">
        <v>155</v>
      </c>
      <c r="M1165" s="17" t="s">
        <v>155</v>
      </c>
      <c r="N1165" s="17" t="s">
        <v>155</v>
      </c>
      <c r="O1165" s="17" t="s">
        <v>155</v>
      </c>
    </row>
    <row r="1166" spans="10:15" x14ac:dyDescent="0.3">
      <c r="J1166" t="s">
        <v>562</v>
      </c>
      <c r="K1166" s="17" t="s">
        <v>155</v>
      </c>
      <c r="L1166" s="17" t="s">
        <v>155</v>
      </c>
      <c r="M1166" s="17" t="s">
        <v>155</v>
      </c>
      <c r="N1166" s="17" t="s">
        <v>155</v>
      </c>
      <c r="O1166" s="17" t="s">
        <v>155</v>
      </c>
    </row>
    <row r="1167" spans="10:15" x14ac:dyDescent="0.3">
      <c r="J1167" t="s">
        <v>563</v>
      </c>
      <c r="K1167" s="17" t="s">
        <v>155</v>
      </c>
      <c r="L1167" s="17" t="s">
        <v>155</v>
      </c>
      <c r="M1167" s="17" t="s">
        <v>155</v>
      </c>
      <c r="N1167" s="17" t="s">
        <v>155</v>
      </c>
      <c r="O1167" s="17" t="s">
        <v>155</v>
      </c>
    </row>
    <row r="1168" spans="10:15" x14ac:dyDescent="0.3">
      <c r="J1168" t="s">
        <v>564</v>
      </c>
      <c r="K1168" s="17" t="s">
        <v>155</v>
      </c>
      <c r="L1168" s="17" t="s">
        <v>155</v>
      </c>
      <c r="M1168" s="17" t="s">
        <v>155</v>
      </c>
      <c r="N1168" s="17" t="s">
        <v>155</v>
      </c>
      <c r="O1168" s="17" t="s">
        <v>155</v>
      </c>
    </row>
    <row r="1169" spans="10:15" x14ac:dyDescent="0.3">
      <c r="J1169" t="s">
        <v>549</v>
      </c>
      <c r="K1169" s="17" t="s">
        <v>155</v>
      </c>
      <c r="L1169" s="17" t="s">
        <v>155</v>
      </c>
      <c r="M1169" s="17" t="s">
        <v>155</v>
      </c>
      <c r="N1169" s="17" t="s">
        <v>155</v>
      </c>
      <c r="O1169" s="17" t="s">
        <v>155</v>
      </c>
    </row>
    <row r="1170" spans="10:15" x14ac:dyDescent="0.3">
      <c r="J1170" t="s">
        <v>550</v>
      </c>
      <c r="K1170" s="17" t="s">
        <v>155</v>
      </c>
      <c r="L1170" s="17" t="s">
        <v>155</v>
      </c>
      <c r="M1170" s="17" t="s">
        <v>155</v>
      </c>
      <c r="N1170" s="17" t="s">
        <v>155</v>
      </c>
      <c r="O1170" s="17" t="s">
        <v>155</v>
      </c>
    </row>
    <row r="1171" spans="10:15" x14ac:dyDescent="0.3">
      <c r="J1171" t="s">
        <v>551</v>
      </c>
      <c r="K1171" s="17" t="s">
        <v>155</v>
      </c>
      <c r="L1171" s="17" t="s">
        <v>155</v>
      </c>
      <c r="M1171" s="17" t="s">
        <v>155</v>
      </c>
      <c r="N1171" s="17" t="s">
        <v>155</v>
      </c>
      <c r="O1171" s="17" t="s">
        <v>155</v>
      </c>
    </row>
    <row r="1172" spans="10:15" x14ac:dyDescent="0.3">
      <c r="J1172" t="s">
        <v>552</v>
      </c>
      <c r="K1172" s="17" t="s">
        <v>155</v>
      </c>
      <c r="L1172" s="17" t="s">
        <v>155</v>
      </c>
      <c r="M1172" s="17" t="s">
        <v>155</v>
      </c>
      <c r="N1172" s="17" t="s">
        <v>155</v>
      </c>
      <c r="O1172" s="17" t="s">
        <v>155</v>
      </c>
    </row>
    <row r="1173" spans="10:15" x14ac:dyDescent="0.3">
      <c r="J1173" t="s">
        <v>553</v>
      </c>
      <c r="K1173" s="17" t="s">
        <v>155</v>
      </c>
      <c r="L1173" s="17" t="s">
        <v>155</v>
      </c>
      <c r="M1173" s="17" t="s">
        <v>155</v>
      </c>
      <c r="N1173" s="17" t="s">
        <v>155</v>
      </c>
      <c r="O1173" s="17" t="s">
        <v>155</v>
      </c>
    </row>
    <row r="1175" spans="10:15" x14ac:dyDescent="0.3">
      <c r="J1175" t="s">
        <v>778</v>
      </c>
    </row>
    <row r="1176" spans="10:15" x14ac:dyDescent="0.3">
      <c r="K1176" s="17" t="s">
        <v>164</v>
      </c>
      <c r="L1176" s="17" t="s">
        <v>165</v>
      </c>
      <c r="M1176" s="17" t="s">
        <v>166</v>
      </c>
      <c r="N1176" s="17" t="s">
        <v>167</v>
      </c>
      <c r="O1176" s="17" t="s">
        <v>168</v>
      </c>
    </row>
    <row r="1177" spans="10:15" x14ac:dyDescent="0.3">
      <c r="J1177" t="s">
        <v>555</v>
      </c>
      <c r="K1177" s="17" t="s">
        <v>155</v>
      </c>
      <c r="L1177" s="17" t="s">
        <v>155</v>
      </c>
      <c r="M1177" s="17" t="s">
        <v>155</v>
      </c>
      <c r="N1177" s="17" t="s">
        <v>155</v>
      </c>
      <c r="O1177" s="17" t="s">
        <v>155</v>
      </c>
    </row>
    <row r="1178" spans="10:15" x14ac:dyDescent="0.3">
      <c r="J1178" t="s">
        <v>556</v>
      </c>
      <c r="K1178" s="17" t="s">
        <v>155</v>
      </c>
      <c r="L1178" s="17" t="s">
        <v>155</v>
      </c>
      <c r="M1178" s="17" t="s">
        <v>155</v>
      </c>
      <c r="N1178" s="17" t="s">
        <v>155</v>
      </c>
      <c r="O1178" s="17" t="s">
        <v>155</v>
      </c>
    </row>
    <row r="1179" spans="10:15" x14ac:dyDescent="0.3">
      <c r="J1179" t="s">
        <v>557</v>
      </c>
      <c r="K1179" s="17" t="s">
        <v>155</v>
      </c>
      <c r="L1179" s="17" t="s">
        <v>155</v>
      </c>
      <c r="M1179" s="17" t="s">
        <v>155</v>
      </c>
      <c r="N1179" s="17" t="s">
        <v>155</v>
      </c>
      <c r="O1179" s="17" t="s">
        <v>155</v>
      </c>
    </row>
    <row r="1180" spans="10:15" x14ac:dyDescent="0.3">
      <c r="J1180" t="s">
        <v>158</v>
      </c>
      <c r="K1180" s="17" t="s">
        <v>155</v>
      </c>
      <c r="L1180" s="17" t="s">
        <v>155</v>
      </c>
      <c r="M1180" s="17" t="s">
        <v>155</v>
      </c>
      <c r="N1180" s="17" t="s">
        <v>155</v>
      </c>
      <c r="O1180" s="17" t="s">
        <v>155</v>
      </c>
    </row>
    <row r="1181" spans="10:15" x14ac:dyDescent="0.3">
      <c r="J1181" t="s">
        <v>159</v>
      </c>
      <c r="K1181" s="17" t="s">
        <v>155</v>
      </c>
      <c r="L1181" s="17" t="s">
        <v>155</v>
      </c>
      <c r="M1181" s="17" t="s">
        <v>155</v>
      </c>
      <c r="N1181" s="17" t="s">
        <v>155</v>
      </c>
      <c r="O1181" s="17" t="s">
        <v>155</v>
      </c>
    </row>
    <row r="1182" spans="10:15" x14ac:dyDescent="0.3">
      <c r="J1182" t="s">
        <v>160</v>
      </c>
      <c r="K1182" s="17" t="s">
        <v>155</v>
      </c>
      <c r="L1182" s="17" t="s">
        <v>155</v>
      </c>
      <c r="M1182" s="17" t="s">
        <v>155</v>
      </c>
      <c r="N1182" s="17" t="s">
        <v>155</v>
      </c>
      <c r="O1182" s="17" t="s">
        <v>155</v>
      </c>
    </row>
    <row r="1183" spans="10:15" x14ac:dyDescent="0.3">
      <c r="J1183" t="s">
        <v>561</v>
      </c>
      <c r="K1183" s="17" t="s">
        <v>155</v>
      </c>
      <c r="L1183" s="17" t="s">
        <v>155</v>
      </c>
      <c r="M1183" s="17" t="s">
        <v>155</v>
      </c>
      <c r="N1183" s="17" t="s">
        <v>155</v>
      </c>
      <c r="O1183" s="17" t="s">
        <v>155</v>
      </c>
    </row>
    <row r="1184" spans="10:15" x14ac:dyDescent="0.3">
      <c r="J1184" t="s">
        <v>562</v>
      </c>
      <c r="K1184" s="17" t="s">
        <v>155</v>
      </c>
      <c r="L1184" s="17" t="s">
        <v>155</v>
      </c>
      <c r="M1184" s="17" t="s">
        <v>155</v>
      </c>
      <c r="N1184" s="17" t="s">
        <v>155</v>
      </c>
      <c r="O1184" s="17" t="s">
        <v>155</v>
      </c>
    </row>
    <row r="1185" spans="10:15" x14ac:dyDescent="0.3">
      <c r="J1185" t="s">
        <v>563</v>
      </c>
      <c r="K1185" s="17" t="s">
        <v>155</v>
      </c>
      <c r="L1185" s="17" t="s">
        <v>155</v>
      </c>
      <c r="M1185" s="17" t="s">
        <v>155</v>
      </c>
      <c r="N1185" s="17" t="s">
        <v>155</v>
      </c>
      <c r="O1185" s="17" t="s">
        <v>155</v>
      </c>
    </row>
    <row r="1186" spans="10:15" x14ac:dyDescent="0.3">
      <c r="J1186" t="s">
        <v>564</v>
      </c>
      <c r="K1186" s="17" t="s">
        <v>155</v>
      </c>
      <c r="L1186" s="17" t="s">
        <v>155</v>
      </c>
      <c r="M1186" s="17" t="s">
        <v>155</v>
      </c>
      <c r="N1186" s="17" t="s">
        <v>155</v>
      </c>
      <c r="O1186" s="17" t="s">
        <v>155</v>
      </c>
    </row>
    <row r="1187" spans="10:15" x14ac:dyDescent="0.3">
      <c r="J1187" t="s">
        <v>549</v>
      </c>
      <c r="K1187" s="17" t="s">
        <v>155</v>
      </c>
      <c r="L1187" s="17" t="s">
        <v>155</v>
      </c>
      <c r="M1187" s="17" t="s">
        <v>155</v>
      </c>
      <c r="N1187" s="17" t="s">
        <v>155</v>
      </c>
      <c r="O1187" s="17" t="s">
        <v>155</v>
      </c>
    </row>
    <row r="1188" spans="10:15" x14ac:dyDescent="0.3">
      <c r="J1188" t="s">
        <v>550</v>
      </c>
      <c r="K1188" s="17" t="s">
        <v>155</v>
      </c>
      <c r="L1188" s="17" t="s">
        <v>155</v>
      </c>
      <c r="M1188" s="17" t="s">
        <v>155</v>
      </c>
      <c r="N1188" s="17" t="s">
        <v>155</v>
      </c>
      <c r="O1188" s="17" t="s">
        <v>155</v>
      </c>
    </row>
    <row r="1189" spans="10:15" x14ac:dyDescent="0.3">
      <c r="J1189" t="s">
        <v>551</v>
      </c>
      <c r="K1189" s="17" t="s">
        <v>155</v>
      </c>
      <c r="L1189" s="17" t="s">
        <v>155</v>
      </c>
      <c r="M1189" s="17" t="s">
        <v>268</v>
      </c>
      <c r="N1189" s="17" t="s">
        <v>155</v>
      </c>
      <c r="O1189" s="17" t="s">
        <v>155</v>
      </c>
    </row>
    <row r="1190" spans="10:15" x14ac:dyDescent="0.3">
      <c r="J1190" t="s">
        <v>552</v>
      </c>
      <c r="K1190" s="17" t="s">
        <v>155</v>
      </c>
      <c r="L1190" s="17" t="s">
        <v>155</v>
      </c>
      <c r="M1190" s="17" t="s">
        <v>268</v>
      </c>
      <c r="N1190" s="17" t="s">
        <v>155</v>
      </c>
      <c r="O1190" s="17" t="s">
        <v>155</v>
      </c>
    </row>
    <row r="1191" spans="10:15" x14ac:dyDescent="0.3">
      <c r="J1191" t="s">
        <v>553</v>
      </c>
      <c r="K1191" s="17" t="s">
        <v>155</v>
      </c>
      <c r="L1191" s="17" t="s">
        <v>155</v>
      </c>
      <c r="M1191" s="17" t="s">
        <v>155</v>
      </c>
      <c r="N1191" s="17" t="s">
        <v>155</v>
      </c>
      <c r="O1191" s="17" t="s">
        <v>155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G17"/>
  <sheetViews>
    <sheetView zoomScale="129" workbookViewId="0">
      <selection activeCell="J9" sqref="J9"/>
    </sheetView>
  </sheetViews>
  <sheetFormatPr baseColWidth="10" defaultRowHeight="14.4" x14ac:dyDescent="0.3"/>
  <cols>
    <col min="1" max="2" width="6.44140625" customWidth="1"/>
  </cols>
  <sheetData>
    <row r="2" spans="1:7" x14ac:dyDescent="0.3">
      <c r="C2" s="17" t="s">
        <v>164</v>
      </c>
      <c r="D2" s="17" t="s">
        <v>165</v>
      </c>
      <c r="E2" s="17" t="s">
        <v>166</v>
      </c>
      <c r="F2" s="17" t="s">
        <v>167</v>
      </c>
      <c r="G2" s="17" t="s">
        <v>168</v>
      </c>
    </row>
    <row r="3" spans="1:7" x14ac:dyDescent="0.3">
      <c r="A3" s="53" cm="1">
        <f t="array" ref="A3:B17">Tabla1[[Inicio]:[Fin]]</f>
        <v>0.33333333333333331</v>
      </c>
      <c r="B3" s="53">
        <v>0.36805555555555552</v>
      </c>
      <c r="C3" s="54"/>
      <c r="D3" s="54"/>
      <c r="E3" s="54"/>
      <c r="F3" s="54"/>
      <c r="G3" s="54"/>
    </row>
    <row r="4" spans="1:7" x14ac:dyDescent="0.3">
      <c r="A4" s="53">
        <v>0.36805555555555558</v>
      </c>
      <c r="B4" s="53">
        <v>0.40277777777777779</v>
      </c>
      <c r="C4" s="54"/>
      <c r="D4" s="54"/>
      <c r="E4" s="54"/>
      <c r="F4" s="54"/>
      <c r="G4" s="54"/>
    </row>
    <row r="5" spans="1:7" x14ac:dyDescent="0.3">
      <c r="A5" s="53">
        <v>0.40972222222222221</v>
      </c>
      <c r="B5" s="53">
        <v>0.44444444444444442</v>
      </c>
      <c r="C5" s="54"/>
      <c r="D5" s="54"/>
      <c r="E5" s="54"/>
      <c r="F5" s="54"/>
      <c r="G5" s="54"/>
    </row>
    <row r="6" spans="1:7" x14ac:dyDescent="0.3">
      <c r="A6" s="53">
        <v>0.44444444444444442</v>
      </c>
      <c r="B6" s="53">
        <v>0.47916666666666663</v>
      </c>
      <c r="C6" s="54"/>
      <c r="D6" s="54"/>
      <c r="E6" s="54"/>
      <c r="F6" s="54"/>
      <c r="G6" s="54"/>
    </row>
    <row r="7" spans="1:7" x14ac:dyDescent="0.3">
      <c r="A7" s="53">
        <v>0.4861111111111111</v>
      </c>
      <c r="B7" s="53">
        <v>0.52083333333333337</v>
      </c>
      <c r="C7" s="54"/>
      <c r="D7" s="54"/>
      <c r="E7" s="54"/>
      <c r="F7" s="54"/>
      <c r="G7" s="54"/>
    </row>
    <row r="8" spans="1:7" x14ac:dyDescent="0.3">
      <c r="A8" s="53">
        <v>0.52083333333333337</v>
      </c>
      <c r="B8" s="53">
        <v>0.55555555555555558</v>
      </c>
      <c r="C8" s="54"/>
      <c r="D8" s="54"/>
      <c r="E8" s="54"/>
      <c r="F8" s="54"/>
      <c r="G8" s="54"/>
    </row>
    <row r="9" spans="1:7" x14ac:dyDescent="0.3">
      <c r="A9" s="53">
        <v>0.59027777777777779</v>
      </c>
      <c r="B9" s="53">
        <v>0.625</v>
      </c>
      <c r="C9" s="55"/>
      <c r="D9" s="55"/>
      <c r="E9" s="55"/>
      <c r="F9" s="55"/>
      <c r="G9" s="55"/>
    </row>
    <row r="10" spans="1:7" x14ac:dyDescent="0.3">
      <c r="A10" s="53">
        <v>0.63194444444444442</v>
      </c>
      <c r="B10" s="53">
        <v>0.66666666666666663</v>
      </c>
      <c r="C10" s="55"/>
      <c r="D10" s="55"/>
      <c r="E10" s="55"/>
      <c r="F10" s="55"/>
      <c r="G10" s="55"/>
    </row>
    <row r="11" spans="1:7" x14ac:dyDescent="0.3">
      <c r="A11" s="53">
        <v>0.67361111111111116</v>
      </c>
      <c r="B11" s="53">
        <v>0.70833333333333337</v>
      </c>
      <c r="C11" s="55"/>
      <c r="D11" s="55"/>
      <c r="E11" s="55"/>
      <c r="F11" s="55"/>
      <c r="G11" s="55"/>
    </row>
    <row r="12" spans="1:7" x14ac:dyDescent="0.3">
      <c r="A12" s="53">
        <v>0.70833333333333337</v>
      </c>
      <c r="B12" s="53">
        <v>0.74305555555555558</v>
      </c>
      <c r="C12" s="55"/>
      <c r="D12" s="55"/>
      <c r="E12" s="55"/>
      <c r="F12" s="55"/>
      <c r="G12" s="55"/>
    </row>
    <row r="13" spans="1:7" x14ac:dyDescent="0.3">
      <c r="A13" s="53">
        <v>0.75</v>
      </c>
      <c r="B13" s="53">
        <v>0.78472222222222221</v>
      </c>
      <c r="C13" s="56"/>
      <c r="D13" s="56"/>
      <c r="E13" s="56"/>
      <c r="F13" s="56"/>
      <c r="G13" s="56"/>
    </row>
    <row r="14" spans="1:7" x14ac:dyDescent="0.3">
      <c r="A14" s="53">
        <v>0.78472222222222221</v>
      </c>
      <c r="B14" s="53">
        <v>0.81944444444444442</v>
      </c>
      <c r="C14" s="56"/>
      <c r="D14" s="56"/>
      <c r="E14" s="56"/>
      <c r="F14" s="56"/>
      <c r="G14" s="56"/>
    </row>
    <row r="15" spans="1:7" x14ac:dyDescent="0.3">
      <c r="A15" s="53">
        <v>0.82638888888888884</v>
      </c>
      <c r="B15" s="53">
        <v>0.86111111111111105</v>
      </c>
      <c r="C15" s="56"/>
      <c r="D15" s="56"/>
      <c r="E15" s="56"/>
      <c r="F15" s="56"/>
      <c r="G15" s="56"/>
    </row>
    <row r="16" spans="1:7" x14ac:dyDescent="0.3">
      <c r="A16" s="53">
        <v>0.86111111111111116</v>
      </c>
      <c r="B16" s="53">
        <v>0.89583333333333337</v>
      </c>
      <c r="C16" s="56"/>
      <c r="D16" s="56"/>
      <c r="E16" s="56"/>
      <c r="F16" s="56"/>
      <c r="G16" s="56"/>
    </row>
    <row r="17" spans="1:7" x14ac:dyDescent="0.3">
      <c r="A17" s="53">
        <v>0.90277777777777779</v>
      </c>
      <c r="B17" s="53">
        <v>0.9375</v>
      </c>
      <c r="C17" s="56"/>
      <c r="D17" s="56"/>
      <c r="E17" s="56"/>
      <c r="F17" s="56"/>
      <c r="G17" s="56"/>
    </row>
  </sheetData>
  <conditionalFormatting sqref="C3:G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9" t="s">
        <v>360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1</v>
      </c>
      <c r="D2" s="54">
        <v>0</v>
      </c>
      <c r="E2" s="57">
        <v>2</v>
      </c>
      <c r="F2" s="57">
        <v>3</v>
      </c>
    </row>
    <row r="3" spans="1:6" x14ac:dyDescent="0.3">
      <c r="A3">
        <v>2</v>
      </c>
      <c r="B3" s="54">
        <v>3</v>
      </c>
      <c r="C3" s="54">
        <v>1</v>
      </c>
      <c r="D3" s="54">
        <v>0</v>
      </c>
      <c r="E3" s="57">
        <v>2</v>
      </c>
      <c r="F3" s="57">
        <v>3</v>
      </c>
    </row>
    <row r="4" spans="1:6" x14ac:dyDescent="0.3">
      <c r="A4">
        <v>3</v>
      </c>
      <c r="B4" s="54">
        <v>3</v>
      </c>
      <c r="C4" s="54">
        <v>1</v>
      </c>
      <c r="D4" s="54">
        <v>0</v>
      </c>
      <c r="E4" s="57">
        <v>2</v>
      </c>
      <c r="F4" s="57">
        <v>3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9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0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0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1</v>
      </c>
      <c r="C5" s="54">
        <v>1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1</v>
      </c>
      <c r="C6" s="54">
        <v>1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1</v>
      </c>
      <c r="C7" s="54">
        <v>1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0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8" t="s">
        <v>273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2</v>
      </c>
      <c r="C14" s="56">
        <v>2</v>
      </c>
      <c r="D14" s="56">
        <v>2</v>
      </c>
      <c r="E14" s="56">
        <v>2</v>
      </c>
      <c r="F14" s="56">
        <v>2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RowHeight="14.4" x14ac:dyDescent="0.3"/>
  <sheetData>
    <row r="1" spans="1:6" x14ac:dyDescent="0.3">
      <c r="A1" s="58" t="s">
        <v>105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3</v>
      </c>
      <c r="D4" s="54">
        <v>0</v>
      </c>
      <c r="E4" s="54">
        <v>3</v>
      </c>
      <c r="F4" s="54">
        <v>0</v>
      </c>
    </row>
    <row r="5" spans="1:6" x14ac:dyDescent="0.3">
      <c r="A5">
        <v>4</v>
      </c>
      <c r="B5" s="54">
        <v>0</v>
      </c>
      <c r="C5" s="54">
        <v>1</v>
      </c>
      <c r="D5" s="54">
        <v>0</v>
      </c>
      <c r="E5" s="54">
        <v>1</v>
      </c>
      <c r="F5" s="54">
        <v>0</v>
      </c>
    </row>
    <row r="6" spans="1:6" x14ac:dyDescent="0.3">
      <c r="A6">
        <v>5</v>
      </c>
      <c r="B6" s="54">
        <v>0</v>
      </c>
      <c r="C6" s="54">
        <v>1</v>
      </c>
      <c r="D6" s="54">
        <v>0</v>
      </c>
      <c r="E6" s="54">
        <v>1</v>
      </c>
      <c r="F6" s="54">
        <v>0</v>
      </c>
    </row>
    <row r="7" spans="1:6" x14ac:dyDescent="0.3">
      <c r="A7">
        <v>6</v>
      </c>
      <c r="B7" s="54">
        <v>0</v>
      </c>
      <c r="C7" s="54">
        <v>1</v>
      </c>
      <c r="D7" s="54">
        <v>0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1</v>
      </c>
      <c r="D8" s="55">
        <v>0</v>
      </c>
      <c r="E8" s="55">
        <v>1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3</v>
      </c>
      <c r="D11" s="55">
        <v>0</v>
      </c>
      <c r="E11" s="55">
        <v>3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58" t="s">
        <v>355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3</v>
      </c>
      <c r="C5" s="54">
        <v>3</v>
      </c>
      <c r="D5" s="54">
        <v>3</v>
      </c>
      <c r="E5" s="54">
        <v>3</v>
      </c>
      <c r="F5" s="54">
        <v>3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H15" sqref="H15"/>
    </sheetView>
  </sheetViews>
  <sheetFormatPr baseColWidth="10" defaultRowHeight="14.4" x14ac:dyDescent="0.3"/>
  <sheetData>
    <row r="1" spans="1:6" x14ac:dyDescent="0.3">
      <c r="A1" s="69" t="s">
        <v>471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1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L17" sqref="L17"/>
    </sheetView>
  </sheetViews>
  <sheetFormatPr baseColWidth="10" defaultRowHeight="14.4" x14ac:dyDescent="0.3"/>
  <sheetData>
    <row r="1" spans="1:6" x14ac:dyDescent="0.3">
      <c r="A1" s="58" t="s">
        <v>109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3</v>
      </c>
      <c r="F10" s="55">
        <v>3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58" t="s">
        <v>426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2</v>
      </c>
      <c r="C14" s="56">
        <v>2</v>
      </c>
      <c r="D14" s="56">
        <v>2</v>
      </c>
      <c r="E14" s="56">
        <v>2</v>
      </c>
      <c r="F14" s="56">
        <v>2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I20" sqref="I20"/>
    </sheetView>
  </sheetViews>
  <sheetFormatPr baseColWidth="10" defaultRowHeight="14.4" x14ac:dyDescent="0.3"/>
  <sheetData>
    <row r="1" spans="1:6" x14ac:dyDescent="0.3">
      <c r="A1" s="58" t="s">
        <v>427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2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2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2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2</v>
      </c>
      <c r="C15" s="56">
        <v>2</v>
      </c>
      <c r="D15" s="56">
        <v>2</v>
      </c>
      <c r="E15" s="56">
        <v>2</v>
      </c>
      <c r="F15" s="56">
        <v>2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8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8" t="s">
        <v>248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3</v>
      </c>
      <c r="D12" s="56">
        <v>1</v>
      </c>
      <c r="E12" s="56">
        <v>3</v>
      </c>
      <c r="F12" s="56">
        <v>0</v>
      </c>
    </row>
    <row r="13" spans="1:6" x14ac:dyDescent="0.3">
      <c r="A13">
        <v>12</v>
      </c>
      <c r="B13" s="56">
        <v>1</v>
      </c>
      <c r="C13" s="56">
        <v>3</v>
      </c>
      <c r="D13" s="56">
        <v>1</v>
      </c>
      <c r="E13" s="56">
        <v>3</v>
      </c>
      <c r="F13" s="56">
        <v>0</v>
      </c>
    </row>
    <row r="14" spans="1:6" x14ac:dyDescent="0.3">
      <c r="A14">
        <v>13</v>
      </c>
      <c r="B14" s="56">
        <v>1</v>
      </c>
      <c r="C14" s="56">
        <v>3</v>
      </c>
      <c r="D14" s="56">
        <v>1</v>
      </c>
      <c r="E14" s="56">
        <v>3</v>
      </c>
      <c r="F14" s="56">
        <v>0</v>
      </c>
    </row>
    <row r="15" spans="1:6" x14ac:dyDescent="0.3">
      <c r="A15">
        <v>14</v>
      </c>
      <c r="B15" s="56">
        <v>1</v>
      </c>
      <c r="C15" s="56">
        <v>3</v>
      </c>
      <c r="D15" s="56">
        <v>1</v>
      </c>
      <c r="E15" s="56">
        <v>3</v>
      </c>
      <c r="F15" s="56">
        <v>0</v>
      </c>
    </row>
    <row r="16" spans="1:6" x14ac:dyDescent="0.3">
      <c r="A16">
        <v>15</v>
      </c>
      <c r="B16" s="56">
        <v>1</v>
      </c>
      <c r="C16" s="56">
        <v>3</v>
      </c>
      <c r="D16" s="56">
        <v>1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58" t="s">
        <v>363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58" t="s">
        <v>338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2</v>
      </c>
      <c r="D2" s="54">
        <v>2</v>
      </c>
      <c r="E2" s="54">
        <v>1</v>
      </c>
      <c r="F2" s="54">
        <v>1</v>
      </c>
    </row>
    <row r="3" spans="1:6" x14ac:dyDescent="0.3">
      <c r="A3">
        <v>2</v>
      </c>
      <c r="B3" s="54">
        <v>0</v>
      </c>
      <c r="C3" s="54">
        <v>2</v>
      </c>
      <c r="D3" s="54">
        <v>2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2</v>
      </c>
      <c r="D4" s="54">
        <v>2</v>
      </c>
      <c r="E4" s="54">
        <v>1</v>
      </c>
      <c r="F4" s="54">
        <v>1</v>
      </c>
    </row>
    <row r="5" spans="1:6" x14ac:dyDescent="0.3">
      <c r="A5">
        <v>4</v>
      </c>
      <c r="B5" s="54">
        <v>0</v>
      </c>
      <c r="C5" s="54">
        <v>2</v>
      </c>
      <c r="D5" s="54">
        <v>2</v>
      </c>
      <c r="E5" s="54">
        <v>1</v>
      </c>
      <c r="F5" s="54">
        <v>1</v>
      </c>
    </row>
    <row r="6" spans="1:6" x14ac:dyDescent="0.3">
      <c r="A6">
        <v>5</v>
      </c>
      <c r="B6" s="54">
        <v>0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0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B10" sqref="B10:F16"/>
    </sheetView>
  </sheetViews>
  <sheetFormatPr baseColWidth="10" defaultRowHeight="14.4" x14ac:dyDescent="0.3"/>
  <sheetData>
    <row r="1" spans="1:6" x14ac:dyDescent="0.3">
      <c r="A1" s="58" t="s">
        <v>126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3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3</v>
      </c>
      <c r="F14" s="56">
        <v>0</v>
      </c>
    </row>
    <row r="15" spans="1:6" x14ac:dyDescent="0.3">
      <c r="A15">
        <v>14</v>
      </c>
      <c r="B15" s="56">
        <v>2</v>
      </c>
      <c r="C15" s="56">
        <v>2</v>
      </c>
      <c r="D15" s="56">
        <v>2</v>
      </c>
      <c r="E15" s="56">
        <v>3</v>
      </c>
      <c r="F15" s="56">
        <v>0</v>
      </c>
    </row>
    <row r="16" spans="1:6" x14ac:dyDescent="0.3">
      <c r="A16">
        <v>15</v>
      </c>
      <c r="B16" s="56">
        <v>2</v>
      </c>
      <c r="C16" s="56">
        <v>2</v>
      </c>
      <c r="D16" s="56">
        <v>2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9" sqref="B9:F16"/>
    </sheetView>
  </sheetViews>
  <sheetFormatPr baseColWidth="10" defaultRowHeight="14.4" x14ac:dyDescent="0.3"/>
  <sheetData>
    <row r="1" spans="1:6" x14ac:dyDescent="0.3">
      <c r="A1" s="58" t="s">
        <v>414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1</v>
      </c>
      <c r="D11" s="55">
        <v>0</v>
      </c>
      <c r="E11" s="55">
        <v>1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0</v>
      </c>
    </row>
    <row r="16" spans="1:6" x14ac:dyDescent="0.3">
      <c r="A16">
        <v>15</v>
      </c>
      <c r="B16" s="56">
        <v>0</v>
      </c>
      <c r="C16" s="56">
        <v>1</v>
      </c>
      <c r="D16" s="56">
        <v>0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J18" sqref="J18"/>
    </sheetView>
  </sheetViews>
  <sheetFormatPr baseColWidth="10" defaultRowHeight="14.4" x14ac:dyDescent="0.3"/>
  <sheetData>
    <row r="1" spans="1:6" x14ac:dyDescent="0.3">
      <c r="A1" s="58" t="s">
        <v>149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1</v>
      </c>
      <c r="D4" s="54">
        <v>0</v>
      </c>
      <c r="E4" s="54">
        <v>1</v>
      </c>
      <c r="F4" s="54">
        <v>3</v>
      </c>
    </row>
    <row r="5" spans="1:6" x14ac:dyDescent="0.3">
      <c r="A5">
        <v>4</v>
      </c>
      <c r="B5" s="54">
        <v>0</v>
      </c>
      <c r="C5" s="54">
        <v>1</v>
      </c>
      <c r="D5" s="54">
        <v>0</v>
      </c>
      <c r="E5" s="54">
        <v>1</v>
      </c>
      <c r="F5" s="54">
        <v>3</v>
      </c>
    </row>
    <row r="6" spans="1:6" x14ac:dyDescent="0.3">
      <c r="A6">
        <v>5</v>
      </c>
      <c r="B6" s="54">
        <v>0</v>
      </c>
      <c r="C6" s="54">
        <v>1</v>
      </c>
      <c r="D6" s="54">
        <v>0</v>
      </c>
      <c r="E6" s="54">
        <v>1</v>
      </c>
      <c r="F6" s="54">
        <v>3</v>
      </c>
    </row>
    <row r="7" spans="1:6" x14ac:dyDescent="0.3">
      <c r="A7">
        <v>6</v>
      </c>
      <c r="B7" s="54">
        <v>0</v>
      </c>
      <c r="C7" s="54">
        <v>2</v>
      </c>
      <c r="D7" s="54">
        <v>0</v>
      </c>
      <c r="E7" s="54">
        <v>2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2</v>
      </c>
      <c r="D11" s="55">
        <v>0</v>
      </c>
      <c r="E11" s="55">
        <v>2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58" t="s">
        <v>429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2</v>
      </c>
      <c r="D2" s="54">
        <v>2</v>
      </c>
      <c r="E2" s="54">
        <v>2</v>
      </c>
      <c r="F2" s="54">
        <v>0</v>
      </c>
    </row>
    <row r="3" spans="1:6" x14ac:dyDescent="0.3">
      <c r="A3">
        <v>2</v>
      </c>
      <c r="B3" s="54">
        <v>2</v>
      </c>
      <c r="C3" s="54">
        <v>2</v>
      </c>
      <c r="D3" s="54">
        <v>2</v>
      </c>
      <c r="E3" s="54">
        <v>2</v>
      </c>
      <c r="F3" s="54">
        <v>0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0</v>
      </c>
    </row>
    <row r="5" spans="1:6" x14ac:dyDescent="0.3">
      <c r="A5">
        <v>4</v>
      </c>
      <c r="B5" s="54">
        <v>3</v>
      </c>
      <c r="C5" s="54">
        <v>1</v>
      </c>
      <c r="D5" s="54">
        <v>1</v>
      </c>
      <c r="E5" s="54">
        <v>1</v>
      </c>
      <c r="F5" s="54">
        <v>0</v>
      </c>
    </row>
    <row r="6" spans="1:6" x14ac:dyDescent="0.3">
      <c r="A6">
        <v>5</v>
      </c>
      <c r="B6" s="54">
        <v>3</v>
      </c>
      <c r="C6" s="54">
        <v>1</v>
      </c>
      <c r="D6" s="54">
        <v>1</v>
      </c>
      <c r="E6" s="54">
        <v>1</v>
      </c>
      <c r="F6" s="54">
        <v>0</v>
      </c>
    </row>
    <row r="7" spans="1:6" x14ac:dyDescent="0.3">
      <c r="A7">
        <v>6</v>
      </c>
      <c r="B7" s="54">
        <v>3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3</v>
      </c>
      <c r="C12" s="56">
        <v>1</v>
      </c>
      <c r="D12" s="56">
        <v>2</v>
      </c>
      <c r="E12" s="56">
        <v>1</v>
      </c>
      <c r="F12" s="56">
        <v>3</v>
      </c>
    </row>
    <row r="13" spans="1:6" x14ac:dyDescent="0.3">
      <c r="A13">
        <v>12</v>
      </c>
      <c r="B13" s="56">
        <v>3</v>
      </c>
      <c r="C13" s="56">
        <v>1</v>
      </c>
      <c r="D13" s="56">
        <v>2</v>
      </c>
      <c r="E13" s="56">
        <v>1</v>
      </c>
      <c r="F13" s="56">
        <v>3</v>
      </c>
    </row>
    <row r="14" spans="1:6" x14ac:dyDescent="0.3">
      <c r="A14">
        <v>13</v>
      </c>
      <c r="B14" s="56">
        <v>3</v>
      </c>
      <c r="C14" s="56">
        <v>1</v>
      </c>
      <c r="D14" s="56">
        <v>2</v>
      </c>
      <c r="E14" s="56">
        <v>1</v>
      </c>
      <c r="F14" s="56">
        <v>3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58" t="s">
        <v>409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0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0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0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0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0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58" t="s">
        <v>119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3</v>
      </c>
      <c r="C4" s="54">
        <v>3</v>
      </c>
      <c r="D4" s="54">
        <v>3</v>
      </c>
      <c r="E4" s="54">
        <v>3</v>
      </c>
      <c r="F4" s="54">
        <v>3</v>
      </c>
    </row>
    <row r="5" spans="1:6" x14ac:dyDescent="0.3">
      <c r="A5">
        <v>4</v>
      </c>
      <c r="B5" s="54">
        <v>3</v>
      </c>
      <c r="C5" s="54">
        <v>3</v>
      </c>
      <c r="D5" s="54">
        <v>3</v>
      </c>
      <c r="E5" s="54">
        <v>3</v>
      </c>
      <c r="F5" s="54">
        <v>3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2</v>
      </c>
      <c r="C7" s="54">
        <v>3</v>
      </c>
      <c r="D7" s="54">
        <v>2</v>
      </c>
      <c r="E7" s="54">
        <v>3</v>
      </c>
      <c r="F7" s="54">
        <v>3</v>
      </c>
    </row>
    <row r="8" spans="1:6" x14ac:dyDescent="0.3">
      <c r="A8">
        <v>7</v>
      </c>
      <c r="B8" s="55">
        <v>2</v>
      </c>
      <c r="C8" s="55">
        <v>3</v>
      </c>
      <c r="D8" s="55">
        <v>2</v>
      </c>
      <c r="E8" s="55">
        <v>3</v>
      </c>
      <c r="F8" s="55">
        <v>3</v>
      </c>
    </row>
    <row r="9" spans="1:6" x14ac:dyDescent="0.3">
      <c r="A9">
        <v>8</v>
      </c>
      <c r="B9" s="55">
        <v>2</v>
      </c>
      <c r="C9" s="55">
        <v>3</v>
      </c>
      <c r="D9" s="55">
        <v>2</v>
      </c>
      <c r="E9" s="55">
        <v>3</v>
      </c>
      <c r="F9" s="55">
        <v>3</v>
      </c>
    </row>
    <row r="10" spans="1:6" x14ac:dyDescent="0.3">
      <c r="A10">
        <v>9</v>
      </c>
      <c r="B10" s="55">
        <v>1</v>
      </c>
      <c r="C10" s="55">
        <v>3</v>
      </c>
      <c r="D10" s="55">
        <v>1</v>
      </c>
      <c r="E10" s="55">
        <v>3</v>
      </c>
      <c r="F10" s="55">
        <v>3</v>
      </c>
    </row>
    <row r="11" spans="1:6" x14ac:dyDescent="0.3">
      <c r="A11">
        <v>10</v>
      </c>
      <c r="B11" s="55">
        <v>1</v>
      </c>
      <c r="C11" s="55">
        <v>2</v>
      </c>
      <c r="D11" s="55">
        <v>1</v>
      </c>
      <c r="E11" s="55">
        <v>2</v>
      </c>
      <c r="F11" s="55">
        <v>2</v>
      </c>
    </row>
    <row r="12" spans="1:6" x14ac:dyDescent="0.3">
      <c r="A12">
        <v>11</v>
      </c>
      <c r="B12" s="56">
        <v>1</v>
      </c>
      <c r="C12" s="56">
        <v>2</v>
      </c>
      <c r="D12" s="56">
        <v>1</v>
      </c>
      <c r="E12" s="56">
        <v>2</v>
      </c>
      <c r="F12" s="56">
        <v>2</v>
      </c>
    </row>
    <row r="13" spans="1:6" x14ac:dyDescent="0.3">
      <c r="A13">
        <v>12</v>
      </c>
      <c r="B13" s="56">
        <v>1</v>
      </c>
      <c r="C13" s="56">
        <v>2</v>
      </c>
      <c r="D13" s="56">
        <v>1</v>
      </c>
      <c r="E13" s="56">
        <v>2</v>
      </c>
      <c r="F13" s="56">
        <v>3</v>
      </c>
    </row>
    <row r="14" spans="1:6" x14ac:dyDescent="0.3">
      <c r="A14">
        <v>13</v>
      </c>
      <c r="B14" s="56">
        <v>1</v>
      </c>
      <c r="C14" s="56">
        <v>2</v>
      </c>
      <c r="D14" s="56">
        <v>1</v>
      </c>
      <c r="E14" s="56">
        <v>2</v>
      </c>
      <c r="F14" s="56">
        <v>3</v>
      </c>
    </row>
    <row r="15" spans="1:6" x14ac:dyDescent="0.3">
      <c r="A15">
        <v>14</v>
      </c>
      <c r="B15" s="56">
        <v>2</v>
      </c>
      <c r="C15" s="56">
        <v>3</v>
      </c>
      <c r="D15" s="56">
        <v>2</v>
      </c>
      <c r="E15" s="56">
        <v>3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G22" sqref="G22"/>
    </sheetView>
  </sheetViews>
  <sheetFormatPr baseColWidth="10" defaultRowHeight="14.4" x14ac:dyDescent="0.3"/>
  <sheetData>
    <row r="1" spans="1:6" x14ac:dyDescent="0.3">
      <c r="A1" s="58" t="s">
        <v>148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58" t="s">
        <v>377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0</v>
      </c>
      <c r="E2" s="54">
        <v>0</v>
      </c>
      <c r="F2" s="54">
        <v>3</v>
      </c>
    </row>
    <row r="3" spans="1:6" x14ac:dyDescent="0.3">
      <c r="A3">
        <v>2</v>
      </c>
      <c r="B3" s="54">
        <v>1</v>
      </c>
      <c r="C3" s="54">
        <v>0</v>
      </c>
      <c r="D3" s="54">
        <v>0</v>
      </c>
      <c r="E3" s="54">
        <v>0</v>
      </c>
      <c r="F3" s="54">
        <v>3</v>
      </c>
    </row>
    <row r="4" spans="1:6" x14ac:dyDescent="0.3">
      <c r="A4">
        <v>3</v>
      </c>
      <c r="B4" s="54">
        <v>2</v>
      </c>
      <c r="C4" s="54">
        <v>0</v>
      </c>
      <c r="D4" s="54">
        <v>0</v>
      </c>
      <c r="E4" s="54">
        <v>0</v>
      </c>
      <c r="F4" s="54">
        <v>3</v>
      </c>
    </row>
    <row r="5" spans="1:6" x14ac:dyDescent="0.3">
      <c r="A5">
        <v>4</v>
      </c>
      <c r="B5" s="54">
        <v>2</v>
      </c>
      <c r="C5" s="54">
        <v>0</v>
      </c>
      <c r="D5" s="54">
        <v>0</v>
      </c>
      <c r="E5" s="54">
        <v>0</v>
      </c>
      <c r="F5" s="54">
        <v>3</v>
      </c>
    </row>
    <row r="6" spans="1:6" x14ac:dyDescent="0.3">
      <c r="A6">
        <v>5</v>
      </c>
      <c r="B6" s="69">
        <v>3</v>
      </c>
      <c r="C6" s="54">
        <v>0</v>
      </c>
      <c r="D6" s="54">
        <v>0</v>
      </c>
      <c r="E6" s="54">
        <v>0</v>
      </c>
      <c r="F6" s="69">
        <v>3</v>
      </c>
    </row>
    <row r="7" spans="1:6" x14ac:dyDescent="0.3">
      <c r="A7">
        <v>6</v>
      </c>
      <c r="B7" s="69">
        <v>3</v>
      </c>
      <c r="C7" s="54">
        <v>0</v>
      </c>
      <c r="D7" s="54">
        <v>0</v>
      </c>
      <c r="E7" s="54">
        <v>0</v>
      </c>
      <c r="F7" s="69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RowHeight="14.4" x14ac:dyDescent="0.3"/>
  <sheetData>
    <row r="1" spans="1:6" x14ac:dyDescent="0.3">
      <c r="A1" s="58" t="s">
        <v>340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0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0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0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58" t="s">
        <v>406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3</v>
      </c>
      <c r="C12" s="56">
        <v>3</v>
      </c>
      <c r="D12" s="56">
        <v>3</v>
      </c>
      <c r="E12" s="56">
        <v>3</v>
      </c>
      <c r="F12" s="56">
        <v>3</v>
      </c>
    </row>
    <row r="13" spans="1:6" x14ac:dyDescent="0.3">
      <c r="A13">
        <v>12</v>
      </c>
      <c r="B13" s="56">
        <v>1</v>
      </c>
      <c r="C13" s="56">
        <v>3</v>
      </c>
      <c r="D13" s="56">
        <v>3</v>
      </c>
      <c r="E13" s="56">
        <v>1</v>
      </c>
      <c r="F13" s="56">
        <v>3</v>
      </c>
    </row>
    <row r="14" spans="1:6" x14ac:dyDescent="0.3">
      <c r="A14">
        <v>13</v>
      </c>
      <c r="B14" s="56">
        <v>1</v>
      </c>
      <c r="C14" s="56">
        <v>3</v>
      </c>
      <c r="D14" s="56">
        <v>3</v>
      </c>
      <c r="E14" s="56">
        <v>1</v>
      </c>
      <c r="F14" s="56">
        <v>3</v>
      </c>
    </row>
    <row r="15" spans="1:6" x14ac:dyDescent="0.3">
      <c r="A15">
        <v>14</v>
      </c>
      <c r="B15" s="56">
        <v>1</v>
      </c>
      <c r="C15" s="56">
        <v>3</v>
      </c>
      <c r="D15" s="56">
        <v>3</v>
      </c>
      <c r="E15" s="56">
        <v>1</v>
      </c>
      <c r="F15" s="56">
        <v>3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58" t="s">
        <v>357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0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0</v>
      </c>
      <c r="E3" s="54">
        <v>1</v>
      </c>
      <c r="F3" s="54">
        <v>0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0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8" t="s">
        <v>112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58" t="s">
        <v>387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1</v>
      </c>
      <c r="D2" s="54">
        <v>1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RowHeight="14.4" x14ac:dyDescent="0.3"/>
  <sheetData>
    <row r="1" spans="1:6" x14ac:dyDescent="0.3">
      <c r="A1" s="58" t="s">
        <v>104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3</v>
      </c>
      <c r="D2" s="54">
        <v>0</v>
      </c>
      <c r="E2" s="54">
        <v>3</v>
      </c>
      <c r="F2" s="54">
        <v>0</v>
      </c>
    </row>
    <row r="3" spans="1:6" x14ac:dyDescent="0.3">
      <c r="A3">
        <v>2</v>
      </c>
      <c r="B3" s="54">
        <v>0</v>
      </c>
      <c r="C3" s="54">
        <v>3</v>
      </c>
      <c r="D3" s="54">
        <v>0</v>
      </c>
      <c r="E3" s="54">
        <v>3</v>
      </c>
      <c r="F3" s="54">
        <v>0</v>
      </c>
    </row>
    <row r="4" spans="1:6" x14ac:dyDescent="0.3">
      <c r="A4">
        <v>3</v>
      </c>
      <c r="B4" s="54">
        <v>0</v>
      </c>
      <c r="C4" s="54">
        <v>2</v>
      </c>
      <c r="D4" s="54">
        <v>0</v>
      </c>
      <c r="E4" s="54">
        <v>2</v>
      </c>
      <c r="F4" s="54">
        <v>0</v>
      </c>
    </row>
    <row r="5" spans="1:6" x14ac:dyDescent="0.3">
      <c r="A5">
        <v>4</v>
      </c>
      <c r="B5" s="54">
        <v>0</v>
      </c>
      <c r="C5" s="54">
        <v>1</v>
      </c>
      <c r="D5" s="54">
        <v>0</v>
      </c>
      <c r="E5" s="54">
        <v>1</v>
      </c>
      <c r="F5" s="54">
        <v>0</v>
      </c>
    </row>
    <row r="6" spans="1:6" x14ac:dyDescent="0.3">
      <c r="A6">
        <v>5</v>
      </c>
      <c r="B6" s="54">
        <v>0</v>
      </c>
      <c r="C6" s="54">
        <v>1</v>
      </c>
      <c r="D6" s="54">
        <v>0</v>
      </c>
      <c r="E6" s="54">
        <v>1</v>
      </c>
      <c r="F6" s="54">
        <v>0</v>
      </c>
    </row>
    <row r="7" spans="1:6" x14ac:dyDescent="0.3">
      <c r="A7">
        <v>6</v>
      </c>
      <c r="B7" s="54">
        <v>0</v>
      </c>
      <c r="C7" s="54">
        <v>1</v>
      </c>
      <c r="D7" s="54">
        <v>0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1</v>
      </c>
      <c r="D8" s="55">
        <v>0</v>
      </c>
      <c r="E8" s="55">
        <v>1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2</v>
      </c>
      <c r="D11" s="55">
        <v>0</v>
      </c>
      <c r="E11" s="55">
        <v>2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RowHeight="14.4" x14ac:dyDescent="0.3"/>
  <sheetData>
    <row r="1" spans="1:6" x14ac:dyDescent="0.3">
      <c r="A1" s="58" t="s">
        <v>371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2</v>
      </c>
      <c r="D3" s="54">
        <v>2</v>
      </c>
      <c r="E3" s="54">
        <v>1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H14" sqref="H14"/>
    </sheetView>
  </sheetViews>
  <sheetFormatPr baseColWidth="10" defaultRowHeight="14.4" x14ac:dyDescent="0.3"/>
  <sheetData>
    <row r="1" spans="1:6" x14ac:dyDescent="0.3">
      <c r="A1" s="58" t="s">
        <v>489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0</v>
      </c>
      <c r="D11" s="55">
        <v>3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0</v>
      </c>
      <c r="D12" s="56">
        <v>3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0</v>
      </c>
      <c r="D13" s="56">
        <v>3</v>
      </c>
      <c r="E13" s="56">
        <v>1</v>
      </c>
      <c r="F13" s="56">
        <v>1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A13" sqref="A13:F16"/>
    </sheetView>
  </sheetViews>
  <sheetFormatPr baseColWidth="10" defaultRowHeight="14.4" x14ac:dyDescent="0.3"/>
  <sheetData>
    <row r="1" spans="1:6" x14ac:dyDescent="0.3">
      <c r="A1" s="58" t="s">
        <v>479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2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58" t="s">
        <v>381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3</v>
      </c>
      <c r="C4" s="54">
        <v>3</v>
      </c>
      <c r="D4" s="54">
        <v>3</v>
      </c>
      <c r="E4" s="54">
        <v>3</v>
      </c>
      <c r="F4" s="54">
        <v>3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2</v>
      </c>
      <c r="C6" s="54">
        <v>2</v>
      </c>
      <c r="D6" s="54">
        <v>2</v>
      </c>
      <c r="E6" s="54">
        <v>2</v>
      </c>
      <c r="F6" s="54">
        <v>2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RowHeight="14.4" x14ac:dyDescent="0.3"/>
  <sheetData>
    <row r="1" spans="1:6" x14ac:dyDescent="0.3">
      <c r="A1" t="s">
        <v>113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8" t="s">
        <v>122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1</v>
      </c>
      <c r="D2" s="54">
        <v>2</v>
      </c>
      <c r="E2" s="54">
        <v>1</v>
      </c>
      <c r="F2" s="54">
        <v>1</v>
      </c>
    </row>
    <row r="3" spans="1:6" x14ac:dyDescent="0.3">
      <c r="A3">
        <v>2</v>
      </c>
      <c r="B3" s="54">
        <v>2</v>
      </c>
      <c r="C3" s="54">
        <v>1</v>
      </c>
      <c r="D3" s="54">
        <v>2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3</v>
      </c>
      <c r="D4" s="54">
        <v>3</v>
      </c>
      <c r="E4" s="54">
        <v>2</v>
      </c>
      <c r="F4" s="54">
        <v>2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3</v>
      </c>
      <c r="C12" s="56">
        <v>0</v>
      </c>
      <c r="D12" s="56">
        <v>3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0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>
      <selection activeCell="G7" sqref="G7"/>
    </sheetView>
  </sheetViews>
  <sheetFormatPr baseColWidth="10" defaultRowHeight="14.4" x14ac:dyDescent="0.3"/>
  <sheetData>
    <row r="1" spans="1:6" x14ac:dyDescent="0.3">
      <c r="A1" s="58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3</v>
      </c>
      <c r="C4" s="54">
        <v>1</v>
      </c>
      <c r="D4" s="54">
        <v>3</v>
      </c>
      <c r="E4" s="54">
        <v>1</v>
      </c>
      <c r="F4" s="54">
        <v>0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0</v>
      </c>
    </row>
    <row r="6" spans="1:6" x14ac:dyDescent="0.3">
      <c r="A6">
        <v>5</v>
      </c>
      <c r="B6" s="54">
        <v>1</v>
      </c>
      <c r="C6" s="54">
        <v>3</v>
      </c>
      <c r="D6" s="54">
        <v>1</v>
      </c>
      <c r="E6" s="54">
        <v>3</v>
      </c>
      <c r="F6" s="54">
        <v>0</v>
      </c>
    </row>
    <row r="7" spans="1:6" x14ac:dyDescent="0.3">
      <c r="A7">
        <v>6</v>
      </c>
      <c r="B7" s="69">
        <v>3</v>
      </c>
      <c r="C7" s="69">
        <v>3</v>
      </c>
      <c r="D7" s="69">
        <v>3</v>
      </c>
      <c r="E7" s="69">
        <v>3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58" t="s">
        <v>383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255E5-17CC-48BD-9EBE-DCC68FBB89A5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8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1</v>
      </c>
      <c r="D11" s="55">
        <v>0</v>
      </c>
      <c r="E11" s="55">
        <v>1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0</v>
      </c>
    </row>
    <row r="16" spans="1:6" x14ac:dyDescent="0.3">
      <c r="A16">
        <v>15</v>
      </c>
      <c r="B16" s="56">
        <v>0</v>
      </c>
      <c r="C16" s="56">
        <v>1</v>
      </c>
      <c r="D16" s="56">
        <v>0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8" t="s">
        <v>178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0</v>
      </c>
      <c r="D12" s="56">
        <v>1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0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B2" sqref="B2"/>
    </sheetView>
  </sheetViews>
  <sheetFormatPr baseColWidth="10" defaultRowHeight="14.4" x14ac:dyDescent="0.3"/>
  <sheetData>
    <row r="1" spans="1:6" x14ac:dyDescent="0.3">
      <c r="A1" s="58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3</v>
      </c>
      <c r="D2" s="54">
        <v>3</v>
      </c>
      <c r="E2" s="54">
        <v>3</v>
      </c>
      <c r="F2" s="54">
        <v>3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3</v>
      </c>
      <c r="C10" s="55">
        <v>3</v>
      </c>
      <c r="D10" s="55">
        <v>3</v>
      </c>
      <c r="E10" s="55">
        <v>3</v>
      </c>
      <c r="F10" s="55">
        <v>3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8" t="s">
        <v>432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0</v>
      </c>
      <c r="E2" s="54">
        <v>3</v>
      </c>
      <c r="F2" s="54">
        <v>1</v>
      </c>
    </row>
    <row r="3" spans="1:6" x14ac:dyDescent="0.3">
      <c r="A3">
        <v>2</v>
      </c>
      <c r="B3" s="54">
        <v>1</v>
      </c>
      <c r="C3" s="54">
        <v>0</v>
      </c>
      <c r="D3" s="54">
        <v>0</v>
      </c>
      <c r="E3" s="54">
        <v>3</v>
      </c>
      <c r="F3" s="54">
        <v>1</v>
      </c>
    </row>
    <row r="4" spans="1:6" x14ac:dyDescent="0.3">
      <c r="A4">
        <v>3</v>
      </c>
      <c r="B4" s="54">
        <v>2</v>
      </c>
      <c r="C4" s="54">
        <v>0</v>
      </c>
      <c r="D4" s="54">
        <v>0</v>
      </c>
      <c r="E4" s="54">
        <v>3</v>
      </c>
      <c r="F4" s="54">
        <v>2</v>
      </c>
    </row>
    <row r="5" spans="1:6" x14ac:dyDescent="0.3">
      <c r="A5">
        <v>4</v>
      </c>
      <c r="B5" s="54">
        <v>2</v>
      </c>
      <c r="C5" s="54">
        <v>0</v>
      </c>
      <c r="D5" s="54">
        <v>0</v>
      </c>
      <c r="E5" s="54">
        <v>3</v>
      </c>
      <c r="F5" s="54">
        <v>2</v>
      </c>
    </row>
    <row r="6" spans="1:6" x14ac:dyDescent="0.3">
      <c r="A6">
        <v>5</v>
      </c>
      <c r="B6" s="54">
        <v>2</v>
      </c>
      <c r="C6" s="54">
        <v>0</v>
      </c>
      <c r="D6" s="54">
        <v>0</v>
      </c>
      <c r="E6" s="54">
        <v>3</v>
      </c>
      <c r="F6" s="54">
        <v>2</v>
      </c>
    </row>
    <row r="7" spans="1:6" x14ac:dyDescent="0.3">
      <c r="A7">
        <v>6</v>
      </c>
      <c r="B7" s="54">
        <v>2</v>
      </c>
      <c r="C7" s="54">
        <v>0</v>
      </c>
      <c r="D7" s="54">
        <v>0</v>
      </c>
      <c r="E7" s="54">
        <v>3</v>
      </c>
      <c r="F7" s="54">
        <v>2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2</v>
      </c>
      <c r="D12" s="56">
        <v>3</v>
      </c>
      <c r="E12" s="56">
        <v>3</v>
      </c>
      <c r="F12" s="56">
        <v>1</v>
      </c>
    </row>
    <row r="13" spans="1:6" x14ac:dyDescent="0.3">
      <c r="A13">
        <v>12</v>
      </c>
      <c r="B13" s="56">
        <v>1</v>
      </c>
      <c r="C13" s="56">
        <v>2</v>
      </c>
      <c r="D13" s="56">
        <v>3</v>
      </c>
      <c r="E13" s="56">
        <v>3</v>
      </c>
      <c r="F13" s="56">
        <v>1</v>
      </c>
    </row>
    <row r="14" spans="1:6" x14ac:dyDescent="0.3">
      <c r="A14">
        <v>13</v>
      </c>
      <c r="B14" s="56">
        <v>1</v>
      </c>
      <c r="C14" s="56">
        <v>2</v>
      </c>
      <c r="D14" s="56">
        <v>3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2</v>
      </c>
      <c r="D15" s="56">
        <v>3</v>
      </c>
      <c r="E15" s="56">
        <v>1</v>
      </c>
      <c r="F15" s="56">
        <v>2</v>
      </c>
    </row>
    <row r="16" spans="1:6" x14ac:dyDescent="0.3">
      <c r="A16">
        <v>15</v>
      </c>
      <c r="B16" s="56">
        <v>1</v>
      </c>
      <c r="C16" s="56">
        <v>2</v>
      </c>
      <c r="D16" s="56">
        <v>3</v>
      </c>
      <c r="E16" s="56">
        <v>1</v>
      </c>
      <c r="F16" s="56">
        <v>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58" t="s">
        <v>433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1</v>
      </c>
      <c r="D2" s="54">
        <v>0</v>
      </c>
      <c r="E2" s="54">
        <v>1</v>
      </c>
      <c r="F2" s="54">
        <v>1</v>
      </c>
    </row>
    <row r="3" spans="1:6" x14ac:dyDescent="0.3">
      <c r="A3">
        <v>2</v>
      </c>
      <c r="B3" s="54">
        <v>0</v>
      </c>
      <c r="C3" s="54">
        <v>1</v>
      </c>
      <c r="D3" s="54">
        <v>0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1</v>
      </c>
      <c r="D4" s="54">
        <v>0</v>
      </c>
      <c r="E4" s="54">
        <v>1</v>
      </c>
      <c r="F4" s="54">
        <v>1</v>
      </c>
    </row>
    <row r="5" spans="1:6" x14ac:dyDescent="0.3">
      <c r="A5">
        <v>4</v>
      </c>
      <c r="B5" s="54">
        <v>0</v>
      </c>
      <c r="C5" s="54">
        <v>1</v>
      </c>
      <c r="D5" s="54">
        <v>0</v>
      </c>
      <c r="E5" s="54">
        <v>1</v>
      </c>
      <c r="F5" s="54">
        <v>1</v>
      </c>
    </row>
    <row r="6" spans="1:6" x14ac:dyDescent="0.3">
      <c r="A6">
        <v>5</v>
      </c>
      <c r="B6" s="54">
        <v>0</v>
      </c>
      <c r="C6" s="54">
        <v>1</v>
      </c>
      <c r="D6" s="54">
        <v>0</v>
      </c>
      <c r="E6" s="54">
        <v>1</v>
      </c>
      <c r="F6" s="54">
        <v>1</v>
      </c>
    </row>
    <row r="7" spans="1:6" x14ac:dyDescent="0.3">
      <c r="A7">
        <v>6</v>
      </c>
      <c r="B7" s="54">
        <v>0</v>
      </c>
      <c r="C7" s="54">
        <v>1</v>
      </c>
      <c r="D7" s="54">
        <v>0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8" t="s">
        <v>442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3</v>
      </c>
      <c r="D2" s="54">
        <v>2</v>
      </c>
      <c r="E2" s="54">
        <v>1</v>
      </c>
      <c r="F2" s="54">
        <v>3</v>
      </c>
    </row>
    <row r="3" spans="1:6" x14ac:dyDescent="0.3">
      <c r="A3">
        <v>2</v>
      </c>
      <c r="B3" s="54">
        <v>1</v>
      </c>
      <c r="C3" s="54">
        <v>3</v>
      </c>
      <c r="D3" s="54">
        <v>2</v>
      </c>
      <c r="E3" s="54">
        <v>1</v>
      </c>
      <c r="F3" s="54">
        <v>3</v>
      </c>
    </row>
    <row r="4" spans="1:6" x14ac:dyDescent="0.3">
      <c r="A4">
        <v>3</v>
      </c>
      <c r="B4" s="54">
        <v>3</v>
      </c>
      <c r="C4" s="54">
        <v>3</v>
      </c>
      <c r="D4" s="54">
        <v>3</v>
      </c>
      <c r="E4" s="54">
        <v>3</v>
      </c>
      <c r="F4" s="54">
        <v>3</v>
      </c>
    </row>
    <row r="5" spans="1:6" x14ac:dyDescent="0.3">
      <c r="A5">
        <v>4</v>
      </c>
      <c r="B5" s="54">
        <v>3</v>
      </c>
      <c r="C5" s="54">
        <v>3</v>
      </c>
      <c r="D5" s="54">
        <v>3</v>
      </c>
      <c r="E5" s="54">
        <v>3</v>
      </c>
      <c r="F5" s="54">
        <v>3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21" sqref="F21"/>
    </sheetView>
  </sheetViews>
  <sheetFormatPr baseColWidth="10" defaultRowHeight="14.4" x14ac:dyDescent="0.3"/>
  <sheetData>
    <row r="1" spans="1:6" x14ac:dyDescent="0.3">
      <c r="A1" s="58" t="s">
        <v>118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1</v>
      </c>
      <c r="E2" s="54">
        <v>0</v>
      </c>
      <c r="F2" s="54">
        <v>1</v>
      </c>
    </row>
    <row r="3" spans="1:6" x14ac:dyDescent="0.3">
      <c r="A3">
        <v>2</v>
      </c>
      <c r="B3" s="54">
        <v>1</v>
      </c>
      <c r="C3" s="54">
        <v>0</v>
      </c>
      <c r="D3" s="54">
        <v>1</v>
      </c>
      <c r="E3" s="54">
        <v>0</v>
      </c>
      <c r="F3" s="54">
        <v>1</v>
      </c>
    </row>
    <row r="4" spans="1:6" x14ac:dyDescent="0.3">
      <c r="A4">
        <v>3</v>
      </c>
      <c r="B4" s="54">
        <v>1</v>
      </c>
      <c r="C4" s="54">
        <v>0</v>
      </c>
      <c r="D4" s="54">
        <v>1</v>
      </c>
      <c r="E4" s="54">
        <v>0</v>
      </c>
      <c r="F4" s="54">
        <v>1</v>
      </c>
    </row>
    <row r="5" spans="1:6" x14ac:dyDescent="0.3">
      <c r="A5">
        <v>4</v>
      </c>
      <c r="B5" s="54">
        <v>1</v>
      </c>
      <c r="C5" s="54">
        <v>0</v>
      </c>
      <c r="D5" s="54">
        <v>1</v>
      </c>
      <c r="E5" s="54">
        <v>0</v>
      </c>
      <c r="F5" s="54">
        <v>1</v>
      </c>
    </row>
    <row r="6" spans="1:6" x14ac:dyDescent="0.3">
      <c r="A6">
        <v>5</v>
      </c>
      <c r="B6" s="54">
        <v>1</v>
      </c>
      <c r="C6" s="54">
        <v>0</v>
      </c>
      <c r="D6" s="54">
        <v>1</v>
      </c>
      <c r="E6" s="54">
        <v>0</v>
      </c>
      <c r="F6" s="54">
        <v>1</v>
      </c>
    </row>
    <row r="7" spans="1:6" x14ac:dyDescent="0.3">
      <c r="A7">
        <v>6</v>
      </c>
      <c r="B7" s="54">
        <v>1</v>
      </c>
      <c r="C7" s="54">
        <v>0</v>
      </c>
      <c r="D7" s="54">
        <v>1</v>
      </c>
      <c r="E7" s="54">
        <v>0</v>
      </c>
      <c r="F7" s="54">
        <v>1</v>
      </c>
    </row>
    <row r="8" spans="1:6" x14ac:dyDescent="0.3">
      <c r="A8">
        <v>7</v>
      </c>
      <c r="B8" s="55">
        <v>2</v>
      </c>
      <c r="C8" s="55">
        <v>3</v>
      </c>
      <c r="D8" s="55">
        <v>2</v>
      </c>
      <c r="E8" s="55">
        <v>3</v>
      </c>
      <c r="F8" s="55">
        <v>2</v>
      </c>
    </row>
    <row r="9" spans="1:6" x14ac:dyDescent="0.3">
      <c r="A9">
        <v>8</v>
      </c>
      <c r="B9" s="55">
        <v>2</v>
      </c>
      <c r="C9" s="55">
        <v>3</v>
      </c>
      <c r="D9" s="55">
        <v>2</v>
      </c>
      <c r="E9" s="55">
        <v>3</v>
      </c>
      <c r="F9" s="55">
        <v>2</v>
      </c>
    </row>
    <row r="10" spans="1:6" x14ac:dyDescent="0.3">
      <c r="A10">
        <v>9</v>
      </c>
      <c r="B10" s="55">
        <v>3</v>
      </c>
      <c r="C10" s="55">
        <v>3</v>
      </c>
      <c r="D10" s="55">
        <v>3</v>
      </c>
      <c r="E10" s="55">
        <v>3</v>
      </c>
      <c r="F10" s="55">
        <v>3</v>
      </c>
    </row>
    <row r="11" spans="1:6" x14ac:dyDescent="0.3">
      <c r="A11">
        <v>10</v>
      </c>
      <c r="B11" s="55">
        <v>3</v>
      </c>
      <c r="C11" s="55">
        <v>3</v>
      </c>
      <c r="D11" s="55">
        <v>3</v>
      </c>
      <c r="E11" s="55">
        <v>3</v>
      </c>
      <c r="F11" s="55">
        <v>3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t="s">
        <v>269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0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0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0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0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0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I17" sqref="I17"/>
    </sheetView>
  </sheetViews>
  <sheetFormatPr baseColWidth="10" defaultRowHeight="14.4" x14ac:dyDescent="0.3"/>
  <sheetData>
    <row r="1" spans="1:6" x14ac:dyDescent="0.3">
      <c r="A1" s="58" t="s">
        <v>473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58" t="s">
        <v>481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2</v>
      </c>
      <c r="D12" s="56">
        <v>1</v>
      </c>
      <c r="E12" s="56">
        <v>2</v>
      </c>
      <c r="F12" s="56">
        <v>1</v>
      </c>
    </row>
    <row r="13" spans="1:6" x14ac:dyDescent="0.3">
      <c r="A13">
        <v>12</v>
      </c>
      <c r="B13" s="56">
        <v>2</v>
      </c>
      <c r="C13" s="56">
        <v>2</v>
      </c>
      <c r="D13" s="56">
        <v>2</v>
      </c>
      <c r="E13" s="56">
        <v>2</v>
      </c>
      <c r="F13" s="56">
        <v>2</v>
      </c>
    </row>
    <row r="14" spans="1:6" x14ac:dyDescent="0.3">
      <c r="A14">
        <v>13</v>
      </c>
      <c r="B14" s="56">
        <v>2</v>
      </c>
      <c r="C14" s="56">
        <v>2</v>
      </c>
      <c r="D14" s="56">
        <v>2</v>
      </c>
      <c r="E14" s="56">
        <v>2</v>
      </c>
      <c r="F14" s="56">
        <v>2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3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58" t="s">
        <v>145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2</v>
      </c>
      <c r="C13" s="56">
        <v>2</v>
      </c>
      <c r="D13" s="56">
        <v>2</v>
      </c>
      <c r="E13" s="56">
        <v>2</v>
      </c>
      <c r="F13" s="56">
        <v>2</v>
      </c>
    </row>
    <row r="14" spans="1:6" x14ac:dyDescent="0.3">
      <c r="A14">
        <v>13</v>
      </c>
      <c r="B14" s="56">
        <v>3</v>
      </c>
      <c r="C14" s="56">
        <v>3</v>
      </c>
      <c r="D14" s="56">
        <v>3</v>
      </c>
      <c r="E14" s="56">
        <v>3</v>
      </c>
      <c r="F14" s="56">
        <v>3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3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9" t="s">
        <v>135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9">
        <v>0</v>
      </c>
      <c r="C12" s="59">
        <v>0</v>
      </c>
      <c r="D12" s="59">
        <v>0</v>
      </c>
      <c r="E12" s="59">
        <v>0</v>
      </c>
      <c r="F12" s="59">
        <v>3</v>
      </c>
    </row>
    <row r="13" spans="1:6" x14ac:dyDescent="0.3">
      <c r="A13">
        <v>12</v>
      </c>
      <c r="B13" s="56">
        <v>1</v>
      </c>
      <c r="C13" s="56">
        <v>0</v>
      </c>
      <c r="D13" s="56">
        <v>0</v>
      </c>
      <c r="E13" s="56">
        <v>1</v>
      </c>
      <c r="F13" s="56">
        <v>3</v>
      </c>
    </row>
    <row r="14" spans="1:6" x14ac:dyDescent="0.3">
      <c r="A14">
        <v>13</v>
      </c>
      <c r="B14" s="56">
        <v>1</v>
      </c>
      <c r="C14" s="56">
        <v>0</v>
      </c>
      <c r="D14" s="56">
        <v>0</v>
      </c>
      <c r="E14" s="56">
        <v>1</v>
      </c>
      <c r="F14" s="56">
        <v>0</v>
      </c>
    </row>
    <row r="15" spans="1:6" x14ac:dyDescent="0.3">
      <c r="A15">
        <v>14</v>
      </c>
      <c r="B15" s="56">
        <v>1</v>
      </c>
      <c r="C15" s="56">
        <v>0</v>
      </c>
      <c r="D15" s="56">
        <v>0</v>
      </c>
      <c r="E15" s="56">
        <v>1</v>
      </c>
      <c r="F15" s="56">
        <v>0</v>
      </c>
    </row>
    <row r="16" spans="1:6" x14ac:dyDescent="0.3">
      <c r="A16">
        <v>15</v>
      </c>
      <c r="B16" s="56">
        <v>1</v>
      </c>
      <c r="C16" s="56">
        <v>0</v>
      </c>
      <c r="D16" s="56">
        <v>0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58" t="s">
        <v>111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3</v>
      </c>
      <c r="C3" s="54">
        <v>3</v>
      </c>
      <c r="D3" s="54">
        <v>3</v>
      </c>
      <c r="E3" s="54">
        <v>3</v>
      </c>
      <c r="F3" s="54">
        <v>3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69">
        <v>3</v>
      </c>
      <c r="C12" s="69">
        <v>3</v>
      </c>
      <c r="D12" s="69">
        <v>3</v>
      </c>
      <c r="E12" s="69">
        <v>3</v>
      </c>
      <c r="F12" s="69">
        <v>3</v>
      </c>
    </row>
    <row r="13" spans="1:6" x14ac:dyDescent="0.3">
      <c r="A13">
        <v>12</v>
      </c>
      <c r="B13" s="69">
        <v>3</v>
      </c>
      <c r="C13" s="69">
        <v>3</v>
      </c>
      <c r="D13" s="69">
        <v>3</v>
      </c>
      <c r="E13" s="69">
        <v>3</v>
      </c>
      <c r="F13" s="69">
        <v>3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B11" sqref="B11:F14"/>
    </sheetView>
  </sheetViews>
  <sheetFormatPr baseColWidth="10" defaultRowHeight="14.4" x14ac:dyDescent="0.3"/>
  <sheetData>
    <row r="1" spans="1:6" x14ac:dyDescent="0.3">
      <c r="A1" s="58" t="s">
        <v>487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2</v>
      </c>
      <c r="C11" s="55">
        <v>0</v>
      </c>
      <c r="D11" s="55">
        <v>0</v>
      </c>
      <c r="E11" s="55">
        <v>2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3</v>
      </c>
      <c r="C14" s="56">
        <v>3</v>
      </c>
      <c r="D14" s="56">
        <v>3</v>
      </c>
      <c r="E14" s="56">
        <v>3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8" t="s">
        <v>317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3</v>
      </c>
      <c r="D2" s="54">
        <v>2</v>
      </c>
      <c r="E2" s="54">
        <v>2</v>
      </c>
      <c r="F2" s="54">
        <v>3</v>
      </c>
    </row>
    <row r="3" spans="1:6" x14ac:dyDescent="0.3">
      <c r="A3">
        <v>2</v>
      </c>
      <c r="B3" s="54">
        <v>2</v>
      </c>
      <c r="C3" s="54">
        <v>3</v>
      </c>
      <c r="D3" s="54">
        <v>1</v>
      </c>
      <c r="E3" s="54">
        <v>1</v>
      </c>
      <c r="F3" s="54">
        <v>2</v>
      </c>
    </row>
    <row r="4" spans="1:6" x14ac:dyDescent="0.3">
      <c r="A4">
        <v>3</v>
      </c>
      <c r="B4" s="54">
        <v>2</v>
      </c>
      <c r="C4" s="54">
        <v>3</v>
      </c>
      <c r="D4" s="54">
        <v>1</v>
      </c>
      <c r="E4" s="54">
        <v>1</v>
      </c>
      <c r="F4" s="54">
        <v>2</v>
      </c>
    </row>
    <row r="5" spans="1:6" x14ac:dyDescent="0.3">
      <c r="A5">
        <v>4</v>
      </c>
      <c r="B5" s="54">
        <v>2</v>
      </c>
      <c r="C5" s="54">
        <v>3</v>
      </c>
      <c r="D5" s="54">
        <v>1</v>
      </c>
      <c r="E5" s="54">
        <v>1</v>
      </c>
      <c r="F5" s="54">
        <v>2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>
      <selection activeCell="H7" sqref="H7"/>
    </sheetView>
  </sheetViews>
  <sheetFormatPr baseColWidth="10" defaultRowHeight="14.4" x14ac:dyDescent="0.3"/>
  <sheetData>
    <row r="1" spans="1:6" x14ac:dyDescent="0.3">
      <c r="A1" s="58" t="s">
        <v>249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2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2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2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J21" sqref="J21"/>
    </sheetView>
  </sheetViews>
  <sheetFormatPr baseColWidth="10" defaultRowHeight="14.4" x14ac:dyDescent="0.3"/>
  <sheetData>
    <row r="1" spans="1:6" x14ac:dyDescent="0.3">
      <c r="A1" s="58" t="s">
        <v>107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3</v>
      </c>
      <c r="D2" s="54">
        <v>3</v>
      </c>
      <c r="E2" s="54">
        <v>3</v>
      </c>
      <c r="F2" s="54">
        <v>3</v>
      </c>
    </row>
    <row r="3" spans="1:6" x14ac:dyDescent="0.3">
      <c r="A3">
        <v>2</v>
      </c>
      <c r="B3" s="54">
        <v>0</v>
      </c>
      <c r="C3" s="54">
        <v>3</v>
      </c>
      <c r="D3" s="54">
        <v>3</v>
      </c>
      <c r="E3" s="54">
        <v>3</v>
      </c>
      <c r="F3" s="54">
        <v>3</v>
      </c>
    </row>
    <row r="4" spans="1:6" x14ac:dyDescent="0.3">
      <c r="A4">
        <v>3</v>
      </c>
      <c r="B4" s="54">
        <v>3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3</v>
      </c>
      <c r="C8" s="55">
        <v>3</v>
      </c>
      <c r="D8" s="55">
        <v>3</v>
      </c>
      <c r="E8" s="55">
        <v>3</v>
      </c>
      <c r="F8" s="55">
        <v>3</v>
      </c>
    </row>
    <row r="9" spans="1:6" x14ac:dyDescent="0.3">
      <c r="A9">
        <v>8</v>
      </c>
      <c r="B9" s="55">
        <v>3</v>
      </c>
      <c r="C9" s="55">
        <v>3</v>
      </c>
      <c r="D9" s="55">
        <v>3</v>
      </c>
      <c r="E9" s="55">
        <v>3</v>
      </c>
      <c r="F9" s="55">
        <v>3</v>
      </c>
    </row>
    <row r="10" spans="1:6" x14ac:dyDescent="0.3">
      <c r="A10">
        <v>9</v>
      </c>
      <c r="B10" s="55">
        <v>3</v>
      </c>
      <c r="C10" s="55">
        <v>3</v>
      </c>
      <c r="D10" s="55">
        <v>3</v>
      </c>
      <c r="E10" s="55">
        <v>3</v>
      </c>
      <c r="F10" s="55">
        <v>3</v>
      </c>
    </row>
    <row r="11" spans="1:6" x14ac:dyDescent="0.3">
      <c r="A11">
        <v>10</v>
      </c>
      <c r="B11" s="55">
        <v>3</v>
      </c>
      <c r="C11" s="55">
        <v>3</v>
      </c>
      <c r="D11" s="55">
        <v>3</v>
      </c>
      <c r="E11" s="55">
        <v>3</v>
      </c>
      <c r="F11" s="55">
        <v>3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>
      <selection activeCell="H13" sqref="H13"/>
    </sheetView>
  </sheetViews>
  <sheetFormatPr baseColWidth="10" defaultRowHeight="14.4" x14ac:dyDescent="0.3"/>
  <sheetData>
    <row r="1" spans="1:6" x14ac:dyDescent="0.3">
      <c r="A1" s="58" t="s">
        <v>399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1</v>
      </c>
      <c r="C9" s="55">
        <v>3</v>
      </c>
      <c r="D9" s="55">
        <v>1</v>
      </c>
      <c r="E9" s="55">
        <v>3</v>
      </c>
      <c r="F9" s="55">
        <v>1</v>
      </c>
    </row>
    <row r="10" spans="1:6" x14ac:dyDescent="0.3">
      <c r="A10">
        <v>9</v>
      </c>
      <c r="B10" s="55">
        <v>1</v>
      </c>
      <c r="C10" s="55">
        <v>3</v>
      </c>
      <c r="D10" s="55">
        <v>1</v>
      </c>
      <c r="E10" s="55">
        <v>3</v>
      </c>
      <c r="F10" s="55">
        <v>1</v>
      </c>
    </row>
    <row r="11" spans="1:6" x14ac:dyDescent="0.3">
      <c r="A11">
        <v>10</v>
      </c>
      <c r="B11" s="55">
        <v>1</v>
      </c>
      <c r="C11" s="55">
        <v>0</v>
      </c>
      <c r="D11" s="55">
        <v>1</v>
      </c>
      <c r="E11" s="55">
        <v>0</v>
      </c>
      <c r="F11" s="55">
        <v>1</v>
      </c>
    </row>
    <row r="12" spans="1:6" x14ac:dyDescent="0.3">
      <c r="A12">
        <v>11</v>
      </c>
      <c r="B12" s="56">
        <v>2</v>
      </c>
      <c r="C12" s="56">
        <v>0</v>
      </c>
      <c r="D12" s="56">
        <v>2</v>
      </c>
      <c r="E12" s="56">
        <v>0</v>
      </c>
      <c r="F12" s="56">
        <v>2</v>
      </c>
    </row>
    <row r="13" spans="1:6" x14ac:dyDescent="0.3">
      <c r="A13">
        <v>12</v>
      </c>
      <c r="B13" s="56">
        <v>3</v>
      </c>
      <c r="C13" s="56">
        <v>0</v>
      </c>
      <c r="D13" s="56">
        <v>0</v>
      </c>
      <c r="E13" s="56">
        <v>0</v>
      </c>
      <c r="F13" s="56">
        <v>3</v>
      </c>
    </row>
    <row r="14" spans="1:6" x14ac:dyDescent="0.3">
      <c r="A14">
        <v>13</v>
      </c>
      <c r="B14" s="56">
        <v>3</v>
      </c>
      <c r="C14" s="56">
        <v>0</v>
      </c>
      <c r="D14" s="56">
        <v>0</v>
      </c>
      <c r="E14" s="56">
        <v>0</v>
      </c>
      <c r="F14" s="56">
        <v>3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F19" sqref="F19"/>
    </sheetView>
  </sheetViews>
  <sheetFormatPr baseColWidth="10" defaultRowHeight="14.4" x14ac:dyDescent="0.3"/>
  <sheetData>
    <row r="1" spans="1:6" x14ac:dyDescent="0.3">
      <c r="A1" s="58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2</v>
      </c>
      <c r="E12" s="56">
        <v>1</v>
      </c>
      <c r="F12" s="56">
        <v>2</v>
      </c>
    </row>
    <row r="13" spans="1:6" x14ac:dyDescent="0.3">
      <c r="A13">
        <v>12</v>
      </c>
      <c r="B13" s="56">
        <v>0</v>
      </c>
      <c r="C13" s="56">
        <v>0</v>
      </c>
      <c r="D13" s="56">
        <v>2</v>
      </c>
      <c r="E13" s="56">
        <v>1</v>
      </c>
      <c r="F13" s="56">
        <v>2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3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8" t="s">
        <v>483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0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2</v>
      </c>
      <c r="C13" s="56">
        <v>2</v>
      </c>
      <c r="D13" s="56">
        <v>0</v>
      </c>
      <c r="E13" s="56">
        <v>2</v>
      </c>
      <c r="F13" s="56">
        <v>0</v>
      </c>
    </row>
    <row r="14" spans="1:6" x14ac:dyDescent="0.3">
      <c r="A14">
        <v>13</v>
      </c>
      <c r="B14" s="56">
        <v>2</v>
      </c>
      <c r="C14" s="56">
        <v>2</v>
      </c>
      <c r="D14" s="56">
        <v>0</v>
      </c>
      <c r="E14" s="56">
        <v>2</v>
      </c>
      <c r="F14" s="56">
        <v>0</v>
      </c>
    </row>
    <row r="15" spans="1:6" x14ac:dyDescent="0.3">
      <c r="A15">
        <v>14</v>
      </c>
      <c r="B15" s="56">
        <v>3</v>
      </c>
      <c r="C15" s="56">
        <v>3</v>
      </c>
      <c r="D15" s="56">
        <v>0</v>
      </c>
      <c r="E15" s="56">
        <v>3</v>
      </c>
      <c r="F15" s="56">
        <v>0</v>
      </c>
    </row>
    <row r="16" spans="1:6" x14ac:dyDescent="0.3">
      <c r="A16">
        <v>15</v>
      </c>
      <c r="B16" s="56">
        <v>3</v>
      </c>
      <c r="C16" s="56">
        <v>3</v>
      </c>
      <c r="D16" s="56">
        <v>0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B9" sqref="B9:F11"/>
    </sheetView>
  </sheetViews>
  <sheetFormatPr baseColWidth="10" defaultRowHeight="14.4" x14ac:dyDescent="0.3"/>
  <sheetData>
    <row r="1" spans="1:6" x14ac:dyDescent="0.3">
      <c r="A1" t="s">
        <v>477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1</v>
      </c>
      <c r="C9" s="55">
        <v>2</v>
      </c>
      <c r="D9" s="55">
        <v>0</v>
      </c>
      <c r="E9" s="55">
        <v>3</v>
      </c>
      <c r="F9" s="55">
        <v>0</v>
      </c>
    </row>
    <row r="10" spans="1:6" x14ac:dyDescent="0.3">
      <c r="A10">
        <v>9</v>
      </c>
      <c r="B10" s="55">
        <v>1</v>
      </c>
      <c r="C10" s="55">
        <v>2</v>
      </c>
      <c r="D10" s="55">
        <v>3</v>
      </c>
      <c r="E10" s="55">
        <v>3</v>
      </c>
      <c r="F10" s="55">
        <v>0</v>
      </c>
    </row>
    <row r="11" spans="1:6" x14ac:dyDescent="0.3">
      <c r="A11">
        <v>10</v>
      </c>
      <c r="B11" s="55">
        <v>1</v>
      </c>
      <c r="C11" s="55">
        <v>2</v>
      </c>
      <c r="D11" s="55">
        <v>3</v>
      </c>
      <c r="E11" s="55">
        <v>3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RowHeight="14.4" x14ac:dyDescent="0.3"/>
  <sheetData>
    <row r="1" spans="1:6" x14ac:dyDescent="0.3">
      <c r="A1" s="58" t="s">
        <v>503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8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1</v>
      </c>
      <c r="D2" s="54">
        <v>2</v>
      </c>
      <c r="E2" s="54">
        <v>1</v>
      </c>
      <c r="F2" s="54">
        <v>1</v>
      </c>
    </row>
    <row r="3" spans="1:6" x14ac:dyDescent="0.3">
      <c r="A3">
        <v>2</v>
      </c>
      <c r="B3" s="54">
        <v>2</v>
      </c>
      <c r="C3" s="54">
        <v>1</v>
      </c>
      <c r="D3" s="54">
        <v>2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3</v>
      </c>
      <c r="D4" s="54">
        <v>3</v>
      </c>
      <c r="E4" s="54">
        <v>2</v>
      </c>
      <c r="F4" s="54">
        <v>2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3</v>
      </c>
      <c r="C12" s="56">
        <v>0</v>
      </c>
      <c r="D12" s="56">
        <v>3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0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58" t="s">
        <v>106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1</v>
      </c>
      <c r="E2" s="54">
        <v>0</v>
      </c>
      <c r="F2" s="54">
        <v>1</v>
      </c>
    </row>
    <row r="3" spans="1:6" x14ac:dyDescent="0.3">
      <c r="A3">
        <v>2</v>
      </c>
      <c r="B3" s="54">
        <v>1</v>
      </c>
      <c r="C3" s="54">
        <v>0</v>
      </c>
      <c r="D3" s="54">
        <v>1</v>
      </c>
      <c r="E3" s="54">
        <v>0</v>
      </c>
      <c r="F3" s="54">
        <v>1</v>
      </c>
    </row>
    <row r="4" spans="1:6" x14ac:dyDescent="0.3">
      <c r="A4">
        <v>3</v>
      </c>
      <c r="B4" s="54">
        <v>1</v>
      </c>
      <c r="C4" s="54">
        <v>0</v>
      </c>
      <c r="D4" s="54">
        <v>1</v>
      </c>
      <c r="E4" s="54">
        <v>0</v>
      </c>
      <c r="F4" s="54">
        <v>1</v>
      </c>
    </row>
    <row r="5" spans="1:6" x14ac:dyDescent="0.3">
      <c r="A5">
        <v>4</v>
      </c>
      <c r="B5" s="54">
        <v>2</v>
      </c>
      <c r="C5" s="54">
        <v>0</v>
      </c>
      <c r="D5" s="54">
        <v>2</v>
      </c>
      <c r="E5" s="54">
        <v>0</v>
      </c>
      <c r="F5" s="54">
        <v>2</v>
      </c>
    </row>
    <row r="6" spans="1:6" x14ac:dyDescent="0.3">
      <c r="A6">
        <v>5</v>
      </c>
      <c r="B6" s="54">
        <v>2</v>
      </c>
      <c r="C6" s="54">
        <v>0</v>
      </c>
      <c r="D6" s="54">
        <v>2</v>
      </c>
      <c r="E6" s="54">
        <v>0</v>
      </c>
      <c r="F6" s="54">
        <v>2</v>
      </c>
    </row>
    <row r="7" spans="1:6" x14ac:dyDescent="0.3">
      <c r="A7">
        <v>6</v>
      </c>
      <c r="B7" s="54">
        <v>3</v>
      </c>
      <c r="C7" s="54">
        <v>0</v>
      </c>
      <c r="D7" s="54">
        <v>3</v>
      </c>
      <c r="E7" s="54">
        <v>0</v>
      </c>
      <c r="F7" s="54">
        <v>3</v>
      </c>
    </row>
    <row r="8" spans="1:6" x14ac:dyDescent="0.3">
      <c r="A8">
        <v>7</v>
      </c>
      <c r="B8" s="55">
        <v>3</v>
      </c>
      <c r="C8" s="55">
        <v>0</v>
      </c>
      <c r="D8" s="55">
        <v>3</v>
      </c>
      <c r="E8" s="55">
        <v>0</v>
      </c>
      <c r="F8" s="55">
        <v>3</v>
      </c>
    </row>
    <row r="9" spans="1:6" x14ac:dyDescent="0.3">
      <c r="A9">
        <v>8</v>
      </c>
      <c r="B9" s="55">
        <v>3</v>
      </c>
      <c r="C9" s="55">
        <v>0</v>
      </c>
      <c r="D9" s="55">
        <v>3</v>
      </c>
      <c r="E9" s="55">
        <v>0</v>
      </c>
      <c r="F9" s="55">
        <v>3</v>
      </c>
    </row>
    <row r="10" spans="1:6" x14ac:dyDescent="0.3">
      <c r="A10">
        <v>9</v>
      </c>
      <c r="B10" s="55">
        <v>3</v>
      </c>
      <c r="C10" s="55">
        <v>0</v>
      </c>
      <c r="D10" s="55">
        <v>3</v>
      </c>
      <c r="E10" s="55">
        <v>0</v>
      </c>
      <c r="F10" s="55">
        <v>3</v>
      </c>
    </row>
    <row r="11" spans="1:6" x14ac:dyDescent="0.3">
      <c r="A11">
        <v>10</v>
      </c>
      <c r="B11" s="55">
        <v>3</v>
      </c>
      <c r="C11" s="55">
        <v>0</v>
      </c>
      <c r="D11" s="55">
        <v>3</v>
      </c>
      <c r="E11" s="55">
        <v>0</v>
      </c>
      <c r="F11" s="55">
        <v>3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8" t="s">
        <v>143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3</v>
      </c>
      <c r="D2" s="54">
        <v>3</v>
      </c>
      <c r="E2" s="54">
        <v>3</v>
      </c>
      <c r="F2" s="54">
        <v>3</v>
      </c>
    </row>
    <row r="3" spans="1:6" x14ac:dyDescent="0.3">
      <c r="A3">
        <v>2</v>
      </c>
      <c r="B3" s="54">
        <v>3</v>
      </c>
      <c r="C3" s="54">
        <v>3</v>
      </c>
      <c r="D3" s="54">
        <v>3</v>
      </c>
      <c r="E3" s="54">
        <v>3</v>
      </c>
      <c r="F3" s="54">
        <v>3</v>
      </c>
    </row>
    <row r="4" spans="1:6" x14ac:dyDescent="0.3">
      <c r="A4">
        <v>3</v>
      </c>
      <c r="B4" s="54">
        <v>2</v>
      </c>
      <c r="C4" s="54">
        <v>3</v>
      </c>
      <c r="D4" s="54">
        <v>2</v>
      </c>
      <c r="E4" s="54">
        <v>3</v>
      </c>
      <c r="F4" s="54">
        <v>2</v>
      </c>
    </row>
    <row r="5" spans="1:6" x14ac:dyDescent="0.3">
      <c r="A5">
        <v>4</v>
      </c>
      <c r="B5" s="54">
        <v>1</v>
      </c>
      <c r="C5" s="54">
        <v>2</v>
      </c>
      <c r="D5" s="54">
        <v>1</v>
      </c>
      <c r="E5" s="54">
        <v>2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8" t="s">
        <v>146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58" t="s">
        <v>151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2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B15" sqref="B13:B15"/>
    </sheetView>
  </sheetViews>
  <sheetFormatPr baseColWidth="10" defaultRowHeight="14.4" x14ac:dyDescent="0.3"/>
  <sheetData>
    <row r="1" spans="1:6" x14ac:dyDescent="0.3">
      <c r="A1" s="69" t="s">
        <v>475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1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1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RowHeight="14.4" x14ac:dyDescent="0.3"/>
  <sheetData>
    <row r="1" spans="1:6" x14ac:dyDescent="0.3">
      <c r="A1" s="58" t="s">
        <v>332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3</v>
      </c>
      <c r="D2" s="54">
        <v>3</v>
      </c>
      <c r="E2" s="54">
        <v>3</v>
      </c>
      <c r="F2" s="54">
        <v>3</v>
      </c>
    </row>
    <row r="3" spans="1:6" x14ac:dyDescent="0.3">
      <c r="A3">
        <v>2</v>
      </c>
      <c r="B3" s="54">
        <v>3</v>
      </c>
      <c r="C3" s="54">
        <v>3</v>
      </c>
      <c r="D3" s="54">
        <v>3</v>
      </c>
      <c r="E3" s="54">
        <v>3</v>
      </c>
      <c r="F3" s="54">
        <v>3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RowHeight="14.4" x14ac:dyDescent="0.3"/>
  <sheetData>
    <row r="1" spans="1:6" x14ac:dyDescent="0.3">
      <c r="A1" s="58" t="s">
        <v>436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8" t="s">
        <v>438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0</v>
      </c>
      <c r="E2" s="54">
        <v>0</v>
      </c>
      <c r="F2" s="54">
        <v>1</v>
      </c>
    </row>
    <row r="3" spans="1:6" x14ac:dyDescent="0.3">
      <c r="A3">
        <v>2</v>
      </c>
      <c r="B3" s="54">
        <v>1</v>
      </c>
      <c r="C3" s="54">
        <v>0</v>
      </c>
      <c r="D3" s="54">
        <v>0</v>
      </c>
      <c r="E3" s="54">
        <v>0</v>
      </c>
      <c r="F3" s="54">
        <v>1</v>
      </c>
    </row>
    <row r="4" spans="1:6" x14ac:dyDescent="0.3">
      <c r="A4">
        <v>3</v>
      </c>
      <c r="B4" s="54">
        <v>1</v>
      </c>
      <c r="C4" s="54">
        <v>0</v>
      </c>
      <c r="D4" s="54">
        <v>0</v>
      </c>
      <c r="E4" s="54">
        <v>0</v>
      </c>
      <c r="F4" s="54">
        <v>1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0</v>
      </c>
      <c r="D12" s="56">
        <v>0</v>
      </c>
      <c r="E12" s="56">
        <v>0</v>
      </c>
      <c r="F12" s="56">
        <v>1</v>
      </c>
    </row>
    <row r="13" spans="1:6" x14ac:dyDescent="0.3">
      <c r="A13">
        <v>12</v>
      </c>
      <c r="B13" s="56">
        <v>1</v>
      </c>
      <c r="C13" s="56">
        <v>0</v>
      </c>
      <c r="D13" s="56">
        <v>0</v>
      </c>
      <c r="E13" s="56">
        <v>0</v>
      </c>
      <c r="F13" s="56">
        <v>1</v>
      </c>
    </row>
    <row r="14" spans="1:6" x14ac:dyDescent="0.3">
      <c r="A14">
        <v>13</v>
      </c>
      <c r="B14" s="56">
        <v>1</v>
      </c>
      <c r="C14" s="56">
        <v>0</v>
      </c>
      <c r="D14" s="56">
        <v>0</v>
      </c>
      <c r="E14" s="56">
        <v>0</v>
      </c>
      <c r="F14" s="56">
        <v>1</v>
      </c>
    </row>
    <row r="15" spans="1:6" x14ac:dyDescent="0.3">
      <c r="A15">
        <v>14</v>
      </c>
      <c r="B15" s="56">
        <v>2</v>
      </c>
      <c r="C15" s="56">
        <v>0</v>
      </c>
      <c r="D15" s="56">
        <v>0</v>
      </c>
      <c r="E15" s="56">
        <v>0</v>
      </c>
      <c r="F15" s="56">
        <v>2</v>
      </c>
    </row>
    <row r="16" spans="1:6" x14ac:dyDescent="0.3">
      <c r="A16">
        <v>15</v>
      </c>
      <c r="B16" s="56">
        <v>2</v>
      </c>
      <c r="C16" s="56">
        <v>0</v>
      </c>
      <c r="D16" s="56">
        <v>0</v>
      </c>
      <c r="E16" s="56">
        <v>0</v>
      </c>
      <c r="F16" s="56">
        <v>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>
      <selection activeCell="H16" sqref="H16"/>
    </sheetView>
  </sheetViews>
  <sheetFormatPr baseColWidth="10" defaultRowHeight="14.4" x14ac:dyDescent="0.3"/>
  <sheetData>
    <row r="1" spans="1:6" x14ac:dyDescent="0.3">
      <c r="A1" s="58" t="s">
        <v>416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1</v>
      </c>
      <c r="D11" s="55">
        <v>0</v>
      </c>
      <c r="E11" s="55">
        <v>1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0</v>
      </c>
    </row>
    <row r="16" spans="1:6" x14ac:dyDescent="0.3">
      <c r="A16">
        <v>15</v>
      </c>
      <c r="B16" s="56">
        <v>0</v>
      </c>
      <c r="C16" s="56">
        <v>1</v>
      </c>
      <c r="D16" s="56">
        <v>0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8" t="s">
        <v>485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1</v>
      </c>
      <c r="C9" s="55">
        <v>0</v>
      </c>
      <c r="D9" s="55">
        <v>1</v>
      </c>
      <c r="E9" s="55">
        <v>0</v>
      </c>
      <c r="F9" s="55">
        <v>1</v>
      </c>
    </row>
    <row r="10" spans="1:6" x14ac:dyDescent="0.3">
      <c r="A10">
        <v>9</v>
      </c>
      <c r="B10" s="55">
        <v>1</v>
      </c>
      <c r="C10" s="55">
        <v>0</v>
      </c>
      <c r="D10" s="55">
        <v>1</v>
      </c>
      <c r="E10" s="55">
        <v>0</v>
      </c>
      <c r="F10" s="55">
        <v>1</v>
      </c>
    </row>
    <row r="11" spans="1:6" x14ac:dyDescent="0.3">
      <c r="A11">
        <v>10</v>
      </c>
      <c r="B11" s="55">
        <v>1</v>
      </c>
      <c r="C11" s="55">
        <v>0</v>
      </c>
      <c r="D11" s="55">
        <v>1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1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8" t="s">
        <v>253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2</v>
      </c>
      <c r="C12" s="56">
        <v>2</v>
      </c>
      <c r="D12" s="56">
        <v>2</v>
      </c>
      <c r="E12" s="56">
        <v>2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0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9" t="s">
        <v>351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9">
        <v>1</v>
      </c>
      <c r="F3" s="59">
        <v>2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9">
        <v>1</v>
      </c>
      <c r="F4" s="59">
        <v>2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9">
        <v>2</v>
      </c>
      <c r="F5" s="59">
        <v>2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9">
        <v>2</v>
      </c>
      <c r="F6" s="59">
        <v>2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9">
        <v>2</v>
      </c>
      <c r="F7" s="59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9">
        <v>2</v>
      </c>
      <c r="F8" s="59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F8" sqref="F8"/>
    </sheetView>
  </sheetViews>
  <sheetFormatPr baseColWidth="10" defaultRowHeight="14.4" x14ac:dyDescent="0.3"/>
  <sheetData>
    <row r="1" spans="1:6" x14ac:dyDescent="0.3">
      <c r="A1" s="58" t="s">
        <v>117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2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2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1</v>
      </c>
      <c r="F6" s="54">
        <v>1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1</v>
      </c>
      <c r="F7" s="54">
        <v>1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2</v>
      </c>
      <c r="F8" s="55">
        <v>1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2</v>
      </c>
      <c r="F9" s="55">
        <v>1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2</v>
      </c>
      <c r="F10" s="55">
        <v>1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2</v>
      </c>
      <c r="F11" s="55">
        <v>1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I14" sqref="I14"/>
    </sheetView>
  </sheetViews>
  <sheetFormatPr baseColWidth="10" defaultRowHeight="14.4" x14ac:dyDescent="0.3"/>
  <sheetData>
    <row r="1" spans="1:6" x14ac:dyDescent="0.3">
      <c r="A1" s="59" t="s">
        <v>255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7">
        <v>3</v>
      </c>
      <c r="D14" s="56">
        <v>0</v>
      </c>
      <c r="E14" s="57">
        <v>3</v>
      </c>
      <c r="F14" s="56">
        <v>0</v>
      </c>
    </row>
    <row r="15" spans="1:6" x14ac:dyDescent="0.3">
      <c r="A15">
        <v>14</v>
      </c>
      <c r="B15" s="56">
        <v>0</v>
      </c>
      <c r="C15" s="57">
        <v>3</v>
      </c>
      <c r="D15" s="56">
        <v>0</v>
      </c>
      <c r="E15" s="57">
        <v>3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>
      <selection activeCell="I10" sqref="I10"/>
    </sheetView>
  </sheetViews>
  <sheetFormatPr baseColWidth="10" defaultRowHeight="14.4" x14ac:dyDescent="0.3"/>
  <sheetData>
    <row r="1" spans="1:6" x14ac:dyDescent="0.3">
      <c r="A1" s="58" t="s">
        <v>346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58" t="s">
        <v>439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2</v>
      </c>
      <c r="D2" s="54">
        <v>2</v>
      </c>
      <c r="E2" s="54">
        <v>2</v>
      </c>
      <c r="F2" s="54">
        <v>2</v>
      </c>
    </row>
    <row r="3" spans="1:6" x14ac:dyDescent="0.3">
      <c r="A3">
        <v>2</v>
      </c>
      <c r="B3" s="54">
        <v>2</v>
      </c>
      <c r="C3" s="54">
        <v>2</v>
      </c>
      <c r="D3" s="54">
        <v>2</v>
      </c>
      <c r="E3" s="54">
        <v>2</v>
      </c>
      <c r="F3" s="54">
        <v>2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>
      <selection activeCell="B3" sqref="B3"/>
    </sheetView>
  </sheetViews>
  <sheetFormatPr baseColWidth="10" defaultRowHeight="14.4" x14ac:dyDescent="0.3"/>
  <sheetData>
    <row r="1" spans="1:6" x14ac:dyDescent="0.3">
      <c r="A1" t="s">
        <v>402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>
      <selection activeCell="J18" sqref="J18"/>
    </sheetView>
  </sheetViews>
  <sheetFormatPr baseColWidth="10" defaultRowHeight="14.4" x14ac:dyDescent="0.3"/>
  <sheetData>
    <row r="1" spans="1:6" x14ac:dyDescent="0.3">
      <c r="A1" s="58" t="s">
        <v>396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3</v>
      </c>
      <c r="C12" s="56">
        <v>3</v>
      </c>
      <c r="D12" s="56">
        <v>3</v>
      </c>
      <c r="E12" s="56">
        <v>3</v>
      </c>
      <c r="F12" s="56">
        <v>3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RowHeight="14.4" x14ac:dyDescent="0.3"/>
  <sheetData>
    <row r="1" spans="1:6" x14ac:dyDescent="0.3">
      <c r="A1" s="58" t="s">
        <v>124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1</v>
      </c>
      <c r="D2" s="54">
        <v>2</v>
      </c>
      <c r="E2" s="54">
        <v>1</v>
      </c>
      <c r="F2" s="54">
        <v>1</v>
      </c>
    </row>
    <row r="3" spans="1:6" x14ac:dyDescent="0.3">
      <c r="A3">
        <v>2</v>
      </c>
      <c r="B3" s="54">
        <v>2</v>
      </c>
      <c r="C3" s="54">
        <v>1</v>
      </c>
      <c r="D3" s="54">
        <v>2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3</v>
      </c>
      <c r="D4" s="54">
        <v>3</v>
      </c>
      <c r="E4" s="54">
        <v>2</v>
      </c>
      <c r="F4" s="54">
        <v>2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3</v>
      </c>
      <c r="C12" s="56">
        <v>0</v>
      </c>
      <c r="D12" s="56">
        <v>3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0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topLeftCell="C1" workbookViewId="0">
      <selection activeCell="I10" sqref="I10"/>
    </sheetView>
  </sheetViews>
  <sheetFormatPr baseColWidth="10" defaultRowHeight="14.4" x14ac:dyDescent="0.3"/>
  <sheetData>
    <row r="1" spans="1:6" x14ac:dyDescent="0.3">
      <c r="A1" s="58" t="s">
        <v>440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1</v>
      </c>
      <c r="D2" s="54">
        <v>2</v>
      </c>
      <c r="E2" s="54">
        <v>1</v>
      </c>
      <c r="F2" s="54">
        <v>3</v>
      </c>
    </row>
    <row r="3" spans="1:6" x14ac:dyDescent="0.3">
      <c r="A3">
        <v>2</v>
      </c>
      <c r="B3" s="54">
        <v>2</v>
      </c>
      <c r="C3" s="54">
        <v>1</v>
      </c>
      <c r="D3" s="54">
        <v>2</v>
      </c>
      <c r="E3" s="54">
        <v>1</v>
      </c>
      <c r="F3" s="54">
        <v>3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0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I20" sqref="I20"/>
    </sheetView>
  </sheetViews>
  <sheetFormatPr baseColWidth="10" defaultRowHeight="14.4" x14ac:dyDescent="0.3"/>
  <sheetData>
    <row r="1" spans="1:6" x14ac:dyDescent="0.3">
      <c r="A1" s="58" t="s">
        <v>144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3</v>
      </c>
      <c r="D2" s="54">
        <v>3</v>
      </c>
      <c r="E2" s="54">
        <v>3</v>
      </c>
      <c r="F2" s="54">
        <v>3</v>
      </c>
    </row>
    <row r="3" spans="1:6" x14ac:dyDescent="0.3">
      <c r="A3">
        <v>2</v>
      </c>
      <c r="B3" s="54">
        <v>3</v>
      </c>
      <c r="C3" s="54">
        <v>3</v>
      </c>
      <c r="D3" s="54">
        <v>3</v>
      </c>
      <c r="E3" s="54">
        <v>3</v>
      </c>
      <c r="F3" s="54">
        <v>3</v>
      </c>
    </row>
    <row r="4" spans="1:6" x14ac:dyDescent="0.3">
      <c r="A4">
        <v>3</v>
      </c>
      <c r="B4" s="54">
        <v>2</v>
      </c>
      <c r="C4" s="54">
        <v>3</v>
      </c>
      <c r="D4" s="54">
        <v>2</v>
      </c>
      <c r="E4" s="54">
        <v>3</v>
      </c>
      <c r="F4" s="54">
        <v>2</v>
      </c>
    </row>
    <row r="5" spans="1:6" x14ac:dyDescent="0.3">
      <c r="A5">
        <v>4</v>
      </c>
      <c r="B5" s="54">
        <v>1</v>
      </c>
      <c r="C5" s="54">
        <v>2</v>
      </c>
      <c r="D5" s="54">
        <v>1</v>
      </c>
      <c r="E5" s="54">
        <v>2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0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2</v>
      </c>
      <c r="C13" s="56">
        <v>2</v>
      </c>
      <c r="D13" s="56">
        <v>0</v>
      </c>
      <c r="E13" s="56">
        <v>2</v>
      </c>
      <c r="F13" s="56">
        <v>0</v>
      </c>
    </row>
    <row r="14" spans="1:6" x14ac:dyDescent="0.3">
      <c r="A14">
        <v>13</v>
      </c>
      <c r="B14" s="56">
        <v>2</v>
      </c>
      <c r="C14" s="56">
        <v>2</v>
      </c>
      <c r="D14" s="56">
        <v>0</v>
      </c>
      <c r="E14" s="56">
        <v>2</v>
      </c>
      <c r="F14" s="56">
        <v>0</v>
      </c>
    </row>
    <row r="15" spans="1:6" x14ac:dyDescent="0.3">
      <c r="A15">
        <v>14</v>
      </c>
      <c r="B15" s="56">
        <v>3</v>
      </c>
      <c r="C15" s="56">
        <v>3</v>
      </c>
      <c r="D15" s="56">
        <v>0</v>
      </c>
      <c r="E15" s="56">
        <v>3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58" t="s">
        <v>275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0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0</v>
      </c>
      <c r="E14" s="56">
        <v>1</v>
      </c>
      <c r="F14" s="56">
        <v>1</v>
      </c>
    </row>
    <row r="15" spans="1:6" x14ac:dyDescent="0.3">
      <c r="A15">
        <v>14</v>
      </c>
      <c r="B15" s="56">
        <v>2</v>
      </c>
      <c r="C15" s="56">
        <v>2</v>
      </c>
      <c r="D15" s="56">
        <v>0</v>
      </c>
      <c r="E15" s="56">
        <v>2</v>
      </c>
      <c r="F15" s="56">
        <v>3</v>
      </c>
    </row>
    <row r="16" spans="1:6" x14ac:dyDescent="0.3">
      <c r="A16">
        <v>15</v>
      </c>
      <c r="B16" s="56">
        <v>2</v>
      </c>
      <c r="C16" s="56">
        <v>2</v>
      </c>
      <c r="D16" s="56">
        <v>0</v>
      </c>
      <c r="E16" s="56">
        <v>2</v>
      </c>
      <c r="F16" s="56">
        <v>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58" t="s">
        <v>108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8" t="s">
        <v>420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2</v>
      </c>
      <c r="C14" s="56">
        <v>2</v>
      </c>
      <c r="D14" s="56">
        <v>2</v>
      </c>
      <c r="E14" s="56">
        <v>2</v>
      </c>
      <c r="F14" s="56">
        <v>2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3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8" t="s">
        <v>316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8" t="s">
        <v>495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H20" sqref="H20"/>
    </sheetView>
  </sheetViews>
  <sheetFormatPr baseColWidth="10" defaultRowHeight="14.4" x14ac:dyDescent="0.3"/>
  <sheetData>
    <row r="1" spans="1:6" x14ac:dyDescent="0.3">
      <c r="A1" s="58" t="s">
        <v>498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D11" sqref="D11"/>
    </sheetView>
  </sheetViews>
  <sheetFormatPr baseColWidth="10" defaultRowHeight="14.4" x14ac:dyDescent="0.3"/>
  <sheetData>
    <row r="1" spans="1:6" x14ac:dyDescent="0.3">
      <c r="A1" s="58" t="s">
        <v>506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2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0</v>
      </c>
      <c r="C12" s="56">
        <v>1</v>
      </c>
      <c r="D12" s="56">
        <v>1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2</v>
      </c>
      <c r="D13" s="56">
        <v>2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3</v>
      </c>
      <c r="D14" s="56">
        <v>3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I11" sqref="I11"/>
    </sheetView>
  </sheetViews>
  <sheetFormatPr baseColWidth="10" defaultRowHeight="14.4" x14ac:dyDescent="0.3"/>
  <sheetData>
    <row r="1" spans="1:6" x14ac:dyDescent="0.3">
      <c r="A1" s="58" t="s">
        <v>508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7" sqref="I17"/>
    </sheetView>
  </sheetViews>
  <sheetFormatPr baseColWidth="10" defaultRowHeight="14.4" x14ac:dyDescent="0.3"/>
  <sheetData>
    <row r="1" spans="1:6" x14ac:dyDescent="0.3">
      <c r="A1" s="58" t="s">
        <v>512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8" t="s">
        <v>515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BC56-355C-4170-9782-C228C969F147}">
  <dimension ref="A1:F16"/>
  <sheetViews>
    <sheetView workbookViewId="0">
      <selection activeCell="J20" sqref="J20"/>
    </sheetView>
  </sheetViews>
  <sheetFormatPr baseColWidth="10" defaultRowHeight="14.4" x14ac:dyDescent="0.3"/>
  <sheetData>
    <row r="1" spans="1:6" x14ac:dyDescent="0.3">
      <c r="A1" s="58" t="s">
        <v>692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3</v>
      </c>
      <c r="C4" s="54">
        <v>3</v>
      </c>
      <c r="D4" s="54">
        <v>3</v>
      </c>
      <c r="E4" s="54">
        <v>3</v>
      </c>
      <c r="F4" s="54">
        <v>3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>
      <selection activeCell="K20" sqref="K20"/>
    </sheetView>
  </sheetViews>
  <sheetFormatPr baseColWidth="10" defaultRowHeight="14.4" x14ac:dyDescent="0.3"/>
  <sheetData>
    <row r="1" spans="1:6" x14ac:dyDescent="0.3">
      <c r="A1" s="58" t="s">
        <v>134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3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3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3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3</v>
      </c>
    </row>
    <row r="16" spans="1:6" x14ac:dyDescent="0.3">
      <c r="A16">
        <v>15</v>
      </c>
      <c r="B16" s="56">
        <v>0</v>
      </c>
      <c r="C16" s="56">
        <v>1</v>
      </c>
      <c r="D16" s="56">
        <v>0</v>
      </c>
      <c r="E16" s="56">
        <v>1</v>
      </c>
      <c r="F16" s="56">
        <v>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D22" sqref="D22"/>
    </sheetView>
  </sheetViews>
  <sheetFormatPr baseColWidth="10" defaultRowHeight="14.4" x14ac:dyDescent="0.3"/>
  <sheetData>
    <row r="1" spans="1:6" x14ac:dyDescent="0.3">
      <c r="A1" s="58" t="s">
        <v>521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0</v>
      </c>
      <c r="D10" s="55">
        <v>1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0</v>
      </c>
      <c r="D11" s="55">
        <v>1</v>
      </c>
      <c r="E11" s="55">
        <v>0</v>
      </c>
      <c r="F11" s="55">
        <v>0</v>
      </c>
    </row>
    <row r="12" spans="1:6" x14ac:dyDescent="0.3">
      <c r="A12">
        <v>11</v>
      </c>
      <c r="B12" s="56">
        <v>2</v>
      </c>
      <c r="C12" s="56">
        <v>2</v>
      </c>
      <c r="D12" s="56">
        <v>2</v>
      </c>
      <c r="E12" s="56">
        <v>2</v>
      </c>
      <c r="F12" s="56">
        <v>0</v>
      </c>
    </row>
    <row r="13" spans="1:6" x14ac:dyDescent="0.3">
      <c r="A13">
        <v>12</v>
      </c>
      <c r="B13" s="56">
        <v>2</v>
      </c>
      <c r="C13" s="56">
        <v>2</v>
      </c>
      <c r="D13" s="56">
        <v>2</v>
      </c>
      <c r="E13" s="56">
        <v>2</v>
      </c>
      <c r="F13" s="56">
        <v>0</v>
      </c>
    </row>
    <row r="14" spans="1:6" x14ac:dyDescent="0.3">
      <c r="A14">
        <v>13</v>
      </c>
      <c r="B14" s="56">
        <v>0</v>
      </c>
      <c r="C14" s="56">
        <v>3</v>
      </c>
      <c r="D14" s="56">
        <v>3</v>
      </c>
      <c r="E14" s="56">
        <v>3</v>
      </c>
      <c r="F14" s="56">
        <v>0</v>
      </c>
    </row>
    <row r="15" spans="1:6" x14ac:dyDescent="0.3">
      <c r="A15">
        <v>14</v>
      </c>
      <c r="B15" s="56">
        <v>0</v>
      </c>
      <c r="C15" s="56">
        <v>3</v>
      </c>
      <c r="D15" s="56">
        <v>0</v>
      </c>
      <c r="E15" s="56">
        <v>3</v>
      </c>
      <c r="F15" s="56">
        <v>0</v>
      </c>
    </row>
    <row r="16" spans="1:6" x14ac:dyDescent="0.3">
      <c r="A16">
        <v>15</v>
      </c>
      <c r="B16" s="56">
        <v>0</v>
      </c>
      <c r="C16" s="56">
        <v>3</v>
      </c>
      <c r="D16" s="56">
        <v>0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RowHeight="14.4" x14ac:dyDescent="0.3"/>
  <sheetData>
    <row r="1" spans="1:6" x14ac:dyDescent="0.3">
      <c r="A1" s="58" t="s">
        <v>524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2</v>
      </c>
      <c r="C12" s="56">
        <v>2</v>
      </c>
      <c r="D12" s="56">
        <v>2</v>
      </c>
      <c r="E12" s="56">
        <v>2</v>
      </c>
      <c r="F12" s="56">
        <v>2</v>
      </c>
    </row>
    <row r="13" spans="1:6" x14ac:dyDescent="0.3">
      <c r="A13">
        <v>12</v>
      </c>
      <c r="B13" s="56">
        <v>2</v>
      </c>
      <c r="C13" s="56">
        <v>2</v>
      </c>
      <c r="D13" s="56">
        <v>2</v>
      </c>
      <c r="E13" s="56">
        <v>2</v>
      </c>
      <c r="F13" s="56">
        <v>2</v>
      </c>
    </row>
    <row r="14" spans="1:6" x14ac:dyDescent="0.3">
      <c r="A14">
        <v>13</v>
      </c>
      <c r="B14" s="56">
        <v>3</v>
      </c>
      <c r="C14" s="56">
        <v>3</v>
      </c>
      <c r="D14" s="56">
        <v>3</v>
      </c>
      <c r="E14" s="56">
        <v>3</v>
      </c>
      <c r="F14" s="56">
        <v>3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3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8" t="s">
        <v>526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0</v>
      </c>
    </row>
    <row r="16" spans="1:6" x14ac:dyDescent="0.3">
      <c r="A16">
        <v>15</v>
      </c>
      <c r="B16" s="56">
        <v>0</v>
      </c>
      <c r="C16" s="56">
        <v>1</v>
      </c>
      <c r="D16" s="56">
        <v>0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8" t="s">
        <v>528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3</v>
      </c>
      <c r="C10" s="55">
        <v>3</v>
      </c>
      <c r="D10" s="55">
        <v>3</v>
      </c>
      <c r="E10" s="55">
        <v>3</v>
      </c>
      <c r="F10" s="55">
        <v>3</v>
      </c>
    </row>
    <row r="11" spans="1:6" x14ac:dyDescent="0.3">
      <c r="A11">
        <v>10</v>
      </c>
      <c r="B11" s="55">
        <v>2</v>
      </c>
      <c r="C11" s="55">
        <v>2</v>
      </c>
      <c r="D11" s="55">
        <v>2</v>
      </c>
      <c r="E11" s="55">
        <v>2</v>
      </c>
      <c r="F11" s="55">
        <v>2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3</v>
      </c>
      <c r="C14" s="56">
        <v>3</v>
      </c>
      <c r="D14" s="56">
        <v>3</v>
      </c>
      <c r="E14" s="56">
        <v>3</v>
      </c>
      <c r="F14" s="56">
        <v>3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H16"/>
  <sheetViews>
    <sheetView workbookViewId="0">
      <selection activeCell="I14" sqref="I14"/>
    </sheetView>
  </sheetViews>
  <sheetFormatPr baseColWidth="10" defaultRowHeight="14.4" x14ac:dyDescent="0.3"/>
  <sheetData>
    <row r="1" spans="1:8" x14ac:dyDescent="0.3">
      <c r="A1" s="58" t="s">
        <v>531</v>
      </c>
      <c r="B1">
        <v>1</v>
      </c>
      <c r="C1">
        <v>2</v>
      </c>
      <c r="D1">
        <v>3</v>
      </c>
      <c r="E1">
        <v>4</v>
      </c>
      <c r="F1">
        <v>5</v>
      </c>
    </row>
    <row r="2" spans="1:8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8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8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8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8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8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8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8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  <c r="H9" s="102"/>
    </row>
    <row r="10" spans="1:8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8" x14ac:dyDescent="0.3">
      <c r="A11">
        <v>10</v>
      </c>
      <c r="B11" s="55">
        <v>1</v>
      </c>
      <c r="C11" s="55">
        <v>1</v>
      </c>
      <c r="D11" s="55">
        <v>0</v>
      </c>
      <c r="E11" s="55">
        <v>1</v>
      </c>
      <c r="F11" s="55">
        <v>1</v>
      </c>
    </row>
    <row r="12" spans="1:8" x14ac:dyDescent="0.3">
      <c r="A12">
        <v>11</v>
      </c>
      <c r="B12" s="56">
        <v>1</v>
      </c>
      <c r="C12" s="56">
        <v>1</v>
      </c>
      <c r="D12" s="56">
        <v>0</v>
      </c>
      <c r="E12" s="56">
        <v>1</v>
      </c>
      <c r="F12" s="56">
        <v>1</v>
      </c>
    </row>
    <row r="13" spans="1:8" x14ac:dyDescent="0.3">
      <c r="A13">
        <v>12</v>
      </c>
      <c r="B13" s="69">
        <v>2</v>
      </c>
      <c r="C13" s="69">
        <v>2</v>
      </c>
      <c r="D13" s="56">
        <v>0</v>
      </c>
      <c r="E13" s="69">
        <v>2</v>
      </c>
      <c r="F13" s="69">
        <v>2</v>
      </c>
    </row>
    <row r="14" spans="1:8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8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8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I18" sqref="I18"/>
    </sheetView>
  </sheetViews>
  <sheetFormatPr baseColWidth="10" defaultRowHeight="14.4" x14ac:dyDescent="0.3"/>
  <sheetData>
    <row r="1" spans="1:6" x14ac:dyDescent="0.3">
      <c r="A1" s="58" t="s">
        <v>541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0</v>
      </c>
      <c r="D12" s="56">
        <v>1</v>
      </c>
      <c r="E12" s="56">
        <v>0</v>
      </c>
      <c r="F12" s="56">
        <v>2</v>
      </c>
    </row>
    <row r="13" spans="1:6" x14ac:dyDescent="0.3">
      <c r="A13">
        <v>12</v>
      </c>
      <c r="B13" s="56">
        <v>1</v>
      </c>
      <c r="C13" s="56">
        <v>0</v>
      </c>
      <c r="D13" s="56">
        <v>1</v>
      </c>
      <c r="E13" s="56">
        <v>0</v>
      </c>
      <c r="F13" s="56">
        <v>2</v>
      </c>
    </row>
    <row r="14" spans="1:6" x14ac:dyDescent="0.3">
      <c r="A14">
        <v>13</v>
      </c>
      <c r="B14" s="56">
        <v>2</v>
      </c>
      <c r="C14" s="56">
        <v>0</v>
      </c>
      <c r="D14" s="56">
        <v>2</v>
      </c>
      <c r="E14" s="56">
        <v>0</v>
      </c>
      <c r="F14" s="56">
        <v>2</v>
      </c>
    </row>
    <row r="15" spans="1:6" x14ac:dyDescent="0.3">
      <c r="A15">
        <v>14</v>
      </c>
      <c r="B15" s="56">
        <v>3</v>
      </c>
      <c r="C15" s="56">
        <v>0</v>
      </c>
      <c r="D15" s="56">
        <v>3</v>
      </c>
      <c r="E15" s="56">
        <v>0</v>
      </c>
      <c r="F15" s="56">
        <v>3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E00A-2A3F-499F-8910-D08730BCA2DA}">
  <dimension ref="A1:F16"/>
  <sheetViews>
    <sheetView workbookViewId="0">
      <selection activeCell="C24" sqref="C24"/>
    </sheetView>
  </sheetViews>
  <sheetFormatPr baseColWidth="10" defaultRowHeight="14.4" x14ac:dyDescent="0.3"/>
  <sheetData>
    <row r="1" spans="1:6" x14ac:dyDescent="0.3">
      <c r="A1" s="58" t="s">
        <v>660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3</v>
      </c>
      <c r="C9" s="55">
        <v>2</v>
      </c>
      <c r="D9" s="55">
        <v>2</v>
      </c>
      <c r="E9" s="55">
        <v>2</v>
      </c>
      <c r="F9" s="55">
        <v>3</v>
      </c>
    </row>
    <row r="10" spans="1:6" x14ac:dyDescent="0.3">
      <c r="A10">
        <v>9</v>
      </c>
      <c r="B10" s="55">
        <v>3</v>
      </c>
      <c r="C10" s="55">
        <v>2</v>
      </c>
      <c r="D10" s="55">
        <v>2</v>
      </c>
      <c r="E10" s="55">
        <v>2</v>
      </c>
      <c r="F10" s="55">
        <v>3</v>
      </c>
    </row>
    <row r="11" spans="1:6" x14ac:dyDescent="0.3">
      <c r="A11">
        <v>10</v>
      </c>
      <c r="B11" s="55">
        <v>3</v>
      </c>
      <c r="C11" s="55">
        <v>2</v>
      </c>
      <c r="D11" s="55">
        <v>2</v>
      </c>
      <c r="E11" s="55">
        <v>2</v>
      </c>
      <c r="F11" s="55">
        <v>3</v>
      </c>
    </row>
    <row r="12" spans="1:6" x14ac:dyDescent="0.3">
      <c r="A12">
        <v>11</v>
      </c>
      <c r="B12" s="56">
        <v>3</v>
      </c>
      <c r="C12" s="56">
        <v>2</v>
      </c>
      <c r="D12" s="56">
        <v>2</v>
      </c>
      <c r="E12" s="56">
        <v>2</v>
      </c>
      <c r="F12" s="56">
        <v>3</v>
      </c>
    </row>
    <row r="13" spans="1:6" x14ac:dyDescent="0.3">
      <c r="A13">
        <v>12</v>
      </c>
      <c r="B13" s="56">
        <v>3</v>
      </c>
      <c r="C13" s="56">
        <v>2</v>
      </c>
      <c r="D13" s="56">
        <v>2</v>
      </c>
      <c r="E13" s="56">
        <v>2</v>
      </c>
      <c r="F13" s="56">
        <v>3</v>
      </c>
    </row>
    <row r="14" spans="1:6" x14ac:dyDescent="0.3">
      <c r="A14">
        <v>13</v>
      </c>
      <c r="B14" s="56">
        <v>3</v>
      </c>
      <c r="C14" s="56">
        <v>2</v>
      </c>
      <c r="D14" s="56">
        <v>2</v>
      </c>
      <c r="E14" s="56">
        <v>2</v>
      </c>
      <c r="F14" s="56">
        <v>3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3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F51F-43A4-4196-A4D5-9732C8619718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8" t="s">
        <v>667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1</v>
      </c>
      <c r="E15" s="56">
        <v>1</v>
      </c>
      <c r="F15" s="56">
        <v>0</v>
      </c>
    </row>
    <row r="16" spans="1:6" x14ac:dyDescent="0.3">
      <c r="A16">
        <v>15</v>
      </c>
      <c r="B16" s="56">
        <v>0</v>
      </c>
      <c r="C16" s="56">
        <v>1</v>
      </c>
      <c r="D16" s="56">
        <v>1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FDB0-DCED-445E-BF35-55B307E92CD5}">
  <dimension ref="A1:F16"/>
  <sheetViews>
    <sheetView workbookViewId="0">
      <selection activeCell="J21" sqref="J21"/>
    </sheetView>
  </sheetViews>
  <sheetFormatPr baseColWidth="10" defaultRowHeight="14.4" x14ac:dyDescent="0.3"/>
  <sheetData>
    <row r="1" spans="1:6" x14ac:dyDescent="0.3">
      <c r="A1" s="58" t="s">
        <v>673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1</v>
      </c>
      <c r="D11" s="55">
        <v>0</v>
      </c>
      <c r="E11" s="55">
        <v>1</v>
      </c>
      <c r="F11" s="55">
        <v>1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1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1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1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1</v>
      </c>
    </row>
    <row r="16" spans="1:6" x14ac:dyDescent="0.3">
      <c r="A16">
        <v>15</v>
      </c>
      <c r="B16" s="56">
        <v>0</v>
      </c>
      <c r="C16" s="56">
        <v>3</v>
      </c>
      <c r="D16" s="56">
        <v>0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7DA3-8A7D-4079-8113-3CEB5B8E7062}">
  <dimension ref="A1:F16"/>
  <sheetViews>
    <sheetView workbookViewId="0">
      <selection activeCell="D18" sqref="D18"/>
    </sheetView>
  </sheetViews>
  <sheetFormatPr baseColWidth="10" defaultRowHeight="14.4" x14ac:dyDescent="0.3"/>
  <sheetData>
    <row r="1" spans="1:6" x14ac:dyDescent="0.3">
      <c r="A1" s="58" t="s">
        <v>125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3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3</v>
      </c>
    </row>
    <row r="15" spans="1:6" x14ac:dyDescent="0.3">
      <c r="A15">
        <v>14</v>
      </c>
      <c r="B15" s="56">
        <v>2</v>
      </c>
      <c r="C15" s="56">
        <v>2</v>
      </c>
      <c r="D15" s="56">
        <v>2</v>
      </c>
      <c r="E15" s="56">
        <v>2</v>
      </c>
      <c r="F15" s="56">
        <v>3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AE9-9EED-4ECF-92C5-46D66A506A6B}">
  <dimension ref="A1:F16"/>
  <sheetViews>
    <sheetView workbookViewId="0">
      <selection activeCell="A2" sqref="A2"/>
    </sheetView>
  </sheetViews>
  <sheetFormatPr baseColWidth="10" defaultRowHeight="14.4" x14ac:dyDescent="0.3"/>
  <sheetData>
    <row r="1" spans="1:6" x14ac:dyDescent="0.3">
      <c r="A1" s="58" t="s">
        <v>682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3</v>
      </c>
      <c r="C11" s="55">
        <v>3</v>
      </c>
      <c r="D11" s="55">
        <v>3</v>
      </c>
      <c r="E11" s="55">
        <v>3</v>
      </c>
      <c r="F11" s="55">
        <v>3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2</v>
      </c>
      <c r="D13" s="56">
        <v>1</v>
      </c>
      <c r="E13" s="56">
        <v>2</v>
      </c>
      <c r="F13" s="56">
        <v>1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2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2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F230-F6AE-433E-9CE5-2359EFFCFDAB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8" t="s">
        <v>676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3</v>
      </c>
      <c r="C11" s="55">
        <v>3</v>
      </c>
      <c r="D11" s="55">
        <v>3</v>
      </c>
      <c r="E11" s="55">
        <v>3</v>
      </c>
      <c r="F11" s="55">
        <v>3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2</v>
      </c>
      <c r="C15" s="56">
        <v>2</v>
      </c>
      <c r="D15" s="56">
        <v>2</v>
      </c>
      <c r="E15" s="56">
        <v>2</v>
      </c>
      <c r="F15" s="56">
        <v>2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D50C-0B97-4A83-A770-D3BC28C9B836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58" t="s">
        <v>694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2</v>
      </c>
      <c r="C13" s="56">
        <v>2</v>
      </c>
      <c r="D13" s="56">
        <v>2</v>
      </c>
      <c r="E13" s="56">
        <v>2</v>
      </c>
      <c r="F13" s="56">
        <v>0</v>
      </c>
    </row>
    <row r="14" spans="1:6" x14ac:dyDescent="0.3">
      <c r="A14">
        <v>13</v>
      </c>
      <c r="B14" s="56">
        <v>2</v>
      </c>
      <c r="C14" s="56">
        <v>2</v>
      </c>
      <c r="D14" s="56">
        <v>2</v>
      </c>
      <c r="E14" s="56">
        <v>2</v>
      </c>
      <c r="F14" s="56">
        <v>0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0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45F5-B928-490E-BCC8-DDCE09E48226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t="s">
        <v>700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70A7-323D-4EF6-B612-DC4C3F7AD871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703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113</vt:i4>
      </vt:variant>
    </vt:vector>
  </HeadingPairs>
  <TitlesOfParts>
    <vt:vector size="113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jam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rl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xm</vt:lpstr>
      <vt:lpstr>icc3</vt:lpstr>
      <vt:lpstr>p1a</vt:lpstr>
      <vt:lpstr>p1b</vt:lpstr>
      <vt:lpstr>p1c</vt:lpstr>
      <vt:lpstr>jg</vt:lpstr>
      <vt:lpstr>ms</vt:lpstr>
      <vt:lpstr>fr</vt:lpstr>
      <vt:lpstr>adc</vt:lpstr>
      <vt:lpstr>mk</vt:lpstr>
      <vt:lpstr>ar</vt:lpstr>
      <vt:lpstr>df</vt:lpstr>
      <vt:lpstr>ht</vt:lpstr>
      <vt:lpstr>gg</vt:lpstr>
      <vt:lpstr>cm</vt:lpstr>
      <vt:lpstr>ma</vt:lpstr>
      <vt:lpstr>mg</vt:lpstr>
      <vt:lpstr>anp</vt:lpstr>
      <vt:lpstr>er</vt:lpstr>
      <vt:lpstr>pp</vt:lpstr>
      <vt:lpstr>gca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2024-11-14T21:37:43Z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