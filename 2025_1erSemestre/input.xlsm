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6008" documentId="13_ncr:1_{9B24B71E-FFD0-4440-8E71-4E6657E2ADB7}" xr6:coauthVersionLast="47" xr6:coauthVersionMax="47" xr10:uidLastSave="{9B0960A4-0747-4FE8-866F-69A243EDEF8D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aca" sheetId="246" r:id="rId8"/>
    <sheet name="ad" sheetId="247" r:id="rId9"/>
    <sheet name="adr" sheetId="248" r:id="rId10"/>
    <sheet name="am" sheetId="249" r:id="rId11"/>
    <sheet name="ame" sheetId="250" r:id="rId12"/>
    <sheet name="an" sheetId="251" r:id="rId13"/>
    <sheet name="ap" sheetId="252" r:id="rId14"/>
    <sheet name="apa" sheetId="253" r:id="rId15"/>
    <sheet name="apr" sheetId="254" r:id="rId16"/>
    <sheet name="as" sheetId="255" r:id="rId17"/>
    <sheet name="cp" sheetId="257" r:id="rId18"/>
    <sheet name="cr" sheetId="258" r:id="rId19"/>
    <sheet name="db" sheetId="259" r:id="rId20"/>
    <sheet name="dc" sheetId="260" r:id="rId21"/>
    <sheet name="dd" sheetId="261" r:id="rId22"/>
    <sheet name="dj" sheetId="262" r:id="rId23"/>
    <sheet name="dl" sheetId="263" r:id="rId24"/>
    <sheet name="dm" sheetId="264" r:id="rId25"/>
    <sheet name="ds" sheetId="265" r:id="rId26"/>
    <sheet name="ep" sheetId="345" r:id="rId27"/>
    <sheet name="epe" sheetId="267" r:id="rId28"/>
    <sheet name="es" sheetId="268" r:id="rId29"/>
    <sheet name="fb" sheetId="269" r:id="rId30"/>
    <sheet name="gaa" sheetId="270" r:id="rId31"/>
    <sheet name="gb" sheetId="271" r:id="rId32"/>
    <sheet name="gba" sheetId="272" r:id="rId33"/>
    <sheet name="gc" sheetId="273" r:id="rId34"/>
    <sheet name="gd" sheetId="274" r:id="rId35"/>
    <sheet name="gdo" sheetId="275" r:id="rId36"/>
    <sheet name="gp" sheetId="276" r:id="rId37"/>
    <sheet name="gq" sheetId="277" r:id="rId38"/>
    <sheet name="gs" sheetId="330" r:id="rId39"/>
    <sheet name="guc" sheetId="278" r:id="rId40"/>
    <sheet name="hf" sheetId="279" r:id="rId41"/>
    <sheet name="hr" sheetId="280" r:id="rId42"/>
    <sheet name="jam" sheetId="281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jg" sheetId="338" r:id="rId97"/>
    <sheet name="ms" sheetId="339" r:id="rId98"/>
    <sheet name="fr" sheetId="340" r:id="rId99"/>
    <sheet name="adc" sheetId="341" r:id="rId100"/>
    <sheet name="hc" sheetId="342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</sheets>
  <definedNames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0" i="84" l="1"/>
  <c r="B2" i="347" a="1"/>
  <c r="B2" i="347" s="1"/>
  <c r="C1" i="347" s="1" a="1"/>
  <c r="C1" i="347" s="1"/>
  <c r="A4" i="347"/>
  <c r="A5" i="347"/>
  <c r="A6" i="347"/>
  <c r="A7" i="347"/>
  <c r="A8" i="347"/>
  <c r="A9" i="347"/>
  <c r="A10" i="347"/>
  <c r="A11" i="347"/>
  <c r="A12" i="347"/>
  <c r="A13" i="347"/>
  <c r="A14" i="347"/>
  <c r="A15" i="347"/>
  <c r="A16" i="347"/>
  <c r="A17" i="347"/>
  <c r="A18" i="347"/>
  <c r="A19" i="347"/>
  <c r="A20" i="347"/>
  <c r="A21" i="347"/>
  <c r="A3" i="347"/>
  <c r="A2" i="347"/>
  <c r="O103" i="1" l="1"/>
  <c r="Q103" i="1"/>
  <c r="O102" i="1"/>
  <c r="Q102" i="1"/>
  <c r="O104" i="1"/>
  <c r="Q104" i="1"/>
  <c r="O100" i="1"/>
  <c r="Q100" i="1"/>
  <c r="O101" i="1"/>
  <c r="Q101" i="1"/>
  <c r="U5" i="84"/>
  <c r="U6" i="84"/>
  <c r="U7" i="84"/>
  <c r="U8" i="84"/>
  <c r="U4" i="84"/>
  <c r="O99" i="1"/>
  <c r="Q9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105" i="1"/>
  <c r="O2" i="1"/>
  <c r="Y5" i="84"/>
  <c r="Y6" i="84"/>
  <c r="Y7" i="84"/>
  <c r="Y8" i="84"/>
  <c r="Y9" i="84"/>
  <c r="Y10" i="84"/>
  <c r="Y4" i="84"/>
  <c r="T94" i="84"/>
  <c r="T105" i="84"/>
  <c r="Q105" i="1"/>
  <c r="Q98" i="1"/>
  <c r="Q97" i="1"/>
  <c r="Q92" i="1"/>
  <c r="Q93" i="1"/>
  <c r="Q94" i="1"/>
  <c r="Q95" i="1"/>
  <c r="Q96" i="1"/>
  <c r="Q91" i="1"/>
  <c r="O108" i="1" l="1"/>
  <c r="Y12" i="84" a="1"/>
  <c r="Y12" i="84" s="1"/>
  <c r="U10" i="84" a="1"/>
  <c r="U10" i="84" s="1"/>
  <c r="O109" i="1"/>
  <c r="Q86" i="1"/>
  <c r="Q87" i="1"/>
  <c r="Q88" i="1"/>
  <c r="Q89" i="1"/>
  <c r="Q90" i="1"/>
  <c r="Q85" i="1"/>
  <c r="Q83" i="1"/>
  <c r="Q84" i="1"/>
  <c r="A3" i="230" a="1"/>
  <c r="A3" i="230" s="1"/>
  <c r="Q78" i="1" l="1"/>
  <c r="Q79" i="1"/>
  <c r="Q80" i="1"/>
  <c r="Q81" i="1"/>
  <c r="Q82" i="1"/>
  <c r="Q77" i="1"/>
  <c r="Q73" i="1"/>
  <c r="Q74" i="1"/>
  <c r="Q75" i="1"/>
  <c r="Q76" i="1"/>
  <c r="T30" i="84"/>
  <c r="X81" i="84"/>
  <c r="T81" i="84"/>
  <c r="X69" i="84"/>
  <c r="T69" i="84"/>
  <c r="Q68" i="1"/>
  <c r="Q69" i="1"/>
  <c r="Q70" i="1"/>
  <c r="Q71" i="1"/>
  <c r="Q72" i="1"/>
  <c r="Q67" i="1"/>
  <c r="Q66" i="1"/>
  <c r="Q65" i="1"/>
  <c r="Q62" i="1"/>
  <c r="Q63" i="1"/>
  <c r="Q64" i="1"/>
  <c r="A25" i="119"/>
  <c r="Q60" i="1"/>
  <c r="Q6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6" i="119"/>
  <c r="A9" i="119"/>
  <c r="A2" i="119"/>
  <c r="A3" i="119"/>
  <c r="A4" i="119"/>
  <c r="A5" i="119"/>
  <c r="A10" i="119"/>
  <c r="A11" i="119"/>
  <c r="A12" i="119"/>
  <c r="A13" i="119"/>
  <c r="O115" i="1" l="1"/>
  <c r="O113" i="1"/>
  <c r="O112" i="1"/>
  <c r="O111" i="1"/>
  <c r="O110" i="1"/>
  <c r="O114" i="1"/>
  <c r="O116" i="1" l="1" a="1"/>
  <c r="O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tc={E305D736-F39F-4E1E-A13A-4BD60EAC2C9E}</author>
    <author>tc={4B61C5F6-EDAC-4526-92C9-219FB8C0EC39}</author>
    <author>tc={593D5C6E-D2C6-4948-A243-89725A7C0F64}</author>
    <author>tc={4C163CC1-E3EC-482F-B92B-53B8FA7D17E9}</author>
    <author>tc={9C8A45CC-305C-4B73-ADD0-1D5F4446221C}</author>
    <author>tc={3903D1ED-8C07-4604-A79B-8FAED12C8445}</author>
    <author>tc={633ECC65-4868-470C-AB28-AD6E7CB13EF0}</author>
    <author>tc={B0F64D09-F8B5-43AB-B2BE-149D3AD62FD0}</author>
    <author>tc={3F2F498E-DF42-48E4-898E-460B5A9299C8}</author>
  </authors>
  <commentList>
    <comment ref="A90" authorId="0" shapeId="0" xr:uid="{E305D736-F39F-4E1E-A13A-4BD60EAC2C9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Separar teorico y practico</t>
      </text>
    </comment>
    <comment ref="B130" authorId="1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31" authorId="2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33" authorId="3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38" authorId="4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A140" authorId="5" shapeId="0" xr:uid="{3903D1ED-8C07-4604-A79B-8FAED12C84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4to y 5to?</t>
      </text>
    </comment>
    <comment ref="K143" authorId="6" shapeId="0" xr:uid="{633ECC65-4868-470C-AB28-AD6E7CB13E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HAY DISPONIBILIDAD HORARIA</t>
      </text>
    </comment>
    <comment ref="B146" authorId="7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  <comment ref="A161" authorId="8" shapeId="0" xr:uid="{3F2F498E-DF42-48E4-898E-460B5A9299C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Chequear cantidad de grupos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<sst xmlns="http://schemas.openxmlformats.org/spreadsheetml/2006/main" count="9728" uniqueCount="733">
  <si>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</si>
  <si>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</si>
  <si>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</si>
  <si>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</si>
  <si>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</si>
  <si>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</si>
  <si>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</si>
  <si>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</si>
  <si>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</si>
  <si>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</si>
  <si>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</si>
  <si>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</si>
  <si>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</si>
  <si>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</si>
  <si>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</si>
  <si>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</si>
  <si>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</si>
  <si>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</si>
  <si>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</si>
  <si>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</si>
  <si>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</si>
  <si>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</si>
  <si>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</si>
  <si>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</si>
  <si>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</si>
  <si>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</si>
  <si>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</si>
  <si>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</si>
  <si>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</si>
  <si>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</si>
  <si>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</si>
  <si>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</si>
  <si>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</si>
  <si>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</si>
  <si>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</si>
  <si>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</si>
  <si>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</si>
  <si>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</si>
  <si>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</si>
  <si>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</si>
  <si>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</si>
  <si>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</si>
  <si>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</si>
  <si>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</si>
  <si>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</si>
  <si>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</si>
  <si>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</si>
  <si>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</si>
  <si>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</si>
  <si>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</si>
  <si>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</si>
  <si>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</si>
  <si>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</si>
  <si>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</si>
  <si>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</si>
  <si>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</si>
  <si>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</si>
  <si>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</si>
  <si>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</si>
  <si>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</si>
  <si>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</si>
  <si>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</si>
  <si>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</si>
  <si>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</si>
  <si>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</si>
  <si>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</si>
  <si>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</si>
  <si>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</si>
  <si>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</si>
  <si>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</si>
  <si>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</si>
  <si>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</si>
  <si>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</si>
  <si>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</si>
  <si>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</si>
  <si>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</si>
  <si>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</si>
  <si>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</si>
  <si>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</si>
  <si>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</si>
  <si>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</si>
  <si>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</si>
  <si>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</si>
  <si>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</si>
  <si>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</si>
  <si>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</si>
  <si>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</si>
  <si>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</si>
  <si>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</si>
  <si>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</si>
  <si>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</si>
  <si>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</si>
  <si>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</si>
  <si>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</si>
  <si>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</si>
  <si>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</si>
  <si>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</si>
  <si>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</si>
  <si>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</si>
  <si>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</si>
  <si>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</si>
  <si>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</si>
  <si>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</si>
  <si>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</si>
  <si>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</si>
  <si>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</si>
  <si>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</si>
  <si>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</si>
  <si>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</si>
  <si>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</si>
  <si>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</si>
  <si>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</si>
  <si>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</si>
  <si>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</si>
  <si>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</si>
  <si>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</si>
  <si>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</si>
  <si>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</si>
  <si>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</si>
  <si>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</si>
  <si>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</si>
  <si>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</si>
  <si>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</si>
  <si>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</si>
  <si>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</si>
  <si>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</si>
  <si>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</si>
  <si>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</si>
  <si>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</si>
  <si>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</si>
  <si>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</si>
  <si>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</si>
  <si>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</si>
  <si>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</si>
  <si>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</si>
  <si>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</si>
  <si>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</si>
  <si>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</si>
  <si>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</si>
  <si>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</si>
  <si>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</si>
  <si>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</si>
  <si>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</si>
  <si>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</si>
  <si>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</si>
  <si>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</si>
  <si>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</si>
  <si>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</si>
  <si>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</si>
  <si>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</si>
  <si>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</si>
  <si>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</si>
  <si>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</si>
  <si>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</si>
  <si>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</si>
  <si>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</si>
  <si>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</si>
  <si>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</si>
  <si>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</si>
  <si>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</si>
  <si>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</si>
  <si>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</si>
  <si>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</si>
  <si>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</si>
  <si>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</si>
  <si>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</si>
  <si>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</si>
  <si>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</si>
  <si>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</si>
  <si>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</si>
  <si>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</si>
  <si>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</si>
  <si>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</si>
  <si>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</si>
  <si>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</si>
  <si>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</si>
  <si>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</si>
  <si>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</si>
  <si>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</si>
  <si>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</si>
  <si>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</si>
  <si>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</si>
  <si>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</si>
  <si>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</si>
  <si>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</si>
  <si>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</si>
  <si>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</si>
  <si>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</si>
  <si>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</si>
  <si>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</si>
  <si>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</si>
  <si>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</si>
  <si>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</si>
  <si>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</si>
  <si>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</si>
  <si>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</si>
  <si>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</si>
  <si>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</si>
  <si>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</si>
  <si>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</si>
  <si>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</si>
  <si>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</si>
  <si>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</si>
  <si>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</si>
  <si>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</si>
  <si>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</si>
  <si>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</si>
  <si>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</si>
  <si>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</si>
  <si>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</si>
  <si>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</si>
  <si>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</si>
  <si>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</si>
  <si>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</si>
  <si>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</si>
  <si>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</si>
  <si>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</si>
  <si>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</si>
  <si>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</si>
  <si>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</si>
  <si>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</si>
  <si>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</si>
  <si>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</si>
  <si>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</si>
  <si>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</si>
  <si>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</si>
  <si>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</si>
  <si>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</si>
  <si>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</si>
  <si>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</si>
  <si>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</si>
  <si>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</si>
  <si>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</si>
  <si>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</si>
  <si>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</si>
  <si>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</si>
  <si>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</si>
  <si>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</si>
  <si>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</si>
  <si>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</si>
  <si>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</si>
  <si>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</si>
  <si>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</si>
  <si>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</si>
  <si>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</si>
  <si>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</si>
  <si>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</si>
  <si>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</si>
  <si>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</si>
  <si>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</si>
  <si>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</si>
  <si>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</si>
  <si>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</si>
  <si>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</si>
  <si>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</si>
  <si>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</si>
  <si>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</si>
  <si>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</si>
  <si>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</si>
  <si>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</si>
  <si>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</si>
  <si>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</si>
  <si>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</si>
  <si>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</si>
  <si>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</si>
  <si>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</si>
  <si>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</si>
  <si>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</si>
  <si>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</si>
  <si>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</si>
  <si>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</si>
  <si>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</si>
  <si>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</si>
  <si>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</si>
  <si>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</si>
  <si>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</si>
  <si>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</si>
  <si>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</si>
  <si>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</si>
  <si>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</si>
  <si>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</si>
  <si>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</si>
  <si>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</si>
  <si>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</si>
  <si>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</si>
  <si>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</si>
  <si>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</si>
  <si>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</si>
  <si>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</si>
  <si>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</si>
  <si>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</si>
  <si>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</si>
  <si>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</si>
  <si>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</si>
  <si>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</si>
  <si>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</si>
  <si>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</si>
  <si>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</si>
  <si>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</si>
  <si>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</si>
  <si>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</si>
  <si>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</si>
  <si>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</si>
  <si>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</si>
  <si>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</si>
  <si>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</si>
  <si>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</si>
  <si>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</si>
  <si>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</si>
  <si>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</si>
  <si>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</si>
  <si>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</si>
  <si>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</si>
  <si>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</si>
  <si>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</si>
  <si>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</si>
  <si>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</si>
  <si>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</si>
  <si>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</si>
  <si>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</si>
  <si>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</si>
  <si>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</si>
  <si>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</si>
  <si>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</si>
  <si>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</si>
  <si>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</si>
  <si>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</si>
  <si>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</si>
  <si>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</si>
  <si>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</si>
  <si>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</si>
  <si>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</si>
  <si>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</si>
  <si>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</si>
  <si>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</si>
  <si>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</si>
  <si>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</si>
  <si>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</si>
  <si>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</si>
  <si>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</si>
  <si>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</si>
  <si>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</si>
  <si>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</si>
  <si>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</si>
  <si>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</si>
  <si>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</si>
  <si>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</si>
  <si>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</si>
  <si>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</si>
  <si>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</si>
  <si>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</si>
  <si>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</si>
  <si>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</si>
  <si>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</si>
  <si>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</si>
  <si>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</si>
  <si>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</si>
  <si>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</si>
  <si>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</si>
  <si>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</si>
  <si>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</si>
  <si>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</si>
  <si>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</si>
  <si>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</si>
  <si>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</si>
  <si>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</si>
  <si>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</si>
  <si>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</si>
  <si>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</si>
  <si>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</si>
  <si>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</si>
  <si>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</si>
  <si>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</si>
  <si>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</si>
  <si>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</si>
  <si>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</si>
  <si>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</si>
  <si>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</si>
  <si>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</si>
  <si>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</si>
  <si>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</si>
  <si>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</si>
  <si>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</si>
  <si>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</si>
  <si>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</si>
  <si>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</si>
  <si>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</si>
  <si>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</si>
  <si>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</si>
  <si>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</si>
  <si>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</si>
  <si>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</si>
  <si>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</si>
  <si>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</si>
  <si>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</si>
  <si>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</si>
  <si>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</si>
  <si>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</si>
  <si>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</si>
  <si>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</si>
  <si>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</si>
  <si>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</si>
  <si>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</si>
  <si>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</si>
  <si>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</si>
  <si>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</si>
  <si>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</si>
  <si>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</si>
  <si>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</si>
  <si>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</si>
  <si>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</si>
  <si>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</si>
  <si>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</si>
  <si>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</si>
  <si>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</si>
  <si>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</si>
  <si>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</si>
  <si>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</si>
  <si>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jam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</si>
  <si>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</si>
  <si>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</si>
  <si>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</si>
  <si>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</si>
  <si>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</si>
  <si>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</si>
  <si>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</si>
  <si>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</si>
  <si>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</si>
  <si>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</si>
  <si>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</si>
  <si>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Juan Andrés Mezzera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</si>
  <si>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</si>
  <si>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</si>
  <si>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</si>
  <si>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</si>
  <si>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</si>
  <si>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</si>
  <si>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</si>
  <si>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</si>
  <si>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</si>
  <si>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</si>
  <si>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</si>
  <si>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</si>
  <si>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</si>
  <si>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</si>
  <si>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</si>
  <si>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</si>
  <si>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</si>
  <si>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</si>
  <si>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</si>
  <si>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</si>
  <si>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</si>
  <si>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</si>
  <si>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</si>
  <si>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</si>
  <si>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</si>
  <si>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</si>
  <si>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</si>
  <si>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</si>
  <si>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</si>
  <si>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</si>
  <si>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</si>
  <si>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</si>
  <si>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</si>
  <si>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</si>
  <si>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</si>
  <si>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</si>
  <si>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</si>
  <si>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</si>
  <si>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</si>
  <si>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</si>
  <si>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</si>
  <si>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</si>
  <si>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</si>
  <si>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</si>
  <si>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</si>
  <si>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</si>
  <si>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</si>
  <si>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</si>
  <si>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</si>
  <si>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</si>
  <si>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</si>
  <si>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</si>
  <si>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</si>
  <si>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</si>
  <si>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</si>
  <si>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</si>
  <si>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</si>
  <si>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</si>
  <si>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</si>
  <si>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</si>
  <si>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</si>
  <si>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</si>
  <si>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</si>
  <si>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</si>
  <si>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gs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</si>
  <si>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</si>
  <si>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</si>
  <si>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</si>
  <si>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</si>
  <si>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</si>
  <si>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</si>
  <si>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</si>
  <si>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</si>
  <si>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</si>
  <si>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</si>
  <si>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</si>
  <si>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</si>
  <si>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</si>
  <si>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</si>
  <si>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</si>
  <si>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</si>
  <si>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</si>
  <si>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</si>
  <si>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</si>
  <si>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</si>
  <si>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</si>
  <si>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</si>
  <si>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</si>
  <si>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</si>
  <si>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</si>
  <si>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</si>
  <si>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</si>
  <si>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</si>
  <si>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</si>
  <si>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</si>
  <si>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</si>
  <si>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</si>
  <si>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</si>
  <si>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Hugo Carrasco</t>
  </si>
  <si>
    <t>hc</t>
  </si>
  <si>
    <t>Martín Kasek</t>
  </si>
  <si>
    <t>mk</t>
  </si>
  <si>
    <t>EA/MInv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</si>
  <si>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</si>
  <si>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</si>
  <si>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</si>
  <si>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</si>
  <si>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</si>
  <si>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</si>
  <si>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</si>
  <si>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</si>
  <si>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</si>
  <si>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</si>
  <si>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</si>
  <si>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</si>
  <si>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</si>
  <si>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</si>
  <si>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</si>
  <si>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</si>
  <si>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Grupos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</si>
  <si>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</si>
  <si>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</si>
  <si>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</si>
  <si>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</si>
  <si>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</si>
  <si>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</si>
  <si>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</si>
  <si>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</si>
  <si>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</si>
  <si>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</si>
  <si>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</si>
  <si>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</si>
  <si>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</si>
  <si>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</si>
  <si>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</si>
  <si>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</si>
  <si>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</si>
  <si>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</si>
  <si>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</si>
  <si>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</si>
  <si>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</si>
  <si>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</si>
  <si>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</si>
  <si>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IO[gs]</t>
  </si>
  <si>
    <t>EG[icc2]</t>
  </si>
  <si>
    <t>Hid[mpi,sp]</t>
  </si>
  <si>
    <t>RM2[ar]</t>
  </si>
  <si>
    <t>ETec[mr]</t>
  </si>
  <si>
    <t>ITerm[ar]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</si>
  <si>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</si>
  <si>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</si>
  <si>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</si>
  <si>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</si>
  <si>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</si>
  <si>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</si>
  <si>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</si>
  <si>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</si>
  <si>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</si>
  <si>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</si>
  <si>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</si>
  <si>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</si>
  <si>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</si>
  <si>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</si>
  <si>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Prog1[kb]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</si>
  <si>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</si>
  <si>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</si>
  <si>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</si>
  <si>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</si>
  <si>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</si>
  <si>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</si>
  <si>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</si>
  <si>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</si>
  <si>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</si>
  <si>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</si>
  <si>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</si>
  <si>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</si>
  <si>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</si>
  <si>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</si>
  <si>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</si>
  <si>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</si>
  <si>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</si>
  <si>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</si>
  <si>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</si>
  <si>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</si>
  <si>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</si>
  <si>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</si>
  <si>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</si>
  <si>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</si>
  <si>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</si>
  <si>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</si>
  <si>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</si>
  <si>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</si>
  <si>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</si>
  <si>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</si>
  <si>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</si>
  <si>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</si>
  <si>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</si>
  <si>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</si>
  <si>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</si>
  <si>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</si>
  <si>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</si>
  <si>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</si>
  <si>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</si>
  <si>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</si>
  <si>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</si>
  <si>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</si>
  <si>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</si>
  <si>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</si>
  <si>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</si>
  <si>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</si>
  <si>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</si>
  <si>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</si>
  <si>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</si>
  <si>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SD[dc]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</si>
  <si>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</si>
  <si>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</si>
  <si>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</si>
  <si>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</si>
  <si>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</si>
  <si>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</si>
  <si>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</si>
  <si>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</si>
  <si>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</si>
  <si>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</si>
  <si>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</si>
  <si>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</si>
  <si>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</si>
  <si>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</si>
  <si>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</si>
  <si>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</si>
  <si>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</si>
  <si>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</si>
  <si>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</si>
  <si>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</si>
  <si>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1ero + 2do + 3ero</t>
  </si>
  <si>
    <t>David Fontáns</t>
  </si>
  <si>
    <t>dias no consecutivos SyMH</t>
  </si>
  <si>
    <t>Héctor Tosar</t>
  </si>
  <si>
    <t>ht</t>
  </si>
  <si>
    <t>no es posible evitar dias consecutivos</t>
  </si>
  <si>
    <t>falta disponibilidad en la tarde</t>
  </si>
  <si>
    <t>falta disponibilidad en la mañana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</si>
  <si>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</si>
  <si>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</si>
  <si>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</si>
  <si>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</si>
  <si>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</si>
  <si>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</si>
  <si>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</si>
  <si>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</si>
  <si>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</si>
  <si>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</si>
  <si>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</si>
  <si>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</si>
  <si>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</si>
  <si>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</si>
  <si>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</si>
  <si>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</si>
  <si>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</si>
  <si>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</si>
  <si>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</si>
  <si>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</si>
  <si>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tic6</t>
  </si>
  <si>
    <t>pinv</t>
  </si>
  <si>
    <t>sdt</t>
  </si>
  <si>
    <t>GSInf</t>
  </si>
  <si>
    <t>3x3 + 6x2 + 1</t>
  </si>
  <si>
    <t>Año:  5</t>
  </si>
  <si>
    <t xml:space="preserve"> Grupo:  5CIV</t>
  </si>
  <si>
    <t>PInv[md]</t>
  </si>
  <si>
    <t>DPav[df]/DisEst[ep]</t>
  </si>
  <si>
    <t>DPav[df]/DisEst[ep]/AgroN[fr]</t>
  </si>
  <si>
    <t>DIPyU[sp]</t>
  </si>
  <si>
    <t>Puentes[ar]/AgroN[fr]</t>
  </si>
  <si>
    <t>Puentes[ar]</t>
  </si>
  <si>
    <t>IngSan2[jm]</t>
  </si>
  <si>
    <t>IngTran[an]</t>
  </si>
  <si>
    <t>EstMM[gp]</t>
  </si>
  <si>
    <t xml:space="preserve"> Grupo:  5IND</t>
  </si>
  <si>
    <t>DEMaq[ok]</t>
  </si>
  <si>
    <t>InstEl[]</t>
  </si>
  <si>
    <t>AgroN[fr]</t>
  </si>
  <si>
    <t>Maq3[mc,ht]</t>
  </si>
  <si>
    <t>ACInd[jmi]</t>
  </si>
  <si>
    <t>AgroN[fr]/TecFP[fb]</t>
  </si>
  <si>
    <t>TecFP[fb]</t>
  </si>
  <si>
    <t>MotCI[adc]</t>
  </si>
  <si>
    <t xml:space="preserve"> Grupo:  5TEL</t>
  </si>
  <si>
    <t>UIUX[]</t>
  </si>
  <si>
    <t>QC[lg]</t>
  </si>
  <si>
    <t>TIC6[dd,ns,jam]</t>
  </si>
  <si>
    <t>QC[lg]/AgroN[fr]</t>
  </si>
  <si>
    <t>TestQA[]</t>
  </si>
  <si>
    <t>SdT[jpi]</t>
  </si>
  <si>
    <t>AgroN[fr]/ApMov[gg]</t>
  </si>
  <si>
    <t>RPA[mg]</t>
  </si>
  <si>
    <t>PInv[mre]</t>
  </si>
  <si>
    <t>ApMov[gg]</t>
  </si>
  <si>
    <t>BPMN[jds]</t>
  </si>
  <si>
    <t>RPA[ma]</t>
  </si>
  <si>
    <t xml:space="preserve"> Grupo:  5INF</t>
  </si>
  <si>
    <t>SegInf[gdo,cm]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</si>
</sst>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11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0" fontId="1" fillId="3" borderId="7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20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9" fillId="0" borderId="0" xfId="0" applyFont="1"/>
    <xf numFmtId="9" fontId="1" fillId="0" borderId="0" xfId="2" applyFont="1"/>
    <xf numFmtId="1" fontId="1" fillId="0" borderId="0" xfId="0" applyNumberFormat="1" applyFont="1"/>
    <xf numFmtId="0" fontId="1" fillId="7" borderId="2" xfId="0" applyFont="1" applyFill="1" applyBorder="1" applyAlignment="1">
      <alignment vertical="center" wrapText="1"/>
    </xf>
    <xf numFmtId="0" fontId="0" fillId="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0" fillId="7" borderId="0" xfId="0" applyFill="1"/>
    <xf numFmtId="0" fontId="1" fillId="12" borderId="4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center"/>
    </xf>
    <xf numFmtId="0" fontId="4" fillId="0" borderId="15" xfId="0" applyFont="1" applyBorder="1" applyAlignment="1">
      <alignment vertical="center" wrapText="1"/>
    </xf>
    <xf numFmtId="0" fontId="4" fillId="2" borderId="15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10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1" fillId="7" borderId="8" xfId="0" applyFont="1" applyFill="1" applyBorder="1" applyAlignment="1">
      <alignment vertical="center" wrapText="1"/>
    </xf>
    <xf numFmtId="0" fontId="0" fillId="7" borderId="0" xfId="0" applyFill="1" applyAlignment="1">
      <alignment horizontal="right"/>
    </xf>
    <xf numFmtId="0" fontId="1" fillId="7" borderId="7" xfId="0" applyFont="1" applyFill="1" applyBorder="1" applyAlignment="1">
      <alignment vertical="center" wrapText="1"/>
    </xf>
    <xf numFmtId="0" fontId="4" fillId="13" borderId="15" xfId="0" applyFont="1" applyFill="1" applyBorder="1" applyAlignment="1">
      <alignment horizontal="center" vertical="center" wrapText="1"/>
    </xf>
    <xf numFmtId="0" fontId="4" fillId="14" borderId="15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1" fillId="0" borderId="2" xfId="0" applyFont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vertical="center" wrapText="1"/>
    </xf>
    <xf numFmtId="0" fontId="7" fillId="2" borderId="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vertical="center"/>
    </xf>
    <xf numFmtId="0" fontId="1" fillId="8" borderId="4" xfId="0" applyFont="1" applyFill="1" applyBorder="1" applyAlignment="1">
      <alignment vertical="center"/>
    </xf>
    <xf numFmtId="0" fontId="1" fillId="2" borderId="14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11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eetMetadata" Target="metadata.xml"/><Relationship Id="rId11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64" totalsRowShown="0" headerRowDxfId="49" dataDxfId="47" headerRowBorderDxfId="48" tableBorderDxfId="46">
  <autoFilter ref="A1:P164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5" totalsRowShown="0" headerRowDxfId="29" tableBorderDxfId="28">
  <autoFilter ref="A1:M105" xr:uid="{E74893D1-0573-42A8-87FD-99C77B57B53D}"/>
  <sortState xmlns:xlrd2="http://schemas.microsoft.com/office/spreadsheetml/2017/richdata2" ref="A2:M105">
    <sortCondition ref="B1:B105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1" totalsRowShown="0" headerRowDxfId="14" dataDxfId="13">
  <autoFilter ref="A1:H31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90" dT="2024-11-12T01:16:26.12" personId="{622B8679-81F9-4BA5-BCED-D56836D70B26}" id="{E305D736-F39F-4E1E-A13A-4BD60EAC2C9E}">
    <text>Separar teorico y practico</text>
  </threadedComment>
  <threadedComment ref="B130" dT="2024-11-08T23:30:24.77" personId="{622B8679-81F9-4BA5-BCED-D56836D70B26}" id="{4B61C5F6-EDAC-4526-92C9-219FB8C0EC39}">
    <text>Poca disponibilidad</text>
  </threadedComment>
  <threadedComment ref="B131" dT="2024-11-08T23:30:24.77" personId="{622B8679-81F9-4BA5-BCED-D56836D70B26}" id="{593D5C6E-D2C6-4948-A243-89725A7C0F64}">
    <text>Poca disponibilidad</text>
  </threadedComment>
  <threadedComment ref="G133" dT="2024-11-08T23:25:17.20" personId="{622B8679-81F9-4BA5-BCED-D56836D70B26}" id="{4C163CC1-E3EC-482F-B92B-53B8FA7D17E9}">
    <text>Disponibilidad exacta (3h lunes)</text>
  </threadedComment>
  <threadedComment ref="B138" dT="2024-11-08T23:08:53.56" personId="{622B8679-81F9-4BA5-BCED-D56836D70B26}" id="{9C8A45CC-305C-4B73-ADD0-1D5F4446221C}">
    <text>Poca disponibilidad, horas muy ajustadas</text>
  </threadedComment>
  <threadedComment ref="A140" dT="2024-10-31T21:33:35.55" personId="{622B8679-81F9-4BA5-BCED-D56836D70B26}" id="{3903D1ED-8C07-4604-A79B-8FAED12C8445}">
    <text>4to y 5to?</text>
  </threadedComment>
  <threadedComment ref="K143" dT="2024-11-13T06:46:21.80" personId="{622B8679-81F9-4BA5-BCED-D56836D70B26}" id="{633ECC65-4868-470C-AB28-AD6E7CB13EF0}">
    <text>NO HAY DISPONIBILIDAD HORARIA</text>
  </threadedComment>
  <threadedComment ref="B146" dT="2024-11-12T13:55:29.10" personId="{622B8679-81F9-4BA5-BCED-D56836D70B26}" id="{B0F64D09-F8B5-43AB-B2BE-149D3AD62FD0}">
    <text>Disponibilidad limitada</text>
  </threadedComment>
  <threadedComment ref="A161" dT="2024-11-12T21:16:39.46" personId="{622B8679-81F9-4BA5-BCED-D56836D70B26}" id="{3F2F498E-DF42-48E4-898E-460B5A9299C8}">
    <text>Chequear cantidad de grupos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I164"/>
  <sheetViews>
    <sheetView zoomScale="90" zoomScaleNormal="90" workbookViewId="0">
      <pane ySplit="1" topLeftCell="A137" activePane="bottomLeft" state="frozen"/>
      <selection pane="bottomLeft" activeCell="U155" sqref="U155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5" ht="30.6" customHeight="1" thickBot="1" x14ac:dyDescent="0.35">
      <c r="A1" s="4" t="s">
        <v>4</v>
      </c>
      <c r="B1" s="4" t="s">
        <v>1</v>
      </c>
      <c r="C1" s="9" t="s">
        <v>5</v>
      </c>
      <c r="D1" s="22" t="s">
        <v>277</v>
      </c>
      <c r="E1" s="22" t="s">
        <v>280</v>
      </c>
      <c r="F1" s="31" t="s">
        <v>55</v>
      </c>
      <c r="G1" s="22" t="s">
        <v>35</v>
      </c>
      <c r="H1" s="9" t="s">
        <v>36</v>
      </c>
      <c r="I1" s="9" t="s">
        <v>37</v>
      </c>
      <c r="J1" s="4" t="s">
        <v>38</v>
      </c>
      <c r="K1" s="22" t="s">
        <v>39</v>
      </c>
      <c r="L1" s="9" t="s">
        <v>40</v>
      </c>
      <c r="M1" s="9" t="s">
        <v>41</v>
      </c>
      <c r="N1" s="9" t="s">
        <v>265</v>
      </c>
      <c r="O1" s="4" t="s">
        <v>266</v>
      </c>
      <c r="P1" s="25" t="s">
        <v>161</v>
      </c>
    </row>
    <row r="2" spans="1:35" ht="15" thickBot="1" x14ac:dyDescent="0.35">
      <c r="A2" s="2" t="s">
        <v>243</v>
      </c>
      <c r="B2" s="2">
        <v>6</v>
      </c>
      <c r="C2" s="8">
        <v>2</v>
      </c>
      <c r="D2" s="10"/>
      <c r="E2" s="10"/>
      <c r="F2" s="32">
        <v>1</v>
      </c>
      <c r="G2" s="10" t="s">
        <v>15</v>
      </c>
      <c r="H2" s="8"/>
      <c r="I2" s="8"/>
      <c r="J2" s="2"/>
      <c r="K2" s="8" t="s">
        <v>258</v>
      </c>
      <c r="L2" s="8"/>
      <c r="M2" s="8"/>
      <c r="N2" s="8"/>
      <c r="O2" s="2"/>
      <c r="P2" s="24"/>
    </row>
    <row r="3" spans="1:35" ht="15" thickBot="1" x14ac:dyDescent="0.35">
      <c r="A3" s="2" t="s">
        <v>244</v>
      </c>
      <c r="B3" s="2">
        <v>5</v>
      </c>
      <c r="C3" s="8">
        <v>2</v>
      </c>
      <c r="D3" s="10" t="s">
        <v>278</v>
      </c>
      <c r="E3" s="10"/>
      <c r="F3" s="10">
        <v>1</v>
      </c>
      <c r="G3" s="10" t="s">
        <v>247</v>
      </c>
      <c r="H3" s="8"/>
      <c r="I3" s="8"/>
      <c r="J3" s="2"/>
      <c r="K3" s="8" t="s">
        <v>258</v>
      </c>
      <c r="L3" s="8"/>
      <c r="M3" s="8"/>
      <c r="N3" s="8"/>
      <c r="O3" s="2"/>
      <c r="P3" s="101"/>
      <c r="T3" s="5" t="s">
        <v>239</v>
      </c>
      <c r="X3" s="5" t="s">
        <v>241</v>
      </c>
    </row>
    <row r="4" spans="1:35" ht="15" thickBot="1" x14ac:dyDescent="0.35">
      <c r="A4" s="102" t="s">
        <v>245</v>
      </c>
      <c r="B4" s="102">
        <v>2</v>
      </c>
      <c r="C4" s="103">
        <v>1</v>
      </c>
      <c r="D4" s="32" t="s">
        <v>279</v>
      </c>
      <c r="E4" s="32"/>
      <c r="F4" s="32">
        <v>1</v>
      </c>
      <c r="G4" s="32" t="s">
        <v>250</v>
      </c>
      <c r="H4" s="103"/>
      <c r="I4" s="103"/>
      <c r="J4" s="102"/>
      <c r="K4" s="103" t="s">
        <v>258</v>
      </c>
      <c r="L4" s="103"/>
      <c r="M4" s="103"/>
      <c r="N4" s="103"/>
      <c r="O4" s="102"/>
      <c r="P4" s="104"/>
      <c r="T4" s="5">
        <v>0</v>
      </c>
      <c r="U4" s="5">
        <f>COUNTIF($F$2:$F$164,T4)</f>
        <v>7</v>
      </c>
      <c r="X4" s="5">
        <v>1</v>
      </c>
      <c r="Y4" s="5">
        <f t="shared" ref="Y4:Y10" si="0">COUNTIF($B$2:$B$2,X4)</f>
        <v>0</v>
      </c>
    </row>
    <row r="5" spans="1:35" ht="15" thickBot="1" x14ac:dyDescent="0.35">
      <c r="A5" s="4" t="s">
        <v>251</v>
      </c>
      <c r="B5" s="4">
        <v>4</v>
      </c>
      <c r="C5" s="8">
        <v>2</v>
      </c>
      <c r="D5" s="10"/>
      <c r="E5" s="10"/>
      <c r="F5" s="10">
        <v>1</v>
      </c>
      <c r="G5" s="10" t="s">
        <v>252</v>
      </c>
      <c r="H5" s="8"/>
      <c r="I5" s="8"/>
      <c r="J5" s="2"/>
      <c r="K5" s="8" t="s">
        <v>258</v>
      </c>
      <c r="L5" s="8"/>
      <c r="M5" s="8"/>
      <c r="N5" s="8"/>
      <c r="O5" s="2"/>
      <c r="P5" s="105"/>
      <c r="T5" s="5">
        <v>1</v>
      </c>
      <c r="U5" s="5">
        <f>COUNTIF($F$2:$F$164,T5)</f>
        <v>134</v>
      </c>
      <c r="X5" s="5">
        <v>2</v>
      </c>
      <c r="Y5" s="5">
        <f t="shared" si="0"/>
        <v>0</v>
      </c>
      <c r="AC5" s="68"/>
      <c r="AD5" s="68"/>
      <c r="AE5" s="68"/>
    </row>
    <row r="6" spans="1:35" ht="15" thickBot="1" x14ac:dyDescent="0.35">
      <c r="A6" s="106" t="s">
        <v>254</v>
      </c>
      <c r="B6" s="106">
        <v>4</v>
      </c>
      <c r="C6" s="103">
        <v>2</v>
      </c>
      <c r="D6" s="32"/>
      <c r="E6" s="32"/>
      <c r="F6" s="32">
        <v>1</v>
      </c>
      <c r="G6" s="32" t="s">
        <v>256</v>
      </c>
      <c r="H6" s="103"/>
      <c r="I6" s="103"/>
      <c r="J6" s="102"/>
      <c r="K6" s="103" t="s">
        <v>258</v>
      </c>
      <c r="L6" s="103"/>
      <c r="M6" s="103"/>
      <c r="N6" s="103"/>
      <c r="O6" s="102"/>
      <c r="P6" s="107"/>
      <c r="T6" s="5">
        <v>2</v>
      </c>
      <c r="U6" s="5">
        <f>COUNTIF($F$2:$F$164,T6)</f>
        <v>10</v>
      </c>
      <c r="X6" s="5">
        <v>3</v>
      </c>
      <c r="Y6" s="5">
        <f t="shared" si="0"/>
        <v>0</v>
      </c>
      <c r="AC6" s="68"/>
      <c r="AD6" s="68"/>
      <c r="AE6" s="68"/>
      <c r="AH6" s="69"/>
      <c r="AI6" s="70"/>
    </row>
    <row r="7" spans="1:35" ht="15" thickBot="1" x14ac:dyDescent="0.35">
      <c r="A7" s="4" t="s">
        <v>257</v>
      </c>
      <c r="B7" s="4">
        <v>5</v>
      </c>
      <c r="C7" s="8">
        <v>2</v>
      </c>
      <c r="D7" s="10"/>
      <c r="E7" s="10"/>
      <c r="F7" s="10">
        <v>1</v>
      </c>
      <c r="G7" s="10" t="s">
        <v>247</v>
      </c>
      <c r="H7" s="8"/>
      <c r="I7" s="8"/>
      <c r="J7" s="2"/>
      <c r="K7" s="8" t="s">
        <v>260</v>
      </c>
      <c r="L7" s="8"/>
      <c r="M7" s="8"/>
      <c r="N7" s="8"/>
      <c r="O7" s="2"/>
      <c r="P7" s="105"/>
      <c r="T7" s="5">
        <v>3</v>
      </c>
      <c r="U7" s="5">
        <f>COUNTIF($F$2:$F$164,T7)</f>
        <v>4</v>
      </c>
      <c r="X7" s="5">
        <v>4</v>
      </c>
      <c r="Y7" s="5">
        <f t="shared" si="0"/>
        <v>0</v>
      </c>
      <c r="AC7" s="68"/>
      <c r="AD7" s="68"/>
      <c r="AE7" s="68"/>
      <c r="AH7" s="69"/>
      <c r="AI7" s="70"/>
    </row>
    <row r="8" spans="1:35" ht="15" thickBot="1" x14ac:dyDescent="0.35">
      <c r="A8" s="106" t="s">
        <v>79</v>
      </c>
      <c r="B8" s="106">
        <v>5</v>
      </c>
      <c r="C8" s="108">
        <v>2</v>
      </c>
      <c r="D8" s="32"/>
      <c r="E8" s="32"/>
      <c r="F8" s="32">
        <v>3</v>
      </c>
      <c r="G8" s="32" t="s">
        <v>74</v>
      </c>
      <c r="H8" s="103" t="s">
        <v>64</v>
      </c>
      <c r="I8" s="103" t="s">
        <v>80</v>
      </c>
      <c r="J8" s="102"/>
      <c r="K8" s="103" t="s">
        <v>260</v>
      </c>
      <c r="L8" s="103"/>
      <c r="M8" s="103"/>
      <c r="N8" s="103"/>
      <c r="O8" s="102"/>
      <c r="P8" s="107"/>
      <c r="T8" s="5">
        <v>4</v>
      </c>
      <c r="U8" s="5">
        <f>COUNTIF($F$2:$F$164,T8)</f>
        <v>0</v>
      </c>
      <c r="X8" s="5">
        <v>5</v>
      </c>
      <c r="Y8" s="5">
        <f t="shared" si="0"/>
        <v>0</v>
      </c>
      <c r="AC8" s="68"/>
      <c r="AD8" s="68"/>
      <c r="AE8" s="68"/>
      <c r="AH8" s="69"/>
      <c r="AI8" s="70"/>
    </row>
    <row r="9" spans="1:35" ht="15" thickBot="1" x14ac:dyDescent="0.35">
      <c r="A9" s="4" t="s">
        <v>259</v>
      </c>
      <c r="B9" s="4">
        <v>5</v>
      </c>
      <c r="C9" s="9">
        <v>2</v>
      </c>
      <c r="D9" s="10"/>
      <c r="E9" s="10"/>
      <c r="F9" s="10">
        <v>1</v>
      </c>
      <c r="G9" s="10" t="s">
        <v>63</v>
      </c>
      <c r="H9" s="8"/>
      <c r="I9" s="8"/>
      <c r="J9" s="2"/>
      <c r="K9" s="8" t="s">
        <v>260</v>
      </c>
      <c r="L9" s="8"/>
      <c r="M9" s="8"/>
      <c r="N9" s="8"/>
      <c r="O9" s="2"/>
      <c r="P9" s="105"/>
      <c r="X9" s="5">
        <v>6</v>
      </c>
      <c r="Y9" s="5">
        <f t="shared" si="0"/>
        <v>1</v>
      </c>
      <c r="AC9" s="68"/>
      <c r="AD9" s="68"/>
      <c r="AE9" s="68"/>
      <c r="AH9" s="69"/>
      <c r="AI9" s="70"/>
    </row>
    <row r="10" spans="1:35" ht="15" thickBot="1" x14ac:dyDescent="0.35">
      <c r="A10" s="106" t="s">
        <v>102</v>
      </c>
      <c r="B10" s="106">
        <v>5</v>
      </c>
      <c r="C10" s="108">
        <v>2</v>
      </c>
      <c r="D10" s="32"/>
      <c r="E10" s="32"/>
      <c r="F10" s="32">
        <v>1</v>
      </c>
      <c r="G10" s="32" t="s">
        <v>43</v>
      </c>
      <c r="H10" s="103"/>
      <c r="I10" s="103"/>
      <c r="J10" s="102"/>
      <c r="K10" s="103" t="s">
        <v>260</v>
      </c>
      <c r="L10" s="103"/>
      <c r="M10" s="103"/>
      <c r="N10" s="103"/>
      <c r="O10" s="102"/>
      <c r="P10" s="107"/>
      <c r="U10" s="5" cm="1">
        <f t="array" ref="U10">SUM(T4:T8*U4:U8)</f>
        <v>166</v>
      </c>
      <c r="X10" s="5">
        <v>7</v>
      </c>
      <c r="Y10" s="5">
        <f t="shared" si="0"/>
        <v>0</v>
      </c>
      <c r="AC10" s="68"/>
      <c r="AD10" s="68"/>
      <c r="AE10" s="68"/>
      <c r="AH10" s="69"/>
      <c r="AI10" s="70"/>
    </row>
    <row r="11" spans="1:35" ht="15" thickBot="1" x14ac:dyDescent="0.35">
      <c r="A11" s="4" t="s">
        <v>261</v>
      </c>
      <c r="B11" s="4">
        <v>3</v>
      </c>
      <c r="C11" s="9">
        <v>2</v>
      </c>
      <c r="D11" s="10"/>
      <c r="E11" s="10"/>
      <c r="F11" s="10">
        <v>1</v>
      </c>
      <c r="G11" s="67" t="s">
        <v>497</v>
      </c>
      <c r="H11" s="8"/>
      <c r="I11" s="8"/>
      <c r="J11" s="2"/>
      <c r="K11" s="8" t="s">
        <v>260</v>
      </c>
      <c r="L11" s="8"/>
      <c r="M11" s="8"/>
      <c r="N11" s="8"/>
      <c r="O11" s="2"/>
      <c r="P11" s="105"/>
      <c r="AB11" s="52" t="s">
        <v>453</v>
      </c>
      <c r="AC11" s="52" t="s">
        <v>454</v>
      </c>
      <c r="AD11" s="52" t="s">
        <v>359</v>
      </c>
      <c r="AE11" s="52" t="s">
        <v>455</v>
      </c>
      <c r="AF11" s="52" t="s">
        <v>456</v>
      </c>
    </row>
    <row r="12" spans="1:35" ht="15" thickBot="1" x14ac:dyDescent="0.35">
      <c r="A12" s="106" t="s">
        <v>91</v>
      </c>
      <c r="B12" s="106">
        <v>4</v>
      </c>
      <c r="C12" s="108">
        <v>2</v>
      </c>
      <c r="D12" s="32"/>
      <c r="E12" s="32"/>
      <c r="F12" s="32">
        <v>1</v>
      </c>
      <c r="G12" s="32" t="s">
        <v>66</v>
      </c>
      <c r="H12" s="103"/>
      <c r="I12" s="103"/>
      <c r="J12" s="102"/>
      <c r="K12" s="103" t="s">
        <v>263</v>
      </c>
      <c r="L12" s="103"/>
      <c r="M12" s="103"/>
      <c r="N12" s="103"/>
      <c r="O12" s="102"/>
      <c r="P12" s="107"/>
      <c r="Y12" s="5" cm="1">
        <f t="array" ref="Y12">SUM(X4:X10*Y4:Y10)</f>
        <v>6</v>
      </c>
      <c r="AB12" s="52">
        <v>3</v>
      </c>
      <c r="AC12" s="52">
        <v>3</v>
      </c>
      <c r="AD12" s="52">
        <v>3</v>
      </c>
      <c r="AE12" s="52">
        <v>2</v>
      </c>
      <c r="AF12" s="52">
        <v>2</v>
      </c>
    </row>
    <row r="13" spans="1:35" ht="15" thickBot="1" x14ac:dyDescent="0.35">
      <c r="A13" s="4" t="s">
        <v>262</v>
      </c>
      <c r="B13" s="4">
        <v>3</v>
      </c>
      <c r="C13" s="9">
        <v>2</v>
      </c>
      <c r="D13" s="10"/>
      <c r="E13" s="10"/>
      <c r="F13" s="10">
        <v>1</v>
      </c>
      <c r="G13" s="67" t="s">
        <v>508</v>
      </c>
      <c r="H13" s="75" t="s">
        <v>510</v>
      </c>
      <c r="I13" s="8"/>
      <c r="J13" s="2"/>
      <c r="K13" s="8" t="s">
        <v>263</v>
      </c>
      <c r="L13" s="8"/>
      <c r="M13" s="8"/>
      <c r="N13" s="8"/>
      <c r="O13" s="2"/>
      <c r="P13" s="105"/>
      <c r="S13" s="5" t="s">
        <v>512</v>
      </c>
      <c r="V13"/>
      <c r="AB13" s="52">
        <v>2</v>
      </c>
      <c r="AC13" s="52">
        <v>2</v>
      </c>
      <c r="AD13" s="5">
        <v>2</v>
      </c>
      <c r="AE13" s="52">
        <v>2</v>
      </c>
    </row>
    <row r="14" spans="1:35" ht="15" thickBot="1" x14ac:dyDescent="0.35">
      <c r="A14" s="106" t="s">
        <v>95</v>
      </c>
      <c r="B14" s="106">
        <v>4</v>
      </c>
      <c r="C14" s="108">
        <v>2</v>
      </c>
      <c r="D14" s="32"/>
      <c r="E14" s="32"/>
      <c r="F14" s="32">
        <v>1</v>
      </c>
      <c r="G14" s="32" t="s">
        <v>264</v>
      </c>
      <c r="H14" s="103"/>
      <c r="I14" s="103"/>
      <c r="J14" s="102"/>
      <c r="K14" s="103" t="s">
        <v>263</v>
      </c>
      <c r="L14" s="103"/>
      <c r="M14" s="103"/>
      <c r="N14" s="103"/>
      <c r="O14" s="102"/>
      <c r="P14" s="107"/>
      <c r="S14" s="5" t="s">
        <v>271</v>
      </c>
      <c r="T14" s="5" t="s">
        <v>448</v>
      </c>
      <c r="U14" s="5">
        <v>4</v>
      </c>
      <c r="V14"/>
      <c r="AE14" s="52">
        <v>1</v>
      </c>
    </row>
    <row r="15" spans="1:35" ht="15" thickBot="1" x14ac:dyDescent="0.35">
      <c r="A15" s="4" t="s">
        <v>90</v>
      </c>
      <c r="B15" s="4">
        <v>5</v>
      </c>
      <c r="C15" s="9">
        <v>2</v>
      </c>
      <c r="D15" s="10"/>
      <c r="E15" s="10"/>
      <c r="F15" s="10">
        <v>2</v>
      </c>
      <c r="G15" s="10" t="s">
        <v>65</v>
      </c>
      <c r="H15" s="8" t="s">
        <v>521</v>
      </c>
      <c r="I15" s="8"/>
      <c r="J15" s="2"/>
      <c r="K15" s="8" t="s">
        <v>263</v>
      </c>
      <c r="L15" s="8"/>
      <c r="M15" s="8"/>
      <c r="N15" s="8"/>
      <c r="O15" s="2"/>
      <c r="P15" s="105"/>
      <c r="S15" s="5" t="s">
        <v>274</v>
      </c>
      <c r="T15" s="5" t="s">
        <v>449</v>
      </c>
      <c r="U15" s="5">
        <v>5</v>
      </c>
      <c r="V15"/>
    </row>
    <row r="16" spans="1:35" ht="15" thickBot="1" x14ac:dyDescent="0.35">
      <c r="A16" s="106" t="s">
        <v>77</v>
      </c>
      <c r="B16" s="76">
        <v>2</v>
      </c>
      <c r="C16" s="77">
        <v>1</v>
      </c>
      <c r="D16" s="32"/>
      <c r="E16" s="32"/>
      <c r="F16" s="32">
        <v>1</v>
      </c>
      <c r="G16" s="32" t="s">
        <v>179</v>
      </c>
      <c r="H16" s="103"/>
      <c r="I16" s="103"/>
      <c r="J16" s="102"/>
      <c r="K16" s="103" t="s">
        <v>263</v>
      </c>
      <c r="L16" s="103"/>
      <c r="M16" s="103"/>
      <c r="N16" s="103"/>
      <c r="O16" s="102"/>
      <c r="P16" s="107" t="s">
        <v>511</v>
      </c>
      <c r="S16" s="5" t="s">
        <v>92</v>
      </c>
      <c r="T16" s="5">
        <v>3</v>
      </c>
      <c r="U16" s="5">
        <v>3</v>
      </c>
      <c r="V16"/>
    </row>
    <row r="17" spans="1:22" ht="15" thickBot="1" x14ac:dyDescent="0.35">
      <c r="A17" s="4" t="s">
        <v>77</v>
      </c>
      <c r="B17" s="76">
        <v>2</v>
      </c>
      <c r="C17" s="77">
        <v>1</v>
      </c>
      <c r="D17" s="10"/>
      <c r="E17" s="10"/>
      <c r="F17" s="10">
        <v>1</v>
      </c>
      <c r="G17" s="10" t="s">
        <v>400</v>
      </c>
      <c r="H17" s="8"/>
      <c r="I17" s="8"/>
      <c r="J17" s="2"/>
      <c r="K17" s="8" t="s">
        <v>263</v>
      </c>
      <c r="L17" s="8"/>
      <c r="M17" s="8"/>
      <c r="N17" s="8"/>
      <c r="O17" s="2"/>
      <c r="P17" s="105" t="s">
        <v>511</v>
      </c>
      <c r="S17" s="5" t="s">
        <v>276</v>
      </c>
      <c r="T17" s="5" t="s">
        <v>547</v>
      </c>
      <c r="U17" s="5">
        <v>3</v>
      </c>
      <c r="V17"/>
    </row>
    <row r="18" spans="1:22" ht="15" thickBot="1" x14ac:dyDescent="0.35">
      <c r="A18" s="106" t="s">
        <v>271</v>
      </c>
      <c r="B18" s="106">
        <v>4</v>
      </c>
      <c r="C18" s="108">
        <v>2</v>
      </c>
      <c r="D18" s="32"/>
      <c r="E18" s="32"/>
      <c r="F18" s="32">
        <v>1</v>
      </c>
      <c r="G18" s="32" t="s">
        <v>423</v>
      </c>
      <c r="H18" s="103"/>
      <c r="I18" s="103"/>
      <c r="J18" s="102"/>
      <c r="K18" s="103" t="s">
        <v>512</v>
      </c>
      <c r="L18" s="103"/>
      <c r="M18" s="103"/>
      <c r="N18" s="103"/>
      <c r="O18" s="102"/>
      <c r="P18" s="107"/>
      <c r="S18" s="5" t="s">
        <v>281</v>
      </c>
      <c r="T18" s="5" t="s">
        <v>448</v>
      </c>
      <c r="U18" s="5">
        <v>4</v>
      </c>
    </row>
    <row r="19" spans="1:22" ht="15" thickBot="1" x14ac:dyDescent="0.35">
      <c r="A19" s="4" t="s">
        <v>274</v>
      </c>
      <c r="B19" s="4">
        <v>5</v>
      </c>
      <c r="C19" s="9">
        <v>2</v>
      </c>
      <c r="D19" s="10"/>
      <c r="E19" s="10"/>
      <c r="F19" s="10">
        <v>1</v>
      </c>
      <c r="G19" s="10" t="s">
        <v>252</v>
      </c>
      <c r="H19" s="8"/>
      <c r="I19" s="8"/>
      <c r="J19" s="2"/>
      <c r="K19" s="8" t="s">
        <v>512</v>
      </c>
      <c r="L19" s="8"/>
      <c r="M19" s="8"/>
      <c r="N19" s="8"/>
      <c r="O19" s="2"/>
      <c r="P19" s="105"/>
      <c r="S19" s="5" t="s">
        <v>282</v>
      </c>
      <c r="T19" s="5">
        <v>3</v>
      </c>
      <c r="U19" s="5">
        <v>3</v>
      </c>
    </row>
    <row r="20" spans="1:22" ht="15" thickBot="1" x14ac:dyDescent="0.35">
      <c r="A20" s="106" t="s">
        <v>92</v>
      </c>
      <c r="B20" s="106">
        <v>3</v>
      </c>
      <c r="C20" s="108">
        <v>1</v>
      </c>
      <c r="D20" s="32"/>
      <c r="E20" s="32"/>
      <c r="F20" s="32">
        <v>1</v>
      </c>
      <c r="G20" s="32" t="s">
        <v>284</v>
      </c>
      <c r="H20" s="103"/>
      <c r="I20" s="103"/>
      <c r="J20" s="102"/>
      <c r="K20" s="103" t="s">
        <v>512</v>
      </c>
      <c r="L20" s="103"/>
      <c r="M20" s="103"/>
      <c r="N20" s="103"/>
      <c r="O20" s="102"/>
      <c r="P20" s="107"/>
      <c r="T20" s="5" t="s">
        <v>697</v>
      </c>
      <c r="U20" s="5">
        <f>SUM(U14:U19)</f>
        <v>22</v>
      </c>
    </row>
    <row r="21" spans="1:22" ht="15" thickBot="1" x14ac:dyDescent="0.35">
      <c r="A21" s="4" t="s">
        <v>276</v>
      </c>
      <c r="B21" s="4">
        <v>3</v>
      </c>
      <c r="C21" s="9">
        <v>2</v>
      </c>
      <c r="D21" s="10"/>
      <c r="E21" s="10"/>
      <c r="F21" s="10">
        <v>1</v>
      </c>
      <c r="G21" s="67" t="s">
        <v>497</v>
      </c>
      <c r="H21" s="8"/>
      <c r="I21" s="8"/>
      <c r="J21" s="2"/>
      <c r="K21" s="8" t="s">
        <v>512</v>
      </c>
      <c r="L21" s="8"/>
      <c r="M21" s="8"/>
      <c r="N21" s="8"/>
      <c r="O21" s="2"/>
      <c r="P21" s="105"/>
    </row>
    <row r="22" spans="1:22" s="44" customFormat="1" ht="15" thickBot="1" x14ac:dyDescent="0.35">
      <c r="A22" s="38"/>
      <c r="B22" s="38"/>
      <c r="C22" s="39"/>
      <c r="D22" s="40"/>
      <c r="E22" s="40"/>
      <c r="F22" s="41"/>
      <c r="G22" s="40"/>
      <c r="H22" s="42"/>
      <c r="I22" s="42"/>
      <c r="J22" s="43"/>
      <c r="K22" s="42"/>
      <c r="L22" s="42"/>
      <c r="M22" s="42"/>
      <c r="N22" s="42"/>
      <c r="O22" s="43"/>
      <c r="P22" s="109"/>
    </row>
    <row r="23" spans="1:22" ht="15" thickBot="1" x14ac:dyDescent="0.35">
      <c r="A23" s="2" t="s">
        <v>8</v>
      </c>
      <c r="B23" s="2">
        <v>5</v>
      </c>
      <c r="C23" s="8">
        <v>2</v>
      </c>
      <c r="D23" s="10" t="s">
        <v>278</v>
      </c>
      <c r="E23" s="10"/>
      <c r="F23" s="10">
        <v>1</v>
      </c>
      <c r="G23" s="10" t="s">
        <v>13</v>
      </c>
      <c r="H23" s="8" t="s">
        <v>16</v>
      </c>
      <c r="I23" s="8" t="s">
        <v>18</v>
      </c>
      <c r="J23" s="2" t="s">
        <v>19</v>
      </c>
      <c r="K23" s="8" t="s">
        <v>310</v>
      </c>
      <c r="L23" s="8"/>
      <c r="M23" s="8"/>
      <c r="N23" s="8"/>
      <c r="O23" s="2"/>
      <c r="P23" s="105"/>
    </row>
    <row r="24" spans="1:22" ht="15" thickBot="1" x14ac:dyDescent="0.35">
      <c r="A24" s="106" t="s">
        <v>8</v>
      </c>
      <c r="B24" s="102">
        <v>5</v>
      </c>
      <c r="C24" s="103">
        <v>2</v>
      </c>
      <c r="D24" s="32" t="s">
        <v>278</v>
      </c>
      <c r="E24" s="32"/>
      <c r="F24" s="32">
        <v>1</v>
      </c>
      <c r="G24" s="32" t="s">
        <v>13</v>
      </c>
      <c r="H24" s="103" t="s">
        <v>16</v>
      </c>
      <c r="I24" s="103" t="s">
        <v>18</v>
      </c>
      <c r="J24" s="102" t="s">
        <v>19</v>
      </c>
      <c r="K24" s="103" t="s">
        <v>311</v>
      </c>
      <c r="L24" s="103"/>
      <c r="M24" s="103"/>
      <c r="N24" s="103"/>
      <c r="O24" s="102"/>
      <c r="P24" s="107"/>
      <c r="R24" s="5" t="s">
        <v>8</v>
      </c>
      <c r="S24" s="49" t="s">
        <v>449</v>
      </c>
      <c r="T24" s="49">
        <v>5</v>
      </c>
    </row>
    <row r="25" spans="1:22" ht="15" thickBot="1" x14ac:dyDescent="0.35">
      <c r="A25" s="4" t="s">
        <v>8</v>
      </c>
      <c r="B25" s="2">
        <v>5</v>
      </c>
      <c r="C25" s="8">
        <v>2</v>
      </c>
      <c r="D25" s="10" t="s">
        <v>278</v>
      </c>
      <c r="E25" s="10"/>
      <c r="F25" s="10">
        <v>1</v>
      </c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312</v>
      </c>
      <c r="L25" s="8"/>
      <c r="M25" s="8"/>
      <c r="N25" s="8"/>
      <c r="O25" s="2"/>
      <c r="P25" s="105"/>
      <c r="R25" s="5" t="s">
        <v>9</v>
      </c>
      <c r="S25" s="49">
        <v>2</v>
      </c>
      <c r="T25" s="49">
        <v>2</v>
      </c>
    </row>
    <row r="26" spans="1:22" ht="15" thickBot="1" x14ac:dyDescent="0.35">
      <c r="A26" s="106" t="s">
        <v>8</v>
      </c>
      <c r="B26" s="102">
        <v>5</v>
      </c>
      <c r="C26" s="103">
        <v>2</v>
      </c>
      <c r="D26" s="32" t="s">
        <v>278</v>
      </c>
      <c r="E26" s="32"/>
      <c r="F26" s="32">
        <v>1</v>
      </c>
      <c r="G26" s="32" t="s">
        <v>13</v>
      </c>
      <c r="H26" s="103" t="s">
        <v>16</v>
      </c>
      <c r="I26" s="103" t="s">
        <v>18</v>
      </c>
      <c r="J26" s="102" t="s">
        <v>19</v>
      </c>
      <c r="K26" s="103" t="s">
        <v>313</v>
      </c>
      <c r="L26" s="103"/>
      <c r="M26" s="103"/>
      <c r="N26" s="103"/>
      <c r="O26" s="102"/>
      <c r="P26" s="107"/>
      <c r="R26" s="5" t="s">
        <v>6</v>
      </c>
      <c r="S26" s="49" t="s">
        <v>449</v>
      </c>
      <c r="T26" s="49">
        <v>5</v>
      </c>
    </row>
    <row r="27" spans="1:22" ht="15" thickBot="1" x14ac:dyDescent="0.35">
      <c r="A27" s="4" t="s">
        <v>9</v>
      </c>
      <c r="B27" s="4">
        <v>2</v>
      </c>
      <c r="C27" s="9">
        <v>1</v>
      </c>
      <c r="D27" s="10" t="s">
        <v>279</v>
      </c>
      <c r="E27" s="10"/>
      <c r="F27" s="10">
        <v>1</v>
      </c>
      <c r="G27" s="10" t="s">
        <v>62</v>
      </c>
      <c r="H27" s="8"/>
      <c r="I27" s="8"/>
      <c r="J27" s="2"/>
      <c r="K27" s="8" t="s">
        <v>310</v>
      </c>
      <c r="L27" s="8"/>
      <c r="M27" s="8"/>
      <c r="N27" s="8"/>
      <c r="O27" s="2"/>
      <c r="P27" s="105"/>
      <c r="R27" s="5" t="s">
        <v>7</v>
      </c>
      <c r="S27" s="49">
        <v>2</v>
      </c>
      <c r="T27" s="49">
        <v>2</v>
      </c>
    </row>
    <row r="28" spans="1:22" ht="15" thickBot="1" x14ac:dyDescent="0.35">
      <c r="A28" s="106" t="s">
        <v>9</v>
      </c>
      <c r="B28" s="106">
        <v>2</v>
      </c>
      <c r="C28" s="108">
        <v>1</v>
      </c>
      <c r="D28" s="32" t="s">
        <v>279</v>
      </c>
      <c r="E28" s="32"/>
      <c r="F28" s="32">
        <v>1</v>
      </c>
      <c r="G28" s="32" t="s">
        <v>62</v>
      </c>
      <c r="H28" s="103"/>
      <c r="I28" s="103"/>
      <c r="J28" s="102"/>
      <c r="K28" s="103" t="s">
        <v>311</v>
      </c>
      <c r="L28" s="103"/>
      <c r="M28" s="103"/>
      <c r="N28" s="103"/>
      <c r="O28" s="102"/>
      <c r="P28" s="107"/>
      <c r="R28" s="5" t="s">
        <v>314</v>
      </c>
      <c r="S28" s="49" t="s">
        <v>449</v>
      </c>
      <c r="T28" s="49">
        <v>5</v>
      </c>
    </row>
    <row r="29" spans="1:22" ht="15" thickBot="1" x14ac:dyDescent="0.35">
      <c r="A29" s="4" t="s">
        <v>9</v>
      </c>
      <c r="B29" s="4">
        <v>2</v>
      </c>
      <c r="C29" s="9">
        <v>1</v>
      </c>
      <c r="D29" s="10" t="s">
        <v>279</v>
      </c>
      <c r="E29" s="10"/>
      <c r="F29" s="10">
        <v>1</v>
      </c>
      <c r="G29" s="10" t="s">
        <v>62</v>
      </c>
      <c r="H29" s="8"/>
      <c r="I29" s="8"/>
      <c r="J29" s="2"/>
      <c r="K29" s="8" t="s">
        <v>312</v>
      </c>
      <c r="L29" s="8"/>
      <c r="M29" s="8"/>
      <c r="N29" s="8"/>
      <c r="O29" s="2"/>
      <c r="P29" s="105"/>
      <c r="R29" s="5" t="s">
        <v>452</v>
      </c>
      <c r="S29" s="49" t="s">
        <v>449</v>
      </c>
      <c r="T29" s="49">
        <v>5</v>
      </c>
    </row>
    <row r="30" spans="1:22" ht="15" thickBot="1" x14ac:dyDescent="0.35">
      <c r="A30" s="106" t="s">
        <v>9</v>
      </c>
      <c r="B30" s="106">
        <v>2</v>
      </c>
      <c r="C30" s="108">
        <v>1</v>
      </c>
      <c r="D30" s="32" t="s">
        <v>279</v>
      </c>
      <c r="E30" s="32"/>
      <c r="F30" s="32">
        <v>1</v>
      </c>
      <c r="G30" s="32" t="s">
        <v>62</v>
      </c>
      <c r="H30" s="103"/>
      <c r="I30" s="103"/>
      <c r="J30" s="102"/>
      <c r="K30" s="103" t="s">
        <v>313</v>
      </c>
      <c r="L30" s="103"/>
      <c r="M30" s="103"/>
      <c r="N30" s="103"/>
      <c r="O30" s="102"/>
      <c r="P30" s="107"/>
      <c r="S30" s="49"/>
      <c r="T30" s="49">
        <f>SUM(T24:T29)</f>
        <v>24</v>
      </c>
    </row>
    <row r="31" spans="1:22" ht="15" thickBot="1" x14ac:dyDescent="0.35">
      <c r="A31" s="4" t="s">
        <v>6</v>
      </c>
      <c r="B31" s="53">
        <v>5</v>
      </c>
      <c r="C31" s="93">
        <v>2</v>
      </c>
      <c r="D31" s="10" t="s">
        <v>278</v>
      </c>
      <c r="E31" s="10"/>
      <c r="F31" s="10">
        <v>1</v>
      </c>
      <c r="G31" s="10" t="s">
        <v>16</v>
      </c>
      <c r="H31" s="8" t="s">
        <v>45</v>
      </c>
      <c r="I31" s="8" t="s">
        <v>15</v>
      </c>
      <c r="J31" s="71" t="s">
        <v>2</v>
      </c>
      <c r="K31" s="8" t="s">
        <v>310</v>
      </c>
      <c r="L31" s="8"/>
      <c r="M31" s="8"/>
      <c r="N31" s="8"/>
      <c r="O31" s="2"/>
      <c r="P31" s="105"/>
      <c r="S31" s="49"/>
      <c r="T31" s="49"/>
    </row>
    <row r="32" spans="1:22" ht="15" thickBot="1" x14ac:dyDescent="0.35">
      <c r="A32" s="106" t="s">
        <v>6</v>
      </c>
      <c r="B32" s="106">
        <v>5</v>
      </c>
      <c r="C32" s="108">
        <v>2</v>
      </c>
      <c r="D32" s="32" t="s">
        <v>278</v>
      </c>
      <c r="E32" s="32"/>
      <c r="F32" s="32">
        <v>1</v>
      </c>
      <c r="G32" s="32" t="s">
        <v>16</v>
      </c>
      <c r="H32" s="103" t="s">
        <v>45</v>
      </c>
      <c r="I32" s="103" t="s">
        <v>15</v>
      </c>
      <c r="J32" s="71" t="s">
        <v>2</v>
      </c>
      <c r="K32" s="103" t="s">
        <v>311</v>
      </c>
      <c r="L32" s="103"/>
      <c r="M32" s="103"/>
      <c r="N32" s="103"/>
      <c r="O32" s="102"/>
      <c r="P32" s="107"/>
      <c r="S32" s="49"/>
      <c r="T32" s="49"/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278</v>
      </c>
      <c r="E33" s="10"/>
      <c r="F33" s="10">
        <v>1</v>
      </c>
      <c r="G33" s="10" t="s">
        <v>16</v>
      </c>
      <c r="H33" s="8" t="s">
        <v>45</v>
      </c>
      <c r="I33" s="8" t="s">
        <v>15</v>
      </c>
      <c r="J33" s="71" t="s">
        <v>2</v>
      </c>
      <c r="K33" s="8" t="s">
        <v>312</v>
      </c>
      <c r="L33" s="8"/>
      <c r="M33" s="8"/>
      <c r="N33" s="8"/>
      <c r="O33" s="2"/>
      <c r="P33" s="105"/>
      <c r="S33" s="49"/>
      <c r="T33" s="49"/>
    </row>
    <row r="34" spans="1:20" ht="15" thickBot="1" x14ac:dyDescent="0.35">
      <c r="A34" s="106" t="s">
        <v>6</v>
      </c>
      <c r="B34" s="106">
        <v>5</v>
      </c>
      <c r="C34" s="108">
        <v>2</v>
      </c>
      <c r="D34" s="32" t="s">
        <v>278</v>
      </c>
      <c r="E34" s="32"/>
      <c r="F34" s="32">
        <v>1</v>
      </c>
      <c r="G34" s="32" t="s">
        <v>16</v>
      </c>
      <c r="H34" s="103" t="s">
        <v>45</v>
      </c>
      <c r="I34" s="103" t="s">
        <v>15</v>
      </c>
      <c r="J34" s="71" t="s">
        <v>2</v>
      </c>
      <c r="K34" s="103" t="s">
        <v>313</v>
      </c>
      <c r="L34" s="103"/>
      <c r="M34" s="103"/>
      <c r="N34" s="103"/>
      <c r="O34" s="102"/>
      <c r="P34" s="107"/>
      <c r="S34" s="49"/>
      <c r="T34" s="49"/>
    </row>
    <row r="35" spans="1:20" ht="15" thickBot="1" x14ac:dyDescent="0.35">
      <c r="A35" s="4" t="s">
        <v>7</v>
      </c>
      <c r="B35" s="4">
        <v>2</v>
      </c>
      <c r="C35" s="9">
        <v>1</v>
      </c>
      <c r="D35" s="10" t="s">
        <v>279</v>
      </c>
      <c r="E35" s="10"/>
      <c r="F35" s="10">
        <v>1</v>
      </c>
      <c r="G35" s="10" t="s">
        <v>12</v>
      </c>
      <c r="H35" s="8"/>
      <c r="I35" s="8"/>
      <c r="J35" s="2"/>
      <c r="K35" s="8" t="s">
        <v>310</v>
      </c>
      <c r="L35" s="8"/>
      <c r="M35" s="8"/>
      <c r="N35" s="8"/>
      <c r="O35" s="2"/>
      <c r="P35" s="105"/>
    </row>
    <row r="36" spans="1:20" ht="15" thickBot="1" x14ac:dyDescent="0.35">
      <c r="A36" s="106" t="s">
        <v>7</v>
      </c>
      <c r="B36" s="106">
        <v>2</v>
      </c>
      <c r="C36" s="108">
        <v>1</v>
      </c>
      <c r="D36" s="32" t="s">
        <v>279</v>
      </c>
      <c r="E36" s="32"/>
      <c r="F36" s="32">
        <v>1</v>
      </c>
      <c r="G36" s="32" t="s">
        <v>12</v>
      </c>
      <c r="H36" s="103"/>
      <c r="I36" s="103"/>
      <c r="J36" s="102"/>
      <c r="K36" s="103" t="s">
        <v>311</v>
      </c>
      <c r="L36" s="103"/>
      <c r="M36" s="103"/>
      <c r="N36" s="103"/>
      <c r="O36" s="102"/>
      <c r="P36" s="107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279</v>
      </c>
      <c r="E37" s="10"/>
      <c r="F37" s="10">
        <v>1</v>
      </c>
      <c r="G37" s="10" t="s">
        <v>12</v>
      </c>
      <c r="H37" s="8"/>
      <c r="I37" s="8"/>
      <c r="J37" s="2"/>
      <c r="K37" s="8" t="s">
        <v>312</v>
      </c>
      <c r="L37" s="8"/>
      <c r="M37" s="8"/>
      <c r="N37" s="8"/>
      <c r="O37" s="2"/>
      <c r="P37" s="105"/>
    </row>
    <row r="38" spans="1:20" ht="15" thickBot="1" x14ac:dyDescent="0.35">
      <c r="A38" s="106" t="s">
        <v>7</v>
      </c>
      <c r="B38" s="106">
        <v>2</v>
      </c>
      <c r="C38" s="108">
        <v>1</v>
      </c>
      <c r="D38" s="32" t="s">
        <v>279</v>
      </c>
      <c r="E38" s="32"/>
      <c r="F38" s="32">
        <v>1</v>
      </c>
      <c r="G38" s="32" t="s">
        <v>12</v>
      </c>
      <c r="H38" s="103"/>
      <c r="I38" s="103"/>
      <c r="J38" s="102"/>
      <c r="K38" s="103" t="s">
        <v>313</v>
      </c>
      <c r="L38" s="103"/>
      <c r="M38" s="103"/>
      <c r="N38" s="103"/>
      <c r="O38" s="102"/>
      <c r="P38" s="107"/>
    </row>
    <row r="39" spans="1:20" ht="15" thickBot="1" x14ac:dyDescent="0.35">
      <c r="A39" s="4" t="s">
        <v>314</v>
      </c>
      <c r="B39" s="4">
        <v>5</v>
      </c>
      <c r="C39" s="9">
        <v>2</v>
      </c>
      <c r="D39" s="10"/>
      <c r="E39" s="10"/>
      <c r="F39" s="10">
        <v>1</v>
      </c>
      <c r="G39" s="10" t="s">
        <v>315</v>
      </c>
      <c r="H39" s="8" t="s">
        <v>318</v>
      </c>
      <c r="I39" s="8" t="s">
        <v>514</v>
      </c>
      <c r="J39" s="2" t="s">
        <v>515</v>
      </c>
      <c r="K39" s="8" t="s">
        <v>310</v>
      </c>
      <c r="L39" s="8"/>
      <c r="M39" s="8"/>
      <c r="N39" s="8"/>
      <c r="O39" s="2"/>
      <c r="P39" s="105"/>
    </row>
    <row r="40" spans="1:20" ht="15" thickBot="1" x14ac:dyDescent="0.35">
      <c r="A40" s="106" t="s">
        <v>314</v>
      </c>
      <c r="B40" s="106">
        <v>5</v>
      </c>
      <c r="C40" s="108">
        <v>2</v>
      </c>
      <c r="D40" s="32"/>
      <c r="E40" s="32"/>
      <c r="F40" s="32">
        <v>1</v>
      </c>
      <c r="G40" s="32" t="s">
        <v>315</v>
      </c>
      <c r="H40" s="103" t="s">
        <v>318</v>
      </c>
      <c r="I40" s="103" t="s">
        <v>514</v>
      </c>
      <c r="J40" s="102" t="s">
        <v>515</v>
      </c>
      <c r="K40" s="103" t="s">
        <v>311</v>
      </c>
      <c r="L40" s="103"/>
      <c r="M40" s="103"/>
      <c r="N40" s="103"/>
      <c r="O40" s="102"/>
      <c r="P40" s="107"/>
    </row>
    <row r="41" spans="1:20" ht="15" thickBot="1" x14ac:dyDescent="0.35">
      <c r="A41" s="4" t="s">
        <v>314</v>
      </c>
      <c r="B41" s="4">
        <v>5</v>
      </c>
      <c r="C41" s="9">
        <v>2</v>
      </c>
      <c r="D41" s="10"/>
      <c r="E41" s="10"/>
      <c r="F41" s="10">
        <v>1</v>
      </c>
      <c r="G41" s="10" t="s">
        <v>315</v>
      </c>
      <c r="H41" s="8" t="s">
        <v>318</v>
      </c>
      <c r="I41" s="8" t="s">
        <v>514</v>
      </c>
      <c r="J41" s="2" t="s">
        <v>515</v>
      </c>
      <c r="K41" s="8" t="s">
        <v>312</v>
      </c>
      <c r="L41" s="8"/>
      <c r="M41" s="8"/>
      <c r="N41" s="8"/>
      <c r="O41" s="2"/>
      <c r="P41" s="105"/>
    </row>
    <row r="42" spans="1:20" ht="15" thickBot="1" x14ac:dyDescent="0.35">
      <c r="A42" s="106" t="s">
        <v>314</v>
      </c>
      <c r="B42" s="106">
        <v>5</v>
      </c>
      <c r="C42" s="108">
        <v>2</v>
      </c>
      <c r="D42" s="32"/>
      <c r="E42" s="32"/>
      <c r="F42" s="32">
        <v>1</v>
      </c>
      <c r="G42" s="32" t="s">
        <v>315</v>
      </c>
      <c r="H42" s="103" t="s">
        <v>318</v>
      </c>
      <c r="I42" s="103" t="s">
        <v>514</v>
      </c>
      <c r="J42" s="102" t="s">
        <v>515</v>
      </c>
      <c r="K42" s="103" t="s">
        <v>313</v>
      </c>
      <c r="L42" s="103"/>
      <c r="M42" s="103"/>
      <c r="N42" s="103"/>
      <c r="O42" s="102"/>
      <c r="P42" s="107"/>
    </row>
    <row r="43" spans="1:20" ht="15" thickBot="1" x14ac:dyDescent="0.35">
      <c r="A43" s="4" t="s">
        <v>517</v>
      </c>
      <c r="B43" s="4">
        <v>2</v>
      </c>
      <c r="C43" s="9">
        <v>1</v>
      </c>
      <c r="D43" s="10"/>
      <c r="E43" s="10"/>
      <c r="F43" s="10">
        <v>1</v>
      </c>
      <c r="G43" s="10" t="s">
        <v>14</v>
      </c>
      <c r="H43" s="8"/>
      <c r="I43" s="8"/>
      <c r="J43" s="2"/>
      <c r="K43" s="8" t="s">
        <v>310</v>
      </c>
      <c r="L43" s="8"/>
      <c r="M43" s="8"/>
      <c r="N43" s="8"/>
      <c r="O43" s="2"/>
      <c r="P43" s="105"/>
    </row>
    <row r="44" spans="1:20" ht="15" thickBot="1" x14ac:dyDescent="0.35">
      <c r="A44" s="106" t="s">
        <v>517</v>
      </c>
      <c r="B44" s="106">
        <v>2</v>
      </c>
      <c r="C44" s="108">
        <v>1</v>
      </c>
      <c r="D44" s="32"/>
      <c r="E44" s="32"/>
      <c r="F44" s="32">
        <v>1</v>
      </c>
      <c r="G44" s="32" t="s">
        <v>14</v>
      </c>
      <c r="H44" s="103"/>
      <c r="I44" s="103"/>
      <c r="J44" s="102"/>
      <c r="K44" s="103" t="s">
        <v>311</v>
      </c>
      <c r="L44" s="103"/>
      <c r="M44" s="103"/>
      <c r="N44" s="103"/>
      <c r="O44" s="102"/>
      <c r="P44" s="107"/>
    </row>
    <row r="45" spans="1:20" ht="15" thickBot="1" x14ac:dyDescent="0.35">
      <c r="A45" s="4" t="s">
        <v>517</v>
      </c>
      <c r="B45" s="4">
        <v>2</v>
      </c>
      <c r="C45" s="9">
        <v>1</v>
      </c>
      <c r="D45" s="10"/>
      <c r="E45" s="10"/>
      <c r="F45" s="10">
        <v>1</v>
      </c>
      <c r="G45" s="10" t="s">
        <v>14</v>
      </c>
      <c r="H45" s="8"/>
      <c r="I45" s="8"/>
      <c r="J45" s="2"/>
      <c r="K45" s="8" t="s">
        <v>312</v>
      </c>
      <c r="L45" s="8"/>
      <c r="M45" s="8"/>
      <c r="N45" s="8"/>
      <c r="O45" s="2"/>
      <c r="P45" s="105"/>
    </row>
    <row r="46" spans="1:20" ht="15" thickBot="1" x14ac:dyDescent="0.35">
      <c r="A46" s="106" t="s">
        <v>517</v>
      </c>
      <c r="B46" s="106">
        <v>2</v>
      </c>
      <c r="C46" s="108">
        <v>1</v>
      </c>
      <c r="D46" s="32"/>
      <c r="E46" s="32"/>
      <c r="F46" s="32">
        <v>1</v>
      </c>
      <c r="G46" s="32" t="s">
        <v>14</v>
      </c>
      <c r="H46" s="103"/>
      <c r="I46" s="103"/>
      <c r="J46" s="102"/>
      <c r="K46" s="103" t="s">
        <v>313</v>
      </c>
      <c r="L46" s="103"/>
      <c r="M46" s="103"/>
      <c r="N46" s="103"/>
      <c r="O46" s="102"/>
      <c r="P46" s="107"/>
    </row>
    <row r="47" spans="1:20" ht="15" thickBot="1" x14ac:dyDescent="0.35">
      <c r="A47" s="4" t="s">
        <v>518</v>
      </c>
      <c r="B47" s="4">
        <v>3</v>
      </c>
      <c r="C47" s="9">
        <v>1</v>
      </c>
      <c r="D47" s="10"/>
      <c r="E47" s="10"/>
      <c r="F47" s="10">
        <v>1</v>
      </c>
      <c r="G47" s="10" t="s">
        <v>272</v>
      </c>
      <c r="H47" s="8"/>
      <c r="I47" s="8"/>
      <c r="J47" s="2"/>
      <c r="K47" s="8" t="s">
        <v>310</v>
      </c>
      <c r="L47" s="8"/>
      <c r="M47" s="8"/>
      <c r="N47" s="8"/>
      <c r="O47" s="2"/>
      <c r="P47" s="105"/>
    </row>
    <row r="48" spans="1:20" ht="15" thickBot="1" x14ac:dyDescent="0.35">
      <c r="A48" s="106" t="s">
        <v>518</v>
      </c>
      <c r="B48" s="106">
        <v>3</v>
      </c>
      <c r="C48" s="108">
        <v>1</v>
      </c>
      <c r="D48" s="32"/>
      <c r="E48" s="32"/>
      <c r="F48" s="32">
        <v>1</v>
      </c>
      <c r="G48" s="32" t="s">
        <v>272</v>
      </c>
      <c r="H48" s="103"/>
      <c r="I48" s="103"/>
      <c r="J48" s="102"/>
      <c r="K48" s="103" t="s">
        <v>311</v>
      </c>
      <c r="L48" s="103"/>
      <c r="M48" s="103"/>
      <c r="N48" s="103"/>
      <c r="O48" s="102"/>
      <c r="P48" s="107"/>
    </row>
    <row r="49" spans="1:29" ht="15" thickBot="1" x14ac:dyDescent="0.35">
      <c r="A49" s="4" t="s">
        <v>518</v>
      </c>
      <c r="B49" s="4">
        <v>3</v>
      </c>
      <c r="C49" s="9">
        <v>1</v>
      </c>
      <c r="D49" s="10"/>
      <c r="E49" s="10"/>
      <c r="F49" s="10">
        <v>1</v>
      </c>
      <c r="G49" s="10" t="s">
        <v>272</v>
      </c>
      <c r="H49" s="8"/>
      <c r="I49" s="8"/>
      <c r="J49" s="2"/>
      <c r="K49" s="8" t="s">
        <v>312</v>
      </c>
      <c r="L49" s="8"/>
      <c r="M49" s="8"/>
      <c r="N49" s="8"/>
      <c r="O49" s="2"/>
      <c r="P49" s="105"/>
    </row>
    <row r="50" spans="1:29" ht="15" thickBot="1" x14ac:dyDescent="0.35">
      <c r="A50" s="106" t="s">
        <v>518</v>
      </c>
      <c r="B50" s="106">
        <v>3</v>
      </c>
      <c r="C50" s="108">
        <v>1</v>
      </c>
      <c r="D50" s="32"/>
      <c r="E50" s="32"/>
      <c r="F50" s="32">
        <v>1</v>
      </c>
      <c r="G50" s="32" t="s">
        <v>272</v>
      </c>
      <c r="H50" s="103"/>
      <c r="I50" s="103"/>
      <c r="J50" s="102"/>
      <c r="K50" s="103" t="s">
        <v>313</v>
      </c>
      <c r="L50" s="103"/>
      <c r="M50" s="103"/>
      <c r="N50" s="103"/>
      <c r="O50" s="102"/>
      <c r="P50" s="107"/>
    </row>
    <row r="51" spans="1:29" ht="15" thickBot="1" x14ac:dyDescent="0.35">
      <c r="A51" s="4" t="s">
        <v>22</v>
      </c>
      <c r="B51" s="4">
        <v>5</v>
      </c>
      <c r="C51" s="9">
        <v>2</v>
      </c>
      <c r="D51" s="10" t="s">
        <v>278</v>
      </c>
      <c r="E51" s="10"/>
      <c r="F51" s="10">
        <v>1</v>
      </c>
      <c r="G51" s="10" t="s">
        <v>13</v>
      </c>
      <c r="H51" s="8"/>
      <c r="I51" s="8"/>
      <c r="J51" s="2"/>
      <c r="K51" s="8" t="s">
        <v>445</v>
      </c>
      <c r="L51" s="8"/>
      <c r="M51" s="8"/>
      <c r="N51" s="8"/>
      <c r="O51" s="2"/>
      <c r="P51" s="105"/>
      <c r="R51" s="5" t="s">
        <v>22</v>
      </c>
      <c r="S51" s="5" t="s">
        <v>449</v>
      </c>
      <c r="V51" s="52" t="s">
        <v>453</v>
      </c>
      <c r="W51" s="52" t="s">
        <v>454</v>
      </c>
      <c r="X51" s="52" t="s">
        <v>359</v>
      </c>
      <c r="Y51" s="52" t="s">
        <v>455</v>
      </c>
      <c r="Z51" s="52" t="s">
        <v>456</v>
      </c>
    </row>
    <row r="52" spans="1:29" ht="15" thickBot="1" x14ac:dyDescent="0.35">
      <c r="A52" s="106" t="s">
        <v>22</v>
      </c>
      <c r="B52" s="106">
        <v>5</v>
      </c>
      <c r="C52" s="108">
        <v>2</v>
      </c>
      <c r="D52" s="32" t="s">
        <v>278</v>
      </c>
      <c r="E52" s="32"/>
      <c r="F52" s="32">
        <v>1</v>
      </c>
      <c r="G52" s="32" t="s">
        <v>18</v>
      </c>
      <c r="H52" s="103"/>
      <c r="I52" s="103"/>
      <c r="J52" s="102"/>
      <c r="K52" s="103" t="s">
        <v>446</v>
      </c>
      <c r="L52" s="103"/>
      <c r="M52" s="103"/>
      <c r="N52" s="103"/>
      <c r="O52" s="102"/>
      <c r="P52" s="107"/>
      <c r="R52" s="5" t="s">
        <v>23</v>
      </c>
      <c r="S52" s="5">
        <v>2</v>
      </c>
      <c r="V52" s="52">
        <v>3</v>
      </c>
      <c r="W52" s="52">
        <v>3</v>
      </c>
      <c r="X52" s="52">
        <v>3</v>
      </c>
      <c r="Y52" s="52">
        <v>2</v>
      </c>
      <c r="Z52" s="52">
        <v>2</v>
      </c>
    </row>
    <row r="53" spans="1:29" ht="15" thickBot="1" x14ac:dyDescent="0.35">
      <c r="A53" s="4" t="s">
        <v>23</v>
      </c>
      <c r="B53" s="4">
        <v>2</v>
      </c>
      <c r="C53" s="9">
        <v>1</v>
      </c>
      <c r="D53" s="10" t="s">
        <v>279</v>
      </c>
      <c r="E53" s="10"/>
      <c r="F53" s="10">
        <v>1</v>
      </c>
      <c r="G53" s="10" t="s">
        <v>13</v>
      </c>
      <c r="H53" s="8"/>
      <c r="I53" s="8"/>
      <c r="J53" s="2"/>
      <c r="K53" s="8" t="s">
        <v>445</v>
      </c>
      <c r="L53" s="8"/>
      <c r="M53" s="8"/>
      <c r="N53" s="8"/>
      <c r="O53" s="2"/>
      <c r="P53" s="105"/>
      <c r="R53" s="5" t="s">
        <v>20</v>
      </c>
      <c r="S53" s="5" t="s">
        <v>449</v>
      </c>
      <c r="V53" s="52"/>
      <c r="W53" s="52"/>
      <c r="X53" s="80">
        <v>2</v>
      </c>
      <c r="Y53" s="52">
        <v>2</v>
      </c>
      <c r="Z53" s="52">
        <v>2</v>
      </c>
    </row>
    <row r="54" spans="1:29" ht="15" thickBot="1" x14ac:dyDescent="0.35">
      <c r="A54" s="106" t="s">
        <v>23</v>
      </c>
      <c r="B54" s="106">
        <v>2</v>
      </c>
      <c r="C54" s="108">
        <v>1</v>
      </c>
      <c r="D54" s="32" t="s">
        <v>279</v>
      </c>
      <c r="E54" s="32"/>
      <c r="F54" s="32">
        <v>1</v>
      </c>
      <c r="G54" s="32" t="s">
        <v>18</v>
      </c>
      <c r="H54" s="103"/>
      <c r="I54" s="103"/>
      <c r="J54" s="102"/>
      <c r="K54" s="103" t="s">
        <v>446</v>
      </c>
      <c r="L54" s="103"/>
      <c r="M54" s="103"/>
      <c r="N54" s="103"/>
      <c r="O54" s="102"/>
      <c r="P54" s="107"/>
      <c r="R54" s="5" t="s">
        <v>21</v>
      </c>
      <c r="S54" s="5">
        <v>2</v>
      </c>
    </row>
    <row r="55" spans="1:29" ht="15" thickBot="1" x14ac:dyDescent="0.35">
      <c r="A55" s="4" t="s">
        <v>20</v>
      </c>
      <c r="B55" s="4">
        <v>5</v>
      </c>
      <c r="C55" s="9">
        <v>2</v>
      </c>
      <c r="D55" s="10" t="s">
        <v>278</v>
      </c>
      <c r="E55" s="10"/>
      <c r="F55" s="10">
        <v>1</v>
      </c>
      <c r="G55" s="10" t="s">
        <v>25</v>
      </c>
      <c r="H55" s="8"/>
      <c r="I55" s="8"/>
      <c r="J55" s="2"/>
      <c r="K55" s="8" t="s">
        <v>445</v>
      </c>
      <c r="L55" s="8" t="s">
        <v>446</v>
      </c>
      <c r="M55" s="8"/>
      <c r="N55" s="8"/>
      <c r="O55" s="2"/>
      <c r="P55" s="105"/>
      <c r="R55" s="5" t="s">
        <v>24</v>
      </c>
      <c r="S55" s="5" t="s">
        <v>449</v>
      </c>
    </row>
    <row r="56" spans="1:29" ht="15" thickBot="1" x14ac:dyDescent="0.35">
      <c r="A56" s="106" t="s">
        <v>21</v>
      </c>
      <c r="B56" s="106">
        <v>2</v>
      </c>
      <c r="C56" s="108">
        <v>1</v>
      </c>
      <c r="D56" s="32" t="s">
        <v>279</v>
      </c>
      <c r="E56" s="32"/>
      <c r="F56" s="32">
        <v>1</v>
      </c>
      <c r="G56" s="32" t="s">
        <v>25</v>
      </c>
      <c r="H56" s="103"/>
      <c r="I56" s="103"/>
      <c r="J56" s="102"/>
      <c r="K56" s="103" t="s">
        <v>445</v>
      </c>
      <c r="L56" s="103" t="s">
        <v>446</v>
      </c>
      <c r="M56" s="103"/>
      <c r="N56" s="103"/>
      <c r="O56" s="102"/>
      <c r="P56" s="107"/>
      <c r="S56" s="5" t="s">
        <v>546</v>
      </c>
      <c r="T56" s="5">
        <v>19</v>
      </c>
    </row>
    <row r="57" spans="1:29" ht="15" thickBot="1" x14ac:dyDescent="0.35">
      <c r="A57" s="4" t="s">
        <v>24</v>
      </c>
      <c r="B57" s="4">
        <v>5</v>
      </c>
      <c r="C57" s="9">
        <v>2</v>
      </c>
      <c r="D57" s="10"/>
      <c r="E57" s="10"/>
      <c r="F57" s="10">
        <v>1</v>
      </c>
      <c r="G57" s="10" t="s">
        <v>26</v>
      </c>
      <c r="H57" s="8"/>
      <c r="I57" s="8"/>
      <c r="J57" s="2"/>
      <c r="K57" s="8" t="s">
        <v>445</v>
      </c>
      <c r="L57" s="8" t="s">
        <v>446</v>
      </c>
      <c r="M57" s="8"/>
      <c r="N57" s="8"/>
      <c r="O57" s="2"/>
      <c r="P57" s="105"/>
    </row>
    <row r="58" spans="1:29" s="44" customFormat="1" ht="15" thickBot="1" x14ac:dyDescent="0.35">
      <c r="A58" s="38"/>
      <c r="B58" s="38"/>
      <c r="C58" s="39"/>
      <c r="D58" s="40"/>
      <c r="E58" s="40"/>
      <c r="F58" s="41"/>
      <c r="G58" s="40"/>
      <c r="H58" s="42"/>
      <c r="I58" s="42"/>
      <c r="J58" s="43"/>
      <c r="K58" s="42"/>
      <c r="L58" s="42"/>
      <c r="M58" s="42"/>
      <c r="N58" s="42"/>
      <c r="O58" s="43"/>
      <c r="P58" s="109"/>
    </row>
    <row r="59" spans="1:29" ht="15" thickBot="1" x14ac:dyDescent="0.35">
      <c r="A59" s="4" t="s">
        <v>325</v>
      </c>
      <c r="B59" s="4">
        <v>5</v>
      </c>
      <c r="C59" s="9">
        <v>2</v>
      </c>
      <c r="D59" s="10" t="s">
        <v>278</v>
      </c>
      <c r="E59" s="10"/>
      <c r="F59" s="10">
        <v>1</v>
      </c>
      <c r="G59" s="10" t="s">
        <v>19</v>
      </c>
      <c r="H59" s="8" t="s">
        <v>45</v>
      </c>
      <c r="I59" s="8"/>
      <c r="J59" s="2"/>
      <c r="K59" s="8" t="s">
        <v>327</v>
      </c>
      <c r="L59" s="8" t="s">
        <v>329</v>
      </c>
      <c r="M59" s="8"/>
      <c r="N59" s="8"/>
      <c r="O59" s="2"/>
      <c r="P59" s="105"/>
    </row>
    <row r="60" spans="1:29" ht="15" thickBot="1" x14ac:dyDescent="0.35">
      <c r="A60" s="110" t="s">
        <v>325</v>
      </c>
      <c r="B60" s="106">
        <v>5</v>
      </c>
      <c r="C60" s="108">
        <v>2</v>
      </c>
      <c r="D60" s="32" t="s">
        <v>278</v>
      </c>
      <c r="E60" s="32"/>
      <c r="F60" s="32">
        <v>1</v>
      </c>
      <c r="G60" s="32" t="s">
        <v>19</v>
      </c>
      <c r="H60" s="103" t="s">
        <v>45</v>
      </c>
      <c r="I60" s="103"/>
      <c r="J60" s="102"/>
      <c r="K60" s="103" t="s">
        <v>328</v>
      </c>
      <c r="L60" s="103"/>
      <c r="M60" s="103"/>
      <c r="N60" s="103"/>
      <c r="O60" s="102"/>
      <c r="P60" s="107"/>
    </row>
    <row r="61" spans="1:29" ht="15" thickBot="1" x14ac:dyDescent="0.35">
      <c r="A61" s="4" t="s">
        <v>326</v>
      </c>
      <c r="B61" s="4">
        <v>2</v>
      </c>
      <c r="C61" s="9">
        <v>1</v>
      </c>
      <c r="D61" s="10" t="s">
        <v>279</v>
      </c>
      <c r="E61" s="10"/>
      <c r="F61" s="10">
        <v>1</v>
      </c>
      <c r="G61" s="10" t="s">
        <v>333</v>
      </c>
      <c r="H61" s="8"/>
      <c r="I61" s="8"/>
      <c r="J61" s="2"/>
      <c r="K61" s="8" t="s">
        <v>327</v>
      </c>
      <c r="L61" s="8" t="s">
        <v>329</v>
      </c>
      <c r="M61" s="8"/>
      <c r="N61" s="8"/>
      <c r="O61" s="2"/>
      <c r="P61" s="105"/>
      <c r="R61" s="50" t="s">
        <v>447</v>
      </c>
      <c r="S61" s="49"/>
      <c r="T61" s="49"/>
      <c r="V61" s="5" t="s">
        <v>329</v>
      </c>
      <c r="Y61" s="5" t="s">
        <v>457</v>
      </c>
    </row>
    <row r="62" spans="1:29" ht="15" thickBot="1" x14ac:dyDescent="0.35">
      <c r="A62" s="106" t="s">
        <v>326</v>
      </c>
      <c r="B62" s="106">
        <v>2</v>
      </c>
      <c r="C62" s="108">
        <v>1</v>
      </c>
      <c r="D62" s="32" t="s">
        <v>279</v>
      </c>
      <c r="E62" s="32"/>
      <c r="F62" s="32">
        <v>1</v>
      </c>
      <c r="G62" s="32" t="s">
        <v>333</v>
      </c>
      <c r="H62" s="103"/>
      <c r="I62" s="103"/>
      <c r="J62" s="102"/>
      <c r="K62" s="103" t="s">
        <v>328</v>
      </c>
      <c r="L62" s="103"/>
      <c r="M62" s="103"/>
      <c r="N62" s="103"/>
      <c r="O62" s="102"/>
      <c r="P62" s="107"/>
      <c r="R62" s="5" t="s">
        <v>342</v>
      </c>
      <c r="S62" s="49" t="s">
        <v>448</v>
      </c>
      <c r="T62" s="49">
        <v>4</v>
      </c>
      <c r="V62" s="5" t="s">
        <v>342</v>
      </c>
      <c r="W62" s="49" t="s">
        <v>448</v>
      </c>
      <c r="X62" s="49">
        <v>4</v>
      </c>
    </row>
    <row r="63" spans="1:29" ht="15" thickBot="1" x14ac:dyDescent="0.35">
      <c r="A63" s="4" t="s">
        <v>334</v>
      </c>
      <c r="B63" s="4">
        <v>5</v>
      </c>
      <c r="C63" s="9">
        <v>2</v>
      </c>
      <c r="D63" s="10"/>
      <c r="E63" s="10"/>
      <c r="F63" s="10">
        <v>1</v>
      </c>
      <c r="G63" s="10" t="s">
        <v>42</v>
      </c>
      <c r="H63" s="8"/>
      <c r="I63" s="8"/>
      <c r="J63" s="2"/>
      <c r="K63" s="8" t="s">
        <v>327</v>
      </c>
      <c r="L63" s="8" t="s">
        <v>328</v>
      </c>
      <c r="M63" s="8"/>
      <c r="N63" s="8"/>
      <c r="O63" s="2"/>
      <c r="P63" s="105"/>
      <c r="R63" s="5" t="s">
        <v>348</v>
      </c>
      <c r="S63" s="49" t="s">
        <v>449</v>
      </c>
      <c r="T63" s="49">
        <v>5</v>
      </c>
      <c r="V63" s="5" t="s">
        <v>325</v>
      </c>
      <c r="W63" s="49" t="s">
        <v>449</v>
      </c>
      <c r="X63" s="49">
        <v>5</v>
      </c>
      <c r="Y63" s="52" t="s">
        <v>453</v>
      </c>
      <c r="Z63" s="52" t="s">
        <v>454</v>
      </c>
      <c r="AA63" s="52" t="s">
        <v>359</v>
      </c>
      <c r="AB63" s="52" t="s">
        <v>455</v>
      </c>
      <c r="AC63" s="52" t="s">
        <v>456</v>
      </c>
    </row>
    <row r="64" spans="1:29" ht="15" thickBot="1" x14ac:dyDescent="0.35">
      <c r="A64" s="106" t="s">
        <v>335</v>
      </c>
      <c r="B64" s="106">
        <v>5</v>
      </c>
      <c r="C64" s="108">
        <v>2</v>
      </c>
      <c r="D64" s="32"/>
      <c r="E64" s="32"/>
      <c r="F64" s="32">
        <v>1</v>
      </c>
      <c r="G64" s="32" t="s">
        <v>26</v>
      </c>
      <c r="H64" s="103"/>
      <c r="I64" s="103"/>
      <c r="J64" s="102"/>
      <c r="K64" s="103" t="s">
        <v>327</v>
      </c>
      <c r="L64" s="103" t="s">
        <v>328</v>
      </c>
      <c r="M64" s="103"/>
      <c r="N64" s="103"/>
      <c r="O64" s="102"/>
      <c r="P64" s="107"/>
      <c r="R64" s="5" t="s">
        <v>349</v>
      </c>
      <c r="S64" s="49">
        <v>2</v>
      </c>
      <c r="T64" s="49">
        <v>2</v>
      </c>
      <c r="V64" s="5" t="s">
        <v>326</v>
      </c>
      <c r="W64" s="49">
        <v>2</v>
      </c>
      <c r="X64" s="49">
        <v>2</v>
      </c>
      <c r="Y64" s="52">
        <v>3</v>
      </c>
      <c r="Z64" s="52">
        <v>3</v>
      </c>
      <c r="AA64" s="52">
        <v>2</v>
      </c>
      <c r="AB64" s="52">
        <v>3</v>
      </c>
      <c r="AC64" s="52">
        <v>2</v>
      </c>
    </row>
    <row r="65" spans="1:29" ht="15" thickBot="1" x14ac:dyDescent="0.35">
      <c r="A65" s="4" t="s">
        <v>336</v>
      </c>
      <c r="B65" s="4">
        <v>5</v>
      </c>
      <c r="C65" s="9">
        <v>2</v>
      </c>
      <c r="D65" s="10"/>
      <c r="E65" s="10"/>
      <c r="F65" s="10">
        <v>1</v>
      </c>
      <c r="G65" s="10" t="s">
        <v>337</v>
      </c>
      <c r="H65" s="8"/>
      <c r="I65" s="8"/>
      <c r="J65" s="2"/>
      <c r="K65" s="8" t="s">
        <v>327</v>
      </c>
      <c r="L65" s="8"/>
      <c r="M65" s="8"/>
      <c r="N65" s="8"/>
      <c r="O65" s="2"/>
      <c r="P65" s="105"/>
      <c r="R65" s="5" t="s">
        <v>350</v>
      </c>
      <c r="S65" s="49" t="s">
        <v>448</v>
      </c>
      <c r="T65" s="49">
        <v>4</v>
      </c>
      <c r="V65" s="5" t="s">
        <v>450</v>
      </c>
      <c r="W65" s="49" t="s">
        <v>451</v>
      </c>
      <c r="X65" s="49">
        <v>6</v>
      </c>
      <c r="Y65" s="52">
        <v>3</v>
      </c>
      <c r="Z65" s="52">
        <v>3</v>
      </c>
      <c r="AA65" s="52">
        <v>2</v>
      </c>
      <c r="AB65" s="52">
        <v>3</v>
      </c>
      <c r="AC65" s="52">
        <v>2</v>
      </c>
    </row>
    <row r="66" spans="1:29" ht="15" thickBot="1" x14ac:dyDescent="0.35">
      <c r="A66" s="106" t="s">
        <v>336</v>
      </c>
      <c r="B66" s="106">
        <v>5</v>
      </c>
      <c r="C66" s="108">
        <v>2</v>
      </c>
      <c r="D66" s="32"/>
      <c r="E66" s="32"/>
      <c r="F66" s="32">
        <v>1</v>
      </c>
      <c r="G66" s="32" t="s">
        <v>337</v>
      </c>
      <c r="H66" s="103"/>
      <c r="I66" s="103"/>
      <c r="J66" s="102"/>
      <c r="K66" s="103" t="s">
        <v>328</v>
      </c>
      <c r="L66" s="103"/>
      <c r="M66" s="103"/>
      <c r="N66" s="103"/>
      <c r="O66" s="102"/>
      <c r="P66" s="107"/>
      <c r="R66" s="5" t="s">
        <v>450</v>
      </c>
      <c r="S66" s="49" t="s">
        <v>451</v>
      </c>
      <c r="T66" s="49">
        <v>6</v>
      </c>
      <c r="V66" s="5" t="s">
        <v>356</v>
      </c>
      <c r="W66" s="49" t="s">
        <v>449</v>
      </c>
      <c r="X66" s="49">
        <v>5</v>
      </c>
      <c r="Y66" s="52"/>
      <c r="Z66" s="52"/>
      <c r="AA66" s="52">
        <v>2</v>
      </c>
      <c r="AC66" s="52">
        <v>2</v>
      </c>
    </row>
    <row r="67" spans="1:29" ht="15" thickBot="1" x14ac:dyDescent="0.35">
      <c r="A67" s="4" t="s">
        <v>339</v>
      </c>
      <c r="B67" s="4">
        <v>3</v>
      </c>
      <c r="C67" s="9">
        <v>1</v>
      </c>
      <c r="D67" s="10"/>
      <c r="E67" s="10"/>
      <c r="F67" s="10">
        <v>1</v>
      </c>
      <c r="G67" s="10" t="s">
        <v>341</v>
      </c>
      <c r="H67" s="8"/>
      <c r="I67" s="8"/>
      <c r="J67" s="2"/>
      <c r="K67" s="8" t="s">
        <v>327</v>
      </c>
      <c r="L67" s="8"/>
      <c r="M67" s="8"/>
      <c r="N67" s="8"/>
      <c r="O67" s="2"/>
      <c r="P67" s="105"/>
      <c r="R67" s="5" t="s">
        <v>356</v>
      </c>
      <c r="S67" s="49" t="s">
        <v>449</v>
      </c>
      <c r="T67" s="49">
        <v>5</v>
      </c>
      <c r="V67" s="5" t="s">
        <v>259</v>
      </c>
      <c r="W67" s="49" t="s">
        <v>449</v>
      </c>
      <c r="X67" s="49">
        <v>5</v>
      </c>
      <c r="Y67" s="52"/>
      <c r="Z67" s="52"/>
      <c r="AA67" s="52"/>
      <c r="AB67" s="52"/>
      <c r="AC67" s="52"/>
    </row>
    <row r="68" spans="1:29" ht="15" thickBot="1" x14ac:dyDescent="0.35">
      <c r="A68" s="106" t="s">
        <v>342</v>
      </c>
      <c r="B68" s="106">
        <v>4</v>
      </c>
      <c r="C68" s="108">
        <v>2</v>
      </c>
      <c r="D68" s="32"/>
      <c r="E68" s="32"/>
      <c r="F68" s="32">
        <v>1</v>
      </c>
      <c r="G68" s="32" t="s">
        <v>344</v>
      </c>
      <c r="H68" s="103"/>
      <c r="I68" s="103"/>
      <c r="J68" s="102"/>
      <c r="K68" s="103" t="s">
        <v>327</v>
      </c>
      <c r="L68" s="103" t="s">
        <v>328</v>
      </c>
      <c r="M68" s="103"/>
      <c r="N68" s="103"/>
      <c r="O68" s="102"/>
      <c r="P68" s="107"/>
      <c r="R68" s="5" t="s">
        <v>259</v>
      </c>
      <c r="S68" s="49" t="s">
        <v>449</v>
      </c>
      <c r="T68" s="49">
        <v>5</v>
      </c>
      <c r="V68" s="5" t="s">
        <v>359</v>
      </c>
      <c r="W68" s="49">
        <v>3</v>
      </c>
      <c r="X68" s="49">
        <v>3</v>
      </c>
      <c r="Y68" s="52" t="s">
        <v>325</v>
      </c>
      <c r="Z68" s="52" t="s">
        <v>461</v>
      </c>
      <c r="AA68" s="52" t="s">
        <v>459</v>
      </c>
      <c r="AB68" s="52" t="s">
        <v>461</v>
      </c>
      <c r="AC68" s="52" t="s">
        <v>459</v>
      </c>
    </row>
    <row r="69" spans="1:29" ht="15" thickBot="1" x14ac:dyDescent="0.35">
      <c r="A69" s="4" t="s">
        <v>342</v>
      </c>
      <c r="B69" s="4">
        <v>4</v>
      </c>
      <c r="C69" s="9">
        <v>2</v>
      </c>
      <c r="D69" s="10"/>
      <c r="E69" s="10"/>
      <c r="F69" s="10">
        <v>1</v>
      </c>
      <c r="G69" s="10" t="s">
        <v>344</v>
      </c>
      <c r="H69" s="8"/>
      <c r="I69" s="8"/>
      <c r="J69" s="2"/>
      <c r="K69" s="8" t="s">
        <v>329</v>
      </c>
      <c r="L69" s="8" t="s">
        <v>331</v>
      </c>
      <c r="M69" s="8"/>
      <c r="N69" s="8"/>
      <c r="O69" s="2"/>
      <c r="P69" s="105"/>
      <c r="S69" s="49"/>
      <c r="T69" s="51">
        <f>SUM(T62:T68)</f>
        <v>31</v>
      </c>
      <c r="X69" s="49">
        <f>SUM(X62:X68)</f>
        <v>30</v>
      </c>
      <c r="Y69" s="52" t="s">
        <v>458</v>
      </c>
      <c r="Z69" s="52" t="s">
        <v>356</v>
      </c>
      <c r="AA69" s="52" t="s">
        <v>325</v>
      </c>
      <c r="AB69" s="52" t="s">
        <v>359</v>
      </c>
      <c r="AC69" s="52" t="s">
        <v>460</v>
      </c>
    </row>
    <row r="70" spans="1:29" ht="15" thickBot="1" x14ac:dyDescent="0.35">
      <c r="A70" s="106" t="s">
        <v>342</v>
      </c>
      <c r="B70" s="106">
        <v>4</v>
      </c>
      <c r="C70" s="108">
        <v>2</v>
      </c>
      <c r="D70" s="32"/>
      <c r="E70" s="32"/>
      <c r="F70" s="32">
        <v>1</v>
      </c>
      <c r="G70" s="32" t="s">
        <v>344</v>
      </c>
      <c r="H70" s="103"/>
      <c r="I70" s="103"/>
      <c r="J70" s="102"/>
      <c r="K70" s="103" t="s">
        <v>330</v>
      </c>
      <c r="L70" s="103"/>
      <c r="M70" s="103"/>
      <c r="N70" s="103"/>
      <c r="O70" s="102"/>
      <c r="P70" s="107"/>
      <c r="Y70" s="52"/>
      <c r="Z70" s="52"/>
      <c r="AA70" s="52" t="s">
        <v>458</v>
      </c>
      <c r="AC70" s="52" t="s">
        <v>356</v>
      </c>
    </row>
    <row r="71" spans="1:29" ht="15" thickBot="1" x14ac:dyDescent="0.35">
      <c r="A71" s="4" t="s">
        <v>345</v>
      </c>
      <c r="B71" s="4">
        <v>3</v>
      </c>
      <c r="C71" s="9">
        <v>1</v>
      </c>
      <c r="D71" s="10"/>
      <c r="E71" s="10"/>
      <c r="F71" s="10">
        <v>1</v>
      </c>
      <c r="G71" s="10" t="s">
        <v>347</v>
      </c>
      <c r="H71" s="8"/>
      <c r="I71" s="8"/>
      <c r="J71" s="2"/>
      <c r="K71" s="8" t="s">
        <v>328</v>
      </c>
      <c r="L71" s="8"/>
      <c r="M71" s="8"/>
      <c r="N71" s="8"/>
      <c r="O71" s="2"/>
      <c r="P71" s="105"/>
    </row>
    <row r="72" spans="1:29" ht="15" thickBot="1" x14ac:dyDescent="0.35">
      <c r="A72" s="106" t="s">
        <v>348</v>
      </c>
      <c r="B72" s="106">
        <v>5</v>
      </c>
      <c r="C72" s="108">
        <v>2</v>
      </c>
      <c r="D72" s="32" t="s">
        <v>278</v>
      </c>
      <c r="E72" s="32"/>
      <c r="F72" s="32">
        <v>1</v>
      </c>
      <c r="G72" s="32" t="s">
        <v>25</v>
      </c>
      <c r="H72" s="103" t="s">
        <v>17</v>
      </c>
      <c r="I72" s="103"/>
      <c r="J72" s="102"/>
      <c r="K72" s="103" t="s">
        <v>330</v>
      </c>
      <c r="L72" s="103"/>
      <c r="M72" s="103"/>
      <c r="N72" s="103"/>
      <c r="O72" s="102"/>
      <c r="P72" s="107"/>
    </row>
    <row r="73" spans="1:29" ht="15" thickBot="1" x14ac:dyDescent="0.35">
      <c r="A73" s="4" t="s">
        <v>348</v>
      </c>
      <c r="B73" s="4">
        <v>5</v>
      </c>
      <c r="C73" s="9">
        <v>2</v>
      </c>
      <c r="D73" s="10" t="s">
        <v>278</v>
      </c>
      <c r="E73" s="10"/>
      <c r="F73" s="10">
        <v>1</v>
      </c>
      <c r="G73" s="10" t="s">
        <v>25</v>
      </c>
      <c r="H73" s="8" t="s">
        <v>17</v>
      </c>
      <c r="I73" s="8"/>
      <c r="J73" s="2"/>
      <c r="K73" s="8" t="s">
        <v>331</v>
      </c>
      <c r="L73" s="8"/>
      <c r="M73" s="8"/>
      <c r="N73" s="8"/>
      <c r="O73" s="2"/>
      <c r="P73" s="105"/>
      <c r="R73" s="5" t="s">
        <v>328</v>
      </c>
      <c r="V73" s="5" t="s">
        <v>327</v>
      </c>
    </row>
    <row r="74" spans="1:29" ht="15" thickBot="1" x14ac:dyDescent="0.35">
      <c r="A74" s="106" t="s">
        <v>349</v>
      </c>
      <c r="B74" s="53">
        <v>1</v>
      </c>
      <c r="C74" s="108">
        <v>1</v>
      </c>
      <c r="D74" s="32" t="s">
        <v>279</v>
      </c>
      <c r="E74" s="32"/>
      <c r="F74" s="32">
        <v>1</v>
      </c>
      <c r="G74" s="32" t="s">
        <v>25</v>
      </c>
      <c r="H74" s="103"/>
      <c r="I74" s="103"/>
      <c r="J74" s="102"/>
      <c r="K74" s="103" t="s">
        <v>330</v>
      </c>
      <c r="L74" s="103"/>
      <c r="M74" s="103"/>
      <c r="N74" s="103"/>
      <c r="O74" s="102"/>
      <c r="P74" s="107"/>
      <c r="R74" s="5" t="s">
        <v>342</v>
      </c>
      <c r="S74" s="49" t="s">
        <v>448</v>
      </c>
      <c r="T74" s="49">
        <v>4</v>
      </c>
      <c r="V74" s="5" t="s">
        <v>342</v>
      </c>
      <c r="W74" s="49" t="s">
        <v>448</v>
      </c>
      <c r="X74" s="49">
        <v>4</v>
      </c>
    </row>
    <row r="75" spans="1:29" ht="15" thickBot="1" x14ac:dyDescent="0.35">
      <c r="A75" s="4" t="s">
        <v>349</v>
      </c>
      <c r="B75" s="53">
        <v>1</v>
      </c>
      <c r="C75" s="9">
        <v>1</v>
      </c>
      <c r="D75" s="10" t="s">
        <v>279</v>
      </c>
      <c r="E75" s="10"/>
      <c r="F75" s="10">
        <v>1</v>
      </c>
      <c r="G75" s="10" t="s">
        <v>25</v>
      </c>
      <c r="H75" s="8"/>
      <c r="I75" s="8"/>
      <c r="J75" s="2"/>
      <c r="K75" s="8" t="s">
        <v>331</v>
      </c>
      <c r="L75" s="8"/>
      <c r="M75" s="8"/>
      <c r="N75" s="8"/>
      <c r="O75" s="2"/>
      <c r="P75" s="105"/>
      <c r="R75" s="5" t="s">
        <v>325</v>
      </c>
      <c r="S75" s="49" t="s">
        <v>449</v>
      </c>
      <c r="T75" s="49">
        <v>5</v>
      </c>
      <c r="V75" s="5" t="s">
        <v>325</v>
      </c>
      <c r="W75" s="49" t="s">
        <v>449</v>
      </c>
      <c r="X75" s="49">
        <v>5</v>
      </c>
    </row>
    <row r="76" spans="1:29" ht="15" thickBot="1" x14ac:dyDescent="0.35">
      <c r="A76" s="106" t="s">
        <v>350</v>
      </c>
      <c r="B76" s="106">
        <v>4</v>
      </c>
      <c r="C76" s="108">
        <v>2</v>
      </c>
      <c r="D76" s="32"/>
      <c r="E76" s="32"/>
      <c r="F76" s="32">
        <v>1</v>
      </c>
      <c r="G76" s="32" t="s">
        <v>352</v>
      </c>
      <c r="H76" s="103"/>
      <c r="I76" s="103"/>
      <c r="J76" s="102"/>
      <c r="K76" s="103" t="s">
        <v>330</v>
      </c>
      <c r="L76" s="103"/>
      <c r="M76" s="103"/>
      <c r="N76" s="103"/>
      <c r="O76" s="102"/>
      <c r="P76" s="107"/>
      <c r="R76" s="5" t="s">
        <v>326</v>
      </c>
      <c r="S76" s="49">
        <v>2</v>
      </c>
      <c r="T76" s="49">
        <v>2</v>
      </c>
      <c r="V76" s="5" t="s">
        <v>326</v>
      </c>
      <c r="W76" s="49">
        <v>2</v>
      </c>
      <c r="X76" s="49">
        <v>2</v>
      </c>
    </row>
    <row r="77" spans="1:29" ht="15" thickBot="1" x14ac:dyDescent="0.35">
      <c r="A77" s="4" t="s">
        <v>350</v>
      </c>
      <c r="B77" s="4">
        <v>4</v>
      </c>
      <c r="C77" s="9">
        <v>2</v>
      </c>
      <c r="D77" s="10"/>
      <c r="E77" s="10"/>
      <c r="F77" s="10">
        <v>1</v>
      </c>
      <c r="G77" s="10" t="s">
        <v>352</v>
      </c>
      <c r="H77" s="8"/>
      <c r="I77" s="8"/>
      <c r="J77" s="2"/>
      <c r="K77" s="8" t="s">
        <v>331</v>
      </c>
      <c r="L77" s="8"/>
      <c r="M77" s="8"/>
      <c r="N77" s="8"/>
      <c r="O77" s="2"/>
      <c r="P77" s="105"/>
      <c r="R77" s="5" t="s">
        <v>334</v>
      </c>
      <c r="S77" s="49" t="s">
        <v>449</v>
      </c>
      <c r="T77" s="49">
        <v>5</v>
      </c>
      <c r="V77" s="5" t="s">
        <v>334</v>
      </c>
      <c r="W77" s="49" t="s">
        <v>449</v>
      </c>
      <c r="X77" s="49">
        <v>5</v>
      </c>
    </row>
    <row r="78" spans="1:29" ht="15" thickBot="1" x14ac:dyDescent="0.35">
      <c r="A78" s="106" t="s">
        <v>353</v>
      </c>
      <c r="B78" s="106">
        <v>6</v>
      </c>
      <c r="C78" s="108">
        <v>2</v>
      </c>
      <c r="D78" s="32"/>
      <c r="E78" s="32"/>
      <c r="F78" s="32">
        <v>1</v>
      </c>
      <c r="G78" s="67" t="s">
        <v>354</v>
      </c>
      <c r="H78" s="103"/>
      <c r="I78" s="103"/>
      <c r="J78" s="102"/>
      <c r="K78" s="103" t="s">
        <v>329</v>
      </c>
      <c r="L78" s="103" t="s">
        <v>331</v>
      </c>
      <c r="M78" s="103"/>
      <c r="N78" s="103"/>
      <c r="O78" s="102"/>
      <c r="P78" s="107"/>
      <c r="R78" s="5" t="s">
        <v>335</v>
      </c>
      <c r="S78" s="49" t="s">
        <v>449</v>
      </c>
      <c r="T78" s="49">
        <v>5</v>
      </c>
      <c r="V78" s="5" t="s">
        <v>335</v>
      </c>
      <c r="W78" s="49" t="s">
        <v>449</v>
      </c>
      <c r="X78" s="49">
        <v>5</v>
      </c>
    </row>
    <row r="79" spans="1:29" ht="15" thickBot="1" x14ac:dyDescent="0.35">
      <c r="A79" s="4" t="s">
        <v>353</v>
      </c>
      <c r="B79" s="4">
        <v>6</v>
      </c>
      <c r="C79" s="9">
        <v>2</v>
      </c>
      <c r="D79" s="10"/>
      <c r="E79" s="10"/>
      <c r="F79" s="10">
        <v>1</v>
      </c>
      <c r="G79" s="67" t="s">
        <v>354</v>
      </c>
      <c r="H79" s="8"/>
      <c r="I79" s="8"/>
      <c r="J79" s="2"/>
      <c r="K79" s="8" t="s">
        <v>330</v>
      </c>
      <c r="L79" s="8"/>
      <c r="M79" s="8"/>
      <c r="N79" s="8"/>
      <c r="O79" s="2"/>
      <c r="P79" s="105"/>
      <c r="R79" s="5" t="s">
        <v>336</v>
      </c>
      <c r="S79" s="49" t="s">
        <v>449</v>
      </c>
      <c r="T79" s="49">
        <v>5</v>
      </c>
      <c r="V79" s="5" t="s">
        <v>336</v>
      </c>
      <c r="W79" s="49" t="s">
        <v>449</v>
      </c>
      <c r="X79" s="49">
        <v>5</v>
      </c>
    </row>
    <row r="80" spans="1:29" ht="15" thickBot="1" x14ac:dyDescent="0.35">
      <c r="A80" s="106" t="s">
        <v>356</v>
      </c>
      <c r="B80" s="106">
        <v>5</v>
      </c>
      <c r="C80" s="108">
        <v>2</v>
      </c>
      <c r="D80" s="32"/>
      <c r="E80" s="32"/>
      <c r="F80" s="32">
        <v>1</v>
      </c>
      <c r="G80" s="32" t="s">
        <v>43</v>
      </c>
      <c r="H80" s="103" t="s">
        <v>44</v>
      </c>
      <c r="I80" s="103"/>
      <c r="J80" s="102"/>
      <c r="K80" s="103" t="s">
        <v>329</v>
      </c>
      <c r="L80" s="103" t="s">
        <v>331</v>
      </c>
      <c r="M80" s="103"/>
      <c r="N80" s="103"/>
      <c r="O80" s="102"/>
      <c r="P80" s="107"/>
      <c r="R80" s="5" t="s">
        <v>345</v>
      </c>
      <c r="S80" s="49">
        <v>3</v>
      </c>
      <c r="T80" s="49">
        <v>3</v>
      </c>
      <c r="V80" s="5" t="s">
        <v>339</v>
      </c>
      <c r="W80" s="49">
        <v>3</v>
      </c>
      <c r="X80" s="49">
        <v>3</v>
      </c>
    </row>
    <row r="81" spans="1:26" ht="15" thickBot="1" x14ac:dyDescent="0.35">
      <c r="A81" s="4" t="s">
        <v>356</v>
      </c>
      <c r="B81" s="4">
        <v>5</v>
      </c>
      <c r="C81" s="9">
        <v>2</v>
      </c>
      <c r="D81" s="10"/>
      <c r="E81" s="10"/>
      <c r="F81" s="10">
        <v>1</v>
      </c>
      <c r="G81" s="10" t="s">
        <v>43</v>
      </c>
      <c r="H81" s="8" t="s">
        <v>44</v>
      </c>
      <c r="I81" s="8"/>
      <c r="J81" s="2"/>
      <c r="K81" s="8" t="s">
        <v>330</v>
      </c>
      <c r="L81" s="8"/>
      <c r="M81" s="8"/>
      <c r="N81" s="8"/>
      <c r="O81" s="2"/>
      <c r="P81" s="105"/>
      <c r="T81" s="49">
        <f>SUM(T74:T80)</f>
        <v>29</v>
      </c>
      <c r="X81" s="49">
        <f>SUM(X74:X80)</f>
        <v>29</v>
      </c>
    </row>
    <row r="82" spans="1:26" ht="15" thickBot="1" x14ac:dyDescent="0.35">
      <c r="A82" s="106" t="s">
        <v>259</v>
      </c>
      <c r="B82" s="106">
        <v>5</v>
      </c>
      <c r="C82" s="108">
        <v>2</v>
      </c>
      <c r="D82" s="32"/>
      <c r="E82" s="32"/>
      <c r="F82" s="32">
        <v>1</v>
      </c>
      <c r="G82" s="32" t="s">
        <v>46</v>
      </c>
      <c r="H82" s="103" t="s">
        <v>358</v>
      </c>
      <c r="I82" s="103"/>
      <c r="J82" s="102"/>
      <c r="K82" s="103" t="s">
        <v>329</v>
      </c>
      <c r="L82" s="103" t="s">
        <v>331</v>
      </c>
      <c r="M82" s="103"/>
      <c r="N82" s="103"/>
      <c r="O82" s="102"/>
      <c r="P82" s="107"/>
    </row>
    <row r="83" spans="1:26" ht="15" thickBot="1" x14ac:dyDescent="0.35">
      <c r="A83" s="4" t="s">
        <v>259</v>
      </c>
      <c r="B83" s="4">
        <v>5</v>
      </c>
      <c r="C83" s="9">
        <v>2</v>
      </c>
      <c r="D83" s="10"/>
      <c r="E83" s="10"/>
      <c r="F83" s="10">
        <v>1</v>
      </c>
      <c r="G83" s="10" t="s">
        <v>46</v>
      </c>
      <c r="H83" s="8" t="s">
        <v>358</v>
      </c>
      <c r="I83" s="8"/>
      <c r="J83" s="2"/>
      <c r="K83" s="8" t="s">
        <v>330</v>
      </c>
      <c r="L83" s="8"/>
      <c r="M83" s="8"/>
      <c r="N83" s="8"/>
      <c r="O83" s="2"/>
      <c r="P83" s="105"/>
    </row>
    <row r="84" spans="1:26" ht="15" thickBot="1" x14ac:dyDescent="0.35">
      <c r="A84" s="106" t="s">
        <v>359</v>
      </c>
      <c r="B84" s="106">
        <v>3</v>
      </c>
      <c r="C84" s="108">
        <v>1</v>
      </c>
      <c r="D84" s="32"/>
      <c r="E84" s="32"/>
      <c r="F84" s="32">
        <v>1</v>
      </c>
      <c r="G84" s="32" t="s">
        <v>361</v>
      </c>
      <c r="H84" s="103"/>
      <c r="I84" s="103"/>
      <c r="J84" s="111"/>
      <c r="K84" s="103" t="s">
        <v>329</v>
      </c>
      <c r="L84" s="103"/>
      <c r="M84" s="103"/>
      <c r="N84" s="103"/>
      <c r="O84" s="102"/>
      <c r="P84" s="107"/>
    </row>
    <row r="85" spans="1:26" s="44" customFormat="1" ht="15" thickBot="1" x14ac:dyDescent="0.35">
      <c r="A85" s="38"/>
      <c r="B85" s="38"/>
      <c r="C85" s="39"/>
      <c r="D85" s="40"/>
      <c r="E85" s="40"/>
      <c r="F85" s="40"/>
      <c r="G85" s="40"/>
      <c r="H85" s="42"/>
      <c r="I85" s="42"/>
      <c r="J85" s="43"/>
      <c r="K85" s="42"/>
      <c r="L85" s="42"/>
      <c r="M85" s="42"/>
      <c r="N85" s="42"/>
      <c r="O85" s="43"/>
      <c r="P85" s="109"/>
    </row>
    <row r="86" spans="1:26" ht="15" thickBot="1" x14ac:dyDescent="0.35">
      <c r="A86" s="106" t="s">
        <v>362</v>
      </c>
      <c r="B86" s="106">
        <v>4</v>
      </c>
      <c r="C86" s="108">
        <v>2</v>
      </c>
      <c r="D86" s="32"/>
      <c r="E86" s="32"/>
      <c r="F86" s="32">
        <v>1</v>
      </c>
      <c r="G86" s="32" t="s">
        <v>364</v>
      </c>
      <c r="H86" s="103" t="s">
        <v>72</v>
      </c>
      <c r="I86" s="29" t="s">
        <v>495</v>
      </c>
      <c r="J86" s="102"/>
      <c r="K86" s="103" t="s">
        <v>365</v>
      </c>
      <c r="L86" s="103" t="s">
        <v>366</v>
      </c>
      <c r="M86" s="103"/>
      <c r="N86" s="103"/>
      <c r="O86" s="102"/>
      <c r="P86" s="107"/>
    </row>
    <row r="87" spans="1:26" ht="15" thickBot="1" x14ac:dyDescent="0.35">
      <c r="A87" s="4" t="s">
        <v>362</v>
      </c>
      <c r="B87" s="4">
        <v>4</v>
      </c>
      <c r="C87" s="9">
        <v>2</v>
      </c>
      <c r="D87" s="10"/>
      <c r="E87" s="10"/>
      <c r="F87" s="10">
        <v>1</v>
      </c>
      <c r="G87" s="10" t="s">
        <v>364</v>
      </c>
      <c r="H87" s="8" t="s">
        <v>72</v>
      </c>
      <c r="I87" s="29" t="s">
        <v>495</v>
      </c>
      <c r="J87" s="2"/>
      <c r="K87" s="8" t="s">
        <v>367</v>
      </c>
      <c r="L87" s="8" t="s">
        <v>369</v>
      </c>
      <c r="M87" s="8"/>
      <c r="N87" s="8"/>
      <c r="O87" s="2"/>
      <c r="P87" s="105"/>
      <c r="R87" s="5" t="s">
        <v>365</v>
      </c>
    </row>
    <row r="88" spans="1:26" ht="15" thickBot="1" x14ac:dyDescent="0.35">
      <c r="A88" s="106" t="s">
        <v>362</v>
      </c>
      <c r="B88" s="106">
        <v>4</v>
      </c>
      <c r="C88" s="108">
        <v>2</v>
      </c>
      <c r="D88" s="32"/>
      <c r="E88" s="32"/>
      <c r="F88" s="32">
        <v>1</v>
      </c>
      <c r="G88" s="32" t="s">
        <v>364</v>
      </c>
      <c r="H88" s="103" t="s">
        <v>72</v>
      </c>
      <c r="I88" s="29" t="s">
        <v>495</v>
      </c>
      <c r="J88" s="102"/>
      <c r="K88" s="103" t="s">
        <v>368</v>
      </c>
      <c r="L88" s="103"/>
      <c r="M88" s="103"/>
      <c r="N88" s="103"/>
      <c r="O88" s="102"/>
      <c r="P88" s="107"/>
      <c r="R88" s="5" t="s">
        <v>362</v>
      </c>
      <c r="S88" s="5" t="s">
        <v>448</v>
      </c>
      <c r="T88" s="5">
        <v>4</v>
      </c>
      <c r="V88" s="52" t="s">
        <v>453</v>
      </c>
      <c r="W88" s="52" t="s">
        <v>454</v>
      </c>
      <c r="X88" s="52" t="s">
        <v>359</v>
      </c>
      <c r="Y88" s="52" t="s">
        <v>455</v>
      </c>
      <c r="Z88" s="52" t="s">
        <v>456</v>
      </c>
    </row>
    <row r="89" spans="1:26" ht="15" thickBot="1" x14ac:dyDescent="0.35">
      <c r="A89" s="4" t="s">
        <v>370</v>
      </c>
      <c r="B89" s="4">
        <v>4</v>
      </c>
      <c r="C89" s="9">
        <v>2</v>
      </c>
      <c r="D89" s="10"/>
      <c r="E89" s="10"/>
      <c r="F89" s="10">
        <v>1</v>
      </c>
      <c r="G89" s="10" t="s">
        <v>372</v>
      </c>
      <c r="H89" s="8"/>
      <c r="I89" s="8"/>
      <c r="J89" s="2"/>
      <c r="K89" s="8" t="s">
        <v>365</v>
      </c>
      <c r="L89" s="8" t="s">
        <v>366</v>
      </c>
      <c r="M89" s="8"/>
      <c r="N89" s="8"/>
      <c r="O89" s="2"/>
      <c r="P89" s="105"/>
      <c r="R89" s="5" t="s">
        <v>370</v>
      </c>
      <c r="S89" s="5" t="s">
        <v>448</v>
      </c>
      <c r="T89" s="5">
        <v>4</v>
      </c>
      <c r="V89" s="52">
        <v>6</v>
      </c>
      <c r="W89" s="52">
        <v>3</v>
      </c>
      <c r="X89" s="52">
        <v>3</v>
      </c>
      <c r="Y89" s="52">
        <v>2</v>
      </c>
      <c r="Z89" s="52">
        <v>2</v>
      </c>
    </row>
    <row r="90" spans="1:26" ht="15" thickBot="1" x14ac:dyDescent="0.35">
      <c r="A90" s="46" t="s">
        <v>373</v>
      </c>
      <c r="B90" s="106">
        <v>3</v>
      </c>
      <c r="C90" s="108">
        <v>1</v>
      </c>
      <c r="D90" s="32" t="s">
        <v>278</v>
      </c>
      <c r="E90" s="32"/>
      <c r="F90" s="32">
        <v>1</v>
      </c>
      <c r="G90" s="32" t="s">
        <v>535</v>
      </c>
      <c r="H90" s="103"/>
      <c r="I90" s="103"/>
      <c r="J90" s="102"/>
      <c r="K90" s="103" t="s">
        <v>365</v>
      </c>
      <c r="L90" s="103"/>
      <c r="M90" s="103"/>
      <c r="N90" s="103"/>
      <c r="O90" s="102"/>
      <c r="P90" s="112" t="s">
        <v>672</v>
      </c>
      <c r="R90" s="5" t="s">
        <v>276</v>
      </c>
      <c r="S90" s="5" t="s">
        <v>547</v>
      </c>
      <c r="T90" s="5">
        <v>3</v>
      </c>
      <c r="V90" s="52"/>
      <c r="W90" s="52">
        <v>1</v>
      </c>
      <c r="X90" s="52">
        <v>2</v>
      </c>
      <c r="Y90" s="52">
        <v>2</v>
      </c>
      <c r="Z90" s="52">
        <v>2</v>
      </c>
    </row>
    <row r="91" spans="1:26" ht="15" thickBot="1" x14ac:dyDescent="0.35">
      <c r="A91" s="4" t="s">
        <v>681</v>
      </c>
      <c r="B91" s="4">
        <v>2</v>
      </c>
      <c r="C91" s="9">
        <v>1</v>
      </c>
      <c r="D91" s="10" t="s">
        <v>279</v>
      </c>
      <c r="E91" s="10"/>
      <c r="F91" s="10">
        <v>0</v>
      </c>
      <c r="G91" s="28"/>
      <c r="H91" s="8"/>
      <c r="I91" s="8"/>
      <c r="J91" s="2"/>
      <c r="K91" s="8" t="s">
        <v>365</v>
      </c>
      <c r="L91" s="8"/>
      <c r="M91" s="8"/>
      <c r="N91" s="8"/>
      <c r="O91" s="2"/>
      <c r="P91" s="105"/>
      <c r="R91" s="5" t="s">
        <v>373</v>
      </c>
      <c r="S91" s="5" t="s">
        <v>449</v>
      </c>
      <c r="T91" s="5">
        <v>5</v>
      </c>
      <c r="V91" s="52"/>
      <c r="W91" s="52"/>
      <c r="X91" s="52"/>
      <c r="Y91" s="5">
        <v>2</v>
      </c>
      <c r="Z91" s="52">
        <v>2</v>
      </c>
    </row>
    <row r="92" spans="1:26" ht="15" thickBot="1" x14ac:dyDescent="0.35">
      <c r="A92" s="106" t="s">
        <v>374</v>
      </c>
      <c r="B92" s="106">
        <v>5</v>
      </c>
      <c r="C92" s="108">
        <v>2</v>
      </c>
      <c r="D92" s="32"/>
      <c r="E92" s="32"/>
      <c r="F92" s="32">
        <v>2</v>
      </c>
      <c r="G92" s="32" t="s">
        <v>68</v>
      </c>
      <c r="H92" s="103" t="s">
        <v>69</v>
      </c>
      <c r="I92" s="103"/>
      <c r="J92" s="102"/>
      <c r="K92" s="103" t="s">
        <v>365</v>
      </c>
      <c r="L92" s="103"/>
      <c r="M92" s="103"/>
      <c r="N92" s="103"/>
      <c r="O92" s="102"/>
      <c r="P92" s="107"/>
      <c r="R92" s="5" t="s">
        <v>374</v>
      </c>
      <c r="S92" s="5" t="s">
        <v>449</v>
      </c>
      <c r="T92" s="5">
        <v>5</v>
      </c>
    </row>
    <row r="93" spans="1:26" ht="15" thickBot="1" x14ac:dyDescent="0.35">
      <c r="A93" s="4" t="s">
        <v>375</v>
      </c>
      <c r="B93" s="4">
        <v>6</v>
      </c>
      <c r="C93" s="9">
        <v>1</v>
      </c>
      <c r="D93" s="10"/>
      <c r="E93" s="10"/>
      <c r="F93" s="10">
        <v>2</v>
      </c>
      <c r="G93" s="67" t="s">
        <v>378</v>
      </c>
      <c r="H93" s="8" t="s">
        <v>437</v>
      </c>
      <c r="I93" s="8"/>
      <c r="J93" s="2"/>
      <c r="K93" s="8" t="s">
        <v>365</v>
      </c>
      <c r="L93" s="8"/>
      <c r="M93" s="8"/>
      <c r="N93" s="8"/>
      <c r="O93" s="2"/>
      <c r="P93" s="105"/>
      <c r="R93" s="5" t="s">
        <v>375</v>
      </c>
      <c r="S93" s="5">
        <v>6</v>
      </c>
      <c r="T93" s="5">
        <v>6</v>
      </c>
    </row>
    <row r="94" spans="1:26" ht="15" thickBot="1" x14ac:dyDescent="0.35">
      <c r="A94" s="106" t="s">
        <v>276</v>
      </c>
      <c r="B94" s="106">
        <v>3</v>
      </c>
      <c r="C94" s="108">
        <v>2</v>
      </c>
      <c r="D94" s="32"/>
      <c r="E94" s="32"/>
      <c r="F94" s="32">
        <v>1</v>
      </c>
      <c r="G94" s="67" t="s">
        <v>498</v>
      </c>
      <c r="H94" s="103"/>
      <c r="I94" s="103"/>
      <c r="J94" s="102"/>
      <c r="K94" s="103" t="s">
        <v>365</v>
      </c>
      <c r="L94" s="103" t="s">
        <v>366</v>
      </c>
      <c r="M94" s="103"/>
      <c r="N94" s="103"/>
      <c r="O94" s="102"/>
      <c r="P94" s="107"/>
      <c r="S94" s="7" t="s">
        <v>548</v>
      </c>
      <c r="T94" s="5">
        <f>SUM(T88:T93)</f>
        <v>27</v>
      </c>
    </row>
    <row r="95" spans="1:26" ht="15" thickBot="1" x14ac:dyDescent="0.35">
      <c r="A95" s="4" t="s">
        <v>276</v>
      </c>
      <c r="B95" s="4">
        <v>3</v>
      </c>
      <c r="C95" s="9">
        <v>2</v>
      </c>
      <c r="D95" s="10"/>
      <c r="E95" s="10"/>
      <c r="F95" s="10">
        <v>1</v>
      </c>
      <c r="G95" s="67" t="s">
        <v>498</v>
      </c>
      <c r="H95" s="8"/>
      <c r="I95" s="8"/>
      <c r="J95" s="2"/>
      <c r="K95" s="8" t="s">
        <v>367</v>
      </c>
      <c r="L95" s="8" t="s">
        <v>369</v>
      </c>
      <c r="M95" s="8"/>
      <c r="N95" s="8"/>
      <c r="O95" s="2"/>
      <c r="P95" s="105"/>
    </row>
    <row r="96" spans="1:26" ht="15" thickBot="1" x14ac:dyDescent="0.35">
      <c r="A96" s="106" t="s">
        <v>276</v>
      </c>
      <c r="B96" s="106">
        <v>3</v>
      </c>
      <c r="C96" s="108">
        <v>2</v>
      </c>
      <c r="D96" s="32"/>
      <c r="E96" s="32"/>
      <c r="F96" s="32">
        <v>1</v>
      </c>
      <c r="G96" s="67" t="s">
        <v>498</v>
      </c>
      <c r="H96" s="103"/>
      <c r="I96" s="103"/>
      <c r="J96" s="102"/>
      <c r="K96" s="103" t="s">
        <v>368</v>
      </c>
      <c r="L96" s="103"/>
      <c r="M96" s="103"/>
      <c r="N96" s="103"/>
      <c r="O96" s="102"/>
      <c r="P96" s="107"/>
    </row>
    <row r="97" spans="1:26" ht="15" thickBot="1" x14ac:dyDescent="0.35">
      <c r="A97" s="4" t="s">
        <v>376</v>
      </c>
      <c r="B97" s="4">
        <v>6</v>
      </c>
      <c r="C97" s="9">
        <v>2</v>
      </c>
      <c r="D97" s="10"/>
      <c r="E97" s="10"/>
      <c r="F97" s="10">
        <v>1</v>
      </c>
      <c r="G97" s="10" t="s">
        <v>42</v>
      </c>
      <c r="H97" s="8"/>
      <c r="I97" s="8"/>
      <c r="J97" s="2"/>
      <c r="K97" s="8" t="s">
        <v>367</v>
      </c>
      <c r="L97" s="8" t="s">
        <v>366</v>
      </c>
      <c r="M97" s="8"/>
      <c r="N97" s="8"/>
      <c r="O97" s="2"/>
      <c r="P97" s="105"/>
    </row>
    <row r="98" spans="1:26" ht="15" thickBot="1" x14ac:dyDescent="0.35">
      <c r="A98" s="106" t="s">
        <v>379</v>
      </c>
      <c r="B98" s="106">
        <v>4</v>
      </c>
      <c r="C98" s="108">
        <v>2</v>
      </c>
      <c r="D98" s="32"/>
      <c r="E98" s="32"/>
      <c r="F98" s="32">
        <v>0</v>
      </c>
      <c r="G98" s="28"/>
      <c r="H98" s="103"/>
      <c r="I98" s="103"/>
      <c r="J98" s="102"/>
      <c r="K98" s="103" t="s">
        <v>366</v>
      </c>
      <c r="L98" s="103"/>
      <c r="M98" s="103"/>
      <c r="N98" s="103"/>
      <c r="O98" s="102"/>
      <c r="P98" s="107"/>
      <c r="R98" s="5" t="s">
        <v>366</v>
      </c>
    </row>
    <row r="99" spans="1:26" ht="15" thickBot="1" x14ac:dyDescent="0.35">
      <c r="A99" s="4" t="s">
        <v>425</v>
      </c>
      <c r="B99" s="4">
        <v>6</v>
      </c>
      <c r="C99" s="9">
        <v>2</v>
      </c>
      <c r="D99" s="10"/>
      <c r="E99" s="10"/>
      <c r="F99" s="10">
        <v>1</v>
      </c>
      <c r="G99" s="10" t="s">
        <v>73</v>
      </c>
      <c r="H99" s="8"/>
      <c r="I99" s="8"/>
      <c r="J99" s="2"/>
      <c r="K99" s="8" t="s">
        <v>366</v>
      </c>
      <c r="L99" s="8"/>
      <c r="M99" s="8"/>
      <c r="N99" s="8"/>
      <c r="O99" s="2"/>
      <c r="P99" s="105"/>
      <c r="R99" s="5" t="s">
        <v>362</v>
      </c>
      <c r="S99" s="5" t="s">
        <v>448</v>
      </c>
      <c r="T99" s="5">
        <v>4</v>
      </c>
      <c r="V99" s="52" t="s">
        <v>453</v>
      </c>
      <c r="W99" s="52" t="s">
        <v>454</v>
      </c>
      <c r="X99" s="52" t="s">
        <v>359</v>
      </c>
      <c r="Y99" s="52" t="s">
        <v>455</v>
      </c>
      <c r="Z99" s="52" t="s">
        <v>456</v>
      </c>
    </row>
    <row r="100" spans="1:26" ht="15" thickBot="1" x14ac:dyDescent="0.35">
      <c r="A100" s="106" t="s">
        <v>274</v>
      </c>
      <c r="B100" s="106">
        <v>5</v>
      </c>
      <c r="C100" s="108">
        <v>2</v>
      </c>
      <c r="D100" s="32"/>
      <c r="E100" s="32"/>
      <c r="F100" s="32">
        <v>1</v>
      </c>
      <c r="G100" s="32" t="s">
        <v>505</v>
      </c>
      <c r="H100" s="29" t="s">
        <v>519</v>
      </c>
      <c r="I100" s="103"/>
      <c r="J100" s="102"/>
      <c r="K100" s="103" t="s">
        <v>368</v>
      </c>
      <c r="L100" s="103"/>
      <c r="M100" s="103"/>
      <c r="N100" s="103"/>
      <c r="O100" s="102"/>
      <c r="P100" s="107"/>
      <c r="R100" s="5" t="s">
        <v>370</v>
      </c>
      <c r="S100" s="5" t="s">
        <v>448</v>
      </c>
      <c r="T100" s="5">
        <v>4</v>
      </c>
      <c r="V100" s="5">
        <v>3</v>
      </c>
      <c r="W100" s="5">
        <v>3</v>
      </c>
      <c r="X100" s="5">
        <v>3</v>
      </c>
      <c r="Y100" s="5">
        <v>3</v>
      </c>
      <c r="Z100" s="5">
        <v>2</v>
      </c>
    </row>
    <row r="101" spans="1:26" ht="15" thickBot="1" x14ac:dyDescent="0.35">
      <c r="A101" s="4" t="s">
        <v>274</v>
      </c>
      <c r="B101" s="4">
        <v>5</v>
      </c>
      <c r="C101" s="9">
        <v>2</v>
      </c>
      <c r="D101" s="10"/>
      <c r="E101" s="10"/>
      <c r="F101" s="10">
        <v>1</v>
      </c>
      <c r="G101" s="10" t="s">
        <v>505</v>
      </c>
      <c r="H101" s="29" t="s">
        <v>519</v>
      </c>
      <c r="I101" s="8"/>
      <c r="J101" s="2"/>
      <c r="K101" s="8" t="s">
        <v>369</v>
      </c>
      <c r="L101" s="8"/>
      <c r="M101" s="8"/>
      <c r="N101" s="8"/>
      <c r="O101" s="2"/>
      <c r="P101" s="105"/>
      <c r="R101" s="5" t="s">
        <v>276</v>
      </c>
      <c r="S101" s="5" t="s">
        <v>547</v>
      </c>
      <c r="T101" s="5">
        <v>3</v>
      </c>
      <c r="V101" s="5">
        <v>2</v>
      </c>
      <c r="W101" s="5">
        <v>2</v>
      </c>
      <c r="X101" s="5">
        <v>2</v>
      </c>
      <c r="Y101" s="5">
        <v>2</v>
      </c>
      <c r="Z101" s="5">
        <v>2</v>
      </c>
    </row>
    <row r="102" spans="1:26" ht="15" thickBot="1" x14ac:dyDescent="0.35">
      <c r="A102" s="106" t="s">
        <v>380</v>
      </c>
      <c r="B102" s="106">
        <v>5</v>
      </c>
      <c r="C102" s="108">
        <v>2</v>
      </c>
      <c r="D102" s="32"/>
      <c r="E102" s="32"/>
      <c r="F102" s="32">
        <v>1</v>
      </c>
      <c r="G102" s="32" t="s">
        <v>382</v>
      </c>
      <c r="H102" s="103" t="s">
        <v>384</v>
      </c>
      <c r="I102" s="103"/>
      <c r="J102" s="102"/>
      <c r="K102" s="103" t="s">
        <v>367</v>
      </c>
      <c r="L102" s="103" t="s">
        <v>369</v>
      </c>
      <c r="M102" s="103"/>
      <c r="N102" s="103"/>
      <c r="O102" s="102"/>
      <c r="P102" s="107"/>
      <c r="R102" s="5" t="s">
        <v>376</v>
      </c>
      <c r="S102" s="5" t="s">
        <v>451</v>
      </c>
      <c r="T102" s="5">
        <v>6</v>
      </c>
      <c r="V102" s="5">
        <v>1</v>
      </c>
      <c r="Z102" s="5">
        <v>2</v>
      </c>
    </row>
    <row r="103" spans="1:26" ht="15" thickBot="1" x14ac:dyDescent="0.35">
      <c r="A103" s="4" t="s">
        <v>380</v>
      </c>
      <c r="B103" s="4">
        <v>5</v>
      </c>
      <c r="C103" s="9">
        <v>2</v>
      </c>
      <c r="D103" s="10"/>
      <c r="E103" s="10"/>
      <c r="F103" s="10">
        <v>1</v>
      </c>
      <c r="G103" s="10" t="s">
        <v>382</v>
      </c>
      <c r="H103" s="8" t="s">
        <v>384</v>
      </c>
      <c r="I103" s="8"/>
      <c r="J103" s="2"/>
      <c r="K103" s="8" t="s">
        <v>368</v>
      </c>
      <c r="L103" s="8"/>
      <c r="M103" s="8"/>
      <c r="N103" s="8"/>
      <c r="O103" s="2"/>
      <c r="P103" s="105"/>
      <c r="R103" s="5" t="s">
        <v>379</v>
      </c>
      <c r="S103" s="5" t="s">
        <v>448</v>
      </c>
      <c r="T103" s="5">
        <v>4</v>
      </c>
    </row>
    <row r="104" spans="1:26" ht="15" thickBot="1" x14ac:dyDescent="0.35">
      <c r="A104" s="106" t="s">
        <v>271</v>
      </c>
      <c r="B104" s="106">
        <v>4</v>
      </c>
      <c r="C104" s="108">
        <v>2</v>
      </c>
      <c r="D104" s="32"/>
      <c r="E104" s="32"/>
      <c r="F104" s="32">
        <v>1</v>
      </c>
      <c r="G104" s="32" t="s">
        <v>443</v>
      </c>
      <c r="H104" s="103"/>
      <c r="I104" s="103"/>
      <c r="J104" s="102"/>
      <c r="K104" s="103" t="s">
        <v>368</v>
      </c>
      <c r="L104" s="103"/>
      <c r="M104" s="103"/>
      <c r="N104" s="103"/>
      <c r="O104" s="102"/>
      <c r="P104" s="107"/>
      <c r="R104" s="5" t="s">
        <v>425</v>
      </c>
      <c r="S104" s="5" t="s">
        <v>451</v>
      </c>
      <c r="T104" s="5">
        <v>6</v>
      </c>
    </row>
    <row r="105" spans="1:26" ht="15" thickBot="1" x14ac:dyDescent="0.35">
      <c r="A105" s="4" t="s">
        <v>271</v>
      </c>
      <c r="B105" s="4">
        <v>4</v>
      </c>
      <c r="C105" s="9">
        <v>2</v>
      </c>
      <c r="D105" s="10"/>
      <c r="E105" s="10"/>
      <c r="F105" s="28">
        <v>0</v>
      </c>
      <c r="G105" s="28"/>
      <c r="H105" s="8"/>
      <c r="I105" s="8"/>
      <c r="J105" s="2"/>
      <c r="K105" s="8" t="s">
        <v>369</v>
      </c>
      <c r="L105" s="8"/>
      <c r="M105" s="8"/>
      <c r="N105" s="8"/>
      <c r="O105" s="2"/>
      <c r="P105" s="105"/>
      <c r="S105" s="5" t="s">
        <v>549</v>
      </c>
      <c r="T105" s="5">
        <f>SUM(T99:T104)</f>
        <v>27</v>
      </c>
    </row>
    <row r="106" spans="1:26" ht="15" thickBot="1" x14ac:dyDescent="0.35">
      <c r="A106" s="106" t="s">
        <v>386</v>
      </c>
      <c r="B106" s="106">
        <v>4</v>
      </c>
      <c r="C106" s="108">
        <v>2</v>
      </c>
      <c r="D106" s="32"/>
      <c r="E106" s="32"/>
      <c r="F106" s="32">
        <v>1</v>
      </c>
      <c r="G106" s="32" t="s">
        <v>67</v>
      </c>
      <c r="H106" s="103" t="s">
        <v>388</v>
      </c>
      <c r="I106" s="103"/>
      <c r="J106" s="102"/>
      <c r="K106" s="103" t="s">
        <v>367</v>
      </c>
      <c r="L106" s="103" t="s">
        <v>369</v>
      </c>
      <c r="M106" s="103"/>
      <c r="N106" s="103"/>
      <c r="O106" s="102"/>
      <c r="P106" s="107"/>
    </row>
    <row r="107" spans="1:26" ht="15" thickBot="1" x14ac:dyDescent="0.35">
      <c r="A107" s="4" t="s">
        <v>386</v>
      </c>
      <c r="B107" s="4">
        <v>4</v>
      </c>
      <c r="C107" s="9">
        <v>2</v>
      </c>
      <c r="D107" s="10"/>
      <c r="E107" s="10"/>
      <c r="F107" s="10">
        <v>1</v>
      </c>
      <c r="G107" s="10" t="s">
        <v>67</v>
      </c>
      <c r="H107" s="8" t="s">
        <v>388</v>
      </c>
      <c r="I107" s="8"/>
      <c r="J107" s="2"/>
      <c r="K107" s="8" t="s">
        <v>368</v>
      </c>
      <c r="L107" s="8"/>
      <c r="M107" s="8"/>
      <c r="N107" s="8"/>
      <c r="O107" s="2"/>
      <c r="P107" s="105"/>
    </row>
    <row r="108" spans="1:26" ht="15" thickBot="1" x14ac:dyDescent="0.35">
      <c r="A108" s="106" t="s">
        <v>385</v>
      </c>
      <c r="B108" s="106">
        <v>5</v>
      </c>
      <c r="C108" s="108">
        <v>2</v>
      </c>
      <c r="D108" s="32"/>
      <c r="E108" s="32"/>
      <c r="F108" s="32">
        <v>3</v>
      </c>
      <c r="G108" s="32" t="s">
        <v>74</v>
      </c>
      <c r="H108" s="103" t="s">
        <v>64</v>
      </c>
      <c r="I108" s="103" t="s">
        <v>80</v>
      </c>
      <c r="J108" s="102"/>
      <c r="K108" s="103" t="s">
        <v>367</v>
      </c>
      <c r="L108" s="103"/>
      <c r="M108" s="103"/>
      <c r="N108" s="103"/>
      <c r="O108" s="102"/>
      <c r="P108" s="107"/>
    </row>
    <row r="109" spans="1:26" s="44" customFormat="1" ht="15" thickBot="1" x14ac:dyDescent="0.35">
      <c r="A109" s="38"/>
      <c r="B109" s="38"/>
      <c r="C109" s="39"/>
      <c r="D109" s="40"/>
      <c r="E109" s="40"/>
      <c r="F109" s="40"/>
      <c r="G109" s="40"/>
      <c r="H109" s="42"/>
      <c r="I109" s="42"/>
      <c r="J109" s="43"/>
      <c r="K109" s="42"/>
      <c r="L109" s="42"/>
      <c r="M109" s="42"/>
      <c r="N109" s="42"/>
      <c r="O109" s="43"/>
      <c r="P109" s="109"/>
    </row>
    <row r="110" spans="1:26" ht="15" thickBot="1" x14ac:dyDescent="0.35">
      <c r="A110" s="106" t="s">
        <v>262</v>
      </c>
      <c r="B110" s="106">
        <v>3</v>
      </c>
      <c r="C110" s="108">
        <v>2</v>
      </c>
      <c r="D110" s="32"/>
      <c r="E110" s="32"/>
      <c r="F110" s="32">
        <v>1</v>
      </c>
      <c r="G110" s="67" t="s">
        <v>508</v>
      </c>
      <c r="H110" s="75" t="s">
        <v>510</v>
      </c>
      <c r="I110" s="103"/>
      <c r="J110" s="102"/>
      <c r="K110" s="103" t="s">
        <v>389</v>
      </c>
      <c r="L110" s="103" t="s">
        <v>390</v>
      </c>
      <c r="M110" s="103" t="s">
        <v>391</v>
      </c>
      <c r="N110" s="103"/>
      <c r="O110" s="102"/>
      <c r="P110" s="107"/>
    </row>
    <row r="111" spans="1:26" ht="15" thickBot="1" x14ac:dyDescent="0.35">
      <c r="A111" s="4" t="s">
        <v>262</v>
      </c>
      <c r="B111" s="4">
        <v>3</v>
      </c>
      <c r="C111" s="9">
        <v>2</v>
      </c>
      <c r="D111" s="10"/>
      <c r="E111" s="10"/>
      <c r="F111" s="10">
        <v>1</v>
      </c>
      <c r="G111" s="67" t="s">
        <v>508</v>
      </c>
      <c r="H111" s="75" t="s">
        <v>510</v>
      </c>
      <c r="I111" s="8"/>
      <c r="J111" s="2"/>
      <c r="K111" s="8" t="s">
        <v>392</v>
      </c>
      <c r="L111" s="8" t="s">
        <v>393</v>
      </c>
      <c r="M111" s="8"/>
      <c r="N111" s="8"/>
      <c r="O111" s="2"/>
      <c r="P111" s="105"/>
    </row>
    <row r="112" spans="1:26" ht="15" thickBot="1" x14ac:dyDescent="0.35">
      <c r="A112" s="106" t="s">
        <v>394</v>
      </c>
      <c r="B112" s="106">
        <v>4</v>
      </c>
      <c r="C112" s="108">
        <v>2</v>
      </c>
      <c r="D112" s="32" t="s">
        <v>278</v>
      </c>
      <c r="E112" s="32"/>
      <c r="F112" s="32">
        <v>1</v>
      </c>
      <c r="G112" s="32" t="s">
        <v>70</v>
      </c>
      <c r="H112" s="103"/>
      <c r="I112" s="103"/>
      <c r="J112" s="102"/>
      <c r="K112" s="103" t="s">
        <v>389</v>
      </c>
      <c r="L112" s="103"/>
      <c r="M112" s="103"/>
      <c r="N112" s="103"/>
      <c r="O112" s="102"/>
      <c r="P112" s="107"/>
    </row>
    <row r="113" spans="1:16" ht="15" thickBot="1" x14ac:dyDescent="0.35">
      <c r="A113" s="4" t="s">
        <v>682</v>
      </c>
      <c r="B113" s="4">
        <v>2</v>
      </c>
      <c r="C113" s="9">
        <v>1</v>
      </c>
      <c r="D113" s="10" t="s">
        <v>279</v>
      </c>
      <c r="E113" s="10"/>
      <c r="F113" s="10">
        <v>2</v>
      </c>
      <c r="G113" s="10" t="s">
        <v>71</v>
      </c>
      <c r="H113" s="8" t="s">
        <v>70</v>
      </c>
      <c r="I113" s="8"/>
      <c r="J113" s="2"/>
      <c r="K113" s="8" t="s">
        <v>389</v>
      </c>
      <c r="L113" s="8"/>
      <c r="M113" s="8"/>
      <c r="N113" s="8"/>
      <c r="O113" s="2"/>
      <c r="P113" s="105"/>
    </row>
    <row r="114" spans="1:16" ht="15" thickBot="1" x14ac:dyDescent="0.35">
      <c r="A114" s="53" t="s">
        <v>533</v>
      </c>
      <c r="B114" s="106">
        <v>4</v>
      </c>
      <c r="C114" s="108">
        <v>2</v>
      </c>
      <c r="D114" s="32"/>
      <c r="E114" s="32"/>
      <c r="F114" s="32">
        <v>2</v>
      </c>
      <c r="G114" s="32" t="s">
        <v>530</v>
      </c>
      <c r="H114" s="103" t="s">
        <v>397</v>
      </c>
      <c r="I114" s="103"/>
      <c r="J114" s="102"/>
      <c r="K114" s="103" t="s">
        <v>389</v>
      </c>
      <c r="L114" s="103" t="s">
        <v>390</v>
      </c>
      <c r="M114" s="103" t="s">
        <v>391</v>
      </c>
      <c r="N114" s="103"/>
      <c r="O114" s="102"/>
      <c r="P114" s="107"/>
    </row>
    <row r="115" spans="1:16" ht="15" thickBot="1" x14ac:dyDescent="0.35">
      <c r="A115" s="53" t="s">
        <v>533</v>
      </c>
      <c r="B115" s="4">
        <v>4</v>
      </c>
      <c r="C115" s="9">
        <v>2</v>
      </c>
      <c r="D115" s="10"/>
      <c r="E115" s="10"/>
      <c r="F115" s="10">
        <v>2</v>
      </c>
      <c r="G115" s="10" t="s">
        <v>530</v>
      </c>
      <c r="H115" s="8" t="s">
        <v>397</v>
      </c>
      <c r="I115" s="8"/>
      <c r="J115" s="2"/>
      <c r="K115" s="8" t="s">
        <v>392</v>
      </c>
      <c r="L115" s="8" t="s">
        <v>393</v>
      </c>
      <c r="M115" s="8"/>
      <c r="N115" s="8"/>
      <c r="O115" s="2"/>
      <c r="P115" s="105"/>
    </row>
    <row r="116" spans="1:16" ht="15" thickBot="1" x14ac:dyDescent="0.35">
      <c r="A116" s="106" t="s">
        <v>395</v>
      </c>
      <c r="B116" s="106">
        <v>3</v>
      </c>
      <c r="C116" s="106">
        <v>1</v>
      </c>
      <c r="D116" s="108"/>
      <c r="E116" s="32"/>
      <c r="F116" s="32">
        <v>1</v>
      </c>
      <c r="G116" s="32" t="s">
        <v>474</v>
      </c>
      <c r="H116" s="103" t="s">
        <v>532</v>
      </c>
      <c r="I116" s="103"/>
      <c r="J116" s="102"/>
      <c r="K116" s="103" t="s">
        <v>389</v>
      </c>
      <c r="L116" s="103"/>
      <c r="M116" s="103"/>
      <c r="N116" s="103"/>
      <c r="O116" s="102"/>
      <c r="P116" s="107" t="s">
        <v>667</v>
      </c>
    </row>
    <row r="117" spans="1:16" ht="15" thickBot="1" x14ac:dyDescent="0.35">
      <c r="A117" s="4" t="s">
        <v>395</v>
      </c>
      <c r="B117" s="4">
        <v>3</v>
      </c>
      <c r="C117" s="4">
        <v>1</v>
      </c>
      <c r="D117" s="9"/>
      <c r="E117" s="10"/>
      <c r="F117" s="10">
        <v>1</v>
      </c>
      <c r="G117" s="10" t="s">
        <v>474</v>
      </c>
      <c r="H117" s="8" t="s">
        <v>532</v>
      </c>
      <c r="I117" s="8"/>
      <c r="J117" s="2"/>
      <c r="K117" s="8" t="s">
        <v>389</v>
      </c>
      <c r="L117" s="8"/>
      <c r="M117" s="8"/>
      <c r="N117" s="8"/>
      <c r="O117" s="2"/>
      <c r="P117" s="105" t="s">
        <v>667</v>
      </c>
    </row>
    <row r="118" spans="1:16" ht="15" thickBot="1" x14ac:dyDescent="0.35">
      <c r="A118" s="106" t="s">
        <v>398</v>
      </c>
      <c r="B118" s="106">
        <v>5</v>
      </c>
      <c r="C118" s="108">
        <v>2</v>
      </c>
      <c r="D118" s="32"/>
      <c r="E118" s="32"/>
      <c r="F118" s="32">
        <v>1</v>
      </c>
      <c r="G118" s="32" t="s">
        <v>181</v>
      </c>
      <c r="H118" s="103"/>
      <c r="I118" s="103"/>
      <c r="J118" s="102"/>
      <c r="K118" s="103" t="s">
        <v>390</v>
      </c>
      <c r="L118" s="103"/>
      <c r="M118" s="103"/>
      <c r="N118" s="103"/>
      <c r="O118" s="102"/>
      <c r="P118" s="107"/>
    </row>
    <row r="119" spans="1:16" ht="15" thickBot="1" x14ac:dyDescent="0.35">
      <c r="A119" s="4" t="s">
        <v>401</v>
      </c>
      <c r="B119" s="4">
        <v>5</v>
      </c>
      <c r="C119" s="9">
        <v>2</v>
      </c>
      <c r="D119" s="10"/>
      <c r="E119" s="10"/>
      <c r="F119" s="10">
        <v>2</v>
      </c>
      <c r="G119" s="10" t="s">
        <v>403</v>
      </c>
      <c r="H119" s="8" t="s">
        <v>404</v>
      </c>
      <c r="I119" s="8"/>
      <c r="J119" s="2"/>
      <c r="K119" s="8" t="s">
        <v>390</v>
      </c>
      <c r="L119" s="8"/>
      <c r="M119" s="8"/>
      <c r="N119" s="8"/>
      <c r="O119" s="2"/>
      <c r="P119" s="105"/>
    </row>
    <row r="120" spans="1:16" ht="15" thickBot="1" x14ac:dyDescent="0.35">
      <c r="A120" s="106" t="s">
        <v>676</v>
      </c>
      <c r="B120" s="106">
        <v>4</v>
      </c>
      <c r="C120" s="108">
        <v>1</v>
      </c>
      <c r="D120" s="32"/>
      <c r="E120" s="32"/>
      <c r="F120" s="32">
        <v>1</v>
      </c>
      <c r="G120" s="32" t="s">
        <v>408</v>
      </c>
      <c r="H120" s="103"/>
      <c r="I120" s="103"/>
      <c r="J120" s="102"/>
      <c r="K120" s="103" t="s">
        <v>390</v>
      </c>
      <c r="L120" s="103"/>
      <c r="M120" s="103"/>
      <c r="N120" s="103"/>
      <c r="O120" s="102"/>
      <c r="P120" s="107"/>
    </row>
    <row r="121" spans="1:16" ht="15" thickBot="1" x14ac:dyDescent="0.35">
      <c r="A121" s="4" t="s">
        <v>410</v>
      </c>
      <c r="B121" s="4">
        <v>4</v>
      </c>
      <c r="C121" s="9">
        <v>2</v>
      </c>
      <c r="D121" s="10"/>
      <c r="E121" s="10"/>
      <c r="F121" s="28">
        <v>2</v>
      </c>
      <c r="G121" s="28" t="s">
        <v>490</v>
      </c>
      <c r="H121" s="29" t="s">
        <v>684</v>
      </c>
      <c r="I121" s="8"/>
      <c r="J121" s="2"/>
      <c r="K121" s="29" t="s">
        <v>392</v>
      </c>
      <c r="L121" s="29" t="s">
        <v>393</v>
      </c>
      <c r="M121" s="29" t="s">
        <v>391</v>
      </c>
      <c r="N121" s="8"/>
      <c r="O121" s="2"/>
      <c r="P121" s="105"/>
    </row>
    <row r="122" spans="1:16" ht="15" thickBot="1" x14ac:dyDescent="0.35">
      <c r="A122" s="106" t="s">
        <v>411</v>
      </c>
      <c r="B122" s="106">
        <v>4</v>
      </c>
      <c r="C122" s="108">
        <v>2</v>
      </c>
      <c r="D122" s="32"/>
      <c r="E122" s="32"/>
      <c r="F122" s="32">
        <v>1</v>
      </c>
      <c r="G122" s="32" t="s">
        <v>65</v>
      </c>
      <c r="H122" s="103"/>
      <c r="I122" s="103"/>
      <c r="J122" s="102"/>
      <c r="K122" s="103" t="s">
        <v>392</v>
      </c>
      <c r="L122" s="103" t="s">
        <v>393</v>
      </c>
      <c r="M122" s="103"/>
      <c r="N122" s="103"/>
      <c r="O122" s="102"/>
      <c r="P122" s="107"/>
    </row>
    <row r="123" spans="1:16" ht="15" thickBot="1" x14ac:dyDescent="0.35">
      <c r="A123" s="4" t="s">
        <v>412</v>
      </c>
      <c r="B123" s="4">
        <v>4</v>
      </c>
      <c r="C123" s="9">
        <v>2</v>
      </c>
      <c r="D123" s="10"/>
      <c r="E123" s="10"/>
      <c r="F123" s="28">
        <v>0</v>
      </c>
      <c r="G123" s="28"/>
      <c r="H123" s="8"/>
      <c r="I123" s="8"/>
      <c r="J123" s="2"/>
      <c r="K123" s="8" t="s">
        <v>392</v>
      </c>
      <c r="L123" s="8" t="s">
        <v>393</v>
      </c>
      <c r="M123" s="8"/>
      <c r="N123" s="8"/>
      <c r="O123" s="2"/>
      <c r="P123" s="105"/>
    </row>
    <row r="124" spans="1:16" ht="15" thickBot="1" x14ac:dyDescent="0.35">
      <c r="A124" s="106" t="s">
        <v>268</v>
      </c>
      <c r="B124" s="106">
        <v>2</v>
      </c>
      <c r="C124" s="108">
        <v>1</v>
      </c>
      <c r="D124" s="32"/>
      <c r="E124" s="32"/>
      <c r="F124" s="32">
        <v>1</v>
      </c>
      <c r="G124" s="32" t="s">
        <v>270</v>
      </c>
      <c r="H124" s="103"/>
      <c r="I124" s="103"/>
      <c r="J124" s="102"/>
      <c r="K124" s="75" t="s">
        <v>263</v>
      </c>
      <c r="L124" s="75" t="s">
        <v>393</v>
      </c>
      <c r="M124" s="103"/>
      <c r="N124" s="103"/>
      <c r="O124" s="102"/>
      <c r="P124" s="107"/>
    </row>
    <row r="125" spans="1:16" ht="15" thickBot="1" x14ac:dyDescent="0.35">
      <c r="A125" s="4" t="s">
        <v>268</v>
      </c>
      <c r="B125" s="4">
        <v>2</v>
      </c>
      <c r="C125" s="9">
        <v>1</v>
      </c>
      <c r="D125" s="10"/>
      <c r="E125" s="10"/>
      <c r="F125" s="10">
        <v>1</v>
      </c>
      <c r="G125" s="10" t="s">
        <v>270</v>
      </c>
      <c r="H125" s="8"/>
      <c r="I125" s="8"/>
      <c r="J125" s="2"/>
      <c r="K125" s="75" t="s">
        <v>392</v>
      </c>
      <c r="L125" s="8"/>
      <c r="M125" s="8"/>
      <c r="N125" s="8"/>
      <c r="O125" s="2"/>
      <c r="P125" s="105"/>
    </row>
    <row r="126" spans="1:16" ht="15" thickBot="1" x14ac:dyDescent="0.35">
      <c r="A126" s="106" t="s">
        <v>413</v>
      </c>
      <c r="B126" s="106">
        <v>4</v>
      </c>
      <c r="C126" s="108">
        <v>1</v>
      </c>
      <c r="D126" s="32"/>
      <c r="E126" s="32"/>
      <c r="F126" s="32">
        <v>3</v>
      </c>
      <c r="G126" s="32" t="s">
        <v>415</v>
      </c>
      <c r="H126" s="103" t="s">
        <v>417</v>
      </c>
      <c r="I126" s="103" t="s">
        <v>418</v>
      </c>
      <c r="J126" s="102"/>
      <c r="K126" s="103" t="s">
        <v>391</v>
      </c>
      <c r="L126" s="103" t="s">
        <v>392</v>
      </c>
      <c r="M126" s="103" t="s">
        <v>393</v>
      </c>
      <c r="N126" s="103"/>
      <c r="O126" s="102"/>
      <c r="P126" s="107"/>
    </row>
    <row r="127" spans="1:16" ht="15" thickBot="1" x14ac:dyDescent="0.35">
      <c r="A127" s="4" t="s">
        <v>419</v>
      </c>
      <c r="B127" s="4">
        <v>5</v>
      </c>
      <c r="C127" s="9">
        <v>2</v>
      </c>
      <c r="D127" s="10"/>
      <c r="E127" s="10"/>
      <c r="F127" s="10">
        <v>1</v>
      </c>
      <c r="G127" s="10" t="s">
        <v>421</v>
      </c>
      <c r="H127" s="8"/>
      <c r="I127" s="8"/>
      <c r="J127" s="2"/>
      <c r="K127" s="8" t="s">
        <v>391</v>
      </c>
      <c r="L127" s="8"/>
      <c r="M127" s="8"/>
      <c r="N127" s="8"/>
      <c r="O127" s="2"/>
      <c r="P127" s="105"/>
    </row>
    <row r="128" spans="1:16" ht="15" thickBot="1" x14ac:dyDescent="0.35">
      <c r="A128" s="106" t="s">
        <v>422</v>
      </c>
      <c r="B128" s="106">
        <v>5</v>
      </c>
      <c r="C128" s="108">
        <v>2</v>
      </c>
      <c r="D128" s="32"/>
      <c r="E128" s="32"/>
      <c r="F128" s="32">
        <v>1</v>
      </c>
      <c r="G128" s="32" t="s">
        <v>44</v>
      </c>
      <c r="H128" s="103"/>
      <c r="I128" s="103"/>
      <c r="J128" s="102"/>
      <c r="K128" s="103" t="s">
        <v>391</v>
      </c>
      <c r="L128" s="103"/>
      <c r="M128" s="103"/>
      <c r="N128" s="103"/>
      <c r="O128" s="102"/>
      <c r="P128" s="107"/>
    </row>
    <row r="129" spans="1:32" s="44" customFormat="1" ht="15" thickBot="1" x14ac:dyDescent="0.35">
      <c r="A129" s="38"/>
      <c r="B129" s="38"/>
      <c r="C129" s="39"/>
      <c r="D129" s="40"/>
      <c r="E129" s="40"/>
      <c r="F129" s="40"/>
      <c r="G129" s="40"/>
      <c r="H129" s="42"/>
      <c r="I129" s="42"/>
      <c r="J129" s="43"/>
      <c r="K129" s="42"/>
      <c r="L129" s="42"/>
      <c r="M129" s="42"/>
      <c r="N129" s="42"/>
      <c r="O129" s="43"/>
      <c r="P129" s="109"/>
    </row>
    <row r="130" spans="1:32" ht="15" thickBot="1" x14ac:dyDescent="0.35">
      <c r="A130" s="106" t="s">
        <v>462</v>
      </c>
      <c r="B130" s="76">
        <v>2</v>
      </c>
      <c r="C130" s="77">
        <v>1</v>
      </c>
      <c r="D130" s="32"/>
      <c r="E130" s="32"/>
      <c r="F130" s="32">
        <v>1</v>
      </c>
      <c r="G130" s="32" t="s">
        <v>472</v>
      </c>
      <c r="H130" s="103"/>
      <c r="I130" s="103"/>
      <c r="J130" s="102"/>
      <c r="K130" s="103" t="s">
        <v>491</v>
      </c>
      <c r="L130" s="103"/>
      <c r="M130" s="103"/>
      <c r="N130" s="103"/>
      <c r="O130" s="102"/>
      <c r="P130" s="112" t="s">
        <v>670</v>
      </c>
    </row>
    <row r="131" spans="1:32" ht="15" thickBot="1" x14ac:dyDescent="0.35">
      <c r="A131" s="4" t="s">
        <v>462</v>
      </c>
      <c r="B131" s="76">
        <v>2</v>
      </c>
      <c r="C131" s="77">
        <v>1</v>
      </c>
      <c r="D131" s="10"/>
      <c r="E131" s="10"/>
      <c r="F131" s="10">
        <v>1</v>
      </c>
      <c r="G131" s="10" t="s">
        <v>472</v>
      </c>
      <c r="H131" s="8"/>
      <c r="I131" s="8"/>
      <c r="J131" s="2"/>
      <c r="K131" s="8" t="s">
        <v>491</v>
      </c>
      <c r="L131" s="8"/>
      <c r="M131" s="8"/>
      <c r="N131" s="8"/>
      <c r="O131" s="2"/>
      <c r="P131" s="112" t="s">
        <v>670</v>
      </c>
    </row>
    <row r="132" spans="1:32" ht="15" thickBot="1" x14ac:dyDescent="0.35">
      <c r="A132" s="106" t="s">
        <v>463</v>
      </c>
      <c r="B132" s="106">
        <v>4</v>
      </c>
      <c r="C132" s="108">
        <v>2</v>
      </c>
      <c r="D132" s="32"/>
      <c r="E132" s="32"/>
      <c r="F132" s="32">
        <v>1</v>
      </c>
      <c r="G132" s="32" t="s">
        <v>474</v>
      </c>
      <c r="H132" s="103"/>
      <c r="I132" s="103"/>
      <c r="J132" s="102"/>
      <c r="K132" s="103" t="s">
        <v>491</v>
      </c>
      <c r="L132" s="103"/>
      <c r="M132" s="103"/>
      <c r="N132" s="103"/>
      <c r="O132" s="102"/>
      <c r="P132" s="107"/>
      <c r="S132" s="5" t="s">
        <v>493</v>
      </c>
      <c r="V132" s="99"/>
      <c r="W132" s="99" t="s">
        <v>693</v>
      </c>
      <c r="X132" s="99"/>
      <c r="Y132" s="99" t="s">
        <v>693</v>
      </c>
      <c r="Z132" s="99"/>
    </row>
    <row r="133" spans="1:32" ht="15" thickBot="1" x14ac:dyDescent="0.35">
      <c r="A133" s="4" t="s">
        <v>464</v>
      </c>
      <c r="B133" s="4">
        <v>3</v>
      </c>
      <c r="C133" s="9">
        <v>1</v>
      </c>
      <c r="D133" s="10"/>
      <c r="E133" s="10"/>
      <c r="F133" s="10">
        <v>1</v>
      </c>
      <c r="G133" s="91" t="s">
        <v>476</v>
      </c>
      <c r="H133" s="8" t="s">
        <v>478</v>
      </c>
      <c r="I133" s="8"/>
      <c r="J133" s="2"/>
      <c r="K133" s="8" t="s">
        <v>491</v>
      </c>
      <c r="L133" s="8" t="s">
        <v>492</v>
      </c>
      <c r="M133" s="8"/>
      <c r="N133" s="8"/>
      <c r="O133" s="2"/>
      <c r="P133" s="105"/>
      <c r="R133" s="90"/>
      <c r="S133" s="5" t="s">
        <v>464</v>
      </c>
      <c r="T133" s="5">
        <v>3</v>
      </c>
      <c r="V133" s="99"/>
      <c r="W133" s="99" t="s">
        <v>693</v>
      </c>
      <c r="X133" s="99"/>
      <c r="Y133" s="99" t="s">
        <v>693</v>
      </c>
      <c r="Z133" s="99"/>
    </row>
    <row r="134" spans="1:32" ht="15" thickBot="1" x14ac:dyDescent="0.35">
      <c r="A134" s="106" t="s">
        <v>464</v>
      </c>
      <c r="B134" s="106">
        <v>3</v>
      </c>
      <c r="C134" s="108">
        <v>1</v>
      </c>
      <c r="D134" s="32"/>
      <c r="E134" s="32"/>
      <c r="F134" s="32">
        <v>1</v>
      </c>
      <c r="G134" s="91" t="s">
        <v>476</v>
      </c>
      <c r="H134" s="103" t="s">
        <v>478</v>
      </c>
      <c r="I134" s="103"/>
      <c r="J134" s="102"/>
      <c r="K134" s="103" t="s">
        <v>493</v>
      </c>
      <c r="L134" s="103" t="s">
        <v>494</v>
      </c>
      <c r="M134" s="103"/>
      <c r="N134" s="103"/>
      <c r="O134" s="102"/>
      <c r="P134" s="107"/>
      <c r="S134" s="5" t="s">
        <v>469</v>
      </c>
      <c r="T134" s="5" t="s">
        <v>448</v>
      </c>
      <c r="V134" s="99" t="s">
        <v>695</v>
      </c>
      <c r="W134" s="99" t="s">
        <v>693</v>
      </c>
      <c r="X134" s="99"/>
      <c r="Y134" s="99" t="s">
        <v>693</v>
      </c>
      <c r="Z134" s="99"/>
      <c r="AB134" s="62">
        <v>2</v>
      </c>
      <c r="AC134" s="62">
        <v>0</v>
      </c>
      <c r="AD134" s="62">
        <v>0</v>
      </c>
      <c r="AE134" s="62">
        <v>2</v>
      </c>
      <c r="AF134" s="62">
        <v>0</v>
      </c>
    </row>
    <row r="135" spans="1:32" ht="15" thickBot="1" x14ac:dyDescent="0.35">
      <c r="A135" s="4" t="s">
        <v>465</v>
      </c>
      <c r="B135" s="4">
        <v>5</v>
      </c>
      <c r="C135" s="9">
        <v>2</v>
      </c>
      <c r="D135" s="10"/>
      <c r="E135" s="10"/>
      <c r="F135" s="10">
        <v>1</v>
      </c>
      <c r="G135" s="10" t="s">
        <v>480</v>
      </c>
      <c r="H135" s="8"/>
      <c r="I135" s="8"/>
      <c r="J135" s="2"/>
      <c r="K135" s="8" t="s">
        <v>491</v>
      </c>
      <c r="L135" s="8"/>
      <c r="M135" s="8"/>
      <c r="N135" s="8"/>
      <c r="O135" s="2"/>
      <c r="P135" s="105"/>
      <c r="S135" s="5" t="s">
        <v>470</v>
      </c>
      <c r="T135" s="5">
        <v>4</v>
      </c>
      <c r="V135" s="100" t="s">
        <v>695</v>
      </c>
      <c r="W135" s="100" t="s">
        <v>693</v>
      </c>
      <c r="X135" s="100" t="s">
        <v>695</v>
      </c>
      <c r="Y135" s="100" t="s">
        <v>693</v>
      </c>
      <c r="Z135" s="100"/>
      <c r="AB135" s="63">
        <v>1</v>
      </c>
      <c r="AC135" s="63">
        <v>1</v>
      </c>
      <c r="AD135" s="63">
        <v>1</v>
      </c>
      <c r="AE135" s="63">
        <v>1</v>
      </c>
      <c r="AF135" s="63">
        <v>0</v>
      </c>
    </row>
    <row r="136" spans="1:32" ht="15" thickBot="1" x14ac:dyDescent="0.35">
      <c r="A136" s="106" t="s">
        <v>466</v>
      </c>
      <c r="B136" s="106">
        <v>4</v>
      </c>
      <c r="C136" s="108">
        <v>2</v>
      </c>
      <c r="D136" s="32"/>
      <c r="E136" s="32"/>
      <c r="F136" s="32">
        <v>1</v>
      </c>
      <c r="G136" s="32" t="s">
        <v>482</v>
      </c>
      <c r="H136" s="103"/>
      <c r="I136" s="103"/>
      <c r="J136" s="102"/>
      <c r="K136" s="103" t="s">
        <v>492</v>
      </c>
      <c r="L136" s="103"/>
      <c r="M136" s="103"/>
      <c r="N136" s="103"/>
      <c r="O136" s="102"/>
      <c r="P136" s="107"/>
      <c r="V136" s="100" t="s">
        <v>694</v>
      </c>
      <c r="W136" s="100" t="s">
        <v>693</v>
      </c>
      <c r="X136" s="100" t="s">
        <v>695</v>
      </c>
      <c r="Y136" s="100" t="s">
        <v>693</v>
      </c>
      <c r="Z136" s="100"/>
      <c r="AB136" s="63">
        <v>1</v>
      </c>
      <c r="AC136" s="63">
        <v>1</v>
      </c>
      <c r="AD136" s="63">
        <v>1</v>
      </c>
      <c r="AE136" s="63">
        <v>1</v>
      </c>
      <c r="AF136" s="63">
        <v>0</v>
      </c>
    </row>
    <row r="137" spans="1:32" ht="15" thickBot="1" x14ac:dyDescent="0.35">
      <c r="A137" s="4" t="s">
        <v>467</v>
      </c>
      <c r="B137" s="4">
        <v>5</v>
      </c>
      <c r="C137" s="9">
        <v>2</v>
      </c>
      <c r="D137" s="10"/>
      <c r="E137" s="10"/>
      <c r="F137" s="10">
        <v>2</v>
      </c>
      <c r="G137" s="10" t="s">
        <v>484</v>
      </c>
      <c r="H137" s="8" t="s">
        <v>669</v>
      </c>
      <c r="I137" s="8"/>
      <c r="J137" s="2"/>
      <c r="K137" s="8" t="s">
        <v>492</v>
      </c>
      <c r="L137" s="8"/>
      <c r="M137" s="8"/>
      <c r="N137" s="8"/>
      <c r="O137" s="2"/>
      <c r="P137" s="105"/>
      <c r="V137" s="100" t="s">
        <v>694</v>
      </c>
      <c r="W137" s="100" t="s">
        <v>693</v>
      </c>
      <c r="X137" s="100"/>
      <c r="Y137" s="100" t="s">
        <v>693</v>
      </c>
      <c r="Z137" s="100"/>
      <c r="AB137" s="63">
        <v>3</v>
      </c>
      <c r="AC137" s="63">
        <v>3</v>
      </c>
      <c r="AD137" s="63">
        <v>3</v>
      </c>
      <c r="AE137" s="63">
        <v>3</v>
      </c>
      <c r="AF137" s="63">
        <v>0</v>
      </c>
    </row>
    <row r="138" spans="1:32" ht="15" thickBot="1" x14ac:dyDescent="0.35">
      <c r="A138" s="106" t="s">
        <v>468</v>
      </c>
      <c r="B138" s="76">
        <v>5</v>
      </c>
      <c r="C138" s="77">
        <v>2</v>
      </c>
      <c r="D138" s="32"/>
      <c r="E138" s="32"/>
      <c r="F138" s="32">
        <v>1</v>
      </c>
      <c r="G138" s="32" t="s">
        <v>486</v>
      </c>
      <c r="H138" s="103"/>
      <c r="I138" s="103"/>
      <c r="J138" s="102"/>
      <c r="K138" s="103" t="s">
        <v>492</v>
      </c>
      <c r="L138" s="103"/>
      <c r="M138" s="103"/>
      <c r="N138" s="103"/>
      <c r="O138" s="102"/>
      <c r="P138" s="107"/>
      <c r="V138" s="100" t="s">
        <v>694</v>
      </c>
      <c r="W138" s="100" t="s">
        <v>693</v>
      </c>
      <c r="X138" s="100"/>
      <c r="Y138" s="100" t="s">
        <v>693</v>
      </c>
      <c r="Z138" s="100"/>
    </row>
    <row r="139" spans="1:32" ht="15" thickBot="1" x14ac:dyDescent="0.35">
      <c r="A139" s="4" t="s">
        <v>469</v>
      </c>
      <c r="B139" s="4">
        <v>4</v>
      </c>
      <c r="C139" s="9">
        <v>2</v>
      </c>
      <c r="D139" s="10"/>
      <c r="E139" s="10"/>
      <c r="F139" s="10">
        <v>1</v>
      </c>
      <c r="G139" s="10" t="s">
        <v>488</v>
      </c>
      <c r="H139" s="8"/>
      <c r="I139" s="8"/>
      <c r="J139" s="2"/>
      <c r="K139" s="8" t="s">
        <v>493</v>
      </c>
      <c r="L139" s="8"/>
      <c r="M139" s="8"/>
      <c r="N139" s="8"/>
      <c r="O139" s="2"/>
      <c r="P139" s="105"/>
      <c r="V139" s="100"/>
      <c r="W139" s="100" t="s">
        <v>693</v>
      </c>
      <c r="X139" s="100"/>
      <c r="Y139" s="100" t="s">
        <v>693</v>
      </c>
      <c r="Z139" s="100"/>
    </row>
    <row r="140" spans="1:32" ht="15" thickBot="1" x14ac:dyDescent="0.35">
      <c r="A140" s="106" t="s">
        <v>410</v>
      </c>
      <c r="B140" s="106">
        <v>4</v>
      </c>
      <c r="C140" s="108">
        <v>2</v>
      </c>
      <c r="D140" s="32"/>
      <c r="E140" s="32"/>
      <c r="F140" s="28">
        <v>2</v>
      </c>
      <c r="G140" s="28" t="s">
        <v>490</v>
      </c>
      <c r="H140" s="29" t="s">
        <v>684</v>
      </c>
      <c r="I140" s="103"/>
      <c r="J140" s="102"/>
      <c r="K140" s="103" t="s">
        <v>494</v>
      </c>
      <c r="L140" s="103"/>
      <c r="M140" s="103"/>
      <c r="N140" s="103"/>
      <c r="O140" s="102"/>
      <c r="P140" s="107"/>
    </row>
    <row r="141" spans="1:32" ht="15" thickBot="1" x14ac:dyDescent="0.35">
      <c r="A141" s="4" t="s">
        <v>470</v>
      </c>
      <c r="B141" s="4">
        <v>4</v>
      </c>
      <c r="C141" s="9">
        <v>1</v>
      </c>
      <c r="D141" s="10"/>
      <c r="E141" s="10"/>
      <c r="F141" s="10">
        <v>3</v>
      </c>
      <c r="G141" s="10" t="s">
        <v>415</v>
      </c>
      <c r="H141" s="8" t="s">
        <v>417</v>
      </c>
      <c r="I141" s="8" t="s">
        <v>418</v>
      </c>
      <c r="J141" s="2"/>
      <c r="K141" s="8" t="s">
        <v>493</v>
      </c>
      <c r="L141" s="8" t="s">
        <v>494</v>
      </c>
      <c r="M141" s="8"/>
      <c r="N141" s="8"/>
      <c r="O141" s="2"/>
      <c r="P141" s="105"/>
    </row>
    <row r="142" spans="1:32" s="59" customFormat="1" ht="15" thickBot="1" x14ac:dyDescent="0.35">
      <c r="A142" s="54"/>
      <c r="B142" s="54"/>
      <c r="C142" s="55"/>
      <c r="D142" s="56"/>
      <c r="E142" s="56"/>
      <c r="F142" s="56"/>
      <c r="G142" s="56"/>
      <c r="H142" s="57"/>
      <c r="I142" s="57"/>
      <c r="J142" s="58"/>
      <c r="K142" s="57"/>
      <c r="L142" s="57"/>
      <c r="M142" s="57"/>
      <c r="N142" s="57"/>
      <c r="O142" s="58"/>
      <c r="P142" s="113"/>
    </row>
    <row r="143" spans="1:32" ht="15" thickBot="1" x14ac:dyDescent="0.35">
      <c r="A143" s="4" t="s">
        <v>281</v>
      </c>
      <c r="B143" s="4">
        <v>4</v>
      </c>
      <c r="C143" s="9">
        <v>2</v>
      </c>
      <c r="D143" s="10"/>
      <c r="E143" s="10" t="s">
        <v>237</v>
      </c>
      <c r="F143" s="10">
        <v>1</v>
      </c>
      <c r="G143" s="10" t="s">
        <v>16</v>
      </c>
      <c r="H143" s="8"/>
      <c r="I143" s="8"/>
      <c r="J143" s="2"/>
      <c r="K143" s="115" t="s">
        <v>512</v>
      </c>
      <c r="L143" s="8" t="s">
        <v>493</v>
      </c>
      <c r="M143" s="8" t="s">
        <v>494</v>
      </c>
      <c r="N143" s="8"/>
      <c r="O143" s="2"/>
      <c r="P143" s="105"/>
    </row>
    <row r="144" spans="1:32" ht="15" thickBot="1" x14ac:dyDescent="0.35">
      <c r="A144" s="106" t="s">
        <v>282</v>
      </c>
      <c r="B144" s="106">
        <v>3</v>
      </c>
      <c r="C144" s="108">
        <v>1</v>
      </c>
      <c r="D144" s="32"/>
      <c r="E144" s="32" t="s">
        <v>237</v>
      </c>
      <c r="F144" s="32">
        <v>1</v>
      </c>
      <c r="G144" s="32" t="s">
        <v>67</v>
      </c>
      <c r="H144" s="103"/>
      <c r="I144" s="103"/>
      <c r="J144" s="102"/>
      <c r="K144" s="103" t="s">
        <v>512</v>
      </c>
      <c r="L144" s="103" t="s">
        <v>493</v>
      </c>
      <c r="M144" s="103" t="s">
        <v>494</v>
      </c>
      <c r="N144" s="103"/>
      <c r="O144" s="102"/>
      <c r="P144" s="107"/>
    </row>
    <row r="145" spans="1:16" ht="15" thickBot="1" x14ac:dyDescent="0.35">
      <c r="A145" s="4" t="s">
        <v>283</v>
      </c>
      <c r="B145" s="76"/>
      <c r="C145" s="77"/>
      <c r="D145" s="10"/>
      <c r="E145" s="10" t="s">
        <v>237</v>
      </c>
      <c r="F145" s="10">
        <v>1</v>
      </c>
      <c r="G145" s="10" t="s">
        <v>43</v>
      </c>
      <c r="H145" s="8"/>
      <c r="I145" s="8"/>
      <c r="J145" s="2"/>
      <c r="K145" s="8" t="s">
        <v>512</v>
      </c>
      <c r="L145" s="8" t="s">
        <v>493</v>
      </c>
      <c r="M145" s="8" t="s">
        <v>494</v>
      </c>
      <c r="N145" s="8"/>
      <c r="O145" s="2"/>
      <c r="P145" s="105"/>
    </row>
    <row r="146" spans="1:16" ht="15" thickBot="1" x14ac:dyDescent="0.35">
      <c r="A146" s="106" t="s">
        <v>537</v>
      </c>
      <c r="B146" s="106">
        <v>4</v>
      </c>
      <c r="C146" s="108">
        <v>2</v>
      </c>
      <c r="D146" s="32"/>
      <c r="E146" s="32" t="s">
        <v>237</v>
      </c>
      <c r="F146" s="32">
        <v>1</v>
      </c>
      <c r="G146" s="32" t="s">
        <v>72</v>
      </c>
      <c r="H146" s="103"/>
      <c r="I146" s="103"/>
      <c r="J146" s="102"/>
      <c r="K146" s="103" t="s">
        <v>390</v>
      </c>
      <c r="L146" s="103"/>
      <c r="M146" s="103"/>
      <c r="N146" s="103"/>
      <c r="O146" s="102"/>
      <c r="P146" s="107"/>
    </row>
    <row r="147" spans="1:16" ht="15" thickBot="1" x14ac:dyDescent="0.35">
      <c r="A147" s="4" t="s">
        <v>538</v>
      </c>
      <c r="B147" s="4">
        <v>4</v>
      </c>
      <c r="C147" s="9">
        <v>2</v>
      </c>
      <c r="D147" s="10"/>
      <c r="E147" s="10" t="s">
        <v>237</v>
      </c>
      <c r="F147" s="10">
        <v>1</v>
      </c>
      <c r="G147" s="10" t="s">
        <v>523</v>
      </c>
      <c r="H147" s="8"/>
      <c r="I147" s="8"/>
      <c r="J147" s="2"/>
      <c r="K147" s="8" t="s">
        <v>390</v>
      </c>
      <c r="L147" s="8"/>
      <c r="M147" s="8"/>
      <c r="N147" s="8"/>
      <c r="O147" s="2"/>
      <c r="P147" s="105"/>
    </row>
    <row r="148" spans="1:16" ht="15" thickBot="1" x14ac:dyDescent="0.35">
      <c r="A148" s="106" t="s">
        <v>539</v>
      </c>
      <c r="B148" s="106">
        <v>4</v>
      </c>
      <c r="C148" s="108">
        <v>2</v>
      </c>
      <c r="D148" s="32"/>
      <c r="E148" s="32" t="s">
        <v>237</v>
      </c>
      <c r="F148" s="32">
        <v>1</v>
      </c>
      <c r="G148" s="32" t="s">
        <v>536</v>
      </c>
      <c r="H148" s="103"/>
      <c r="I148" s="103"/>
      <c r="J148" s="102"/>
      <c r="K148" s="103" t="s">
        <v>389</v>
      </c>
      <c r="L148" s="103"/>
      <c r="M148" s="103"/>
      <c r="N148" s="103"/>
      <c r="O148" s="102"/>
      <c r="P148" s="107"/>
    </row>
    <row r="149" spans="1:16" ht="15" thickBot="1" x14ac:dyDescent="0.35">
      <c r="A149" s="4" t="s">
        <v>540</v>
      </c>
      <c r="B149" s="4">
        <v>4</v>
      </c>
      <c r="C149" s="9">
        <v>2</v>
      </c>
      <c r="D149" s="10"/>
      <c r="E149" s="10" t="s">
        <v>237</v>
      </c>
      <c r="F149" s="10">
        <v>1</v>
      </c>
      <c r="G149" s="10" t="s">
        <v>542</v>
      </c>
      <c r="H149" s="8"/>
      <c r="I149" s="8"/>
      <c r="J149" s="2"/>
      <c r="K149" s="8" t="s">
        <v>389</v>
      </c>
      <c r="L149" s="8" t="s">
        <v>491</v>
      </c>
      <c r="M149" s="8"/>
      <c r="N149" s="8"/>
      <c r="O149" s="2"/>
      <c r="P149" s="105"/>
    </row>
    <row r="150" spans="1:16" ht="15" thickBot="1" x14ac:dyDescent="0.35">
      <c r="A150" s="106" t="s">
        <v>541</v>
      </c>
      <c r="B150" s="106">
        <v>4</v>
      </c>
      <c r="C150" s="108">
        <v>2</v>
      </c>
      <c r="D150" s="32"/>
      <c r="E150" s="32" t="s">
        <v>237</v>
      </c>
      <c r="F150" s="32">
        <v>1</v>
      </c>
      <c r="G150" s="32" t="s">
        <v>535</v>
      </c>
      <c r="H150" s="103"/>
      <c r="I150" s="103"/>
      <c r="J150" s="102"/>
      <c r="K150" s="103" t="s">
        <v>389</v>
      </c>
      <c r="L150" s="103" t="s">
        <v>491</v>
      </c>
      <c r="M150" s="103"/>
      <c r="N150" s="103"/>
      <c r="O150" s="102"/>
      <c r="P150" s="107"/>
    </row>
    <row r="151" spans="1:16" ht="15" thickBot="1" x14ac:dyDescent="0.35">
      <c r="A151" s="4" t="s">
        <v>543</v>
      </c>
      <c r="B151" s="4">
        <v>4</v>
      </c>
      <c r="C151" s="9">
        <v>2</v>
      </c>
      <c r="D151" s="10"/>
      <c r="E151" s="10" t="s">
        <v>237</v>
      </c>
      <c r="F151" s="10">
        <v>1</v>
      </c>
      <c r="G151" s="91" t="s">
        <v>69</v>
      </c>
      <c r="H151" s="8"/>
      <c r="I151" s="8"/>
      <c r="J151" s="2"/>
      <c r="K151" s="8" t="s">
        <v>389</v>
      </c>
      <c r="L151" s="8" t="s">
        <v>491</v>
      </c>
      <c r="M151" s="8"/>
      <c r="N151" s="8"/>
      <c r="O151" s="2"/>
      <c r="P151" s="112" t="s">
        <v>671</v>
      </c>
    </row>
    <row r="152" spans="1:16" ht="15" thickBot="1" x14ac:dyDescent="0.35">
      <c r="A152" s="106" t="s">
        <v>401</v>
      </c>
      <c r="B152" s="106">
        <v>4</v>
      </c>
      <c r="C152" s="108">
        <v>2</v>
      </c>
      <c r="D152" s="32"/>
      <c r="E152" s="32" t="s">
        <v>237</v>
      </c>
      <c r="F152" s="32">
        <v>0</v>
      </c>
      <c r="G152" s="28"/>
      <c r="H152" s="103"/>
      <c r="I152" s="103"/>
      <c r="J152" s="102"/>
      <c r="K152" s="103" t="s">
        <v>492</v>
      </c>
      <c r="L152" s="103"/>
      <c r="M152" s="103"/>
      <c r="N152" s="103"/>
      <c r="O152" s="102"/>
      <c r="P152" s="107"/>
    </row>
    <row r="153" spans="1:16" ht="15" thickBot="1" x14ac:dyDescent="0.35">
      <c r="A153" s="4" t="s">
        <v>673</v>
      </c>
      <c r="B153" s="4">
        <v>3</v>
      </c>
      <c r="C153" s="9">
        <v>1</v>
      </c>
      <c r="D153" s="10"/>
      <c r="E153" s="10" t="s">
        <v>237</v>
      </c>
      <c r="F153" s="10">
        <v>1</v>
      </c>
      <c r="G153" s="10" t="s">
        <v>528</v>
      </c>
      <c r="H153" s="8"/>
      <c r="I153" s="8"/>
      <c r="J153" s="2"/>
      <c r="K153" s="8" t="s">
        <v>492</v>
      </c>
      <c r="L153" s="8"/>
      <c r="M153" s="8"/>
      <c r="N153" s="8"/>
      <c r="O153" s="2"/>
      <c r="P153" s="105"/>
    </row>
    <row r="154" spans="1:16" ht="15" thickBot="1" x14ac:dyDescent="0.35">
      <c r="A154" s="106" t="s">
        <v>674</v>
      </c>
      <c r="B154" s="106">
        <v>4</v>
      </c>
      <c r="C154" s="108">
        <v>2</v>
      </c>
      <c r="D154" s="32"/>
      <c r="E154" s="32" t="s">
        <v>237</v>
      </c>
      <c r="F154" s="32">
        <v>1</v>
      </c>
      <c r="G154" s="32" t="s">
        <v>536</v>
      </c>
      <c r="H154" s="103"/>
      <c r="I154" s="103"/>
      <c r="J154" s="102"/>
      <c r="K154" s="103" t="s">
        <v>491</v>
      </c>
      <c r="L154" s="103"/>
      <c r="M154" s="103"/>
      <c r="N154" s="103"/>
      <c r="O154" s="102"/>
      <c r="P154" s="107"/>
    </row>
    <row r="155" spans="1:16" ht="15" thickBot="1" x14ac:dyDescent="0.35">
      <c r="A155" s="4" t="s">
        <v>675</v>
      </c>
      <c r="B155" s="4">
        <v>3</v>
      </c>
      <c r="C155" s="9">
        <v>1</v>
      </c>
      <c r="D155" s="10"/>
      <c r="E155" s="10" t="s">
        <v>237</v>
      </c>
      <c r="F155" s="10">
        <v>1</v>
      </c>
      <c r="G155" s="10" t="s">
        <v>526</v>
      </c>
      <c r="H155" s="8"/>
      <c r="I155" s="8"/>
      <c r="J155" s="2"/>
      <c r="K155" s="8" t="s">
        <v>491</v>
      </c>
      <c r="L155" s="8" t="s">
        <v>492</v>
      </c>
      <c r="M155" s="8" t="s">
        <v>493</v>
      </c>
      <c r="N155" s="8" t="s">
        <v>494</v>
      </c>
      <c r="O155" s="2"/>
      <c r="P155" s="105"/>
    </row>
    <row r="156" spans="1:16" ht="15" thickBot="1" x14ac:dyDescent="0.35">
      <c r="A156" s="106" t="s">
        <v>405</v>
      </c>
      <c r="B156" s="106">
        <v>5</v>
      </c>
      <c r="C156" s="108">
        <v>2</v>
      </c>
      <c r="D156" s="32"/>
      <c r="E156" s="32" t="s">
        <v>237</v>
      </c>
      <c r="F156" s="32">
        <v>1</v>
      </c>
      <c r="G156" s="32" t="s">
        <v>407</v>
      </c>
      <c r="H156" s="103"/>
      <c r="I156" s="103"/>
      <c r="J156" s="102"/>
      <c r="K156" s="103" t="s">
        <v>390</v>
      </c>
      <c r="L156" s="103" t="s">
        <v>492</v>
      </c>
      <c r="M156" s="103"/>
      <c r="N156" s="103"/>
      <c r="O156" s="102"/>
      <c r="P156" s="107"/>
    </row>
    <row r="157" spans="1:16" ht="15" thickBot="1" x14ac:dyDescent="0.35">
      <c r="A157" s="4" t="s">
        <v>679</v>
      </c>
      <c r="B157" s="4">
        <v>4</v>
      </c>
      <c r="C157" s="9">
        <v>1</v>
      </c>
      <c r="D157" s="10"/>
      <c r="E157" s="26" t="s">
        <v>237</v>
      </c>
      <c r="F157" s="26">
        <v>1</v>
      </c>
      <c r="G157" s="26" t="s">
        <v>678</v>
      </c>
      <c r="H157" s="27"/>
      <c r="I157" s="27"/>
      <c r="J157" s="23"/>
      <c r="K157" s="27" t="s">
        <v>493</v>
      </c>
      <c r="L157" s="27" t="s">
        <v>494</v>
      </c>
      <c r="M157" s="27"/>
      <c r="N157" s="27"/>
      <c r="O157" s="23"/>
      <c r="P157" s="105"/>
    </row>
    <row r="158" spans="1:16" ht="15" thickBot="1" x14ac:dyDescent="0.35">
      <c r="A158" s="106" t="s">
        <v>680</v>
      </c>
      <c r="B158" s="106">
        <v>2</v>
      </c>
      <c r="C158" s="108">
        <v>1</v>
      </c>
      <c r="D158" s="32"/>
      <c r="E158" s="32" t="s">
        <v>237</v>
      </c>
      <c r="F158" s="32">
        <v>1</v>
      </c>
      <c r="G158" s="32" t="s">
        <v>685</v>
      </c>
      <c r="H158" s="103"/>
      <c r="I158" s="103"/>
      <c r="J158" s="102"/>
      <c r="K158" s="114" t="s">
        <v>493</v>
      </c>
      <c r="L158" s="114" t="s">
        <v>494</v>
      </c>
      <c r="M158" s="103"/>
      <c r="N158" s="103"/>
      <c r="O158" s="102"/>
      <c r="P158" s="107" t="s">
        <v>688</v>
      </c>
    </row>
    <row r="159" spans="1:16" ht="15" thickBot="1" x14ac:dyDescent="0.35">
      <c r="A159" s="4" t="s">
        <v>680</v>
      </c>
      <c r="B159" s="4">
        <v>2</v>
      </c>
      <c r="C159" s="9">
        <v>1</v>
      </c>
      <c r="D159" s="10"/>
      <c r="E159" s="10" t="s">
        <v>237</v>
      </c>
      <c r="F159" s="10">
        <v>1</v>
      </c>
      <c r="G159" s="10" t="s">
        <v>689</v>
      </c>
      <c r="H159" s="8"/>
      <c r="I159" s="8"/>
      <c r="J159" s="2"/>
      <c r="K159" s="27" t="s">
        <v>493</v>
      </c>
      <c r="L159" s="27" t="s">
        <v>494</v>
      </c>
      <c r="M159" s="8"/>
      <c r="N159" s="8"/>
      <c r="O159" s="2"/>
      <c r="P159" s="105" t="s">
        <v>688</v>
      </c>
    </row>
    <row r="160" spans="1:16" ht="15" thickBot="1" x14ac:dyDescent="0.35">
      <c r="A160" s="106" t="s">
        <v>696</v>
      </c>
      <c r="B160" s="76"/>
      <c r="C160" s="77"/>
      <c r="D160" s="32"/>
      <c r="E160" s="32" t="s">
        <v>237</v>
      </c>
      <c r="F160" s="32">
        <v>1</v>
      </c>
      <c r="G160" s="32" t="s">
        <v>687</v>
      </c>
      <c r="H160" s="103"/>
      <c r="I160" s="103"/>
      <c r="J160" s="102"/>
      <c r="K160" s="114" t="s">
        <v>493</v>
      </c>
      <c r="L160" s="114" t="s">
        <v>494</v>
      </c>
      <c r="M160" s="103"/>
      <c r="N160" s="103"/>
      <c r="O160" s="102"/>
      <c r="P160" s="107"/>
    </row>
    <row r="161" spans="1:16" ht="15" thickBot="1" x14ac:dyDescent="0.35">
      <c r="A161" s="4" t="s">
        <v>268</v>
      </c>
      <c r="B161" s="76">
        <v>2</v>
      </c>
      <c r="C161" s="77">
        <v>1</v>
      </c>
      <c r="D161" s="10"/>
      <c r="E161" s="10" t="s">
        <v>237</v>
      </c>
      <c r="F161" s="10">
        <v>0</v>
      </c>
      <c r="G161" s="28"/>
      <c r="H161" s="8"/>
      <c r="I161" s="8"/>
      <c r="J161" s="2"/>
      <c r="K161" s="8" t="s">
        <v>493</v>
      </c>
      <c r="L161" s="8" t="s">
        <v>494</v>
      </c>
      <c r="M161" s="8"/>
      <c r="N161" s="8"/>
      <c r="O161" s="2"/>
      <c r="P161" s="105"/>
    </row>
    <row r="162" spans="1:16" ht="15" thickBot="1" x14ac:dyDescent="0.35">
      <c r="A162" s="106" t="s">
        <v>412</v>
      </c>
      <c r="B162" s="76">
        <v>4</v>
      </c>
      <c r="C162" s="77">
        <v>2</v>
      </c>
      <c r="D162" s="32"/>
      <c r="E162" s="32" t="s">
        <v>237</v>
      </c>
      <c r="F162" s="32">
        <v>0</v>
      </c>
      <c r="G162" s="28"/>
      <c r="H162" s="103"/>
      <c r="I162" s="103"/>
      <c r="J162" s="102"/>
      <c r="K162" s="103" t="s">
        <v>493</v>
      </c>
      <c r="L162" s="103" t="s">
        <v>494</v>
      </c>
      <c r="M162" s="103"/>
      <c r="N162" s="103"/>
      <c r="O162" s="102"/>
      <c r="P162" s="107"/>
    </row>
    <row r="163" spans="1:16" ht="15" thickBot="1" x14ac:dyDescent="0.35">
      <c r="A163" s="4"/>
      <c r="B163" s="4"/>
      <c r="C163" s="9"/>
      <c r="D163" s="10"/>
      <c r="E163" s="10"/>
      <c r="F163" s="10"/>
      <c r="G163" s="10"/>
      <c r="H163" s="8"/>
      <c r="I163" s="8"/>
      <c r="J163" s="2"/>
      <c r="K163" s="8"/>
      <c r="L163" s="8"/>
      <c r="M163" s="8"/>
      <c r="N163" s="8"/>
      <c r="O163" s="2"/>
      <c r="P163" s="105"/>
    </row>
    <row r="164" spans="1:16" ht="15" thickBot="1" x14ac:dyDescent="0.35">
      <c r="A164" s="106"/>
      <c r="B164" s="106"/>
      <c r="C164" s="108"/>
      <c r="D164" s="32"/>
      <c r="E164" s="32"/>
      <c r="F164" s="32"/>
      <c r="G164" s="32"/>
      <c r="H164" s="103"/>
      <c r="I164" s="103"/>
      <c r="J164" s="102"/>
      <c r="K164" s="103"/>
      <c r="L164" s="103"/>
      <c r="M164" s="103"/>
      <c r="N164" s="103"/>
      <c r="O164" s="102"/>
      <c r="P164" s="107"/>
    </row>
  </sheetData>
  <phoneticPr fontId="2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grupos!$A$2:$A$31</xm:f>
          </x14:formula1>
          <xm:sqref>K2:O164</xm:sqref>
        </x14:dataValidation>
        <x14:dataValidation type="list" allowBlank="1" showInputMessage="1" showErrorMessage="1" xr:uid="{BEF44E82-C065-494E-839C-AA870BCB249F}">
          <x14:formula1>
            <xm:f>profesores!$B$2:$B$147</xm:f>
          </x14:formula1>
          <xm:sqref>G2:J176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V25"/>
  <sheetViews>
    <sheetView workbookViewId="0">
      <selection activeCell="B24" sqref="B24"/>
    </sheetView>
  </sheetViews>
  <sheetFormatPr baseColWidth="10" defaultRowHeight="14.4" customHeight="1" x14ac:dyDescent="0.3"/>
  <cols>
    <col min="1" max="1" width="18.88671875" customWidth="1"/>
    <col min="3" max="22" width="8.44140625" customWidth="1"/>
  </cols>
  <sheetData>
    <row r="1" spans="1:22" ht="14.4" customHeight="1" x14ac:dyDescent="0.3">
      <c r="A1" s="81" t="s">
        <v>550</v>
      </c>
      <c r="B1" s="81" t="s">
        <v>4</v>
      </c>
      <c r="C1" s="94" t="str" cm="1">
        <f t="array" ref="C1:V1">TRANSPOSE(B2:B21)</f>
        <v>QC</v>
      </c>
      <c r="D1" s="95" t="str">
        <v>BPMN</v>
      </c>
      <c r="E1" s="94" t="str">
        <v>DBD3</v>
      </c>
      <c r="F1" s="95" t="str">
        <v>MdProc</v>
      </c>
      <c r="G1" s="94" t="str">
        <v>GAmb</v>
      </c>
      <c r="H1" s="95" t="str">
        <v>Horm2</v>
      </c>
      <c r="I1" s="94" t="str">
        <v>DPav</v>
      </c>
      <c r="J1" s="95" t="str">
        <v>Puentes</v>
      </c>
      <c r="K1" s="94" t="str">
        <v>DIPyU</v>
      </c>
      <c r="L1" s="95" t="str">
        <v>InstEl</v>
      </c>
      <c r="M1" s="94" t="str">
        <v>MotCI</v>
      </c>
      <c r="N1" s="95" t="str">
        <v>DisEst</v>
      </c>
      <c r="O1" s="94" t="str">
        <v>AgroN</v>
      </c>
      <c r="P1" s="95" t="str">
        <v>TecFP</v>
      </c>
      <c r="Q1" s="94" t="str">
        <v>ApMov</v>
      </c>
      <c r="R1" s="95" t="str">
        <v>RPA</v>
      </c>
      <c r="S1" s="94" t="str">
        <v>RPA</v>
      </c>
      <c r="T1" s="95" t="str">
        <v>GSInf</v>
      </c>
      <c r="U1" s="94" t="str">
        <v>UIUX</v>
      </c>
      <c r="V1" s="95" t="str">
        <v>TestQA</v>
      </c>
    </row>
    <row r="2" spans="1:22" ht="14.4" customHeight="1" x14ac:dyDescent="0.3">
      <c r="A2" s="83" t="str">
        <f>_xlfn.CONCAT(materias!K143:O143)</f>
        <v>4LIC5TEL5INF</v>
      </c>
      <c r="B2" s="82" t="str" cm="1">
        <f t="array" ref="B2:B21">materias!A143:A162</f>
        <v>QC</v>
      </c>
      <c r="C2" s="98"/>
      <c r="D2" s="84"/>
      <c r="E2" s="96"/>
      <c r="F2" s="84"/>
      <c r="G2" s="96"/>
      <c r="H2" s="84"/>
      <c r="I2" s="96"/>
      <c r="J2" s="84"/>
      <c r="K2" s="96"/>
      <c r="L2" s="84"/>
      <c r="M2" s="96"/>
      <c r="N2" s="84"/>
      <c r="O2" s="96" t="s">
        <v>237</v>
      </c>
      <c r="P2" s="84"/>
      <c r="Q2" s="96"/>
      <c r="R2" s="84"/>
      <c r="S2" s="96"/>
      <c r="T2" s="84"/>
      <c r="U2" s="96"/>
      <c r="V2" s="84"/>
    </row>
    <row r="3" spans="1:22" ht="14.4" customHeight="1" x14ac:dyDescent="0.3">
      <c r="A3" s="85" t="str">
        <f>_xlfn.CONCAT(materias!K144:O144)</f>
        <v>4LIC5TEL5INF</v>
      </c>
      <c r="B3" s="81" t="str">
        <v>BPMN</v>
      </c>
      <c r="C3" s="97"/>
      <c r="D3" s="98"/>
      <c r="E3" s="97"/>
      <c r="F3" s="86"/>
      <c r="G3" s="97"/>
      <c r="H3" s="86"/>
      <c r="I3" s="97"/>
      <c r="J3" s="86"/>
      <c r="K3" s="97"/>
      <c r="L3" s="86"/>
      <c r="M3" s="97"/>
      <c r="N3" s="86"/>
      <c r="O3" s="97" t="s">
        <v>237</v>
      </c>
      <c r="P3" s="86"/>
      <c r="Q3" s="97"/>
      <c r="R3" s="86"/>
      <c r="S3" s="97"/>
      <c r="T3" s="86"/>
      <c r="U3" s="97"/>
      <c r="V3" s="86"/>
    </row>
    <row r="4" spans="1:22" ht="14.4" customHeight="1" x14ac:dyDescent="0.3">
      <c r="A4" s="83" t="str">
        <f>_xlfn.CONCAT(materias!K145:O145)</f>
        <v>4LIC5TEL5INF</v>
      </c>
      <c r="B4" s="82" t="str">
        <v>DBD3</v>
      </c>
      <c r="C4" s="96"/>
      <c r="D4" s="84"/>
      <c r="E4" s="98"/>
      <c r="F4" s="84"/>
      <c r="G4" s="96"/>
      <c r="H4" s="84"/>
      <c r="I4" s="96"/>
      <c r="J4" s="84"/>
      <c r="K4" s="96"/>
      <c r="L4" s="84"/>
      <c r="M4" s="96"/>
      <c r="N4" s="84"/>
      <c r="O4" s="96" t="s">
        <v>237</v>
      </c>
      <c r="P4" s="84"/>
      <c r="Q4" s="96"/>
      <c r="R4" s="84"/>
      <c r="S4" s="96"/>
      <c r="T4" s="84"/>
      <c r="U4" s="96"/>
      <c r="V4" s="84"/>
    </row>
    <row r="5" spans="1:22" ht="14.4" customHeight="1" x14ac:dyDescent="0.3">
      <c r="A5" s="85" t="str">
        <f>_xlfn.CONCAT(materias!K146:O146)</f>
        <v>4IND</v>
      </c>
      <c r="B5" s="81" t="str">
        <v>MdProc</v>
      </c>
      <c r="C5" s="97"/>
      <c r="D5" s="86"/>
      <c r="E5" s="97"/>
      <c r="F5" s="98"/>
      <c r="G5" s="97"/>
      <c r="H5" s="86"/>
      <c r="I5" s="97"/>
      <c r="J5" s="86"/>
      <c r="K5" s="97"/>
      <c r="L5" s="86"/>
      <c r="M5" s="97"/>
      <c r="N5" s="86"/>
      <c r="O5" s="97" t="s">
        <v>237</v>
      </c>
      <c r="P5" s="86"/>
      <c r="Q5" s="97"/>
      <c r="R5" s="86"/>
      <c r="S5" s="97"/>
      <c r="T5" s="86"/>
      <c r="U5" s="97"/>
      <c r="V5" s="86"/>
    </row>
    <row r="6" spans="1:22" ht="14.4" customHeight="1" x14ac:dyDescent="0.3">
      <c r="A6" s="83" t="str">
        <f>_xlfn.CONCAT(materias!K147:O147)</f>
        <v>4IND</v>
      </c>
      <c r="B6" s="82" t="str">
        <v>GAmb</v>
      </c>
      <c r="C6" s="96"/>
      <c r="D6" s="84"/>
      <c r="E6" s="96"/>
      <c r="F6" s="84"/>
      <c r="G6" s="98"/>
      <c r="H6" s="84"/>
      <c r="I6" s="96"/>
      <c r="J6" s="84"/>
      <c r="K6" s="96"/>
      <c r="L6" s="84"/>
      <c r="M6" s="96"/>
      <c r="N6" s="84"/>
      <c r="O6" s="96" t="s">
        <v>237</v>
      </c>
      <c r="P6" s="84"/>
      <c r="Q6" s="96"/>
      <c r="R6" s="84"/>
      <c r="S6" s="96"/>
      <c r="T6" s="84"/>
      <c r="U6" s="96"/>
      <c r="V6" s="84"/>
    </row>
    <row r="7" spans="1:22" ht="14.4" customHeight="1" x14ac:dyDescent="0.3">
      <c r="A7" s="85" t="str">
        <f>_xlfn.CONCAT(materias!K148:O148)</f>
        <v>4CIV</v>
      </c>
      <c r="B7" s="81" t="str">
        <v>Horm2</v>
      </c>
      <c r="C7" s="97"/>
      <c r="D7" s="86"/>
      <c r="E7" s="97"/>
      <c r="F7" s="86"/>
      <c r="G7" s="97"/>
      <c r="H7" s="98"/>
      <c r="I7" s="97"/>
      <c r="J7" s="86"/>
      <c r="K7" s="97"/>
      <c r="L7" s="86"/>
      <c r="M7" s="97"/>
      <c r="N7" s="86"/>
      <c r="O7" s="97" t="s">
        <v>237</v>
      </c>
      <c r="P7" s="86"/>
      <c r="Q7" s="97"/>
      <c r="R7" s="86"/>
      <c r="S7" s="97"/>
      <c r="T7" s="86"/>
      <c r="U7" s="97"/>
      <c r="V7" s="86"/>
    </row>
    <row r="8" spans="1:22" ht="14.4" customHeight="1" x14ac:dyDescent="0.3">
      <c r="A8" s="83" t="str">
        <f>_xlfn.CONCAT(materias!K149:O149)</f>
        <v>4CIV5CIV</v>
      </c>
      <c r="B8" s="82" t="str">
        <v>DPav</v>
      </c>
      <c r="C8" s="96"/>
      <c r="D8" s="84"/>
      <c r="E8" s="96"/>
      <c r="F8" s="84"/>
      <c r="G8" s="96"/>
      <c r="H8" s="84"/>
      <c r="I8" s="98"/>
      <c r="J8" s="84"/>
      <c r="K8" s="96"/>
      <c r="L8" s="84"/>
      <c r="M8" s="96"/>
      <c r="N8" s="84" t="s">
        <v>237</v>
      </c>
      <c r="O8" s="96" t="s">
        <v>237</v>
      </c>
      <c r="P8" s="84"/>
      <c r="Q8" s="96"/>
      <c r="R8" s="84"/>
      <c r="S8" s="96"/>
      <c r="T8" s="84"/>
      <c r="U8" s="96"/>
      <c r="V8" s="84"/>
    </row>
    <row r="9" spans="1:22" ht="14.4" customHeight="1" x14ac:dyDescent="0.3">
      <c r="A9" s="85" t="str">
        <f>_xlfn.CONCAT(materias!K150:O150)</f>
        <v>4CIV5CIV</v>
      </c>
      <c r="B9" s="81" t="str">
        <v>Puentes</v>
      </c>
      <c r="C9" s="97"/>
      <c r="D9" s="86"/>
      <c r="E9" s="97"/>
      <c r="F9" s="86"/>
      <c r="G9" s="97"/>
      <c r="H9" s="86"/>
      <c r="I9" s="97"/>
      <c r="J9" s="98"/>
      <c r="K9" s="97"/>
      <c r="L9" s="86"/>
      <c r="M9" s="97"/>
      <c r="N9" s="86"/>
      <c r="O9" s="97" t="s">
        <v>237</v>
      </c>
      <c r="P9" s="86"/>
      <c r="Q9" s="97"/>
      <c r="R9" s="86"/>
      <c r="S9" s="97"/>
      <c r="T9" s="86"/>
      <c r="U9" s="97"/>
      <c r="V9" s="86"/>
    </row>
    <row r="10" spans="1:22" ht="14.4" customHeight="1" x14ac:dyDescent="0.3">
      <c r="A10" s="83" t="str">
        <f>_xlfn.CONCAT(materias!K151:O151)</f>
        <v>4CIV5CIV</v>
      </c>
      <c r="B10" s="82" t="str">
        <v>DIPyU</v>
      </c>
      <c r="C10" s="96"/>
      <c r="D10" s="84"/>
      <c r="E10" s="96"/>
      <c r="F10" s="84"/>
      <c r="G10" s="96"/>
      <c r="H10" s="84"/>
      <c r="I10" s="96"/>
      <c r="J10" s="84"/>
      <c r="K10" s="98"/>
      <c r="L10" s="84"/>
      <c r="M10" s="96"/>
      <c r="N10" s="84"/>
      <c r="O10" s="96" t="s">
        <v>237</v>
      </c>
      <c r="P10" s="84"/>
      <c r="Q10" s="96"/>
      <c r="R10" s="84"/>
      <c r="S10" s="96"/>
      <c r="T10" s="84"/>
      <c r="U10" s="96"/>
      <c r="V10" s="84"/>
    </row>
    <row r="11" spans="1:22" ht="14.4" customHeight="1" x14ac:dyDescent="0.3">
      <c r="A11" s="85" t="str">
        <f>_xlfn.CONCAT(materias!K152:O152)</f>
        <v>5IND</v>
      </c>
      <c r="B11" s="81" t="str">
        <v>InstEl</v>
      </c>
      <c r="C11" s="97"/>
      <c r="D11" s="86"/>
      <c r="E11" s="97"/>
      <c r="F11" s="86"/>
      <c r="G11" s="97"/>
      <c r="H11" s="86"/>
      <c r="I11" s="97"/>
      <c r="J11" s="86"/>
      <c r="K11" s="97"/>
      <c r="L11" s="98"/>
      <c r="M11" s="97"/>
      <c r="N11" s="86"/>
      <c r="O11" s="97" t="s">
        <v>237</v>
      </c>
      <c r="P11" s="86"/>
      <c r="Q11" s="97"/>
      <c r="R11" s="86"/>
      <c r="S11" s="97"/>
      <c r="T11" s="86"/>
      <c r="U11" s="97"/>
      <c r="V11" s="86"/>
    </row>
    <row r="12" spans="1:22" ht="14.4" customHeight="1" x14ac:dyDescent="0.3">
      <c r="A12" s="83" t="str">
        <f>_xlfn.CONCAT(materias!K153:O153)</f>
        <v>5IND</v>
      </c>
      <c r="B12" s="82" t="str">
        <v>MotCI</v>
      </c>
      <c r="C12" s="96"/>
      <c r="D12" s="84"/>
      <c r="E12" s="96"/>
      <c r="F12" s="84"/>
      <c r="G12" s="96"/>
      <c r="H12" s="84"/>
      <c r="I12" s="96"/>
      <c r="J12" s="84"/>
      <c r="K12" s="96"/>
      <c r="L12" s="84"/>
      <c r="M12" s="98"/>
      <c r="N12" s="84"/>
      <c r="O12" s="96" t="s">
        <v>237</v>
      </c>
      <c r="P12" s="84"/>
      <c r="Q12" s="96"/>
      <c r="R12" s="84"/>
      <c r="S12" s="96"/>
      <c r="T12" s="84"/>
      <c r="U12" s="96"/>
      <c r="V12" s="84"/>
    </row>
    <row r="13" spans="1:22" ht="14.4" customHeight="1" x14ac:dyDescent="0.3">
      <c r="A13" s="85" t="str">
        <f>_xlfn.CONCAT(materias!K154:O154)</f>
        <v>5CIV</v>
      </c>
      <c r="B13" s="81" t="str">
        <v>DisEst</v>
      </c>
      <c r="C13" s="97"/>
      <c r="D13" s="86"/>
      <c r="E13" s="97"/>
      <c r="F13" s="86"/>
      <c r="G13" s="97"/>
      <c r="H13" s="86"/>
      <c r="I13" s="97" t="s">
        <v>237</v>
      </c>
      <c r="J13" s="86"/>
      <c r="K13" s="97"/>
      <c r="L13" s="86"/>
      <c r="M13" s="97"/>
      <c r="N13" s="98"/>
      <c r="O13" s="97" t="s">
        <v>237</v>
      </c>
      <c r="P13" s="86"/>
      <c r="Q13" s="97"/>
      <c r="R13" s="86"/>
      <c r="S13" s="97"/>
      <c r="T13" s="86"/>
      <c r="U13" s="97"/>
      <c r="V13" s="86"/>
    </row>
    <row r="14" spans="1:22" ht="14.4" customHeight="1" x14ac:dyDescent="0.3">
      <c r="A14" s="83" t="str">
        <f>_xlfn.CONCAT(materias!K155:O155)</f>
        <v>5CIV5IND5TEL5INF</v>
      </c>
      <c r="B14" s="82" t="str">
        <v>AgroN</v>
      </c>
      <c r="C14" s="96" t="s">
        <v>237</v>
      </c>
      <c r="D14" s="84" t="s">
        <v>237</v>
      </c>
      <c r="E14" s="96" t="s">
        <v>237</v>
      </c>
      <c r="F14" s="84" t="s">
        <v>237</v>
      </c>
      <c r="G14" s="96" t="s">
        <v>237</v>
      </c>
      <c r="H14" s="84" t="s">
        <v>237</v>
      </c>
      <c r="I14" s="96" t="s">
        <v>237</v>
      </c>
      <c r="J14" s="84" t="s">
        <v>237</v>
      </c>
      <c r="K14" s="96" t="s">
        <v>237</v>
      </c>
      <c r="L14" s="84" t="s">
        <v>237</v>
      </c>
      <c r="M14" s="96" t="s">
        <v>237</v>
      </c>
      <c r="N14" s="84" t="s">
        <v>237</v>
      </c>
      <c r="O14" s="98"/>
      <c r="P14" s="84" t="s">
        <v>237</v>
      </c>
      <c r="Q14" s="96" t="s">
        <v>237</v>
      </c>
      <c r="R14" s="84" t="s">
        <v>237</v>
      </c>
      <c r="S14" s="96" t="s">
        <v>237</v>
      </c>
      <c r="T14" s="84" t="s">
        <v>237</v>
      </c>
      <c r="U14" s="96" t="s">
        <v>237</v>
      </c>
      <c r="V14" s="84" t="s">
        <v>237</v>
      </c>
    </row>
    <row r="15" spans="1:22" ht="14.4" customHeight="1" x14ac:dyDescent="0.3">
      <c r="A15" s="85" t="str">
        <f>_xlfn.CONCAT(materias!K156:O156)</f>
        <v>4IND5IND</v>
      </c>
      <c r="B15" s="81" t="str">
        <v>TecFP</v>
      </c>
      <c r="C15" s="97"/>
      <c r="D15" s="86"/>
      <c r="E15" s="97"/>
      <c r="F15" s="86"/>
      <c r="G15" s="97"/>
      <c r="H15" s="86"/>
      <c r="I15" s="97"/>
      <c r="J15" s="86"/>
      <c r="K15" s="97"/>
      <c r="L15" s="86"/>
      <c r="M15" s="97"/>
      <c r="N15" s="86"/>
      <c r="O15" s="97" t="s">
        <v>237</v>
      </c>
      <c r="P15" s="98"/>
      <c r="Q15" s="97"/>
      <c r="R15" s="86"/>
      <c r="S15" s="97"/>
      <c r="T15" s="86"/>
      <c r="U15" s="97"/>
      <c r="V15" s="86"/>
    </row>
    <row r="16" spans="1:22" ht="14.4" customHeight="1" x14ac:dyDescent="0.3">
      <c r="A16" s="83" t="str">
        <f>_xlfn.CONCAT(materias!K157:O157)</f>
        <v>5TEL5INF</v>
      </c>
      <c r="B16" s="82" t="str">
        <v>ApMov</v>
      </c>
      <c r="C16" s="96"/>
      <c r="D16" s="84"/>
      <c r="E16" s="96"/>
      <c r="F16" s="84"/>
      <c r="G16" s="96"/>
      <c r="H16" s="84"/>
      <c r="I16" s="96"/>
      <c r="J16" s="84"/>
      <c r="K16" s="96"/>
      <c r="L16" s="84"/>
      <c r="M16" s="96"/>
      <c r="N16" s="84"/>
      <c r="O16" s="96" t="s">
        <v>237</v>
      </c>
      <c r="P16" s="84"/>
      <c r="Q16" s="98"/>
      <c r="R16" s="84"/>
      <c r="S16" s="96"/>
      <c r="T16" s="84"/>
      <c r="U16" s="96"/>
      <c r="V16" s="84"/>
    </row>
    <row r="17" spans="1:22" ht="14.4" customHeight="1" x14ac:dyDescent="0.3">
      <c r="A17" s="85" t="str">
        <f>_xlfn.CONCAT(materias!K158:O158)</f>
        <v>5TEL5INF</v>
      </c>
      <c r="B17" s="81" t="str">
        <v>RPA</v>
      </c>
      <c r="C17" s="97"/>
      <c r="D17" s="86"/>
      <c r="E17" s="97"/>
      <c r="F17" s="86"/>
      <c r="G17" s="97"/>
      <c r="H17" s="86"/>
      <c r="I17" s="97"/>
      <c r="J17" s="86"/>
      <c r="K17" s="97"/>
      <c r="L17" s="86"/>
      <c r="M17" s="97"/>
      <c r="N17" s="86"/>
      <c r="O17" s="97" t="s">
        <v>237</v>
      </c>
      <c r="P17" s="86"/>
      <c r="Q17" s="97"/>
      <c r="R17" s="98"/>
      <c r="S17" s="97"/>
      <c r="T17" s="86"/>
      <c r="U17" s="97"/>
      <c r="V17" s="86"/>
    </row>
    <row r="18" spans="1:22" ht="14.4" customHeight="1" x14ac:dyDescent="0.3">
      <c r="A18" s="83" t="str">
        <f>_xlfn.CONCAT(materias!K159:O159)</f>
        <v>5TEL5INF</v>
      </c>
      <c r="B18" s="82" t="str">
        <v>RPA</v>
      </c>
      <c r="C18" s="96"/>
      <c r="D18" s="84"/>
      <c r="E18" s="96"/>
      <c r="F18" s="84"/>
      <c r="G18" s="96"/>
      <c r="H18" s="84"/>
      <c r="I18" s="96"/>
      <c r="J18" s="84"/>
      <c r="K18" s="96"/>
      <c r="L18" s="84"/>
      <c r="M18" s="96"/>
      <c r="N18" s="84"/>
      <c r="O18" s="96" t="s">
        <v>237</v>
      </c>
      <c r="P18" s="84"/>
      <c r="Q18" s="96"/>
      <c r="R18" s="84"/>
      <c r="S18" s="98"/>
      <c r="T18" s="84"/>
      <c r="U18" s="96"/>
      <c r="V18" s="84"/>
    </row>
    <row r="19" spans="1:22" ht="14.4" customHeight="1" x14ac:dyDescent="0.3">
      <c r="A19" s="85" t="str">
        <f>_xlfn.CONCAT(materias!K160:O160)</f>
        <v>5TEL5INF</v>
      </c>
      <c r="B19" s="81" t="str">
        <v>GSInf</v>
      </c>
      <c r="C19" s="97"/>
      <c r="D19" s="86"/>
      <c r="E19" s="97"/>
      <c r="F19" s="86"/>
      <c r="G19" s="97"/>
      <c r="H19" s="86"/>
      <c r="I19" s="97"/>
      <c r="J19" s="86"/>
      <c r="K19" s="97"/>
      <c r="L19" s="86"/>
      <c r="M19" s="97"/>
      <c r="N19" s="86"/>
      <c r="O19" s="97" t="s">
        <v>237</v>
      </c>
      <c r="P19" s="86"/>
      <c r="Q19" s="97"/>
      <c r="R19" s="86"/>
      <c r="S19" s="97"/>
      <c r="T19" s="98"/>
      <c r="U19" s="97"/>
      <c r="V19" s="86"/>
    </row>
    <row r="20" spans="1:22" ht="14.4" customHeight="1" x14ac:dyDescent="0.3">
      <c r="A20" s="83" t="str">
        <f>_xlfn.CONCAT(materias!K161:O161)</f>
        <v>5TEL5INF</v>
      </c>
      <c r="B20" s="82" t="str">
        <v>UIUX</v>
      </c>
      <c r="C20" s="96"/>
      <c r="D20" s="84"/>
      <c r="E20" s="96"/>
      <c r="F20" s="84"/>
      <c r="G20" s="96"/>
      <c r="H20" s="84"/>
      <c r="I20" s="96"/>
      <c r="J20" s="84"/>
      <c r="K20" s="96"/>
      <c r="L20" s="84"/>
      <c r="M20" s="96"/>
      <c r="N20" s="84"/>
      <c r="O20" s="96" t="s">
        <v>237</v>
      </c>
      <c r="P20" s="84"/>
      <c r="Q20" s="96"/>
      <c r="R20" s="84"/>
      <c r="S20" s="96"/>
      <c r="T20" s="84"/>
      <c r="U20" s="98"/>
      <c r="V20" s="84"/>
    </row>
    <row r="21" spans="1:22" ht="14.4" customHeight="1" x14ac:dyDescent="0.3">
      <c r="A21" s="85" t="str">
        <f>_xlfn.CONCAT(materias!K162:O162)</f>
        <v>5TEL5INF</v>
      </c>
      <c r="B21" s="81" t="str">
        <v>TestQA</v>
      </c>
      <c r="C21" s="97"/>
      <c r="D21" s="86"/>
      <c r="E21" s="97"/>
      <c r="F21" s="86"/>
      <c r="G21" s="97"/>
      <c r="H21" s="86"/>
      <c r="I21" s="97"/>
      <c r="J21" s="86"/>
      <c r="K21" s="97"/>
      <c r="L21" s="86"/>
      <c r="M21" s="97"/>
      <c r="N21" s="86"/>
      <c r="O21" s="97" t="s">
        <v>237</v>
      </c>
      <c r="P21" s="86"/>
      <c r="Q21" s="97"/>
      <c r="R21" s="86"/>
      <c r="S21" s="97"/>
      <c r="T21" s="86"/>
      <c r="U21" s="97"/>
      <c r="V21" s="98"/>
    </row>
    <row r="24" spans="1:22" ht="14.4" customHeight="1" x14ac:dyDescent="0.3">
      <c r="C24" t="s">
        <v>690</v>
      </c>
    </row>
    <row r="25" spans="1:22" ht="14.4" customHeight="1" x14ac:dyDescent="0.3">
      <c r="C25" t="s">
        <v>691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6"/>
  <sheetViews>
    <sheetView zoomScale="82" zoomScaleNormal="82" workbookViewId="0">
      <selection activeCell="K16" sqref="K16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4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74" t="s">
        <v>267</v>
      </c>
      <c r="B1" s="1" t="s">
        <v>0</v>
      </c>
      <c r="C1" s="1" t="s">
        <v>235</v>
      </c>
      <c r="D1" s="8" t="s">
        <v>47</v>
      </c>
      <c r="E1" s="2" t="s">
        <v>48</v>
      </c>
      <c r="F1" s="8" t="s">
        <v>49</v>
      </c>
      <c r="G1" s="33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73" t="s">
        <v>360</v>
      </c>
      <c r="B2" s="1" t="s">
        <v>361</v>
      </c>
      <c r="C2" s="1"/>
      <c r="D2" s="9" t="s">
        <v>359</v>
      </c>
      <c r="E2" s="14">
        <v>1</v>
      </c>
      <c r="F2" s="9"/>
      <c r="G2" s="14"/>
      <c r="H2" s="9"/>
      <c r="I2" s="14"/>
      <c r="J2" s="9"/>
      <c r="K2" s="4"/>
      <c r="L2" s="16"/>
      <c r="M2" s="21"/>
      <c r="O2">
        <f>E2+G2+I2+K2</f>
        <v>1</v>
      </c>
      <c r="Q2">
        <f>COUNTIF($B$2:$B$105,Tabla3[[#This Row],[Profesor]])</f>
        <v>1</v>
      </c>
    </row>
    <row r="3" spans="1:34" ht="16.2" customHeight="1" thickBot="1" x14ac:dyDescent="0.35">
      <c r="A3" s="15" t="s">
        <v>424</v>
      </c>
      <c r="B3" s="3" t="s">
        <v>272</v>
      </c>
      <c r="C3" s="3"/>
      <c r="D3" s="9" t="s">
        <v>518</v>
      </c>
      <c r="E3" s="14">
        <v>4</v>
      </c>
      <c r="F3" s="9"/>
      <c r="G3" s="14"/>
      <c r="H3" s="9"/>
      <c r="I3" s="4"/>
      <c r="J3" s="9"/>
      <c r="K3" s="4"/>
      <c r="L3" s="16"/>
      <c r="M3" s="20"/>
      <c r="O3">
        <f t="shared" ref="O3:O66" si="0">E3+G3+I3+K3</f>
        <v>4</v>
      </c>
      <c r="Q3">
        <f>COUNTIF($B$2:$B$105,Tabla3[[#This Row],[Profesor]])</f>
        <v>1</v>
      </c>
    </row>
    <row r="4" spans="1:34" ht="16.2" customHeight="1" thickBot="1" x14ac:dyDescent="0.35">
      <c r="A4" s="15" t="s">
        <v>527</v>
      </c>
      <c r="B4" s="3" t="s">
        <v>528</v>
      </c>
      <c r="C4" s="3"/>
      <c r="D4" s="9" t="s">
        <v>673</v>
      </c>
      <c r="E4" s="14">
        <v>1</v>
      </c>
      <c r="F4" s="9"/>
      <c r="G4" s="14"/>
      <c r="H4" s="9"/>
      <c r="I4" s="4"/>
      <c r="J4" s="9"/>
      <c r="K4" s="4"/>
      <c r="L4" s="16"/>
      <c r="M4" s="20"/>
      <c r="O4">
        <f t="shared" si="0"/>
        <v>1</v>
      </c>
      <c r="Q4">
        <f>COUNTIF($B$2:$B$105,Tabla3[[#This Row],[Profesor]])</f>
        <v>1</v>
      </c>
      <c r="S4" s="15" t="s">
        <v>103</v>
      </c>
      <c r="T4" t="s">
        <v>183</v>
      </c>
      <c r="AB4" s="15" t="s">
        <v>103</v>
      </c>
      <c r="AC4" t="s">
        <v>183</v>
      </c>
    </row>
    <row r="5" spans="1:34" ht="16.2" customHeight="1" thickBot="1" x14ac:dyDescent="0.35">
      <c r="A5" s="72" t="s">
        <v>273</v>
      </c>
      <c r="B5" s="3" t="s">
        <v>423</v>
      </c>
      <c r="C5" s="3"/>
      <c r="D5" s="9" t="s">
        <v>271</v>
      </c>
      <c r="E5" s="14">
        <v>1</v>
      </c>
      <c r="F5" s="9"/>
      <c r="G5" s="14"/>
      <c r="H5" s="9"/>
      <c r="I5" s="4"/>
      <c r="J5" s="9"/>
      <c r="K5" s="4"/>
      <c r="L5" s="16"/>
      <c r="M5" s="20"/>
      <c r="O5">
        <f t="shared" si="0"/>
        <v>1</v>
      </c>
      <c r="Q5">
        <f>COUNTIF($B$2:$B$105,Tabla3[[#This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6" t="s">
        <v>502</v>
      </c>
      <c r="M6" s="20"/>
      <c r="O6">
        <f t="shared" si="0"/>
        <v>3</v>
      </c>
      <c r="Q6">
        <f>COUNTIF($B$2:$B$105,Tabla3[[#This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355</v>
      </c>
      <c r="B7" s="3" t="s">
        <v>354</v>
      </c>
      <c r="C7" s="3"/>
      <c r="D7" s="9" t="s">
        <v>353</v>
      </c>
      <c r="E7" s="79">
        <v>2</v>
      </c>
      <c r="F7" s="9"/>
      <c r="G7" s="14"/>
      <c r="H7" s="9"/>
      <c r="I7" s="4"/>
      <c r="J7" s="9"/>
      <c r="K7" s="4"/>
      <c r="L7" s="16"/>
      <c r="M7" s="20"/>
      <c r="O7">
        <f t="shared" si="0"/>
        <v>2</v>
      </c>
      <c r="Q7">
        <f>COUNTIF($B$2:$B$105,Tabla3[[#This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73" t="s">
        <v>471</v>
      </c>
      <c r="B8" s="3" t="s">
        <v>472</v>
      </c>
      <c r="C8" s="3"/>
      <c r="D8" s="9" t="s">
        <v>462</v>
      </c>
      <c r="E8" s="14">
        <v>2</v>
      </c>
      <c r="F8" s="9"/>
      <c r="G8" s="14"/>
      <c r="H8" s="9"/>
      <c r="I8" s="4"/>
      <c r="J8" s="9"/>
      <c r="K8" s="4"/>
      <c r="L8" s="16"/>
      <c r="M8" s="20"/>
      <c r="O8">
        <f t="shared" si="0"/>
        <v>2</v>
      </c>
      <c r="Q8">
        <f>COUNTIF($B$2:$B$105,Tabla3[[#This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72" t="s">
        <v>686</v>
      </c>
      <c r="B9" s="3" t="s">
        <v>687</v>
      </c>
      <c r="C9" s="3"/>
      <c r="D9" s="9" t="s">
        <v>696</v>
      </c>
      <c r="E9" s="14">
        <v>1</v>
      </c>
      <c r="F9" s="9"/>
      <c r="G9" s="14"/>
      <c r="H9" s="9"/>
      <c r="I9" s="4"/>
      <c r="J9" s="9"/>
      <c r="K9" s="4"/>
      <c r="L9" s="16"/>
      <c r="M9" s="20"/>
      <c r="O9">
        <f t="shared" si="0"/>
        <v>1</v>
      </c>
      <c r="Q9">
        <f>COUNTIF($B$2:$B$105,Tabla3[[#This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20"/>
      <c r="O10">
        <f t="shared" si="0"/>
        <v>1</v>
      </c>
      <c r="Q10">
        <f>COUNTIF($B$2:$B$105,Tabla3[[#This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426</v>
      </c>
      <c r="B11" s="3" t="s">
        <v>264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20"/>
      <c r="O11">
        <f t="shared" si="0"/>
        <v>1</v>
      </c>
      <c r="Q11">
        <f>COUNTIF($B$2:$B$105,Tabla3[[#This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427</v>
      </c>
      <c r="B12" s="3" t="s">
        <v>404</v>
      </c>
      <c r="C12" s="3"/>
      <c r="D12" s="9" t="s">
        <v>401</v>
      </c>
      <c r="E12" s="14">
        <v>1</v>
      </c>
      <c r="F12" s="9"/>
      <c r="G12" s="14"/>
      <c r="H12" s="9"/>
      <c r="I12" s="4"/>
      <c r="J12" s="9"/>
      <c r="K12" s="4"/>
      <c r="L12" s="16"/>
      <c r="M12" s="20"/>
      <c r="O12">
        <f t="shared" si="0"/>
        <v>1</v>
      </c>
      <c r="Q12">
        <f>COUNTIF($B$2:$B$105,Tabla3[[#This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92" t="s">
        <v>534</v>
      </c>
      <c r="B13" s="1" t="s">
        <v>535</v>
      </c>
      <c r="C13" s="1"/>
      <c r="D13" s="9" t="s">
        <v>373</v>
      </c>
      <c r="E13" s="14">
        <v>1</v>
      </c>
      <c r="F13" s="9" t="s">
        <v>541</v>
      </c>
      <c r="G13" s="14">
        <v>1</v>
      </c>
      <c r="H13" s="9"/>
      <c r="I13" s="4"/>
      <c r="J13" s="13"/>
      <c r="K13" s="4"/>
      <c r="L13" s="16" t="s">
        <v>545</v>
      </c>
      <c r="M13" s="21"/>
      <c r="O13">
        <f t="shared" si="0"/>
        <v>2</v>
      </c>
      <c r="Q13">
        <f>COUNTIF($B$2:$B$105,Tabla3[[#This Row],[Profesor]])</f>
        <v>1</v>
      </c>
    </row>
    <row r="14" spans="1:34" ht="16.2" customHeight="1" thickBot="1" x14ac:dyDescent="0.35">
      <c r="A14" s="15" t="s">
        <v>520</v>
      </c>
      <c r="B14" s="1" t="s">
        <v>519</v>
      </c>
      <c r="C14" s="1"/>
      <c r="D14" s="9" t="s">
        <v>274</v>
      </c>
      <c r="E14" s="14">
        <v>1</v>
      </c>
      <c r="F14" s="9"/>
      <c r="G14" s="14"/>
      <c r="H14" s="9"/>
      <c r="I14" s="4"/>
      <c r="J14" s="9"/>
      <c r="K14" s="4"/>
      <c r="L14" s="16"/>
      <c r="M14" s="21"/>
      <c r="O14">
        <f t="shared" si="0"/>
        <v>1</v>
      </c>
      <c r="Q14">
        <f>COUNTIF($B$2:$B$105,Tabla3[[#This Row],[Profesor]])</f>
        <v>1</v>
      </c>
      <c r="S14" s="15" t="s">
        <v>104</v>
      </c>
      <c r="T14" t="s">
        <v>184</v>
      </c>
      <c r="AB14" s="15" t="s">
        <v>104</v>
      </c>
      <c r="AC14" t="s">
        <v>184</v>
      </c>
    </row>
    <row r="15" spans="1:34" ht="16.2" customHeight="1" thickBot="1" x14ac:dyDescent="0.35">
      <c r="A15" s="15" t="s">
        <v>428</v>
      </c>
      <c r="B15" s="1" t="s">
        <v>14</v>
      </c>
      <c r="C15" s="1"/>
      <c r="D15" s="13" t="s">
        <v>517</v>
      </c>
      <c r="E15" s="14">
        <v>4</v>
      </c>
      <c r="F15" s="13"/>
      <c r="G15" s="14"/>
      <c r="H15" s="13"/>
      <c r="I15" s="14"/>
      <c r="J15" s="13"/>
      <c r="K15" s="4"/>
      <c r="L15" s="16"/>
      <c r="M15" s="21"/>
      <c r="O15">
        <f t="shared" si="0"/>
        <v>4</v>
      </c>
      <c r="Q15">
        <f>COUNTIF($B$2:$B$105,Tabla3[[#This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72" t="s">
        <v>683</v>
      </c>
      <c r="B16" s="1" t="s">
        <v>684</v>
      </c>
      <c r="C16" s="1"/>
      <c r="D16" s="9" t="s">
        <v>410</v>
      </c>
      <c r="E16" s="14">
        <v>2</v>
      </c>
      <c r="F16" s="9"/>
      <c r="G16" s="14"/>
      <c r="H16" s="9"/>
      <c r="I16" s="4"/>
      <c r="J16" s="9"/>
      <c r="K16" s="4"/>
      <c r="L16" s="16"/>
      <c r="M16" s="21"/>
      <c r="O16">
        <f t="shared" si="0"/>
        <v>2</v>
      </c>
      <c r="Q16">
        <f>COUNTIF($B$2:$B$105,Tabla3[[#This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248</v>
      </c>
      <c r="B17" s="1" t="s">
        <v>247</v>
      </c>
      <c r="C17" s="1"/>
      <c r="D17" s="9" t="s">
        <v>244</v>
      </c>
      <c r="E17" s="14">
        <v>1</v>
      </c>
      <c r="F17" s="9" t="s">
        <v>257</v>
      </c>
      <c r="G17" s="14">
        <v>1</v>
      </c>
      <c r="H17" s="9"/>
      <c r="I17" s="4"/>
      <c r="J17" s="9"/>
      <c r="K17" s="4"/>
      <c r="L17" s="16"/>
      <c r="M17" s="21"/>
      <c r="O17">
        <f t="shared" si="0"/>
        <v>2</v>
      </c>
      <c r="Q17">
        <f>COUNTIF($B$2:$B$105,Tabla3[[#This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363</v>
      </c>
      <c r="B18" s="1" t="s">
        <v>364</v>
      </c>
      <c r="C18" s="1"/>
      <c r="D18" s="9" t="s">
        <v>362</v>
      </c>
      <c r="E18" s="14">
        <v>1</v>
      </c>
      <c r="F18" s="9"/>
      <c r="G18" s="14"/>
      <c r="H18" s="9"/>
      <c r="I18" s="4"/>
      <c r="J18" s="9"/>
      <c r="K18" s="4"/>
      <c r="L18" s="16"/>
      <c r="M18" s="21"/>
      <c r="O18">
        <f t="shared" si="0"/>
        <v>1</v>
      </c>
      <c r="Q18">
        <f>COUNTIF($B$2:$B$105,Tabla3[[#This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338</v>
      </c>
      <c r="B19" s="1" t="s">
        <v>337</v>
      </c>
      <c r="C19" s="1"/>
      <c r="D19" s="9" t="s">
        <v>336</v>
      </c>
      <c r="E19" s="14">
        <v>2</v>
      </c>
      <c r="F19" s="9"/>
      <c r="G19" s="14"/>
      <c r="H19" s="9"/>
      <c r="I19" s="4"/>
      <c r="J19" s="9"/>
      <c r="K19" s="4"/>
      <c r="L19" s="16"/>
      <c r="M19" s="21"/>
      <c r="O19">
        <f t="shared" si="0"/>
        <v>2</v>
      </c>
      <c r="Q19">
        <f>COUNTIF($B$2:$B$105,Tabla3[[#This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411</v>
      </c>
      <c r="G20" s="14">
        <v>1</v>
      </c>
      <c r="H20" s="13"/>
      <c r="I20" s="14"/>
      <c r="J20" s="13"/>
      <c r="K20" s="4"/>
      <c r="L20" s="16"/>
      <c r="M20" s="21"/>
      <c r="O20">
        <f t="shared" si="0"/>
        <v>2</v>
      </c>
      <c r="Q20">
        <f>COUNTIF($B$2:$B$105,Tabla3[[#This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414</v>
      </c>
      <c r="B21" s="1" t="s">
        <v>415</v>
      </c>
      <c r="C21" s="1"/>
      <c r="D21" s="9" t="s">
        <v>413</v>
      </c>
      <c r="E21" s="14">
        <v>1</v>
      </c>
      <c r="F21" s="9" t="s">
        <v>470</v>
      </c>
      <c r="G21" s="14">
        <v>1</v>
      </c>
      <c r="H21" s="9"/>
      <c r="I21" s="4"/>
      <c r="J21" s="9"/>
      <c r="K21" s="4"/>
      <c r="L21" s="16"/>
      <c r="M21" s="21"/>
      <c r="O21">
        <f t="shared" si="0"/>
        <v>2</v>
      </c>
      <c r="Q21">
        <f>COUNTIF($B$2:$B$105,Tabla3[[#This Row],[Profesor]])</f>
        <v>1</v>
      </c>
    </row>
    <row r="22" spans="1:34" ht="16.2" customHeight="1" thickBot="1" x14ac:dyDescent="0.35">
      <c r="A22" s="72" t="s">
        <v>666</v>
      </c>
      <c r="B22" s="1" t="s">
        <v>542</v>
      </c>
      <c r="C22" s="1"/>
      <c r="D22" s="9" t="s">
        <v>540</v>
      </c>
      <c r="E22" s="14">
        <v>1</v>
      </c>
      <c r="F22" s="9"/>
      <c r="G22" s="14"/>
      <c r="H22" s="9"/>
      <c r="I22" s="4"/>
      <c r="J22" s="9"/>
      <c r="K22" s="4"/>
      <c r="L22" s="16"/>
      <c r="M22" s="21"/>
      <c r="O22">
        <f t="shared" si="0"/>
        <v>1</v>
      </c>
      <c r="Q22">
        <f>COUNTIF($B$2:$B$105,Tabla3[[#This Row],[Profesor]])</f>
        <v>1</v>
      </c>
      <c r="S22" s="15" t="s">
        <v>105</v>
      </c>
      <c r="T22" t="s">
        <v>185</v>
      </c>
      <c r="AB22" s="15" t="s">
        <v>105</v>
      </c>
      <c r="AC22" t="s">
        <v>185</v>
      </c>
    </row>
    <row r="23" spans="1:34" ht="16.2" customHeight="1" thickBot="1" x14ac:dyDescent="0.35">
      <c r="A23" s="15" t="s">
        <v>149</v>
      </c>
      <c r="B23" s="1" t="s">
        <v>72</v>
      </c>
      <c r="C23" s="1" t="s">
        <v>237</v>
      </c>
      <c r="D23" s="9" t="s">
        <v>362</v>
      </c>
      <c r="E23" s="14">
        <v>1</v>
      </c>
      <c r="F23" s="9" t="s">
        <v>537</v>
      </c>
      <c r="G23" s="14">
        <v>1</v>
      </c>
      <c r="H23" s="9"/>
      <c r="I23" s="4"/>
      <c r="J23" s="9"/>
      <c r="K23" s="4"/>
      <c r="L23" s="16"/>
      <c r="M23" s="21"/>
      <c r="O23">
        <f t="shared" si="0"/>
        <v>2</v>
      </c>
      <c r="Q23">
        <f>COUNTIF($B$2:$B$105,Tabla3[[#This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429</v>
      </c>
      <c r="B24" s="1" t="s">
        <v>43</v>
      </c>
      <c r="C24" s="1"/>
      <c r="D24" s="13" t="s">
        <v>102</v>
      </c>
      <c r="E24" s="14">
        <v>1</v>
      </c>
      <c r="F24" s="13" t="s">
        <v>356</v>
      </c>
      <c r="G24" s="14">
        <v>1</v>
      </c>
      <c r="H24" s="13" t="s">
        <v>283</v>
      </c>
      <c r="I24" s="14">
        <v>1</v>
      </c>
      <c r="J24" s="13"/>
      <c r="K24" s="4"/>
      <c r="L24" s="16"/>
      <c r="M24" s="21"/>
      <c r="O24">
        <f t="shared" si="0"/>
        <v>3</v>
      </c>
      <c r="Q24">
        <f>COUNTIF($B$2:$B$105,Tabla3[[#This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409</v>
      </c>
      <c r="B25" s="1" t="s">
        <v>408</v>
      </c>
      <c r="C25" s="1"/>
      <c r="D25" s="9" t="s">
        <v>676</v>
      </c>
      <c r="E25" s="14">
        <v>1</v>
      </c>
      <c r="F25" s="9"/>
      <c r="G25" s="14"/>
      <c r="H25" s="9"/>
      <c r="I25" s="4"/>
      <c r="J25" s="9"/>
      <c r="K25" s="4"/>
      <c r="L25" s="16"/>
      <c r="M25" s="21"/>
      <c r="O25">
        <f t="shared" si="0"/>
        <v>1</v>
      </c>
      <c r="Q25">
        <f>COUNTIF($B$2:$B$105,Tabla3[[#This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 t="s">
        <v>237</v>
      </c>
      <c r="D26" s="13" t="s">
        <v>243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6" t="s">
        <v>502</v>
      </c>
      <c r="M26" s="21"/>
      <c r="O26">
        <f t="shared" si="0"/>
        <v>2</v>
      </c>
      <c r="Q26">
        <f>COUNTIF($B$2:$B$105,Tabla3[[#This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536</v>
      </c>
      <c r="C27" s="1"/>
      <c r="D27" s="9" t="s">
        <v>539</v>
      </c>
      <c r="E27" s="14">
        <v>1</v>
      </c>
      <c r="F27" s="9" t="s">
        <v>674</v>
      </c>
      <c r="G27" s="14">
        <v>1</v>
      </c>
      <c r="H27" s="9"/>
      <c r="I27" s="4"/>
      <c r="J27" s="13"/>
      <c r="K27" s="4"/>
      <c r="L27" s="16"/>
      <c r="M27" s="21"/>
      <c r="O27">
        <f t="shared" si="0"/>
        <v>2</v>
      </c>
      <c r="Q27">
        <f>COUNTIF($B$2:$B$105,Tabla3[[#This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73" t="s">
        <v>377</v>
      </c>
      <c r="B28" s="1" t="s">
        <v>378</v>
      </c>
      <c r="C28" s="1"/>
      <c r="D28" s="9" t="s">
        <v>375</v>
      </c>
      <c r="E28" s="14">
        <v>1</v>
      </c>
      <c r="F28" s="9"/>
      <c r="G28" s="14"/>
      <c r="H28" s="9"/>
      <c r="I28" s="4"/>
      <c r="J28" s="9"/>
      <c r="K28" s="4"/>
      <c r="L28" s="16"/>
      <c r="M28" s="21"/>
      <c r="O28">
        <f t="shared" si="0"/>
        <v>1</v>
      </c>
      <c r="Q28">
        <f>COUNTIF($B$2:$B$105,Tabla3[[#This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340</v>
      </c>
      <c r="B29" s="1" t="s">
        <v>341</v>
      </c>
      <c r="C29" s="1"/>
      <c r="D29" s="9" t="s">
        <v>339</v>
      </c>
      <c r="E29" s="14">
        <v>1</v>
      </c>
      <c r="F29" s="9"/>
      <c r="G29" s="14"/>
      <c r="H29" s="9"/>
      <c r="I29" s="4"/>
      <c r="J29" s="9"/>
      <c r="K29" s="4"/>
      <c r="L29" s="16"/>
      <c r="M29" s="21"/>
      <c r="O29">
        <f t="shared" si="0"/>
        <v>1</v>
      </c>
      <c r="Q29">
        <f>COUNTIF($B$2:$B$105,Tabla3[[#This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406</v>
      </c>
      <c r="B30" s="1" t="s">
        <v>407</v>
      </c>
      <c r="C30" s="1"/>
      <c r="D30" s="9" t="s">
        <v>405</v>
      </c>
      <c r="E30" s="14">
        <v>1</v>
      </c>
      <c r="F30" s="9"/>
      <c r="G30" s="14"/>
      <c r="H30" s="9"/>
      <c r="I30" s="4"/>
      <c r="J30" s="9"/>
      <c r="K30" s="4"/>
      <c r="L30" s="16"/>
      <c r="M30" s="21"/>
      <c r="O30">
        <f t="shared" si="0"/>
        <v>1</v>
      </c>
      <c r="Q30">
        <f>COUNTIF($B$2:$B$105,Tabla3[[#This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525</v>
      </c>
      <c r="B31" s="1" t="s">
        <v>526</v>
      </c>
      <c r="C31" s="1"/>
      <c r="D31" s="9" t="s">
        <v>675</v>
      </c>
      <c r="E31" s="14">
        <v>1</v>
      </c>
      <c r="F31" s="9"/>
      <c r="G31" s="14"/>
      <c r="H31" s="9"/>
      <c r="I31" s="4"/>
      <c r="J31" s="9"/>
      <c r="K31" s="4"/>
      <c r="L31" s="16"/>
      <c r="M31" s="21"/>
      <c r="O31">
        <f t="shared" si="0"/>
        <v>1</v>
      </c>
      <c r="Q31">
        <f>COUNTIF($B$2:$B$105,Tabla3[[#This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357</v>
      </c>
      <c r="B32" s="1" t="s">
        <v>358</v>
      </c>
      <c r="C32" s="1"/>
      <c r="D32" s="9" t="s">
        <v>259</v>
      </c>
      <c r="E32" s="14">
        <v>1</v>
      </c>
      <c r="F32" s="9"/>
      <c r="G32" s="14"/>
      <c r="H32" s="9"/>
      <c r="I32" s="4"/>
      <c r="J32" s="9"/>
      <c r="K32" s="4"/>
      <c r="L32" s="16"/>
      <c r="M32" s="21"/>
      <c r="O32">
        <f t="shared" si="0"/>
        <v>1</v>
      </c>
      <c r="Q32">
        <f>COUNTIF($B$2:$B$105,Tabla3[[#This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112</v>
      </c>
      <c r="B33" s="1" t="s">
        <v>42</v>
      </c>
      <c r="C33" s="1"/>
      <c r="D33" s="13" t="s">
        <v>334</v>
      </c>
      <c r="E33" s="14">
        <v>1</v>
      </c>
      <c r="F33" s="13" t="s">
        <v>376</v>
      </c>
      <c r="G33" s="14">
        <v>1</v>
      </c>
      <c r="H33" s="13"/>
      <c r="I33" s="14"/>
      <c r="J33" s="13"/>
      <c r="K33" s="4"/>
      <c r="L33" s="16"/>
      <c r="M33" s="87" t="s">
        <v>581</v>
      </c>
      <c r="O33">
        <f t="shared" si="0"/>
        <v>2</v>
      </c>
      <c r="Q33">
        <f>COUNTIF($B$2:$B$105,Tabla3[[#This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387</v>
      </c>
      <c r="B34" s="1" t="s">
        <v>388</v>
      </c>
      <c r="C34" s="1"/>
      <c r="D34" s="9" t="s">
        <v>386</v>
      </c>
      <c r="E34" s="14">
        <v>1</v>
      </c>
      <c r="F34" s="9"/>
      <c r="G34" s="14"/>
      <c r="H34" s="9"/>
      <c r="I34" s="4"/>
      <c r="J34" s="9"/>
      <c r="K34" s="4"/>
      <c r="L34" s="16"/>
      <c r="M34" s="21"/>
      <c r="O34">
        <f t="shared" si="0"/>
        <v>1</v>
      </c>
      <c r="Q34">
        <f>COUNTIF($B$2:$B$105,Tabla3[[#This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104</v>
      </c>
      <c r="B35" s="1" t="s">
        <v>13</v>
      </c>
      <c r="C35" s="1"/>
      <c r="D35" s="13" t="s">
        <v>8</v>
      </c>
      <c r="E35" s="14">
        <v>1</v>
      </c>
      <c r="F35" s="13" t="s">
        <v>22</v>
      </c>
      <c r="G35" s="14">
        <v>1</v>
      </c>
      <c r="H35" s="13" t="s">
        <v>23</v>
      </c>
      <c r="I35" s="14">
        <v>1</v>
      </c>
      <c r="J35" s="13"/>
      <c r="K35" s="4"/>
      <c r="L35" s="16"/>
      <c r="M35" s="21"/>
      <c r="O35">
        <f t="shared" si="0"/>
        <v>3</v>
      </c>
      <c r="Q35">
        <f>COUNTIF($B$2:$B$105,Tabla3[[#This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371</v>
      </c>
      <c r="B36" s="1" t="s">
        <v>372</v>
      </c>
      <c r="C36" s="1"/>
      <c r="D36" s="9" t="s">
        <v>370</v>
      </c>
      <c r="E36" s="14">
        <v>1</v>
      </c>
      <c r="F36" s="9"/>
      <c r="G36" s="14"/>
      <c r="H36" s="9"/>
      <c r="I36" s="4"/>
      <c r="J36" s="9"/>
      <c r="K36" s="4"/>
      <c r="L36" s="16"/>
      <c r="M36" s="21"/>
      <c r="O36">
        <f t="shared" si="0"/>
        <v>1</v>
      </c>
      <c r="Q36">
        <f>COUNTIF($B$2:$B$105,Tabla3[[#This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15" t="s">
        <v>489</v>
      </c>
      <c r="B37" s="1" t="s">
        <v>490</v>
      </c>
      <c r="C37" s="1"/>
      <c r="D37" s="9" t="s">
        <v>410</v>
      </c>
      <c r="E37" s="14">
        <v>2</v>
      </c>
      <c r="F37" s="9"/>
      <c r="G37" s="14"/>
      <c r="H37" s="9"/>
      <c r="I37" s="4"/>
      <c r="J37" s="9"/>
      <c r="K37" s="4"/>
      <c r="L37" s="16"/>
      <c r="M37" s="21"/>
      <c r="O37">
        <f t="shared" si="0"/>
        <v>2</v>
      </c>
      <c r="Q37">
        <f>COUNTIF($B$2:$B$105,Tabla3[[#This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677</v>
      </c>
      <c r="B38" s="1" t="s">
        <v>678</v>
      </c>
      <c r="C38" s="1"/>
      <c r="D38" s="9" t="s">
        <v>679</v>
      </c>
      <c r="E38" s="14">
        <v>1</v>
      </c>
      <c r="F38" s="9"/>
      <c r="G38" s="14"/>
      <c r="H38" s="9"/>
      <c r="I38" s="4"/>
      <c r="J38" s="9"/>
      <c r="K38" s="4"/>
      <c r="L38" s="16"/>
      <c r="M38" s="21"/>
      <c r="O38">
        <f t="shared" si="0"/>
        <v>1</v>
      </c>
      <c r="Q38">
        <f>COUNTIF($B$2:$B$105,Tabla3[[#This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479</v>
      </c>
      <c r="B39" s="1" t="s">
        <v>480</v>
      </c>
      <c r="C39" s="1"/>
      <c r="D39" s="9" t="s">
        <v>465</v>
      </c>
      <c r="E39" s="14">
        <v>1</v>
      </c>
      <c r="F39" s="9"/>
      <c r="G39" s="14"/>
      <c r="H39" s="9"/>
      <c r="I39" s="4"/>
      <c r="J39" s="9"/>
      <c r="K39" s="4"/>
      <c r="L39" s="16"/>
      <c r="M39" s="21"/>
      <c r="O39">
        <f t="shared" si="0"/>
        <v>1</v>
      </c>
      <c r="Q39">
        <f>COUNTIF($B$2:$B$105,Tabla3[[#This Row],[Profesor]])</f>
        <v>1</v>
      </c>
    </row>
    <row r="40" spans="1:34" ht="16.2" customHeight="1" thickBot="1" x14ac:dyDescent="0.35">
      <c r="A40" s="15" t="s">
        <v>381</v>
      </c>
      <c r="B40" s="1" t="s">
        <v>382</v>
      </c>
      <c r="C40" s="1"/>
      <c r="D40" s="9" t="s">
        <v>380</v>
      </c>
      <c r="E40" s="14">
        <v>1</v>
      </c>
      <c r="F40" s="9"/>
      <c r="G40" s="14"/>
      <c r="H40" s="9"/>
      <c r="I40" s="4"/>
      <c r="J40" s="9"/>
      <c r="K40" s="4"/>
      <c r="L40" s="16"/>
      <c r="M40" s="21"/>
      <c r="O40">
        <f t="shared" si="0"/>
        <v>1</v>
      </c>
      <c r="Q40">
        <f>COUNTIF($B$2:$B$105,Tabla3[[#This Row],[Profesor]])</f>
        <v>1</v>
      </c>
    </row>
    <row r="41" spans="1:34" ht="16.2" customHeight="1" thickBot="1" x14ac:dyDescent="0.35">
      <c r="A41" s="72" t="s">
        <v>113</v>
      </c>
      <c r="B41" s="1" t="s">
        <v>495</v>
      </c>
      <c r="C41" s="1"/>
      <c r="D41" s="45" t="s">
        <v>362</v>
      </c>
      <c r="E41" s="30">
        <v>1</v>
      </c>
      <c r="F41" s="9"/>
      <c r="G41" s="14"/>
      <c r="H41" s="9"/>
      <c r="I41" s="4"/>
      <c r="J41" s="9"/>
      <c r="K41" s="4"/>
      <c r="L41" s="16"/>
      <c r="M41" s="21"/>
      <c r="O41">
        <f t="shared" si="0"/>
        <v>1</v>
      </c>
      <c r="Q41">
        <f>COUNTIF($B$2:$B$105,Tabla3[[#This Row],[Profesor]])</f>
        <v>1</v>
      </c>
    </row>
    <row r="42" spans="1:34" ht="16.2" customHeight="1" thickBot="1" x14ac:dyDescent="0.35">
      <c r="A42" s="15" t="s">
        <v>122</v>
      </c>
      <c r="B42" s="1" t="s">
        <v>74</v>
      </c>
      <c r="C42" s="1"/>
      <c r="D42" s="13" t="s">
        <v>79</v>
      </c>
      <c r="E42" s="14">
        <v>1</v>
      </c>
      <c r="F42" s="13" t="s">
        <v>385</v>
      </c>
      <c r="G42" s="14">
        <v>1</v>
      </c>
      <c r="H42" s="13"/>
      <c r="I42" s="14"/>
      <c r="J42" s="13"/>
      <c r="K42" s="4"/>
      <c r="L42" s="16"/>
      <c r="M42" s="21"/>
      <c r="O42">
        <f t="shared" si="0"/>
        <v>2</v>
      </c>
      <c r="Q42">
        <f>COUNTIF($B$2:$B$105,Tabla3[[#This Row],[Profesor]])</f>
        <v>1</v>
      </c>
    </row>
    <row r="43" spans="1:34" ht="16.2" customHeight="1" thickBot="1" x14ac:dyDescent="0.35">
      <c r="A43" s="72" t="s">
        <v>529</v>
      </c>
      <c r="B43" s="1" t="s">
        <v>530</v>
      </c>
      <c r="C43" s="1"/>
      <c r="D43" s="9" t="s">
        <v>533</v>
      </c>
      <c r="E43" s="14">
        <v>2</v>
      </c>
      <c r="F43" s="9"/>
      <c r="G43" s="14"/>
      <c r="H43" s="9"/>
      <c r="I43" s="4"/>
      <c r="J43" s="9"/>
      <c r="K43" s="4"/>
      <c r="L43" s="16"/>
      <c r="M43" s="21"/>
      <c r="O43">
        <f t="shared" si="0"/>
        <v>2</v>
      </c>
      <c r="Q43">
        <f>COUNTIF($B$2:$B$105,Tabla3[[#This Row],[Profesor]])</f>
        <v>1</v>
      </c>
    </row>
    <row r="44" spans="1:34" ht="16.2" customHeight="1" thickBot="1" x14ac:dyDescent="0.35">
      <c r="A44" s="72" t="s">
        <v>343</v>
      </c>
      <c r="B44" s="1" t="s">
        <v>344</v>
      </c>
      <c r="C44" s="1"/>
      <c r="D44" s="9" t="s">
        <v>342</v>
      </c>
      <c r="E44" s="14">
        <v>3</v>
      </c>
      <c r="F44" s="9"/>
      <c r="G44" s="14"/>
      <c r="H44" s="9"/>
      <c r="I44" s="4"/>
      <c r="J44" s="9"/>
      <c r="K44" s="4"/>
      <c r="L44" s="16"/>
      <c r="M44" s="21"/>
      <c r="O44">
        <f t="shared" si="0"/>
        <v>3</v>
      </c>
      <c r="Q44">
        <f>COUNTIF($B$2:$B$105,Tabla3[[#This Row],[Profesor]])</f>
        <v>1</v>
      </c>
    </row>
    <row r="45" spans="1:34" ht="16.2" customHeight="1" thickBot="1" x14ac:dyDescent="0.35">
      <c r="A45" s="15" t="s">
        <v>383</v>
      </c>
      <c r="B45" s="1" t="s">
        <v>384</v>
      </c>
      <c r="C45" s="1"/>
      <c r="D45" s="9" t="s">
        <v>380</v>
      </c>
      <c r="E45" s="14">
        <v>1</v>
      </c>
      <c r="F45" s="9"/>
      <c r="G45" s="14"/>
      <c r="H45" s="9"/>
      <c r="I45" s="4"/>
      <c r="J45" s="9"/>
      <c r="K45" s="4"/>
      <c r="L45" s="16"/>
      <c r="M45" s="21" t="s">
        <v>506</v>
      </c>
      <c r="O45">
        <f t="shared" si="0"/>
        <v>1</v>
      </c>
      <c r="Q45">
        <f>COUNTIF($B$2:$B$105,Tabla3[[#This Row],[Profesor]])</f>
        <v>1</v>
      </c>
    </row>
    <row r="46" spans="1:34" ht="16.2" customHeight="1" thickBot="1" x14ac:dyDescent="0.35">
      <c r="A46" s="15" t="s">
        <v>668</v>
      </c>
      <c r="B46" s="1" t="s">
        <v>669</v>
      </c>
      <c r="C46" s="1"/>
      <c r="D46" s="9" t="s">
        <v>467</v>
      </c>
      <c r="E46" s="14">
        <v>1</v>
      </c>
      <c r="F46" s="9"/>
      <c r="G46" s="14"/>
      <c r="H46" s="9"/>
      <c r="I46" s="4"/>
      <c r="J46" s="9"/>
      <c r="K46" s="4"/>
      <c r="L46" s="16"/>
      <c r="M46" s="21"/>
      <c r="O46">
        <f t="shared" si="0"/>
        <v>1</v>
      </c>
      <c r="Q46">
        <f>COUNTIF($B$2:$B$105,Tabla3[[#This Row],[Profesor]])</f>
        <v>1</v>
      </c>
    </row>
    <row r="47" spans="1:34" ht="16.2" customHeight="1" thickBot="1" x14ac:dyDescent="0.35">
      <c r="A47" s="15" t="s">
        <v>496</v>
      </c>
      <c r="B47" s="1" t="s">
        <v>497</v>
      </c>
      <c r="C47" s="1"/>
      <c r="D47" s="9" t="s">
        <v>261</v>
      </c>
      <c r="E47" s="14">
        <v>1</v>
      </c>
      <c r="F47" s="9" t="s">
        <v>276</v>
      </c>
      <c r="G47" s="14">
        <v>1</v>
      </c>
      <c r="H47" s="9"/>
      <c r="I47" s="14"/>
      <c r="J47" s="9"/>
      <c r="K47" s="4"/>
      <c r="L47" s="16"/>
      <c r="M47" s="21"/>
      <c r="O47">
        <f t="shared" si="0"/>
        <v>2</v>
      </c>
      <c r="Q47">
        <f>COUNTIF($B$2:$B$105,Tabla3[[#This Row],[Profesor]])</f>
        <v>1</v>
      </c>
    </row>
    <row r="48" spans="1:34" ht="16.2" customHeight="1" thickBot="1" x14ac:dyDescent="0.35">
      <c r="A48" s="15" t="s">
        <v>499</v>
      </c>
      <c r="B48" s="1" t="s">
        <v>498</v>
      </c>
      <c r="C48" s="1"/>
      <c r="D48" s="9" t="s">
        <v>276</v>
      </c>
      <c r="E48" s="14">
        <v>3</v>
      </c>
      <c r="F48" s="9"/>
      <c r="G48" s="14"/>
      <c r="H48" s="9"/>
      <c r="I48" s="4"/>
      <c r="J48" s="9"/>
      <c r="K48" s="4"/>
      <c r="L48" s="16"/>
      <c r="M48" s="21"/>
      <c r="O48">
        <f t="shared" si="0"/>
        <v>3</v>
      </c>
      <c r="Q48">
        <f>COUNTIF($B$2:$B$105,Tabla3[[#This Row],[Profesor]])</f>
        <v>1</v>
      </c>
    </row>
    <row r="49" spans="1:17" ht="16.2" customHeight="1" thickBot="1" x14ac:dyDescent="0.35">
      <c r="A49" s="15" t="s">
        <v>509</v>
      </c>
      <c r="B49" s="1" t="s">
        <v>510</v>
      </c>
      <c r="C49" s="1"/>
      <c r="D49" s="9" t="s">
        <v>262</v>
      </c>
      <c r="E49" s="14">
        <v>2</v>
      </c>
      <c r="F49" s="9"/>
      <c r="G49" s="14"/>
      <c r="H49" s="9"/>
      <c r="I49" s="4"/>
      <c r="J49" s="9"/>
      <c r="K49" s="4"/>
      <c r="L49" s="16"/>
      <c r="M49" s="21"/>
      <c r="O49">
        <f t="shared" si="0"/>
        <v>2</v>
      </c>
      <c r="Q49">
        <f>COUNTIF($B$2:$B$105,Tabla3[[#This Row],[Profesor]])</f>
        <v>1</v>
      </c>
    </row>
    <row r="50" spans="1:17" ht="16.2" customHeight="1" thickBot="1" x14ac:dyDescent="0.35">
      <c r="A50" s="15" t="s">
        <v>430</v>
      </c>
      <c r="B50" s="1" t="s">
        <v>418</v>
      </c>
      <c r="C50" s="1"/>
      <c r="D50" s="9" t="s">
        <v>413</v>
      </c>
      <c r="E50" s="14">
        <v>1</v>
      </c>
      <c r="F50" s="9" t="s">
        <v>470</v>
      </c>
      <c r="G50" s="14">
        <v>1</v>
      </c>
      <c r="H50" s="9"/>
      <c r="I50" s="4"/>
      <c r="J50" s="9"/>
      <c r="K50" s="4"/>
      <c r="L50" s="16"/>
      <c r="M50" s="21"/>
      <c r="O50">
        <f t="shared" si="0"/>
        <v>2</v>
      </c>
      <c r="Q50">
        <f>COUNTIF($B$2:$B$105,Tabla3[[#This Row],[Profesor]])</f>
        <v>1</v>
      </c>
    </row>
    <row r="51" spans="1:17" ht="16.2" customHeight="1" thickBot="1" x14ac:dyDescent="0.35">
      <c r="A51" s="15" t="s">
        <v>178</v>
      </c>
      <c r="B51" s="1" t="s">
        <v>179</v>
      </c>
      <c r="C51" s="1"/>
      <c r="D51" s="9" t="s">
        <v>77</v>
      </c>
      <c r="E51" s="14">
        <v>1</v>
      </c>
      <c r="F51" s="9"/>
      <c r="G51" s="14"/>
      <c r="H51" s="9"/>
      <c r="I51" s="4"/>
      <c r="J51" s="9"/>
      <c r="K51" s="4"/>
      <c r="L51" s="16"/>
      <c r="M51" s="21"/>
      <c r="O51">
        <f t="shared" si="0"/>
        <v>1</v>
      </c>
      <c r="Q51">
        <f>COUNTIF($B$2:$B$105,Tabla3[[#This Row],[Profesor]])</f>
        <v>1</v>
      </c>
    </row>
    <row r="52" spans="1:17" ht="16.2" customHeight="1" thickBot="1" x14ac:dyDescent="0.35">
      <c r="A52" s="15" t="s">
        <v>431</v>
      </c>
      <c r="B52" s="1" t="s">
        <v>19</v>
      </c>
      <c r="C52" s="1"/>
      <c r="D52" s="13" t="s">
        <v>8</v>
      </c>
      <c r="E52" s="14">
        <v>1</v>
      </c>
      <c r="F52" s="13" t="s">
        <v>325</v>
      </c>
      <c r="G52" s="14">
        <v>1</v>
      </c>
      <c r="H52" s="13"/>
      <c r="I52" s="4"/>
      <c r="J52" s="13"/>
      <c r="K52" s="4"/>
      <c r="L52" s="16"/>
      <c r="M52" s="21"/>
      <c r="O52">
        <f t="shared" si="0"/>
        <v>2</v>
      </c>
      <c r="Q52">
        <f>COUNTIF($B$2:$B$105,Tabla3[[#This Row],[Profesor]])</f>
        <v>1</v>
      </c>
    </row>
    <row r="53" spans="1:17" ht="16.2" customHeight="1" thickBot="1" x14ac:dyDescent="0.35">
      <c r="A53" s="15" t="s">
        <v>432</v>
      </c>
      <c r="B53" s="1" t="s">
        <v>67</v>
      </c>
      <c r="C53" s="1"/>
      <c r="D53" s="9" t="s">
        <v>282</v>
      </c>
      <c r="E53" s="14">
        <v>1</v>
      </c>
      <c r="F53" s="9" t="s">
        <v>386</v>
      </c>
      <c r="G53" s="14">
        <v>1</v>
      </c>
      <c r="H53" s="9"/>
      <c r="I53" s="4"/>
      <c r="J53" s="9"/>
      <c r="K53" s="4"/>
      <c r="L53" s="16"/>
      <c r="M53" s="21"/>
      <c r="O53">
        <f t="shared" si="0"/>
        <v>2</v>
      </c>
      <c r="Q53">
        <f>COUNTIF($B$2:$B$105,Tabla3[[#This Row],[Profesor]])</f>
        <v>1</v>
      </c>
    </row>
    <row r="54" spans="1:17" ht="16.2" customHeight="1" thickBot="1" x14ac:dyDescent="0.35">
      <c r="A54" s="15" t="s">
        <v>433</v>
      </c>
      <c r="B54" s="1" t="s">
        <v>12</v>
      </c>
      <c r="C54" s="1" t="s">
        <v>237</v>
      </c>
      <c r="D54" s="13" t="s">
        <v>7</v>
      </c>
      <c r="E54" s="14">
        <v>4</v>
      </c>
      <c r="F54" s="13"/>
      <c r="G54" s="14"/>
      <c r="H54" s="13"/>
      <c r="I54" s="14"/>
      <c r="J54" s="13"/>
      <c r="K54" s="4"/>
      <c r="L54" s="16"/>
      <c r="M54" s="21"/>
      <c r="O54">
        <f t="shared" si="0"/>
        <v>4</v>
      </c>
      <c r="Q54">
        <f>COUNTIF($B$2:$B$105,Tabla3[[#This Row],[Profesor]])</f>
        <v>1</v>
      </c>
    </row>
    <row r="55" spans="1:17" ht="16.2" customHeight="1" thickBot="1" x14ac:dyDescent="0.35">
      <c r="A55" s="15" t="s">
        <v>134</v>
      </c>
      <c r="B55" s="1" t="s">
        <v>521</v>
      </c>
      <c r="C55" s="1"/>
      <c r="D55" s="9" t="s">
        <v>90</v>
      </c>
      <c r="E55" s="14">
        <v>1</v>
      </c>
      <c r="F55" s="9"/>
      <c r="G55" s="14"/>
      <c r="H55" s="9"/>
      <c r="I55" s="4"/>
      <c r="J55" s="9"/>
      <c r="K55" s="4"/>
      <c r="L55" s="16"/>
      <c r="M55" s="21"/>
      <c r="O55">
        <f t="shared" si="0"/>
        <v>1</v>
      </c>
      <c r="Q55">
        <f>COUNTIF($B$2:$B$105,Tabla3[[#This Row],[Profesor]])</f>
        <v>1</v>
      </c>
    </row>
    <row r="56" spans="1:17" ht="16.2" customHeight="1" thickBot="1" x14ac:dyDescent="0.35">
      <c r="A56" s="15" t="s">
        <v>442</v>
      </c>
      <c r="B56" s="1" t="s">
        <v>443</v>
      </c>
      <c r="C56" s="1"/>
      <c r="D56" s="9" t="s">
        <v>271</v>
      </c>
      <c r="E56" s="14">
        <v>1</v>
      </c>
      <c r="F56" s="9"/>
      <c r="G56" s="14"/>
      <c r="H56" s="9"/>
      <c r="I56" s="4"/>
      <c r="J56" s="9"/>
      <c r="K56" s="4"/>
      <c r="L56" s="16"/>
      <c r="M56" s="21"/>
      <c r="O56">
        <f t="shared" si="0"/>
        <v>1</v>
      </c>
      <c r="Q56">
        <f>COUNTIF($B$2:$B$105,Tabla3[[#This Row],[Profesor]])</f>
        <v>1</v>
      </c>
    </row>
    <row r="57" spans="1:17" ht="16.2" customHeight="1" thickBot="1" x14ac:dyDescent="0.35">
      <c r="A57" s="15" t="s">
        <v>118</v>
      </c>
      <c r="B57" s="1" t="s">
        <v>25</v>
      </c>
      <c r="C57" s="1" t="s">
        <v>237</v>
      </c>
      <c r="D57" s="13" t="s">
        <v>20</v>
      </c>
      <c r="E57" s="14">
        <v>1</v>
      </c>
      <c r="F57" s="13" t="s">
        <v>21</v>
      </c>
      <c r="G57" s="14">
        <v>1</v>
      </c>
      <c r="H57" s="13" t="s">
        <v>348</v>
      </c>
      <c r="I57" s="14">
        <v>1</v>
      </c>
      <c r="J57" s="13" t="s">
        <v>349</v>
      </c>
      <c r="K57" s="14">
        <v>2</v>
      </c>
      <c r="L57" s="16" t="s">
        <v>500</v>
      </c>
      <c r="M57" s="21" t="s">
        <v>501</v>
      </c>
      <c r="O57">
        <f t="shared" si="0"/>
        <v>5</v>
      </c>
      <c r="Q57">
        <f>COUNTIF($B$2:$B$105,Tabla3[[#This Row],[Profesor]])</f>
        <v>1</v>
      </c>
    </row>
    <row r="58" spans="1:17" ht="16.2" customHeight="1" thickBot="1" x14ac:dyDescent="0.35">
      <c r="A58" s="15" t="s">
        <v>269</v>
      </c>
      <c r="B58" s="1" t="s">
        <v>270</v>
      </c>
      <c r="C58" s="1" t="s">
        <v>237</v>
      </c>
      <c r="D58" s="9" t="s">
        <v>268</v>
      </c>
      <c r="E58" s="14">
        <v>2</v>
      </c>
      <c r="F58" s="9"/>
      <c r="G58" s="14"/>
      <c r="H58" s="9"/>
      <c r="I58" s="4"/>
      <c r="J58" s="9"/>
      <c r="K58" s="4"/>
      <c r="L58" s="16"/>
      <c r="M58" s="21" t="s">
        <v>524</v>
      </c>
      <c r="O58">
        <f t="shared" si="0"/>
        <v>2</v>
      </c>
      <c r="Q58">
        <f>COUNTIF($B$2:$B$105,Tabla3[[#This Row],[Profesor]])</f>
        <v>1</v>
      </c>
    </row>
    <row r="59" spans="1:17" ht="16.2" customHeight="1" thickBot="1" x14ac:dyDescent="0.35">
      <c r="A59" s="15" t="s">
        <v>473</v>
      </c>
      <c r="B59" s="1" t="s">
        <v>474</v>
      </c>
      <c r="C59" s="1"/>
      <c r="D59" s="9" t="s">
        <v>463</v>
      </c>
      <c r="E59" s="14">
        <v>1</v>
      </c>
      <c r="F59" s="9" t="s">
        <v>395</v>
      </c>
      <c r="G59" s="14">
        <v>1</v>
      </c>
      <c r="H59" s="9"/>
      <c r="I59" s="4"/>
      <c r="J59" s="9"/>
      <c r="K59" s="4"/>
      <c r="L59" s="16"/>
      <c r="M59" s="21"/>
      <c r="O59">
        <f t="shared" si="0"/>
        <v>2</v>
      </c>
      <c r="Q59">
        <f>COUNTIF($B$2:$B$105,Tabla3[[#This Row],[Profesor]])</f>
        <v>1</v>
      </c>
    </row>
    <row r="60" spans="1:17" ht="16.2" customHeight="1" thickBot="1" x14ac:dyDescent="0.35">
      <c r="A60" s="15" t="s">
        <v>481</v>
      </c>
      <c r="B60" s="1" t="s">
        <v>482</v>
      </c>
      <c r="C60" s="1"/>
      <c r="D60" s="9" t="s">
        <v>466</v>
      </c>
      <c r="E60" s="14">
        <v>1</v>
      </c>
      <c r="F60" s="9"/>
      <c r="G60" s="14"/>
      <c r="H60" s="9"/>
      <c r="I60" s="4"/>
      <c r="J60" s="9"/>
      <c r="K60" s="4"/>
      <c r="L60" s="16"/>
      <c r="M60" s="21"/>
      <c r="O60">
        <f t="shared" si="0"/>
        <v>1</v>
      </c>
      <c r="Q60">
        <f>COUNTIF($B$2:$B$105,Tabla3[[#This Row],[Profesor]])</f>
        <v>1</v>
      </c>
    </row>
    <row r="61" spans="1:17" ht="16.2" customHeight="1" thickBot="1" x14ac:dyDescent="0.35">
      <c r="A61" s="15" t="s">
        <v>145</v>
      </c>
      <c r="B61" s="1" t="s">
        <v>70</v>
      </c>
      <c r="C61" s="1"/>
      <c r="D61" s="9" t="s">
        <v>394</v>
      </c>
      <c r="E61" s="14">
        <v>1</v>
      </c>
      <c r="F61" s="9" t="s">
        <v>682</v>
      </c>
      <c r="G61" s="14">
        <v>1</v>
      </c>
      <c r="H61" s="9"/>
      <c r="I61" s="4"/>
      <c r="J61" s="9"/>
      <c r="K61" s="4"/>
      <c r="L61" s="16"/>
      <c r="M61" s="21"/>
      <c r="O61">
        <f t="shared" si="0"/>
        <v>2</v>
      </c>
      <c r="Q61">
        <f>COUNTIF($B$2:$B$105,Tabla3[[#This Row],[Profesor]])</f>
        <v>1</v>
      </c>
    </row>
    <row r="62" spans="1:17" ht="16.2" customHeight="1" thickBot="1" x14ac:dyDescent="0.35">
      <c r="A62" s="73" t="s">
        <v>135</v>
      </c>
      <c r="B62" s="1" t="s">
        <v>66</v>
      </c>
      <c r="C62" s="1"/>
      <c r="D62" s="9" t="s">
        <v>91</v>
      </c>
      <c r="E62" s="14">
        <v>1</v>
      </c>
      <c r="F62" s="9"/>
      <c r="G62" s="14"/>
      <c r="H62" s="9"/>
      <c r="I62" s="4"/>
      <c r="J62" s="9"/>
      <c r="K62" s="4"/>
      <c r="L62" s="16"/>
      <c r="M62" s="21"/>
      <c r="O62">
        <f t="shared" si="0"/>
        <v>1</v>
      </c>
      <c r="Q62">
        <f>COUNTIF($B$2:$B$105,Tabla3[[#This Row],[Profesor]])</f>
        <v>1</v>
      </c>
    </row>
    <row r="63" spans="1:17" ht="16.2" customHeight="1" thickBot="1" x14ac:dyDescent="0.35">
      <c r="A63" s="73" t="s">
        <v>111</v>
      </c>
      <c r="B63" s="1" t="s">
        <v>26</v>
      </c>
      <c r="C63" s="1"/>
      <c r="D63" s="13" t="s">
        <v>335</v>
      </c>
      <c r="E63" s="14">
        <v>1</v>
      </c>
      <c r="F63" s="13" t="s">
        <v>24</v>
      </c>
      <c r="G63" s="14">
        <v>1</v>
      </c>
      <c r="H63" s="13"/>
      <c r="I63" s="14"/>
      <c r="J63" s="13"/>
      <c r="K63" s="4"/>
      <c r="L63" s="16"/>
      <c r="M63" s="21"/>
      <c r="O63">
        <f t="shared" si="0"/>
        <v>2</v>
      </c>
      <c r="Q63">
        <f>COUNTIF($B$2:$B$105,Tabla3[[#This Row],[Profesor]])</f>
        <v>1</v>
      </c>
    </row>
    <row r="64" spans="1:17" ht="16.2" customHeight="1" thickBot="1" x14ac:dyDescent="0.35">
      <c r="A64" s="15" t="s">
        <v>487</v>
      </c>
      <c r="B64" s="1" t="s">
        <v>488</v>
      </c>
      <c r="C64" s="1"/>
      <c r="D64" s="9" t="s">
        <v>469</v>
      </c>
      <c r="E64" s="14">
        <v>1</v>
      </c>
      <c r="F64" s="9"/>
      <c r="G64" s="14"/>
      <c r="H64" s="9"/>
      <c r="I64" s="4"/>
      <c r="J64" s="9"/>
      <c r="K64" s="4"/>
      <c r="L64" s="16"/>
      <c r="M64" s="21"/>
      <c r="O64">
        <f t="shared" si="0"/>
        <v>1</v>
      </c>
      <c r="Q64">
        <f>COUNTIF($B$2:$B$105,Tabla3[[#This Row],[Profesor]])</f>
        <v>1</v>
      </c>
    </row>
    <row r="65" spans="1:41" ht="16.2" customHeight="1" thickBot="1" x14ac:dyDescent="0.35">
      <c r="A65" s="15" t="s">
        <v>317</v>
      </c>
      <c r="B65" s="1" t="s">
        <v>318</v>
      </c>
      <c r="C65" s="1"/>
      <c r="D65" s="9" t="s">
        <v>314</v>
      </c>
      <c r="E65" s="14">
        <v>1</v>
      </c>
      <c r="F65" s="9"/>
      <c r="G65" s="14"/>
      <c r="H65" s="9"/>
      <c r="I65" s="4"/>
      <c r="J65" s="9"/>
      <c r="K65" s="4"/>
      <c r="L65" s="16"/>
      <c r="M65" s="21"/>
      <c r="O65">
        <f t="shared" si="0"/>
        <v>1</v>
      </c>
      <c r="Q65">
        <f>COUNTIF($B$2:$B$105,Tabla3[[#This Row],[Profesor]])</f>
        <v>1</v>
      </c>
    </row>
    <row r="66" spans="1:41" ht="16.2" customHeight="1" thickBot="1" x14ac:dyDescent="0.35">
      <c r="A66" s="15" t="s">
        <v>249</v>
      </c>
      <c r="B66" s="1" t="s">
        <v>250</v>
      </c>
      <c r="C66" s="1"/>
      <c r="D66" s="9" t="s">
        <v>245</v>
      </c>
      <c r="E66" s="14">
        <v>1</v>
      </c>
      <c r="F66" s="9"/>
      <c r="G66" s="14"/>
      <c r="H66" s="9"/>
      <c r="I66" s="4"/>
      <c r="J66" s="9"/>
      <c r="K66" s="4"/>
      <c r="L66" s="16"/>
      <c r="M66" s="21"/>
      <c r="O66">
        <f t="shared" si="0"/>
        <v>1</v>
      </c>
      <c r="Q66">
        <f>COUNTIF($B$2:$B$105,Tabla3[[#This Row],[Profesor]])</f>
        <v>1</v>
      </c>
    </row>
    <row r="67" spans="1:41" ht="16.2" customHeight="1" thickBot="1" x14ac:dyDescent="0.35">
      <c r="A67" s="15" t="s">
        <v>107</v>
      </c>
      <c r="B67" s="1" t="s">
        <v>16</v>
      </c>
      <c r="C67" s="1"/>
      <c r="D67" s="13" t="s">
        <v>281</v>
      </c>
      <c r="E67" s="14">
        <v>1</v>
      </c>
      <c r="F67" s="13" t="s">
        <v>8</v>
      </c>
      <c r="G67" s="14">
        <v>1</v>
      </c>
      <c r="H67" s="13" t="s">
        <v>6</v>
      </c>
      <c r="I67" s="14">
        <v>1</v>
      </c>
      <c r="J67" s="13"/>
      <c r="K67" s="4"/>
      <c r="L67" s="16"/>
      <c r="M67" s="21"/>
      <c r="O67">
        <f t="shared" ref="O67:O105" si="1">E67+G67+I67+K67</f>
        <v>3</v>
      </c>
      <c r="Q67">
        <f>COUNTIF($B$2:$B$105,Tabla3[[#This Row],[Profesor]])</f>
        <v>1</v>
      </c>
    </row>
    <row r="68" spans="1:41" ht="16.2" customHeight="1" thickBot="1" x14ac:dyDescent="0.35">
      <c r="A68" s="15" t="s">
        <v>125</v>
      </c>
      <c r="B68" s="1" t="s">
        <v>685</v>
      </c>
      <c r="C68" s="1"/>
      <c r="D68" s="9" t="s">
        <v>680</v>
      </c>
      <c r="E68" s="14">
        <v>1</v>
      </c>
      <c r="F68" s="9"/>
      <c r="G68" s="14"/>
      <c r="H68" s="9"/>
      <c r="I68" s="4"/>
      <c r="J68" s="9"/>
      <c r="K68" s="4"/>
      <c r="L68" s="16"/>
      <c r="M68" s="21"/>
      <c r="O68">
        <f t="shared" si="1"/>
        <v>1</v>
      </c>
      <c r="Q68">
        <f>COUNTIF($B$2:$B$105,Tabla3[[#This Row],[Profesor]])</f>
        <v>1</v>
      </c>
    </row>
    <row r="69" spans="1:41" ht="16.2" customHeight="1" thickBot="1" x14ac:dyDescent="0.35">
      <c r="A69" s="15" t="s">
        <v>399</v>
      </c>
      <c r="B69" s="1" t="s">
        <v>181</v>
      </c>
      <c r="C69" s="1"/>
      <c r="D69" s="9" t="s">
        <v>398</v>
      </c>
      <c r="E69" s="14">
        <v>1</v>
      </c>
      <c r="F69" s="9"/>
      <c r="G69" s="14"/>
      <c r="H69" s="9"/>
      <c r="I69" s="4"/>
      <c r="J69" s="9"/>
      <c r="K69" s="4"/>
      <c r="L69" s="16"/>
      <c r="M69" s="21"/>
      <c r="O69">
        <f t="shared" si="1"/>
        <v>1</v>
      </c>
      <c r="Q69">
        <f>COUNTIF($B$2:$B$105,Tabla3[[#This Row],[Profesor]])</f>
        <v>1</v>
      </c>
    </row>
    <row r="70" spans="1:41" ht="16.2" customHeight="1" thickBot="1" x14ac:dyDescent="0.35">
      <c r="A70" s="15" t="s">
        <v>434</v>
      </c>
      <c r="B70" s="1" t="s">
        <v>400</v>
      </c>
      <c r="C70" s="1"/>
      <c r="D70" s="9" t="s">
        <v>77</v>
      </c>
      <c r="E70" s="14">
        <v>1</v>
      </c>
      <c r="F70" s="9"/>
      <c r="G70" s="14"/>
      <c r="H70" s="9"/>
      <c r="I70" s="4"/>
      <c r="J70" s="9"/>
      <c r="K70" s="4"/>
      <c r="L70" s="16"/>
      <c r="M70" s="21"/>
      <c r="O70">
        <f t="shared" si="1"/>
        <v>1</v>
      </c>
      <c r="Q70">
        <f>COUNTIF($B$2:$B$105,Tabla3[[#This Row],[Profesor]])</f>
        <v>1</v>
      </c>
    </row>
    <row r="71" spans="1:41" ht="16.2" customHeight="1" thickBot="1" x14ac:dyDescent="0.35">
      <c r="A71" s="15" t="s">
        <v>483</v>
      </c>
      <c r="B71" s="1" t="s">
        <v>484</v>
      </c>
      <c r="C71" s="1"/>
      <c r="D71" s="9" t="s">
        <v>467</v>
      </c>
      <c r="E71" s="14">
        <v>1</v>
      </c>
      <c r="F71" s="9"/>
      <c r="G71" s="14"/>
      <c r="H71" s="9"/>
      <c r="I71" s="4"/>
      <c r="J71" s="9"/>
      <c r="K71" s="4"/>
      <c r="L71" s="16"/>
      <c r="M71" s="21"/>
      <c r="O71">
        <f t="shared" si="1"/>
        <v>1</v>
      </c>
      <c r="Q71">
        <f>COUNTIF($B$2:$B$105,Tabla3[[#This Row],[Profesor]])</f>
        <v>1</v>
      </c>
    </row>
    <row r="72" spans="1:41" ht="16.2" customHeight="1" thickBot="1" x14ac:dyDescent="0.35">
      <c r="A72" s="15" t="s">
        <v>477</v>
      </c>
      <c r="B72" s="1" t="s">
        <v>478</v>
      </c>
      <c r="C72" s="1"/>
      <c r="D72" s="9" t="s">
        <v>464</v>
      </c>
      <c r="E72" s="14">
        <v>1</v>
      </c>
      <c r="F72" s="9"/>
      <c r="G72" s="14"/>
      <c r="H72" s="9"/>
      <c r="I72" s="4"/>
      <c r="J72" s="9"/>
      <c r="K72" s="4"/>
      <c r="L72" s="16"/>
      <c r="M72" s="21"/>
      <c r="O72">
        <f t="shared" si="1"/>
        <v>1</v>
      </c>
      <c r="Q72">
        <f>COUNTIF($B$2:$B$105,Tabla3[[#This Row],[Profesor]])</f>
        <v>1</v>
      </c>
    </row>
    <row r="73" spans="1:41" ht="16.2" customHeight="1" thickBot="1" x14ac:dyDescent="0.35">
      <c r="A73" s="15" t="s">
        <v>504</v>
      </c>
      <c r="B73" s="1" t="s">
        <v>505</v>
      </c>
      <c r="C73" s="1"/>
      <c r="D73" s="9" t="s">
        <v>274</v>
      </c>
      <c r="E73" s="14">
        <v>1</v>
      </c>
      <c r="F73" s="9"/>
      <c r="G73" s="14"/>
      <c r="H73" s="9"/>
      <c r="I73" s="4"/>
      <c r="J73" s="9"/>
      <c r="K73" s="4"/>
      <c r="L73" s="16"/>
      <c r="M73" s="21"/>
      <c r="O73">
        <f t="shared" si="1"/>
        <v>1</v>
      </c>
      <c r="Q73">
        <f>COUNTIF($B$2:$B$105,Tabla3[[#This Row],[Profesor]])</f>
        <v>1</v>
      </c>
    </row>
    <row r="74" spans="1:41" ht="16.2" customHeight="1" thickBot="1" x14ac:dyDescent="0.35">
      <c r="A74" s="15" t="s">
        <v>692</v>
      </c>
      <c r="B74" s="1" t="s">
        <v>689</v>
      </c>
      <c r="C74" s="1"/>
      <c r="D74" s="9" t="s">
        <v>680</v>
      </c>
      <c r="E74" s="14">
        <v>1</v>
      </c>
      <c r="F74" s="9"/>
      <c r="G74" s="14"/>
      <c r="H74" s="9"/>
      <c r="I74" s="4"/>
      <c r="J74" s="9"/>
      <c r="K74" s="4"/>
      <c r="L74" s="16"/>
      <c r="M74" s="21"/>
      <c r="O74">
        <f t="shared" si="1"/>
        <v>1</v>
      </c>
      <c r="Q74">
        <f>COUNTIF($B$2:$B$105,Tabla3[[#This Row],[Profesor]])</f>
        <v>1</v>
      </c>
    </row>
    <row r="75" spans="1:41" ht="16.2" customHeight="1" thickBot="1" x14ac:dyDescent="0.35">
      <c r="A75" s="15" t="s">
        <v>435</v>
      </c>
      <c r="B75" s="1" t="s">
        <v>64</v>
      </c>
      <c r="C75" s="1"/>
      <c r="D75" s="13" t="s">
        <v>79</v>
      </c>
      <c r="E75" s="14">
        <v>1</v>
      </c>
      <c r="F75" s="13" t="s">
        <v>385</v>
      </c>
      <c r="G75" s="14">
        <v>1</v>
      </c>
      <c r="H75" s="13"/>
      <c r="I75" s="14"/>
      <c r="J75" s="13"/>
      <c r="K75" s="4"/>
      <c r="L75" s="16"/>
      <c r="M75" s="21"/>
      <c r="O75">
        <f t="shared" si="1"/>
        <v>2</v>
      </c>
      <c r="Q75">
        <f>COUNTIF($B$2:$B$105,Tabla3[[#This Row],[Profesor]])</f>
        <v>1</v>
      </c>
    </row>
    <row r="76" spans="1:41" ht="16.2" customHeight="1" thickBot="1" x14ac:dyDescent="0.35">
      <c r="A76" s="72" t="s">
        <v>531</v>
      </c>
      <c r="B76" s="1" t="s">
        <v>532</v>
      </c>
      <c r="C76" s="1"/>
      <c r="D76" s="9" t="s">
        <v>395</v>
      </c>
      <c r="E76" s="14">
        <v>1</v>
      </c>
      <c r="F76" s="9"/>
      <c r="G76" s="14"/>
      <c r="H76" s="9"/>
      <c r="I76" s="4"/>
      <c r="J76" s="9"/>
      <c r="K76" s="4"/>
      <c r="L76" s="16"/>
      <c r="M76" s="21"/>
      <c r="O76">
        <f t="shared" si="1"/>
        <v>1</v>
      </c>
      <c r="Q76">
        <f>COUNTIF($B$2:$B$105,Tabla3[[#This Row],[Profesor]])</f>
        <v>1</v>
      </c>
    </row>
    <row r="77" spans="1:41" ht="16.2" customHeight="1" thickBot="1" x14ac:dyDescent="0.35">
      <c r="A77" s="15" t="s">
        <v>106</v>
      </c>
      <c r="B77" s="1" t="s">
        <v>17</v>
      </c>
      <c r="C77" s="1"/>
      <c r="D77" s="13" t="s">
        <v>348</v>
      </c>
      <c r="E77" s="14">
        <v>1</v>
      </c>
      <c r="F77" s="13"/>
      <c r="G77" s="14"/>
      <c r="H77" s="13"/>
      <c r="I77" s="14"/>
      <c r="J77" s="13"/>
      <c r="K77" s="4"/>
      <c r="L77" s="16" t="s">
        <v>503</v>
      </c>
      <c r="M77" s="21"/>
      <c r="O77">
        <f t="shared" si="1"/>
        <v>1</v>
      </c>
      <c r="Q77">
        <f>COUNTIF($B$2:$B$105,Tabla3[[#This Row],[Profesor]])</f>
        <v>1</v>
      </c>
    </row>
    <row r="78" spans="1:41" ht="16.2" customHeight="1" thickBot="1" x14ac:dyDescent="0.35">
      <c r="A78" s="15" t="s">
        <v>143</v>
      </c>
      <c r="B78" s="1" t="s">
        <v>68</v>
      </c>
      <c r="C78" s="1"/>
      <c r="D78" s="9" t="s">
        <v>374</v>
      </c>
      <c r="E78" s="14">
        <v>1</v>
      </c>
      <c r="F78" s="9"/>
      <c r="G78" s="14"/>
      <c r="H78" s="9"/>
      <c r="I78" s="4"/>
      <c r="J78" s="9"/>
      <c r="K78" s="4"/>
      <c r="L78" s="16"/>
      <c r="M78" s="21"/>
      <c r="O78">
        <f t="shared" si="1"/>
        <v>1</v>
      </c>
      <c r="Q78">
        <f>COUNTIF($B$2:$B$105,Tabla3[[#This Row],[Profesor]])</f>
        <v>1</v>
      </c>
    </row>
    <row r="79" spans="1:41" ht="16.2" customHeight="1" thickBot="1" x14ac:dyDescent="0.35">
      <c r="A79" s="15" t="s">
        <v>146</v>
      </c>
      <c r="B79" s="1" t="s">
        <v>71</v>
      </c>
      <c r="C79" s="1"/>
      <c r="D79" s="9" t="s">
        <v>682</v>
      </c>
      <c r="E79" s="14">
        <v>1</v>
      </c>
      <c r="F79" s="9"/>
      <c r="G79" s="14"/>
      <c r="H79" s="9"/>
      <c r="I79" s="4"/>
      <c r="J79" s="9"/>
      <c r="K79" s="4"/>
      <c r="L79" s="16"/>
      <c r="M79" s="21"/>
      <c r="O79">
        <f t="shared" si="1"/>
        <v>1</v>
      </c>
      <c r="Q79">
        <f>COUNTIF($B$2:$B$105,Tabla3[[#This Row],[Profesor]])</f>
        <v>1</v>
      </c>
      <c r="AO79" s="34"/>
    </row>
    <row r="80" spans="1:41" ht="16.2" customHeight="1" thickBot="1" x14ac:dyDescent="0.35">
      <c r="A80" s="15" t="s">
        <v>151</v>
      </c>
      <c r="B80" s="1" t="s">
        <v>73</v>
      </c>
      <c r="C80" s="1"/>
      <c r="D80" s="9" t="s">
        <v>425</v>
      </c>
      <c r="E80" s="14">
        <v>1</v>
      </c>
      <c r="F80" s="9"/>
      <c r="G80" s="14"/>
      <c r="H80" s="9"/>
      <c r="I80" s="4"/>
      <c r="J80" s="9"/>
      <c r="K80" s="4"/>
      <c r="L80" s="16"/>
      <c r="M80" s="21"/>
      <c r="O80">
        <f t="shared" si="1"/>
        <v>1</v>
      </c>
      <c r="Q80">
        <f>COUNTIF($B$2:$B$105,Tabla3[[#This Row],[Profesor]])</f>
        <v>1</v>
      </c>
    </row>
    <row r="81" spans="1:41" ht="16.2" customHeight="1" thickBot="1" x14ac:dyDescent="0.35">
      <c r="A81" s="73" t="s">
        <v>475</v>
      </c>
      <c r="B81" s="1" t="s">
        <v>476</v>
      </c>
      <c r="C81" s="1"/>
      <c r="D81" s="9" t="s">
        <v>464</v>
      </c>
      <c r="E81" s="14">
        <v>1</v>
      </c>
      <c r="F81" s="9"/>
      <c r="G81" s="14"/>
      <c r="H81" s="9"/>
      <c r="I81" s="4"/>
      <c r="J81" s="9"/>
      <c r="K81" s="4"/>
      <c r="L81" s="16"/>
      <c r="M81" s="21"/>
      <c r="O81">
        <f t="shared" si="1"/>
        <v>1</v>
      </c>
      <c r="Q81">
        <f>COUNTIF($B$2:$B$105,Tabla3[[#This Row],[Profesor]])</f>
        <v>1</v>
      </c>
      <c r="AO81" s="34"/>
    </row>
    <row r="82" spans="1:41" ht="16.2" customHeight="1" thickBot="1" x14ac:dyDescent="0.35">
      <c r="A82" s="15" t="s">
        <v>522</v>
      </c>
      <c r="B82" s="1" t="s">
        <v>523</v>
      </c>
      <c r="C82" s="1"/>
      <c r="D82" s="9" t="s">
        <v>538</v>
      </c>
      <c r="E82" s="14">
        <v>1</v>
      </c>
      <c r="F82" s="9"/>
      <c r="G82" s="14"/>
      <c r="H82" s="9"/>
      <c r="I82" s="4"/>
      <c r="J82" s="9"/>
      <c r="K82" s="4"/>
      <c r="L82" s="16"/>
      <c r="M82" s="21"/>
      <c r="O82">
        <f t="shared" si="1"/>
        <v>1</v>
      </c>
      <c r="Q82">
        <f>COUNTIF($B$2:$B$105,Tabla3[[#This Row],[Profesor]])</f>
        <v>1</v>
      </c>
    </row>
    <row r="83" spans="1:41" ht="16.2" customHeight="1" thickBot="1" x14ac:dyDescent="0.35">
      <c r="A83" s="15" t="s">
        <v>332</v>
      </c>
      <c r="B83" s="1" t="s">
        <v>333</v>
      </c>
      <c r="C83" s="1"/>
      <c r="D83" s="9" t="s">
        <v>326</v>
      </c>
      <c r="E83" s="14">
        <v>2</v>
      </c>
      <c r="F83" s="9"/>
      <c r="G83" s="14"/>
      <c r="H83" s="9"/>
      <c r="I83" s="4"/>
      <c r="J83" s="9"/>
      <c r="K83" s="4"/>
      <c r="L83" s="16"/>
      <c r="M83" s="21"/>
      <c r="O83">
        <f t="shared" si="1"/>
        <v>2</v>
      </c>
      <c r="Q83">
        <f>COUNTIF($B$2:$B$105,Tabla3[[#This Row],[Profesor]])</f>
        <v>1</v>
      </c>
      <c r="AO83" s="34"/>
    </row>
    <row r="84" spans="1:41" ht="16.2" customHeight="1" thickBot="1" x14ac:dyDescent="0.35">
      <c r="A84" s="15" t="s">
        <v>436</v>
      </c>
      <c r="B84" s="1" t="s">
        <v>437</v>
      </c>
      <c r="C84" s="1"/>
      <c r="D84" s="13" t="s">
        <v>375</v>
      </c>
      <c r="E84" s="14">
        <v>1</v>
      </c>
      <c r="F84" s="13"/>
      <c r="G84" s="14"/>
      <c r="H84" s="13"/>
      <c r="I84" s="14"/>
      <c r="J84" s="13"/>
      <c r="K84" s="4"/>
      <c r="L84" s="16"/>
      <c r="M84" s="21"/>
      <c r="O84">
        <f t="shared" si="1"/>
        <v>1</v>
      </c>
      <c r="Q84">
        <f>COUNTIF($B$2:$B$105,Tabla3[[#This Row],[Profesor]])</f>
        <v>1</v>
      </c>
    </row>
    <row r="85" spans="1:41" ht="16.2" customHeight="1" thickBot="1" x14ac:dyDescent="0.35">
      <c r="A85" s="15" t="s">
        <v>438</v>
      </c>
      <c r="B85" s="1" t="s">
        <v>63</v>
      </c>
      <c r="C85" s="1"/>
      <c r="D85" s="13" t="s">
        <v>259</v>
      </c>
      <c r="E85" s="14">
        <v>1</v>
      </c>
      <c r="F85" s="13"/>
      <c r="G85" s="14"/>
      <c r="H85" s="13"/>
      <c r="I85" s="14"/>
      <c r="J85" s="13"/>
      <c r="K85" s="4"/>
      <c r="L85" s="16"/>
      <c r="M85" s="21"/>
      <c r="O85">
        <f t="shared" si="1"/>
        <v>1</v>
      </c>
      <c r="Q85">
        <f>COUNTIF($B$2:$B$105,Tabla3[[#This Row],[Profesor]])</f>
        <v>1</v>
      </c>
    </row>
    <row r="86" spans="1:41" ht="16.2" customHeight="1" thickBot="1" x14ac:dyDescent="0.35">
      <c r="A86" s="15" t="s">
        <v>416</v>
      </c>
      <c r="B86" s="1" t="s">
        <v>417</v>
      </c>
      <c r="C86" s="1"/>
      <c r="D86" s="9" t="s">
        <v>413</v>
      </c>
      <c r="E86" s="14">
        <v>1</v>
      </c>
      <c r="F86" s="9" t="s">
        <v>470</v>
      </c>
      <c r="G86" s="14">
        <v>1</v>
      </c>
      <c r="H86" s="9"/>
      <c r="I86" s="4"/>
      <c r="J86" s="9"/>
      <c r="K86" s="4"/>
      <c r="L86" s="16"/>
      <c r="M86" s="21"/>
      <c r="O86">
        <f t="shared" si="1"/>
        <v>2</v>
      </c>
      <c r="Q86">
        <f>COUNTIF($B$2:$B$105,Tabla3[[#This Row],[Profesor]])</f>
        <v>1</v>
      </c>
    </row>
    <row r="87" spans="1:41" ht="16.2" customHeight="1" thickBot="1" x14ac:dyDescent="0.35">
      <c r="A87" s="15" t="s">
        <v>485</v>
      </c>
      <c r="B87" s="1" t="s">
        <v>486</v>
      </c>
      <c r="C87" s="1"/>
      <c r="D87" s="9" t="s">
        <v>468</v>
      </c>
      <c r="E87" s="14">
        <v>1</v>
      </c>
      <c r="F87" s="9"/>
      <c r="G87" s="14"/>
      <c r="H87" s="9"/>
      <c r="I87" s="4"/>
      <c r="J87" s="9"/>
      <c r="K87" s="4"/>
      <c r="L87" s="16"/>
      <c r="M87" s="21"/>
      <c r="O87">
        <f t="shared" si="1"/>
        <v>1</v>
      </c>
      <c r="Q87">
        <f>COUNTIF($B$2:$B$105,Tabla3[[#This Row],[Profesor]])</f>
        <v>1</v>
      </c>
    </row>
    <row r="88" spans="1:41" ht="16.2" customHeight="1" thickBot="1" x14ac:dyDescent="0.35">
      <c r="A88" s="15" t="s">
        <v>513</v>
      </c>
      <c r="B88" s="1" t="s">
        <v>514</v>
      </c>
      <c r="C88" s="1"/>
      <c r="D88" s="9" t="s">
        <v>314</v>
      </c>
      <c r="E88" s="14">
        <v>1</v>
      </c>
      <c r="F88" s="9"/>
      <c r="G88" s="14"/>
      <c r="H88" s="9"/>
      <c r="I88" s="4"/>
      <c r="J88" s="9"/>
      <c r="K88" s="4"/>
      <c r="L88" s="16"/>
      <c r="M88" s="21"/>
      <c r="O88">
        <f t="shared" si="1"/>
        <v>1</v>
      </c>
      <c r="Q88">
        <f>COUNTIF($B$2:$B$105,Tabla3[[#This Row],[Profesor]])</f>
        <v>1</v>
      </c>
    </row>
    <row r="89" spans="1:41" ht="16.2" customHeight="1" thickBot="1" x14ac:dyDescent="0.35">
      <c r="A89" s="15" t="s">
        <v>516</v>
      </c>
      <c r="B89" s="1" t="s">
        <v>515</v>
      </c>
      <c r="C89" s="1"/>
      <c r="D89" s="9" t="s">
        <v>314</v>
      </c>
      <c r="E89" s="14">
        <v>1</v>
      </c>
      <c r="F89" s="9"/>
      <c r="G89" s="14"/>
      <c r="H89" s="9"/>
      <c r="I89" s="4"/>
      <c r="J89" s="9"/>
      <c r="K89" s="4"/>
      <c r="L89" s="16"/>
      <c r="M89" s="21"/>
      <c r="O89">
        <f t="shared" si="1"/>
        <v>1</v>
      </c>
      <c r="Q89">
        <f>COUNTIF($B$2:$B$105,Tabla3[[#This Row],[Profesor]])</f>
        <v>1</v>
      </c>
    </row>
    <row r="90" spans="1:41" ht="16.2" customHeight="1" thickBot="1" x14ac:dyDescent="0.35">
      <c r="A90" s="15" t="s">
        <v>253</v>
      </c>
      <c r="B90" s="1" t="s">
        <v>252</v>
      </c>
      <c r="C90" s="1" t="s">
        <v>237</v>
      </c>
      <c r="D90" s="9" t="s">
        <v>251</v>
      </c>
      <c r="E90" s="14">
        <v>1</v>
      </c>
      <c r="F90" s="9" t="s">
        <v>274</v>
      </c>
      <c r="G90" s="14">
        <v>1</v>
      </c>
      <c r="H90" s="9"/>
      <c r="I90" s="4"/>
      <c r="J90" s="9"/>
      <c r="K90" s="4"/>
      <c r="L90" s="16"/>
      <c r="M90" s="21"/>
      <c r="O90">
        <f t="shared" si="1"/>
        <v>2</v>
      </c>
      <c r="Q90">
        <f>COUNTIF($B$2:$B$105,Tabla3[[#This Row],[Profesor]])</f>
        <v>1</v>
      </c>
    </row>
    <row r="91" spans="1:41" ht="16.2" customHeight="1" thickBot="1" x14ac:dyDescent="0.35">
      <c r="A91" s="73" t="s">
        <v>351</v>
      </c>
      <c r="B91" s="1" t="s">
        <v>352</v>
      </c>
      <c r="C91" s="1"/>
      <c r="D91" s="9" t="s">
        <v>350</v>
      </c>
      <c r="E91" s="14">
        <v>2</v>
      </c>
      <c r="F91" s="9"/>
      <c r="G91" s="14"/>
      <c r="H91" s="9"/>
      <c r="I91" s="4"/>
      <c r="J91" s="9"/>
      <c r="K91" s="4"/>
      <c r="L91" s="16"/>
      <c r="M91" s="21"/>
      <c r="O91">
        <f t="shared" si="1"/>
        <v>2</v>
      </c>
      <c r="Q91">
        <f>COUNTIF($B$2:$B$105,Tabla3[[#This Row],[Profesor]])</f>
        <v>1</v>
      </c>
    </row>
    <row r="92" spans="1:41" ht="16.2" customHeight="1" thickBot="1" x14ac:dyDescent="0.35">
      <c r="A92" s="15" t="s">
        <v>117</v>
      </c>
      <c r="B92" s="1" t="s">
        <v>62</v>
      </c>
      <c r="C92" s="1"/>
      <c r="D92" s="13" t="s">
        <v>9</v>
      </c>
      <c r="E92" s="14">
        <v>4</v>
      </c>
      <c r="F92" s="13"/>
      <c r="G92" s="14"/>
      <c r="H92" s="13"/>
      <c r="I92" s="14"/>
      <c r="J92" s="13"/>
      <c r="K92" s="4"/>
      <c r="L92" s="16"/>
      <c r="M92" s="21"/>
      <c r="O92">
        <f t="shared" si="1"/>
        <v>4</v>
      </c>
      <c r="Q92">
        <f>COUNTIF($B$2:$B$105,Tabla3[[#This Row],[Profesor]])</f>
        <v>1</v>
      </c>
    </row>
    <row r="93" spans="1:41" ht="16.2" customHeight="1" thickBot="1" x14ac:dyDescent="0.35">
      <c r="A93" s="73" t="s">
        <v>255</v>
      </c>
      <c r="B93" s="1" t="s">
        <v>256</v>
      </c>
      <c r="C93" s="1"/>
      <c r="D93" s="9" t="s">
        <v>254</v>
      </c>
      <c r="E93" s="14">
        <v>1</v>
      </c>
      <c r="F93" s="9"/>
      <c r="G93" s="14"/>
      <c r="H93" s="9"/>
      <c r="I93" s="4"/>
      <c r="J93" s="9"/>
      <c r="K93" s="4"/>
      <c r="L93" s="16"/>
      <c r="M93" s="21"/>
      <c r="O93">
        <f t="shared" si="1"/>
        <v>1</v>
      </c>
      <c r="Q93">
        <f>COUNTIF($B$2:$B$105,Tabla3[[#This Row],[Profesor]])</f>
        <v>1</v>
      </c>
    </row>
    <row r="94" spans="1:41" ht="16.2" customHeight="1" thickBot="1" x14ac:dyDescent="0.35">
      <c r="A94" s="72" t="s">
        <v>346</v>
      </c>
      <c r="B94" s="1" t="s">
        <v>347</v>
      </c>
      <c r="C94" s="1"/>
      <c r="D94" s="9" t="s">
        <v>345</v>
      </c>
      <c r="E94" s="14">
        <v>1</v>
      </c>
      <c r="F94" s="9"/>
      <c r="G94" s="14"/>
      <c r="H94" s="9"/>
      <c r="I94" s="4"/>
      <c r="J94" s="9"/>
      <c r="K94" s="4"/>
      <c r="L94" s="16"/>
      <c r="M94" s="21"/>
      <c r="O94">
        <f t="shared" si="1"/>
        <v>1</v>
      </c>
      <c r="Q94">
        <f>COUNTIF($B$2:$B$105,Tabla3[[#This Row],[Profesor]])</f>
        <v>1</v>
      </c>
    </row>
    <row r="95" spans="1:41" ht="16.2" customHeight="1" thickBot="1" x14ac:dyDescent="0.35">
      <c r="A95" s="15" t="s">
        <v>439</v>
      </c>
      <c r="B95" s="1" t="s">
        <v>46</v>
      </c>
      <c r="C95" s="1"/>
      <c r="D95" s="13" t="s">
        <v>259</v>
      </c>
      <c r="E95" s="14">
        <v>1</v>
      </c>
      <c r="F95" s="13"/>
      <c r="G95" s="14"/>
      <c r="H95" s="13"/>
      <c r="I95" s="14"/>
      <c r="J95" s="13"/>
      <c r="K95" s="4"/>
      <c r="L95" s="16"/>
      <c r="M95" s="21"/>
      <c r="O95">
        <f t="shared" si="1"/>
        <v>1</v>
      </c>
      <c r="Q95">
        <f>COUNTIF($B$2:$B$105,Tabla3[[#This Row],[Profesor]])</f>
        <v>1</v>
      </c>
    </row>
    <row r="96" spans="1:41" ht="16.2" customHeight="1" thickBot="1" x14ac:dyDescent="0.35">
      <c r="A96" s="72" t="s">
        <v>402</v>
      </c>
      <c r="B96" s="1" t="s">
        <v>403</v>
      </c>
      <c r="C96" s="1"/>
      <c r="D96" s="9" t="s">
        <v>401</v>
      </c>
      <c r="E96" s="14">
        <v>1</v>
      </c>
      <c r="F96" s="9"/>
      <c r="G96" s="14"/>
      <c r="H96" s="9"/>
      <c r="I96" s="4"/>
      <c r="J96" s="9"/>
      <c r="K96" s="4"/>
      <c r="L96" s="16"/>
      <c r="M96" s="21"/>
      <c r="O96">
        <f t="shared" si="1"/>
        <v>1</v>
      </c>
      <c r="Q96">
        <f>COUNTIF($B$2:$B$105,Tabla3[[#This Row],[Profesor]])</f>
        <v>1</v>
      </c>
    </row>
    <row r="97" spans="1:34" ht="16.2" customHeight="1" thickBot="1" x14ac:dyDescent="0.35">
      <c r="A97" s="15" t="s">
        <v>396</v>
      </c>
      <c r="B97" s="1" t="s">
        <v>397</v>
      </c>
      <c r="C97" s="1"/>
      <c r="D97" s="9" t="s">
        <v>533</v>
      </c>
      <c r="E97" s="14">
        <v>2</v>
      </c>
      <c r="F97" s="9"/>
      <c r="G97" s="14"/>
      <c r="H97" s="9"/>
      <c r="I97" s="4"/>
      <c r="J97" s="9"/>
      <c r="K97" s="4"/>
      <c r="L97" s="16"/>
      <c r="M97" s="21"/>
      <c r="O97">
        <f t="shared" si="1"/>
        <v>2</v>
      </c>
      <c r="Q97">
        <f>COUNTIF($B$2:$B$105,Tabla3[[#This Row],[Profesor]])</f>
        <v>1</v>
      </c>
    </row>
    <row r="98" spans="1:34" ht="16.2" customHeight="1" thickBot="1" x14ac:dyDescent="0.35">
      <c r="A98" s="15" t="s">
        <v>124</v>
      </c>
      <c r="B98" s="1" t="s">
        <v>80</v>
      </c>
      <c r="C98" s="1"/>
      <c r="D98" s="13" t="s">
        <v>79</v>
      </c>
      <c r="E98" s="14">
        <v>1</v>
      </c>
      <c r="F98" s="13" t="s">
        <v>385</v>
      </c>
      <c r="G98" s="14">
        <v>1</v>
      </c>
      <c r="H98" s="13"/>
      <c r="I98" s="14"/>
      <c r="J98" s="13"/>
      <c r="K98" s="4"/>
      <c r="L98" s="16"/>
      <c r="M98" s="21"/>
      <c r="O98">
        <f>E98+G98+I98+K98</f>
        <v>2</v>
      </c>
      <c r="Q98">
        <f>COUNTIF($B$2:$B$105,Tabla3[[#This Row],[Profesor]])</f>
        <v>1</v>
      </c>
    </row>
    <row r="99" spans="1:34" ht="16.2" customHeight="1" thickBot="1" x14ac:dyDescent="0.35">
      <c r="A99" s="15" t="s">
        <v>440</v>
      </c>
      <c r="B99" s="1" t="s">
        <v>44</v>
      </c>
      <c r="C99" s="47"/>
      <c r="D99" s="13" t="s">
        <v>356</v>
      </c>
      <c r="E99" s="14">
        <v>1</v>
      </c>
      <c r="F99" s="13" t="s">
        <v>422</v>
      </c>
      <c r="G99" s="14">
        <v>1</v>
      </c>
      <c r="H99" s="13"/>
      <c r="I99" s="14"/>
      <c r="J99" s="13"/>
      <c r="K99" s="4"/>
      <c r="L99" s="16"/>
      <c r="M99" s="21"/>
      <c r="O99">
        <f>E99+G99+I99+K99</f>
        <v>2</v>
      </c>
      <c r="Q99">
        <f>COUNTIF($B$2:$B$105,Tabla3[[#This Row],[Profesor]])</f>
        <v>1</v>
      </c>
    </row>
    <row r="100" spans="1:34" ht="16.2" customHeight="1" thickBot="1" x14ac:dyDescent="0.35">
      <c r="A100" s="92" t="s">
        <v>144</v>
      </c>
      <c r="B100" s="1" t="s">
        <v>69</v>
      </c>
      <c r="C100" s="1"/>
      <c r="D100" s="9" t="s">
        <v>374</v>
      </c>
      <c r="E100" s="14">
        <v>1</v>
      </c>
      <c r="F100" s="9" t="s">
        <v>543</v>
      </c>
      <c r="G100" s="14">
        <v>1</v>
      </c>
      <c r="H100" s="9"/>
      <c r="I100" s="4"/>
      <c r="J100" s="9"/>
      <c r="K100" s="4"/>
      <c r="L100" s="16"/>
      <c r="M100" s="21"/>
      <c r="O100">
        <f>E100+G100+I100+K100</f>
        <v>2</v>
      </c>
      <c r="Q100">
        <f>COUNTIF($B$2:$B$105,Tabla3[[#This Row],[Profesor]])</f>
        <v>1</v>
      </c>
    </row>
    <row r="101" spans="1:34" ht="16.2" customHeight="1" thickBot="1" x14ac:dyDescent="0.35">
      <c r="A101" s="15" t="s">
        <v>275</v>
      </c>
      <c r="B101" s="1" t="s">
        <v>284</v>
      </c>
      <c r="C101" s="1"/>
      <c r="D101" s="9" t="s">
        <v>92</v>
      </c>
      <c r="E101" s="14">
        <v>1</v>
      </c>
      <c r="F101" s="9"/>
      <c r="G101" s="14"/>
      <c r="H101" s="9"/>
      <c r="I101" s="4"/>
      <c r="J101" s="9"/>
      <c r="K101" s="4"/>
      <c r="L101" s="16"/>
      <c r="M101" s="21"/>
      <c r="O101">
        <f>E101+G101+I101+K101</f>
        <v>1</v>
      </c>
      <c r="Q101">
        <f>COUNTIF($B$2:$B$105,Tabla3[[#This Row],[Profesor]])</f>
        <v>1</v>
      </c>
    </row>
    <row r="102" spans="1:34" ht="16.2" customHeight="1" thickBot="1" x14ac:dyDescent="0.35">
      <c r="A102" s="15" t="s">
        <v>108</v>
      </c>
      <c r="B102" s="1" t="s">
        <v>45</v>
      </c>
      <c r="C102" s="1"/>
      <c r="D102" s="13" t="s">
        <v>6</v>
      </c>
      <c r="E102" s="14">
        <v>1</v>
      </c>
      <c r="F102" s="13" t="s">
        <v>325</v>
      </c>
      <c r="G102" s="14">
        <v>1</v>
      </c>
      <c r="H102" s="13"/>
      <c r="I102" s="14"/>
      <c r="J102" s="13"/>
      <c r="K102" s="4"/>
      <c r="L102" s="16"/>
      <c r="M102" s="21"/>
      <c r="O102">
        <f t="shared" ref="O102:O104" si="2">E102+G102+I102+K102</f>
        <v>2</v>
      </c>
      <c r="Q102">
        <f>COUNTIF($B$2:$B$105,Tabla3[[#This Row],[Profesor]])</f>
        <v>1</v>
      </c>
    </row>
    <row r="103" spans="1:34" ht="16.2" customHeight="1" thickBot="1" x14ac:dyDescent="0.35">
      <c r="A103" s="15" t="s">
        <v>420</v>
      </c>
      <c r="B103" s="1" t="s">
        <v>421</v>
      </c>
      <c r="C103" s="1"/>
      <c r="D103" s="9" t="s">
        <v>419</v>
      </c>
      <c r="E103" s="14">
        <v>1</v>
      </c>
      <c r="F103" s="9"/>
      <c r="G103" s="14"/>
      <c r="H103" s="9"/>
      <c r="I103" s="4"/>
      <c r="J103" s="9"/>
      <c r="K103" s="4"/>
      <c r="L103" s="16"/>
      <c r="M103" s="21"/>
      <c r="O103">
        <f t="shared" ref="O103" si="3">E103+G103+I103+K103</f>
        <v>1</v>
      </c>
      <c r="Q103">
        <f>COUNTIF($B$2:$B$105,Tabla3[[#This Row],[Profesor]])</f>
        <v>1</v>
      </c>
    </row>
    <row r="104" spans="1:34" ht="16.2" customHeight="1" thickBot="1" x14ac:dyDescent="0.35">
      <c r="A104" s="72" t="s">
        <v>316</v>
      </c>
      <c r="B104" s="1" t="s">
        <v>315</v>
      </c>
      <c r="C104" s="1"/>
      <c r="D104" s="9" t="s">
        <v>314</v>
      </c>
      <c r="E104" s="14">
        <v>1</v>
      </c>
      <c r="F104" s="9"/>
      <c r="G104" s="14"/>
      <c r="H104" s="9"/>
      <c r="I104" s="4"/>
      <c r="J104" s="9"/>
      <c r="K104" s="4"/>
      <c r="L104" s="16"/>
      <c r="M104" s="21"/>
      <c r="O104">
        <f t="shared" si="2"/>
        <v>1</v>
      </c>
      <c r="Q104">
        <f>COUNTIF($B$2:$B$105,Tabla3[[#This Row],[Profesor]])</f>
        <v>1</v>
      </c>
    </row>
    <row r="105" spans="1:34" ht="16.2" customHeight="1" thickBot="1" x14ac:dyDescent="0.35">
      <c r="A105" s="15" t="s">
        <v>507</v>
      </c>
      <c r="B105" s="1" t="s">
        <v>508</v>
      </c>
      <c r="C105" s="1"/>
      <c r="D105" s="9" t="s">
        <v>262</v>
      </c>
      <c r="E105" s="14">
        <v>1</v>
      </c>
      <c r="F105" s="9"/>
      <c r="G105" s="14"/>
      <c r="H105" s="9"/>
      <c r="I105" s="4"/>
      <c r="J105" s="9"/>
      <c r="K105" s="4"/>
      <c r="L105" s="16"/>
      <c r="M105" s="21"/>
      <c r="O105">
        <f t="shared" si="1"/>
        <v>1</v>
      </c>
      <c r="Q105">
        <f>COUNTIF($B$2:$B$105,Tabla3[[#This Row],[Profesor]])</f>
        <v>1</v>
      </c>
    </row>
    <row r="106" spans="1:34" ht="16.2" customHeight="1" x14ac:dyDescent="0.3">
      <c r="U106" t="s">
        <v>164</v>
      </c>
      <c r="V106" t="s">
        <v>165</v>
      </c>
      <c r="W106" t="s">
        <v>166</v>
      </c>
      <c r="X106" t="s">
        <v>167</v>
      </c>
      <c r="Y106" t="s">
        <v>168</v>
      </c>
      <c r="AD106" t="s">
        <v>164</v>
      </c>
      <c r="AE106" t="s">
        <v>165</v>
      </c>
      <c r="AF106" t="s">
        <v>166</v>
      </c>
      <c r="AG106" t="s">
        <v>167</v>
      </c>
      <c r="AH106" t="s">
        <v>168</v>
      </c>
    </row>
    <row r="107" spans="1:34" ht="16.2" customHeight="1" x14ac:dyDescent="0.3">
      <c r="N107" t="s">
        <v>240</v>
      </c>
      <c r="T107" t="s">
        <v>154</v>
      </c>
      <c r="U107" t="s">
        <v>155</v>
      </c>
      <c r="V107" t="s">
        <v>155</v>
      </c>
      <c r="W107" t="s">
        <v>155</v>
      </c>
      <c r="X107" t="s">
        <v>155</v>
      </c>
      <c r="Y107" t="s">
        <v>155</v>
      </c>
      <c r="AC107" t="s">
        <v>154</v>
      </c>
      <c r="AD107" t="s">
        <v>155</v>
      </c>
      <c r="AE107" t="s">
        <v>155</v>
      </c>
      <c r="AF107" t="s">
        <v>155</v>
      </c>
      <c r="AG107" t="s">
        <v>155</v>
      </c>
      <c r="AH107" t="s">
        <v>155</v>
      </c>
    </row>
    <row r="108" spans="1:34" ht="16.2" customHeight="1" x14ac:dyDescent="0.3">
      <c r="N108">
        <v>0</v>
      </c>
      <c r="O108">
        <f t="shared" ref="O108:O115" si="4">COUNTIF($O$2:$O$105,N108)</f>
        <v>0</v>
      </c>
      <c r="T108" t="s">
        <v>156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156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1</v>
      </c>
      <c r="O109">
        <f t="shared" si="4"/>
        <v>59</v>
      </c>
      <c r="T109" t="s">
        <v>157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157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2</v>
      </c>
      <c r="O110">
        <f t="shared" si="4"/>
        <v>34</v>
      </c>
      <c r="T110" t="s">
        <v>158</v>
      </c>
      <c r="U110" t="s">
        <v>155</v>
      </c>
      <c r="V110" t="s">
        <v>155</v>
      </c>
      <c r="W110" t="s">
        <v>155</v>
      </c>
      <c r="X110" t="s">
        <v>20</v>
      </c>
      <c r="Y110" t="s">
        <v>155</v>
      </c>
      <c r="AC110" t="s">
        <v>158</v>
      </c>
      <c r="AD110" t="s">
        <v>155</v>
      </c>
      <c r="AE110" t="s">
        <v>20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3</v>
      </c>
      <c r="O111">
        <f t="shared" si="4"/>
        <v>6</v>
      </c>
      <c r="T111" t="s">
        <v>159</v>
      </c>
      <c r="U111" t="s">
        <v>155</v>
      </c>
      <c r="V111" t="s">
        <v>20</v>
      </c>
      <c r="W111" t="s">
        <v>155</v>
      </c>
      <c r="X111" t="s">
        <v>20</v>
      </c>
      <c r="Y111" t="s">
        <v>155</v>
      </c>
      <c r="AC111" t="s">
        <v>159</v>
      </c>
      <c r="AD111" t="s">
        <v>155</v>
      </c>
      <c r="AE111" t="s">
        <v>20</v>
      </c>
      <c r="AF111" t="s">
        <v>155</v>
      </c>
      <c r="AG111" t="s">
        <v>20</v>
      </c>
      <c r="AH111" t="s">
        <v>155</v>
      </c>
    </row>
    <row r="112" spans="1:34" ht="16.2" customHeight="1" x14ac:dyDescent="0.3">
      <c r="N112">
        <v>4</v>
      </c>
      <c r="O112">
        <f t="shared" si="4"/>
        <v>4</v>
      </c>
      <c r="T112" t="s">
        <v>160</v>
      </c>
      <c r="U112" t="s">
        <v>155</v>
      </c>
      <c r="V112" t="s">
        <v>20</v>
      </c>
      <c r="W112" t="s">
        <v>155</v>
      </c>
      <c r="X112" t="s">
        <v>20</v>
      </c>
      <c r="Y112" t="s">
        <v>155</v>
      </c>
      <c r="AC112" t="s">
        <v>160</v>
      </c>
      <c r="AD112" t="s">
        <v>155</v>
      </c>
      <c r="AE112" t="s">
        <v>20</v>
      </c>
      <c r="AF112" t="s">
        <v>155</v>
      </c>
      <c r="AG112" t="s">
        <v>20</v>
      </c>
      <c r="AH112" t="s">
        <v>155</v>
      </c>
    </row>
    <row r="113" spans="14:34" ht="16.2" customHeight="1" x14ac:dyDescent="0.3">
      <c r="N113">
        <v>5</v>
      </c>
      <c r="O113">
        <f t="shared" si="4"/>
        <v>1</v>
      </c>
      <c r="T113" t="s">
        <v>169</v>
      </c>
      <c r="U113" t="s">
        <v>155</v>
      </c>
      <c r="V113" t="s">
        <v>155</v>
      </c>
      <c r="W113" t="s">
        <v>155</v>
      </c>
      <c r="X113" t="s">
        <v>155</v>
      </c>
      <c r="Y113" t="s">
        <v>155</v>
      </c>
      <c r="AC113" t="s">
        <v>169</v>
      </c>
      <c r="AD113" t="s">
        <v>155</v>
      </c>
      <c r="AE113" t="s">
        <v>155</v>
      </c>
      <c r="AF113" t="s">
        <v>155</v>
      </c>
      <c r="AG113" t="s">
        <v>155</v>
      </c>
      <c r="AH113" t="s">
        <v>155</v>
      </c>
    </row>
    <row r="114" spans="14:34" ht="16.2" customHeight="1" x14ac:dyDescent="0.3">
      <c r="N114">
        <v>6</v>
      </c>
      <c r="O114">
        <f t="shared" si="4"/>
        <v>0</v>
      </c>
      <c r="T114" t="s">
        <v>170</v>
      </c>
      <c r="U114" t="s">
        <v>155</v>
      </c>
      <c r="V114" t="s">
        <v>155</v>
      </c>
      <c r="W114" t="s">
        <v>155</v>
      </c>
      <c r="X114" t="s">
        <v>155</v>
      </c>
      <c r="Y114" t="s">
        <v>155</v>
      </c>
      <c r="AC114" t="s">
        <v>170</v>
      </c>
      <c r="AD114" t="s">
        <v>155</v>
      </c>
      <c r="AE114" t="s">
        <v>155</v>
      </c>
      <c r="AF114" t="s">
        <v>155</v>
      </c>
      <c r="AG114" t="s">
        <v>155</v>
      </c>
      <c r="AH114" t="s">
        <v>155</v>
      </c>
    </row>
    <row r="115" spans="14:34" ht="16.2" customHeight="1" x14ac:dyDescent="0.3">
      <c r="N115">
        <v>7</v>
      </c>
      <c r="O115">
        <f t="shared" si="4"/>
        <v>0</v>
      </c>
      <c r="T115" t="s">
        <v>171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171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O116" cm="1">
        <f t="array" ref="O116">SUM(N108:N115*O108:O115)</f>
        <v>166</v>
      </c>
      <c r="T116" t="s">
        <v>172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172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8" spans="14:34" ht="16.2" customHeight="1" x14ac:dyDescent="0.3">
      <c r="S118" s="15" t="s">
        <v>108</v>
      </c>
      <c r="T118" t="s">
        <v>186</v>
      </c>
      <c r="AB118" s="15" t="s">
        <v>108</v>
      </c>
      <c r="AC118" t="s">
        <v>186</v>
      </c>
    </row>
    <row r="119" spans="14:34" ht="16.2" customHeight="1" x14ac:dyDescent="0.3">
      <c r="U119" t="s">
        <v>164</v>
      </c>
      <c r="V119" t="s">
        <v>165</v>
      </c>
      <c r="W119" t="s">
        <v>166</v>
      </c>
      <c r="X119" t="s">
        <v>167</v>
      </c>
      <c r="Y119" t="s">
        <v>168</v>
      </c>
      <c r="AD119" t="s">
        <v>164</v>
      </c>
      <c r="AE119" t="s">
        <v>165</v>
      </c>
      <c r="AF119" t="s">
        <v>166</v>
      </c>
      <c r="AG119" t="s">
        <v>167</v>
      </c>
      <c r="AH119" t="s">
        <v>168</v>
      </c>
    </row>
    <row r="120" spans="14:34" ht="16.2" customHeight="1" x14ac:dyDescent="0.3">
      <c r="T120" t="s">
        <v>154</v>
      </c>
      <c r="U120" t="s">
        <v>155</v>
      </c>
      <c r="V120" t="s">
        <v>155</v>
      </c>
      <c r="W120" t="s">
        <v>155</v>
      </c>
      <c r="X120" t="s">
        <v>155</v>
      </c>
      <c r="Y120" t="s">
        <v>155</v>
      </c>
      <c r="AC120" t="s">
        <v>154</v>
      </c>
      <c r="AD120" t="s">
        <v>155</v>
      </c>
      <c r="AE120" t="s">
        <v>155</v>
      </c>
      <c r="AF120" t="s">
        <v>155</v>
      </c>
      <c r="AG120" t="s">
        <v>155</v>
      </c>
      <c r="AH120" t="s">
        <v>155</v>
      </c>
    </row>
    <row r="121" spans="14:34" ht="16.2" customHeight="1" x14ac:dyDescent="0.3">
      <c r="T121" t="s">
        <v>156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156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4:34" ht="16.2" customHeight="1" x14ac:dyDescent="0.3">
      <c r="T122" t="s">
        <v>157</v>
      </c>
      <c r="U122" t="s">
        <v>155</v>
      </c>
      <c r="V122" t="s">
        <v>155</v>
      </c>
      <c r="W122" t="s">
        <v>155</v>
      </c>
      <c r="X122" t="s">
        <v>20</v>
      </c>
      <c r="Y122" t="s">
        <v>155</v>
      </c>
      <c r="AC122" t="s">
        <v>157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158</v>
      </c>
      <c r="U123" t="s">
        <v>20</v>
      </c>
      <c r="V123" t="s">
        <v>155</v>
      </c>
      <c r="W123" t="s">
        <v>155</v>
      </c>
      <c r="X123" t="s">
        <v>20</v>
      </c>
      <c r="Y123" t="s">
        <v>155</v>
      </c>
      <c r="AC123" t="s">
        <v>158</v>
      </c>
      <c r="AD123" t="s">
        <v>155</v>
      </c>
      <c r="AE123" t="s">
        <v>155</v>
      </c>
      <c r="AF123" t="s">
        <v>20</v>
      </c>
      <c r="AG123" t="s">
        <v>155</v>
      </c>
      <c r="AH123" t="s">
        <v>155</v>
      </c>
    </row>
    <row r="124" spans="14:34" ht="16.2" customHeight="1" x14ac:dyDescent="0.3">
      <c r="T124" t="s">
        <v>159</v>
      </c>
      <c r="U124" t="s">
        <v>20</v>
      </c>
      <c r="V124" t="s">
        <v>155</v>
      </c>
      <c r="W124" t="s">
        <v>155</v>
      </c>
      <c r="X124" t="s">
        <v>155</v>
      </c>
      <c r="Y124" t="s">
        <v>155</v>
      </c>
      <c r="AC124" t="s">
        <v>159</v>
      </c>
      <c r="AD124" t="s">
        <v>155</v>
      </c>
      <c r="AE124" t="s">
        <v>155</v>
      </c>
      <c r="AF124" t="s">
        <v>20</v>
      </c>
      <c r="AG124" t="s">
        <v>155</v>
      </c>
      <c r="AH124" t="s">
        <v>20</v>
      </c>
    </row>
    <row r="125" spans="14:34" ht="16.2" customHeight="1" x14ac:dyDescent="0.3">
      <c r="T125" t="s">
        <v>160</v>
      </c>
      <c r="U125" t="s">
        <v>20</v>
      </c>
      <c r="V125" t="s">
        <v>155</v>
      </c>
      <c r="W125" t="s">
        <v>155</v>
      </c>
      <c r="X125" t="s">
        <v>155</v>
      </c>
      <c r="Y125" t="s">
        <v>155</v>
      </c>
      <c r="AC125" t="s">
        <v>160</v>
      </c>
      <c r="AD125" t="s">
        <v>155</v>
      </c>
      <c r="AE125" t="s">
        <v>155</v>
      </c>
      <c r="AF125" t="s">
        <v>20</v>
      </c>
      <c r="AG125" t="s">
        <v>155</v>
      </c>
      <c r="AH125" t="s">
        <v>20</v>
      </c>
    </row>
    <row r="126" spans="14:34" ht="16.2" customHeight="1" x14ac:dyDescent="0.3">
      <c r="T126" t="s">
        <v>169</v>
      </c>
      <c r="U126" t="s">
        <v>155</v>
      </c>
      <c r="V126" t="s">
        <v>155</v>
      </c>
      <c r="W126" t="s">
        <v>155</v>
      </c>
      <c r="X126" t="s">
        <v>155</v>
      </c>
      <c r="Y126" t="s">
        <v>155</v>
      </c>
      <c r="AC126" t="s">
        <v>169</v>
      </c>
      <c r="AD126" t="s">
        <v>155</v>
      </c>
      <c r="AE126" t="s">
        <v>155</v>
      </c>
      <c r="AF126" t="s">
        <v>155</v>
      </c>
      <c r="AG126" t="s">
        <v>155</v>
      </c>
      <c r="AH126" t="s">
        <v>155</v>
      </c>
    </row>
    <row r="127" spans="14:34" ht="16.2" customHeight="1" x14ac:dyDescent="0.3">
      <c r="T127" t="s">
        <v>170</v>
      </c>
      <c r="U127" t="s">
        <v>155</v>
      </c>
      <c r="V127" t="s">
        <v>155</v>
      </c>
      <c r="W127" t="s">
        <v>155</v>
      </c>
      <c r="X127" t="s">
        <v>155</v>
      </c>
      <c r="Y127" t="s">
        <v>155</v>
      </c>
      <c r="AC127" t="s">
        <v>170</v>
      </c>
      <c r="AD127" t="s">
        <v>155</v>
      </c>
      <c r="AE127" t="s">
        <v>155</v>
      </c>
      <c r="AF127" t="s">
        <v>155</v>
      </c>
      <c r="AG127" t="s">
        <v>155</v>
      </c>
      <c r="AH127" t="s">
        <v>155</v>
      </c>
    </row>
    <row r="128" spans="14:34" ht="16.2" customHeight="1" x14ac:dyDescent="0.3">
      <c r="T128" t="s">
        <v>171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171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172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172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1" spans="19:34" ht="16.2" customHeight="1" x14ac:dyDescent="0.3">
      <c r="S131" s="15" t="s">
        <v>109</v>
      </c>
      <c r="T131" t="s">
        <v>187</v>
      </c>
      <c r="AB131" s="15" t="s">
        <v>109</v>
      </c>
      <c r="AC131" t="s">
        <v>187</v>
      </c>
    </row>
    <row r="132" spans="19:34" ht="16.2" customHeight="1" x14ac:dyDescent="0.3">
      <c r="U132" t="s">
        <v>164</v>
      </c>
      <c r="V132" t="s">
        <v>165</v>
      </c>
      <c r="W132" t="s">
        <v>166</v>
      </c>
      <c r="X132" t="s">
        <v>167</v>
      </c>
      <c r="Y132" t="s">
        <v>168</v>
      </c>
      <c r="AD132" t="s">
        <v>164</v>
      </c>
      <c r="AE132" t="s">
        <v>165</v>
      </c>
      <c r="AF132" t="s">
        <v>166</v>
      </c>
      <c r="AG132" t="s">
        <v>167</v>
      </c>
      <c r="AH132" t="s">
        <v>168</v>
      </c>
    </row>
    <row r="133" spans="19:34" ht="16.2" customHeight="1" x14ac:dyDescent="0.3">
      <c r="T133" t="s">
        <v>154</v>
      </c>
      <c r="U133" t="s">
        <v>155</v>
      </c>
      <c r="V133" t="s">
        <v>20</v>
      </c>
      <c r="W133" t="s">
        <v>155</v>
      </c>
      <c r="X133" t="s">
        <v>20</v>
      </c>
      <c r="Y133" t="s">
        <v>155</v>
      </c>
      <c r="AC133" t="s">
        <v>154</v>
      </c>
      <c r="AD133" t="s">
        <v>20</v>
      </c>
      <c r="AE133" t="s">
        <v>155</v>
      </c>
      <c r="AF133" t="s">
        <v>20</v>
      </c>
      <c r="AG133" t="s">
        <v>155</v>
      </c>
      <c r="AH133" t="s">
        <v>155</v>
      </c>
    </row>
    <row r="134" spans="19:34" ht="16.2" customHeight="1" x14ac:dyDescent="0.3">
      <c r="T134" t="s">
        <v>156</v>
      </c>
      <c r="U134" t="s">
        <v>155</v>
      </c>
      <c r="V134" t="s">
        <v>20</v>
      </c>
      <c r="W134" t="s">
        <v>155</v>
      </c>
      <c r="X134" t="s">
        <v>20</v>
      </c>
      <c r="Y134" t="s">
        <v>155</v>
      </c>
      <c r="AC134" t="s">
        <v>156</v>
      </c>
      <c r="AD134" t="s">
        <v>20</v>
      </c>
      <c r="AE134" t="s">
        <v>155</v>
      </c>
      <c r="AF134" t="s">
        <v>20</v>
      </c>
      <c r="AG134" t="s">
        <v>155</v>
      </c>
      <c r="AH134" t="s">
        <v>155</v>
      </c>
    </row>
    <row r="135" spans="19:34" ht="16.2" customHeight="1" x14ac:dyDescent="0.3">
      <c r="T135" t="s">
        <v>157</v>
      </c>
      <c r="U135" t="s">
        <v>155</v>
      </c>
      <c r="V135" t="s">
        <v>155</v>
      </c>
      <c r="W135" t="s">
        <v>155</v>
      </c>
      <c r="X135" t="s">
        <v>155</v>
      </c>
      <c r="Y135" t="s">
        <v>155</v>
      </c>
      <c r="AC135" t="s">
        <v>157</v>
      </c>
      <c r="AD135" t="s">
        <v>155</v>
      </c>
      <c r="AE135" t="s">
        <v>155</v>
      </c>
      <c r="AF135" t="s">
        <v>155</v>
      </c>
      <c r="AG135" t="s">
        <v>155</v>
      </c>
      <c r="AH135" t="s">
        <v>155</v>
      </c>
    </row>
    <row r="136" spans="19:34" ht="16.2" customHeight="1" x14ac:dyDescent="0.3">
      <c r="T136" t="s">
        <v>158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158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159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159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160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160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169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169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170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170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171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171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172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172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4" spans="19:34" ht="16.2" customHeight="1" x14ac:dyDescent="0.3">
      <c r="S144" s="15" t="s">
        <v>110</v>
      </c>
      <c r="T144" t="s">
        <v>188</v>
      </c>
      <c r="AB144" s="15" t="s">
        <v>110</v>
      </c>
      <c r="AC144" t="s">
        <v>188</v>
      </c>
    </row>
    <row r="145" spans="19:34" ht="16.2" customHeight="1" x14ac:dyDescent="0.3">
      <c r="U145" t="s">
        <v>164</v>
      </c>
      <c r="V145" t="s">
        <v>165</v>
      </c>
      <c r="W145" t="s">
        <v>166</v>
      </c>
      <c r="X145" t="s">
        <v>167</v>
      </c>
      <c r="Y145" t="s">
        <v>168</v>
      </c>
      <c r="AD145" t="s">
        <v>164</v>
      </c>
      <c r="AE145" t="s">
        <v>165</v>
      </c>
      <c r="AF145" t="s">
        <v>166</v>
      </c>
      <c r="AG145" t="s">
        <v>167</v>
      </c>
      <c r="AH145" t="s">
        <v>168</v>
      </c>
    </row>
    <row r="146" spans="19:34" ht="16.2" customHeight="1" x14ac:dyDescent="0.3">
      <c r="T146" t="s">
        <v>154</v>
      </c>
      <c r="U146" t="s">
        <v>155</v>
      </c>
      <c r="V146" t="s">
        <v>155</v>
      </c>
      <c r="W146" t="s">
        <v>155</v>
      </c>
      <c r="X146" t="s">
        <v>155</v>
      </c>
      <c r="Y146" t="s">
        <v>21</v>
      </c>
      <c r="AC146" t="s">
        <v>154</v>
      </c>
      <c r="AD146" t="s">
        <v>155</v>
      </c>
      <c r="AE146" t="s">
        <v>155</v>
      </c>
      <c r="AF146" t="s">
        <v>155</v>
      </c>
      <c r="AG146" t="s">
        <v>155</v>
      </c>
      <c r="AH146" t="s">
        <v>21</v>
      </c>
    </row>
    <row r="147" spans="19:34" ht="16.2" customHeight="1" x14ac:dyDescent="0.3">
      <c r="T147" t="s">
        <v>156</v>
      </c>
      <c r="U147" t="s">
        <v>155</v>
      </c>
      <c r="V147" t="s">
        <v>155</v>
      </c>
      <c r="W147" t="s">
        <v>155</v>
      </c>
      <c r="X147" t="s">
        <v>155</v>
      </c>
      <c r="Y147" t="s">
        <v>21</v>
      </c>
      <c r="AC147" t="s">
        <v>156</v>
      </c>
      <c r="AD147" t="s">
        <v>155</v>
      </c>
      <c r="AE147" t="s">
        <v>155</v>
      </c>
      <c r="AF147" t="s">
        <v>155</v>
      </c>
      <c r="AG147" t="s">
        <v>155</v>
      </c>
      <c r="AH147" t="s">
        <v>21</v>
      </c>
    </row>
    <row r="148" spans="19:34" ht="16.2" customHeight="1" x14ac:dyDescent="0.3">
      <c r="T148" t="s">
        <v>157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157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158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158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159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159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160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160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169</v>
      </c>
      <c r="U152" t="s">
        <v>155</v>
      </c>
      <c r="V152" t="s">
        <v>155</v>
      </c>
      <c r="W152" t="s">
        <v>155</v>
      </c>
      <c r="X152" t="s">
        <v>155</v>
      </c>
      <c r="Y152" t="s">
        <v>155</v>
      </c>
      <c r="AC152" t="s">
        <v>169</v>
      </c>
      <c r="AD152" t="s">
        <v>155</v>
      </c>
      <c r="AE152" t="s">
        <v>155</v>
      </c>
      <c r="AF152" t="s">
        <v>155</v>
      </c>
      <c r="AG152" t="s">
        <v>155</v>
      </c>
      <c r="AH152" t="s">
        <v>155</v>
      </c>
    </row>
    <row r="153" spans="19:34" ht="16.2" customHeight="1" x14ac:dyDescent="0.3">
      <c r="T153" t="s">
        <v>170</v>
      </c>
      <c r="U153" t="s">
        <v>155</v>
      </c>
      <c r="V153" t="s">
        <v>155</v>
      </c>
      <c r="W153" t="s">
        <v>155</v>
      </c>
      <c r="X153" t="s">
        <v>155</v>
      </c>
      <c r="Y153" t="s">
        <v>155</v>
      </c>
      <c r="AC153" t="s">
        <v>170</v>
      </c>
      <c r="AD153" t="s">
        <v>155</v>
      </c>
      <c r="AE153" t="s">
        <v>155</v>
      </c>
      <c r="AF153" t="s">
        <v>155</v>
      </c>
      <c r="AG153" t="s">
        <v>155</v>
      </c>
      <c r="AH153" t="s">
        <v>155</v>
      </c>
    </row>
    <row r="154" spans="19:34" ht="16.2" customHeight="1" x14ac:dyDescent="0.3">
      <c r="T154" t="s">
        <v>171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171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172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172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7" spans="19:34" ht="16.2" customHeight="1" x14ac:dyDescent="0.3">
      <c r="S157" s="15" t="s">
        <v>111</v>
      </c>
      <c r="T157" t="s">
        <v>189</v>
      </c>
      <c r="AB157" s="15" t="s">
        <v>111</v>
      </c>
      <c r="AC157" t="s">
        <v>189</v>
      </c>
    </row>
    <row r="158" spans="19:34" ht="16.2" customHeight="1" x14ac:dyDescent="0.3">
      <c r="U158" t="s">
        <v>164</v>
      </c>
      <c r="V158" t="s">
        <v>165</v>
      </c>
      <c r="W158" t="s">
        <v>166</v>
      </c>
      <c r="X158" t="s">
        <v>167</v>
      </c>
      <c r="Y158" t="s">
        <v>168</v>
      </c>
      <c r="AD158" t="s">
        <v>164</v>
      </c>
      <c r="AE158" t="s">
        <v>165</v>
      </c>
      <c r="AF158" t="s">
        <v>166</v>
      </c>
      <c r="AG158" t="s">
        <v>167</v>
      </c>
      <c r="AH158" t="s">
        <v>168</v>
      </c>
    </row>
    <row r="159" spans="19:34" ht="16.2" customHeight="1" x14ac:dyDescent="0.3">
      <c r="T159" t="s">
        <v>154</v>
      </c>
      <c r="U159" t="s">
        <v>155</v>
      </c>
      <c r="V159" t="s">
        <v>155</v>
      </c>
      <c r="W159" t="s">
        <v>155</v>
      </c>
      <c r="X159" t="s">
        <v>155</v>
      </c>
      <c r="Y159" t="s">
        <v>155</v>
      </c>
      <c r="AC159" t="s">
        <v>154</v>
      </c>
      <c r="AD159" t="s">
        <v>155</v>
      </c>
      <c r="AE159" t="s">
        <v>155</v>
      </c>
      <c r="AF159" t="s">
        <v>155</v>
      </c>
      <c r="AG159" t="s">
        <v>155</v>
      </c>
      <c r="AH159" t="s">
        <v>155</v>
      </c>
    </row>
    <row r="160" spans="19:34" ht="16.2" customHeight="1" x14ac:dyDescent="0.3">
      <c r="T160" t="s">
        <v>156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156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157</v>
      </c>
      <c r="U161" t="s">
        <v>155</v>
      </c>
      <c r="V161" t="s">
        <v>155</v>
      </c>
      <c r="W161" t="s">
        <v>24</v>
      </c>
      <c r="X161" t="s">
        <v>155</v>
      </c>
      <c r="Y161" t="s">
        <v>24</v>
      </c>
      <c r="AC161" t="s">
        <v>157</v>
      </c>
      <c r="AD161" t="s">
        <v>155</v>
      </c>
      <c r="AE161" t="s">
        <v>155</v>
      </c>
      <c r="AF161" t="s">
        <v>24</v>
      </c>
      <c r="AG161" t="s">
        <v>155</v>
      </c>
      <c r="AH161" t="s">
        <v>24</v>
      </c>
    </row>
    <row r="162" spans="19:34" ht="16.2" customHeight="1" x14ac:dyDescent="0.3">
      <c r="T162" t="s">
        <v>158</v>
      </c>
      <c r="U162" t="s">
        <v>155</v>
      </c>
      <c r="V162" t="s">
        <v>155</v>
      </c>
      <c r="W162" t="s">
        <v>24</v>
      </c>
      <c r="X162" t="s">
        <v>155</v>
      </c>
      <c r="Y162" t="s">
        <v>24</v>
      </c>
      <c r="AC162" t="s">
        <v>158</v>
      </c>
      <c r="AD162" t="s">
        <v>155</v>
      </c>
      <c r="AE162" t="s">
        <v>155</v>
      </c>
      <c r="AF162" t="s">
        <v>24</v>
      </c>
      <c r="AG162" t="s">
        <v>155</v>
      </c>
      <c r="AH162" t="s">
        <v>24</v>
      </c>
    </row>
    <row r="163" spans="19:34" ht="16.2" customHeight="1" x14ac:dyDescent="0.3">
      <c r="T163" t="s">
        <v>159</v>
      </c>
      <c r="U163" t="s">
        <v>155</v>
      </c>
      <c r="V163" t="s">
        <v>155</v>
      </c>
      <c r="W163" t="s">
        <v>24</v>
      </c>
      <c r="X163" t="s">
        <v>155</v>
      </c>
      <c r="Y163" t="s">
        <v>155</v>
      </c>
      <c r="AC163" t="s">
        <v>159</v>
      </c>
      <c r="AD163" t="s">
        <v>155</v>
      </c>
      <c r="AE163" t="s">
        <v>155</v>
      </c>
      <c r="AF163" t="s">
        <v>24</v>
      </c>
      <c r="AG163" t="s">
        <v>155</v>
      </c>
      <c r="AH163" t="s">
        <v>155</v>
      </c>
    </row>
    <row r="164" spans="19:34" ht="16.2" customHeight="1" x14ac:dyDescent="0.3">
      <c r="T164" t="s">
        <v>160</v>
      </c>
      <c r="U164" t="s">
        <v>155</v>
      </c>
      <c r="V164" t="s">
        <v>155</v>
      </c>
      <c r="W164" t="s">
        <v>155</v>
      </c>
      <c r="X164" t="s">
        <v>155</v>
      </c>
      <c r="Y164" t="s">
        <v>155</v>
      </c>
      <c r="AC164" t="s">
        <v>160</v>
      </c>
      <c r="AD164" t="s">
        <v>155</v>
      </c>
      <c r="AE164" t="s">
        <v>155</v>
      </c>
      <c r="AF164" t="s">
        <v>155</v>
      </c>
      <c r="AG164" t="s">
        <v>155</v>
      </c>
      <c r="AH164" t="s">
        <v>155</v>
      </c>
    </row>
    <row r="165" spans="19:34" ht="16.2" customHeight="1" x14ac:dyDescent="0.3">
      <c r="T165" t="s">
        <v>169</v>
      </c>
      <c r="U165" t="s">
        <v>155</v>
      </c>
      <c r="V165" t="s">
        <v>155</v>
      </c>
      <c r="W165" t="s">
        <v>155</v>
      </c>
      <c r="X165" t="s">
        <v>155</v>
      </c>
      <c r="Y165" t="s">
        <v>155</v>
      </c>
      <c r="AC165" t="s">
        <v>169</v>
      </c>
      <c r="AD165" t="s">
        <v>155</v>
      </c>
      <c r="AE165" t="s">
        <v>155</v>
      </c>
      <c r="AF165" t="s">
        <v>155</v>
      </c>
      <c r="AG165" t="s">
        <v>155</v>
      </c>
      <c r="AH165" t="s">
        <v>155</v>
      </c>
    </row>
    <row r="166" spans="19:34" ht="16.2" customHeight="1" x14ac:dyDescent="0.3">
      <c r="T166" t="s">
        <v>170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170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171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171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172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172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70" spans="19:34" ht="16.2" customHeight="1" x14ac:dyDescent="0.3">
      <c r="S170" s="15" t="s">
        <v>112</v>
      </c>
      <c r="T170" t="s">
        <v>190</v>
      </c>
      <c r="AB170" s="15" t="s">
        <v>112</v>
      </c>
      <c r="AC170" t="s">
        <v>190</v>
      </c>
    </row>
    <row r="171" spans="19:34" ht="16.2" customHeight="1" x14ac:dyDescent="0.3">
      <c r="U171" t="s">
        <v>164</v>
      </c>
      <c r="V171" t="s">
        <v>165</v>
      </c>
      <c r="W171" t="s">
        <v>166</v>
      </c>
      <c r="X171" t="s">
        <v>167</v>
      </c>
      <c r="Y171" t="s">
        <v>168</v>
      </c>
      <c r="AD171" t="s">
        <v>164</v>
      </c>
      <c r="AE171" t="s">
        <v>165</v>
      </c>
      <c r="AF171" t="s">
        <v>166</v>
      </c>
      <c r="AG171" t="s">
        <v>167</v>
      </c>
      <c r="AH171" t="s">
        <v>168</v>
      </c>
    </row>
    <row r="172" spans="19:34" ht="16.2" customHeight="1" x14ac:dyDescent="0.3">
      <c r="T172" t="s">
        <v>154</v>
      </c>
      <c r="U172" t="s">
        <v>155</v>
      </c>
      <c r="V172" t="s">
        <v>155</v>
      </c>
      <c r="W172" t="s">
        <v>155</v>
      </c>
      <c r="X172" t="s">
        <v>155</v>
      </c>
      <c r="Y172" t="s">
        <v>155</v>
      </c>
      <c r="AC172" t="s">
        <v>154</v>
      </c>
      <c r="AD172" t="s">
        <v>155</v>
      </c>
      <c r="AE172" t="s">
        <v>155</v>
      </c>
      <c r="AF172" t="s">
        <v>155</v>
      </c>
      <c r="AG172" t="s">
        <v>155</v>
      </c>
      <c r="AH172" t="s">
        <v>155</v>
      </c>
    </row>
    <row r="173" spans="19:34" ht="16.2" customHeight="1" x14ac:dyDescent="0.3">
      <c r="T173" t="s">
        <v>156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156</v>
      </c>
      <c r="AD173" t="s">
        <v>89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157</v>
      </c>
      <c r="U174" t="s">
        <v>89</v>
      </c>
      <c r="V174" t="s">
        <v>24</v>
      </c>
      <c r="W174" t="s">
        <v>89</v>
      </c>
      <c r="X174" t="s">
        <v>155</v>
      </c>
      <c r="Y174" t="s">
        <v>24</v>
      </c>
      <c r="AC174" t="s">
        <v>157</v>
      </c>
      <c r="AD174" t="s">
        <v>89</v>
      </c>
      <c r="AE174" t="s">
        <v>24</v>
      </c>
      <c r="AF174" t="s">
        <v>89</v>
      </c>
      <c r="AG174" t="s">
        <v>155</v>
      </c>
      <c r="AH174" t="s">
        <v>24</v>
      </c>
    </row>
    <row r="175" spans="19:34" ht="16.2" customHeight="1" x14ac:dyDescent="0.3">
      <c r="T175" t="s">
        <v>158</v>
      </c>
      <c r="U175" t="s">
        <v>89</v>
      </c>
      <c r="V175" t="s">
        <v>24</v>
      </c>
      <c r="W175" t="s">
        <v>89</v>
      </c>
      <c r="X175" t="s">
        <v>155</v>
      </c>
      <c r="Y175" t="s">
        <v>24</v>
      </c>
      <c r="AC175" t="s">
        <v>158</v>
      </c>
      <c r="AD175" t="s">
        <v>89</v>
      </c>
      <c r="AE175" t="s">
        <v>24</v>
      </c>
      <c r="AF175" t="s">
        <v>89</v>
      </c>
      <c r="AG175" t="s">
        <v>155</v>
      </c>
      <c r="AH175" t="s">
        <v>24</v>
      </c>
    </row>
    <row r="176" spans="19:34" ht="16.2" customHeight="1" x14ac:dyDescent="0.3">
      <c r="T176" t="s">
        <v>159</v>
      </c>
      <c r="U176" t="s">
        <v>89</v>
      </c>
      <c r="V176" t="s">
        <v>155</v>
      </c>
      <c r="W176" t="s">
        <v>89</v>
      </c>
      <c r="X176" t="s">
        <v>155</v>
      </c>
      <c r="Y176" t="s">
        <v>24</v>
      </c>
      <c r="AC176" t="s">
        <v>159</v>
      </c>
      <c r="AD176" t="s">
        <v>155</v>
      </c>
      <c r="AE176" t="s">
        <v>155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160</v>
      </c>
      <c r="U177" t="s">
        <v>155</v>
      </c>
      <c r="V177" t="s">
        <v>155</v>
      </c>
      <c r="W177" t="s">
        <v>155</v>
      </c>
      <c r="X177" t="s">
        <v>155</v>
      </c>
      <c r="Y177" t="s">
        <v>155</v>
      </c>
      <c r="AC177" t="s">
        <v>160</v>
      </c>
      <c r="AD177" t="s">
        <v>155</v>
      </c>
      <c r="AE177" t="s">
        <v>155</v>
      </c>
      <c r="AF177" t="s">
        <v>155</v>
      </c>
      <c r="AG177" t="s">
        <v>155</v>
      </c>
      <c r="AH177" t="s">
        <v>155</v>
      </c>
    </row>
    <row r="178" spans="19:34" ht="16.2" customHeight="1" x14ac:dyDescent="0.3">
      <c r="T178" t="s">
        <v>169</v>
      </c>
      <c r="U178" t="s">
        <v>155</v>
      </c>
      <c r="V178" t="s">
        <v>155</v>
      </c>
      <c r="W178" t="s">
        <v>155</v>
      </c>
      <c r="X178" t="s">
        <v>155</v>
      </c>
      <c r="Y178" t="s">
        <v>155</v>
      </c>
      <c r="AC178" t="s">
        <v>169</v>
      </c>
      <c r="AD178" t="s">
        <v>155</v>
      </c>
      <c r="AE178" t="s">
        <v>155</v>
      </c>
      <c r="AF178" t="s">
        <v>155</v>
      </c>
      <c r="AG178" t="s">
        <v>155</v>
      </c>
      <c r="AH178" t="s">
        <v>155</v>
      </c>
    </row>
    <row r="179" spans="19:34" ht="16.2" customHeight="1" x14ac:dyDescent="0.3">
      <c r="T179" t="s">
        <v>170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170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171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171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172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172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3" spans="19:34" ht="16.2" customHeight="1" x14ac:dyDescent="0.3">
      <c r="S183" s="15" t="s">
        <v>113</v>
      </c>
      <c r="T183" t="s">
        <v>191</v>
      </c>
      <c r="AB183" s="15" t="s">
        <v>113</v>
      </c>
      <c r="AC183" t="s">
        <v>191</v>
      </c>
    </row>
    <row r="184" spans="19:34" ht="16.2" customHeight="1" x14ac:dyDescent="0.3">
      <c r="U184" t="s">
        <v>164</v>
      </c>
      <c r="V184" t="s">
        <v>165</v>
      </c>
      <c r="W184" t="s">
        <v>166</v>
      </c>
      <c r="X184" t="s">
        <v>167</v>
      </c>
      <c r="Y184" t="s">
        <v>168</v>
      </c>
      <c r="AD184" t="s">
        <v>164</v>
      </c>
      <c r="AE184" t="s">
        <v>165</v>
      </c>
      <c r="AF184" t="s">
        <v>166</v>
      </c>
      <c r="AG184" t="s">
        <v>167</v>
      </c>
      <c r="AH184" t="s">
        <v>168</v>
      </c>
    </row>
    <row r="185" spans="19:34" ht="16.2" customHeight="1" x14ac:dyDescent="0.3">
      <c r="T185" t="s">
        <v>154</v>
      </c>
      <c r="U185" t="s">
        <v>155</v>
      </c>
      <c r="V185" t="s">
        <v>155</v>
      </c>
      <c r="W185" t="s">
        <v>155</v>
      </c>
      <c r="X185" t="s">
        <v>155</v>
      </c>
      <c r="Y185" t="s">
        <v>155</v>
      </c>
      <c r="AC185" t="s">
        <v>154</v>
      </c>
      <c r="AD185" t="s">
        <v>155</v>
      </c>
      <c r="AE185" t="s">
        <v>155</v>
      </c>
      <c r="AF185" t="s">
        <v>155</v>
      </c>
      <c r="AG185" t="s">
        <v>155</v>
      </c>
      <c r="AH185" t="s">
        <v>155</v>
      </c>
    </row>
    <row r="186" spans="19:34" ht="16.2" customHeight="1" x14ac:dyDescent="0.3">
      <c r="T186" t="s">
        <v>156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156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157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157</v>
      </c>
      <c r="AD187" t="s">
        <v>24</v>
      </c>
      <c r="AE187" t="s">
        <v>155</v>
      </c>
      <c r="AF187" t="s">
        <v>155</v>
      </c>
      <c r="AG187" t="s">
        <v>24</v>
      </c>
      <c r="AH187" t="s">
        <v>155</v>
      </c>
    </row>
    <row r="188" spans="19:34" ht="16.2" customHeight="1" x14ac:dyDescent="0.3">
      <c r="T188" t="s">
        <v>158</v>
      </c>
      <c r="U188" t="s">
        <v>24</v>
      </c>
      <c r="V188" t="s">
        <v>155</v>
      </c>
      <c r="W188" t="s">
        <v>155</v>
      </c>
      <c r="X188" t="s">
        <v>155</v>
      </c>
      <c r="Y188" t="s">
        <v>155</v>
      </c>
      <c r="AC188" t="s">
        <v>158</v>
      </c>
      <c r="AD188" t="s">
        <v>24</v>
      </c>
      <c r="AE188" t="s">
        <v>155</v>
      </c>
      <c r="AF188" t="s">
        <v>155</v>
      </c>
      <c r="AG188" t="s">
        <v>24</v>
      </c>
      <c r="AH188" t="s">
        <v>155</v>
      </c>
    </row>
    <row r="189" spans="19:34" ht="16.2" customHeight="1" x14ac:dyDescent="0.3">
      <c r="T189" t="s">
        <v>159</v>
      </c>
      <c r="U189" t="s">
        <v>24</v>
      </c>
      <c r="V189" t="s">
        <v>155</v>
      </c>
      <c r="W189" t="s">
        <v>155</v>
      </c>
      <c r="X189" t="s">
        <v>155</v>
      </c>
      <c r="Y189" t="s">
        <v>24</v>
      </c>
      <c r="AC189" t="s">
        <v>159</v>
      </c>
      <c r="AD189" t="s">
        <v>24</v>
      </c>
      <c r="AE189" t="s">
        <v>155</v>
      </c>
      <c r="AF189" t="s">
        <v>155</v>
      </c>
      <c r="AG189" t="s">
        <v>155</v>
      </c>
      <c r="AH189" t="s">
        <v>155</v>
      </c>
    </row>
    <row r="190" spans="19:34" ht="16.2" customHeight="1" x14ac:dyDescent="0.3">
      <c r="T190" t="s">
        <v>160</v>
      </c>
      <c r="U190" t="s">
        <v>24</v>
      </c>
      <c r="V190" t="s">
        <v>155</v>
      </c>
      <c r="W190" t="s">
        <v>155</v>
      </c>
      <c r="X190" t="s">
        <v>155</v>
      </c>
      <c r="Y190" t="s">
        <v>24</v>
      </c>
      <c r="AC190" t="s">
        <v>160</v>
      </c>
      <c r="AD190" t="s">
        <v>155</v>
      </c>
      <c r="AE190" t="s">
        <v>155</v>
      </c>
      <c r="AF190" t="s">
        <v>155</v>
      </c>
      <c r="AG190" t="s">
        <v>155</v>
      </c>
      <c r="AH190" t="s">
        <v>155</v>
      </c>
    </row>
    <row r="191" spans="19:34" ht="16.2" customHeight="1" x14ac:dyDescent="0.3">
      <c r="T191" t="s">
        <v>169</v>
      </c>
      <c r="U191" t="s">
        <v>155</v>
      </c>
      <c r="V191" t="s">
        <v>155</v>
      </c>
      <c r="W191" t="s">
        <v>155</v>
      </c>
      <c r="X191" t="s">
        <v>155</v>
      </c>
      <c r="Y191" t="s">
        <v>155</v>
      </c>
      <c r="AC191" t="s">
        <v>169</v>
      </c>
      <c r="AD191" t="s">
        <v>155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170</v>
      </c>
      <c r="U192" t="s">
        <v>155</v>
      </c>
      <c r="V192" t="s">
        <v>155</v>
      </c>
      <c r="W192" t="s">
        <v>155</v>
      </c>
      <c r="X192" t="s">
        <v>155</v>
      </c>
      <c r="Y192" t="s">
        <v>155</v>
      </c>
      <c r="AC192" t="s">
        <v>170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171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171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172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172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6" spans="19:34" ht="16.2" customHeight="1" x14ac:dyDescent="0.3">
      <c r="S196" s="15" t="s">
        <v>114</v>
      </c>
      <c r="T196" t="s">
        <v>192</v>
      </c>
      <c r="AB196" s="15" t="s">
        <v>114</v>
      </c>
      <c r="AC196" t="s">
        <v>192</v>
      </c>
    </row>
    <row r="197" spans="19:34" ht="16.2" customHeight="1" x14ac:dyDescent="0.3">
      <c r="U197" t="s">
        <v>164</v>
      </c>
      <c r="V197" t="s">
        <v>165</v>
      </c>
      <c r="W197" t="s">
        <v>166</v>
      </c>
      <c r="X197" t="s">
        <v>167</v>
      </c>
      <c r="Y197" t="s">
        <v>168</v>
      </c>
      <c r="AD197" t="s">
        <v>164</v>
      </c>
      <c r="AE197" t="s">
        <v>165</v>
      </c>
      <c r="AF197" t="s">
        <v>166</v>
      </c>
      <c r="AG197" t="s">
        <v>167</v>
      </c>
      <c r="AH197" t="s">
        <v>168</v>
      </c>
    </row>
    <row r="198" spans="19:34" ht="16.2" customHeight="1" x14ac:dyDescent="0.3">
      <c r="T198" t="s">
        <v>154</v>
      </c>
      <c r="U198" t="s">
        <v>155</v>
      </c>
      <c r="V198" t="s">
        <v>102</v>
      </c>
      <c r="W198" t="s">
        <v>155</v>
      </c>
      <c r="X198" t="s">
        <v>102</v>
      </c>
      <c r="Y198" t="s">
        <v>155</v>
      </c>
      <c r="AC198" t="s">
        <v>154</v>
      </c>
      <c r="AD198" t="s">
        <v>155</v>
      </c>
      <c r="AE198" t="s">
        <v>102</v>
      </c>
      <c r="AF198" t="s">
        <v>155</v>
      </c>
      <c r="AG198" t="s">
        <v>102</v>
      </c>
      <c r="AH198" t="s">
        <v>155</v>
      </c>
    </row>
    <row r="199" spans="19:34" ht="16.2" customHeight="1" x14ac:dyDescent="0.3">
      <c r="T199" t="s">
        <v>156</v>
      </c>
      <c r="U199" t="s">
        <v>155</v>
      </c>
      <c r="V199" t="s">
        <v>102</v>
      </c>
      <c r="W199" t="s">
        <v>155</v>
      </c>
      <c r="X199" t="s">
        <v>102</v>
      </c>
      <c r="Y199" t="s">
        <v>155</v>
      </c>
      <c r="AC199" t="s">
        <v>156</v>
      </c>
      <c r="AD199" t="s">
        <v>155</v>
      </c>
      <c r="AE199" t="s">
        <v>102</v>
      </c>
      <c r="AF199" t="s">
        <v>155</v>
      </c>
      <c r="AG199" t="s">
        <v>102</v>
      </c>
      <c r="AH199" t="s">
        <v>155</v>
      </c>
    </row>
    <row r="200" spans="19:34" ht="16.2" customHeight="1" x14ac:dyDescent="0.3">
      <c r="T200" t="s">
        <v>157</v>
      </c>
      <c r="U200" t="s">
        <v>155</v>
      </c>
      <c r="V200" t="s">
        <v>102</v>
      </c>
      <c r="W200" t="s">
        <v>155</v>
      </c>
      <c r="X200" t="s">
        <v>155</v>
      </c>
      <c r="Y200" t="s">
        <v>155</v>
      </c>
      <c r="AC200" t="s">
        <v>157</v>
      </c>
      <c r="AD200" t="s">
        <v>155</v>
      </c>
      <c r="AE200" t="s">
        <v>102</v>
      </c>
      <c r="AF200" t="s">
        <v>155</v>
      </c>
      <c r="AG200" t="s">
        <v>155</v>
      </c>
      <c r="AH200" t="s">
        <v>155</v>
      </c>
    </row>
    <row r="201" spans="19:34" ht="16.2" customHeight="1" x14ac:dyDescent="0.3">
      <c r="T201" t="s">
        <v>158</v>
      </c>
      <c r="U201" t="s">
        <v>155</v>
      </c>
      <c r="V201" t="s">
        <v>155</v>
      </c>
      <c r="W201" t="s">
        <v>155</v>
      </c>
      <c r="X201" t="s">
        <v>155</v>
      </c>
      <c r="Y201" t="s">
        <v>155</v>
      </c>
      <c r="AC201" t="s">
        <v>158</v>
      </c>
      <c r="AD201" t="s">
        <v>155</v>
      </c>
      <c r="AE201" t="s">
        <v>155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159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159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160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160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169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169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170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170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171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171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172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172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9" spans="19:34" ht="16.2" customHeight="1" x14ac:dyDescent="0.3">
      <c r="S209" s="15" t="s">
        <v>115</v>
      </c>
      <c r="T209" t="s">
        <v>193</v>
      </c>
      <c r="AB209" s="15" t="s">
        <v>115</v>
      </c>
      <c r="AC209" t="s">
        <v>193</v>
      </c>
    </row>
    <row r="210" spans="19:34" ht="16.2" customHeight="1" x14ac:dyDescent="0.3">
      <c r="U210" t="s">
        <v>164</v>
      </c>
      <c r="V210" t="s">
        <v>165</v>
      </c>
      <c r="W210" t="s">
        <v>166</v>
      </c>
      <c r="X210" t="s">
        <v>167</v>
      </c>
      <c r="Y210" t="s">
        <v>168</v>
      </c>
      <c r="AD210" t="s">
        <v>164</v>
      </c>
      <c r="AE210" t="s">
        <v>165</v>
      </c>
      <c r="AF210" t="s">
        <v>166</v>
      </c>
      <c r="AG210" t="s">
        <v>167</v>
      </c>
      <c r="AH210" t="s">
        <v>168</v>
      </c>
    </row>
    <row r="211" spans="19:34" ht="16.2" customHeight="1" x14ac:dyDescent="0.3">
      <c r="T211" t="s">
        <v>154</v>
      </c>
      <c r="U211" t="s">
        <v>155</v>
      </c>
      <c r="V211" t="s">
        <v>102</v>
      </c>
      <c r="W211" t="s">
        <v>155</v>
      </c>
      <c r="X211" t="s">
        <v>102</v>
      </c>
      <c r="Y211" t="s">
        <v>155</v>
      </c>
      <c r="AC211" t="s">
        <v>154</v>
      </c>
      <c r="AD211" t="s">
        <v>155</v>
      </c>
      <c r="AE211" t="s">
        <v>102</v>
      </c>
      <c r="AF211" t="s">
        <v>155</v>
      </c>
      <c r="AG211" t="s">
        <v>102</v>
      </c>
      <c r="AH211" t="s">
        <v>155</v>
      </c>
    </row>
    <row r="212" spans="19:34" ht="16.2" customHeight="1" x14ac:dyDescent="0.3">
      <c r="T212" t="s">
        <v>156</v>
      </c>
      <c r="U212" t="s">
        <v>155</v>
      </c>
      <c r="V212" t="s">
        <v>102</v>
      </c>
      <c r="W212" t="s">
        <v>155</v>
      </c>
      <c r="X212" t="s">
        <v>102</v>
      </c>
      <c r="Y212" t="s">
        <v>155</v>
      </c>
      <c r="AC212" t="s">
        <v>156</v>
      </c>
      <c r="AD212" t="s">
        <v>155</v>
      </c>
      <c r="AE212" t="s">
        <v>102</v>
      </c>
      <c r="AF212" t="s">
        <v>155</v>
      </c>
      <c r="AG212" t="s">
        <v>102</v>
      </c>
      <c r="AH212" t="s">
        <v>155</v>
      </c>
    </row>
    <row r="213" spans="19:34" ht="16.2" customHeight="1" x14ac:dyDescent="0.3">
      <c r="T213" t="s">
        <v>157</v>
      </c>
      <c r="U213" t="s">
        <v>155</v>
      </c>
      <c r="V213" t="s">
        <v>155</v>
      </c>
      <c r="W213" t="s">
        <v>155</v>
      </c>
      <c r="X213" t="s">
        <v>102</v>
      </c>
      <c r="Y213" t="s">
        <v>155</v>
      </c>
      <c r="AC213" t="s">
        <v>157</v>
      </c>
      <c r="AD213" t="s">
        <v>155</v>
      </c>
      <c r="AE213" t="s">
        <v>102</v>
      </c>
      <c r="AF213" t="s">
        <v>155</v>
      </c>
      <c r="AG213" t="s">
        <v>155</v>
      </c>
      <c r="AH213" t="s">
        <v>155</v>
      </c>
    </row>
    <row r="214" spans="19:34" ht="16.2" customHeight="1" x14ac:dyDescent="0.3">
      <c r="T214" t="s">
        <v>158</v>
      </c>
      <c r="U214" t="s">
        <v>155</v>
      </c>
      <c r="V214" t="s">
        <v>155</v>
      </c>
      <c r="W214" t="s">
        <v>155</v>
      </c>
      <c r="X214" t="s">
        <v>155</v>
      </c>
      <c r="Y214" t="s">
        <v>155</v>
      </c>
      <c r="AC214" t="s">
        <v>158</v>
      </c>
      <c r="AD214" t="s">
        <v>155</v>
      </c>
      <c r="AE214" t="s">
        <v>155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159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159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160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160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169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169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170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170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171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171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172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172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2" spans="19:34" ht="16.2" customHeight="1" x14ac:dyDescent="0.3">
      <c r="S222" s="15" t="s">
        <v>116</v>
      </c>
      <c r="T222" t="s">
        <v>194</v>
      </c>
      <c r="AB222" s="15" t="s">
        <v>116</v>
      </c>
      <c r="AC222" t="s">
        <v>194</v>
      </c>
    </row>
    <row r="223" spans="19:34" ht="16.2" customHeight="1" x14ac:dyDescent="0.3">
      <c r="U223" t="s">
        <v>164</v>
      </c>
      <c r="V223" t="s">
        <v>165</v>
      </c>
      <c r="W223" t="s">
        <v>166</v>
      </c>
      <c r="X223" t="s">
        <v>167</v>
      </c>
      <c r="Y223" t="s">
        <v>168</v>
      </c>
      <c r="AD223" t="s">
        <v>164</v>
      </c>
      <c r="AE223" t="s">
        <v>165</v>
      </c>
      <c r="AF223" t="s">
        <v>166</v>
      </c>
      <c r="AG223" t="s">
        <v>167</v>
      </c>
      <c r="AH223" t="s">
        <v>168</v>
      </c>
    </row>
    <row r="224" spans="19:34" ht="16.2" customHeight="1" x14ac:dyDescent="0.3">
      <c r="T224" t="s">
        <v>154</v>
      </c>
      <c r="U224" t="s">
        <v>155</v>
      </c>
      <c r="V224" t="s">
        <v>155</v>
      </c>
      <c r="W224" t="s">
        <v>155</v>
      </c>
      <c r="X224" t="s">
        <v>155</v>
      </c>
      <c r="Y224" t="s">
        <v>155</v>
      </c>
      <c r="AC224" t="s">
        <v>154</v>
      </c>
      <c r="AD224" t="s">
        <v>155</v>
      </c>
      <c r="AE224" t="s">
        <v>155</v>
      </c>
      <c r="AF224" t="s">
        <v>155</v>
      </c>
      <c r="AG224" t="s">
        <v>155</v>
      </c>
      <c r="AH224" t="s">
        <v>155</v>
      </c>
    </row>
    <row r="225" spans="19:34" ht="16.2" customHeight="1" x14ac:dyDescent="0.3">
      <c r="T225" t="s">
        <v>156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156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157</v>
      </c>
      <c r="U226" t="s">
        <v>102</v>
      </c>
      <c r="V226" t="s">
        <v>155</v>
      </c>
      <c r="W226" t="s">
        <v>102</v>
      </c>
      <c r="X226" t="s">
        <v>155</v>
      </c>
      <c r="Y226" t="s">
        <v>155</v>
      </c>
      <c r="AC226" t="s">
        <v>157</v>
      </c>
      <c r="AD226" t="s">
        <v>102</v>
      </c>
      <c r="AE226" t="s">
        <v>155</v>
      </c>
      <c r="AF226" t="s">
        <v>102</v>
      </c>
      <c r="AG226" t="s">
        <v>155</v>
      </c>
      <c r="AH226" t="s">
        <v>155</v>
      </c>
    </row>
    <row r="227" spans="19:34" ht="16.2" customHeight="1" x14ac:dyDescent="0.3">
      <c r="T227" t="s">
        <v>158</v>
      </c>
      <c r="U227" t="s">
        <v>102</v>
      </c>
      <c r="V227" t="s">
        <v>155</v>
      </c>
      <c r="W227" t="s">
        <v>102</v>
      </c>
      <c r="X227" t="s">
        <v>155</v>
      </c>
      <c r="Y227" t="s">
        <v>155</v>
      </c>
      <c r="AC227" t="s">
        <v>158</v>
      </c>
      <c r="AD227" t="s">
        <v>102</v>
      </c>
      <c r="AE227" t="s">
        <v>155</v>
      </c>
      <c r="AF227" t="s">
        <v>102</v>
      </c>
      <c r="AG227" t="s">
        <v>155</v>
      </c>
      <c r="AH227" t="s">
        <v>155</v>
      </c>
    </row>
    <row r="228" spans="19:34" ht="16.2" customHeight="1" x14ac:dyDescent="0.3">
      <c r="T228" t="s">
        <v>159</v>
      </c>
      <c r="U228" t="s">
        <v>155</v>
      </c>
      <c r="V228" t="s">
        <v>155</v>
      </c>
      <c r="W228" t="s">
        <v>102</v>
      </c>
      <c r="X228" t="s">
        <v>155</v>
      </c>
      <c r="Y228" t="s">
        <v>155</v>
      </c>
      <c r="AC228" t="s">
        <v>159</v>
      </c>
      <c r="AD228" t="s">
        <v>102</v>
      </c>
      <c r="AE228" t="s">
        <v>155</v>
      </c>
      <c r="AF228" t="s">
        <v>155</v>
      </c>
      <c r="AG228" t="s">
        <v>155</v>
      </c>
      <c r="AH228" t="s">
        <v>155</v>
      </c>
    </row>
    <row r="229" spans="19:34" ht="16.2" customHeight="1" x14ac:dyDescent="0.3">
      <c r="T229" t="s">
        <v>160</v>
      </c>
      <c r="U229" t="s">
        <v>155</v>
      </c>
      <c r="V229" t="s">
        <v>155</v>
      </c>
      <c r="W229" t="s">
        <v>155</v>
      </c>
      <c r="X229" t="s">
        <v>155</v>
      </c>
      <c r="Y229" t="s">
        <v>155</v>
      </c>
      <c r="AC229" t="s">
        <v>160</v>
      </c>
      <c r="AD229" t="s">
        <v>155</v>
      </c>
      <c r="AE229" t="s">
        <v>155</v>
      </c>
      <c r="AF229" t="s">
        <v>155</v>
      </c>
      <c r="AG229" t="s">
        <v>155</v>
      </c>
      <c r="AH229" t="s">
        <v>155</v>
      </c>
    </row>
    <row r="230" spans="19:34" ht="16.2" customHeight="1" x14ac:dyDescent="0.3">
      <c r="T230" t="s">
        <v>169</v>
      </c>
      <c r="U230" t="s">
        <v>155</v>
      </c>
      <c r="V230" t="s">
        <v>155</v>
      </c>
      <c r="W230" t="s">
        <v>155</v>
      </c>
      <c r="X230" t="s">
        <v>155</v>
      </c>
      <c r="Y230" t="s">
        <v>155</v>
      </c>
      <c r="AC230" t="s">
        <v>169</v>
      </c>
      <c r="AD230" t="s">
        <v>155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170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170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171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171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172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172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5" spans="19:34" ht="16.2" customHeight="1" x14ac:dyDescent="0.3">
      <c r="S235" s="15" t="s">
        <v>117</v>
      </c>
      <c r="T235" t="s">
        <v>195</v>
      </c>
      <c r="AB235" s="15" t="s">
        <v>117</v>
      </c>
      <c r="AC235" t="s">
        <v>195</v>
      </c>
    </row>
    <row r="236" spans="19:34" ht="16.2" customHeight="1" x14ac:dyDescent="0.3">
      <c r="U236" t="s">
        <v>164</v>
      </c>
      <c r="V236" t="s">
        <v>165</v>
      </c>
      <c r="W236" t="s">
        <v>166</v>
      </c>
      <c r="X236" t="s">
        <v>167</v>
      </c>
      <c r="Y236" t="s">
        <v>168</v>
      </c>
      <c r="AD236" t="s">
        <v>164</v>
      </c>
      <c r="AE236" t="s">
        <v>165</v>
      </c>
      <c r="AF236" t="s">
        <v>166</v>
      </c>
      <c r="AG236" t="s">
        <v>167</v>
      </c>
      <c r="AH236" t="s">
        <v>168</v>
      </c>
    </row>
    <row r="237" spans="19:34" ht="16.2" customHeight="1" x14ac:dyDescent="0.3">
      <c r="T237" t="s">
        <v>154</v>
      </c>
      <c r="U237" t="s">
        <v>155</v>
      </c>
      <c r="V237" t="s">
        <v>155</v>
      </c>
      <c r="W237" t="s">
        <v>155</v>
      </c>
      <c r="X237" t="s">
        <v>155</v>
      </c>
      <c r="Y237" t="s">
        <v>155</v>
      </c>
      <c r="AC237" t="s">
        <v>154</v>
      </c>
      <c r="AD237" t="s">
        <v>155</v>
      </c>
      <c r="AE237" t="s">
        <v>155</v>
      </c>
      <c r="AF237" t="s">
        <v>155</v>
      </c>
      <c r="AG237" t="s">
        <v>155</v>
      </c>
      <c r="AH237" t="s">
        <v>155</v>
      </c>
    </row>
    <row r="238" spans="19:34" ht="16.2" customHeight="1" x14ac:dyDescent="0.3">
      <c r="T238" t="s">
        <v>156</v>
      </c>
      <c r="U238" t="s">
        <v>155</v>
      </c>
      <c r="V238" t="s">
        <v>155</v>
      </c>
      <c r="W238" t="s">
        <v>155</v>
      </c>
      <c r="X238" t="s">
        <v>155</v>
      </c>
      <c r="Y238" t="s">
        <v>155</v>
      </c>
      <c r="AC238" t="s">
        <v>156</v>
      </c>
      <c r="AD238" t="s">
        <v>155</v>
      </c>
      <c r="AE238" t="s">
        <v>155</v>
      </c>
      <c r="AF238" t="s">
        <v>155</v>
      </c>
      <c r="AG238" t="s">
        <v>155</v>
      </c>
      <c r="AH238" t="s">
        <v>155</v>
      </c>
    </row>
    <row r="239" spans="19:34" ht="16.2" customHeight="1" x14ac:dyDescent="0.3">
      <c r="T239" t="s">
        <v>157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157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158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158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159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159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160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160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169</v>
      </c>
      <c r="U243" t="s">
        <v>155</v>
      </c>
      <c r="V243" t="s">
        <v>155</v>
      </c>
      <c r="W243" t="s">
        <v>155</v>
      </c>
      <c r="X243" t="s">
        <v>155</v>
      </c>
      <c r="Y243" t="s">
        <v>9</v>
      </c>
      <c r="AC243" t="s">
        <v>169</v>
      </c>
      <c r="AD243" t="s">
        <v>155</v>
      </c>
      <c r="AE243" t="s">
        <v>155</v>
      </c>
      <c r="AF243" t="s">
        <v>155</v>
      </c>
      <c r="AG243" t="s">
        <v>155</v>
      </c>
      <c r="AH243" t="s">
        <v>9</v>
      </c>
    </row>
    <row r="244" spans="19:34" ht="16.2" customHeight="1" x14ac:dyDescent="0.3">
      <c r="T244" t="s">
        <v>170</v>
      </c>
      <c r="U244" t="s">
        <v>155</v>
      </c>
      <c r="V244" t="s">
        <v>155</v>
      </c>
      <c r="W244" t="s">
        <v>155</v>
      </c>
      <c r="X244" t="s">
        <v>155</v>
      </c>
      <c r="Y244" t="s">
        <v>9</v>
      </c>
      <c r="AC244" t="s">
        <v>170</v>
      </c>
      <c r="AD244" t="s">
        <v>155</v>
      </c>
      <c r="AE244" t="s">
        <v>155</v>
      </c>
      <c r="AF244" t="s">
        <v>155</v>
      </c>
      <c r="AG244" t="s">
        <v>155</v>
      </c>
      <c r="AH244" t="s">
        <v>9</v>
      </c>
    </row>
    <row r="245" spans="19:34" ht="16.2" customHeight="1" x14ac:dyDescent="0.3">
      <c r="T245" t="s">
        <v>171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171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172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172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8" spans="19:34" ht="16.2" customHeight="1" x14ac:dyDescent="0.3">
      <c r="S248" s="15" t="s">
        <v>118</v>
      </c>
      <c r="T248" t="s">
        <v>196</v>
      </c>
      <c r="AB248" s="15" t="s">
        <v>118</v>
      </c>
      <c r="AC248" t="s">
        <v>196</v>
      </c>
    </row>
    <row r="249" spans="19:34" ht="16.2" customHeight="1" x14ac:dyDescent="0.3">
      <c r="U249" t="s">
        <v>164</v>
      </c>
      <c r="V249" t="s">
        <v>165</v>
      </c>
      <c r="W249" t="s">
        <v>166</v>
      </c>
      <c r="X249" t="s">
        <v>167</v>
      </c>
      <c r="Y249" t="s">
        <v>168</v>
      </c>
      <c r="AD249" t="s">
        <v>164</v>
      </c>
      <c r="AE249" t="s">
        <v>165</v>
      </c>
      <c r="AF249" t="s">
        <v>166</v>
      </c>
      <c r="AG249" t="s">
        <v>167</v>
      </c>
      <c r="AH249" t="s">
        <v>168</v>
      </c>
    </row>
    <row r="250" spans="19:34" ht="16.2" customHeight="1" x14ac:dyDescent="0.3">
      <c r="T250" t="s">
        <v>154</v>
      </c>
      <c r="U250" t="s">
        <v>155</v>
      </c>
      <c r="V250" t="s">
        <v>155</v>
      </c>
      <c r="W250" t="s">
        <v>155</v>
      </c>
      <c r="X250" t="s">
        <v>155</v>
      </c>
      <c r="Y250" t="s">
        <v>155</v>
      </c>
      <c r="AC250" t="s">
        <v>154</v>
      </c>
      <c r="AD250" t="s">
        <v>155</v>
      </c>
      <c r="AE250" t="s">
        <v>155</v>
      </c>
      <c r="AF250" t="s">
        <v>155</v>
      </c>
      <c r="AG250" t="s">
        <v>155</v>
      </c>
      <c r="AH250" t="s">
        <v>155</v>
      </c>
    </row>
    <row r="251" spans="19:34" ht="16.2" customHeight="1" x14ac:dyDescent="0.3">
      <c r="T251" t="s">
        <v>156</v>
      </c>
      <c r="U251" t="s">
        <v>155</v>
      </c>
      <c r="V251" t="s">
        <v>155</v>
      </c>
      <c r="W251" t="s">
        <v>155</v>
      </c>
      <c r="X251" t="s">
        <v>155</v>
      </c>
      <c r="Y251" t="s">
        <v>155</v>
      </c>
      <c r="AC251" t="s">
        <v>156</v>
      </c>
      <c r="AD251" t="s">
        <v>155</v>
      </c>
      <c r="AE251" t="s">
        <v>155</v>
      </c>
      <c r="AF251" t="s">
        <v>155</v>
      </c>
      <c r="AG251" t="s">
        <v>155</v>
      </c>
      <c r="AH251" t="s">
        <v>155</v>
      </c>
    </row>
    <row r="252" spans="19:34" ht="16.2" customHeight="1" x14ac:dyDescent="0.3">
      <c r="T252" t="s">
        <v>157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157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158</v>
      </c>
      <c r="U253" t="s">
        <v>75</v>
      </c>
      <c r="V253" t="s">
        <v>155</v>
      </c>
      <c r="W253" t="s">
        <v>75</v>
      </c>
      <c r="X253" t="s">
        <v>155</v>
      </c>
      <c r="Y253" t="s">
        <v>155</v>
      </c>
      <c r="AC253" t="s">
        <v>158</v>
      </c>
      <c r="AD253" t="s">
        <v>75</v>
      </c>
      <c r="AE253" t="s">
        <v>155</v>
      </c>
      <c r="AF253" t="s">
        <v>75</v>
      </c>
      <c r="AG253" t="s">
        <v>155</v>
      </c>
      <c r="AH253" t="s">
        <v>155</v>
      </c>
    </row>
    <row r="254" spans="19:34" ht="16.2" customHeight="1" x14ac:dyDescent="0.3">
      <c r="T254" t="s">
        <v>159</v>
      </c>
      <c r="U254" t="s">
        <v>75</v>
      </c>
      <c r="V254" t="s">
        <v>155</v>
      </c>
      <c r="W254" t="s">
        <v>75</v>
      </c>
      <c r="X254" t="s">
        <v>155</v>
      </c>
      <c r="Y254" t="s">
        <v>155</v>
      </c>
      <c r="AC254" t="s">
        <v>159</v>
      </c>
      <c r="AD254" t="s">
        <v>75</v>
      </c>
      <c r="AE254" t="s">
        <v>155</v>
      </c>
      <c r="AF254" t="s">
        <v>75</v>
      </c>
      <c r="AG254" t="s">
        <v>155</v>
      </c>
      <c r="AH254" t="s">
        <v>155</v>
      </c>
    </row>
    <row r="255" spans="19:34" ht="16.2" customHeight="1" x14ac:dyDescent="0.3">
      <c r="T255" t="s">
        <v>160</v>
      </c>
      <c r="U255" t="s">
        <v>155</v>
      </c>
      <c r="V255" t="s">
        <v>155</v>
      </c>
      <c r="W255" t="s">
        <v>155</v>
      </c>
      <c r="X255" t="s">
        <v>155</v>
      </c>
      <c r="Y255" t="s">
        <v>155</v>
      </c>
      <c r="AC255" t="s">
        <v>160</v>
      </c>
      <c r="AD255" t="s">
        <v>155</v>
      </c>
      <c r="AE255" t="s">
        <v>155</v>
      </c>
      <c r="AF255" t="s">
        <v>155</v>
      </c>
      <c r="AG255" t="s">
        <v>155</v>
      </c>
      <c r="AH255" t="s">
        <v>155</v>
      </c>
    </row>
    <row r="256" spans="19:34" ht="16.2" customHeight="1" x14ac:dyDescent="0.3">
      <c r="T256" t="s">
        <v>169</v>
      </c>
      <c r="U256" t="s">
        <v>7</v>
      </c>
      <c r="V256" t="s">
        <v>155</v>
      </c>
      <c r="W256" t="s">
        <v>6</v>
      </c>
      <c r="X256" t="s">
        <v>155</v>
      </c>
      <c r="Y256" t="s">
        <v>155</v>
      </c>
      <c r="AC256" t="s">
        <v>169</v>
      </c>
      <c r="AD256" t="s">
        <v>6</v>
      </c>
      <c r="AE256" t="s">
        <v>155</v>
      </c>
      <c r="AF256" t="s">
        <v>6</v>
      </c>
      <c r="AG256" t="s">
        <v>155</v>
      </c>
      <c r="AH256" t="s">
        <v>155</v>
      </c>
    </row>
    <row r="257" spans="19:34" ht="16.2" customHeight="1" x14ac:dyDescent="0.3">
      <c r="T257" t="s">
        <v>170</v>
      </c>
      <c r="U257" t="s">
        <v>7</v>
      </c>
      <c r="V257" t="s">
        <v>155</v>
      </c>
      <c r="W257" t="s">
        <v>6</v>
      </c>
      <c r="X257" t="s">
        <v>155</v>
      </c>
      <c r="Y257" t="s">
        <v>155</v>
      </c>
      <c r="AC257" t="s">
        <v>170</v>
      </c>
      <c r="AD257" t="s">
        <v>6</v>
      </c>
      <c r="AE257" t="s">
        <v>155</v>
      </c>
      <c r="AF257" t="s">
        <v>6</v>
      </c>
      <c r="AG257" t="s">
        <v>155</v>
      </c>
      <c r="AH257" t="s">
        <v>155</v>
      </c>
    </row>
    <row r="258" spans="19:34" ht="16.2" customHeight="1" x14ac:dyDescent="0.3">
      <c r="T258" t="s">
        <v>171</v>
      </c>
      <c r="U258" t="s">
        <v>6</v>
      </c>
      <c r="V258" t="s">
        <v>155</v>
      </c>
      <c r="W258" t="s">
        <v>6</v>
      </c>
      <c r="X258" t="s">
        <v>155</v>
      </c>
      <c r="Y258" t="s">
        <v>155</v>
      </c>
      <c r="AC258" t="s">
        <v>171</v>
      </c>
      <c r="AD258" t="s">
        <v>6</v>
      </c>
      <c r="AE258" t="s">
        <v>155</v>
      </c>
      <c r="AF258" t="s">
        <v>7</v>
      </c>
      <c r="AG258" t="s">
        <v>155</v>
      </c>
      <c r="AH258" t="s">
        <v>155</v>
      </c>
    </row>
    <row r="259" spans="19:34" ht="16.2" customHeight="1" x14ac:dyDescent="0.3">
      <c r="T259" t="s">
        <v>172</v>
      </c>
      <c r="U259" t="s">
        <v>6</v>
      </c>
      <c r="V259" t="s">
        <v>155</v>
      </c>
      <c r="W259" t="s">
        <v>155</v>
      </c>
      <c r="X259" t="s">
        <v>155</v>
      </c>
      <c r="Y259" t="s">
        <v>155</v>
      </c>
      <c r="AC259" t="s">
        <v>172</v>
      </c>
      <c r="AD259" t="s">
        <v>155</v>
      </c>
      <c r="AE259" t="s">
        <v>155</v>
      </c>
      <c r="AF259" t="s">
        <v>7</v>
      </c>
      <c r="AG259" t="s">
        <v>155</v>
      </c>
      <c r="AH259" t="s">
        <v>155</v>
      </c>
    </row>
    <row r="261" spans="19:34" ht="16.2" customHeight="1" x14ac:dyDescent="0.3">
      <c r="S261" s="15" t="s">
        <v>119</v>
      </c>
      <c r="T261" t="s">
        <v>197</v>
      </c>
      <c r="AB261" s="15" t="s">
        <v>119</v>
      </c>
      <c r="AC261" t="s">
        <v>197</v>
      </c>
    </row>
    <row r="262" spans="19:34" ht="16.2" customHeight="1" x14ac:dyDescent="0.3">
      <c r="U262" t="s">
        <v>164</v>
      </c>
      <c r="V262" t="s">
        <v>165</v>
      </c>
      <c r="W262" t="s">
        <v>166</v>
      </c>
      <c r="X262" t="s">
        <v>167</v>
      </c>
      <c r="Y262" t="s">
        <v>168</v>
      </c>
      <c r="AD262" t="s">
        <v>164</v>
      </c>
      <c r="AE262" t="s">
        <v>165</v>
      </c>
      <c r="AF262" t="s">
        <v>166</v>
      </c>
      <c r="AG262" t="s">
        <v>167</v>
      </c>
      <c r="AH262" t="s">
        <v>168</v>
      </c>
    </row>
    <row r="263" spans="19:34" ht="16.2" customHeight="1" x14ac:dyDescent="0.3">
      <c r="T263" t="s">
        <v>154</v>
      </c>
      <c r="U263" t="s">
        <v>155</v>
      </c>
      <c r="V263" t="s">
        <v>155</v>
      </c>
      <c r="W263" t="s">
        <v>155</v>
      </c>
      <c r="X263" t="s">
        <v>155</v>
      </c>
      <c r="Y263" t="s">
        <v>155</v>
      </c>
      <c r="AC263" t="s">
        <v>154</v>
      </c>
      <c r="AD263" t="s">
        <v>155</v>
      </c>
      <c r="AE263" t="s">
        <v>155</v>
      </c>
      <c r="AF263" t="s">
        <v>155</v>
      </c>
      <c r="AG263" t="s">
        <v>155</v>
      </c>
      <c r="AH263" t="s">
        <v>155</v>
      </c>
    </row>
    <row r="264" spans="19:34" ht="16.2" customHeight="1" x14ac:dyDescent="0.3">
      <c r="T264" t="s">
        <v>156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156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157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157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158</v>
      </c>
      <c r="U266" t="s">
        <v>155</v>
      </c>
      <c r="V266" t="s">
        <v>155</v>
      </c>
      <c r="W266" t="s">
        <v>155</v>
      </c>
      <c r="X266" t="s">
        <v>76</v>
      </c>
      <c r="Y266" t="s">
        <v>155</v>
      </c>
      <c r="AC266" t="s">
        <v>158</v>
      </c>
      <c r="AD266" t="s">
        <v>155</v>
      </c>
      <c r="AE266" t="s">
        <v>155</v>
      </c>
      <c r="AF266" t="s">
        <v>155</v>
      </c>
      <c r="AG266" t="s">
        <v>76</v>
      </c>
      <c r="AH266" t="s">
        <v>155</v>
      </c>
    </row>
    <row r="267" spans="19:34" ht="16.2" customHeight="1" x14ac:dyDescent="0.3">
      <c r="T267" t="s">
        <v>159</v>
      </c>
      <c r="U267" t="s">
        <v>155</v>
      </c>
      <c r="V267" t="s">
        <v>155</v>
      </c>
      <c r="W267" t="s">
        <v>155</v>
      </c>
      <c r="X267" t="s">
        <v>76</v>
      </c>
      <c r="Y267" t="s">
        <v>76</v>
      </c>
      <c r="AC267" t="s">
        <v>159</v>
      </c>
      <c r="AD267" t="s">
        <v>155</v>
      </c>
      <c r="AE267" t="s">
        <v>155</v>
      </c>
      <c r="AF267" t="s">
        <v>76</v>
      </c>
      <c r="AG267" t="s">
        <v>76</v>
      </c>
      <c r="AH267" t="s">
        <v>155</v>
      </c>
    </row>
    <row r="268" spans="19:34" ht="16.2" customHeight="1" x14ac:dyDescent="0.3">
      <c r="T268" t="s">
        <v>160</v>
      </c>
      <c r="U268" t="s">
        <v>155</v>
      </c>
      <c r="V268" t="s">
        <v>155</v>
      </c>
      <c r="W268" t="s">
        <v>155</v>
      </c>
      <c r="X268" t="s">
        <v>76</v>
      </c>
      <c r="Y268" t="s">
        <v>76</v>
      </c>
      <c r="AC268" t="s">
        <v>160</v>
      </c>
      <c r="AD268" t="s">
        <v>155</v>
      </c>
      <c r="AE268" t="s">
        <v>155</v>
      </c>
      <c r="AF268" t="s">
        <v>76</v>
      </c>
      <c r="AG268" t="s">
        <v>76</v>
      </c>
      <c r="AH268" t="s">
        <v>155</v>
      </c>
    </row>
    <row r="269" spans="19:34" ht="16.2" customHeight="1" x14ac:dyDescent="0.3">
      <c r="T269" t="s">
        <v>169</v>
      </c>
      <c r="U269" t="s">
        <v>155</v>
      </c>
      <c r="V269" t="s">
        <v>155</v>
      </c>
      <c r="W269" t="s">
        <v>155</v>
      </c>
      <c r="X269" t="s">
        <v>155</v>
      </c>
      <c r="Y269" t="s">
        <v>155</v>
      </c>
      <c r="AC269" t="s">
        <v>169</v>
      </c>
      <c r="AD269" t="s">
        <v>155</v>
      </c>
      <c r="AE269" t="s">
        <v>155</v>
      </c>
      <c r="AF269" t="s">
        <v>155</v>
      </c>
      <c r="AG269" t="s">
        <v>155</v>
      </c>
      <c r="AH269" t="s">
        <v>155</v>
      </c>
    </row>
    <row r="270" spans="19:34" ht="16.2" customHeight="1" x14ac:dyDescent="0.3">
      <c r="T270" t="s">
        <v>170</v>
      </c>
      <c r="U270" t="s">
        <v>155</v>
      </c>
      <c r="V270" t="s">
        <v>155</v>
      </c>
      <c r="W270" t="s">
        <v>155</v>
      </c>
      <c r="X270" t="s">
        <v>155</v>
      </c>
      <c r="Y270" t="s">
        <v>155</v>
      </c>
      <c r="AC270" t="s">
        <v>170</v>
      </c>
      <c r="AD270" t="s">
        <v>155</v>
      </c>
      <c r="AE270" t="s">
        <v>155</v>
      </c>
      <c r="AF270" t="s">
        <v>155</v>
      </c>
      <c r="AG270" t="s">
        <v>155</v>
      </c>
      <c r="AH270" t="s">
        <v>155</v>
      </c>
    </row>
    <row r="271" spans="19:34" ht="16.2" customHeight="1" x14ac:dyDescent="0.3">
      <c r="T271" t="s">
        <v>171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171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172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172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4" spans="19:34" ht="16.2" customHeight="1" x14ac:dyDescent="0.3">
      <c r="S274" s="15" t="s">
        <v>120</v>
      </c>
      <c r="T274" t="s">
        <v>198</v>
      </c>
      <c r="AB274" s="15" t="s">
        <v>120</v>
      </c>
      <c r="AC274" t="s">
        <v>198</v>
      </c>
    </row>
    <row r="275" spans="19:34" ht="16.2" customHeight="1" x14ac:dyDescent="0.3">
      <c r="U275" t="s">
        <v>164</v>
      </c>
      <c r="V275" t="s">
        <v>165</v>
      </c>
      <c r="W275" t="s">
        <v>166</v>
      </c>
      <c r="X275" t="s">
        <v>167</v>
      </c>
      <c r="Y275" t="s">
        <v>168</v>
      </c>
      <c r="AD275" t="s">
        <v>164</v>
      </c>
      <c r="AE275" t="s">
        <v>165</v>
      </c>
      <c r="AF275" t="s">
        <v>166</v>
      </c>
      <c r="AG275" t="s">
        <v>167</v>
      </c>
      <c r="AH275" t="s">
        <v>168</v>
      </c>
    </row>
    <row r="276" spans="19:34" ht="16.2" customHeight="1" x14ac:dyDescent="0.3">
      <c r="T276" t="s">
        <v>154</v>
      </c>
      <c r="U276" t="s">
        <v>155</v>
      </c>
      <c r="V276" t="s">
        <v>155</v>
      </c>
      <c r="W276" t="s">
        <v>155</v>
      </c>
      <c r="X276" t="s">
        <v>155</v>
      </c>
      <c r="Y276" t="s">
        <v>155</v>
      </c>
      <c r="AC276" t="s">
        <v>154</v>
      </c>
      <c r="AD276" t="s">
        <v>155</v>
      </c>
      <c r="AE276" t="s">
        <v>155</v>
      </c>
      <c r="AF276" t="s">
        <v>155</v>
      </c>
      <c r="AG276" t="s">
        <v>155</v>
      </c>
      <c r="AH276" t="s">
        <v>155</v>
      </c>
    </row>
    <row r="277" spans="19:34" ht="16.2" customHeight="1" x14ac:dyDescent="0.3">
      <c r="T277" t="s">
        <v>156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156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157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157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158</v>
      </c>
      <c r="U279" t="s">
        <v>155</v>
      </c>
      <c r="V279" t="s">
        <v>155</v>
      </c>
      <c r="W279" t="s">
        <v>155</v>
      </c>
      <c r="X279" t="s">
        <v>78</v>
      </c>
      <c r="Y279" t="s">
        <v>155</v>
      </c>
      <c r="AC279" t="s">
        <v>158</v>
      </c>
      <c r="AD279" t="s">
        <v>155</v>
      </c>
      <c r="AE279" t="s">
        <v>155</v>
      </c>
      <c r="AF279" t="s">
        <v>155</v>
      </c>
      <c r="AG279" t="s">
        <v>78</v>
      </c>
      <c r="AH279" t="s">
        <v>155</v>
      </c>
    </row>
    <row r="280" spans="19:34" ht="16.2" customHeight="1" x14ac:dyDescent="0.3">
      <c r="T280" t="s">
        <v>159</v>
      </c>
      <c r="U280" t="s">
        <v>155</v>
      </c>
      <c r="V280" t="s">
        <v>78</v>
      </c>
      <c r="W280" t="s">
        <v>155</v>
      </c>
      <c r="X280" t="s">
        <v>78</v>
      </c>
      <c r="Y280" t="s">
        <v>155</v>
      </c>
      <c r="AC280" t="s">
        <v>159</v>
      </c>
      <c r="AD280" t="s">
        <v>155</v>
      </c>
      <c r="AE280" t="s">
        <v>78</v>
      </c>
      <c r="AF280" t="s">
        <v>155</v>
      </c>
      <c r="AG280" t="s">
        <v>78</v>
      </c>
      <c r="AH280" t="s">
        <v>155</v>
      </c>
    </row>
    <row r="281" spans="19:34" ht="16.2" customHeight="1" x14ac:dyDescent="0.3">
      <c r="T281" t="s">
        <v>160</v>
      </c>
      <c r="U281" t="s">
        <v>155</v>
      </c>
      <c r="V281" t="s">
        <v>78</v>
      </c>
      <c r="W281" t="s">
        <v>155</v>
      </c>
      <c r="X281" t="s">
        <v>155</v>
      </c>
      <c r="Y281" t="s">
        <v>155</v>
      </c>
      <c r="AC281" t="s">
        <v>160</v>
      </c>
      <c r="AD281" t="s">
        <v>155</v>
      </c>
      <c r="AE281" t="s">
        <v>78</v>
      </c>
      <c r="AF281" t="s">
        <v>155</v>
      </c>
      <c r="AG281" t="s">
        <v>155</v>
      </c>
      <c r="AH281" t="s">
        <v>155</v>
      </c>
    </row>
    <row r="282" spans="19:34" ht="16.2" customHeight="1" x14ac:dyDescent="0.3">
      <c r="T282" t="s">
        <v>169</v>
      </c>
      <c r="U282" t="s">
        <v>155</v>
      </c>
      <c r="V282" t="s">
        <v>155</v>
      </c>
      <c r="W282" t="s">
        <v>155</v>
      </c>
      <c r="X282" t="s">
        <v>155</v>
      </c>
      <c r="Y282" t="s">
        <v>155</v>
      </c>
      <c r="AC282" t="s">
        <v>169</v>
      </c>
      <c r="AD282" t="s">
        <v>155</v>
      </c>
      <c r="AE282" t="s">
        <v>155</v>
      </c>
      <c r="AF282" t="s">
        <v>155</v>
      </c>
      <c r="AG282" t="s">
        <v>155</v>
      </c>
      <c r="AH282" t="s">
        <v>155</v>
      </c>
    </row>
    <row r="283" spans="19:34" ht="16.2" customHeight="1" x14ac:dyDescent="0.3">
      <c r="T283" t="s">
        <v>170</v>
      </c>
      <c r="U283" t="s">
        <v>155</v>
      </c>
      <c r="V283" t="s">
        <v>155</v>
      </c>
      <c r="W283" t="s">
        <v>155</v>
      </c>
      <c r="X283" t="s">
        <v>155</v>
      </c>
      <c r="Y283" t="s">
        <v>155</v>
      </c>
      <c r="AC283" t="s">
        <v>170</v>
      </c>
      <c r="AD283" t="s">
        <v>155</v>
      </c>
      <c r="AE283" t="s">
        <v>155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171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171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172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172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7" spans="19:34" ht="16.2" customHeight="1" x14ac:dyDescent="0.3">
      <c r="S287" s="15" t="s">
        <v>121</v>
      </c>
      <c r="T287" t="s">
        <v>199</v>
      </c>
      <c r="AB287" s="15" t="s">
        <v>121</v>
      </c>
      <c r="AC287" t="s">
        <v>199</v>
      </c>
    </row>
    <row r="288" spans="19:34" ht="16.2" customHeight="1" x14ac:dyDescent="0.3">
      <c r="U288" t="s">
        <v>164</v>
      </c>
      <c r="V288" t="s">
        <v>165</v>
      </c>
      <c r="W288" t="s">
        <v>166</v>
      </c>
      <c r="X288" t="s">
        <v>167</v>
      </c>
      <c r="Y288" t="s">
        <v>168</v>
      </c>
      <c r="AD288" t="s">
        <v>164</v>
      </c>
      <c r="AE288" t="s">
        <v>165</v>
      </c>
      <c r="AF288" t="s">
        <v>166</v>
      </c>
      <c r="AG288" t="s">
        <v>167</v>
      </c>
      <c r="AH288" t="s">
        <v>168</v>
      </c>
    </row>
    <row r="289" spans="19:34" ht="16.2" customHeight="1" x14ac:dyDescent="0.3">
      <c r="T289" t="s">
        <v>154</v>
      </c>
      <c r="U289" t="s">
        <v>78</v>
      </c>
      <c r="V289" t="s">
        <v>155</v>
      </c>
      <c r="W289" t="s">
        <v>155</v>
      </c>
      <c r="X289" t="s">
        <v>155</v>
      </c>
      <c r="Y289" t="s">
        <v>78</v>
      </c>
      <c r="AC289" t="s">
        <v>154</v>
      </c>
      <c r="AD289" t="s">
        <v>78</v>
      </c>
      <c r="AE289" t="s">
        <v>155</v>
      </c>
      <c r="AF289" t="s">
        <v>155</v>
      </c>
      <c r="AG289" t="s">
        <v>155</v>
      </c>
      <c r="AH289" t="s">
        <v>78</v>
      </c>
    </row>
    <row r="290" spans="19:34" ht="16.2" customHeight="1" x14ac:dyDescent="0.3">
      <c r="T290" t="s">
        <v>156</v>
      </c>
      <c r="U290" t="s">
        <v>78</v>
      </c>
      <c r="V290" t="s">
        <v>155</v>
      </c>
      <c r="W290" t="s">
        <v>155</v>
      </c>
      <c r="X290" t="s">
        <v>155</v>
      </c>
      <c r="Y290" t="s">
        <v>78</v>
      </c>
      <c r="AC290" t="s">
        <v>156</v>
      </c>
      <c r="AD290" t="s">
        <v>78</v>
      </c>
      <c r="AE290" t="s">
        <v>155</v>
      </c>
      <c r="AF290" t="s">
        <v>155</v>
      </c>
      <c r="AG290" t="s">
        <v>155</v>
      </c>
      <c r="AH290" t="s">
        <v>78</v>
      </c>
    </row>
    <row r="291" spans="19:34" ht="16.2" customHeight="1" x14ac:dyDescent="0.3">
      <c r="T291" t="s">
        <v>157</v>
      </c>
      <c r="U291" t="s">
        <v>155</v>
      </c>
      <c r="V291" t="s">
        <v>155</v>
      </c>
      <c r="W291" t="s">
        <v>155</v>
      </c>
      <c r="X291" t="s">
        <v>155</v>
      </c>
      <c r="Y291" t="s">
        <v>155</v>
      </c>
      <c r="AC291" t="s">
        <v>157</v>
      </c>
      <c r="AD291" t="s">
        <v>155</v>
      </c>
      <c r="AE291" t="s">
        <v>155</v>
      </c>
      <c r="AF291" t="s">
        <v>155</v>
      </c>
      <c r="AG291" t="s">
        <v>155</v>
      </c>
      <c r="AH291" t="s">
        <v>155</v>
      </c>
    </row>
    <row r="292" spans="19:34" ht="16.2" customHeight="1" x14ac:dyDescent="0.3">
      <c r="T292" t="s">
        <v>158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158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159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159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160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160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169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169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170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170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171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171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172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172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300" spans="19:34" ht="16.2" customHeight="1" x14ac:dyDescent="0.3">
      <c r="S300" s="15" t="s">
        <v>122</v>
      </c>
      <c r="T300" t="s">
        <v>200</v>
      </c>
      <c r="AB300" s="15" t="s">
        <v>122</v>
      </c>
      <c r="AC300" t="s">
        <v>200</v>
      </c>
    </row>
    <row r="301" spans="19:34" ht="16.2" customHeight="1" x14ac:dyDescent="0.3">
      <c r="U301" t="s">
        <v>164</v>
      </c>
      <c r="V301" t="s">
        <v>165</v>
      </c>
      <c r="W301" t="s">
        <v>166</v>
      </c>
      <c r="X301" t="s">
        <v>167</v>
      </c>
      <c r="Y301" t="s">
        <v>168</v>
      </c>
      <c r="AD301" t="s">
        <v>164</v>
      </c>
      <c r="AE301" t="s">
        <v>165</v>
      </c>
      <c r="AF301" t="s">
        <v>166</v>
      </c>
      <c r="AG301" t="s">
        <v>167</v>
      </c>
      <c r="AH301" t="s">
        <v>168</v>
      </c>
    </row>
    <row r="302" spans="19:34" ht="16.2" customHeight="1" x14ac:dyDescent="0.3">
      <c r="T302" t="s">
        <v>154</v>
      </c>
      <c r="U302" t="s">
        <v>155</v>
      </c>
      <c r="V302" t="s">
        <v>79</v>
      </c>
      <c r="W302" t="s">
        <v>79</v>
      </c>
      <c r="X302" t="s">
        <v>79</v>
      </c>
      <c r="Y302" t="s">
        <v>79</v>
      </c>
      <c r="AC302" t="s">
        <v>154</v>
      </c>
      <c r="AD302" t="s">
        <v>155</v>
      </c>
      <c r="AE302" t="s">
        <v>79</v>
      </c>
      <c r="AF302" t="s">
        <v>79</v>
      </c>
      <c r="AG302" t="s">
        <v>79</v>
      </c>
      <c r="AH302" t="s">
        <v>79</v>
      </c>
    </row>
    <row r="303" spans="19:34" ht="16.2" customHeight="1" x14ac:dyDescent="0.3">
      <c r="T303" t="s">
        <v>156</v>
      </c>
      <c r="U303" t="s">
        <v>155</v>
      </c>
      <c r="V303" t="s">
        <v>79</v>
      </c>
      <c r="W303" t="s">
        <v>79</v>
      </c>
      <c r="X303" t="s">
        <v>79</v>
      </c>
      <c r="Y303" t="s">
        <v>79</v>
      </c>
      <c r="AC303" t="s">
        <v>156</v>
      </c>
      <c r="AD303" t="s">
        <v>155</v>
      </c>
      <c r="AE303" t="s">
        <v>79</v>
      </c>
      <c r="AF303" t="s">
        <v>79</v>
      </c>
      <c r="AG303" t="s">
        <v>79</v>
      </c>
      <c r="AH303" t="s">
        <v>79</v>
      </c>
    </row>
    <row r="304" spans="19:34" ht="16.2" customHeight="1" x14ac:dyDescent="0.3">
      <c r="T304" t="s">
        <v>157</v>
      </c>
      <c r="U304" t="s">
        <v>155</v>
      </c>
      <c r="V304" t="s">
        <v>155</v>
      </c>
      <c r="W304" t="s">
        <v>79</v>
      </c>
      <c r="X304" t="s">
        <v>79</v>
      </c>
      <c r="Y304" t="s">
        <v>155</v>
      </c>
      <c r="AC304" t="s">
        <v>157</v>
      </c>
      <c r="AD304" t="s">
        <v>155</v>
      </c>
      <c r="AE304" t="s">
        <v>155</v>
      </c>
      <c r="AF304" t="s">
        <v>79</v>
      </c>
      <c r="AG304" t="s">
        <v>79</v>
      </c>
      <c r="AH304" t="s">
        <v>155</v>
      </c>
    </row>
    <row r="305" spans="19:34" ht="16.2" customHeight="1" x14ac:dyDescent="0.3">
      <c r="T305" t="s">
        <v>158</v>
      </c>
      <c r="U305" t="s">
        <v>155</v>
      </c>
      <c r="V305" t="s">
        <v>155</v>
      </c>
      <c r="W305" t="s">
        <v>155</v>
      </c>
      <c r="X305" t="s">
        <v>155</v>
      </c>
      <c r="Y305" t="s">
        <v>155</v>
      </c>
      <c r="AC305" t="s">
        <v>158</v>
      </c>
      <c r="AD305" t="s">
        <v>155</v>
      </c>
      <c r="AE305" t="s">
        <v>155</v>
      </c>
      <c r="AF305" t="s">
        <v>155</v>
      </c>
      <c r="AG305" t="s">
        <v>155</v>
      </c>
      <c r="AH305" t="s">
        <v>155</v>
      </c>
    </row>
    <row r="306" spans="19:34" ht="16.2" customHeight="1" x14ac:dyDescent="0.3">
      <c r="T306" t="s">
        <v>159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159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7" spans="19:34" ht="16.2" customHeight="1" x14ac:dyDescent="0.3">
      <c r="T307" t="s">
        <v>160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160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169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169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170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170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171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171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172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172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3" spans="19:34" ht="16.2" customHeight="1" x14ac:dyDescent="0.3">
      <c r="S313" s="15" t="s">
        <v>123</v>
      </c>
      <c r="T313" t="s">
        <v>201</v>
      </c>
      <c r="AB313" s="15" t="s">
        <v>123</v>
      </c>
      <c r="AC313" t="s">
        <v>201</v>
      </c>
    </row>
    <row r="314" spans="19:34" ht="16.2" customHeight="1" x14ac:dyDescent="0.3">
      <c r="U314" t="s">
        <v>164</v>
      </c>
      <c r="V314" t="s">
        <v>165</v>
      </c>
      <c r="W314" t="s">
        <v>166</v>
      </c>
      <c r="X314" t="s">
        <v>167</v>
      </c>
      <c r="Y314" t="s">
        <v>168</v>
      </c>
      <c r="AD314" t="s">
        <v>164</v>
      </c>
      <c r="AE314" t="s">
        <v>165</v>
      </c>
      <c r="AF314" t="s">
        <v>166</v>
      </c>
      <c r="AG314" t="s">
        <v>167</v>
      </c>
      <c r="AH314" t="s">
        <v>168</v>
      </c>
    </row>
    <row r="315" spans="19:34" ht="16.2" customHeight="1" x14ac:dyDescent="0.3">
      <c r="T315" t="s">
        <v>154</v>
      </c>
      <c r="U315" t="s">
        <v>155</v>
      </c>
      <c r="V315" t="s">
        <v>79</v>
      </c>
      <c r="W315" t="s">
        <v>79</v>
      </c>
      <c r="X315" t="s">
        <v>79</v>
      </c>
      <c r="Y315" t="s">
        <v>79</v>
      </c>
      <c r="AC315" t="s">
        <v>154</v>
      </c>
      <c r="AD315" t="s">
        <v>155</v>
      </c>
      <c r="AE315" t="s">
        <v>79</v>
      </c>
      <c r="AF315" t="s">
        <v>79</v>
      </c>
      <c r="AG315" t="s">
        <v>79</v>
      </c>
      <c r="AH315" t="s">
        <v>79</v>
      </c>
    </row>
    <row r="316" spans="19:34" ht="16.2" customHeight="1" x14ac:dyDescent="0.3">
      <c r="T316" t="s">
        <v>156</v>
      </c>
      <c r="U316" t="s">
        <v>155</v>
      </c>
      <c r="V316" t="s">
        <v>79</v>
      </c>
      <c r="W316" t="s">
        <v>79</v>
      </c>
      <c r="X316" t="s">
        <v>79</v>
      </c>
      <c r="Y316" t="s">
        <v>79</v>
      </c>
      <c r="AC316" t="s">
        <v>156</v>
      </c>
      <c r="AD316" t="s">
        <v>155</v>
      </c>
      <c r="AE316" t="s">
        <v>79</v>
      </c>
      <c r="AF316" t="s">
        <v>79</v>
      </c>
      <c r="AG316" t="s">
        <v>79</v>
      </c>
      <c r="AH316" t="s">
        <v>79</v>
      </c>
    </row>
    <row r="317" spans="19:34" ht="16.2" customHeight="1" x14ac:dyDescent="0.3">
      <c r="T317" t="s">
        <v>157</v>
      </c>
      <c r="U317" t="s">
        <v>155</v>
      </c>
      <c r="V317" t="s">
        <v>155</v>
      </c>
      <c r="W317" t="s">
        <v>79</v>
      </c>
      <c r="X317" t="s">
        <v>79</v>
      </c>
      <c r="Y317" t="s">
        <v>155</v>
      </c>
      <c r="AC317" t="s">
        <v>157</v>
      </c>
      <c r="AD317" t="s">
        <v>155</v>
      </c>
      <c r="AE317" t="s">
        <v>155</v>
      </c>
      <c r="AF317" t="s">
        <v>79</v>
      </c>
      <c r="AG317" t="s">
        <v>79</v>
      </c>
      <c r="AH317" t="s">
        <v>155</v>
      </c>
    </row>
    <row r="318" spans="19:34" ht="16.2" customHeight="1" x14ac:dyDescent="0.3">
      <c r="T318" t="s">
        <v>158</v>
      </c>
      <c r="U318" t="s">
        <v>155</v>
      </c>
      <c r="V318" t="s">
        <v>155</v>
      </c>
      <c r="W318" t="s">
        <v>155</v>
      </c>
      <c r="X318" t="s">
        <v>155</v>
      </c>
      <c r="Y318" t="s">
        <v>155</v>
      </c>
      <c r="AC318" t="s">
        <v>158</v>
      </c>
      <c r="AD318" t="s">
        <v>155</v>
      </c>
      <c r="AE318" t="s">
        <v>155</v>
      </c>
      <c r="AF318" t="s">
        <v>155</v>
      </c>
      <c r="AG318" t="s">
        <v>155</v>
      </c>
      <c r="AH318" t="s">
        <v>155</v>
      </c>
    </row>
    <row r="319" spans="19:34" ht="16.2" customHeight="1" x14ac:dyDescent="0.3">
      <c r="T319" t="s">
        <v>159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159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0" spans="19:34" ht="16.2" customHeight="1" x14ac:dyDescent="0.3">
      <c r="T320" t="s">
        <v>160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160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169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169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170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170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171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171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172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172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6" spans="19:34" ht="16.2" customHeight="1" x14ac:dyDescent="0.3">
      <c r="S326" s="15" t="s">
        <v>124</v>
      </c>
      <c r="T326" t="s">
        <v>202</v>
      </c>
      <c r="AB326" s="15" t="s">
        <v>124</v>
      </c>
      <c r="AC326" t="s">
        <v>202</v>
      </c>
    </row>
    <row r="327" spans="19:34" ht="16.2" customHeight="1" x14ac:dyDescent="0.3">
      <c r="U327" t="s">
        <v>164</v>
      </c>
      <c r="V327" t="s">
        <v>165</v>
      </c>
      <c r="W327" t="s">
        <v>166</v>
      </c>
      <c r="X327" t="s">
        <v>167</v>
      </c>
      <c r="Y327" t="s">
        <v>168</v>
      </c>
      <c r="AD327" t="s">
        <v>164</v>
      </c>
      <c r="AE327" t="s">
        <v>165</v>
      </c>
      <c r="AF327" t="s">
        <v>166</v>
      </c>
      <c r="AG327" t="s">
        <v>167</v>
      </c>
      <c r="AH327" t="s">
        <v>168</v>
      </c>
    </row>
    <row r="328" spans="19:34" ht="16.2" customHeight="1" x14ac:dyDescent="0.3">
      <c r="T328" t="s">
        <v>154</v>
      </c>
      <c r="U328" t="s">
        <v>155</v>
      </c>
      <c r="V328" t="s">
        <v>79</v>
      </c>
      <c r="W328" t="s">
        <v>79</v>
      </c>
      <c r="X328" t="s">
        <v>79</v>
      </c>
      <c r="Y328" t="s">
        <v>79</v>
      </c>
      <c r="AC328" t="s">
        <v>154</v>
      </c>
      <c r="AD328" t="s">
        <v>155</v>
      </c>
      <c r="AE328" t="s">
        <v>79</v>
      </c>
      <c r="AF328" t="s">
        <v>79</v>
      </c>
      <c r="AG328" t="s">
        <v>79</v>
      </c>
      <c r="AH328" t="s">
        <v>79</v>
      </c>
    </row>
    <row r="329" spans="19:34" ht="16.2" customHeight="1" x14ac:dyDescent="0.3">
      <c r="T329" t="s">
        <v>156</v>
      </c>
      <c r="U329" t="s">
        <v>155</v>
      </c>
      <c r="V329" t="s">
        <v>79</v>
      </c>
      <c r="W329" t="s">
        <v>79</v>
      </c>
      <c r="X329" t="s">
        <v>79</v>
      </c>
      <c r="Y329" t="s">
        <v>79</v>
      </c>
      <c r="AC329" t="s">
        <v>156</v>
      </c>
      <c r="AD329" t="s">
        <v>155</v>
      </c>
      <c r="AE329" t="s">
        <v>79</v>
      </c>
      <c r="AF329" t="s">
        <v>79</v>
      </c>
      <c r="AG329" t="s">
        <v>79</v>
      </c>
      <c r="AH329" t="s">
        <v>79</v>
      </c>
    </row>
    <row r="330" spans="19:34" ht="16.2" customHeight="1" x14ac:dyDescent="0.3">
      <c r="T330" t="s">
        <v>157</v>
      </c>
      <c r="U330" t="s">
        <v>155</v>
      </c>
      <c r="V330" t="s">
        <v>155</v>
      </c>
      <c r="W330" t="s">
        <v>79</v>
      </c>
      <c r="X330" t="s">
        <v>79</v>
      </c>
      <c r="Y330" t="s">
        <v>155</v>
      </c>
      <c r="AC330" t="s">
        <v>157</v>
      </c>
      <c r="AD330" t="s">
        <v>155</v>
      </c>
      <c r="AE330" t="s">
        <v>155</v>
      </c>
      <c r="AF330" t="s">
        <v>79</v>
      </c>
      <c r="AG330" t="s">
        <v>79</v>
      </c>
      <c r="AH330" t="s">
        <v>155</v>
      </c>
    </row>
    <row r="331" spans="19:34" ht="16.2" customHeight="1" x14ac:dyDescent="0.3">
      <c r="T331" t="s">
        <v>158</v>
      </c>
      <c r="U331" t="s">
        <v>155</v>
      </c>
      <c r="V331" t="s">
        <v>155</v>
      </c>
      <c r="W331" t="s">
        <v>155</v>
      </c>
      <c r="X331" t="s">
        <v>155</v>
      </c>
      <c r="Y331" t="s">
        <v>155</v>
      </c>
      <c r="AC331" t="s">
        <v>158</v>
      </c>
      <c r="AD331" t="s">
        <v>155</v>
      </c>
      <c r="AE331" t="s">
        <v>155</v>
      </c>
      <c r="AF331" t="s">
        <v>155</v>
      </c>
      <c r="AG331" t="s">
        <v>155</v>
      </c>
      <c r="AH331" t="s">
        <v>155</v>
      </c>
    </row>
    <row r="332" spans="19:34" ht="16.2" customHeight="1" x14ac:dyDescent="0.3">
      <c r="T332" t="s">
        <v>159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159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3" spans="19:34" ht="16.2" customHeight="1" x14ac:dyDescent="0.3">
      <c r="T333" t="s">
        <v>160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160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169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169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170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170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171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171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172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172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9" spans="19:34" ht="16.2" customHeight="1" x14ac:dyDescent="0.3">
      <c r="S339" s="15" t="s">
        <v>125</v>
      </c>
      <c r="T339" t="s">
        <v>203</v>
      </c>
      <c r="AB339" s="15" t="s">
        <v>125</v>
      </c>
      <c r="AC339" t="s">
        <v>203</v>
      </c>
    </row>
    <row r="340" spans="19:34" ht="16.2" customHeight="1" x14ac:dyDescent="0.3">
      <c r="U340" t="s">
        <v>164</v>
      </c>
      <c r="V340" t="s">
        <v>165</v>
      </c>
      <c r="W340" t="s">
        <v>166</v>
      </c>
      <c r="X340" t="s">
        <v>167</v>
      </c>
      <c r="Y340" t="s">
        <v>168</v>
      </c>
      <c r="AD340" t="s">
        <v>164</v>
      </c>
      <c r="AE340" t="s">
        <v>165</v>
      </c>
      <c r="AF340" t="s">
        <v>166</v>
      </c>
      <c r="AG340" t="s">
        <v>167</v>
      </c>
      <c r="AH340" t="s">
        <v>168</v>
      </c>
    </row>
    <row r="341" spans="19:34" ht="16.2" customHeight="1" x14ac:dyDescent="0.3">
      <c r="T341" t="s">
        <v>154</v>
      </c>
      <c r="U341" t="s">
        <v>81</v>
      </c>
      <c r="V341" t="s">
        <v>155</v>
      </c>
      <c r="W341" t="s">
        <v>155</v>
      </c>
      <c r="X341" t="s">
        <v>81</v>
      </c>
      <c r="Y341" t="s">
        <v>155</v>
      </c>
      <c r="AC341" t="s">
        <v>154</v>
      </c>
      <c r="AD341" t="s">
        <v>81</v>
      </c>
      <c r="AE341" t="s">
        <v>155</v>
      </c>
      <c r="AF341" t="s">
        <v>155</v>
      </c>
      <c r="AG341" t="s">
        <v>81</v>
      </c>
      <c r="AH341" t="s">
        <v>155</v>
      </c>
    </row>
    <row r="342" spans="19:34" ht="16.2" customHeight="1" x14ac:dyDescent="0.3">
      <c r="T342" t="s">
        <v>156</v>
      </c>
      <c r="U342" t="s">
        <v>81</v>
      </c>
      <c r="V342" t="s">
        <v>155</v>
      </c>
      <c r="W342" t="s">
        <v>155</v>
      </c>
      <c r="X342" t="s">
        <v>81</v>
      </c>
      <c r="Y342" t="s">
        <v>155</v>
      </c>
      <c r="AC342" t="s">
        <v>156</v>
      </c>
      <c r="AD342" t="s">
        <v>81</v>
      </c>
      <c r="AE342" t="s">
        <v>155</v>
      </c>
      <c r="AF342" t="s">
        <v>155</v>
      </c>
      <c r="AG342" t="s">
        <v>81</v>
      </c>
      <c r="AH342" t="s">
        <v>155</v>
      </c>
    </row>
    <row r="343" spans="19:34" ht="16.2" customHeight="1" x14ac:dyDescent="0.3">
      <c r="T343" t="s">
        <v>157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157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158</v>
      </c>
      <c r="U344" t="s">
        <v>155</v>
      </c>
      <c r="V344" t="s">
        <v>155</v>
      </c>
      <c r="W344" t="s">
        <v>155</v>
      </c>
      <c r="X344" t="s">
        <v>155</v>
      </c>
      <c r="Y344" t="s">
        <v>155</v>
      </c>
      <c r="AC344" t="s">
        <v>158</v>
      </c>
      <c r="AD344" t="s">
        <v>155</v>
      </c>
      <c r="AE344" t="s">
        <v>155</v>
      </c>
      <c r="AF344" t="s">
        <v>155</v>
      </c>
      <c r="AG344" t="s">
        <v>155</v>
      </c>
      <c r="AH344" t="s">
        <v>155</v>
      </c>
    </row>
    <row r="345" spans="19:34" ht="16.2" customHeight="1" x14ac:dyDescent="0.3">
      <c r="T345" t="s">
        <v>159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159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6" spans="19:34" ht="16.2" customHeight="1" x14ac:dyDescent="0.3">
      <c r="T346" t="s">
        <v>160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160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169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169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170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170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171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171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172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172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2" spans="19:34" ht="16.2" customHeight="1" x14ac:dyDescent="0.3">
      <c r="S352" s="15" t="s">
        <v>126</v>
      </c>
      <c r="T352" t="s">
        <v>204</v>
      </c>
      <c r="AB352" s="15" t="s">
        <v>126</v>
      </c>
      <c r="AC352" t="s">
        <v>204</v>
      </c>
    </row>
    <row r="353" spans="19:34" ht="16.2" customHeight="1" x14ac:dyDescent="0.3">
      <c r="U353" t="s">
        <v>164</v>
      </c>
      <c r="V353" t="s">
        <v>165</v>
      </c>
      <c r="W353" t="s">
        <v>166</v>
      </c>
      <c r="X353" t="s">
        <v>167</v>
      </c>
      <c r="Y353" t="s">
        <v>168</v>
      </c>
      <c r="AD353" t="s">
        <v>164</v>
      </c>
      <c r="AE353" t="s">
        <v>165</v>
      </c>
      <c r="AF353" t="s">
        <v>166</v>
      </c>
      <c r="AG353" t="s">
        <v>167</v>
      </c>
      <c r="AH353" t="s">
        <v>168</v>
      </c>
    </row>
    <row r="354" spans="19:34" ht="16.2" customHeight="1" x14ac:dyDescent="0.3">
      <c r="T354" t="s">
        <v>154</v>
      </c>
      <c r="U354" t="s">
        <v>155</v>
      </c>
      <c r="V354" t="s">
        <v>155</v>
      </c>
      <c r="W354" t="s">
        <v>155</v>
      </c>
      <c r="X354" t="s">
        <v>155</v>
      </c>
      <c r="Y354" t="s">
        <v>155</v>
      </c>
      <c r="AC354" t="s">
        <v>154</v>
      </c>
      <c r="AD354" t="s">
        <v>155</v>
      </c>
      <c r="AE354" t="s">
        <v>155</v>
      </c>
      <c r="AF354" t="s">
        <v>155</v>
      </c>
      <c r="AG354" t="s">
        <v>155</v>
      </c>
      <c r="AH354" t="s">
        <v>155</v>
      </c>
    </row>
    <row r="355" spans="19:34" ht="16.2" customHeight="1" x14ac:dyDescent="0.3">
      <c r="T355" t="s">
        <v>156</v>
      </c>
      <c r="U355" t="s">
        <v>82</v>
      </c>
      <c r="V355" t="s">
        <v>155</v>
      </c>
      <c r="W355" t="s">
        <v>155</v>
      </c>
      <c r="X355" t="s">
        <v>82</v>
      </c>
      <c r="Y355" t="s">
        <v>155</v>
      </c>
      <c r="AC355" t="s">
        <v>156</v>
      </c>
      <c r="AD355" t="s">
        <v>82</v>
      </c>
      <c r="AE355" t="s">
        <v>155</v>
      </c>
      <c r="AF355" t="s">
        <v>155</v>
      </c>
      <c r="AG355" t="s">
        <v>82</v>
      </c>
      <c r="AH355" t="s">
        <v>155</v>
      </c>
    </row>
    <row r="356" spans="19:34" ht="16.2" customHeight="1" x14ac:dyDescent="0.3">
      <c r="T356" t="s">
        <v>157</v>
      </c>
      <c r="U356" t="s">
        <v>82</v>
      </c>
      <c r="V356" t="s">
        <v>90</v>
      </c>
      <c r="W356" t="s">
        <v>155</v>
      </c>
      <c r="X356" t="s">
        <v>82</v>
      </c>
      <c r="Y356" t="s">
        <v>155</v>
      </c>
      <c r="AC356" t="s">
        <v>157</v>
      </c>
      <c r="AD356" t="s">
        <v>82</v>
      </c>
      <c r="AE356" t="s">
        <v>90</v>
      </c>
      <c r="AF356" t="s">
        <v>155</v>
      </c>
      <c r="AG356" t="s">
        <v>82</v>
      </c>
      <c r="AH356" t="s">
        <v>155</v>
      </c>
    </row>
    <row r="357" spans="19:34" ht="16.2" customHeight="1" x14ac:dyDescent="0.3">
      <c r="T357" t="s">
        <v>158</v>
      </c>
      <c r="U357" t="s">
        <v>155</v>
      </c>
      <c r="V357" t="s">
        <v>90</v>
      </c>
      <c r="W357" t="s">
        <v>155</v>
      </c>
      <c r="X357" t="s">
        <v>90</v>
      </c>
      <c r="Y357" t="s">
        <v>155</v>
      </c>
      <c r="AC357" t="s">
        <v>158</v>
      </c>
      <c r="AD357" t="s">
        <v>155</v>
      </c>
      <c r="AE357" t="s">
        <v>90</v>
      </c>
      <c r="AF357" t="s">
        <v>155</v>
      </c>
      <c r="AG357" t="s">
        <v>90</v>
      </c>
      <c r="AH357" t="s">
        <v>155</v>
      </c>
    </row>
    <row r="358" spans="19:34" ht="16.2" customHeight="1" x14ac:dyDescent="0.3">
      <c r="T358" t="s">
        <v>159</v>
      </c>
      <c r="U358" t="s">
        <v>155</v>
      </c>
      <c r="V358" t="s">
        <v>155</v>
      </c>
      <c r="W358" t="s">
        <v>155</v>
      </c>
      <c r="X358" t="s">
        <v>90</v>
      </c>
      <c r="Y358" t="s">
        <v>155</v>
      </c>
      <c r="AC358" t="s">
        <v>159</v>
      </c>
      <c r="AD358" t="s">
        <v>155</v>
      </c>
      <c r="AE358" t="s">
        <v>155</v>
      </c>
      <c r="AF358" t="s">
        <v>155</v>
      </c>
      <c r="AG358" t="s">
        <v>90</v>
      </c>
      <c r="AH358" t="s">
        <v>155</v>
      </c>
    </row>
    <row r="359" spans="19:34" ht="16.2" customHeight="1" x14ac:dyDescent="0.3">
      <c r="T359" t="s">
        <v>160</v>
      </c>
      <c r="U359" t="s">
        <v>155</v>
      </c>
      <c r="V359" t="s">
        <v>155</v>
      </c>
      <c r="W359" t="s">
        <v>155</v>
      </c>
      <c r="X359" t="s">
        <v>155</v>
      </c>
      <c r="Y359" t="s">
        <v>155</v>
      </c>
      <c r="AC359" t="s">
        <v>160</v>
      </c>
      <c r="AD359" t="s">
        <v>155</v>
      </c>
      <c r="AE359" t="s">
        <v>155</v>
      </c>
      <c r="AF359" t="s">
        <v>155</v>
      </c>
      <c r="AG359" t="s">
        <v>155</v>
      </c>
      <c r="AH359" t="s">
        <v>155</v>
      </c>
    </row>
    <row r="360" spans="19:34" ht="16.2" customHeight="1" x14ac:dyDescent="0.3">
      <c r="T360" t="s">
        <v>169</v>
      </c>
      <c r="U360" t="s">
        <v>155</v>
      </c>
      <c r="V360" t="s">
        <v>155</v>
      </c>
      <c r="W360" t="s">
        <v>155</v>
      </c>
      <c r="X360" t="s">
        <v>155</v>
      </c>
      <c r="Y360" t="s">
        <v>155</v>
      </c>
      <c r="AC360" t="s">
        <v>169</v>
      </c>
      <c r="AD360" t="s">
        <v>155</v>
      </c>
      <c r="AE360" t="s">
        <v>155</v>
      </c>
      <c r="AF360" t="s">
        <v>155</v>
      </c>
      <c r="AG360" t="s">
        <v>155</v>
      </c>
      <c r="AH360" t="s">
        <v>155</v>
      </c>
    </row>
    <row r="361" spans="19:34" ht="16.2" customHeight="1" x14ac:dyDescent="0.3">
      <c r="T361" t="s">
        <v>170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170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171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171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172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172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5" spans="19:34" ht="16.2" customHeight="1" x14ac:dyDescent="0.3">
      <c r="S365" s="15" t="s">
        <v>127</v>
      </c>
      <c r="T365" t="s">
        <v>205</v>
      </c>
      <c r="AB365" s="15" t="s">
        <v>127</v>
      </c>
      <c r="AC365" t="s">
        <v>205</v>
      </c>
    </row>
    <row r="366" spans="19:34" ht="16.2" customHeight="1" x14ac:dyDescent="0.3">
      <c r="U366" t="s">
        <v>164</v>
      </c>
      <c r="V366" t="s">
        <v>165</v>
      </c>
      <c r="W366" t="s">
        <v>166</v>
      </c>
      <c r="X366" t="s">
        <v>167</v>
      </c>
      <c r="Y366" t="s">
        <v>168</v>
      </c>
      <c r="AD366" t="s">
        <v>164</v>
      </c>
      <c r="AE366" t="s">
        <v>165</v>
      </c>
      <c r="AF366" t="s">
        <v>166</v>
      </c>
      <c r="AG366" t="s">
        <v>167</v>
      </c>
      <c r="AH366" t="s">
        <v>168</v>
      </c>
    </row>
    <row r="367" spans="19:34" ht="16.2" customHeight="1" x14ac:dyDescent="0.3">
      <c r="T367" t="s">
        <v>154</v>
      </c>
      <c r="U367" t="s">
        <v>175</v>
      </c>
      <c r="V367" t="s">
        <v>155</v>
      </c>
      <c r="W367" t="s">
        <v>175</v>
      </c>
      <c r="X367" t="s">
        <v>155</v>
      </c>
      <c r="Y367" t="s">
        <v>155</v>
      </c>
      <c r="AC367" t="s">
        <v>154</v>
      </c>
      <c r="AD367" t="s">
        <v>94</v>
      </c>
      <c r="AE367" t="s">
        <v>155</v>
      </c>
      <c r="AF367" t="s">
        <v>175</v>
      </c>
      <c r="AG367" t="s">
        <v>155</v>
      </c>
      <c r="AH367" t="s">
        <v>155</v>
      </c>
    </row>
    <row r="368" spans="19:34" ht="16.2" customHeight="1" x14ac:dyDescent="0.3">
      <c r="T368" t="s">
        <v>156</v>
      </c>
      <c r="U368" t="s">
        <v>175</v>
      </c>
      <c r="V368" t="s">
        <v>155</v>
      </c>
      <c r="W368" t="s">
        <v>175</v>
      </c>
      <c r="X368" t="s">
        <v>155</v>
      </c>
      <c r="Y368" t="s">
        <v>155</v>
      </c>
      <c r="AC368" t="s">
        <v>156</v>
      </c>
      <c r="AD368" t="s">
        <v>94</v>
      </c>
      <c r="AE368" t="s">
        <v>155</v>
      </c>
      <c r="AF368" t="s">
        <v>175</v>
      </c>
      <c r="AG368" t="s">
        <v>155</v>
      </c>
      <c r="AH368" t="s">
        <v>155</v>
      </c>
    </row>
    <row r="369" spans="19:34" ht="16.2" customHeight="1" x14ac:dyDescent="0.3">
      <c r="T369" t="s">
        <v>157</v>
      </c>
      <c r="U369" t="s">
        <v>82</v>
      </c>
      <c r="V369" t="s">
        <v>155</v>
      </c>
      <c r="W369" t="s">
        <v>155</v>
      </c>
      <c r="X369" t="s">
        <v>155</v>
      </c>
      <c r="Y369" t="s">
        <v>155</v>
      </c>
      <c r="AC369" t="s">
        <v>157</v>
      </c>
      <c r="AD369" t="s">
        <v>82</v>
      </c>
      <c r="AE369" t="s">
        <v>155</v>
      </c>
      <c r="AF369" t="s">
        <v>155</v>
      </c>
      <c r="AG369" t="s">
        <v>155</v>
      </c>
      <c r="AH369" t="s">
        <v>155</v>
      </c>
    </row>
    <row r="370" spans="19:34" ht="16.2" customHeight="1" x14ac:dyDescent="0.3">
      <c r="T370" t="s">
        <v>158</v>
      </c>
      <c r="U370" t="s">
        <v>82</v>
      </c>
      <c r="V370" t="s">
        <v>155</v>
      </c>
      <c r="W370" t="s">
        <v>155</v>
      </c>
      <c r="X370" t="s">
        <v>155</v>
      </c>
      <c r="Y370" t="s">
        <v>155</v>
      </c>
      <c r="AC370" t="s">
        <v>158</v>
      </c>
      <c r="AD370" t="s">
        <v>82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159</v>
      </c>
      <c r="U371" t="s">
        <v>94</v>
      </c>
      <c r="V371" t="s">
        <v>155</v>
      </c>
      <c r="W371" t="s">
        <v>82</v>
      </c>
      <c r="X371" t="s">
        <v>155</v>
      </c>
      <c r="Y371" t="s">
        <v>155</v>
      </c>
      <c r="AC371" t="s">
        <v>159</v>
      </c>
      <c r="AD371" t="s">
        <v>175</v>
      </c>
      <c r="AE371" t="s">
        <v>155</v>
      </c>
      <c r="AF371" t="s">
        <v>82</v>
      </c>
      <c r="AG371" t="s">
        <v>155</v>
      </c>
      <c r="AH371" t="s">
        <v>155</v>
      </c>
    </row>
    <row r="372" spans="19:34" ht="16.2" customHeight="1" x14ac:dyDescent="0.3">
      <c r="T372" t="s">
        <v>160</v>
      </c>
      <c r="U372" t="s">
        <v>94</v>
      </c>
      <c r="V372" t="s">
        <v>155</v>
      </c>
      <c r="W372" t="s">
        <v>82</v>
      </c>
      <c r="X372" t="s">
        <v>155</v>
      </c>
      <c r="Y372" t="s">
        <v>155</v>
      </c>
      <c r="AC372" t="s">
        <v>160</v>
      </c>
      <c r="AD372" t="s">
        <v>175</v>
      </c>
      <c r="AE372" t="s">
        <v>155</v>
      </c>
      <c r="AF372" t="s">
        <v>82</v>
      </c>
      <c r="AG372" t="s">
        <v>155</v>
      </c>
      <c r="AH372" t="s">
        <v>155</v>
      </c>
    </row>
    <row r="373" spans="19:34" ht="16.2" customHeight="1" x14ac:dyDescent="0.3">
      <c r="T373" t="s">
        <v>169</v>
      </c>
      <c r="U373" t="s">
        <v>155</v>
      </c>
      <c r="V373" t="s">
        <v>155</v>
      </c>
      <c r="W373" t="s">
        <v>155</v>
      </c>
      <c r="X373" t="s">
        <v>155</v>
      </c>
      <c r="Y373" t="s">
        <v>155</v>
      </c>
      <c r="AC373" t="s">
        <v>169</v>
      </c>
      <c r="AD373" t="s">
        <v>155</v>
      </c>
      <c r="AE373" t="s">
        <v>155</v>
      </c>
      <c r="AF373" t="s">
        <v>155</v>
      </c>
      <c r="AG373" t="s">
        <v>155</v>
      </c>
      <c r="AH373" t="s">
        <v>155</v>
      </c>
    </row>
    <row r="374" spans="19:34" ht="16.2" customHeight="1" x14ac:dyDescent="0.3">
      <c r="T374" t="s">
        <v>170</v>
      </c>
      <c r="U374" t="s">
        <v>155</v>
      </c>
      <c r="V374" t="s">
        <v>155</v>
      </c>
      <c r="W374" t="s">
        <v>155</v>
      </c>
      <c r="X374" t="s">
        <v>155</v>
      </c>
      <c r="Y374" t="s">
        <v>155</v>
      </c>
      <c r="AC374" t="s">
        <v>170</v>
      </c>
      <c r="AD374" t="s">
        <v>155</v>
      </c>
      <c r="AE374" t="s">
        <v>155</v>
      </c>
      <c r="AF374" t="s">
        <v>155</v>
      </c>
      <c r="AG374" t="s">
        <v>155</v>
      </c>
      <c r="AH374" t="s">
        <v>155</v>
      </c>
    </row>
    <row r="375" spans="19:34" ht="16.2" customHeight="1" x14ac:dyDescent="0.3">
      <c r="T375" t="s">
        <v>171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171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172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172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8" spans="19:34" ht="16.2" customHeight="1" x14ac:dyDescent="0.3">
      <c r="S378" s="15" t="s">
        <v>128</v>
      </c>
      <c r="T378" t="s">
        <v>206</v>
      </c>
      <c r="AB378" s="15" t="s">
        <v>128</v>
      </c>
      <c r="AC378" t="s">
        <v>206</v>
      </c>
    </row>
    <row r="379" spans="19:34" ht="16.2" customHeight="1" x14ac:dyDescent="0.3">
      <c r="U379" t="s">
        <v>164</v>
      </c>
      <c r="V379" t="s">
        <v>165</v>
      </c>
      <c r="W379" t="s">
        <v>166</v>
      </c>
      <c r="X379" t="s">
        <v>167</v>
      </c>
      <c r="Y379" t="s">
        <v>168</v>
      </c>
      <c r="AD379" t="s">
        <v>164</v>
      </c>
      <c r="AE379" t="s">
        <v>165</v>
      </c>
      <c r="AF379" t="s">
        <v>166</v>
      </c>
      <c r="AG379" t="s">
        <v>167</v>
      </c>
      <c r="AH379" t="s">
        <v>168</v>
      </c>
    </row>
    <row r="380" spans="19:34" ht="16.2" customHeight="1" x14ac:dyDescent="0.3">
      <c r="T380" t="s">
        <v>154</v>
      </c>
      <c r="U380" t="s">
        <v>155</v>
      </c>
      <c r="V380" t="s">
        <v>155</v>
      </c>
      <c r="W380" t="s">
        <v>155</v>
      </c>
      <c r="X380" t="s">
        <v>155</v>
      </c>
      <c r="Y380" t="s">
        <v>155</v>
      </c>
      <c r="AC380" t="s">
        <v>154</v>
      </c>
      <c r="AD380" t="s">
        <v>155</v>
      </c>
      <c r="AE380" t="s">
        <v>155</v>
      </c>
      <c r="AF380" t="s">
        <v>155</v>
      </c>
      <c r="AG380" t="s">
        <v>155</v>
      </c>
      <c r="AH380" t="s">
        <v>155</v>
      </c>
    </row>
    <row r="381" spans="19:34" ht="16.2" customHeight="1" x14ac:dyDescent="0.3">
      <c r="T381" t="s">
        <v>156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156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157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157</v>
      </c>
      <c r="AD382" t="s">
        <v>155</v>
      </c>
      <c r="AE382" t="s">
        <v>83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158</v>
      </c>
      <c r="U383" t="s">
        <v>155</v>
      </c>
      <c r="V383" t="s">
        <v>155</v>
      </c>
      <c r="W383" t="s">
        <v>155</v>
      </c>
      <c r="X383" t="s">
        <v>83</v>
      </c>
      <c r="Y383" t="s">
        <v>155</v>
      </c>
      <c r="AC383" t="s">
        <v>158</v>
      </c>
      <c r="AD383" t="s">
        <v>155</v>
      </c>
      <c r="AE383" t="s">
        <v>83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159</v>
      </c>
      <c r="U384" t="s">
        <v>155</v>
      </c>
      <c r="V384" t="s">
        <v>83</v>
      </c>
      <c r="W384" t="s">
        <v>155</v>
      </c>
      <c r="X384" t="s">
        <v>83</v>
      </c>
      <c r="Y384" t="s">
        <v>155</v>
      </c>
      <c r="AC384" t="s">
        <v>159</v>
      </c>
      <c r="AD384" t="s">
        <v>155</v>
      </c>
      <c r="AE384" t="s">
        <v>83</v>
      </c>
      <c r="AF384" t="s">
        <v>155</v>
      </c>
      <c r="AG384" t="s">
        <v>155</v>
      </c>
      <c r="AH384" t="s">
        <v>83</v>
      </c>
    </row>
    <row r="385" spans="19:34" ht="16.2" customHeight="1" x14ac:dyDescent="0.3">
      <c r="T385" t="s">
        <v>160</v>
      </c>
      <c r="U385" t="s">
        <v>155</v>
      </c>
      <c r="V385" t="s">
        <v>83</v>
      </c>
      <c r="W385" t="s">
        <v>155</v>
      </c>
      <c r="X385" t="s">
        <v>83</v>
      </c>
      <c r="Y385" t="s">
        <v>155</v>
      </c>
      <c r="AC385" t="s">
        <v>160</v>
      </c>
      <c r="AD385" t="s">
        <v>155</v>
      </c>
      <c r="AE385" t="s">
        <v>155</v>
      </c>
      <c r="AF385" t="s">
        <v>155</v>
      </c>
      <c r="AG385" t="s">
        <v>155</v>
      </c>
      <c r="AH385" t="s">
        <v>83</v>
      </c>
    </row>
    <row r="386" spans="19:34" ht="16.2" customHeight="1" x14ac:dyDescent="0.3">
      <c r="T386" t="s">
        <v>169</v>
      </c>
      <c r="U386" t="s">
        <v>155</v>
      </c>
      <c r="V386" t="s">
        <v>155</v>
      </c>
      <c r="W386" t="s">
        <v>155</v>
      </c>
      <c r="X386" t="s">
        <v>155</v>
      </c>
      <c r="Y386" t="s">
        <v>155</v>
      </c>
      <c r="AC386" t="s">
        <v>169</v>
      </c>
      <c r="AD386" t="s">
        <v>155</v>
      </c>
      <c r="AE386" t="s">
        <v>155</v>
      </c>
      <c r="AF386" t="s">
        <v>155</v>
      </c>
      <c r="AG386" t="s">
        <v>155</v>
      </c>
      <c r="AH386" t="s">
        <v>155</v>
      </c>
    </row>
    <row r="387" spans="19:34" ht="16.2" customHeight="1" x14ac:dyDescent="0.3">
      <c r="T387" t="s">
        <v>170</v>
      </c>
      <c r="U387" t="s">
        <v>155</v>
      </c>
      <c r="V387" t="s">
        <v>155</v>
      </c>
      <c r="W387" t="s">
        <v>155</v>
      </c>
      <c r="X387" t="s">
        <v>155</v>
      </c>
      <c r="Y387" t="s">
        <v>155</v>
      </c>
      <c r="AC387" t="s">
        <v>170</v>
      </c>
      <c r="AD387" t="s">
        <v>155</v>
      </c>
      <c r="AE387" t="s">
        <v>155</v>
      </c>
      <c r="AF387" t="s">
        <v>155</v>
      </c>
      <c r="AG387" t="s">
        <v>155</v>
      </c>
      <c r="AH387" t="s">
        <v>155</v>
      </c>
    </row>
    <row r="388" spans="19:34" ht="16.2" customHeight="1" x14ac:dyDescent="0.3">
      <c r="T388" t="s">
        <v>171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171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172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172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1" spans="19:34" ht="16.2" customHeight="1" x14ac:dyDescent="0.3">
      <c r="S391" s="15" t="s">
        <v>129</v>
      </c>
      <c r="T391" t="s">
        <v>207</v>
      </c>
      <c r="AB391" s="15" t="s">
        <v>129</v>
      </c>
      <c r="AC391" t="s">
        <v>207</v>
      </c>
    </row>
    <row r="392" spans="19:34" ht="16.2" customHeight="1" x14ac:dyDescent="0.3">
      <c r="U392" t="s">
        <v>164</v>
      </c>
      <c r="V392" t="s">
        <v>165</v>
      </c>
      <c r="W392" t="s">
        <v>166</v>
      </c>
      <c r="X392" t="s">
        <v>167</v>
      </c>
      <c r="Y392" t="s">
        <v>168</v>
      </c>
      <c r="AD392" t="s">
        <v>164</v>
      </c>
      <c r="AE392" t="s">
        <v>165</v>
      </c>
      <c r="AF392" t="s">
        <v>166</v>
      </c>
      <c r="AG392" t="s">
        <v>167</v>
      </c>
      <c r="AH392" t="s">
        <v>168</v>
      </c>
    </row>
    <row r="393" spans="19:34" ht="16.2" customHeight="1" x14ac:dyDescent="0.3">
      <c r="T393" t="s">
        <v>154</v>
      </c>
      <c r="U393" t="s">
        <v>155</v>
      </c>
      <c r="V393" t="s">
        <v>155</v>
      </c>
      <c r="W393" t="s">
        <v>155</v>
      </c>
      <c r="X393" t="s">
        <v>155</v>
      </c>
      <c r="Y393" t="s">
        <v>155</v>
      </c>
      <c r="AC393" t="s">
        <v>154</v>
      </c>
      <c r="AD393" t="s">
        <v>155</v>
      </c>
      <c r="AE393" t="s">
        <v>155</v>
      </c>
      <c r="AF393" t="s">
        <v>155</v>
      </c>
      <c r="AG393" t="s">
        <v>155</v>
      </c>
      <c r="AH393" t="s">
        <v>155</v>
      </c>
    </row>
    <row r="394" spans="19:34" ht="16.2" customHeight="1" x14ac:dyDescent="0.3">
      <c r="T394" t="s">
        <v>156</v>
      </c>
      <c r="U394" t="s">
        <v>84</v>
      </c>
      <c r="V394" t="s">
        <v>155</v>
      </c>
      <c r="W394" t="s">
        <v>155</v>
      </c>
      <c r="X394" t="s">
        <v>155</v>
      </c>
      <c r="Y394" t="s">
        <v>155</v>
      </c>
      <c r="AC394" t="s">
        <v>156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157</v>
      </c>
      <c r="U395" t="s">
        <v>84</v>
      </c>
      <c r="V395" t="s">
        <v>155</v>
      </c>
      <c r="W395" t="s">
        <v>155</v>
      </c>
      <c r="X395" t="s">
        <v>155</v>
      </c>
      <c r="Y395" t="s">
        <v>155</v>
      </c>
      <c r="AC395" t="s">
        <v>157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158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158</v>
      </c>
      <c r="AD396" t="s">
        <v>155</v>
      </c>
      <c r="AE396" t="s">
        <v>155</v>
      </c>
      <c r="AF396" t="s">
        <v>155</v>
      </c>
      <c r="AG396" t="s">
        <v>84</v>
      </c>
      <c r="AH396" t="s">
        <v>155</v>
      </c>
    </row>
    <row r="397" spans="19:34" ht="16.2" customHeight="1" x14ac:dyDescent="0.3">
      <c r="T397" t="s">
        <v>159</v>
      </c>
      <c r="U397" t="s">
        <v>155</v>
      </c>
      <c r="V397" t="s">
        <v>155</v>
      </c>
      <c r="W397" t="s">
        <v>84</v>
      </c>
      <c r="X397" t="s">
        <v>155</v>
      </c>
      <c r="Y397" t="s">
        <v>155</v>
      </c>
      <c r="AC397" t="s">
        <v>159</v>
      </c>
      <c r="AD397" t="s">
        <v>84</v>
      </c>
      <c r="AE397" t="s">
        <v>155</v>
      </c>
      <c r="AF397" t="s">
        <v>155</v>
      </c>
      <c r="AG397" t="s">
        <v>84</v>
      </c>
      <c r="AH397" t="s">
        <v>155</v>
      </c>
    </row>
    <row r="398" spans="19:34" ht="16.2" customHeight="1" x14ac:dyDescent="0.3">
      <c r="T398" t="s">
        <v>160</v>
      </c>
      <c r="U398" t="s">
        <v>155</v>
      </c>
      <c r="V398" t="s">
        <v>155</v>
      </c>
      <c r="W398" t="s">
        <v>84</v>
      </c>
      <c r="X398" t="s">
        <v>155</v>
      </c>
      <c r="Y398" t="s">
        <v>155</v>
      </c>
      <c r="AC398" t="s">
        <v>160</v>
      </c>
      <c r="AD398" t="s">
        <v>84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169</v>
      </c>
      <c r="U399" t="s">
        <v>155</v>
      </c>
      <c r="V399" t="s">
        <v>155</v>
      </c>
      <c r="W399" t="s">
        <v>155</v>
      </c>
      <c r="X399" t="s">
        <v>155</v>
      </c>
      <c r="Y399" t="s">
        <v>155</v>
      </c>
      <c r="AC399" t="s">
        <v>169</v>
      </c>
      <c r="AD399" t="s">
        <v>155</v>
      </c>
      <c r="AE399" t="s">
        <v>155</v>
      </c>
      <c r="AF399" t="s">
        <v>155</v>
      </c>
      <c r="AG399" t="s">
        <v>155</v>
      </c>
      <c r="AH399" t="s">
        <v>155</v>
      </c>
    </row>
    <row r="400" spans="19:34" ht="16.2" customHeight="1" x14ac:dyDescent="0.3">
      <c r="T400" t="s">
        <v>170</v>
      </c>
      <c r="U400" t="s">
        <v>155</v>
      </c>
      <c r="V400" t="s">
        <v>155</v>
      </c>
      <c r="W400" t="s">
        <v>155</v>
      </c>
      <c r="X400" t="s">
        <v>155</v>
      </c>
      <c r="Y400" t="s">
        <v>155</v>
      </c>
      <c r="AC400" t="s">
        <v>170</v>
      </c>
      <c r="AD400" t="s">
        <v>155</v>
      </c>
      <c r="AE400" t="s">
        <v>155</v>
      </c>
      <c r="AF400" t="s">
        <v>155</v>
      </c>
      <c r="AG400" t="s">
        <v>155</v>
      </c>
      <c r="AH400" t="s">
        <v>155</v>
      </c>
    </row>
    <row r="401" spans="19:34" ht="16.2" customHeight="1" x14ac:dyDescent="0.3">
      <c r="T401" t="s">
        <v>171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171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172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172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4" spans="19:34" ht="16.2" customHeight="1" x14ac:dyDescent="0.3">
      <c r="S404" s="15" t="s">
        <v>130</v>
      </c>
      <c r="T404" t="s">
        <v>208</v>
      </c>
      <c r="AB404" s="15" t="s">
        <v>130</v>
      </c>
      <c r="AC404" t="s">
        <v>208</v>
      </c>
    </row>
    <row r="405" spans="19:34" ht="16.2" customHeight="1" x14ac:dyDescent="0.3">
      <c r="U405" t="s">
        <v>164</v>
      </c>
      <c r="V405" t="s">
        <v>165</v>
      </c>
      <c r="W405" t="s">
        <v>166</v>
      </c>
      <c r="X405" t="s">
        <v>167</v>
      </c>
      <c r="Y405" t="s">
        <v>168</v>
      </c>
      <c r="AD405" t="s">
        <v>164</v>
      </c>
      <c r="AE405" t="s">
        <v>165</v>
      </c>
      <c r="AF405" t="s">
        <v>166</v>
      </c>
      <c r="AG405" t="s">
        <v>167</v>
      </c>
      <c r="AH405" t="s">
        <v>168</v>
      </c>
    </row>
    <row r="406" spans="19:34" ht="16.2" customHeight="1" x14ac:dyDescent="0.3">
      <c r="T406" t="s">
        <v>154</v>
      </c>
      <c r="U406" t="s">
        <v>155</v>
      </c>
      <c r="V406" t="s">
        <v>155</v>
      </c>
      <c r="W406" t="s">
        <v>155</v>
      </c>
      <c r="X406" t="s">
        <v>85</v>
      </c>
      <c r="Y406" t="s">
        <v>155</v>
      </c>
      <c r="AC406" t="s">
        <v>154</v>
      </c>
      <c r="AD406" t="s">
        <v>155</v>
      </c>
      <c r="AE406" t="s">
        <v>155</v>
      </c>
      <c r="AF406" t="s">
        <v>155</v>
      </c>
      <c r="AG406" t="s">
        <v>85</v>
      </c>
      <c r="AH406" t="s">
        <v>155</v>
      </c>
    </row>
    <row r="407" spans="19:34" ht="16.2" customHeight="1" x14ac:dyDescent="0.3">
      <c r="T407" t="s">
        <v>156</v>
      </c>
      <c r="U407" t="s">
        <v>155</v>
      </c>
      <c r="V407" t="s">
        <v>155</v>
      </c>
      <c r="W407" t="s">
        <v>155</v>
      </c>
      <c r="X407" t="s">
        <v>85</v>
      </c>
      <c r="Y407" t="s">
        <v>155</v>
      </c>
      <c r="AC407" t="s">
        <v>156</v>
      </c>
      <c r="AD407" t="s">
        <v>155</v>
      </c>
      <c r="AE407" t="s">
        <v>155</v>
      </c>
      <c r="AF407" t="s">
        <v>155</v>
      </c>
      <c r="AG407" t="s">
        <v>85</v>
      </c>
      <c r="AH407" t="s">
        <v>155</v>
      </c>
    </row>
    <row r="408" spans="19:34" ht="16.2" customHeight="1" x14ac:dyDescent="0.3">
      <c r="T408" t="s">
        <v>157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157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158</v>
      </c>
      <c r="U409" t="s">
        <v>155</v>
      </c>
      <c r="V409" t="s">
        <v>155</v>
      </c>
      <c r="W409" t="s">
        <v>155</v>
      </c>
      <c r="X409" t="s">
        <v>155</v>
      </c>
      <c r="Y409" t="s">
        <v>155</v>
      </c>
      <c r="AC409" t="s">
        <v>158</v>
      </c>
      <c r="AD409" t="s">
        <v>155</v>
      </c>
      <c r="AE409" t="s">
        <v>155</v>
      </c>
      <c r="AF409" t="s">
        <v>155</v>
      </c>
      <c r="AG409" t="s">
        <v>155</v>
      </c>
      <c r="AH409" t="s">
        <v>155</v>
      </c>
    </row>
    <row r="410" spans="19:34" ht="16.2" customHeight="1" x14ac:dyDescent="0.3">
      <c r="T410" t="s">
        <v>159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159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1" spans="19:34" ht="16.2" customHeight="1" x14ac:dyDescent="0.3">
      <c r="T411" t="s">
        <v>160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160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169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169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170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170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171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171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172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172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7" spans="19:34" ht="16.2" customHeight="1" x14ac:dyDescent="0.3">
      <c r="S417" s="15" t="s">
        <v>131</v>
      </c>
      <c r="T417" t="s">
        <v>209</v>
      </c>
      <c r="AB417" s="15" t="s">
        <v>131</v>
      </c>
      <c r="AC417" t="s">
        <v>209</v>
      </c>
    </row>
    <row r="418" spans="19:34" ht="16.2" customHeight="1" x14ac:dyDescent="0.3">
      <c r="U418" t="s">
        <v>164</v>
      </c>
      <c r="V418" t="s">
        <v>165</v>
      </c>
      <c r="W418" t="s">
        <v>166</v>
      </c>
      <c r="X418" t="s">
        <v>167</v>
      </c>
      <c r="Y418" t="s">
        <v>168</v>
      </c>
      <c r="AD418" t="s">
        <v>164</v>
      </c>
      <c r="AE418" t="s">
        <v>165</v>
      </c>
      <c r="AF418" t="s">
        <v>166</v>
      </c>
      <c r="AG418" t="s">
        <v>167</v>
      </c>
      <c r="AH418" t="s">
        <v>168</v>
      </c>
    </row>
    <row r="419" spans="19:34" ht="16.2" customHeight="1" x14ac:dyDescent="0.3">
      <c r="T419" t="s">
        <v>154</v>
      </c>
      <c r="U419" t="s">
        <v>155</v>
      </c>
      <c r="V419" t="s">
        <v>86</v>
      </c>
      <c r="W419" t="s">
        <v>155</v>
      </c>
      <c r="X419" t="s">
        <v>155</v>
      </c>
      <c r="Y419" t="s">
        <v>155</v>
      </c>
      <c r="AC419" t="s">
        <v>154</v>
      </c>
      <c r="AD419" t="s">
        <v>155</v>
      </c>
      <c r="AE419" t="s">
        <v>86</v>
      </c>
      <c r="AF419" t="s">
        <v>155</v>
      </c>
      <c r="AG419" t="s">
        <v>155</v>
      </c>
      <c r="AH419" t="s">
        <v>155</v>
      </c>
    </row>
    <row r="420" spans="19:34" ht="16.2" customHeight="1" x14ac:dyDescent="0.3">
      <c r="T420" t="s">
        <v>156</v>
      </c>
      <c r="U420" t="s">
        <v>155</v>
      </c>
      <c r="V420" t="s">
        <v>86</v>
      </c>
      <c r="W420" t="s">
        <v>155</v>
      </c>
      <c r="X420" t="s">
        <v>155</v>
      </c>
      <c r="Y420" t="s">
        <v>155</v>
      </c>
      <c r="AC420" t="s">
        <v>156</v>
      </c>
      <c r="AD420" t="s">
        <v>155</v>
      </c>
      <c r="AE420" t="s">
        <v>86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157</v>
      </c>
      <c r="U421" t="s">
        <v>155</v>
      </c>
      <c r="V421" t="s">
        <v>155</v>
      </c>
      <c r="W421" t="s">
        <v>86</v>
      </c>
      <c r="X421" t="s">
        <v>155</v>
      </c>
      <c r="Y421" t="s">
        <v>155</v>
      </c>
      <c r="AC421" t="s">
        <v>157</v>
      </c>
      <c r="AD421" t="s">
        <v>155</v>
      </c>
      <c r="AE421" t="s">
        <v>155</v>
      </c>
      <c r="AF421" t="s">
        <v>86</v>
      </c>
      <c r="AG421" t="s">
        <v>155</v>
      </c>
      <c r="AH421" t="s">
        <v>155</v>
      </c>
    </row>
    <row r="422" spans="19:34" ht="16.2" customHeight="1" x14ac:dyDescent="0.3">
      <c r="T422" t="s">
        <v>158</v>
      </c>
      <c r="U422" t="s">
        <v>155</v>
      </c>
      <c r="V422" t="s">
        <v>155</v>
      </c>
      <c r="W422" t="s">
        <v>86</v>
      </c>
      <c r="X422" t="s">
        <v>155</v>
      </c>
      <c r="Y422" t="s">
        <v>155</v>
      </c>
      <c r="AC422" t="s">
        <v>158</v>
      </c>
      <c r="AD422" t="s">
        <v>155</v>
      </c>
      <c r="AE422" t="s">
        <v>155</v>
      </c>
      <c r="AF422" t="s">
        <v>86</v>
      </c>
      <c r="AG422" t="s">
        <v>155</v>
      </c>
      <c r="AH422" t="s">
        <v>155</v>
      </c>
    </row>
    <row r="423" spans="19:34" ht="16.2" customHeight="1" x14ac:dyDescent="0.3">
      <c r="T423" t="s">
        <v>159</v>
      </c>
      <c r="U423" t="s">
        <v>155</v>
      </c>
      <c r="V423" t="s">
        <v>155</v>
      </c>
      <c r="W423" t="s">
        <v>155</v>
      </c>
      <c r="X423" t="s">
        <v>155</v>
      </c>
      <c r="Y423" t="s">
        <v>155</v>
      </c>
      <c r="AC423" t="s">
        <v>159</v>
      </c>
      <c r="AD423" t="s">
        <v>155</v>
      </c>
      <c r="AE423" t="s">
        <v>155</v>
      </c>
      <c r="AF423" t="s">
        <v>155</v>
      </c>
      <c r="AG423" t="s">
        <v>155</v>
      </c>
      <c r="AH423" t="s">
        <v>155</v>
      </c>
    </row>
    <row r="424" spans="19:34" ht="16.2" customHeight="1" x14ac:dyDescent="0.3">
      <c r="T424" t="s">
        <v>160</v>
      </c>
      <c r="U424" t="s">
        <v>155</v>
      </c>
      <c r="V424" t="s">
        <v>155</v>
      </c>
      <c r="W424" t="s">
        <v>155</v>
      </c>
      <c r="X424" t="s">
        <v>155</v>
      </c>
      <c r="Y424" t="s">
        <v>155</v>
      </c>
      <c r="AC424" t="s">
        <v>160</v>
      </c>
      <c r="AD424" t="s">
        <v>155</v>
      </c>
      <c r="AE424" t="s">
        <v>155</v>
      </c>
      <c r="AF424" t="s">
        <v>155</v>
      </c>
      <c r="AG424" t="s">
        <v>155</v>
      </c>
      <c r="AH424" t="s">
        <v>155</v>
      </c>
    </row>
    <row r="425" spans="19:34" ht="16.2" customHeight="1" x14ac:dyDescent="0.3">
      <c r="T425" t="s">
        <v>169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169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170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170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171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171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172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172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30" spans="19:34" ht="16.2" customHeight="1" x14ac:dyDescent="0.3">
      <c r="S430" s="15" t="s">
        <v>152</v>
      </c>
      <c r="T430" t="s">
        <v>210</v>
      </c>
      <c r="AB430" s="15" t="s">
        <v>152</v>
      </c>
      <c r="AC430" t="s">
        <v>210</v>
      </c>
    </row>
    <row r="431" spans="19:34" ht="16.2" customHeight="1" x14ac:dyDescent="0.3">
      <c r="U431" t="s">
        <v>164</v>
      </c>
      <c r="V431" t="s">
        <v>165</v>
      </c>
      <c r="W431" t="s">
        <v>166</v>
      </c>
      <c r="X431" t="s">
        <v>167</v>
      </c>
      <c r="Y431" t="s">
        <v>168</v>
      </c>
      <c r="AD431" t="s">
        <v>164</v>
      </c>
      <c r="AE431" t="s">
        <v>165</v>
      </c>
      <c r="AF431" t="s">
        <v>166</v>
      </c>
      <c r="AG431" t="s">
        <v>167</v>
      </c>
      <c r="AH431" t="s">
        <v>168</v>
      </c>
    </row>
    <row r="432" spans="19:34" ht="16.2" customHeight="1" x14ac:dyDescent="0.3">
      <c r="T432" t="s">
        <v>154</v>
      </c>
      <c r="U432" t="s">
        <v>155</v>
      </c>
      <c r="V432" t="s">
        <v>87</v>
      </c>
      <c r="W432" t="s">
        <v>155</v>
      </c>
      <c r="X432" t="s">
        <v>87</v>
      </c>
      <c r="Y432" t="s">
        <v>155</v>
      </c>
      <c r="AC432" t="s">
        <v>154</v>
      </c>
      <c r="AD432" t="s">
        <v>155</v>
      </c>
      <c r="AE432" t="s">
        <v>87</v>
      </c>
      <c r="AF432" t="s">
        <v>155</v>
      </c>
      <c r="AG432" t="s">
        <v>87</v>
      </c>
      <c r="AH432" t="s">
        <v>155</v>
      </c>
    </row>
    <row r="433" spans="19:34" ht="16.2" customHeight="1" x14ac:dyDescent="0.3">
      <c r="T433" t="s">
        <v>156</v>
      </c>
      <c r="U433" t="s">
        <v>155</v>
      </c>
      <c r="V433" t="s">
        <v>87</v>
      </c>
      <c r="W433" t="s">
        <v>155</v>
      </c>
      <c r="X433" t="s">
        <v>87</v>
      </c>
      <c r="Y433" t="s">
        <v>155</v>
      </c>
      <c r="AC433" t="s">
        <v>156</v>
      </c>
      <c r="AD433" t="s">
        <v>155</v>
      </c>
      <c r="AE433" t="s">
        <v>87</v>
      </c>
      <c r="AF433" t="s">
        <v>155</v>
      </c>
      <c r="AG433" t="s">
        <v>87</v>
      </c>
      <c r="AH433" t="s">
        <v>155</v>
      </c>
    </row>
    <row r="434" spans="19:34" ht="16.2" customHeight="1" x14ac:dyDescent="0.3">
      <c r="T434" t="s">
        <v>157</v>
      </c>
      <c r="U434" t="s">
        <v>155</v>
      </c>
      <c r="V434" t="s">
        <v>155</v>
      </c>
      <c r="W434" t="s">
        <v>155</v>
      </c>
      <c r="X434" t="s">
        <v>87</v>
      </c>
      <c r="Y434" t="s">
        <v>155</v>
      </c>
      <c r="AC434" t="s">
        <v>157</v>
      </c>
      <c r="AD434" t="s">
        <v>155</v>
      </c>
      <c r="AE434" t="s">
        <v>155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158</v>
      </c>
      <c r="U435" t="s">
        <v>155</v>
      </c>
      <c r="V435" t="s">
        <v>155</v>
      </c>
      <c r="W435" t="s">
        <v>155</v>
      </c>
      <c r="X435" t="s">
        <v>155</v>
      </c>
      <c r="Y435" t="s">
        <v>155</v>
      </c>
      <c r="AC435" t="s">
        <v>158</v>
      </c>
      <c r="AD435" t="s">
        <v>155</v>
      </c>
      <c r="AE435" t="s">
        <v>155</v>
      </c>
      <c r="AF435" t="s">
        <v>155</v>
      </c>
      <c r="AG435" t="s">
        <v>155</v>
      </c>
      <c r="AH435" t="s">
        <v>155</v>
      </c>
    </row>
    <row r="436" spans="19:34" ht="16.2" customHeight="1" x14ac:dyDescent="0.3">
      <c r="T436" t="s">
        <v>159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159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7" spans="19:34" ht="16.2" customHeight="1" x14ac:dyDescent="0.3">
      <c r="T437" t="s">
        <v>160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160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169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169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170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170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171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171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172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172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3" spans="19:34" ht="16.2" customHeight="1" x14ac:dyDescent="0.3">
      <c r="S443" s="15" t="s">
        <v>132</v>
      </c>
      <c r="T443" t="s">
        <v>211</v>
      </c>
      <c r="AB443" s="15" t="s">
        <v>132</v>
      </c>
      <c r="AC443" t="s">
        <v>211</v>
      </c>
    </row>
    <row r="444" spans="19:34" ht="16.2" customHeight="1" x14ac:dyDescent="0.3">
      <c r="U444" t="s">
        <v>164</v>
      </c>
      <c r="V444" t="s">
        <v>165</v>
      </c>
      <c r="W444" t="s">
        <v>166</v>
      </c>
      <c r="X444" t="s">
        <v>167</v>
      </c>
      <c r="Y444" t="s">
        <v>168</v>
      </c>
      <c r="AD444" t="s">
        <v>164</v>
      </c>
      <c r="AE444" t="s">
        <v>165</v>
      </c>
      <c r="AF444" t="s">
        <v>166</v>
      </c>
      <c r="AG444" t="s">
        <v>167</v>
      </c>
      <c r="AH444" t="s">
        <v>168</v>
      </c>
    </row>
    <row r="445" spans="19:34" ht="16.2" customHeight="1" x14ac:dyDescent="0.3">
      <c r="T445" t="s">
        <v>154</v>
      </c>
      <c r="U445" t="s">
        <v>155</v>
      </c>
      <c r="V445" t="s">
        <v>155</v>
      </c>
      <c r="W445" t="s">
        <v>176</v>
      </c>
      <c r="X445" t="s">
        <v>155</v>
      </c>
      <c r="Y445" t="s">
        <v>155</v>
      </c>
      <c r="AC445" t="s">
        <v>154</v>
      </c>
      <c r="AD445" t="s">
        <v>155</v>
      </c>
      <c r="AE445" t="s">
        <v>155</v>
      </c>
      <c r="AF445" t="s">
        <v>176</v>
      </c>
      <c r="AG445" t="s">
        <v>155</v>
      </c>
      <c r="AH445" t="s">
        <v>155</v>
      </c>
    </row>
    <row r="446" spans="19:34" ht="16.2" customHeight="1" x14ac:dyDescent="0.3">
      <c r="T446" t="s">
        <v>156</v>
      </c>
      <c r="U446" t="s">
        <v>155</v>
      </c>
      <c r="V446" t="s">
        <v>155</v>
      </c>
      <c r="W446" t="s">
        <v>176</v>
      </c>
      <c r="X446" t="s">
        <v>155</v>
      </c>
      <c r="Y446" t="s">
        <v>155</v>
      </c>
      <c r="AC446" t="s">
        <v>156</v>
      </c>
      <c r="AD446" t="s">
        <v>155</v>
      </c>
      <c r="AE446" t="s">
        <v>155</v>
      </c>
      <c r="AF446" t="s">
        <v>176</v>
      </c>
      <c r="AG446" t="s">
        <v>155</v>
      </c>
      <c r="AH446" t="s">
        <v>155</v>
      </c>
    </row>
    <row r="447" spans="19:34" ht="16.2" customHeight="1" x14ac:dyDescent="0.3">
      <c r="T447" t="s">
        <v>157</v>
      </c>
      <c r="U447" t="s">
        <v>155</v>
      </c>
      <c r="V447" t="s">
        <v>155</v>
      </c>
      <c r="W447" t="s">
        <v>176</v>
      </c>
      <c r="X447" t="s">
        <v>155</v>
      </c>
      <c r="Y447" t="s">
        <v>155</v>
      </c>
      <c r="AC447" t="s">
        <v>157</v>
      </c>
      <c r="AD447" t="s">
        <v>155</v>
      </c>
      <c r="AE447" t="s">
        <v>155</v>
      </c>
      <c r="AF447" t="s">
        <v>176</v>
      </c>
      <c r="AG447" t="s">
        <v>155</v>
      </c>
      <c r="AH447" t="s">
        <v>155</v>
      </c>
    </row>
    <row r="448" spans="19:34" ht="16.2" customHeight="1" x14ac:dyDescent="0.3">
      <c r="T448" t="s">
        <v>158</v>
      </c>
      <c r="U448" t="s">
        <v>155</v>
      </c>
      <c r="V448" t="s">
        <v>155</v>
      </c>
      <c r="W448" t="s">
        <v>176</v>
      </c>
      <c r="X448" t="s">
        <v>155</v>
      </c>
      <c r="Y448" t="s">
        <v>155</v>
      </c>
      <c r="AC448" t="s">
        <v>158</v>
      </c>
      <c r="AD448" t="s">
        <v>155</v>
      </c>
      <c r="AE448" t="s">
        <v>155</v>
      </c>
      <c r="AF448" t="s">
        <v>176</v>
      </c>
      <c r="AG448" t="s">
        <v>155</v>
      </c>
      <c r="AH448" t="s">
        <v>155</v>
      </c>
    </row>
    <row r="449" spans="19:34" ht="16.2" customHeight="1" x14ac:dyDescent="0.3">
      <c r="T449" t="s">
        <v>159</v>
      </c>
      <c r="U449" t="s">
        <v>155</v>
      </c>
      <c r="V449" t="s">
        <v>155</v>
      </c>
      <c r="W449" t="s">
        <v>155</v>
      </c>
      <c r="X449" t="s">
        <v>155</v>
      </c>
      <c r="Y449" t="s">
        <v>155</v>
      </c>
      <c r="AC449" t="s">
        <v>159</v>
      </c>
      <c r="AD449" t="s">
        <v>155</v>
      </c>
      <c r="AE449" t="s">
        <v>155</v>
      </c>
      <c r="AF449" t="s">
        <v>155</v>
      </c>
      <c r="AG449" t="s">
        <v>155</v>
      </c>
      <c r="AH449" t="s">
        <v>155</v>
      </c>
    </row>
    <row r="450" spans="19:34" ht="16.2" customHeight="1" x14ac:dyDescent="0.3">
      <c r="T450" t="s">
        <v>160</v>
      </c>
      <c r="U450" t="s">
        <v>155</v>
      </c>
      <c r="V450" t="s">
        <v>155</v>
      </c>
      <c r="W450" t="s">
        <v>155</v>
      </c>
      <c r="X450" t="s">
        <v>155</v>
      </c>
      <c r="Y450" t="s">
        <v>155</v>
      </c>
      <c r="AC450" t="s">
        <v>160</v>
      </c>
      <c r="AD450" t="s">
        <v>155</v>
      </c>
      <c r="AE450" t="s">
        <v>155</v>
      </c>
      <c r="AF450" t="s">
        <v>155</v>
      </c>
      <c r="AG450" t="s">
        <v>155</v>
      </c>
      <c r="AH450" t="s">
        <v>155</v>
      </c>
    </row>
    <row r="451" spans="19:34" ht="16.2" customHeight="1" x14ac:dyDescent="0.3">
      <c r="T451" t="s">
        <v>169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169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170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170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171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171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172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172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6" spans="19:34" ht="16.2" customHeight="1" x14ac:dyDescent="0.3">
      <c r="S456" s="15" t="s">
        <v>177</v>
      </c>
      <c r="T456" t="s">
        <v>212</v>
      </c>
      <c r="AB456" s="15" t="s">
        <v>177</v>
      </c>
      <c r="AC456" t="s">
        <v>212</v>
      </c>
    </row>
    <row r="457" spans="19:34" ht="16.2" customHeight="1" x14ac:dyDescent="0.3">
      <c r="U457" t="s">
        <v>164</v>
      </c>
      <c r="V457" t="s">
        <v>165</v>
      </c>
      <c r="W457" t="s">
        <v>166</v>
      </c>
      <c r="X457" t="s">
        <v>167</v>
      </c>
      <c r="Y457" t="s">
        <v>168</v>
      </c>
      <c r="AD457" t="s">
        <v>164</v>
      </c>
      <c r="AE457" t="s">
        <v>165</v>
      </c>
      <c r="AF457" t="s">
        <v>166</v>
      </c>
      <c r="AG457" t="s">
        <v>167</v>
      </c>
      <c r="AH457" t="s">
        <v>168</v>
      </c>
    </row>
    <row r="458" spans="19:34" ht="16.2" customHeight="1" x14ac:dyDescent="0.3">
      <c r="T458" t="s">
        <v>154</v>
      </c>
      <c r="U458" t="s">
        <v>155</v>
      </c>
      <c r="V458" t="s">
        <v>155</v>
      </c>
      <c r="W458" t="s">
        <v>77</v>
      </c>
      <c r="X458" t="s">
        <v>155</v>
      </c>
      <c r="Y458" t="s">
        <v>155</v>
      </c>
      <c r="AC458" t="s">
        <v>154</v>
      </c>
      <c r="AD458" t="s">
        <v>155</v>
      </c>
      <c r="AE458" t="s">
        <v>155</v>
      </c>
      <c r="AF458" t="s">
        <v>77</v>
      </c>
      <c r="AG458" t="s">
        <v>155</v>
      </c>
      <c r="AH458" t="s">
        <v>155</v>
      </c>
    </row>
    <row r="459" spans="19:34" ht="16.2" customHeight="1" x14ac:dyDescent="0.3">
      <c r="T459" t="s">
        <v>156</v>
      </c>
      <c r="U459" t="s">
        <v>155</v>
      </c>
      <c r="V459" t="s">
        <v>155</v>
      </c>
      <c r="W459" t="s">
        <v>77</v>
      </c>
      <c r="X459" t="s">
        <v>155</v>
      </c>
      <c r="Y459" t="s">
        <v>155</v>
      </c>
      <c r="AC459" t="s">
        <v>156</v>
      </c>
      <c r="AD459" t="s">
        <v>155</v>
      </c>
      <c r="AE459" t="s">
        <v>155</v>
      </c>
      <c r="AF459" t="s">
        <v>77</v>
      </c>
      <c r="AG459" t="s">
        <v>155</v>
      </c>
      <c r="AH459" t="s">
        <v>155</v>
      </c>
    </row>
    <row r="460" spans="19:34" ht="16.2" customHeight="1" x14ac:dyDescent="0.3">
      <c r="T460" t="s">
        <v>157</v>
      </c>
      <c r="U460" t="s">
        <v>155</v>
      </c>
      <c r="V460" t="s">
        <v>155</v>
      </c>
      <c r="W460" t="s">
        <v>155</v>
      </c>
      <c r="X460" t="s">
        <v>155</v>
      </c>
      <c r="Y460" t="s">
        <v>155</v>
      </c>
      <c r="AC460" t="s">
        <v>157</v>
      </c>
      <c r="AD460" t="s">
        <v>155</v>
      </c>
      <c r="AE460" t="s">
        <v>155</v>
      </c>
      <c r="AF460" t="s">
        <v>155</v>
      </c>
      <c r="AG460" t="s">
        <v>155</v>
      </c>
      <c r="AH460" t="s">
        <v>155</v>
      </c>
    </row>
    <row r="461" spans="19:34" ht="16.2" customHeight="1" x14ac:dyDescent="0.3">
      <c r="T461" t="s">
        <v>158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158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159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159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160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160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169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169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170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170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171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171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172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172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9" spans="19:34" ht="16.2" customHeight="1" x14ac:dyDescent="0.3">
      <c r="S469" s="15" t="s">
        <v>180</v>
      </c>
      <c r="T469" t="s">
        <v>213</v>
      </c>
      <c r="AB469" s="15" t="s">
        <v>180</v>
      </c>
      <c r="AC469" t="s">
        <v>213</v>
      </c>
    </row>
    <row r="470" spans="19:34" ht="16.2" customHeight="1" x14ac:dyDescent="0.3">
      <c r="U470" t="s">
        <v>164</v>
      </c>
      <c r="V470" t="s">
        <v>165</v>
      </c>
      <c r="W470" t="s">
        <v>166</v>
      </c>
      <c r="X470" t="s">
        <v>167</v>
      </c>
      <c r="Y470" t="s">
        <v>168</v>
      </c>
      <c r="AD470" t="s">
        <v>164</v>
      </c>
      <c r="AE470" t="s">
        <v>165</v>
      </c>
      <c r="AF470" t="s">
        <v>166</v>
      </c>
      <c r="AG470" t="s">
        <v>167</v>
      </c>
      <c r="AH470" t="s">
        <v>168</v>
      </c>
    </row>
    <row r="471" spans="19:34" ht="16.2" customHeight="1" x14ac:dyDescent="0.3">
      <c r="T471" t="s">
        <v>154</v>
      </c>
      <c r="U471" t="s">
        <v>155</v>
      </c>
      <c r="V471" t="s">
        <v>155</v>
      </c>
      <c r="W471" t="s">
        <v>155</v>
      </c>
      <c r="X471" t="s">
        <v>155</v>
      </c>
      <c r="Y471" t="s">
        <v>155</v>
      </c>
      <c r="AC471" t="s">
        <v>154</v>
      </c>
      <c r="AD471" t="s">
        <v>155</v>
      </c>
      <c r="AE471" t="s">
        <v>155</v>
      </c>
      <c r="AF471" t="s">
        <v>155</v>
      </c>
      <c r="AG471" t="s">
        <v>155</v>
      </c>
      <c r="AH471" t="s">
        <v>155</v>
      </c>
    </row>
    <row r="472" spans="19:34" ht="16.2" customHeight="1" x14ac:dyDescent="0.3">
      <c r="T472" t="s">
        <v>156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156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157</v>
      </c>
      <c r="U473" t="s">
        <v>155</v>
      </c>
      <c r="V473" t="s">
        <v>155</v>
      </c>
      <c r="W473" t="s">
        <v>155</v>
      </c>
      <c r="X473" t="s">
        <v>155</v>
      </c>
      <c r="Y473" t="s">
        <v>77</v>
      </c>
      <c r="AC473" t="s">
        <v>157</v>
      </c>
      <c r="AD473" t="s">
        <v>155</v>
      </c>
      <c r="AE473" t="s">
        <v>155</v>
      </c>
      <c r="AF473" t="s">
        <v>155</v>
      </c>
      <c r="AG473" t="s">
        <v>155</v>
      </c>
      <c r="AH473" t="s">
        <v>77</v>
      </c>
    </row>
    <row r="474" spans="19:34" ht="16.2" customHeight="1" x14ac:dyDescent="0.3">
      <c r="T474" t="s">
        <v>158</v>
      </c>
      <c r="U474" t="s">
        <v>155</v>
      </c>
      <c r="V474" t="s">
        <v>155</v>
      </c>
      <c r="W474" t="s">
        <v>155</v>
      </c>
      <c r="X474" t="s">
        <v>155</v>
      </c>
      <c r="Y474" t="s">
        <v>77</v>
      </c>
      <c r="AC474" t="s">
        <v>158</v>
      </c>
      <c r="AD474" t="s">
        <v>155</v>
      </c>
      <c r="AE474" t="s">
        <v>155</v>
      </c>
      <c r="AF474" t="s">
        <v>155</v>
      </c>
      <c r="AG474" t="s">
        <v>155</v>
      </c>
      <c r="AH474" t="s">
        <v>77</v>
      </c>
    </row>
    <row r="475" spans="19:34" ht="16.2" customHeight="1" x14ac:dyDescent="0.3">
      <c r="T475" t="s">
        <v>159</v>
      </c>
      <c r="U475" t="s">
        <v>155</v>
      </c>
      <c r="V475" t="s">
        <v>155</v>
      </c>
      <c r="W475" t="s">
        <v>155</v>
      </c>
      <c r="X475" t="s">
        <v>155</v>
      </c>
      <c r="Y475" t="s">
        <v>155</v>
      </c>
      <c r="AC475" t="s">
        <v>159</v>
      </c>
      <c r="AD475" t="s">
        <v>155</v>
      </c>
      <c r="AE475" t="s">
        <v>155</v>
      </c>
      <c r="AF475" t="s">
        <v>155</v>
      </c>
      <c r="AG475" t="s">
        <v>155</v>
      </c>
      <c r="AH475" t="s">
        <v>155</v>
      </c>
    </row>
    <row r="476" spans="19:34" ht="16.2" customHeight="1" x14ac:dyDescent="0.3">
      <c r="T476" t="s">
        <v>160</v>
      </c>
      <c r="U476" t="s">
        <v>155</v>
      </c>
      <c r="V476" t="s">
        <v>155</v>
      </c>
      <c r="W476" t="s">
        <v>155</v>
      </c>
      <c r="X476" t="s">
        <v>155</v>
      </c>
      <c r="Y476" t="s">
        <v>155</v>
      </c>
      <c r="AC476" t="s">
        <v>160</v>
      </c>
      <c r="AD476" t="s">
        <v>155</v>
      </c>
      <c r="AE476" t="s">
        <v>155</v>
      </c>
      <c r="AF476" t="s">
        <v>155</v>
      </c>
      <c r="AG476" t="s">
        <v>155</v>
      </c>
      <c r="AH476" t="s">
        <v>155</v>
      </c>
    </row>
    <row r="477" spans="19:34" ht="16.2" customHeight="1" x14ac:dyDescent="0.3">
      <c r="T477" t="s">
        <v>169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169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170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170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171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171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172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172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2" spans="19:34" ht="16.2" customHeight="1" x14ac:dyDescent="0.3">
      <c r="S482" s="15" t="s">
        <v>178</v>
      </c>
      <c r="T482" t="s">
        <v>214</v>
      </c>
      <c r="AB482" s="15" t="s">
        <v>178</v>
      </c>
      <c r="AC482" t="s">
        <v>214</v>
      </c>
    </row>
    <row r="483" spans="19:34" ht="16.2" customHeight="1" x14ac:dyDescent="0.3">
      <c r="U483" t="s">
        <v>164</v>
      </c>
      <c r="V483" t="s">
        <v>165</v>
      </c>
      <c r="W483" t="s">
        <v>166</v>
      </c>
      <c r="X483" t="s">
        <v>167</v>
      </c>
      <c r="Y483" t="s">
        <v>168</v>
      </c>
      <c r="AD483" t="s">
        <v>164</v>
      </c>
      <c r="AE483" t="s">
        <v>165</v>
      </c>
      <c r="AF483" t="s">
        <v>166</v>
      </c>
      <c r="AG483" t="s">
        <v>167</v>
      </c>
      <c r="AH483" t="s">
        <v>168</v>
      </c>
    </row>
    <row r="484" spans="19:34" ht="16.2" customHeight="1" x14ac:dyDescent="0.3">
      <c r="T484" t="s">
        <v>154</v>
      </c>
      <c r="U484" t="s">
        <v>155</v>
      </c>
      <c r="V484" t="s">
        <v>155</v>
      </c>
      <c r="W484" t="s">
        <v>155</v>
      </c>
      <c r="X484" t="s">
        <v>155</v>
      </c>
      <c r="Y484" t="s">
        <v>155</v>
      </c>
      <c r="AC484" t="s">
        <v>154</v>
      </c>
      <c r="AD484" t="s">
        <v>155</v>
      </c>
      <c r="AE484" t="s">
        <v>155</v>
      </c>
      <c r="AF484" t="s">
        <v>155</v>
      </c>
      <c r="AG484" t="s">
        <v>155</v>
      </c>
      <c r="AH484" t="s">
        <v>155</v>
      </c>
    </row>
    <row r="485" spans="19:34" ht="16.2" customHeight="1" x14ac:dyDescent="0.3">
      <c r="T485" t="s">
        <v>156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156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157</v>
      </c>
      <c r="U486" t="s">
        <v>155</v>
      </c>
      <c r="V486" t="s">
        <v>155</v>
      </c>
      <c r="W486" t="s">
        <v>155</v>
      </c>
      <c r="X486" t="s">
        <v>155</v>
      </c>
      <c r="Y486" t="s">
        <v>77</v>
      </c>
      <c r="AC486" t="s">
        <v>157</v>
      </c>
      <c r="AD486" t="s">
        <v>155</v>
      </c>
      <c r="AE486" t="s">
        <v>155</v>
      </c>
      <c r="AF486" t="s">
        <v>155</v>
      </c>
      <c r="AG486" t="s">
        <v>155</v>
      </c>
      <c r="AH486" t="s">
        <v>77</v>
      </c>
    </row>
    <row r="487" spans="19:34" ht="16.2" customHeight="1" x14ac:dyDescent="0.3">
      <c r="T487" t="s">
        <v>158</v>
      </c>
      <c r="U487" t="s">
        <v>155</v>
      </c>
      <c r="V487" t="s">
        <v>155</v>
      </c>
      <c r="W487" t="s">
        <v>155</v>
      </c>
      <c r="X487" t="s">
        <v>155</v>
      </c>
      <c r="Y487" t="s">
        <v>77</v>
      </c>
      <c r="AC487" t="s">
        <v>158</v>
      </c>
      <c r="AD487" t="s">
        <v>155</v>
      </c>
      <c r="AE487" t="s">
        <v>155</v>
      </c>
      <c r="AF487" t="s">
        <v>155</v>
      </c>
      <c r="AG487" t="s">
        <v>155</v>
      </c>
      <c r="AH487" t="s">
        <v>77</v>
      </c>
    </row>
    <row r="488" spans="19:34" ht="16.2" customHeight="1" x14ac:dyDescent="0.3">
      <c r="T488" t="s">
        <v>159</v>
      </c>
      <c r="U488" t="s">
        <v>155</v>
      </c>
      <c r="V488" t="s">
        <v>155</v>
      </c>
      <c r="W488" t="s">
        <v>155</v>
      </c>
      <c r="X488" t="s">
        <v>155</v>
      </c>
      <c r="Y488" t="s">
        <v>155</v>
      </c>
      <c r="AC488" t="s">
        <v>159</v>
      </c>
      <c r="AD488" t="s">
        <v>155</v>
      </c>
      <c r="AE488" t="s">
        <v>155</v>
      </c>
      <c r="AF488" t="s">
        <v>155</v>
      </c>
      <c r="AG488" t="s">
        <v>155</v>
      </c>
      <c r="AH488" t="s">
        <v>155</v>
      </c>
    </row>
    <row r="489" spans="19:34" ht="16.2" customHeight="1" x14ac:dyDescent="0.3">
      <c r="T489" t="s">
        <v>160</v>
      </c>
      <c r="U489" t="s">
        <v>155</v>
      </c>
      <c r="V489" t="s">
        <v>155</v>
      </c>
      <c r="W489" t="s">
        <v>155</v>
      </c>
      <c r="X489" t="s">
        <v>155</v>
      </c>
      <c r="Y489" t="s">
        <v>155</v>
      </c>
      <c r="AC489" t="s">
        <v>160</v>
      </c>
      <c r="AD489" t="s">
        <v>155</v>
      </c>
      <c r="AE489" t="s">
        <v>155</v>
      </c>
      <c r="AF489" t="s">
        <v>155</v>
      </c>
      <c r="AG489" t="s">
        <v>155</v>
      </c>
      <c r="AH489" t="s">
        <v>155</v>
      </c>
    </row>
    <row r="490" spans="19:34" ht="16.2" customHeight="1" x14ac:dyDescent="0.3">
      <c r="T490" t="s">
        <v>169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169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170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170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171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171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172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172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5" spans="19:34" ht="16.2" customHeight="1" x14ac:dyDescent="0.3">
      <c r="S495" s="15" t="s">
        <v>182</v>
      </c>
      <c r="T495" t="s">
        <v>215</v>
      </c>
      <c r="AB495" s="15" t="s">
        <v>182</v>
      </c>
      <c r="AC495" t="s">
        <v>215</v>
      </c>
    </row>
    <row r="496" spans="19:34" ht="16.2" customHeight="1" x14ac:dyDescent="0.3">
      <c r="U496" t="s">
        <v>164</v>
      </c>
      <c r="V496" t="s">
        <v>165</v>
      </c>
      <c r="W496" t="s">
        <v>166</v>
      </c>
      <c r="X496" t="s">
        <v>167</v>
      </c>
      <c r="Y496" t="s">
        <v>168</v>
      </c>
      <c r="AD496" t="s">
        <v>164</v>
      </c>
      <c r="AE496" t="s">
        <v>165</v>
      </c>
      <c r="AF496" t="s">
        <v>166</v>
      </c>
      <c r="AG496" t="s">
        <v>167</v>
      </c>
      <c r="AH496" t="s">
        <v>168</v>
      </c>
    </row>
    <row r="497" spans="19:34" ht="16.2" customHeight="1" x14ac:dyDescent="0.3">
      <c r="T497" t="s">
        <v>154</v>
      </c>
      <c r="U497" t="s">
        <v>155</v>
      </c>
      <c r="V497" t="s">
        <v>77</v>
      </c>
      <c r="W497" t="s">
        <v>155</v>
      </c>
      <c r="X497" t="s">
        <v>155</v>
      </c>
      <c r="Y497" t="s">
        <v>155</v>
      </c>
      <c r="AC497" t="s">
        <v>154</v>
      </c>
      <c r="AD497" t="s">
        <v>155</v>
      </c>
      <c r="AE497" t="s">
        <v>77</v>
      </c>
      <c r="AF497" t="s">
        <v>155</v>
      </c>
      <c r="AG497" t="s">
        <v>155</v>
      </c>
      <c r="AH497" t="s">
        <v>155</v>
      </c>
    </row>
    <row r="498" spans="19:34" ht="16.2" customHeight="1" x14ac:dyDescent="0.3">
      <c r="T498" t="s">
        <v>156</v>
      </c>
      <c r="U498" t="s">
        <v>155</v>
      </c>
      <c r="V498" t="s">
        <v>77</v>
      </c>
      <c r="W498" t="s">
        <v>155</v>
      </c>
      <c r="X498" t="s">
        <v>155</v>
      </c>
      <c r="Y498" t="s">
        <v>155</v>
      </c>
      <c r="AC498" t="s">
        <v>156</v>
      </c>
      <c r="AD498" t="s">
        <v>155</v>
      </c>
      <c r="AE498" t="s">
        <v>77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157</v>
      </c>
      <c r="U499" t="s">
        <v>155</v>
      </c>
      <c r="V499" t="s">
        <v>155</v>
      </c>
      <c r="W499" t="s">
        <v>155</v>
      </c>
      <c r="X499" t="s">
        <v>155</v>
      </c>
      <c r="Y499" t="s">
        <v>155</v>
      </c>
      <c r="AC499" t="s">
        <v>157</v>
      </c>
      <c r="AD499" t="s">
        <v>155</v>
      </c>
      <c r="AE499" t="s">
        <v>155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158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158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159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159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160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160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169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169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170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170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171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171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172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172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8" spans="19:34" ht="16.2" customHeight="1" x14ac:dyDescent="0.3">
      <c r="S508" s="15" t="s">
        <v>133</v>
      </c>
      <c r="T508" t="s">
        <v>216</v>
      </c>
      <c r="AB508" s="15" t="s">
        <v>133</v>
      </c>
      <c r="AC508" t="s">
        <v>216</v>
      </c>
    </row>
    <row r="509" spans="19:34" ht="16.2" customHeight="1" x14ac:dyDescent="0.3">
      <c r="U509" t="s">
        <v>164</v>
      </c>
      <c r="V509" t="s">
        <v>165</v>
      </c>
      <c r="W509" t="s">
        <v>166</v>
      </c>
      <c r="X509" t="s">
        <v>167</v>
      </c>
      <c r="Y509" t="s">
        <v>168</v>
      </c>
      <c r="AD509" t="s">
        <v>164</v>
      </c>
      <c r="AE509" t="s">
        <v>165</v>
      </c>
      <c r="AF509" t="s">
        <v>166</v>
      </c>
      <c r="AG509" t="s">
        <v>167</v>
      </c>
      <c r="AH509" t="s">
        <v>168</v>
      </c>
    </row>
    <row r="510" spans="19:34" ht="16.2" customHeight="1" x14ac:dyDescent="0.3">
      <c r="T510" t="s">
        <v>154</v>
      </c>
      <c r="U510" t="s">
        <v>155</v>
      </c>
      <c r="V510" t="s">
        <v>88</v>
      </c>
      <c r="W510" t="s">
        <v>155</v>
      </c>
      <c r="X510" t="s">
        <v>88</v>
      </c>
      <c r="Y510" t="s">
        <v>155</v>
      </c>
      <c r="AC510" t="s">
        <v>154</v>
      </c>
      <c r="AD510" t="s">
        <v>155</v>
      </c>
      <c r="AE510" t="s">
        <v>88</v>
      </c>
      <c r="AF510" t="s">
        <v>155</v>
      </c>
      <c r="AG510" t="s">
        <v>88</v>
      </c>
      <c r="AH510" t="s">
        <v>155</v>
      </c>
    </row>
    <row r="511" spans="19:34" ht="16.2" customHeight="1" x14ac:dyDescent="0.3">
      <c r="T511" t="s">
        <v>156</v>
      </c>
      <c r="U511" t="s">
        <v>155</v>
      </c>
      <c r="V511" t="s">
        <v>88</v>
      </c>
      <c r="W511" t="s">
        <v>155</v>
      </c>
      <c r="X511" t="s">
        <v>88</v>
      </c>
      <c r="Y511" t="s">
        <v>155</v>
      </c>
      <c r="AC511" t="s">
        <v>156</v>
      </c>
      <c r="AD511" t="s">
        <v>155</v>
      </c>
      <c r="AE511" t="s">
        <v>88</v>
      </c>
      <c r="AF511" t="s">
        <v>155</v>
      </c>
      <c r="AG511" t="s">
        <v>88</v>
      </c>
      <c r="AH511" t="s">
        <v>155</v>
      </c>
    </row>
    <row r="512" spans="19:34" ht="16.2" customHeight="1" x14ac:dyDescent="0.3">
      <c r="T512" t="s">
        <v>157</v>
      </c>
      <c r="U512" t="s">
        <v>155</v>
      </c>
      <c r="V512" t="s">
        <v>155</v>
      </c>
      <c r="W512" t="s">
        <v>155</v>
      </c>
      <c r="X512" t="s">
        <v>88</v>
      </c>
      <c r="Y512" t="s">
        <v>155</v>
      </c>
      <c r="AC512" t="s">
        <v>157</v>
      </c>
      <c r="AD512" t="s">
        <v>155</v>
      </c>
      <c r="AE512" t="s">
        <v>155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158</v>
      </c>
      <c r="U513" t="s">
        <v>155</v>
      </c>
      <c r="V513" t="s">
        <v>155</v>
      </c>
      <c r="W513" t="s">
        <v>155</v>
      </c>
      <c r="X513" t="s">
        <v>155</v>
      </c>
      <c r="Y513" t="s">
        <v>155</v>
      </c>
      <c r="AC513" t="s">
        <v>158</v>
      </c>
      <c r="AD513" t="s">
        <v>155</v>
      </c>
      <c r="AE513" t="s">
        <v>155</v>
      </c>
      <c r="AF513" t="s">
        <v>155</v>
      </c>
      <c r="AG513" t="s">
        <v>155</v>
      </c>
      <c r="AH513" t="s">
        <v>155</v>
      </c>
    </row>
    <row r="514" spans="19:34" ht="16.2" customHeight="1" x14ac:dyDescent="0.3">
      <c r="T514" t="s">
        <v>159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159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5" spans="19:34" ht="16.2" customHeight="1" x14ac:dyDescent="0.3">
      <c r="T515" t="s">
        <v>160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160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169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169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170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170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171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171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172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172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1" spans="19:34" ht="16.2" customHeight="1" x14ac:dyDescent="0.3">
      <c r="S521" s="15" t="s">
        <v>134</v>
      </c>
      <c r="T521" t="s">
        <v>217</v>
      </c>
      <c r="AB521" s="15" t="s">
        <v>134</v>
      </c>
      <c r="AC521" t="s">
        <v>217</v>
      </c>
    </row>
    <row r="522" spans="19:34" ht="16.2" customHeight="1" x14ac:dyDescent="0.3">
      <c r="U522" t="s">
        <v>164</v>
      </c>
      <c r="V522" t="s">
        <v>165</v>
      </c>
      <c r="W522" t="s">
        <v>166</v>
      </c>
      <c r="X522" t="s">
        <v>167</v>
      </c>
      <c r="Y522" t="s">
        <v>168</v>
      </c>
      <c r="AD522" t="s">
        <v>164</v>
      </c>
      <c r="AE522" t="s">
        <v>165</v>
      </c>
      <c r="AF522" t="s">
        <v>166</v>
      </c>
      <c r="AG522" t="s">
        <v>167</v>
      </c>
      <c r="AH522" t="s">
        <v>168</v>
      </c>
    </row>
    <row r="523" spans="19:34" ht="16.2" customHeight="1" x14ac:dyDescent="0.3">
      <c r="T523" t="s">
        <v>154</v>
      </c>
      <c r="U523" t="s">
        <v>155</v>
      </c>
      <c r="V523" t="s">
        <v>155</v>
      </c>
      <c r="W523" t="s">
        <v>90</v>
      </c>
      <c r="X523" t="s">
        <v>155</v>
      </c>
      <c r="Y523" t="s">
        <v>90</v>
      </c>
      <c r="AC523" t="s">
        <v>154</v>
      </c>
      <c r="AD523" t="s">
        <v>155</v>
      </c>
      <c r="AE523" t="s">
        <v>155</v>
      </c>
      <c r="AF523" t="s">
        <v>90</v>
      </c>
      <c r="AG523" t="s">
        <v>155</v>
      </c>
      <c r="AH523" t="s">
        <v>90</v>
      </c>
    </row>
    <row r="524" spans="19:34" ht="16.2" customHeight="1" x14ac:dyDescent="0.3">
      <c r="T524" t="s">
        <v>156</v>
      </c>
      <c r="U524" t="s">
        <v>155</v>
      </c>
      <c r="V524" t="s">
        <v>155</v>
      </c>
      <c r="W524" t="s">
        <v>90</v>
      </c>
      <c r="X524" t="s">
        <v>155</v>
      </c>
      <c r="Y524" t="s">
        <v>90</v>
      </c>
      <c r="AC524" t="s">
        <v>156</v>
      </c>
      <c r="AD524" t="s">
        <v>155</v>
      </c>
      <c r="AE524" t="s">
        <v>155</v>
      </c>
      <c r="AF524" t="s">
        <v>90</v>
      </c>
      <c r="AG524" t="s">
        <v>155</v>
      </c>
      <c r="AH524" t="s">
        <v>90</v>
      </c>
    </row>
    <row r="525" spans="19:34" ht="16.2" customHeight="1" x14ac:dyDescent="0.3">
      <c r="T525" t="s">
        <v>157</v>
      </c>
      <c r="U525" t="s">
        <v>155</v>
      </c>
      <c r="V525" t="s">
        <v>155</v>
      </c>
      <c r="W525" t="s">
        <v>155</v>
      </c>
      <c r="X525" t="s">
        <v>155</v>
      </c>
      <c r="Y525" t="s">
        <v>155</v>
      </c>
      <c r="AC525" t="s">
        <v>157</v>
      </c>
      <c r="AD525" t="s">
        <v>155</v>
      </c>
      <c r="AE525" t="s">
        <v>155</v>
      </c>
      <c r="AF525" t="s">
        <v>155</v>
      </c>
      <c r="AG525" t="s">
        <v>155</v>
      </c>
      <c r="AH525" t="s">
        <v>155</v>
      </c>
    </row>
    <row r="526" spans="19:34" ht="16.2" customHeight="1" x14ac:dyDescent="0.3">
      <c r="T526" t="s">
        <v>158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158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159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159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160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160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169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169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170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170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171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171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172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172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4" spans="19:34" ht="16.2" customHeight="1" x14ac:dyDescent="0.3">
      <c r="S534" s="15" t="s">
        <v>135</v>
      </c>
      <c r="T534" t="s">
        <v>218</v>
      </c>
      <c r="AB534" s="15" t="s">
        <v>135</v>
      </c>
      <c r="AC534" t="s">
        <v>218</v>
      </c>
    </row>
    <row r="535" spans="19:34" ht="16.2" customHeight="1" x14ac:dyDescent="0.3">
      <c r="U535" t="s">
        <v>164</v>
      </c>
      <c r="V535" t="s">
        <v>165</v>
      </c>
      <c r="W535" t="s">
        <v>166</v>
      </c>
      <c r="X535" t="s">
        <v>167</v>
      </c>
      <c r="Y535" t="s">
        <v>168</v>
      </c>
      <c r="AD535" t="s">
        <v>164</v>
      </c>
      <c r="AE535" t="s">
        <v>165</v>
      </c>
      <c r="AF535" t="s">
        <v>166</v>
      </c>
      <c r="AG535" t="s">
        <v>167</v>
      </c>
      <c r="AH535" t="s">
        <v>168</v>
      </c>
    </row>
    <row r="536" spans="19:34" ht="16.2" customHeight="1" x14ac:dyDescent="0.3">
      <c r="T536" t="s">
        <v>154</v>
      </c>
      <c r="U536" t="s">
        <v>91</v>
      </c>
      <c r="V536" t="s">
        <v>155</v>
      </c>
      <c r="W536" t="s">
        <v>155</v>
      </c>
      <c r="X536" t="s">
        <v>155</v>
      </c>
      <c r="Y536" t="s">
        <v>91</v>
      </c>
      <c r="AC536" t="s">
        <v>154</v>
      </c>
      <c r="AD536" t="s">
        <v>155</v>
      </c>
      <c r="AE536" t="s">
        <v>155</v>
      </c>
      <c r="AF536" t="s">
        <v>155</v>
      </c>
      <c r="AG536" t="s">
        <v>155</v>
      </c>
      <c r="AH536" t="s">
        <v>91</v>
      </c>
    </row>
    <row r="537" spans="19:34" ht="16.2" customHeight="1" x14ac:dyDescent="0.3">
      <c r="T537" t="s">
        <v>156</v>
      </c>
      <c r="U537" t="s">
        <v>91</v>
      </c>
      <c r="V537" t="s">
        <v>155</v>
      </c>
      <c r="W537" t="s">
        <v>155</v>
      </c>
      <c r="X537" t="s">
        <v>155</v>
      </c>
      <c r="Y537" t="s">
        <v>91</v>
      </c>
      <c r="AC537" t="s">
        <v>156</v>
      </c>
      <c r="AD537" t="s">
        <v>155</v>
      </c>
      <c r="AE537" t="s">
        <v>155</v>
      </c>
      <c r="AF537" t="s">
        <v>155</v>
      </c>
      <c r="AG537" t="s">
        <v>155</v>
      </c>
      <c r="AH537" t="s">
        <v>91</v>
      </c>
    </row>
    <row r="538" spans="19:34" ht="16.2" customHeight="1" x14ac:dyDescent="0.3">
      <c r="T538" t="s">
        <v>157</v>
      </c>
      <c r="U538" t="s">
        <v>91</v>
      </c>
      <c r="V538" t="s">
        <v>155</v>
      </c>
      <c r="W538" t="s">
        <v>155</v>
      </c>
      <c r="X538" t="s">
        <v>91</v>
      </c>
      <c r="Y538" t="s">
        <v>155</v>
      </c>
      <c r="AC538" t="s">
        <v>157</v>
      </c>
      <c r="AD538" t="s">
        <v>91</v>
      </c>
      <c r="AE538" t="s">
        <v>155</v>
      </c>
      <c r="AF538" t="s">
        <v>155</v>
      </c>
      <c r="AG538" t="s">
        <v>155</v>
      </c>
      <c r="AH538" t="s">
        <v>155</v>
      </c>
    </row>
    <row r="539" spans="19:34" ht="16.2" customHeight="1" x14ac:dyDescent="0.3">
      <c r="T539" t="s">
        <v>158</v>
      </c>
      <c r="U539" t="s">
        <v>91</v>
      </c>
      <c r="V539" t="s">
        <v>155</v>
      </c>
      <c r="W539" t="s">
        <v>155</v>
      </c>
      <c r="X539" t="s">
        <v>91</v>
      </c>
      <c r="Y539" t="s">
        <v>155</v>
      </c>
      <c r="AC539" t="s">
        <v>158</v>
      </c>
      <c r="AD539" t="s">
        <v>91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159</v>
      </c>
      <c r="U540" t="s">
        <v>155</v>
      </c>
      <c r="V540" t="s">
        <v>155</v>
      </c>
      <c r="W540" t="s">
        <v>155</v>
      </c>
      <c r="X540" t="s">
        <v>155</v>
      </c>
      <c r="Y540" t="s">
        <v>155</v>
      </c>
      <c r="AC540" t="s">
        <v>159</v>
      </c>
      <c r="AD540" t="s">
        <v>91</v>
      </c>
      <c r="AE540" t="s">
        <v>155</v>
      </c>
      <c r="AF540" t="s">
        <v>155</v>
      </c>
      <c r="AG540" t="s">
        <v>91</v>
      </c>
      <c r="AH540" t="s">
        <v>155</v>
      </c>
    </row>
    <row r="541" spans="19:34" ht="16.2" customHeight="1" x14ac:dyDescent="0.3">
      <c r="T541" t="s">
        <v>160</v>
      </c>
      <c r="U541" t="s">
        <v>155</v>
      </c>
      <c r="V541" t="s">
        <v>155</v>
      </c>
      <c r="W541" t="s">
        <v>155</v>
      </c>
      <c r="X541" t="s">
        <v>155</v>
      </c>
      <c r="Y541" t="s">
        <v>155</v>
      </c>
      <c r="AC541" t="s">
        <v>160</v>
      </c>
      <c r="AD541" t="s">
        <v>91</v>
      </c>
      <c r="AE541" t="s">
        <v>155</v>
      </c>
      <c r="AF541" t="s">
        <v>155</v>
      </c>
      <c r="AG541" t="s">
        <v>91</v>
      </c>
      <c r="AH541" t="s">
        <v>155</v>
      </c>
    </row>
    <row r="542" spans="19:34" ht="16.2" customHeight="1" x14ac:dyDescent="0.3">
      <c r="T542" t="s">
        <v>169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169</v>
      </c>
      <c r="AD542" t="s">
        <v>155</v>
      </c>
      <c r="AE542" t="s">
        <v>155</v>
      </c>
      <c r="AF542" t="s">
        <v>155</v>
      </c>
      <c r="AG542" t="s">
        <v>155</v>
      </c>
      <c r="AH542" t="s">
        <v>155</v>
      </c>
    </row>
    <row r="543" spans="19:34" ht="16.2" customHeight="1" x14ac:dyDescent="0.3">
      <c r="T543" t="s">
        <v>170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170</v>
      </c>
      <c r="AD543" t="s">
        <v>155</v>
      </c>
      <c r="AE543" t="s">
        <v>155</v>
      </c>
      <c r="AF543" t="s">
        <v>155</v>
      </c>
      <c r="AG543" t="s">
        <v>155</v>
      </c>
      <c r="AH543" t="s">
        <v>155</v>
      </c>
    </row>
    <row r="544" spans="19:34" ht="16.2" customHeight="1" x14ac:dyDescent="0.3">
      <c r="T544" t="s">
        <v>171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171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172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172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7" spans="19:34" ht="16.2" customHeight="1" x14ac:dyDescent="0.3">
      <c r="S547" s="15" t="s">
        <v>136</v>
      </c>
      <c r="T547" t="s">
        <v>219</v>
      </c>
      <c r="AB547" s="15" t="s">
        <v>136</v>
      </c>
      <c r="AC547" t="s">
        <v>219</v>
      </c>
    </row>
    <row r="548" spans="19:34" ht="16.2" customHeight="1" x14ac:dyDescent="0.3">
      <c r="U548" t="s">
        <v>164</v>
      </c>
      <c r="V548" t="s">
        <v>165</v>
      </c>
      <c r="W548" t="s">
        <v>166</v>
      </c>
      <c r="X548" t="s">
        <v>167</v>
      </c>
      <c r="Y548" t="s">
        <v>168</v>
      </c>
      <c r="AD548" t="s">
        <v>164</v>
      </c>
      <c r="AE548" t="s">
        <v>165</v>
      </c>
      <c r="AF548" t="s">
        <v>166</v>
      </c>
      <c r="AG548" t="s">
        <v>167</v>
      </c>
      <c r="AH548" t="s">
        <v>168</v>
      </c>
    </row>
    <row r="549" spans="19:34" ht="16.2" customHeight="1" x14ac:dyDescent="0.3">
      <c r="T549" t="s">
        <v>154</v>
      </c>
      <c r="U549" t="s">
        <v>155</v>
      </c>
      <c r="V549" t="s">
        <v>155</v>
      </c>
      <c r="W549" t="s">
        <v>155</v>
      </c>
      <c r="X549" t="s">
        <v>155</v>
      </c>
      <c r="Y549" t="s">
        <v>155</v>
      </c>
      <c r="AC549" t="s">
        <v>154</v>
      </c>
      <c r="AD549" t="s">
        <v>155</v>
      </c>
      <c r="AE549" t="s">
        <v>155</v>
      </c>
      <c r="AF549" t="s">
        <v>155</v>
      </c>
      <c r="AG549" t="s">
        <v>155</v>
      </c>
      <c r="AH549" t="s">
        <v>155</v>
      </c>
    </row>
    <row r="550" spans="19:34" ht="16.2" customHeight="1" x14ac:dyDescent="0.3">
      <c r="T550" t="s">
        <v>156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156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157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157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158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158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159</v>
      </c>
      <c r="U553" t="s">
        <v>155</v>
      </c>
      <c r="V553" t="s">
        <v>155</v>
      </c>
      <c r="W553" t="s">
        <v>155</v>
      </c>
      <c r="X553" t="s">
        <v>155</v>
      </c>
      <c r="Y553" t="s">
        <v>92</v>
      </c>
      <c r="AC553" t="s">
        <v>159</v>
      </c>
      <c r="AD553" t="s">
        <v>155</v>
      </c>
      <c r="AE553" t="s">
        <v>155</v>
      </c>
      <c r="AF553" t="s">
        <v>155</v>
      </c>
      <c r="AG553" t="s">
        <v>155</v>
      </c>
      <c r="AH553" t="s">
        <v>92</v>
      </c>
    </row>
    <row r="554" spans="19:34" ht="16.2" customHeight="1" x14ac:dyDescent="0.3">
      <c r="T554" t="s">
        <v>160</v>
      </c>
      <c r="U554" t="s">
        <v>155</v>
      </c>
      <c r="V554" t="s">
        <v>155</v>
      </c>
      <c r="W554" t="s">
        <v>155</v>
      </c>
      <c r="X554" t="s">
        <v>155</v>
      </c>
      <c r="Y554" t="s">
        <v>92</v>
      </c>
      <c r="AC554" t="s">
        <v>160</v>
      </c>
      <c r="AD554" t="s">
        <v>155</v>
      </c>
      <c r="AE554" t="s">
        <v>155</v>
      </c>
      <c r="AF554" t="s">
        <v>155</v>
      </c>
      <c r="AG554" t="s">
        <v>155</v>
      </c>
      <c r="AH554" t="s">
        <v>92</v>
      </c>
    </row>
    <row r="555" spans="19:34" ht="16.2" customHeight="1" x14ac:dyDescent="0.3">
      <c r="T555" t="s">
        <v>169</v>
      </c>
      <c r="U555" t="s">
        <v>155</v>
      </c>
      <c r="V555" t="s">
        <v>155</v>
      </c>
      <c r="W555" t="s">
        <v>155</v>
      </c>
      <c r="X555" t="s">
        <v>155</v>
      </c>
      <c r="Y555" t="s">
        <v>155</v>
      </c>
      <c r="AC555" t="s">
        <v>169</v>
      </c>
      <c r="AD555" t="s">
        <v>155</v>
      </c>
      <c r="AE555" t="s">
        <v>155</v>
      </c>
      <c r="AF555" t="s">
        <v>155</v>
      </c>
      <c r="AG555" t="s">
        <v>155</v>
      </c>
      <c r="AH555" t="s">
        <v>155</v>
      </c>
    </row>
    <row r="556" spans="19:34" ht="16.2" customHeight="1" x14ac:dyDescent="0.3">
      <c r="T556" t="s">
        <v>170</v>
      </c>
      <c r="U556" t="s">
        <v>155</v>
      </c>
      <c r="V556" t="s">
        <v>155</v>
      </c>
      <c r="W556" t="s">
        <v>155</v>
      </c>
      <c r="X556" t="s">
        <v>155</v>
      </c>
      <c r="Y556" t="s">
        <v>155</v>
      </c>
      <c r="AC556" t="s">
        <v>170</v>
      </c>
      <c r="AD556" t="s">
        <v>155</v>
      </c>
      <c r="AE556" t="s">
        <v>155</v>
      </c>
      <c r="AF556" t="s">
        <v>155</v>
      </c>
      <c r="AG556" t="s">
        <v>155</v>
      </c>
      <c r="AH556" t="s">
        <v>155</v>
      </c>
    </row>
    <row r="557" spans="19:34" ht="16.2" customHeight="1" x14ac:dyDescent="0.3">
      <c r="T557" t="s">
        <v>171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171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172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172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60" spans="19:34" ht="16.2" customHeight="1" x14ac:dyDescent="0.3">
      <c r="S560" s="15" t="s">
        <v>137</v>
      </c>
      <c r="T560" t="s">
        <v>220</v>
      </c>
      <c r="AB560" s="15" t="s">
        <v>137</v>
      </c>
      <c r="AC560" t="s">
        <v>220</v>
      </c>
    </row>
    <row r="561" spans="19:34" ht="16.2" customHeight="1" x14ac:dyDescent="0.3">
      <c r="U561" t="s">
        <v>164</v>
      </c>
      <c r="V561" t="s">
        <v>165</v>
      </c>
      <c r="W561" t="s">
        <v>166</v>
      </c>
      <c r="X561" t="s">
        <v>167</v>
      </c>
      <c r="Y561" t="s">
        <v>168</v>
      </c>
      <c r="AD561" t="s">
        <v>164</v>
      </c>
      <c r="AE561" t="s">
        <v>165</v>
      </c>
      <c r="AF561" t="s">
        <v>166</v>
      </c>
      <c r="AG561" t="s">
        <v>167</v>
      </c>
      <c r="AH561" t="s">
        <v>168</v>
      </c>
    </row>
    <row r="562" spans="19:34" ht="16.2" customHeight="1" x14ac:dyDescent="0.3">
      <c r="T562" t="s">
        <v>154</v>
      </c>
      <c r="U562" t="s">
        <v>155</v>
      </c>
      <c r="V562" t="s">
        <v>155</v>
      </c>
      <c r="W562" t="s">
        <v>155</v>
      </c>
      <c r="X562" t="s">
        <v>155</v>
      </c>
      <c r="Y562" t="s">
        <v>155</v>
      </c>
      <c r="AC562" t="s">
        <v>154</v>
      </c>
      <c r="AD562" t="s">
        <v>155</v>
      </c>
      <c r="AE562" t="s">
        <v>155</v>
      </c>
      <c r="AF562" t="s">
        <v>155</v>
      </c>
      <c r="AG562" t="s">
        <v>155</v>
      </c>
      <c r="AH562" t="s">
        <v>155</v>
      </c>
    </row>
    <row r="563" spans="19:34" ht="16.2" customHeight="1" x14ac:dyDescent="0.3">
      <c r="T563" t="s">
        <v>156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156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157</v>
      </c>
      <c r="U564" t="s">
        <v>155</v>
      </c>
      <c r="V564" t="s">
        <v>155</v>
      </c>
      <c r="W564" t="s">
        <v>92</v>
      </c>
      <c r="X564" t="s">
        <v>155</v>
      </c>
      <c r="Y564" t="s">
        <v>155</v>
      </c>
      <c r="AC564" t="s">
        <v>157</v>
      </c>
      <c r="AD564" t="s">
        <v>155</v>
      </c>
      <c r="AE564" t="s">
        <v>155</v>
      </c>
      <c r="AF564" t="s">
        <v>92</v>
      </c>
      <c r="AG564" t="s">
        <v>155</v>
      </c>
      <c r="AH564" t="s">
        <v>155</v>
      </c>
    </row>
    <row r="565" spans="19:34" ht="16.2" customHeight="1" x14ac:dyDescent="0.3">
      <c r="T565" t="s">
        <v>158</v>
      </c>
      <c r="U565" t="s">
        <v>155</v>
      </c>
      <c r="V565" t="s">
        <v>155</v>
      </c>
      <c r="W565" t="s">
        <v>92</v>
      </c>
      <c r="X565" t="s">
        <v>155</v>
      </c>
      <c r="Y565" t="s">
        <v>155</v>
      </c>
      <c r="AC565" t="s">
        <v>158</v>
      </c>
      <c r="AD565" t="s">
        <v>155</v>
      </c>
      <c r="AE565" t="s">
        <v>155</v>
      </c>
      <c r="AF565" t="s">
        <v>92</v>
      </c>
      <c r="AG565" t="s">
        <v>155</v>
      </c>
      <c r="AH565" t="s">
        <v>155</v>
      </c>
    </row>
    <row r="566" spans="19:34" ht="16.2" customHeight="1" x14ac:dyDescent="0.3">
      <c r="T566" t="s">
        <v>159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159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160</v>
      </c>
      <c r="U567" t="s">
        <v>155</v>
      </c>
      <c r="V567" t="s">
        <v>155</v>
      </c>
      <c r="W567" t="s">
        <v>155</v>
      </c>
      <c r="X567" t="s">
        <v>155</v>
      </c>
      <c r="Y567" t="s">
        <v>155</v>
      </c>
      <c r="AC567" t="s">
        <v>160</v>
      </c>
      <c r="AD567" t="s">
        <v>155</v>
      </c>
      <c r="AE567" t="s">
        <v>155</v>
      </c>
      <c r="AF567" t="s">
        <v>155</v>
      </c>
      <c r="AG567" t="s">
        <v>155</v>
      </c>
      <c r="AH567" t="s">
        <v>155</v>
      </c>
    </row>
    <row r="568" spans="19:34" ht="16.2" customHeight="1" x14ac:dyDescent="0.3">
      <c r="T568" t="s">
        <v>169</v>
      </c>
      <c r="U568" t="s">
        <v>155</v>
      </c>
      <c r="V568" t="s">
        <v>155</v>
      </c>
      <c r="W568" t="s">
        <v>155</v>
      </c>
      <c r="X568" t="s">
        <v>155</v>
      </c>
      <c r="Y568" t="s">
        <v>155</v>
      </c>
      <c r="AC568" t="s">
        <v>169</v>
      </c>
      <c r="AD568" t="s">
        <v>155</v>
      </c>
      <c r="AE568" t="s">
        <v>155</v>
      </c>
      <c r="AF568" t="s">
        <v>155</v>
      </c>
      <c r="AG568" t="s">
        <v>155</v>
      </c>
      <c r="AH568" t="s">
        <v>155</v>
      </c>
    </row>
    <row r="569" spans="19:34" ht="16.2" customHeight="1" x14ac:dyDescent="0.3">
      <c r="T569" t="s">
        <v>170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170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171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171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172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172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3" spans="19:34" ht="16.2" customHeight="1" x14ac:dyDescent="0.3">
      <c r="S573" s="15" t="s">
        <v>138</v>
      </c>
      <c r="T573" t="s">
        <v>221</v>
      </c>
      <c r="AB573" s="15" t="s">
        <v>138</v>
      </c>
      <c r="AC573" t="s">
        <v>221</v>
      </c>
    </row>
    <row r="574" spans="19:34" ht="16.2" customHeight="1" x14ac:dyDescent="0.3">
      <c r="U574" t="s">
        <v>164</v>
      </c>
      <c r="V574" t="s">
        <v>165</v>
      </c>
      <c r="W574" t="s">
        <v>166</v>
      </c>
      <c r="X574" t="s">
        <v>167</v>
      </c>
      <c r="Y574" t="s">
        <v>168</v>
      </c>
      <c r="AD574" t="s">
        <v>164</v>
      </c>
      <c r="AE574" t="s">
        <v>165</v>
      </c>
      <c r="AF574" t="s">
        <v>166</v>
      </c>
      <c r="AG574" t="s">
        <v>167</v>
      </c>
      <c r="AH574" t="s">
        <v>168</v>
      </c>
    </row>
    <row r="575" spans="19:34" ht="16.2" customHeight="1" x14ac:dyDescent="0.3">
      <c r="T575" t="s">
        <v>154</v>
      </c>
      <c r="U575" t="s">
        <v>155</v>
      </c>
      <c r="V575" t="s">
        <v>93</v>
      </c>
      <c r="W575" t="s">
        <v>155</v>
      </c>
      <c r="X575" t="s">
        <v>155</v>
      </c>
      <c r="Y575" t="s">
        <v>155</v>
      </c>
      <c r="AC575" t="s">
        <v>154</v>
      </c>
      <c r="AD575" t="s">
        <v>155</v>
      </c>
      <c r="AE575" t="s">
        <v>93</v>
      </c>
      <c r="AF575" t="s">
        <v>155</v>
      </c>
      <c r="AG575" t="s">
        <v>155</v>
      </c>
      <c r="AH575" t="s">
        <v>155</v>
      </c>
    </row>
    <row r="576" spans="19:34" ht="16.2" customHeight="1" x14ac:dyDescent="0.3">
      <c r="T576" t="s">
        <v>156</v>
      </c>
      <c r="U576" t="s">
        <v>155</v>
      </c>
      <c r="V576" t="s">
        <v>93</v>
      </c>
      <c r="W576" t="s">
        <v>155</v>
      </c>
      <c r="X576" t="s">
        <v>155</v>
      </c>
      <c r="Y576" t="s">
        <v>155</v>
      </c>
      <c r="AC576" t="s">
        <v>156</v>
      </c>
      <c r="AD576" t="s">
        <v>155</v>
      </c>
      <c r="AE576" t="s">
        <v>93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157</v>
      </c>
      <c r="U577" t="s">
        <v>155</v>
      </c>
      <c r="V577" t="s">
        <v>155</v>
      </c>
      <c r="W577" t="s">
        <v>155</v>
      </c>
      <c r="X577" t="s">
        <v>155</v>
      </c>
      <c r="Y577" t="s">
        <v>93</v>
      </c>
      <c r="AC577" t="s">
        <v>157</v>
      </c>
      <c r="AD577" t="s">
        <v>155</v>
      </c>
      <c r="AE577" t="s">
        <v>155</v>
      </c>
      <c r="AF577" t="s">
        <v>155</v>
      </c>
      <c r="AG577" t="s">
        <v>155</v>
      </c>
      <c r="AH577" t="s">
        <v>93</v>
      </c>
    </row>
    <row r="578" spans="19:34" ht="16.2" customHeight="1" x14ac:dyDescent="0.3">
      <c r="T578" t="s">
        <v>158</v>
      </c>
      <c r="U578" t="s">
        <v>155</v>
      </c>
      <c r="V578" t="s">
        <v>155</v>
      </c>
      <c r="W578" t="s">
        <v>155</v>
      </c>
      <c r="X578" t="s">
        <v>155</v>
      </c>
      <c r="Y578" t="s">
        <v>93</v>
      </c>
      <c r="AC578" t="s">
        <v>158</v>
      </c>
      <c r="AD578" t="s">
        <v>155</v>
      </c>
      <c r="AE578" t="s">
        <v>155</v>
      </c>
      <c r="AF578" t="s">
        <v>155</v>
      </c>
      <c r="AG578" t="s">
        <v>155</v>
      </c>
      <c r="AH578" t="s">
        <v>93</v>
      </c>
    </row>
    <row r="579" spans="19:34" ht="16.2" customHeight="1" x14ac:dyDescent="0.3">
      <c r="T579" t="s">
        <v>159</v>
      </c>
      <c r="U579" t="s">
        <v>155</v>
      </c>
      <c r="V579" t="s">
        <v>155</v>
      </c>
      <c r="W579" t="s">
        <v>155</v>
      </c>
      <c r="X579" t="s">
        <v>155</v>
      </c>
      <c r="Y579" t="s">
        <v>155</v>
      </c>
      <c r="AC579" t="s">
        <v>159</v>
      </c>
      <c r="AD579" t="s">
        <v>155</v>
      </c>
      <c r="AE579" t="s">
        <v>155</v>
      </c>
      <c r="AF579" t="s">
        <v>155</v>
      </c>
      <c r="AG579" t="s">
        <v>155</v>
      </c>
      <c r="AH579" t="s">
        <v>155</v>
      </c>
    </row>
    <row r="580" spans="19:34" ht="16.2" customHeight="1" x14ac:dyDescent="0.3">
      <c r="T580" t="s">
        <v>160</v>
      </c>
      <c r="U580" t="s">
        <v>155</v>
      </c>
      <c r="V580" t="s">
        <v>155</v>
      </c>
      <c r="W580" t="s">
        <v>155</v>
      </c>
      <c r="X580" t="s">
        <v>155</v>
      </c>
      <c r="Y580" t="s">
        <v>155</v>
      </c>
      <c r="AC580" t="s">
        <v>160</v>
      </c>
      <c r="AD580" t="s">
        <v>155</v>
      </c>
      <c r="AE580" t="s">
        <v>155</v>
      </c>
      <c r="AF580" t="s">
        <v>155</v>
      </c>
      <c r="AG580" t="s">
        <v>155</v>
      </c>
      <c r="AH580" t="s">
        <v>155</v>
      </c>
    </row>
    <row r="581" spans="19:34" ht="16.2" customHeight="1" x14ac:dyDescent="0.3">
      <c r="T581" t="s">
        <v>169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169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170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170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171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171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172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172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6" spans="19:34" ht="16.2" customHeight="1" x14ac:dyDescent="0.3">
      <c r="S586" s="15" t="s">
        <v>139</v>
      </c>
      <c r="T586" t="s">
        <v>222</v>
      </c>
      <c r="AB586" s="15" t="s">
        <v>139</v>
      </c>
      <c r="AC586" t="s">
        <v>222</v>
      </c>
    </row>
    <row r="587" spans="19:34" ht="16.2" customHeight="1" x14ac:dyDescent="0.3">
      <c r="U587" t="s">
        <v>164</v>
      </c>
      <c r="V587" t="s">
        <v>165</v>
      </c>
      <c r="W587" t="s">
        <v>166</v>
      </c>
      <c r="X587" t="s">
        <v>167</v>
      </c>
      <c r="Y587" t="s">
        <v>168</v>
      </c>
      <c r="AD587" t="s">
        <v>164</v>
      </c>
      <c r="AE587" t="s">
        <v>165</v>
      </c>
      <c r="AF587" t="s">
        <v>166</v>
      </c>
      <c r="AG587" t="s">
        <v>167</v>
      </c>
      <c r="AH587" t="s">
        <v>168</v>
      </c>
    </row>
    <row r="588" spans="19:34" ht="16.2" customHeight="1" x14ac:dyDescent="0.3">
      <c r="T588" t="s">
        <v>154</v>
      </c>
      <c r="U588" t="s">
        <v>155</v>
      </c>
      <c r="V588" t="s">
        <v>155</v>
      </c>
      <c r="W588" t="s">
        <v>93</v>
      </c>
      <c r="X588" t="s">
        <v>155</v>
      </c>
      <c r="Y588" t="s">
        <v>155</v>
      </c>
      <c r="AC588" t="s">
        <v>154</v>
      </c>
      <c r="AD588" t="s">
        <v>155</v>
      </c>
      <c r="AE588" t="s">
        <v>155</v>
      </c>
      <c r="AF588" t="s">
        <v>93</v>
      </c>
      <c r="AG588" t="s">
        <v>155</v>
      </c>
      <c r="AH588" t="s">
        <v>155</v>
      </c>
    </row>
    <row r="589" spans="19:34" ht="16.2" customHeight="1" x14ac:dyDescent="0.3">
      <c r="T589" t="s">
        <v>156</v>
      </c>
      <c r="U589" t="s">
        <v>155</v>
      </c>
      <c r="V589" t="s">
        <v>155</v>
      </c>
      <c r="W589" t="s">
        <v>93</v>
      </c>
      <c r="X589" t="s">
        <v>155</v>
      </c>
      <c r="Y589" t="s">
        <v>155</v>
      </c>
      <c r="AC589" t="s">
        <v>156</v>
      </c>
      <c r="AD589" t="s">
        <v>155</v>
      </c>
      <c r="AE589" t="s">
        <v>155</v>
      </c>
      <c r="AF589" t="s">
        <v>93</v>
      </c>
      <c r="AG589" t="s">
        <v>155</v>
      </c>
      <c r="AH589" t="s">
        <v>155</v>
      </c>
    </row>
    <row r="590" spans="19:34" ht="16.2" customHeight="1" x14ac:dyDescent="0.3">
      <c r="T590" t="s">
        <v>157</v>
      </c>
      <c r="U590" t="s">
        <v>155</v>
      </c>
      <c r="V590" t="s">
        <v>155</v>
      </c>
      <c r="W590" t="s">
        <v>155</v>
      </c>
      <c r="X590" t="s">
        <v>155</v>
      </c>
      <c r="Y590" t="s">
        <v>93</v>
      </c>
      <c r="AC590" t="s">
        <v>157</v>
      </c>
      <c r="AD590" t="s">
        <v>155</v>
      </c>
      <c r="AE590" t="s">
        <v>155</v>
      </c>
      <c r="AF590" t="s">
        <v>155</v>
      </c>
      <c r="AG590" t="s">
        <v>155</v>
      </c>
      <c r="AH590" t="s">
        <v>93</v>
      </c>
    </row>
    <row r="591" spans="19:34" ht="16.2" customHeight="1" x14ac:dyDescent="0.3">
      <c r="T591" t="s">
        <v>158</v>
      </c>
      <c r="U591" t="s">
        <v>155</v>
      </c>
      <c r="V591" t="s">
        <v>155</v>
      </c>
      <c r="W591" t="s">
        <v>155</v>
      </c>
      <c r="X591" t="s">
        <v>155</v>
      </c>
      <c r="Y591" t="s">
        <v>93</v>
      </c>
      <c r="AC591" t="s">
        <v>158</v>
      </c>
      <c r="AD591" t="s">
        <v>155</v>
      </c>
      <c r="AE591" t="s">
        <v>155</v>
      </c>
      <c r="AF591" t="s">
        <v>155</v>
      </c>
      <c r="AG591" t="s">
        <v>155</v>
      </c>
      <c r="AH591" t="s">
        <v>93</v>
      </c>
    </row>
    <row r="592" spans="19:34" ht="16.2" customHeight="1" x14ac:dyDescent="0.3">
      <c r="T592" t="s">
        <v>159</v>
      </c>
      <c r="U592" t="s">
        <v>155</v>
      </c>
      <c r="V592" t="s">
        <v>155</v>
      </c>
      <c r="W592" t="s">
        <v>155</v>
      </c>
      <c r="X592" t="s">
        <v>155</v>
      </c>
      <c r="Y592" t="s">
        <v>155</v>
      </c>
      <c r="AC592" t="s">
        <v>159</v>
      </c>
      <c r="AD592" t="s">
        <v>155</v>
      </c>
      <c r="AE592" t="s">
        <v>155</v>
      </c>
      <c r="AF592" t="s">
        <v>155</v>
      </c>
      <c r="AG592" t="s">
        <v>155</v>
      </c>
      <c r="AH592" t="s">
        <v>155</v>
      </c>
    </row>
    <row r="593" spans="19:34" ht="16.2" customHeight="1" x14ac:dyDescent="0.3">
      <c r="T593" t="s">
        <v>160</v>
      </c>
      <c r="U593" t="s">
        <v>155</v>
      </c>
      <c r="V593" t="s">
        <v>155</v>
      </c>
      <c r="W593" t="s">
        <v>155</v>
      </c>
      <c r="X593" t="s">
        <v>155</v>
      </c>
      <c r="Y593" t="s">
        <v>155</v>
      </c>
      <c r="AC593" t="s">
        <v>160</v>
      </c>
      <c r="AD593" t="s">
        <v>155</v>
      </c>
      <c r="AE593" t="s">
        <v>155</v>
      </c>
      <c r="AF593" t="s">
        <v>155</v>
      </c>
      <c r="AG593" t="s">
        <v>155</v>
      </c>
      <c r="AH593" t="s">
        <v>155</v>
      </c>
    </row>
    <row r="594" spans="19:34" ht="16.2" customHeight="1" x14ac:dyDescent="0.3">
      <c r="T594" t="s">
        <v>169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169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170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170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171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171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172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172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9" spans="19:34" ht="16.2" customHeight="1" x14ac:dyDescent="0.3">
      <c r="S599" s="15" t="s">
        <v>140</v>
      </c>
      <c r="T599" t="s">
        <v>223</v>
      </c>
      <c r="AB599" s="15" t="s">
        <v>140</v>
      </c>
      <c r="AC599" t="s">
        <v>223</v>
      </c>
    </row>
    <row r="600" spans="19:34" ht="16.2" customHeight="1" x14ac:dyDescent="0.3">
      <c r="U600" t="s">
        <v>164</v>
      </c>
      <c r="V600" t="s">
        <v>165</v>
      </c>
      <c r="W600" t="s">
        <v>166</v>
      </c>
      <c r="X600" t="s">
        <v>167</v>
      </c>
      <c r="Y600" t="s">
        <v>168</v>
      </c>
      <c r="AD600" t="s">
        <v>164</v>
      </c>
      <c r="AE600" t="s">
        <v>165</v>
      </c>
      <c r="AF600" t="s">
        <v>166</v>
      </c>
      <c r="AG600" t="s">
        <v>167</v>
      </c>
      <c r="AH600" t="s">
        <v>168</v>
      </c>
    </row>
    <row r="601" spans="19:34" ht="16.2" customHeight="1" x14ac:dyDescent="0.3">
      <c r="T601" t="s">
        <v>154</v>
      </c>
      <c r="U601" t="s">
        <v>155</v>
      </c>
      <c r="V601" t="s">
        <v>155</v>
      </c>
      <c r="W601" t="s">
        <v>155</v>
      </c>
      <c r="X601" t="s">
        <v>155</v>
      </c>
      <c r="Y601" t="s">
        <v>155</v>
      </c>
      <c r="AC601" t="s">
        <v>154</v>
      </c>
      <c r="AD601" t="s">
        <v>155</v>
      </c>
      <c r="AE601" t="s">
        <v>155</v>
      </c>
      <c r="AF601" t="s">
        <v>155</v>
      </c>
      <c r="AG601" t="s">
        <v>155</v>
      </c>
      <c r="AH601" t="s">
        <v>155</v>
      </c>
    </row>
    <row r="602" spans="19:34" ht="16.2" customHeight="1" x14ac:dyDescent="0.3">
      <c r="T602" t="s">
        <v>156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156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157</v>
      </c>
      <c r="U603" t="s">
        <v>155</v>
      </c>
      <c r="V603" t="s">
        <v>95</v>
      </c>
      <c r="W603" t="s">
        <v>155</v>
      </c>
      <c r="X603" t="s">
        <v>155</v>
      </c>
      <c r="Y603" t="s">
        <v>155</v>
      </c>
      <c r="AC603" t="s">
        <v>157</v>
      </c>
      <c r="AD603" t="s">
        <v>155</v>
      </c>
      <c r="AE603" t="s">
        <v>95</v>
      </c>
      <c r="AF603" t="s">
        <v>155</v>
      </c>
      <c r="AG603" t="s">
        <v>95</v>
      </c>
      <c r="AH603" t="s">
        <v>155</v>
      </c>
    </row>
    <row r="604" spans="19:34" ht="16.2" customHeight="1" x14ac:dyDescent="0.3">
      <c r="T604" t="s">
        <v>158</v>
      </c>
      <c r="U604" t="s">
        <v>155</v>
      </c>
      <c r="V604" t="s">
        <v>95</v>
      </c>
      <c r="W604" t="s">
        <v>155</v>
      </c>
      <c r="X604" t="s">
        <v>155</v>
      </c>
      <c r="Y604" t="s">
        <v>155</v>
      </c>
      <c r="AC604" t="s">
        <v>158</v>
      </c>
      <c r="AD604" t="s">
        <v>155</v>
      </c>
      <c r="AE604" t="s">
        <v>95</v>
      </c>
      <c r="AF604" t="s">
        <v>155</v>
      </c>
      <c r="AG604" t="s">
        <v>95</v>
      </c>
      <c r="AH604" t="s">
        <v>155</v>
      </c>
    </row>
    <row r="605" spans="19:34" ht="16.2" customHeight="1" x14ac:dyDescent="0.3">
      <c r="T605" t="s">
        <v>159</v>
      </c>
      <c r="U605" t="s">
        <v>155</v>
      </c>
      <c r="V605" t="s">
        <v>155</v>
      </c>
      <c r="W605" t="s">
        <v>155</v>
      </c>
      <c r="X605" t="s">
        <v>155</v>
      </c>
      <c r="Y605" t="s">
        <v>95</v>
      </c>
      <c r="AC605" t="s">
        <v>159</v>
      </c>
      <c r="AD605" t="s">
        <v>155</v>
      </c>
      <c r="AE605" t="s">
        <v>155</v>
      </c>
      <c r="AF605" t="s">
        <v>155</v>
      </c>
      <c r="AG605" t="s">
        <v>155</v>
      </c>
      <c r="AH605" t="s">
        <v>155</v>
      </c>
    </row>
    <row r="606" spans="19:34" ht="16.2" customHeight="1" x14ac:dyDescent="0.3">
      <c r="T606" t="s">
        <v>160</v>
      </c>
      <c r="U606" t="s">
        <v>155</v>
      </c>
      <c r="V606" t="s">
        <v>155</v>
      </c>
      <c r="W606" t="s">
        <v>155</v>
      </c>
      <c r="X606" t="s">
        <v>155</v>
      </c>
      <c r="Y606" t="s">
        <v>95</v>
      </c>
      <c r="AC606" t="s">
        <v>160</v>
      </c>
      <c r="AD606" t="s">
        <v>155</v>
      </c>
      <c r="AE606" t="s">
        <v>155</v>
      </c>
      <c r="AF606" t="s">
        <v>155</v>
      </c>
      <c r="AG606" t="s">
        <v>155</v>
      </c>
      <c r="AH606" t="s">
        <v>155</v>
      </c>
    </row>
    <row r="607" spans="19:34" ht="16.2" customHeight="1" x14ac:dyDescent="0.3">
      <c r="T607" t="s">
        <v>169</v>
      </c>
      <c r="U607" t="s">
        <v>155</v>
      </c>
      <c r="V607" t="s">
        <v>155</v>
      </c>
      <c r="W607" t="s">
        <v>155</v>
      </c>
      <c r="X607" t="s">
        <v>155</v>
      </c>
      <c r="Y607" t="s">
        <v>155</v>
      </c>
      <c r="AC607" t="s">
        <v>169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170</v>
      </c>
      <c r="U608" t="s">
        <v>155</v>
      </c>
      <c r="V608" t="s">
        <v>155</v>
      </c>
      <c r="W608" t="s">
        <v>155</v>
      </c>
      <c r="X608" t="s">
        <v>155</v>
      </c>
      <c r="Y608" t="s">
        <v>155</v>
      </c>
      <c r="AC608" t="s">
        <v>170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171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171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172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172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2" spans="19:34" ht="16.2" customHeight="1" x14ac:dyDescent="0.3">
      <c r="S612" s="15" t="s">
        <v>141</v>
      </c>
      <c r="T612" t="s">
        <v>224</v>
      </c>
      <c r="AB612" s="15" t="s">
        <v>141</v>
      </c>
      <c r="AC612" t="s">
        <v>224</v>
      </c>
    </row>
    <row r="613" spans="19:34" ht="16.2" customHeight="1" x14ac:dyDescent="0.3">
      <c r="U613" t="s">
        <v>164</v>
      </c>
      <c r="V613" t="s">
        <v>165</v>
      </c>
      <c r="W613" t="s">
        <v>166</v>
      </c>
      <c r="X613" t="s">
        <v>167</v>
      </c>
      <c r="Y613" t="s">
        <v>168</v>
      </c>
      <c r="AD613" t="s">
        <v>164</v>
      </c>
      <c r="AE613" t="s">
        <v>165</v>
      </c>
      <c r="AF613" t="s">
        <v>166</v>
      </c>
      <c r="AG613" t="s">
        <v>167</v>
      </c>
      <c r="AH613" t="s">
        <v>168</v>
      </c>
    </row>
    <row r="614" spans="19:34" ht="16.2" customHeight="1" x14ac:dyDescent="0.3">
      <c r="T614" t="s">
        <v>154</v>
      </c>
      <c r="U614" t="s">
        <v>155</v>
      </c>
      <c r="V614" t="s">
        <v>155</v>
      </c>
      <c r="W614" t="s">
        <v>155</v>
      </c>
      <c r="X614" t="s">
        <v>155</v>
      </c>
      <c r="Y614" t="s">
        <v>155</v>
      </c>
      <c r="AC614" t="s">
        <v>154</v>
      </c>
      <c r="AD614" t="s">
        <v>155</v>
      </c>
      <c r="AE614" t="s">
        <v>155</v>
      </c>
      <c r="AF614" t="s">
        <v>155</v>
      </c>
      <c r="AG614" t="s">
        <v>155</v>
      </c>
      <c r="AH614" t="s">
        <v>155</v>
      </c>
    </row>
    <row r="615" spans="19:34" ht="16.2" customHeight="1" x14ac:dyDescent="0.3">
      <c r="T615" t="s">
        <v>156</v>
      </c>
      <c r="U615" t="s">
        <v>155</v>
      </c>
      <c r="V615" t="s">
        <v>155</v>
      </c>
      <c r="W615" t="s">
        <v>155</v>
      </c>
      <c r="X615" t="s">
        <v>95</v>
      </c>
      <c r="Y615" t="s">
        <v>155</v>
      </c>
      <c r="AC615" t="s">
        <v>156</v>
      </c>
      <c r="AD615" t="s">
        <v>155</v>
      </c>
      <c r="AE615" t="s">
        <v>155</v>
      </c>
      <c r="AF615" t="s">
        <v>155</v>
      </c>
      <c r="AG615" t="s">
        <v>95</v>
      </c>
      <c r="AH615" t="s">
        <v>155</v>
      </c>
    </row>
    <row r="616" spans="19:34" ht="16.2" customHeight="1" x14ac:dyDescent="0.3">
      <c r="T616" t="s">
        <v>157</v>
      </c>
      <c r="U616" t="s">
        <v>155</v>
      </c>
      <c r="V616" t="s">
        <v>155</v>
      </c>
      <c r="W616" t="s">
        <v>155</v>
      </c>
      <c r="X616" t="s">
        <v>95</v>
      </c>
      <c r="Y616" t="s">
        <v>155</v>
      </c>
      <c r="AC616" t="s">
        <v>157</v>
      </c>
      <c r="AD616" t="s">
        <v>155</v>
      </c>
      <c r="AE616" t="s">
        <v>155</v>
      </c>
      <c r="AF616" t="s">
        <v>155</v>
      </c>
      <c r="AG616" t="s">
        <v>95</v>
      </c>
      <c r="AH616" t="s">
        <v>155</v>
      </c>
    </row>
    <row r="617" spans="19:34" ht="16.2" customHeight="1" x14ac:dyDescent="0.3">
      <c r="T617" t="s">
        <v>158</v>
      </c>
      <c r="U617" t="s">
        <v>155</v>
      </c>
      <c r="V617" t="s">
        <v>155</v>
      </c>
      <c r="W617" t="s">
        <v>155</v>
      </c>
      <c r="X617" t="s">
        <v>155</v>
      </c>
      <c r="Y617" t="s">
        <v>155</v>
      </c>
      <c r="AC617" t="s">
        <v>158</v>
      </c>
      <c r="AD617" t="s">
        <v>155</v>
      </c>
      <c r="AE617" t="s">
        <v>155</v>
      </c>
      <c r="AF617" t="s">
        <v>155</v>
      </c>
      <c r="AG617" t="s">
        <v>155</v>
      </c>
      <c r="AH617" t="s">
        <v>155</v>
      </c>
    </row>
    <row r="618" spans="19:34" ht="16.2" customHeight="1" x14ac:dyDescent="0.3">
      <c r="T618" t="s">
        <v>159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159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19" spans="19:34" ht="16.2" customHeight="1" x14ac:dyDescent="0.3">
      <c r="T619" t="s">
        <v>160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160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169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169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170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170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171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171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172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172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5" spans="19:34" ht="16.2" customHeight="1" x14ac:dyDescent="0.3">
      <c r="S625" s="15" t="s">
        <v>142</v>
      </c>
      <c r="T625" t="s">
        <v>225</v>
      </c>
      <c r="AB625" s="15" t="s">
        <v>142</v>
      </c>
      <c r="AC625" t="s">
        <v>225</v>
      </c>
    </row>
    <row r="626" spans="19:34" ht="16.2" customHeight="1" x14ac:dyDescent="0.3">
      <c r="U626" t="s">
        <v>164</v>
      </c>
      <c r="V626" t="s">
        <v>165</v>
      </c>
      <c r="W626" t="s">
        <v>166</v>
      </c>
      <c r="X626" t="s">
        <v>167</v>
      </c>
      <c r="Y626" t="s">
        <v>168</v>
      </c>
      <c r="AD626" t="s">
        <v>164</v>
      </c>
      <c r="AE626" t="s">
        <v>165</v>
      </c>
      <c r="AF626" t="s">
        <v>166</v>
      </c>
      <c r="AG626" t="s">
        <v>167</v>
      </c>
      <c r="AH626" t="s">
        <v>168</v>
      </c>
    </row>
    <row r="627" spans="19:34" ht="16.2" customHeight="1" x14ac:dyDescent="0.3">
      <c r="T627" t="s">
        <v>154</v>
      </c>
      <c r="U627" t="s">
        <v>155</v>
      </c>
      <c r="V627" t="s">
        <v>155</v>
      </c>
      <c r="W627" t="s">
        <v>155</v>
      </c>
      <c r="X627" t="s">
        <v>155</v>
      </c>
      <c r="Y627" t="s">
        <v>155</v>
      </c>
      <c r="AC627" t="s">
        <v>154</v>
      </c>
      <c r="AD627" t="s">
        <v>155</v>
      </c>
      <c r="AE627" t="s">
        <v>155</v>
      </c>
      <c r="AF627" t="s">
        <v>155</v>
      </c>
      <c r="AG627" t="s">
        <v>155</v>
      </c>
      <c r="AH627" t="s">
        <v>155</v>
      </c>
    </row>
    <row r="628" spans="19:34" ht="16.2" customHeight="1" x14ac:dyDescent="0.3">
      <c r="T628" t="s">
        <v>156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156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157</v>
      </c>
      <c r="U629" t="s">
        <v>95</v>
      </c>
      <c r="V629" t="s">
        <v>155</v>
      </c>
      <c r="W629" t="s">
        <v>155</v>
      </c>
      <c r="X629" t="s">
        <v>155</v>
      </c>
      <c r="Y629" t="s">
        <v>155</v>
      </c>
      <c r="AC629" t="s">
        <v>157</v>
      </c>
      <c r="AD629" t="s">
        <v>95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158</v>
      </c>
      <c r="U630" t="s">
        <v>95</v>
      </c>
      <c r="V630" t="s">
        <v>155</v>
      </c>
      <c r="W630" t="s">
        <v>155</v>
      </c>
      <c r="X630" t="s">
        <v>155</v>
      </c>
      <c r="Y630" t="s">
        <v>155</v>
      </c>
      <c r="AC630" t="s">
        <v>158</v>
      </c>
      <c r="AD630" t="s">
        <v>95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159</v>
      </c>
      <c r="U631" t="s">
        <v>155</v>
      </c>
      <c r="V631" t="s">
        <v>155</v>
      </c>
      <c r="W631" t="s">
        <v>155</v>
      </c>
      <c r="X631" t="s">
        <v>155</v>
      </c>
      <c r="Y631" t="s">
        <v>155</v>
      </c>
      <c r="AC631" t="s">
        <v>159</v>
      </c>
      <c r="AD631" t="s">
        <v>155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160</v>
      </c>
      <c r="U632" t="s">
        <v>155</v>
      </c>
      <c r="V632" t="s">
        <v>155</v>
      </c>
      <c r="W632" t="s">
        <v>155</v>
      </c>
      <c r="X632" t="s">
        <v>155</v>
      </c>
      <c r="Y632" t="s">
        <v>155</v>
      </c>
      <c r="AC632" t="s">
        <v>160</v>
      </c>
      <c r="AD632" t="s">
        <v>155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169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169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170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170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171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171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172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172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8" spans="19:34" ht="16.2" customHeight="1" x14ac:dyDescent="0.3">
      <c r="S638" s="15" t="s">
        <v>143</v>
      </c>
      <c r="T638" t="s">
        <v>226</v>
      </c>
      <c r="AB638" s="15" t="s">
        <v>143</v>
      </c>
      <c r="AC638" t="s">
        <v>226</v>
      </c>
    </row>
    <row r="639" spans="19:34" ht="16.2" customHeight="1" x14ac:dyDescent="0.3">
      <c r="U639" t="s">
        <v>164</v>
      </c>
      <c r="V639" t="s">
        <v>165</v>
      </c>
      <c r="W639" t="s">
        <v>166</v>
      </c>
      <c r="X639" t="s">
        <v>167</v>
      </c>
      <c r="Y639" t="s">
        <v>168</v>
      </c>
      <c r="AD639" t="s">
        <v>164</v>
      </c>
      <c r="AE639" t="s">
        <v>165</v>
      </c>
      <c r="AF639" t="s">
        <v>166</v>
      </c>
      <c r="AG639" t="s">
        <v>167</v>
      </c>
      <c r="AH639" t="s">
        <v>168</v>
      </c>
    </row>
    <row r="640" spans="19:34" ht="16.2" customHeight="1" x14ac:dyDescent="0.3">
      <c r="T640" t="s">
        <v>154</v>
      </c>
      <c r="U640" t="s">
        <v>155</v>
      </c>
      <c r="V640" t="s">
        <v>155</v>
      </c>
      <c r="W640" t="s">
        <v>155</v>
      </c>
      <c r="X640" t="s">
        <v>155</v>
      </c>
      <c r="Y640" t="s">
        <v>155</v>
      </c>
      <c r="AC640" t="s">
        <v>154</v>
      </c>
      <c r="AD640" t="s">
        <v>155</v>
      </c>
      <c r="AE640" t="s">
        <v>155</v>
      </c>
      <c r="AF640" t="s">
        <v>155</v>
      </c>
      <c r="AG640" t="s">
        <v>155</v>
      </c>
      <c r="AH640" t="s">
        <v>155</v>
      </c>
    </row>
    <row r="641" spans="19:34" ht="16.2" customHeight="1" x14ac:dyDescent="0.3">
      <c r="T641" t="s">
        <v>156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156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157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157</v>
      </c>
      <c r="AD642" t="s">
        <v>155</v>
      </c>
      <c r="AE642" t="s">
        <v>155</v>
      </c>
      <c r="AF642" t="s">
        <v>96</v>
      </c>
      <c r="AG642" t="s">
        <v>155</v>
      </c>
      <c r="AH642" t="s">
        <v>155</v>
      </c>
    </row>
    <row r="643" spans="19:34" ht="16.2" customHeight="1" x14ac:dyDescent="0.3">
      <c r="T643" t="s">
        <v>158</v>
      </c>
      <c r="U643" t="s">
        <v>155</v>
      </c>
      <c r="V643" t="s">
        <v>96</v>
      </c>
      <c r="W643" t="s">
        <v>155</v>
      </c>
      <c r="X643" t="s">
        <v>155</v>
      </c>
      <c r="Y643" t="s">
        <v>155</v>
      </c>
      <c r="AC643" t="s">
        <v>158</v>
      </c>
      <c r="AD643" t="s">
        <v>155</v>
      </c>
      <c r="AE643" t="s">
        <v>155</v>
      </c>
      <c r="AF643" t="s">
        <v>96</v>
      </c>
      <c r="AG643" t="s">
        <v>155</v>
      </c>
      <c r="AH643" t="s">
        <v>155</v>
      </c>
    </row>
    <row r="644" spans="19:34" ht="16.2" customHeight="1" x14ac:dyDescent="0.3">
      <c r="T644" t="s">
        <v>159</v>
      </c>
      <c r="U644" t="s">
        <v>155</v>
      </c>
      <c r="V644" t="s">
        <v>96</v>
      </c>
      <c r="W644" t="s">
        <v>155</v>
      </c>
      <c r="X644" t="s">
        <v>96</v>
      </c>
      <c r="Y644" t="s">
        <v>155</v>
      </c>
      <c r="AC644" t="s">
        <v>159</v>
      </c>
      <c r="AD644" t="s">
        <v>96</v>
      </c>
      <c r="AE644" t="s">
        <v>155</v>
      </c>
      <c r="AF644" t="s">
        <v>155</v>
      </c>
      <c r="AG644" t="s">
        <v>155</v>
      </c>
      <c r="AH644" t="s">
        <v>155</v>
      </c>
    </row>
    <row r="645" spans="19:34" ht="16.2" customHeight="1" x14ac:dyDescent="0.3">
      <c r="T645" t="s">
        <v>160</v>
      </c>
      <c r="U645" t="s">
        <v>155</v>
      </c>
      <c r="V645" t="s">
        <v>155</v>
      </c>
      <c r="W645" t="s">
        <v>155</v>
      </c>
      <c r="X645" t="s">
        <v>96</v>
      </c>
      <c r="Y645" t="s">
        <v>155</v>
      </c>
      <c r="AC645" t="s">
        <v>160</v>
      </c>
      <c r="AD645" t="s">
        <v>96</v>
      </c>
      <c r="AE645" t="s">
        <v>155</v>
      </c>
      <c r="AF645" t="s">
        <v>155</v>
      </c>
      <c r="AG645" t="s">
        <v>155</v>
      </c>
      <c r="AH645" t="s">
        <v>155</v>
      </c>
    </row>
    <row r="646" spans="19:34" ht="16.2" customHeight="1" x14ac:dyDescent="0.3">
      <c r="T646" t="s">
        <v>169</v>
      </c>
      <c r="U646" t="s">
        <v>155</v>
      </c>
      <c r="V646" t="s">
        <v>155</v>
      </c>
      <c r="W646" t="s">
        <v>155</v>
      </c>
      <c r="X646" t="s">
        <v>155</v>
      </c>
      <c r="Y646" t="s">
        <v>155</v>
      </c>
      <c r="AC646" t="s">
        <v>169</v>
      </c>
      <c r="AD646" t="s">
        <v>155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170</v>
      </c>
      <c r="U647" t="s">
        <v>155</v>
      </c>
      <c r="V647" t="s">
        <v>155</v>
      </c>
      <c r="W647" t="s">
        <v>155</v>
      </c>
      <c r="X647" t="s">
        <v>155</v>
      </c>
      <c r="Y647" t="s">
        <v>155</v>
      </c>
      <c r="AC647" t="s">
        <v>170</v>
      </c>
      <c r="AD647" t="s">
        <v>155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171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171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172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172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1" spans="19:34" ht="16.2" customHeight="1" x14ac:dyDescent="0.3">
      <c r="S651" s="15" t="s">
        <v>144</v>
      </c>
      <c r="T651" t="s">
        <v>227</v>
      </c>
      <c r="AB651" s="15" t="s">
        <v>144</v>
      </c>
      <c r="AC651" t="s">
        <v>227</v>
      </c>
    </row>
    <row r="652" spans="19:34" ht="16.2" customHeight="1" x14ac:dyDescent="0.3">
      <c r="U652" t="s">
        <v>164</v>
      </c>
      <c r="V652" t="s">
        <v>165</v>
      </c>
      <c r="W652" t="s">
        <v>166</v>
      </c>
      <c r="X652" t="s">
        <v>167</v>
      </c>
      <c r="Y652" t="s">
        <v>168</v>
      </c>
      <c r="AD652" t="s">
        <v>164</v>
      </c>
      <c r="AE652" t="s">
        <v>165</v>
      </c>
      <c r="AF652" t="s">
        <v>166</v>
      </c>
      <c r="AG652" t="s">
        <v>167</v>
      </c>
      <c r="AH652" t="s">
        <v>168</v>
      </c>
    </row>
    <row r="653" spans="19:34" ht="16.2" customHeight="1" x14ac:dyDescent="0.3">
      <c r="T653" t="s">
        <v>154</v>
      </c>
      <c r="U653" t="s">
        <v>155</v>
      </c>
      <c r="V653" t="s">
        <v>155</v>
      </c>
      <c r="W653" t="s">
        <v>155</v>
      </c>
      <c r="X653" t="s">
        <v>155</v>
      </c>
      <c r="Y653" t="s">
        <v>155</v>
      </c>
      <c r="AC653" t="s">
        <v>154</v>
      </c>
      <c r="AD653" t="s">
        <v>155</v>
      </c>
      <c r="AE653" t="s">
        <v>155</v>
      </c>
      <c r="AF653" t="s">
        <v>155</v>
      </c>
      <c r="AG653" t="s">
        <v>155</v>
      </c>
      <c r="AH653" t="s">
        <v>155</v>
      </c>
    </row>
    <row r="654" spans="19:34" ht="16.2" customHeight="1" x14ac:dyDescent="0.3">
      <c r="T654" t="s">
        <v>156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156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157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157</v>
      </c>
      <c r="AD655" t="s">
        <v>155</v>
      </c>
      <c r="AE655" t="s">
        <v>155</v>
      </c>
      <c r="AF655" t="s">
        <v>96</v>
      </c>
      <c r="AG655" t="s">
        <v>155</v>
      </c>
      <c r="AH655" t="s">
        <v>155</v>
      </c>
    </row>
    <row r="656" spans="19:34" ht="16.2" customHeight="1" x14ac:dyDescent="0.3">
      <c r="T656" t="s">
        <v>158</v>
      </c>
      <c r="U656" t="s">
        <v>155</v>
      </c>
      <c r="V656" t="s">
        <v>96</v>
      </c>
      <c r="W656" t="s">
        <v>155</v>
      </c>
      <c r="X656" t="s">
        <v>155</v>
      </c>
      <c r="Y656" t="s">
        <v>155</v>
      </c>
      <c r="AC656" t="s">
        <v>158</v>
      </c>
      <c r="AD656" t="s">
        <v>155</v>
      </c>
      <c r="AE656" t="s">
        <v>155</v>
      </c>
      <c r="AF656" t="s">
        <v>96</v>
      </c>
      <c r="AG656" t="s">
        <v>155</v>
      </c>
      <c r="AH656" t="s">
        <v>155</v>
      </c>
    </row>
    <row r="657" spans="19:34" ht="16.2" customHeight="1" x14ac:dyDescent="0.3">
      <c r="T657" t="s">
        <v>159</v>
      </c>
      <c r="U657" t="s">
        <v>155</v>
      </c>
      <c r="V657" t="s">
        <v>96</v>
      </c>
      <c r="W657" t="s">
        <v>155</v>
      </c>
      <c r="X657" t="s">
        <v>96</v>
      </c>
      <c r="Y657" t="s">
        <v>155</v>
      </c>
      <c r="AC657" t="s">
        <v>159</v>
      </c>
      <c r="AD657" t="s">
        <v>96</v>
      </c>
      <c r="AE657" t="s">
        <v>155</v>
      </c>
      <c r="AF657" t="s">
        <v>155</v>
      </c>
      <c r="AG657" t="s">
        <v>155</v>
      </c>
      <c r="AH657" t="s">
        <v>155</v>
      </c>
    </row>
    <row r="658" spans="19:34" ht="16.2" customHeight="1" x14ac:dyDescent="0.3">
      <c r="T658" t="s">
        <v>160</v>
      </c>
      <c r="U658" t="s">
        <v>155</v>
      </c>
      <c r="V658" t="s">
        <v>155</v>
      </c>
      <c r="W658" t="s">
        <v>155</v>
      </c>
      <c r="X658" t="s">
        <v>96</v>
      </c>
      <c r="Y658" t="s">
        <v>155</v>
      </c>
      <c r="AC658" t="s">
        <v>160</v>
      </c>
      <c r="AD658" t="s">
        <v>96</v>
      </c>
      <c r="AE658" t="s">
        <v>155</v>
      </c>
      <c r="AF658" t="s">
        <v>155</v>
      </c>
      <c r="AG658" t="s">
        <v>155</v>
      </c>
      <c r="AH658" t="s">
        <v>155</v>
      </c>
    </row>
    <row r="659" spans="19:34" ht="16.2" customHeight="1" x14ac:dyDescent="0.3">
      <c r="T659" t="s">
        <v>169</v>
      </c>
      <c r="U659" t="s">
        <v>155</v>
      </c>
      <c r="V659" t="s">
        <v>155</v>
      </c>
      <c r="W659" t="s">
        <v>155</v>
      </c>
      <c r="X659" t="s">
        <v>155</v>
      </c>
      <c r="Y659" t="s">
        <v>155</v>
      </c>
      <c r="AC659" t="s">
        <v>169</v>
      </c>
      <c r="AD659" t="s">
        <v>155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170</v>
      </c>
      <c r="U660" t="s">
        <v>155</v>
      </c>
      <c r="V660" t="s">
        <v>155</v>
      </c>
      <c r="W660" t="s">
        <v>155</v>
      </c>
      <c r="X660" t="s">
        <v>155</v>
      </c>
      <c r="Y660" t="s">
        <v>155</v>
      </c>
      <c r="AC660" t="s">
        <v>170</v>
      </c>
      <c r="AD660" t="s">
        <v>155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171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171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172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172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4" spans="19:34" ht="16.2" customHeight="1" x14ac:dyDescent="0.3">
      <c r="S664" s="15" t="s">
        <v>145</v>
      </c>
      <c r="T664" t="s">
        <v>228</v>
      </c>
      <c r="AB664" s="15" t="s">
        <v>145</v>
      </c>
      <c r="AC664" t="s">
        <v>228</v>
      </c>
    </row>
    <row r="665" spans="19:34" ht="16.2" customHeight="1" x14ac:dyDescent="0.3">
      <c r="U665" t="s">
        <v>164</v>
      </c>
      <c r="V665" t="s">
        <v>165</v>
      </c>
      <c r="W665" t="s">
        <v>166</v>
      </c>
      <c r="X665" t="s">
        <v>167</v>
      </c>
      <c r="Y665" t="s">
        <v>168</v>
      </c>
      <c r="AD665" t="s">
        <v>164</v>
      </c>
      <c r="AE665" t="s">
        <v>165</v>
      </c>
      <c r="AF665" t="s">
        <v>166</v>
      </c>
      <c r="AG665" t="s">
        <v>167</v>
      </c>
      <c r="AH665" t="s">
        <v>168</v>
      </c>
    </row>
    <row r="666" spans="19:34" ht="16.2" customHeight="1" x14ac:dyDescent="0.3">
      <c r="T666" t="s">
        <v>154</v>
      </c>
      <c r="U666" t="s">
        <v>155</v>
      </c>
      <c r="V666" t="s">
        <v>97</v>
      </c>
      <c r="W666" t="s">
        <v>155</v>
      </c>
      <c r="X666" t="s">
        <v>155</v>
      </c>
      <c r="Y666" t="s">
        <v>97</v>
      </c>
      <c r="AC666" t="s">
        <v>154</v>
      </c>
      <c r="AD666" t="s">
        <v>155</v>
      </c>
      <c r="AE666" t="s">
        <v>97</v>
      </c>
      <c r="AF666" t="s">
        <v>155</v>
      </c>
      <c r="AG666" t="s">
        <v>155</v>
      </c>
      <c r="AH666" t="s">
        <v>97</v>
      </c>
    </row>
    <row r="667" spans="19:34" ht="16.2" customHeight="1" x14ac:dyDescent="0.3">
      <c r="T667" t="s">
        <v>156</v>
      </c>
      <c r="U667" t="s">
        <v>155</v>
      </c>
      <c r="V667" t="s">
        <v>97</v>
      </c>
      <c r="W667" t="s">
        <v>155</v>
      </c>
      <c r="X667" t="s">
        <v>155</v>
      </c>
      <c r="Y667" t="s">
        <v>97</v>
      </c>
      <c r="AC667" t="s">
        <v>156</v>
      </c>
      <c r="AD667" t="s">
        <v>155</v>
      </c>
      <c r="AE667" t="s">
        <v>97</v>
      </c>
      <c r="AF667" t="s">
        <v>155</v>
      </c>
      <c r="AG667" t="s">
        <v>155</v>
      </c>
      <c r="AH667" t="s">
        <v>97</v>
      </c>
    </row>
    <row r="668" spans="19:34" ht="16.2" customHeight="1" x14ac:dyDescent="0.3">
      <c r="T668" t="s">
        <v>157</v>
      </c>
      <c r="U668" t="s">
        <v>155</v>
      </c>
      <c r="V668" t="s">
        <v>97</v>
      </c>
      <c r="W668" t="s">
        <v>155</v>
      </c>
      <c r="X668" t="s">
        <v>155</v>
      </c>
      <c r="Y668" t="s">
        <v>155</v>
      </c>
      <c r="AC668" t="s">
        <v>157</v>
      </c>
      <c r="AD668" t="s">
        <v>155</v>
      </c>
      <c r="AE668" t="s">
        <v>97</v>
      </c>
      <c r="AF668" t="s">
        <v>155</v>
      </c>
      <c r="AG668" t="s">
        <v>155</v>
      </c>
      <c r="AH668" t="s">
        <v>155</v>
      </c>
    </row>
    <row r="669" spans="19:34" ht="16.2" customHeight="1" x14ac:dyDescent="0.3">
      <c r="T669" t="s">
        <v>158</v>
      </c>
      <c r="U669" t="s">
        <v>155</v>
      </c>
      <c r="V669" t="s">
        <v>155</v>
      </c>
      <c r="W669" t="s">
        <v>155</v>
      </c>
      <c r="X669" t="s">
        <v>155</v>
      </c>
      <c r="Y669" t="s">
        <v>155</v>
      </c>
      <c r="AC669" t="s">
        <v>158</v>
      </c>
      <c r="AD669" t="s">
        <v>155</v>
      </c>
      <c r="AE669" t="s">
        <v>155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159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159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160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160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169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169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170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170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171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171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172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172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7" spans="19:34" ht="16.2" customHeight="1" x14ac:dyDescent="0.3">
      <c r="S677" s="15" t="s">
        <v>146</v>
      </c>
      <c r="T677" t="s">
        <v>229</v>
      </c>
      <c r="AB677" s="15" t="s">
        <v>146</v>
      </c>
      <c r="AC677" t="s">
        <v>229</v>
      </c>
    </row>
    <row r="678" spans="19:34" ht="16.2" customHeight="1" x14ac:dyDescent="0.3">
      <c r="U678" t="s">
        <v>164</v>
      </c>
      <c r="V678" t="s">
        <v>165</v>
      </c>
      <c r="W678" t="s">
        <v>166</v>
      </c>
      <c r="X678" t="s">
        <v>167</v>
      </c>
      <c r="Y678" t="s">
        <v>168</v>
      </c>
      <c r="AD678" t="s">
        <v>164</v>
      </c>
      <c r="AE678" t="s">
        <v>165</v>
      </c>
      <c r="AF678" t="s">
        <v>166</v>
      </c>
      <c r="AG678" t="s">
        <v>167</v>
      </c>
      <c r="AH678" t="s">
        <v>168</v>
      </c>
    </row>
    <row r="679" spans="19:34" ht="16.2" customHeight="1" x14ac:dyDescent="0.3">
      <c r="T679" t="s">
        <v>154</v>
      </c>
      <c r="U679" t="s">
        <v>155</v>
      </c>
      <c r="V679" t="s">
        <v>97</v>
      </c>
      <c r="W679" t="s">
        <v>155</v>
      </c>
      <c r="X679" t="s">
        <v>155</v>
      </c>
      <c r="Y679" t="s">
        <v>97</v>
      </c>
      <c r="AC679" t="s">
        <v>154</v>
      </c>
      <c r="AD679" t="s">
        <v>155</v>
      </c>
      <c r="AE679" t="s">
        <v>97</v>
      </c>
      <c r="AF679" t="s">
        <v>155</v>
      </c>
      <c r="AG679" t="s">
        <v>155</v>
      </c>
      <c r="AH679" t="s">
        <v>97</v>
      </c>
    </row>
    <row r="680" spans="19:34" ht="16.2" customHeight="1" x14ac:dyDescent="0.3">
      <c r="T680" t="s">
        <v>156</v>
      </c>
      <c r="U680" t="s">
        <v>155</v>
      </c>
      <c r="V680" t="s">
        <v>97</v>
      </c>
      <c r="W680" t="s">
        <v>155</v>
      </c>
      <c r="X680" t="s">
        <v>155</v>
      </c>
      <c r="Y680" t="s">
        <v>97</v>
      </c>
      <c r="AC680" t="s">
        <v>156</v>
      </c>
      <c r="AD680" t="s">
        <v>155</v>
      </c>
      <c r="AE680" t="s">
        <v>97</v>
      </c>
      <c r="AF680" t="s">
        <v>155</v>
      </c>
      <c r="AG680" t="s">
        <v>155</v>
      </c>
      <c r="AH680" t="s">
        <v>97</v>
      </c>
    </row>
    <row r="681" spans="19:34" ht="16.2" customHeight="1" x14ac:dyDescent="0.3">
      <c r="T681" t="s">
        <v>157</v>
      </c>
      <c r="U681" t="s">
        <v>155</v>
      </c>
      <c r="V681" t="s">
        <v>97</v>
      </c>
      <c r="W681" t="s">
        <v>155</v>
      </c>
      <c r="X681" t="s">
        <v>155</v>
      </c>
      <c r="Y681" t="s">
        <v>155</v>
      </c>
      <c r="AC681" t="s">
        <v>157</v>
      </c>
      <c r="AD681" t="s">
        <v>155</v>
      </c>
      <c r="AE681" t="s">
        <v>97</v>
      </c>
      <c r="AF681" t="s">
        <v>155</v>
      </c>
      <c r="AG681" t="s">
        <v>155</v>
      </c>
      <c r="AH681" t="s">
        <v>155</v>
      </c>
    </row>
    <row r="682" spans="19:34" ht="16.2" customHeight="1" x14ac:dyDescent="0.3">
      <c r="T682" t="s">
        <v>158</v>
      </c>
      <c r="U682" t="s">
        <v>155</v>
      </c>
      <c r="V682" t="s">
        <v>155</v>
      </c>
      <c r="W682" t="s">
        <v>155</v>
      </c>
      <c r="X682" t="s">
        <v>155</v>
      </c>
      <c r="Y682" t="s">
        <v>155</v>
      </c>
      <c r="AC682" t="s">
        <v>158</v>
      </c>
      <c r="AD682" t="s">
        <v>155</v>
      </c>
      <c r="AE682" t="s">
        <v>155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159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159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160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160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169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169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170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170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171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171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172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172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90" spans="19:34" ht="16.2" customHeight="1" x14ac:dyDescent="0.3">
      <c r="S690" s="15" t="s">
        <v>147</v>
      </c>
      <c r="T690" t="s">
        <v>230</v>
      </c>
      <c r="AB690" s="15" t="s">
        <v>147</v>
      </c>
      <c r="AC690" t="s">
        <v>230</v>
      </c>
    </row>
    <row r="691" spans="19:34" ht="16.2" customHeight="1" x14ac:dyDescent="0.3">
      <c r="U691" t="s">
        <v>164</v>
      </c>
      <c r="V691" t="s">
        <v>165</v>
      </c>
      <c r="W691" t="s">
        <v>166</v>
      </c>
      <c r="X691" t="s">
        <v>167</v>
      </c>
      <c r="Y691" t="s">
        <v>168</v>
      </c>
      <c r="AD691" t="s">
        <v>164</v>
      </c>
      <c r="AE691" t="s">
        <v>165</v>
      </c>
      <c r="AF691" t="s">
        <v>166</v>
      </c>
      <c r="AG691" t="s">
        <v>167</v>
      </c>
      <c r="AH691" t="s">
        <v>168</v>
      </c>
    </row>
    <row r="692" spans="19:34" ht="16.2" customHeight="1" x14ac:dyDescent="0.3">
      <c r="T692" t="s">
        <v>154</v>
      </c>
      <c r="U692" t="s">
        <v>99</v>
      </c>
      <c r="V692" t="s">
        <v>155</v>
      </c>
      <c r="W692" t="s">
        <v>155</v>
      </c>
      <c r="X692" t="s">
        <v>99</v>
      </c>
      <c r="Y692" t="s">
        <v>155</v>
      </c>
      <c r="AC692" t="s">
        <v>154</v>
      </c>
      <c r="AD692" t="s">
        <v>99</v>
      </c>
      <c r="AE692" t="s">
        <v>155</v>
      </c>
      <c r="AF692" t="s">
        <v>155</v>
      </c>
      <c r="AG692" t="s">
        <v>99</v>
      </c>
      <c r="AH692" t="s">
        <v>155</v>
      </c>
    </row>
    <row r="693" spans="19:34" ht="16.2" customHeight="1" x14ac:dyDescent="0.3">
      <c r="T693" t="s">
        <v>156</v>
      </c>
      <c r="U693" t="s">
        <v>99</v>
      </c>
      <c r="V693" t="s">
        <v>155</v>
      </c>
      <c r="W693" t="s">
        <v>155</v>
      </c>
      <c r="X693" t="s">
        <v>99</v>
      </c>
      <c r="Y693" t="s">
        <v>155</v>
      </c>
      <c r="AC693" t="s">
        <v>156</v>
      </c>
      <c r="AD693" t="s">
        <v>99</v>
      </c>
      <c r="AE693" t="s">
        <v>155</v>
      </c>
      <c r="AF693" t="s">
        <v>155</v>
      </c>
      <c r="AG693" t="s">
        <v>99</v>
      </c>
      <c r="AH693" t="s">
        <v>155</v>
      </c>
    </row>
    <row r="694" spans="19:34" ht="16.2" customHeight="1" x14ac:dyDescent="0.3">
      <c r="T694" t="s">
        <v>157</v>
      </c>
      <c r="U694" t="s">
        <v>155</v>
      </c>
      <c r="V694" t="s">
        <v>155</v>
      </c>
      <c r="W694" t="s">
        <v>155</v>
      </c>
      <c r="X694" t="s">
        <v>155</v>
      </c>
      <c r="Y694" t="s">
        <v>155</v>
      </c>
      <c r="AC694" t="s">
        <v>157</v>
      </c>
      <c r="AD694" t="s">
        <v>155</v>
      </c>
      <c r="AE694" t="s">
        <v>155</v>
      </c>
      <c r="AF694" t="s">
        <v>155</v>
      </c>
      <c r="AG694" t="s">
        <v>155</v>
      </c>
      <c r="AH694" t="s">
        <v>155</v>
      </c>
    </row>
    <row r="695" spans="19:34" ht="16.2" customHeight="1" x14ac:dyDescent="0.3">
      <c r="T695" t="s">
        <v>158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158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159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159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160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160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169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169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170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170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171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171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172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172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3" spans="19:34" ht="16.2" customHeight="1" x14ac:dyDescent="0.3">
      <c r="S703" s="15" t="s">
        <v>148</v>
      </c>
      <c r="T703" t="s">
        <v>231</v>
      </c>
      <c r="AB703" s="15" t="s">
        <v>148</v>
      </c>
      <c r="AC703" t="s">
        <v>231</v>
      </c>
    </row>
    <row r="704" spans="19:34" ht="16.2" customHeight="1" x14ac:dyDescent="0.3">
      <c r="U704" t="s">
        <v>164</v>
      </c>
      <c r="V704" t="s">
        <v>165</v>
      </c>
      <c r="W704" t="s">
        <v>166</v>
      </c>
      <c r="X704" t="s">
        <v>167</v>
      </c>
      <c r="Y704" t="s">
        <v>168</v>
      </c>
      <c r="AD704" t="s">
        <v>164</v>
      </c>
      <c r="AE704" t="s">
        <v>165</v>
      </c>
      <c r="AF704" t="s">
        <v>166</v>
      </c>
      <c r="AG704" t="s">
        <v>167</v>
      </c>
      <c r="AH704" t="s">
        <v>168</v>
      </c>
    </row>
    <row r="705" spans="19:34" ht="16.2" customHeight="1" x14ac:dyDescent="0.3">
      <c r="T705" t="s">
        <v>154</v>
      </c>
      <c r="U705" t="s">
        <v>155</v>
      </c>
      <c r="V705" t="s">
        <v>155</v>
      </c>
      <c r="W705" t="s">
        <v>155</v>
      </c>
      <c r="X705" t="s">
        <v>155</v>
      </c>
      <c r="Y705" t="s">
        <v>155</v>
      </c>
      <c r="AC705" t="s">
        <v>154</v>
      </c>
      <c r="AD705" t="s">
        <v>155</v>
      </c>
      <c r="AE705" t="s">
        <v>155</v>
      </c>
      <c r="AF705" t="s">
        <v>155</v>
      </c>
      <c r="AG705" t="s">
        <v>155</v>
      </c>
      <c r="AH705" t="s">
        <v>155</v>
      </c>
    </row>
    <row r="706" spans="19:34" ht="16.2" customHeight="1" x14ac:dyDescent="0.3">
      <c r="T706" t="s">
        <v>156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156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157</v>
      </c>
      <c r="U707" t="s">
        <v>155</v>
      </c>
      <c r="V707" t="s">
        <v>155</v>
      </c>
      <c r="W707" t="s">
        <v>98</v>
      </c>
      <c r="X707" t="s">
        <v>155</v>
      </c>
      <c r="Y707" t="s">
        <v>155</v>
      </c>
      <c r="AC707" t="s">
        <v>157</v>
      </c>
      <c r="AD707" t="s">
        <v>155</v>
      </c>
      <c r="AE707" t="s">
        <v>155</v>
      </c>
      <c r="AF707" t="s">
        <v>155</v>
      </c>
      <c r="AG707" t="s">
        <v>98</v>
      </c>
      <c r="AH707" t="s">
        <v>155</v>
      </c>
    </row>
    <row r="708" spans="19:34" ht="16.2" customHeight="1" x14ac:dyDescent="0.3">
      <c r="T708" t="s">
        <v>158</v>
      </c>
      <c r="U708" t="s">
        <v>155</v>
      </c>
      <c r="V708" t="s">
        <v>155</v>
      </c>
      <c r="W708" t="s">
        <v>98</v>
      </c>
      <c r="X708" t="s">
        <v>155</v>
      </c>
      <c r="Y708" t="s">
        <v>155</v>
      </c>
      <c r="AC708" t="s">
        <v>158</v>
      </c>
      <c r="AD708" t="s">
        <v>155</v>
      </c>
      <c r="AE708" t="s">
        <v>98</v>
      </c>
      <c r="AF708" t="s">
        <v>155</v>
      </c>
      <c r="AG708" t="s">
        <v>98</v>
      </c>
      <c r="AH708" t="s">
        <v>155</v>
      </c>
    </row>
    <row r="709" spans="19:34" ht="16.2" customHeight="1" x14ac:dyDescent="0.3">
      <c r="T709" t="s">
        <v>159</v>
      </c>
      <c r="U709" t="s">
        <v>98</v>
      </c>
      <c r="V709" t="s">
        <v>155</v>
      </c>
      <c r="W709" t="s">
        <v>98</v>
      </c>
      <c r="X709" t="s">
        <v>155</v>
      </c>
      <c r="Y709" t="s">
        <v>155</v>
      </c>
      <c r="AC709" t="s">
        <v>159</v>
      </c>
      <c r="AD709" t="s">
        <v>155</v>
      </c>
      <c r="AE709" t="s">
        <v>98</v>
      </c>
      <c r="AF709" t="s">
        <v>155</v>
      </c>
      <c r="AG709" t="s">
        <v>155</v>
      </c>
      <c r="AH709" t="s">
        <v>155</v>
      </c>
    </row>
    <row r="710" spans="19:34" ht="16.2" customHeight="1" x14ac:dyDescent="0.3">
      <c r="T710" t="s">
        <v>160</v>
      </c>
      <c r="U710" t="s">
        <v>98</v>
      </c>
      <c r="V710" t="s">
        <v>155</v>
      </c>
      <c r="W710" t="s">
        <v>155</v>
      </c>
      <c r="X710" t="s">
        <v>155</v>
      </c>
      <c r="Y710" t="s">
        <v>155</v>
      </c>
      <c r="AC710" t="s">
        <v>160</v>
      </c>
      <c r="AD710" t="s">
        <v>155</v>
      </c>
      <c r="AE710" t="s">
        <v>98</v>
      </c>
      <c r="AF710" t="s">
        <v>155</v>
      </c>
      <c r="AG710" t="s">
        <v>155</v>
      </c>
      <c r="AH710" t="s">
        <v>155</v>
      </c>
    </row>
    <row r="711" spans="19:34" ht="16.2" customHeight="1" x14ac:dyDescent="0.3">
      <c r="T711" t="s">
        <v>169</v>
      </c>
      <c r="U711" t="s">
        <v>155</v>
      </c>
      <c r="V711" t="s">
        <v>155</v>
      </c>
      <c r="W711" t="s">
        <v>155</v>
      </c>
      <c r="X711" t="s">
        <v>155</v>
      </c>
      <c r="Y711" t="s">
        <v>155</v>
      </c>
      <c r="AC711" t="s">
        <v>169</v>
      </c>
      <c r="AD711" t="s">
        <v>155</v>
      </c>
      <c r="AE711" t="s">
        <v>155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170</v>
      </c>
      <c r="U712" t="s">
        <v>155</v>
      </c>
      <c r="V712" t="s">
        <v>155</v>
      </c>
      <c r="W712" t="s">
        <v>155</v>
      </c>
      <c r="X712" t="s">
        <v>155</v>
      </c>
      <c r="Y712" t="s">
        <v>155</v>
      </c>
      <c r="AC712" t="s">
        <v>170</v>
      </c>
      <c r="AD712" t="s">
        <v>155</v>
      </c>
      <c r="AE712" t="s">
        <v>155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171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171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172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172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6" spans="19:34" ht="16.2" customHeight="1" x14ac:dyDescent="0.3">
      <c r="S716" s="15" t="s">
        <v>149</v>
      </c>
      <c r="T716" t="s">
        <v>232</v>
      </c>
      <c r="AB716" s="15" t="s">
        <v>149</v>
      </c>
      <c r="AC716" t="s">
        <v>232</v>
      </c>
    </row>
    <row r="717" spans="19:34" ht="16.2" customHeight="1" x14ac:dyDescent="0.3">
      <c r="U717" t="s">
        <v>164</v>
      </c>
      <c r="V717" t="s">
        <v>165</v>
      </c>
      <c r="W717" t="s">
        <v>166</v>
      </c>
      <c r="X717" t="s">
        <v>167</v>
      </c>
      <c r="Y717" t="s">
        <v>168</v>
      </c>
      <c r="AD717" t="s">
        <v>164</v>
      </c>
      <c r="AE717" t="s">
        <v>165</v>
      </c>
      <c r="AF717" t="s">
        <v>166</v>
      </c>
      <c r="AG717" t="s">
        <v>167</v>
      </c>
      <c r="AH717" t="s">
        <v>168</v>
      </c>
    </row>
    <row r="718" spans="19:34" ht="16.2" customHeight="1" x14ac:dyDescent="0.3">
      <c r="T718" t="s">
        <v>154</v>
      </c>
      <c r="U718" t="s">
        <v>155</v>
      </c>
      <c r="V718" t="s">
        <v>155</v>
      </c>
      <c r="W718" t="s">
        <v>155</v>
      </c>
      <c r="X718" t="s">
        <v>155</v>
      </c>
      <c r="Y718" t="s">
        <v>155</v>
      </c>
      <c r="AC718" t="s">
        <v>154</v>
      </c>
      <c r="AD718" t="s">
        <v>155</v>
      </c>
      <c r="AE718" t="s">
        <v>155</v>
      </c>
      <c r="AF718" t="s">
        <v>155</v>
      </c>
      <c r="AG718" t="s">
        <v>155</v>
      </c>
      <c r="AH718" t="s">
        <v>155</v>
      </c>
    </row>
    <row r="719" spans="19:34" ht="16.2" customHeight="1" x14ac:dyDescent="0.3">
      <c r="T719" t="s">
        <v>156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156</v>
      </c>
      <c r="AD719" t="s">
        <v>100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157</v>
      </c>
      <c r="U720" t="s">
        <v>100</v>
      </c>
      <c r="V720" t="s">
        <v>155</v>
      </c>
      <c r="W720" t="s">
        <v>100</v>
      </c>
      <c r="X720" t="s">
        <v>155</v>
      </c>
      <c r="Y720" t="s">
        <v>155</v>
      </c>
      <c r="AC720" t="s">
        <v>157</v>
      </c>
      <c r="AD720" t="s">
        <v>100</v>
      </c>
      <c r="AE720" t="s">
        <v>155</v>
      </c>
      <c r="AF720" t="s">
        <v>100</v>
      </c>
      <c r="AG720" t="s">
        <v>155</v>
      </c>
      <c r="AH720" t="s">
        <v>155</v>
      </c>
    </row>
    <row r="721" spans="19:34" ht="16.2" customHeight="1" x14ac:dyDescent="0.3">
      <c r="T721" t="s">
        <v>158</v>
      </c>
      <c r="U721" t="s">
        <v>100</v>
      </c>
      <c r="V721" t="s">
        <v>155</v>
      </c>
      <c r="W721" t="s">
        <v>100</v>
      </c>
      <c r="X721" t="s">
        <v>155</v>
      </c>
      <c r="Y721" t="s">
        <v>155</v>
      </c>
      <c r="AC721" t="s">
        <v>158</v>
      </c>
      <c r="AD721" t="s">
        <v>100</v>
      </c>
      <c r="AE721" t="s">
        <v>155</v>
      </c>
      <c r="AF721" t="s">
        <v>100</v>
      </c>
      <c r="AG721" t="s">
        <v>155</v>
      </c>
      <c r="AH721" t="s">
        <v>155</v>
      </c>
    </row>
    <row r="722" spans="19:34" ht="16.2" customHeight="1" x14ac:dyDescent="0.3">
      <c r="T722" t="s">
        <v>159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159</v>
      </c>
      <c r="AD722" t="s">
        <v>155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160</v>
      </c>
      <c r="U723" t="s">
        <v>155</v>
      </c>
      <c r="V723" t="s">
        <v>155</v>
      </c>
      <c r="W723" t="s">
        <v>155</v>
      </c>
      <c r="X723" t="s">
        <v>155</v>
      </c>
      <c r="Y723" t="s">
        <v>155</v>
      </c>
      <c r="AC723" t="s">
        <v>160</v>
      </c>
      <c r="AD723" t="s">
        <v>155</v>
      </c>
      <c r="AE723" t="s">
        <v>155</v>
      </c>
      <c r="AF723" t="s">
        <v>155</v>
      </c>
      <c r="AG723" t="s">
        <v>155</v>
      </c>
      <c r="AH723" t="s">
        <v>155</v>
      </c>
    </row>
    <row r="724" spans="19:34" ht="16.2" customHeight="1" x14ac:dyDescent="0.3">
      <c r="T724" t="s">
        <v>169</v>
      </c>
      <c r="U724" t="s">
        <v>155</v>
      </c>
      <c r="V724" t="s">
        <v>155</v>
      </c>
      <c r="W724" t="s">
        <v>155</v>
      </c>
      <c r="X724" t="s">
        <v>155</v>
      </c>
      <c r="Y724" t="s">
        <v>155</v>
      </c>
      <c r="AC724" t="s">
        <v>169</v>
      </c>
      <c r="AD724" t="s">
        <v>155</v>
      </c>
      <c r="AE724" t="s">
        <v>155</v>
      </c>
      <c r="AF724" t="s">
        <v>155</v>
      </c>
      <c r="AG724" t="s">
        <v>155</v>
      </c>
      <c r="AH724" t="s">
        <v>155</v>
      </c>
    </row>
    <row r="725" spans="19:34" ht="16.2" customHeight="1" x14ac:dyDescent="0.3">
      <c r="T725" t="s">
        <v>170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170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171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171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172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172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9" spans="19:34" ht="16.2" customHeight="1" x14ac:dyDescent="0.3">
      <c r="S729" s="15" t="s">
        <v>150</v>
      </c>
      <c r="T729" t="s">
        <v>233</v>
      </c>
      <c r="AB729" s="15" t="s">
        <v>150</v>
      </c>
      <c r="AC729" t="s">
        <v>233</v>
      </c>
    </row>
    <row r="730" spans="19:34" ht="16.2" customHeight="1" x14ac:dyDescent="0.3">
      <c r="U730" t="s">
        <v>164</v>
      </c>
      <c r="V730" t="s">
        <v>165</v>
      </c>
      <c r="W730" t="s">
        <v>166</v>
      </c>
      <c r="X730" t="s">
        <v>167</v>
      </c>
      <c r="Y730" t="s">
        <v>168</v>
      </c>
      <c r="AD730" t="s">
        <v>164</v>
      </c>
      <c r="AE730" t="s">
        <v>165</v>
      </c>
      <c r="AF730" t="s">
        <v>166</v>
      </c>
      <c r="AG730" t="s">
        <v>167</v>
      </c>
      <c r="AH730" t="s">
        <v>168</v>
      </c>
    </row>
    <row r="731" spans="19:34" ht="16.2" customHeight="1" x14ac:dyDescent="0.3">
      <c r="T731" t="s">
        <v>154</v>
      </c>
      <c r="U731" t="s">
        <v>155</v>
      </c>
      <c r="V731" t="s">
        <v>155</v>
      </c>
      <c r="W731" t="s">
        <v>155</v>
      </c>
      <c r="X731" t="s">
        <v>155</v>
      </c>
      <c r="Y731" t="s">
        <v>155</v>
      </c>
      <c r="AC731" t="s">
        <v>154</v>
      </c>
      <c r="AD731" t="s">
        <v>155</v>
      </c>
      <c r="AE731" t="s">
        <v>155</v>
      </c>
      <c r="AF731" t="s">
        <v>155</v>
      </c>
      <c r="AG731" t="s">
        <v>155</v>
      </c>
      <c r="AH731" t="s">
        <v>155</v>
      </c>
    </row>
    <row r="732" spans="19:34" ht="16.2" customHeight="1" x14ac:dyDescent="0.3">
      <c r="T732" t="s">
        <v>156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156</v>
      </c>
      <c r="AD732" t="s">
        <v>100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157</v>
      </c>
      <c r="U733" t="s">
        <v>100</v>
      </c>
      <c r="V733" t="s">
        <v>155</v>
      </c>
      <c r="W733" t="s">
        <v>100</v>
      </c>
      <c r="X733" t="s">
        <v>155</v>
      </c>
      <c r="Y733" t="s">
        <v>155</v>
      </c>
      <c r="AC733" t="s">
        <v>157</v>
      </c>
      <c r="AD733" t="s">
        <v>100</v>
      </c>
      <c r="AE733" t="s">
        <v>155</v>
      </c>
      <c r="AF733" t="s">
        <v>100</v>
      </c>
      <c r="AG733" t="s">
        <v>155</v>
      </c>
      <c r="AH733" t="s">
        <v>155</v>
      </c>
    </row>
    <row r="734" spans="19:34" ht="16.2" customHeight="1" x14ac:dyDescent="0.3">
      <c r="T734" t="s">
        <v>158</v>
      </c>
      <c r="U734" t="s">
        <v>100</v>
      </c>
      <c r="V734" t="s">
        <v>155</v>
      </c>
      <c r="W734" t="s">
        <v>100</v>
      </c>
      <c r="X734" t="s">
        <v>155</v>
      </c>
      <c r="Y734" t="s">
        <v>155</v>
      </c>
      <c r="AC734" t="s">
        <v>158</v>
      </c>
      <c r="AD734" t="s">
        <v>100</v>
      </c>
      <c r="AE734" t="s">
        <v>155</v>
      </c>
      <c r="AF734" t="s">
        <v>100</v>
      </c>
      <c r="AG734" t="s">
        <v>155</v>
      </c>
      <c r="AH734" t="s">
        <v>155</v>
      </c>
    </row>
    <row r="735" spans="19:34" ht="16.2" customHeight="1" x14ac:dyDescent="0.3">
      <c r="T735" t="s">
        <v>159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159</v>
      </c>
      <c r="AD735" t="s">
        <v>155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160</v>
      </c>
      <c r="U736" t="s">
        <v>155</v>
      </c>
      <c r="V736" t="s">
        <v>155</v>
      </c>
      <c r="W736" t="s">
        <v>155</v>
      </c>
      <c r="X736" t="s">
        <v>155</v>
      </c>
      <c r="Y736" t="s">
        <v>155</v>
      </c>
      <c r="AC736" t="s">
        <v>160</v>
      </c>
      <c r="AD736" t="s">
        <v>155</v>
      </c>
      <c r="AE736" t="s">
        <v>155</v>
      </c>
      <c r="AF736" t="s">
        <v>155</v>
      </c>
      <c r="AG736" t="s">
        <v>155</v>
      </c>
      <c r="AH736" t="s">
        <v>155</v>
      </c>
    </row>
    <row r="737" spans="19:34" ht="16.2" customHeight="1" x14ac:dyDescent="0.3">
      <c r="T737" t="s">
        <v>169</v>
      </c>
      <c r="U737" t="s">
        <v>155</v>
      </c>
      <c r="V737" t="s">
        <v>155</v>
      </c>
      <c r="W737" t="s">
        <v>155</v>
      </c>
      <c r="X737" t="s">
        <v>155</v>
      </c>
      <c r="Y737" t="s">
        <v>155</v>
      </c>
      <c r="AC737" t="s">
        <v>169</v>
      </c>
      <c r="AD737" t="s">
        <v>155</v>
      </c>
      <c r="AE737" t="s">
        <v>155</v>
      </c>
      <c r="AF737" t="s">
        <v>155</v>
      </c>
      <c r="AG737" t="s">
        <v>155</v>
      </c>
      <c r="AH737" t="s">
        <v>155</v>
      </c>
    </row>
    <row r="738" spans="19:34" ht="16.2" customHeight="1" x14ac:dyDescent="0.3">
      <c r="T738" t="s">
        <v>170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170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171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171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172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172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2" spans="19:34" ht="16.2" customHeight="1" x14ac:dyDescent="0.3">
      <c r="S742" s="15" t="s">
        <v>151</v>
      </c>
      <c r="T742" t="s">
        <v>234</v>
      </c>
      <c r="AB742" s="15" t="s">
        <v>151</v>
      </c>
      <c r="AC742" t="s">
        <v>234</v>
      </c>
    </row>
    <row r="743" spans="19:34" ht="16.2" customHeight="1" x14ac:dyDescent="0.3">
      <c r="U743" t="s">
        <v>164</v>
      </c>
      <c r="V743" t="s">
        <v>165</v>
      </c>
      <c r="W743" t="s">
        <v>166</v>
      </c>
      <c r="X743" t="s">
        <v>167</v>
      </c>
      <c r="Y743" t="s">
        <v>168</v>
      </c>
      <c r="AD743" t="s">
        <v>164</v>
      </c>
      <c r="AE743" t="s">
        <v>165</v>
      </c>
      <c r="AF743" t="s">
        <v>166</v>
      </c>
      <c r="AG743" t="s">
        <v>167</v>
      </c>
      <c r="AH743" t="s">
        <v>168</v>
      </c>
    </row>
    <row r="744" spans="19:34" ht="16.2" customHeight="1" x14ac:dyDescent="0.3">
      <c r="T744" t="s">
        <v>154</v>
      </c>
      <c r="U744" t="s">
        <v>155</v>
      </c>
      <c r="V744" t="s">
        <v>101</v>
      </c>
      <c r="W744" t="s">
        <v>155</v>
      </c>
      <c r="X744" t="s">
        <v>101</v>
      </c>
      <c r="Y744" t="s">
        <v>155</v>
      </c>
      <c r="AC744" t="s">
        <v>154</v>
      </c>
      <c r="AD744" t="s">
        <v>155</v>
      </c>
      <c r="AE744" t="s">
        <v>101</v>
      </c>
      <c r="AF744" t="s">
        <v>155</v>
      </c>
      <c r="AG744" t="s">
        <v>101</v>
      </c>
      <c r="AH744" t="s">
        <v>155</v>
      </c>
    </row>
    <row r="745" spans="19:34" ht="16.2" customHeight="1" x14ac:dyDescent="0.3">
      <c r="T745" t="s">
        <v>156</v>
      </c>
      <c r="U745" t="s">
        <v>155</v>
      </c>
      <c r="V745" t="s">
        <v>101</v>
      </c>
      <c r="W745" t="s">
        <v>155</v>
      </c>
      <c r="X745" t="s">
        <v>101</v>
      </c>
      <c r="Y745" t="s">
        <v>155</v>
      </c>
      <c r="AC745" t="s">
        <v>156</v>
      </c>
      <c r="AD745" t="s">
        <v>155</v>
      </c>
      <c r="AE745" t="s">
        <v>101</v>
      </c>
      <c r="AF745" t="s">
        <v>155</v>
      </c>
      <c r="AG745" t="s">
        <v>101</v>
      </c>
      <c r="AH745" t="s">
        <v>155</v>
      </c>
    </row>
    <row r="746" spans="19:34" ht="16.2" customHeight="1" x14ac:dyDescent="0.3">
      <c r="T746" t="s">
        <v>157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157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158</v>
      </c>
      <c r="U747" t="s">
        <v>155</v>
      </c>
      <c r="V747" t="s">
        <v>155</v>
      </c>
      <c r="W747" t="s">
        <v>155</v>
      </c>
      <c r="X747" t="s">
        <v>155</v>
      </c>
      <c r="Y747" t="s">
        <v>155</v>
      </c>
      <c r="AC747" t="s">
        <v>158</v>
      </c>
      <c r="AD747" t="s">
        <v>155</v>
      </c>
      <c r="AE747" t="s">
        <v>155</v>
      </c>
      <c r="AF747" t="s">
        <v>155</v>
      </c>
      <c r="AG747" t="s">
        <v>155</v>
      </c>
      <c r="AH747" t="s">
        <v>155</v>
      </c>
    </row>
    <row r="748" spans="19:34" ht="16.2" customHeight="1" x14ac:dyDescent="0.3">
      <c r="T748" t="s">
        <v>159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159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49" spans="19:34" ht="16.2" customHeight="1" x14ac:dyDescent="0.3">
      <c r="T749" t="s">
        <v>160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160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169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169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170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170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171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171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172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172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5" spans="19:34" ht="16.2" customHeight="1" x14ac:dyDescent="0.3">
      <c r="S755" s="15" t="s">
        <v>236</v>
      </c>
      <c r="T755" t="s">
        <v>238</v>
      </c>
      <c r="AB755" s="15" t="s">
        <v>236</v>
      </c>
      <c r="AC755" t="s">
        <v>238</v>
      </c>
    </row>
    <row r="756" spans="19:34" ht="16.2" customHeight="1" x14ac:dyDescent="0.3">
      <c r="U756" t="s">
        <v>164</v>
      </c>
      <c r="V756" t="s">
        <v>165</v>
      </c>
      <c r="W756" t="s">
        <v>166</v>
      </c>
      <c r="X756" t="s">
        <v>167</v>
      </c>
      <c r="Y756" t="s">
        <v>168</v>
      </c>
      <c r="AD756" t="s">
        <v>164</v>
      </c>
      <c r="AE756" t="s">
        <v>165</v>
      </c>
      <c r="AF756" t="s">
        <v>166</v>
      </c>
      <c r="AG756" t="s">
        <v>167</v>
      </c>
      <c r="AH756" t="s">
        <v>168</v>
      </c>
    </row>
    <row r="757" spans="19:34" ht="16.2" customHeight="1" x14ac:dyDescent="0.3">
      <c r="T757" t="s">
        <v>154</v>
      </c>
      <c r="U757" t="s">
        <v>155</v>
      </c>
      <c r="V757" t="s">
        <v>155</v>
      </c>
      <c r="W757" t="s">
        <v>155</v>
      </c>
      <c r="X757" t="s">
        <v>155</v>
      </c>
      <c r="Y757" t="s">
        <v>155</v>
      </c>
      <c r="AC757" t="s">
        <v>154</v>
      </c>
      <c r="AD757" t="s">
        <v>155</v>
      </c>
      <c r="AE757" t="s">
        <v>155</v>
      </c>
      <c r="AF757" t="s">
        <v>155</v>
      </c>
      <c r="AG757" t="s">
        <v>155</v>
      </c>
      <c r="AH757" t="s">
        <v>155</v>
      </c>
    </row>
    <row r="758" spans="19:34" ht="16.2" customHeight="1" x14ac:dyDescent="0.3">
      <c r="T758" t="s">
        <v>156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156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19:34" ht="16.2" customHeight="1" x14ac:dyDescent="0.3">
      <c r="T759" t="s">
        <v>157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157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158</v>
      </c>
      <c r="U760" t="s">
        <v>155</v>
      </c>
      <c r="V760" t="s">
        <v>153</v>
      </c>
      <c r="W760" t="s">
        <v>155</v>
      </c>
      <c r="X760" t="s">
        <v>153</v>
      </c>
      <c r="Y760" t="s">
        <v>155</v>
      </c>
      <c r="AC760" t="s">
        <v>158</v>
      </c>
      <c r="AD760" t="s">
        <v>155</v>
      </c>
      <c r="AE760" t="s">
        <v>153</v>
      </c>
      <c r="AF760" t="s">
        <v>155</v>
      </c>
      <c r="AG760" t="s">
        <v>153</v>
      </c>
      <c r="AH760" t="s">
        <v>155</v>
      </c>
    </row>
    <row r="761" spans="19:34" ht="16.2" customHeight="1" x14ac:dyDescent="0.3">
      <c r="T761" t="s">
        <v>159</v>
      </c>
      <c r="U761" t="s">
        <v>155</v>
      </c>
      <c r="V761" t="s">
        <v>153</v>
      </c>
      <c r="W761" t="s">
        <v>155</v>
      </c>
      <c r="X761" t="s">
        <v>153</v>
      </c>
      <c r="Y761" t="s">
        <v>155</v>
      </c>
      <c r="AC761" t="s">
        <v>159</v>
      </c>
      <c r="AD761" t="s">
        <v>155</v>
      </c>
      <c r="AE761" t="s">
        <v>153</v>
      </c>
      <c r="AF761" t="s">
        <v>155</v>
      </c>
      <c r="AG761" t="s">
        <v>153</v>
      </c>
      <c r="AH761" t="s">
        <v>155</v>
      </c>
    </row>
    <row r="762" spans="19:34" ht="16.2" customHeight="1" x14ac:dyDescent="0.3">
      <c r="T762" t="s">
        <v>160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160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169</v>
      </c>
      <c r="U763" t="s">
        <v>155</v>
      </c>
      <c r="V763" t="s">
        <v>155</v>
      </c>
      <c r="W763" t="s">
        <v>155</v>
      </c>
      <c r="X763" t="s">
        <v>155</v>
      </c>
      <c r="Y763" t="s">
        <v>155</v>
      </c>
      <c r="AC763" t="s">
        <v>169</v>
      </c>
      <c r="AD763" t="s">
        <v>155</v>
      </c>
      <c r="AE763" t="s">
        <v>155</v>
      </c>
      <c r="AF763" t="s">
        <v>155</v>
      </c>
      <c r="AG763" t="s">
        <v>155</v>
      </c>
      <c r="AH763" t="s">
        <v>155</v>
      </c>
    </row>
    <row r="764" spans="19:34" ht="16.2" customHeight="1" x14ac:dyDescent="0.3">
      <c r="T764" t="s">
        <v>170</v>
      </c>
      <c r="U764" t="s">
        <v>155</v>
      </c>
      <c r="V764" t="s">
        <v>155</v>
      </c>
      <c r="W764" t="s">
        <v>155</v>
      </c>
      <c r="X764" t="s">
        <v>155</v>
      </c>
      <c r="Y764" t="s">
        <v>155</v>
      </c>
      <c r="AC764" t="s">
        <v>170</v>
      </c>
      <c r="AD764" t="s">
        <v>155</v>
      </c>
      <c r="AE764" t="s">
        <v>155</v>
      </c>
      <c r="AF764" t="s">
        <v>155</v>
      </c>
      <c r="AG764" t="s">
        <v>155</v>
      </c>
      <c r="AH764" t="s">
        <v>155</v>
      </c>
    </row>
    <row r="765" spans="19:34" ht="16.2" customHeight="1" x14ac:dyDescent="0.3">
      <c r="T765" t="s">
        <v>171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171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172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172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materias!$A$2:$A$164</xm:f>
          </x14:formula1>
          <xm:sqref>H2:H4 D2:D105 J2:J105 H6:H105 F6:F105 F2:F4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1"/>
  <sheetViews>
    <sheetView topLeftCell="A10" workbookViewId="0">
      <selection activeCell="J23" sqref="J23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174</v>
      </c>
      <c r="G1" s="2" t="s">
        <v>10</v>
      </c>
      <c r="H1" s="19" t="s">
        <v>246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286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242</v>
      </c>
      <c r="D6" s="2"/>
      <c r="E6" s="2"/>
      <c r="F6" s="2"/>
      <c r="G6" s="2" t="s">
        <v>301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444</v>
      </c>
      <c r="E7" s="2">
        <v>1</v>
      </c>
      <c r="F7" s="2"/>
      <c r="G7" s="2" t="s">
        <v>286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444</v>
      </c>
      <c r="E8" s="2">
        <v>2</v>
      </c>
      <c r="F8" s="2"/>
      <c r="G8" s="2" t="s">
        <v>286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8" t="s">
        <v>441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8" t="s">
        <v>441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242</v>
      </c>
      <c r="D14" s="2"/>
      <c r="E14" s="2"/>
      <c r="F14" s="2"/>
      <c r="G14" s="2" t="s">
        <v>301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242</v>
      </c>
      <c r="D20" s="2"/>
      <c r="E20" s="2"/>
      <c r="F20" s="2"/>
      <c r="G20" s="2" t="s">
        <v>301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296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296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296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296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296</v>
      </c>
      <c r="H25">
        <v>23</v>
      </c>
    </row>
    <row r="26" spans="1:8" ht="15" thickBot="1" x14ac:dyDescent="0.35">
      <c r="A26" s="2" t="str">
        <f t="shared" ref="A26:A31" si="2">_xlfn.CONCAT(B26:F26)</f>
        <v>4LIC</v>
      </c>
      <c r="B26" s="2">
        <v>4</v>
      </c>
      <c r="C26" s="2" t="s">
        <v>242</v>
      </c>
      <c r="D26" s="2"/>
      <c r="E26" s="2"/>
      <c r="F26" s="2"/>
      <c r="G26" s="2" t="s">
        <v>301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296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296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296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296</v>
      </c>
      <c r="H30">
        <v>21</v>
      </c>
    </row>
    <row r="31" spans="1:8" ht="15" thickBot="1" x14ac:dyDescent="0.35">
      <c r="A31" s="2" t="str">
        <f t="shared" si="2"/>
        <v>dummy</v>
      </c>
      <c r="B31" s="2"/>
      <c r="C31" s="2"/>
      <c r="D31" s="2"/>
      <c r="E31" s="2"/>
      <c r="F31" s="2" t="s">
        <v>173</v>
      </c>
      <c r="G31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G31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opLeftCell="I1" workbookViewId="0">
      <selection activeCell="U13" sqref="U13:U17"/>
    </sheetView>
  </sheetViews>
  <sheetFormatPr baseColWidth="10" defaultRowHeight="14.4" x14ac:dyDescent="0.3"/>
  <cols>
    <col min="1" max="1" width="4.21875" bestFit="1" customWidth="1"/>
    <col min="2" max="2" width="7.33203125" style="34" customWidth="1"/>
    <col min="3" max="3" width="6" style="34" customWidth="1"/>
    <col min="4" max="7" width="9.109375" style="36" customWidth="1"/>
  </cols>
  <sheetData>
    <row r="1" spans="1:21" ht="28.8" x14ac:dyDescent="0.3">
      <c r="A1" s="34" t="s">
        <v>294</v>
      </c>
      <c r="B1" s="34" t="s">
        <v>319</v>
      </c>
      <c r="C1" s="34" t="s">
        <v>320</v>
      </c>
      <c r="D1" s="36" t="s">
        <v>321</v>
      </c>
      <c r="E1" s="36" t="s">
        <v>322</v>
      </c>
      <c r="F1" s="36" t="s">
        <v>323</v>
      </c>
      <c r="G1" s="36" t="s">
        <v>324</v>
      </c>
      <c r="Q1" s="15" t="s">
        <v>294</v>
      </c>
      <c r="R1" t="s">
        <v>11</v>
      </c>
      <c r="S1" t="s">
        <v>286</v>
      </c>
      <c r="T1" t="s">
        <v>296</v>
      </c>
      <c r="U1" t="s">
        <v>301</v>
      </c>
    </row>
    <row r="2" spans="1:21" x14ac:dyDescent="0.3">
      <c r="A2" s="34">
        <v>1</v>
      </c>
      <c r="B2" s="37">
        <v>0.33333333333333331</v>
      </c>
      <c r="C2" s="37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4">
        <v>2</v>
      </c>
      <c r="B3" s="37">
        <v>0.36805555555555558</v>
      </c>
      <c r="C3" s="37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4">
        <v>3</v>
      </c>
      <c r="B4" s="37">
        <v>0.40972222222222221</v>
      </c>
      <c r="C4" s="37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4">
        <v>4</v>
      </c>
      <c r="B5" s="37">
        <v>0.44444444444444442</v>
      </c>
      <c r="C5" s="37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4">
        <v>5</v>
      </c>
      <c r="B6" s="37">
        <v>0.4861111111111111</v>
      </c>
      <c r="C6" s="37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4">
        <v>6</v>
      </c>
      <c r="B7" s="37">
        <v>0.52083333333333337</v>
      </c>
      <c r="C7" s="37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4">
        <v>7</v>
      </c>
      <c r="B8" s="37">
        <v>0.59027777777777779</v>
      </c>
      <c r="C8" s="37">
        <f t="shared" si="0"/>
        <v>0.625</v>
      </c>
      <c r="E8" t="s">
        <v>286</v>
      </c>
      <c r="K8" s="35" t="s">
        <v>295</v>
      </c>
      <c r="M8" t="s">
        <v>11</v>
      </c>
      <c r="N8" t="s">
        <v>286</v>
      </c>
      <c r="R8" s="35" t="s">
        <v>295</v>
      </c>
      <c r="S8" s="35" t="s">
        <v>285</v>
      </c>
    </row>
    <row r="9" spans="1:21" x14ac:dyDescent="0.3">
      <c r="A9" s="34">
        <v>8</v>
      </c>
      <c r="B9" s="37">
        <v>0.63194444444444442</v>
      </c>
      <c r="C9" s="37">
        <f t="shared" si="0"/>
        <v>0.66666666666666663</v>
      </c>
      <c r="E9" t="s">
        <v>286</v>
      </c>
      <c r="F9" t="s">
        <v>296</v>
      </c>
      <c r="K9" t="s">
        <v>309</v>
      </c>
      <c r="N9" t="s">
        <v>286</v>
      </c>
      <c r="Q9" s="15">
        <v>7</v>
      </c>
      <c r="S9" t="s">
        <v>289</v>
      </c>
    </row>
    <row r="10" spans="1:21" x14ac:dyDescent="0.3">
      <c r="A10" s="34">
        <v>9</v>
      </c>
      <c r="B10" s="37">
        <v>0.67361111111111116</v>
      </c>
      <c r="C10" s="37">
        <f t="shared" si="0"/>
        <v>0.70833333333333337</v>
      </c>
      <c r="E10" t="s">
        <v>286</v>
      </c>
      <c r="F10" t="s">
        <v>296</v>
      </c>
      <c r="K10" t="s">
        <v>297</v>
      </c>
      <c r="N10" t="s">
        <v>286</v>
      </c>
      <c r="O10" t="s">
        <v>296</v>
      </c>
      <c r="Q10" s="15">
        <v>8</v>
      </c>
      <c r="S10" t="s">
        <v>292</v>
      </c>
      <c r="T10" t="s">
        <v>297</v>
      </c>
    </row>
    <row r="11" spans="1:21" x14ac:dyDescent="0.3">
      <c r="A11" s="34">
        <v>10</v>
      </c>
      <c r="B11" s="37">
        <v>0.70833333333333337</v>
      </c>
      <c r="C11" s="37">
        <f t="shared" si="0"/>
        <v>0.74305555555555558</v>
      </c>
      <c r="E11" t="s">
        <v>286</v>
      </c>
      <c r="F11" t="s">
        <v>296</v>
      </c>
      <c r="K11" t="s">
        <v>298</v>
      </c>
      <c r="N11" t="s">
        <v>286</v>
      </c>
      <c r="O11" t="s">
        <v>296</v>
      </c>
      <c r="Q11" s="15">
        <v>9</v>
      </c>
      <c r="S11" t="s">
        <v>287</v>
      </c>
      <c r="T11" t="s">
        <v>298</v>
      </c>
    </row>
    <row r="12" spans="1:21" x14ac:dyDescent="0.3">
      <c r="A12" s="34">
        <v>11</v>
      </c>
      <c r="B12" s="37">
        <v>0.75</v>
      </c>
      <c r="C12" s="37">
        <f t="shared" si="0"/>
        <v>0.78472222222222221</v>
      </c>
      <c r="E12" t="s">
        <v>286</v>
      </c>
      <c r="F12" t="s">
        <v>296</v>
      </c>
      <c r="G12" t="s">
        <v>301</v>
      </c>
      <c r="K12" t="s">
        <v>299</v>
      </c>
      <c r="N12" t="s">
        <v>286</v>
      </c>
      <c r="O12" t="s">
        <v>296</v>
      </c>
      <c r="Q12" s="15">
        <v>10</v>
      </c>
      <c r="S12" t="s">
        <v>291</v>
      </c>
      <c r="T12" t="s">
        <v>299</v>
      </c>
    </row>
    <row r="13" spans="1:21" x14ac:dyDescent="0.3">
      <c r="A13" s="34">
        <v>12</v>
      </c>
      <c r="B13" s="37">
        <v>0.78472222222222221</v>
      </c>
      <c r="C13" s="37">
        <f t="shared" si="0"/>
        <v>0.81944444444444442</v>
      </c>
      <c r="E13" t="s">
        <v>286</v>
      </c>
      <c r="F13" t="s">
        <v>296</v>
      </c>
      <c r="G13" t="s">
        <v>301</v>
      </c>
      <c r="K13" t="s">
        <v>300</v>
      </c>
      <c r="N13" t="s">
        <v>286</v>
      </c>
      <c r="O13" t="s">
        <v>296</v>
      </c>
      <c r="Q13" s="15">
        <v>11</v>
      </c>
      <c r="S13" t="s">
        <v>288</v>
      </c>
      <c r="T13" t="s">
        <v>300</v>
      </c>
      <c r="U13" t="s">
        <v>300</v>
      </c>
    </row>
    <row r="14" spans="1:21" x14ac:dyDescent="0.3">
      <c r="A14" s="34">
        <v>13</v>
      </c>
      <c r="B14" s="37">
        <v>0.82638888888888884</v>
      </c>
      <c r="C14" s="37">
        <f t="shared" si="0"/>
        <v>0.86111111111111105</v>
      </c>
      <c r="F14" t="s">
        <v>296</v>
      </c>
      <c r="G14" t="s">
        <v>301</v>
      </c>
      <c r="K14" t="s">
        <v>302</v>
      </c>
      <c r="N14" t="s">
        <v>286</v>
      </c>
      <c r="O14" t="s">
        <v>296</v>
      </c>
      <c r="Q14" s="15">
        <v>12</v>
      </c>
      <c r="S14" t="s">
        <v>290</v>
      </c>
      <c r="T14" t="s">
        <v>302</v>
      </c>
      <c r="U14" t="s">
        <v>302</v>
      </c>
    </row>
    <row r="15" spans="1:21" x14ac:dyDescent="0.3">
      <c r="A15" s="34">
        <v>14</v>
      </c>
      <c r="B15" s="37">
        <v>0.86111111111111116</v>
      </c>
      <c r="C15" s="37">
        <f t="shared" si="0"/>
        <v>0.89583333333333337</v>
      </c>
      <c r="F15" t="s">
        <v>296</v>
      </c>
      <c r="G15" t="s">
        <v>301</v>
      </c>
      <c r="K15" t="s">
        <v>293</v>
      </c>
      <c r="O15" t="s">
        <v>296</v>
      </c>
      <c r="Q15" s="15">
        <v>13</v>
      </c>
      <c r="T15" t="s">
        <v>293</v>
      </c>
      <c r="U15" t="s">
        <v>293</v>
      </c>
    </row>
    <row r="16" spans="1:21" x14ac:dyDescent="0.3">
      <c r="A16" s="34">
        <v>15</v>
      </c>
      <c r="B16" s="37">
        <v>0.90277777777777779</v>
      </c>
      <c r="C16" s="37">
        <f t="shared" si="0"/>
        <v>0.9375</v>
      </c>
      <c r="G16" t="s">
        <v>301</v>
      </c>
      <c r="K16" t="s">
        <v>303</v>
      </c>
      <c r="O16" t="s">
        <v>296</v>
      </c>
      <c r="Q16" s="15">
        <v>14</v>
      </c>
      <c r="T16" t="s">
        <v>303</v>
      </c>
      <c r="U16" t="s">
        <v>303</v>
      </c>
    </row>
    <row r="17" spans="11:21" x14ac:dyDescent="0.3">
      <c r="K17" t="s">
        <v>304</v>
      </c>
      <c r="Q17" s="15">
        <v>15</v>
      </c>
      <c r="U17" t="s">
        <v>304</v>
      </c>
    </row>
    <row r="18" spans="11:21" x14ac:dyDescent="0.3">
      <c r="R18" t="s">
        <v>305</v>
      </c>
      <c r="S18" t="s">
        <v>307</v>
      </c>
      <c r="T18" t="s">
        <v>306</v>
      </c>
      <c r="U18" t="s">
        <v>308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2:S178"/>
  <sheetViews>
    <sheetView tabSelected="1" topLeftCell="F6" zoomScale="89" workbookViewId="0">
      <selection activeCell="L4" sqref="L4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2.21875" style="18" customWidth="1"/>
    <col min="11" max="15" width="27.77734375" style="17" customWidth="1"/>
    <col min="16" max="16" width="17.21875" style="17"/>
    <col min="17" max="17" width="17.21875" style="18"/>
    <col min="18" max="18" width="12.21875" style="17" customWidth="1"/>
    <col min="19" max="19" width="17.21875" style="17"/>
  </cols>
  <sheetData>
    <row r="2" spans="2:15" x14ac:dyDescent="0.3">
      <c r="B2" s="89" t="s">
        <v>665</v>
      </c>
    </row>
    <row r="3" spans="2:15" x14ac:dyDescent="0.3">
      <c r="B3" s="34" t="s">
        <v>610</v>
      </c>
    </row>
    <row r="4" spans="2:15" x14ac:dyDescent="0.3">
      <c r="B4" s="88" t="s">
        <v>551</v>
      </c>
    </row>
    <row r="5" spans="2:15" x14ac:dyDescent="0.3">
      <c r="J5" t="s">
        <v>698</v>
      </c>
    </row>
    <row r="6" spans="2:15" x14ac:dyDescent="0.3">
      <c r="B6" s="15" t="s">
        <v>552</v>
      </c>
    </row>
    <row r="7" spans="2:15" x14ac:dyDescent="0.3">
      <c r="C7" s="17" t="s">
        <v>164</v>
      </c>
      <c r="D7" s="17" t="s">
        <v>165</v>
      </c>
      <c r="E7" s="17" t="s">
        <v>166</v>
      </c>
      <c r="F7" s="17" t="s">
        <v>167</v>
      </c>
      <c r="G7" s="17" t="s">
        <v>168</v>
      </c>
      <c r="J7" t="s">
        <v>699</v>
      </c>
    </row>
    <row r="8" spans="2:15" x14ac:dyDescent="0.3">
      <c r="B8" s="15" t="s">
        <v>553</v>
      </c>
      <c r="C8" s="17" t="s">
        <v>582</v>
      </c>
      <c r="D8" s="17" t="s">
        <v>583</v>
      </c>
      <c r="E8" s="17" t="s">
        <v>584</v>
      </c>
      <c r="F8" s="17" t="s">
        <v>583</v>
      </c>
      <c r="G8" s="17" t="s">
        <v>584</v>
      </c>
      <c r="K8" s="17" t="s">
        <v>164</v>
      </c>
      <c r="L8" s="17" t="s">
        <v>165</v>
      </c>
      <c r="M8" s="17" t="s">
        <v>166</v>
      </c>
      <c r="N8" s="17" t="s">
        <v>167</v>
      </c>
      <c r="O8" s="17" t="s">
        <v>168</v>
      </c>
    </row>
    <row r="9" spans="2:15" x14ac:dyDescent="0.3">
      <c r="B9" s="15" t="s">
        <v>554</v>
      </c>
      <c r="C9" s="17" t="s">
        <v>582</v>
      </c>
      <c r="D9" s="17" t="s">
        <v>583</v>
      </c>
      <c r="E9" s="17" t="s">
        <v>584</v>
      </c>
      <c r="F9" s="17" t="s">
        <v>583</v>
      </c>
      <c r="G9" s="17" t="s">
        <v>584</v>
      </c>
      <c r="J9" t="s">
        <v>566</v>
      </c>
      <c r="K9" s="17" t="s">
        <v>700</v>
      </c>
      <c r="L9" s="17" t="s">
        <v>701</v>
      </c>
      <c r="M9" s="17" t="s">
        <v>155</v>
      </c>
      <c r="N9" s="17" t="s">
        <v>155</v>
      </c>
      <c r="O9" s="17" t="s">
        <v>155</v>
      </c>
    </row>
    <row r="10" spans="2:15" x14ac:dyDescent="0.3">
      <c r="B10" s="15" t="s">
        <v>555</v>
      </c>
      <c r="C10" s="17" t="s">
        <v>582</v>
      </c>
      <c r="D10" s="17" t="s">
        <v>585</v>
      </c>
      <c r="E10" s="17" t="s">
        <v>584</v>
      </c>
      <c r="F10" s="17" t="s">
        <v>586</v>
      </c>
      <c r="G10" s="17" t="s">
        <v>584</v>
      </c>
      <c r="J10" t="s">
        <v>567</v>
      </c>
      <c r="K10" s="17" t="s">
        <v>700</v>
      </c>
      <c r="L10" s="17" t="s">
        <v>702</v>
      </c>
      <c r="M10" s="17" t="s">
        <v>703</v>
      </c>
      <c r="N10" s="17" t="s">
        <v>155</v>
      </c>
      <c r="O10" s="17" t="s">
        <v>155</v>
      </c>
    </row>
    <row r="11" spans="2:15" x14ac:dyDescent="0.3">
      <c r="B11" s="15" t="s">
        <v>556</v>
      </c>
      <c r="C11" s="17" t="s">
        <v>586</v>
      </c>
      <c r="D11" s="17" t="s">
        <v>585</v>
      </c>
      <c r="E11" s="17" t="s">
        <v>582</v>
      </c>
      <c r="F11" s="17" t="s">
        <v>586</v>
      </c>
      <c r="G11" s="17" t="s">
        <v>155</v>
      </c>
      <c r="J11" t="s">
        <v>568</v>
      </c>
      <c r="K11" s="17" t="s">
        <v>700</v>
      </c>
      <c r="L11" s="17" t="s">
        <v>704</v>
      </c>
      <c r="M11" s="17" t="s">
        <v>703</v>
      </c>
      <c r="N11" s="17" t="s">
        <v>701</v>
      </c>
      <c r="O11" s="17" t="s">
        <v>705</v>
      </c>
    </row>
    <row r="12" spans="2:15" x14ac:dyDescent="0.3">
      <c r="B12" s="15" t="s">
        <v>557</v>
      </c>
      <c r="C12" s="17" t="s">
        <v>586</v>
      </c>
      <c r="D12" s="17" t="s">
        <v>155</v>
      </c>
      <c r="E12" s="17" t="s">
        <v>582</v>
      </c>
      <c r="F12" s="17" t="s">
        <v>155</v>
      </c>
      <c r="G12" s="17" t="s">
        <v>155</v>
      </c>
      <c r="J12" t="s">
        <v>553</v>
      </c>
      <c r="K12" s="17" t="s">
        <v>706</v>
      </c>
      <c r="L12" s="17" t="s">
        <v>704</v>
      </c>
      <c r="M12" s="17" t="s">
        <v>707</v>
      </c>
      <c r="N12" s="17" t="s">
        <v>701</v>
      </c>
      <c r="O12" s="17" t="s">
        <v>705</v>
      </c>
    </row>
    <row r="13" spans="2:15" x14ac:dyDescent="0.3">
      <c r="J13" t="s">
        <v>554</v>
      </c>
      <c r="K13" s="17" t="s">
        <v>706</v>
      </c>
      <c r="L13" s="17" t="s">
        <v>707</v>
      </c>
      <c r="M13" s="17" t="s">
        <v>707</v>
      </c>
      <c r="N13" s="17" t="s">
        <v>706</v>
      </c>
      <c r="O13" s="17" t="s">
        <v>708</v>
      </c>
    </row>
    <row r="14" spans="2:15" x14ac:dyDescent="0.3">
      <c r="B14" s="15" t="s">
        <v>558</v>
      </c>
      <c r="J14" t="s">
        <v>555</v>
      </c>
      <c r="K14" s="17" t="s">
        <v>703</v>
      </c>
      <c r="L14" s="17" t="s">
        <v>707</v>
      </c>
      <c r="M14" s="17" t="s">
        <v>708</v>
      </c>
      <c r="N14" s="17" t="s">
        <v>706</v>
      </c>
      <c r="O14" s="17" t="s">
        <v>708</v>
      </c>
    </row>
    <row r="15" spans="2:15" x14ac:dyDescent="0.3">
      <c r="C15" s="17" t="s">
        <v>164</v>
      </c>
      <c r="D15" s="17" t="s">
        <v>165</v>
      </c>
      <c r="E15" s="17" t="s">
        <v>166</v>
      </c>
      <c r="F15" s="17" t="s">
        <v>167</v>
      </c>
      <c r="G15" s="17" t="s">
        <v>168</v>
      </c>
      <c r="J15" t="s">
        <v>556</v>
      </c>
      <c r="K15" s="17" t="s">
        <v>703</v>
      </c>
      <c r="L15" s="17" t="s">
        <v>155</v>
      </c>
      <c r="M15" s="17" t="s">
        <v>708</v>
      </c>
      <c r="N15" s="17" t="s">
        <v>155</v>
      </c>
      <c r="O15" s="17" t="s">
        <v>708</v>
      </c>
    </row>
    <row r="16" spans="2:15" x14ac:dyDescent="0.3">
      <c r="B16" s="15" t="s">
        <v>559</v>
      </c>
      <c r="C16" s="17" t="s">
        <v>587</v>
      </c>
      <c r="D16" s="17" t="s">
        <v>155</v>
      </c>
      <c r="E16" s="17" t="s">
        <v>155</v>
      </c>
      <c r="F16" s="17" t="s">
        <v>155</v>
      </c>
      <c r="G16" s="17" t="s">
        <v>588</v>
      </c>
    </row>
    <row r="17" spans="2:15" x14ac:dyDescent="0.3">
      <c r="B17" s="15" t="s">
        <v>560</v>
      </c>
      <c r="C17" s="17" t="s">
        <v>587</v>
      </c>
      <c r="D17" s="17" t="s">
        <v>155</v>
      </c>
      <c r="E17" s="17" t="s">
        <v>589</v>
      </c>
      <c r="F17" s="17" t="s">
        <v>155</v>
      </c>
      <c r="G17" s="17" t="s">
        <v>588</v>
      </c>
      <c r="J17" t="s">
        <v>709</v>
      </c>
    </row>
    <row r="18" spans="2:15" x14ac:dyDescent="0.3">
      <c r="B18" s="15" t="s">
        <v>561</v>
      </c>
      <c r="C18" s="17" t="s">
        <v>587</v>
      </c>
      <c r="D18" s="17" t="s">
        <v>590</v>
      </c>
      <c r="E18" s="17" t="s">
        <v>589</v>
      </c>
      <c r="F18" s="17" t="s">
        <v>590</v>
      </c>
      <c r="G18" s="17" t="s">
        <v>591</v>
      </c>
      <c r="K18" s="17" t="s">
        <v>164</v>
      </c>
      <c r="L18" s="17" t="s">
        <v>165</v>
      </c>
      <c r="M18" s="17" t="s">
        <v>166</v>
      </c>
      <c r="N18" s="17" t="s">
        <v>167</v>
      </c>
      <c r="O18" s="17" t="s">
        <v>168</v>
      </c>
    </row>
    <row r="19" spans="2:15" x14ac:dyDescent="0.3">
      <c r="B19" s="15" t="s">
        <v>158</v>
      </c>
      <c r="C19" s="17" t="s">
        <v>592</v>
      </c>
      <c r="D19" s="17" t="s">
        <v>590</v>
      </c>
      <c r="E19" s="17" t="s">
        <v>588</v>
      </c>
      <c r="F19" s="17" t="s">
        <v>590</v>
      </c>
      <c r="G19" s="17" t="s">
        <v>591</v>
      </c>
      <c r="J19" t="s">
        <v>566</v>
      </c>
      <c r="K19" s="17" t="s">
        <v>700</v>
      </c>
      <c r="L19" s="17" t="s">
        <v>155</v>
      </c>
      <c r="M19" s="17" t="s">
        <v>710</v>
      </c>
      <c r="N19" s="17" t="s">
        <v>711</v>
      </c>
      <c r="O19" s="17" t="s">
        <v>710</v>
      </c>
    </row>
    <row r="20" spans="2:15" x14ac:dyDescent="0.3">
      <c r="B20" s="15" t="s">
        <v>159</v>
      </c>
      <c r="C20" s="17" t="s">
        <v>592</v>
      </c>
      <c r="D20" s="17" t="s">
        <v>590</v>
      </c>
      <c r="E20" s="17" t="s">
        <v>588</v>
      </c>
      <c r="F20" s="17" t="s">
        <v>593</v>
      </c>
      <c r="G20" s="17" t="s">
        <v>592</v>
      </c>
      <c r="J20" t="s">
        <v>567</v>
      </c>
      <c r="K20" s="17" t="s">
        <v>700</v>
      </c>
      <c r="L20" s="17" t="s">
        <v>712</v>
      </c>
      <c r="M20" s="17" t="s">
        <v>710</v>
      </c>
      <c r="N20" s="17" t="s">
        <v>711</v>
      </c>
      <c r="O20" s="17" t="s">
        <v>710</v>
      </c>
    </row>
    <row r="21" spans="2:15" x14ac:dyDescent="0.3">
      <c r="B21" s="15" t="s">
        <v>160</v>
      </c>
      <c r="C21" s="17" t="s">
        <v>592</v>
      </c>
      <c r="D21" s="17" t="s">
        <v>155</v>
      </c>
      <c r="E21" s="17" t="s">
        <v>588</v>
      </c>
      <c r="F21" s="17" t="s">
        <v>593</v>
      </c>
      <c r="G21" s="17" t="s">
        <v>592</v>
      </c>
      <c r="J21" t="s">
        <v>568</v>
      </c>
      <c r="K21" s="17" t="s">
        <v>700</v>
      </c>
      <c r="L21" s="17" t="s">
        <v>712</v>
      </c>
      <c r="M21" s="17" t="s">
        <v>710</v>
      </c>
      <c r="N21" s="17" t="s">
        <v>713</v>
      </c>
      <c r="O21" s="17" t="s">
        <v>714</v>
      </c>
    </row>
    <row r="22" spans="2:15" x14ac:dyDescent="0.3">
      <c r="J22" t="s">
        <v>553</v>
      </c>
      <c r="K22" s="17" t="s">
        <v>713</v>
      </c>
      <c r="L22" s="17" t="s">
        <v>715</v>
      </c>
      <c r="M22" s="17" t="s">
        <v>714</v>
      </c>
      <c r="N22" s="17" t="s">
        <v>713</v>
      </c>
      <c r="O22" s="17" t="s">
        <v>714</v>
      </c>
    </row>
    <row r="23" spans="2:15" x14ac:dyDescent="0.3">
      <c r="B23" s="15" t="s">
        <v>562</v>
      </c>
      <c r="J23" t="s">
        <v>554</v>
      </c>
      <c r="K23" s="17" t="s">
        <v>713</v>
      </c>
      <c r="L23" s="17" t="s">
        <v>716</v>
      </c>
      <c r="M23" s="17" t="s">
        <v>714</v>
      </c>
      <c r="N23" s="17" t="s">
        <v>717</v>
      </c>
      <c r="O23" s="17" t="s">
        <v>716</v>
      </c>
    </row>
    <row r="24" spans="2:15" x14ac:dyDescent="0.3">
      <c r="C24" s="17" t="s">
        <v>164</v>
      </c>
      <c r="D24" s="17" t="s">
        <v>165</v>
      </c>
      <c r="E24" s="17" t="s">
        <v>166</v>
      </c>
      <c r="F24" s="17" t="s">
        <v>167</v>
      </c>
      <c r="G24" s="17" t="s">
        <v>168</v>
      </c>
      <c r="J24" t="s">
        <v>555</v>
      </c>
      <c r="K24" s="17" t="s">
        <v>713</v>
      </c>
      <c r="L24" s="17" t="s">
        <v>711</v>
      </c>
      <c r="M24" s="17" t="s">
        <v>155</v>
      </c>
      <c r="N24" s="17" t="s">
        <v>717</v>
      </c>
      <c r="O24" s="17" t="s">
        <v>716</v>
      </c>
    </row>
    <row r="25" spans="2:15" x14ac:dyDescent="0.3">
      <c r="B25" s="15" t="s">
        <v>559</v>
      </c>
      <c r="C25" s="17" t="s">
        <v>155</v>
      </c>
      <c r="D25" s="17" t="s">
        <v>587</v>
      </c>
      <c r="E25" s="17" t="s">
        <v>155</v>
      </c>
      <c r="F25" s="17" t="s">
        <v>155</v>
      </c>
      <c r="G25" s="17" t="s">
        <v>593</v>
      </c>
      <c r="J25" t="s">
        <v>556</v>
      </c>
      <c r="K25" s="17" t="s">
        <v>155</v>
      </c>
      <c r="L25" s="17" t="s">
        <v>711</v>
      </c>
      <c r="M25" s="17" t="s">
        <v>155</v>
      </c>
      <c r="N25" s="17" t="s">
        <v>717</v>
      </c>
      <c r="O25" s="17" t="s">
        <v>716</v>
      </c>
    </row>
    <row r="26" spans="2:15" x14ac:dyDescent="0.3">
      <c r="B26" s="15" t="s">
        <v>560</v>
      </c>
      <c r="C26" s="17" t="s">
        <v>589</v>
      </c>
      <c r="D26" s="17" t="s">
        <v>587</v>
      </c>
      <c r="E26" s="17" t="s">
        <v>594</v>
      </c>
      <c r="F26" s="17" t="s">
        <v>155</v>
      </c>
      <c r="G26" s="17" t="s">
        <v>593</v>
      </c>
    </row>
    <row r="27" spans="2:15" x14ac:dyDescent="0.3">
      <c r="B27" s="15" t="s">
        <v>561</v>
      </c>
      <c r="C27" s="17" t="s">
        <v>589</v>
      </c>
      <c r="D27" s="17" t="s">
        <v>587</v>
      </c>
      <c r="E27" s="17" t="s">
        <v>594</v>
      </c>
      <c r="F27" s="17" t="s">
        <v>155</v>
      </c>
      <c r="G27" s="17" t="s">
        <v>594</v>
      </c>
      <c r="J27" t="s">
        <v>718</v>
      </c>
    </row>
    <row r="28" spans="2:15" x14ac:dyDescent="0.3">
      <c r="B28" s="15" t="s">
        <v>158</v>
      </c>
      <c r="C28" s="17" t="s">
        <v>595</v>
      </c>
      <c r="D28" s="17" t="s">
        <v>596</v>
      </c>
      <c r="E28" s="17" t="s">
        <v>594</v>
      </c>
      <c r="F28" s="17" t="s">
        <v>596</v>
      </c>
      <c r="G28" s="17" t="s">
        <v>594</v>
      </c>
      <c r="K28" s="17" t="s">
        <v>164</v>
      </c>
      <c r="L28" s="17" t="s">
        <v>165</v>
      </c>
      <c r="M28" s="17" t="s">
        <v>166</v>
      </c>
      <c r="N28" s="17" t="s">
        <v>167</v>
      </c>
      <c r="O28" s="17" t="s">
        <v>168</v>
      </c>
    </row>
    <row r="29" spans="2:15" x14ac:dyDescent="0.3">
      <c r="B29" s="15" t="s">
        <v>159</v>
      </c>
      <c r="C29" s="17" t="s">
        <v>595</v>
      </c>
      <c r="D29" s="17" t="s">
        <v>596</v>
      </c>
      <c r="E29" s="17" t="s">
        <v>595</v>
      </c>
      <c r="F29" s="17" t="s">
        <v>596</v>
      </c>
      <c r="G29" s="17" t="s">
        <v>591</v>
      </c>
      <c r="J29" t="s">
        <v>566</v>
      </c>
      <c r="K29" s="17" t="s">
        <v>719</v>
      </c>
      <c r="L29" s="17" t="s">
        <v>720</v>
      </c>
      <c r="M29" s="17" t="s">
        <v>155</v>
      </c>
      <c r="N29" s="17" t="s">
        <v>721</v>
      </c>
      <c r="O29" s="17" t="s">
        <v>155</v>
      </c>
    </row>
    <row r="30" spans="2:15" x14ac:dyDescent="0.3">
      <c r="B30" s="15" t="s">
        <v>160</v>
      </c>
      <c r="C30" s="17" t="s">
        <v>595</v>
      </c>
      <c r="D30" s="17" t="s">
        <v>596</v>
      </c>
      <c r="E30" s="17" t="s">
        <v>595</v>
      </c>
      <c r="F30" s="17" t="s">
        <v>155</v>
      </c>
      <c r="G30" s="17" t="s">
        <v>591</v>
      </c>
      <c r="J30" t="s">
        <v>567</v>
      </c>
      <c r="K30" s="17" t="s">
        <v>719</v>
      </c>
      <c r="L30" s="17" t="s">
        <v>722</v>
      </c>
      <c r="M30" s="17" t="s">
        <v>723</v>
      </c>
      <c r="N30" s="17" t="s">
        <v>721</v>
      </c>
      <c r="O30" s="17" t="s">
        <v>720</v>
      </c>
    </row>
    <row r="31" spans="2:15" x14ac:dyDescent="0.3">
      <c r="J31" t="s">
        <v>568</v>
      </c>
      <c r="K31" s="17" t="s">
        <v>724</v>
      </c>
      <c r="L31" s="17" t="s">
        <v>712</v>
      </c>
      <c r="M31" s="17" t="s">
        <v>723</v>
      </c>
      <c r="N31" s="17" t="s">
        <v>721</v>
      </c>
      <c r="O31" s="17" t="s">
        <v>720</v>
      </c>
    </row>
    <row r="32" spans="2:15" x14ac:dyDescent="0.3">
      <c r="B32" s="15" t="s">
        <v>563</v>
      </c>
      <c r="J32" t="s">
        <v>553</v>
      </c>
      <c r="K32" s="17" t="s">
        <v>724</v>
      </c>
      <c r="L32" s="17" t="s">
        <v>725</v>
      </c>
      <c r="M32" s="17" t="s">
        <v>724</v>
      </c>
      <c r="N32" s="17" t="s">
        <v>721</v>
      </c>
      <c r="O32" s="17" t="s">
        <v>726</v>
      </c>
    </row>
    <row r="33" spans="2:15" x14ac:dyDescent="0.3">
      <c r="C33" s="17" t="s">
        <v>164</v>
      </c>
      <c r="D33" s="17" t="s">
        <v>165</v>
      </c>
      <c r="E33" s="17" t="s">
        <v>166</v>
      </c>
      <c r="F33" s="17" t="s">
        <v>167</v>
      </c>
      <c r="G33" s="17" t="s">
        <v>168</v>
      </c>
      <c r="J33" t="s">
        <v>554</v>
      </c>
      <c r="K33" s="17" t="s">
        <v>727</v>
      </c>
      <c r="L33" s="17" t="s">
        <v>728</v>
      </c>
      <c r="M33" s="17" t="s">
        <v>724</v>
      </c>
      <c r="N33" s="17" t="s">
        <v>729</v>
      </c>
      <c r="O33" s="17" t="s">
        <v>726</v>
      </c>
    </row>
    <row r="34" spans="2:15" x14ac:dyDescent="0.3">
      <c r="B34" s="15" t="s">
        <v>559</v>
      </c>
      <c r="C34" s="17" t="s">
        <v>597</v>
      </c>
      <c r="D34" s="17" t="s">
        <v>155</v>
      </c>
      <c r="E34" s="17" t="s">
        <v>155</v>
      </c>
      <c r="F34" s="17" t="s">
        <v>155</v>
      </c>
      <c r="G34" s="17" t="s">
        <v>591</v>
      </c>
      <c r="J34" t="s">
        <v>555</v>
      </c>
      <c r="K34" s="17" t="s">
        <v>727</v>
      </c>
      <c r="L34" s="17" t="s">
        <v>728</v>
      </c>
      <c r="M34" s="17" t="s">
        <v>730</v>
      </c>
      <c r="N34" s="17" t="s">
        <v>729</v>
      </c>
      <c r="O34" s="17" t="s">
        <v>723</v>
      </c>
    </row>
    <row r="35" spans="2:15" x14ac:dyDescent="0.3">
      <c r="B35" s="15" t="s">
        <v>560</v>
      </c>
      <c r="C35" s="17" t="s">
        <v>597</v>
      </c>
      <c r="D35" s="17" t="s">
        <v>589</v>
      </c>
      <c r="E35" s="17" t="s">
        <v>597</v>
      </c>
      <c r="F35" s="17" t="s">
        <v>155</v>
      </c>
      <c r="G35" s="17" t="s">
        <v>591</v>
      </c>
      <c r="J35" t="s">
        <v>556</v>
      </c>
      <c r="K35" s="17" t="s">
        <v>727</v>
      </c>
      <c r="L35" s="17" t="s">
        <v>728</v>
      </c>
      <c r="M35" s="17" t="s">
        <v>730</v>
      </c>
      <c r="N35" s="17" t="s">
        <v>729</v>
      </c>
      <c r="O35" s="17" t="s">
        <v>723</v>
      </c>
    </row>
    <row r="36" spans="2:15" x14ac:dyDescent="0.3">
      <c r="B36" s="15" t="s">
        <v>561</v>
      </c>
      <c r="C36" s="17" t="s">
        <v>597</v>
      </c>
      <c r="D36" s="17" t="s">
        <v>589</v>
      </c>
      <c r="E36" s="17" t="s">
        <v>597</v>
      </c>
      <c r="F36" s="17" t="s">
        <v>155</v>
      </c>
      <c r="G36" s="17" t="s">
        <v>598</v>
      </c>
    </row>
    <row r="37" spans="2:15" x14ac:dyDescent="0.3">
      <c r="B37" s="15" t="s">
        <v>158</v>
      </c>
      <c r="C37" s="17" t="s">
        <v>587</v>
      </c>
      <c r="D37" s="17" t="s">
        <v>599</v>
      </c>
      <c r="E37" s="17" t="s">
        <v>598</v>
      </c>
      <c r="F37" s="17" t="s">
        <v>599</v>
      </c>
      <c r="G37" s="17" t="s">
        <v>598</v>
      </c>
      <c r="J37" t="s">
        <v>731</v>
      </c>
    </row>
    <row r="38" spans="2:15" x14ac:dyDescent="0.3">
      <c r="B38" s="15" t="s">
        <v>159</v>
      </c>
      <c r="C38" s="17" t="s">
        <v>587</v>
      </c>
      <c r="D38" s="17" t="s">
        <v>599</v>
      </c>
      <c r="E38" s="17" t="s">
        <v>598</v>
      </c>
      <c r="F38" s="17" t="s">
        <v>599</v>
      </c>
      <c r="G38" s="17" t="s">
        <v>593</v>
      </c>
      <c r="K38" s="17" t="s">
        <v>164</v>
      </c>
      <c r="L38" s="17" t="s">
        <v>165</v>
      </c>
      <c r="M38" s="17" t="s">
        <v>166</v>
      </c>
      <c r="N38" s="17" t="s">
        <v>167</v>
      </c>
      <c r="O38" s="17" t="s">
        <v>168</v>
      </c>
    </row>
    <row r="39" spans="2:15" x14ac:dyDescent="0.3">
      <c r="B39" s="15" t="s">
        <v>160</v>
      </c>
      <c r="C39" s="17" t="s">
        <v>587</v>
      </c>
      <c r="D39" s="17" t="s">
        <v>155</v>
      </c>
      <c r="E39" s="17" t="s">
        <v>598</v>
      </c>
      <c r="F39" s="17" t="s">
        <v>599</v>
      </c>
      <c r="G39" s="17" t="s">
        <v>593</v>
      </c>
      <c r="J39" t="s">
        <v>566</v>
      </c>
      <c r="K39" s="17" t="s">
        <v>719</v>
      </c>
      <c r="L39" s="17" t="s">
        <v>720</v>
      </c>
      <c r="M39" s="17" t="s">
        <v>155</v>
      </c>
      <c r="N39" s="17" t="s">
        <v>721</v>
      </c>
      <c r="O39" s="17" t="s">
        <v>155</v>
      </c>
    </row>
    <row r="40" spans="2:15" x14ac:dyDescent="0.3">
      <c r="J40" t="s">
        <v>567</v>
      </c>
      <c r="K40" s="17" t="s">
        <v>719</v>
      </c>
      <c r="L40" s="17" t="s">
        <v>722</v>
      </c>
      <c r="M40" s="17" t="s">
        <v>723</v>
      </c>
      <c r="N40" s="17" t="s">
        <v>721</v>
      </c>
      <c r="O40" s="17" t="s">
        <v>720</v>
      </c>
    </row>
    <row r="41" spans="2:15" x14ac:dyDescent="0.3">
      <c r="B41" s="15" t="s">
        <v>564</v>
      </c>
      <c r="J41" t="s">
        <v>568</v>
      </c>
      <c r="K41" s="17" t="s">
        <v>732</v>
      </c>
      <c r="L41" s="17" t="s">
        <v>712</v>
      </c>
      <c r="M41" s="17" t="s">
        <v>723</v>
      </c>
      <c r="N41" s="17" t="s">
        <v>721</v>
      </c>
      <c r="O41" s="17" t="s">
        <v>720</v>
      </c>
    </row>
    <row r="42" spans="2:15" x14ac:dyDescent="0.3">
      <c r="C42" s="17" t="s">
        <v>164</v>
      </c>
      <c r="D42" s="17" t="s">
        <v>165</v>
      </c>
      <c r="E42" s="17" t="s">
        <v>166</v>
      </c>
      <c r="F42" s="17" t="s">
        <v>167</v>
      </c>
      <c r="G42" s="17" t="s">
        <v>168</v>
      </c>
      <c r="J42" t="s">
        <v>553</v>
      </c>
      <c r="K42" s="17" t="s">
        <v>732</v>
      </c>
      <c r="L42" s="17" t="s">
        <v>725</v>
      </c>
      <c r="M42" s="17" t="s">
        <v>732</v>
      </c>
      <c r="N42" s="17" t="s">
        <v>721</v>
      </c>
      <c r="O42" s="17" t="s">
        <v>726</v>
      </c>
    </row>
    <row r="43" spans="2:15" x14ac:dyDescent="0.3">
      <c r="B43" s="15" t="s">
        <v>565</v>
      </c>
      <c r="C43" s="17" t="s">
        <v>155</v>
      </c>
      <c r="D43" s="17" t="s">
        <v>600</v>
      </c>
      <c r="E43" s="17" t="s">
        <v>155</v>
      </c>
      <c r="F43" s="17" t="s">
        <v>600</v>
      </c>
      <c r="G43" s="17" t="s">
        <v>593</v>
      </c>
      <c r="J43" t="s">
        <v>554</v>
      </c>
      <c r="K43" s="17" t="s">
        <v>727</v>
      </c>
      <c r="L43" s="17" t="s">
        <v>728</v>
      </c>
      <c r="M43" s="17" t="s">
        <v>732</v>
      </c>
      <c r="N43" s="17" t="s">
        <v>729</v>
      </c>
      <c r="O43" s="17" t="s">
        <v>726</v>
      </c>
    </row>
    <row r="44" spans="2:15" x14ac:dyDescent="0.3">
      <c r="B44" s="15" t="s">
        <v>566</v>
      </c>
      <c r="C44" s="17" t="s">
        <v>155</v>
      </c>
      <c r="D44" s="17" t="s">
        <v>600</v>
      </c>
      <c r="E44" s="17" t="s">
        <v>587</v>
      </c>
      <c r="F44" s="17" t="s">
        <v>600</v>
      </c>
      <c r="G44" s="17" t="s">
        <v>593</v>
      </c>
      <c r="J44" t="s">
        <v>555</v>
      </c>
      <c r="K44" s="17" t="s">
        <v>727</v>
      </c>
      <c r="L44" s="17" t="s">
        <v>728</v>
      </c>
      <c r="M44" s="17" t="s">
        <v>730</v>
      </c>
      <c r="N44" s="17" t="s">
        <v>729</v>
      </c>
      <c r="O44" s="17" t="s">
        <v>723</v>
      </c>
    </row>
    <row r="45" spans="2:15" x14ac:dyDescent="0.3">
      <c r="B45" s="15" t="s">
        <v>567</v>
      </c>
      <c r="C45" s="17" t="s">
        <v>601</v>
      </c>
      <c r="D45" s="17" t="s">
        <v>589</v>
      </c>
      <c r="E45" s="17" t="s">
        <v>587</v>
      </c>
      <c r="F45" s="17" t="s">
        <v>600</v>
      </c>
      <c r="G45" s="17" t="s">
        <v>591</v>
      </c>
      <c r="J45" t="s">
        <v>556</v>
      </c>
      <c r="K45" s="17" t="s">
        <v>727</v>
      </c>
      <c r="L45" s="17" t="s">
        <v>728</v>
      </c>
      <c r="M45" s="17" t="s">
        <v>730</v>
      </c>
      <c r="N45" s="17" t="s">
        <v>729</v>
      </c>
      <c r="O45" s="17" t="s">
        <v>723</v>
      </c>
    </row>
    <row r="46" spans="2:15" x14ac:dyDescent="0.3">
      <c r="B46" s="15" t="s">
        <v>568</v>
      </c>
      <c r="C46" s="17" t="s">
        <v>601</v>
      </c>
      <c r="D46" s="17" t="s">
        <v>589</v>
      </c>
      <c r="E46" s="17" t="s">
        <v>587</v>
      </c>
      <c r="F46" s="17" t="s">
        <v>602</v>
      </c>
      <c r="G46" s="17" t="s">
        <v>591</v>
      </c>
    </row>
    <row r="47" spans="2:15" x14ac:dyDescent="0.3">
      <c r="B47" s="15" t="s">
        <v>553</v>
      </c>
      <c r="C47" s="17" t="s">
        <v>601</v>
      </c>
      <c r="D47" s="17" t="s">
        <v>602</v>
      </c>
      <c r="E47" s="17" t="s">
        <v>155</v>
      </c>
      <c r="F47" s="17" t="s">
        <v>602</v>
      </c>
      <c r="G47" s="17" t="s">
        <v>601</v>
      </c>
    </row>
    <row r="48" spans="2:15" x14ac:dyDescent="0.3">
      <c r="B48" s="15" t="s">
        <v>554</v>
      </c>
      <c r="C48" s="17" t="s">
        <v>155</v>
      </c>
      <c r="D48" s="17" t="s">
        <v>602</v>
      </c>
      <c r="E48" s="17" t="s">
        <v>155</v>
      </c>
      <c r="F48" s="17" t="s">
        <v>602</v>
      </c>
      <c r="G48" s="17" t="s">
        <v>601</v>
      </c>
    </row>
    <row r="50" spans="2:7" x14ac:dyDescent="0.3">
      <c r="B50" s="15" t="s">
        <v>569</v>
      </c>
    </row>
    <row r="51" spans="2:7" x14ac:dyDescent="0.3">
      <c r="C51" s="17" t="s">
        <v>164</v>
      </c>
      <c r="D51" s="17" t="s">
        <v>165</v>
      </c>
      <c r="E51" s="17" t="s">
        <v>166</v>
      </c>
      <c r="F51" s="17" t="s">
        <v>167</v>
      </c>
      <c r="G51" s="17" t="s">
        <v>168</v>
      </c>
    </row>
    <row r="52" spans="2:7" x14ac:dyDescent="0.3">
      <c r="B52" s="15" t="s">
        <v>565</v>
      </c>
      <c r="C52" s="17" t="s">
        <v>603</v>
      </c>
      <c r="D52" s="17" t="s">
        <v>604</v>
      </c>
      <c r="E52" s="17" t="s">
        <v>605</v>
      </c>
      <c r="F52" s="17" t="s">
        <v>604</v>
      </c>
      <c r="G52" s="17" t="s">
        <v>606</v>
      </c>
    </row>
    <row r="53" spans="2:7" x14ac:dyDescent="0.3">
      <c r="B53" s="15" t="s">
        <v>566</v>
      </c>
      <c r="C53" s="17" t="s">
        <v>603</v>
      </c>
      <c r="D53" s="17" t="s">
        <v>604</v>
      </c>
      <c r="E53" s="17" t="s">
        <v>605</v>
      </c>
      <c r="F53" s="17" t="s">
        <v>604</v>
      </c>
      <c r="G53" s="17" t="s">
        <v>606</v>
      </c>
    </row>
    <row r="54" spans="2:7" x14ac:dyDescent="0.3">
      <c r="B54" s="15" t="s">
        <v>567</v>
      </c>
      <c r="C54" s="17" t="s">
        <v>603</v>
      </c>
      <c r="D54" s="17" t="s">
        <v>604</v>
      </c>
      <c r="E54" s="17" t="s">
        <v>605</v>
      </c>
      <c r="F54" s="17" t="s">
        <v>607</v>
      </c>
      <c r="G54" s="17" t="s">
        <v>605</v>
      </c>
    </row>
    <row r="55" spans="2:7" x14ac:dyDescent="0.3">
      <c r="B55" s="15" t="s">
        <v>568</v>
      </c>
      <c r="C55" s="17" t="s">
        <v>155</v>
      </c>
      <c r="D55" s="17" t="s">
        <v>155</v>
      </c>
      <c r="E55" s="17" t="s">
        <v>603</v>
      </c>
      <c r="F55" s="17" t="s">
        <v>607</v>
      </c>
      <c r="G55" s="17" t="s">
        <v>605</v>
      </c>
    </row>
    <row r="56" spans="2:7" x14ac:dyDescent="0.3">
      <c r="B56" s="15" t="s">
        <v>553</v>
      </c>
      <c r="C56" s="17" t="s">
        <v>155</v>
      </c>
      <c r="D56" s="17" t="s">
        <v>155</v>
      </c>
      <c r="E56" s="17" t="s">
        <v>603</v>
      </c>
      <c r="F56" s="17" t="s">
        <v>155</v>
      </c>
      <c r="G56" s="17" t="s">
        <v>155</v>
      </c>
    </row>
    <row r="57" spans="2:7" x14ac:dyDescent="0.3">
      <c r="B57" s="15" t="s">
        <v>554</v>
      </c>
      <c r="C57" s="17" t="s">
        <v>155</v>
      </c>
      <c r="D57" s="17" t="s">
        <v>155</v>
      </c>
      <c r="E57" s="17" t="s">
        <v>155</v>
      </c>
      <c r="F57" s="17" t="s">
        <v>155</v>
      </c>
      <c r="G57" s="17" t="s">
        <v>155</v>
      </c>
    </row>
    <row r="59" spans="2:7" x14ac:dyDescent="0.3">
      <c r="B59" s="15" t="s">
        <v>570</v>
      </c>
    </row>
    <row r="60" spans="2:7" x14ac:dyDescent="0.3">
      <c r="C60" s="17" t="s">
        <v>164</v>
      </c>
      <c r="D60" s="17" t="s">
        <v>165</v>
      </c>
      <c r="E60" s="17" t="s">
        <v>166</v>
      </c>
      <c r="F60" s="17" t="s">
        <v>167</v>
      </c>
      <c r="G60" s="17" t="s">
        <v>168</v>
      </c>
    </row>
    <row r="61" spans="2:7" x14ac:dyDescent="0.3">
      <c r="B61" s="15" t="s">
        <v>565</v>
      </c>
      <c r="C61" s="17" t="s">
        <v>603</v>
      </c>
      <c r="D61" s="17" t="s">
        <v>608</v>
      </c>
      <c r="E61" s="17" t="s">
        <v>605</v>
      </c>
      <c r="F61" s="17" t="s">
        <v>608</v>
      </c>
      <c r="G61" s="17" t="s">
        <v>606</v>
      </c>
    </row>
    <row r="62" spans="2:7" x14ac:dyDescent="0.3">
      <c r="B62" s="15" t="s">
        <v>566</v>
      </c>
      <c r="C62" s="17" t="s">
        <v>603</v>
      </c>
      <c r="D62" s="17" t="s">
        <v>608</v>
      </c>
      <c r="E62" s="17" t="s">
        <v>605</v>
      </c>
      <c r="F62" s="17" t="s">
        <v>608</v>
      </c>
      <c r="G62" s="17" t="s">
        <v>606</v>
      </c>
    </row>
    <row r="63" spans="2:7" x14ac:dyDescent="0.3">
      <c r="B63" s="15" t="s">
        <v>567</v>
      </c>
      <c r="C63" s="17" t="s">
        <v>603</v>
      </c>
      <c r="D63" s="17" t="s">
        <v>608</v>
      </c>
      <c r="E63" s="17" t="s">
        <v>605</v>
      </c>
      <c r="F63" s="17" t="s">
        <v>609</v>
      </c>
      <c r="G63" s="17" t="s">
        <v>605</v>
      </c>
    </row>
    <row r="64" spans="2:7" x14ac:dyDescent="0.3">
      <c r="B64" s="15" t="s">
        <v>568</v>
      </c>
      <c r="C64" s="17" t="s">
        <v>155</v>
      </c>
      <c r="D64" s="17" t="s">
        <v>155</v>
      </c>
      <c r="E64" s="17" t="s">
        <v>603</v>
      </c>
      <c r="F64" s="17" t="s">
        <v>609</v>
      </c>
      <c r="G64" s="17" t="s">
        <v>605</v>
      </c>
    </row>
    <row r="65" spans="2:7" x14ac:dyDescent="0.3">
      <c r="B65" s="15" t="s">
        <v>553</v>
      </c>
      <c r="C65" s="17" t="s">
        <v>155</v>
      </c>
      <c r="D65" s="17" t="s">
        <v>155</v>
      </c>
      <c r="E65" s="17" t="s">
        <v>603</v>
      </c>
      <c r="F65" s="17" t="s">
        <v>155</v>
      </c>
      <c r="G65" s="17" t="s">
        <v>155</v>
      </c>
    </row>
    <row r="66" spans="2:7" x14ac:dyDescent="0.3">
      <c r="B66" s="15" t="s">
        <v>554</v>
      </c>
      <c r="C66" s="17" t="s">
        <v>155</v>
      </c>
      <c r="D66" s="17" t="s">
        <v>155</v>
      </c>
      <c r="E66" s="17" t="s">
        <v>155</v>
      </c>
      <c r="F66" s="17" t="s">
        <v>155</v>
      </c>
      <c r="G66" s="17" t="s">
        <v>155</v>
      </c>
    </row>
    <row r="68" spans="2:7" x14ac:dyDescent="0.3">
      <c r="B68" s="34" t="s">
        <v>610</v>
      </c>
    </row>
    <row r="69" spans="2:7" x14ac:dyDescent="0.3">
      <c r="B69" s="88" t="s">
        <v>611</v>
      </c>
    </row>
    <row r="71" spans="2:7" x14ac:dyDescent="0.3">
      <c r="B71" s="15" t="s">
        <v>612</v>
      </c>
    </row>
    <row r="72" spans="2:7" x14ac:dyDescent="0.3">
      <c r="C72" s="17" t="s">
        <v>164</v>
      </c>
      <c r="D72" s="17" t="s">
        <v>165</v>
      </c>
      <c r="E72" s="17" t="s">
        <v>166</v>
      </c>
      <c r="F72" s="17" t="s">
        <v>167</v>
      </c>
      <c r="G72" s="17" t="s">
        <v>168</v>
      </c>
    </row>
    <row r="73" spans="2:7" x14ac:dyDescent="0.3">
      <c r="B73" s="15" t="s">
        <v>553</v>
      </c>
      <c r="C73" s="17" t="s">
        <v>613</v>
      </c>
      <c r="D73" s="17" t="s">
        <v>614</v>
      </c>
      <c r="E73" s="17" t="s">
        <v>615</v>
      </c>
      <c r="F73" s="17" t="s">
        <v>614</v>
      </c>
      <c r="G73" s="17" t="s">
        <v>613</v>
      </c>
    </row>
    <row r="74" spans="2:7" x14ac:dyDescent="0.3">
      <c r="B74" s="15" t="s">
        <v>554</v>
      </c>
      <c r="C74" s="17" t="s">
        <v>613</v>
      </c>
      <c r="D74" s="17" t="s">
        <v>614</v>
      </c>
      <c r="E74" s="17" t="s">
        <v>615</v>
      </c>
      <c r="F74" s="17" t="s">
        <v>614</v>
      </c>
      <c r="G74" s="17" t="s">
        <v>613</v>
      </c>
    </row>
    <row r="75" spans="2:7" x14ac:dyDescent="0.3">
      <c r="B75" s="15" t="s">
        <v>555</v>
      </c>
      <c r="C75" s="17" t="s">
        <v>613</v>
      </c>
      <c r="D75" s="17" t="s">
        <v>614</v>
      </c>
      <c r="E75" s="17" t="s">
        <v>615</v>
      </c>
      <c r="F75" s="17" t="s">
        <v>616</v>
      </c>
      <c r="G75" s="17" t="s">
        <v>617</v>
      </c>
    </row>
    <row r="76" spans="2:7" x14ac:dyDescent="0.3">
      <c r="B76" s="15" t="s">
        <v>556</v>
      </c>
      <c r="C76" s="17" t="s">
        <v>615</v>
      </c>
      <c r="D76" s="17" t="s">
        <v>616</v>
      </c>
      <c r="E76" s="17" t="s">
        <v>617</v>
      </c>
      <c r="F76" s="17" t="s">
        <v>155</v>
      </c>
      <c r="G76" s="17" t="s">
        <v>617</v>
      </c>
    </row>
    <row r="77" spans="2:7" x14ac:dyDescent="0.3">
      <c r="B77" s="15" t="s">
        <v>557</v>
      </c>
      <c r="C77" s="17" t="s">
        <v>615</v>
      </c>
      <c r="D77" s="17" t="s">
        <v>616</v>
      </c>
      <c r="E77" s="17" t="s">
        <v>617</v>
      </c>
      <c r="F77" s="17" t="s">
        <v>155</v>
      </c>
      <c r="G77" s="17" t="s">
        <v>617</v>
      </c>
    </row>
    <row r="79" spans="2:7" x14ac:dyDescent="0.3">
      <c r="B79" s="15" t="s">
        <v>618</v>
      </c>
    </row>
    <row r="80" spans="2:7" x14ac:dyDescent="0.3">
      <c r="C80" s="17" t="s">
        <v>164</v>
      </c>
      <c r="D80" s="17" t="s">
        <v>165</v>
      </c>
      <c r="E80" s="17" t="s">
        <v>166</v>
      </c>
      <c r="F80" s="17" t="s">
        <v>167</v>
      </c>
      <c r="G80" s="17" t="s">
        <v>168</v>
      </c>
    </row>
    <row r="81" spans="2:7" x14ac:dyDescent="0.3">
      <c r="B81" s="15" t="s">
        <v>559</v>
      </c>
      <c r="C81" s="17" t="s">
        <v>619</v>
      </c>
      <c r="D81" s="17" t="s">
        <v>620</v>
      </c>
      <c r="E81" s="17" t="s">
        <v>155</v>
      </c>
      <c r="F81" s="17" t="s">
        <v>619</v>
      </c>
      <c r="G81" s="17" t="s">
        <v>621</v>
      </c>
    </row>
    <row r="82" spans="2:7" x14ac:dyDescent="0.3">
      <c r="B82" s="15" t="s">
        <v>560</v>
      </c>
      <c r="C82" s="17" t="s">
        <v>619</v>
      </c>
      <c r="D82" s="17" t="s">
        <v>620</v>
      </c>
      <c r="E82" s="17" t="s">
        <v>621</v>
      </c>
      <c r="F82" s="17" t="s">
        <v>619</v>
      </c>
      <c r="G82" s="17" t="s">
        <v>621</v>
      </c>
    </row>
    <row r="83" spans="2:7" x14ac:dyDescent="0.3">
      <c r="B83" s="15" t="s">
        <v>561</v>
      </c>
      <c r="C83" s="17" t="s">
        <v>622</v>
      </c>
      <c r="D83" s="17" t="s">
        <v>620</v>
      </c>
      <c r="E83" s="17" t="s">
        <v>621</v>
      </c>
      <c r="F83" s="17" t="s">
        <v>623</v>
      </c>
      <c r="G83" s="17" t="s">
        <v>621</v>
      </c>
    </row>
    <row r="84" spans="2:7" x14ac:dyDescent="0.3">
      <c r="B84" s="15" t="s">
        <v>158</v>
      </c>
      <c r="C84" s="17" t="s">
        <v>622</v>
      </c>
      <c r="D84" s="17" t="s">
        <v>624</v>
      </c>
      <c r="E84" s="17" t="s">
        <v>622</v>
      </c>
      <c r="F84" s="17" t="s">
        <v>623</v>
      </c>
      <c r="G84" s="17" t="s">
        <v>625</v>
      </c>
    </row>
    <row r="85" spans="2:7" x14ac:dyDescent="0.3">
      <c r="B85" s="15" t="s">
        <v>159</v>
      </c>
      <c r="C85" s="17" t="s">
        <v>625</v>
      </c>
      <c r="D85" s="17" t="s">
        <v>624</v>
      </c>
      <c r="E85" s="17" t="s">
        <v>622</v>
      </c>
      <c r="F85" s="17" t="s">
        <v>624</v>
      </c>
      <c r="G85" s="17" t="s">
        <v>625</v>
      </c>
    </row>
    <row r="86" spans="2:7" x14ac:dyDescent="0.3">
      <c r="B86" s="15" t="s">
        <v>160</v>
      </c>
      <c r="C86" s="17" t="s">
        <v>625</v>
      </c>
      <c r="D86" s="17" t="s">
        <v>624</v>
      </c>
      <c r="E86" s="17" t="s">
        <v>622</v>
      </c>
      <c r="F86" s="17" t="s">
        <v>624</v>
      </c>
      <c r="G86" s="17" t="s">
        <v>625</v>
      </c>
    </row>
    <row r="88" spans="2:7" x14ac:dyDescent="0.3">
      <c r="B88" s="15" t="s">
        <v>626</v>
      </c>
    </row>
    <row r="89" spans="2:7" x14ac:dyDescent="0.3">
      <c r="C89" s="17" t="s">
        <v>164</v>
      </c>
      <c r="D89" s="17" t="s">
        <v>165</v>
      </c>
      <c r="E89" s="17" t="s">
        <v>166</v>
      </c>
      <c r="F89" s="17" t="s">
        <v>167</v>
      </c>
      <c r="G89" s="17" t="s">
        <v>168</v>
      </c>
    </row>
    <row r="90" spans="2:7" x14ac:dyDescent="0.3">
      <c r="B90" s="15" t="s">
        <v>559</v>
      </c>
      <c r="C90" s="17" t="s">
        <v>627</v>
      </c>
      <c r="D90" s="17" t="s">
        <v>628</v>
      </c>
      <c r="E90" s="17" t="s">
        <v>627</v>
      </c>
      <c r="F90" s="17" t="s">
        <v>629</v>
      </c>
      <c r="G90" s="17" t="s">
        <v>630</v>
      </c>
    </row>
    <row r="91" spans="2:7" x14ac:dyDescent="0.3">
      <c r="B91" s="15" t="s">
        <v>560</v>
      </c>
      <c r="C91" s="17" t="s">
        <v>627</v>
      </c>
      <c r="D91" s="17" t="s">
        <v>628</v>
      </c>
      <c r="E91" s="17" t="s">
        <v>627</v>
      </c>
      <c r="F91" s="17" t="s">
        <v>629</v>
      </c>
      <c r="G91" s="17" t="s">
        <v>630</v>
      </c>
    </row>
    <row r="92" spans="2:7" x14ac:dyDescent="0.3">
      <c r="B92" s="15" t="s">
        <v>561</v>
      </c>
      <c r="C92" s="17" t="s">
        <v>622</v>
      </c>
      <c r="D92" s="17" t="s">
        <v>628</v>
      </c>
      <c r="E92" s="17" t="s">
        <v>627</v>
      </c>
      <c r="F92" s="17" t="s">
        <v>623</v>
      </c>
      <c r="G92" s="17" t="s">
        <v>630</v>
      </c>
    </row>
    <row r="93" spans="2:7" x14ac:dyDescent="0.3">
      <c r="B93" s="15" t="s">
        <v>158</v>
      </c>
      <c r="C93" s="17" t="s">
        <v>622</v>
      </c>
      <c r="D93" s="17" t="s">
        <v>629</v>
      </c>
      <c r="E93" s="17" t="s">
        <v>622</v>
      </c>
      <c r="F93" s="17" t="s">
        <v>623</v>
      </c>
      <c r="G93" s="17" t="s">
        <v>628</v>
      </c>
    </row>
    <row r="94" spans="2:7" x14ac:dyDescent="0.3">
      <c r="B94" s="15" t="s">
        <v>159</v>
      </c>
      <c r="C94" s="17" t="s">
        <v>619</v>
      </c>
      <c r="D94" s="17" t="s">
        <v>629</v>
      </c>
      <c r="E94" s="17" t="s">
        <v>622</v>
      </c>
      <c r="F94" s="17" t="s">
        <v>619</v>
      </c>
      <c r="G94" s="17" t="s">
        <v>628</v>
      </c>
    </row>
    <row r="95" spans="2:7" x14ac:dyDescent="0.3">
      <c r="B95" s="15" t="s">
        <v>160</v>
      </c>
      <c r="C95" s="17" t="s">
        <v>619</v>
      </c>
      <c r="D95" s="17" t="s">
        <v>629</v>
      </c>
      <c r="E95" s="17" t="s">
        <v>622</v>
      </c>
      <c r="F95" s="17" t="s">
        <v>619</v>
      </c>
      <c r="G95" s="17" t="s">
        <v>628</v>
      </c>
    </row>
    <row r="97" spans="2:7" x14ac:dyDescent="0.3">
      <c r="B97" s="15" t="s">
        <v>631</v>
      </c>
    </row>
    <row r="98" spans="2:7" x14ac:dyDescent="0.3">
      <c r="C98" s="17" t="s">
        <v>164</v>
      </c>
      <c r="D98" s="17" t="s">
        <v>165</v>
      </c>
      <c r="E98" s="17" t="s">
        <v>166</v>
      </c>
      <c r="F98" s="17" t="s">
        <v>167</v>
      </c>
      <c r="G98" s="17" t="s">
        <v>168</v>
      </c>
    </row>
    <row r="99" spans="2:7" x14ac:dyDescent="0.3">
      <c r="B99" s="15" t="s">
        <v>559</v>
      </c>
      <c r="C99" s="17" t="s">
        <v>619</v>
      </c>
      <c r="D99" s="17" t="s">
        <v>621</v>
      </c>
      <c r="E99" s="17" t="s">
        <v>155</v>
      </c>
      <c r="F99" s="17" t="s">
        <v>619</v>
      </c>
      <c r="G99" s="17" t="s">
        <v>632</v>
      </c>
    </row>
    <row r="100" spans="2:7" x14ac:dyDescent="0.3">
      <c r="B100" s="15" t="s">
        <v>560</v>
      </c>
      <c r="C100" s="17" t="s">
        <v>619</v>
      </c>
      <c r="D100" s="17" t="s">
        <v>621</v>
      </c>
      <c r="E100" s="17" t="s">
        <v>633</v>
      </c>
      <c r="F100" s="17" t="s">
        <v>619</v>
      </c>
      <c r="G100" s="17" t="s">
        <v>632</v>
      </c>
    </row>
    <row r="101" spans="2:7" x14ac:dyDescent="0.3">
      <c r="B101" s="15" t="s">
        <v>561</v>
      </c>
      <c r="C101" s="17" t="s">
        <v>633</v>
      </c>
      <c r="D101" s="17" t="s">
        <v>621</v>
      </c>
      <c r="E101" s="17" t="s">
        <v>633</v>
      </c>
      <c r="F101" s="17" t="s">
        <v>621</v>
      </c>
      <c r="G101" s="17" t="s">
        <v>632</v>
      </c>
    </row>
    <row r="102" spans="2:7" x14ac:dyDescent="0.3">
      <c r="B102" s="15" t="s">
        <v>158</v>
      </c>
      <c r="C102" s="17" t="s">
        <v>633</v>
      </c>
      <c r="D102" s="17" t="s">
        <v>624</v>
      </c>
      <c r="E102" s="17" t="s">
        <v>633</v>
      </c>
      <c r="F102" s="17" t="s">
        <v>621</v>
      </c>
      <c r="G102" s="17" t="s">
        <v>625</v>
      </c>
    </row>
    <row r="103" spans="2:7" x14ac:dyDescent="0.3">
      <c r="B103" s="15" t="s">
        <v>159</v>
      </c>
      <c r="C103" s="17" t="s">
        <v>625</v>
      </c>
      <c r="D103" s="17" t="s">
        <v>624</v>
      </c>
      <c r="E103" s="17" t="s">
        <v>623</v>
      </c>
      <c r="F103" s="17" t="s">
        <v>624</v>
      </c>
      <c r="G103" s="17" t="s">
        <v>625</v>
      </c>
    </row>
    <row r="104" spans="2:7" x14ac:dyDescent="0.3">
      <c r="B104" s="15" t="s">
        <v>160</v>
      </c>
      <c r="C104" s="17" t="s">
        <v>625</v>
      </c>
      <c r="D104" s="17" t="s">
        <v>624</v>
      </c>
      <c r="E104" s="17" t="s">
        <v>623</v>
      </c>
      <c r="F104" s="17" t="s">
        <v>624</v>
      </c>
      <c r="G104" s="17" t="s">
        <v>625</v>
      </c>
    </row>
    <row r="106" spans="2:7" x14ac:dyDescent="0.3">
      <c r="B106" s="15" t="s">
        <v>634</v>
      </c>
    </row>
    <row r="107" spans="2:7" x14ac:dyDescent="0.3">
      <c r="C107" s="17" t="s">
        <v>164</v>
      </c>
      <c r="D107" s="17" t="s">
        <v>165</v>
      </c>
      <c r="E107" s="17" t="s">
        <v>166</v>
      </c>
      <c r="F107" s="17" t="s">
        <v>167</v>
      </c>
      <c r="G107" s="17" t="s">
        <v>168</v>
      </c>
    </row>
    <row r="108" spans="2:7" x14ac:dyDescent="0.3">
      <c r="B108" s="15" t="s">
        <v>559</v>
      </c>
      <c r="C108" s="17" t="s">
        <v>627</v>
      </c>
      <c r="D108" s="17" t="s">
        <v>628</v>
      </c>
      <c r="E108" s="17" t="s">
        <v>627</v>
      </c>
      <c r="F108" s="17" t="s">
        <v>629</v>
      </c>
      <c r="G108" s="17" t="s">
        <v>635</v>
      </c>
    </row>
    <row r="109" spans="2:7" x14ac:dyDescent="0.3">
      <c r="B109" s="15" t="s">
        <v>560</v>
      </c>
      <c r="C109" s="17" t="s">
        <v>627</v>
      </c>
      <c r="D109" s="17" t="s">
        <v>628</v>
      </c>
      <c r="E109" s="17" t="s">
        <v>627</v>
      </c>
      <c r="F109" s="17" t="s">
        <v>629</v>
      </c>
      <c r="G109" s="17" t="s">
        <v>635</v>
      </c>
    </row>
    <row r="110" spans="2:7" x14ac:dyDescent="0.3">
      <c r="B110" s="15" t="s">
        <v>561</v>
      </c>
      <c r="C110" s="17" t="s">
        <v>636</v>
      </c>
      <c r="D110" s="17" t="s">
        <v>628</v>
      </c>
      <c r="E110" s="17" t="s">
        <v>627</v>
      </c>
      <c r="F110" s="17" t="s">
        <v>636</v>
      </c>
      <c r="G110" s="17" t="s">
        <v>635</v>
      </c>
    </row>
    <row r="111" spans="2:7" x14ac:dyDescent="0.3">
      <c r="B111" s="15" t="s">
        <v>158</v>
      </c>
      <c r="C111" s="17" t="s">
        <v>636</v>
      </c>
      <c r="D111" s="17" t="s">
        <v>629</v>
      </c>
      <c r="E111" s="17" t="s">
        <v>635</v>
      </c>
      <c r="F111" s="17" t="s">
        <v>636</v>
      </c>
      <c r="G111" s="17" t="s">
        <v>628</v>
      </c>
    </row>
    <row r="112" spans="2:7" x14ac:dyDescent="0.3">
      <c r="B112" s="15" t="s">
        <v>159</v>
      </c>
      <c r="C112" s="17" t="s">
        <v>619</v>
      </c>
      <c r="D112" s="17" t="s">
        <v>629</v>
      </c>
      <c r="E112" s="17" t="s">
        <v>635</v>
      </c>
      <c r="F112" s="17" t="s">
        <v>619</v>
      </c>
      <c r="G112" s="17" t="s">
        <v>628</v>
      </c>
    </row>
    <row r="113" spans="2:7" x14ac:dyDescent="0.3">
      <c r="B113" s="15" t="s">
        <v>160</v>
      </c>
      <c r="C113" s="17" t="s">
        <v>619</v>
      </c>
      <c r="D113" s="17" t="s">
        <v>629</v>
      </c>
      <c r="E113" s="17" t="s">
        <v>637</v>
      </c>
      <c r="F113" s="17" t="s">
        <v>619</v>
      </c>
      <c r="G113" s="17" t="s">
        <v>628</v>
      </c>
    </row>
    <row r="115" spans="2:7" x14ac:dyDescent="0.3">
      <c r="B115" s="15" t="s">
        <v>638</v>
      </c>
    </row>
    <row r="116" spans="2:7" x14ac:dyDescent="0.3">
      <c r="C116" s="17" t="s">
        <v>164</v>
      </c>
      <c r="D116" s="17" t="s">
        <v>165</v>
      </c>
      <c r="E116" s="17" t="s">
        <v>166</v>
      </c>
      <c r="F116" s="17" t="s">
        <v>167</v>
      </c>
      <c r="G116" s="17" t="s">
        <v>168</v>
      </c>
    </row>
    <row r="117" spans="2:7" x14ac:dyDescent="0.3">
      <c r="B117" s="15" t="s">
        <v>559</v>
      </c>
      <c r="C117" s="17" t="s">
        <v>639</v>
      </c>
      <c r="D117" s="17" t="s">
        <v>640</v>
      </c>
      <c r="E117" s="17" t="s">
        <v>628</v>
      </c>
      <c r="F117" s="17" t="s">
        <v>636</v>
      </c>
      <c r="G117" s="17" t="s">
        <v>628</v>
      </c>
    </row>
    <row r="118" spans="2:7" x14ac:dyDescent="0.3">
      <c r="B118" s="15" t="s">
        <v>560</v>
      </c>
      <c r="C118" s="17" t="s">
        <v>639</v>
      </c>
      <c r="D118" s="17" t="s">
        <v>640</v>
      </c>
      <c r="E118" s="17" t="s">
        <v>628</v>
      </c>
      <c r="F118" s="17" t="s">
        <v>636</v>
      </c>
      <c r="G118" s="17" t="s">
        <v>628</v>
      </c>
    </row>
    <row r="119" spans="2:7" x14ac:dyDescent="0.3">
      <c r="B119" s="15" t="s">
        <v>561</v>
      </c>
      <c r="C119" s="17" t="s">
        <v>619</v>
      </c>
      <c r="D119" s="17" t="s">
        <v>640</v>
      </c>
      <c r="E119" s="17" t="s">
        <v>628</v>
      </c>
      <c r="F119" s="17" t="s">
        <v>640</v>
      </c>
      <c r="G119" s="17" t="s">
        <v>628</v>
      </c>
    </row>
    <row r="120" spans="2:7" x14ac:dyDescent="0.3">
      <c r="B120" s="15" t="s">
        <v>158</v>
      </c>
      <c r="C120" s="17" t="s">
        <v>619</v>
      </c>
      <c r="D120" s="17" t="s">
        <v>641</v>
      </c>
      <c r="E120" s="17" t="s">
        <v>639</v>
      </c>
      <c r="F120" s="17" t="s">
        <v>640</v>
      </c>
      <c r="G120" s="17" t="s">
        <v>619</v>
      </c>
    </row>
    <row r="121" spans="2:7" x14ac:dyDescent="0.3">
      <c r="B121" s="15" t="s">
        <v>159</v>
      </c>
      <c r="C121" s="17" t="s">
        <v>636</v>
      </c>
      <c r="D121" s="17" t="s">
        <v>641</v>
      </c>
      <c r="E121" s="17" t="s">
        <v>639</v>
      </c>
      <c r="F121" s="17" t="s">
        <v>641</v>
      </c>
      <c r="G121" s="17" t="s">
        <v>619</v>
      </c>
    </row>
    <row r="122" spans="2:7" x14ac:dyDescent="0.3">
      <c r="B122" s="15" t="s">
        <v>160</v>
      </c>
      <c r="C122" s="17" t="s">
        <v>636</v>
      </c>
      <c r="D122" s="17" t="s">
        <v>641</v>
      </c>
      <c r="E122" s="17" t="s">
        <v>639</v>
      </c>
      <c r="F122" s="17" t="s">
        <v>641</v>
      </c>
      <c r="G122" s="17" t="s">
        <v>637</v>
      </c>
    </row>
    <row r="124" spans="2:7" x14ac:dyDescent="0.3">
      <c r="B124" s="34" t="s">
        <v>610</v>
      </c>
    </row>
    <row r="125" spans="2:7" x14ac:dyDescent="0.3">
      <c r="B125" s="88" t="s">
        <v>642</v>
      </c>
    </row>
    <row r="127" spans="2:7" x14ac:dyDescent="0.3">
      <c r="B127" s="15" t="s">
        <v>643</v>
      </c>
    </row>
    <row r="128" spans="2:7" x14ac:dyDescent="0.3">
      <c r="C128" s="17" t="s">
        <v>164</v>
      </c>
      <c r="D128" s="17" t="s">
        <v>165</v>
      </c>
      <c r="E128" s="17" t="s">
        <v>166</v>
      </c>
      <c r="F128" s="17" t="s">
        <v>167</v>
      </c>
      <c r="G128" s="17" t="s">
        <v>168</v>
      </c>
    </row>
    <row r="129" spans="2:7" x14ac:dyDescent="0.3">
      <c r="B129" s="15" t="s">
        <v>553</v>
      </c>
      <c r="C129" s="17" t="s">
        <v>644</v>
      </c>
      <c r="D129" s="17" t="s">
        <v>645</v>
      </c>
      <c r="E129" s="17" t="s">
        <v>646</v>
      </c>
      <c r="F129" s="17" t="s">
        <v>645</v>
      </c>
      <c r="G129" s="17" t="s">
        <v>647</v>
      </c>
    </row>
    <row r="130" spans="2:7" x14ac:dyDescent="0.3">
      <c r="B130" s="15" t="s">
        <v>554</v>
      </c>
      <c r="C130" s="17" t="s">
        <v>644</v>
      </c>
      <c r="D130" s="17" t="s">
        <v>645</v>
      </c>
      <c r="E130" s="17" t="s">
        <v>646</v>
      </c>
      <c r="F130" s="17" t="s">
        <v>645</v>
      </c>
      <c r="G130" s="17" t="s">
        <v>647</v>
      </c>
    </row>
    <row r="131" spans="2:7" x14ac:dyDescent="0.3">
      <c r="B131" s="15" t="s">
        <v>555</v>
      </c>
      <c r="C131" s="17" t="s">
        <v>644</v>
      </c>
      <c r="D131" s="17" t="s">
        <v>648</v>
      </c>
      <c r="E131" s="17" t="s">
        <v>644</v>
      </c>
      <c r="F131" s="17" t="s">
        <v>649</v>
      </c>
      <c r="G131" s="17" t="s">
        <v>650</v>
      </c>
    </row>
    <row r="132" spans="2:7" x14ac:dyDescent="0.3">
      <c r="B132" s="15" t="s">
        <v>556</v>
      </c>
      <c r="C132" s="17" t="s">
        <v>649</v>
      </c>
      <c r="D132" s="17" t="s">
        <v>648</v>
      </c>
      <c r="E132" s="17" t="s">
        <v>644</v>
      </c>
      <c r="F132" s="17" t="s">
        <v>649</v>
      </c>
      <c r="G132" s="17" t="s">
        <v>650</v>
      </c>
    </row>
    <row r="133" spans="2:7" x14ac:dyDescent="0.3">
      <c r="B133" s="15" t="s">
        <v>557</v>
      </c>
      <c r="C133" s="17" t="s">
        <v>649</v>
      </c>
      <c r="D133" s="17" t="s">
        <v>650</v>
      </c>
      <c r="E133" s="17" t="s">
        <v>155</v>
      </c>
      <c r="F133" s="17" t="s">
        <v>155</v>
      </c>
      <c r="G133" s="17" t="s">
        <v>155</v>
      </c>
    </row>
    <row r="135" spans="2:7" x14ac:dyDescent="0.3">
      <c r="B135" s="15" t="s">
        <v>571</v>
      </c>
    </row>
    <row r="136" spans="2:7" x14ac:dyDescent="0.3">
      <c r="C136" s="17" t="s">
        <v>164</v>
      </c>
      <c r="D136" s="17" t="s">
        <v>165</v>
      </c>
      <c r="E136" s="17" t="s">
        <v>166</v>
      </c>
      <c r="F136" s="17" t="s">
        <v>167</v>
      </c>
      <c r="G136" s="17" t="s">
        <v>168</v>
      </c>
    </row>
    <row r="137" spans="2:7" x14ac:dyDescent="0.3">
      <c r="B137" s="15" t="s">
        <v>559</v>
      </c>
      <c r="C137" s="17" t="s">
        <v>573</v>
      </c>
      <c r="D137" s="17" t="s">
        <v>155</v>
      </c>
      <c r="E137" s="17" t="s">
        <v>573</v>
      </c>
      <c r="F137" s="17" t="s">
        <v>577</v>
      </c>
      <c r="G137" s="17" t="s">
        <v>651</v>
      </c>
    </row>
    <row r="138" spans="2:7" x14ac:dyDescent="0.3">
      <c r="B138" s="15" t="s">
        <v>560</v>
      </c>
      <c r="C138" s="17" t="s">
        <v>573</v>
      </c>
      <c r="D138" s="17" t="s">
        <v>577</v>
      </c>
      <c r="E138" s="17" t="s">
        <v>573</v>
      </c>
      <c r="F138" s="17" t="s">
        <v>577</v>
      </c>
      <c r="G138" s="17" t="s">
        <v>651</v>
      </c>
    </row>
    <row r="139" spans="2:7" x14ac:dyDescent="0.3">
      <c r="B139" s="15" t="s">
        <v>561</v>
      </c>
      <c r="C139" s="17" t="s">
        <v>575</v>
      </c>
      <c r="D139" s="17" t="s">
        <v>577</v>
      </c>
      <c r="E139" s="17" t="s">
        <v>575</v>
      </c>
      <c r="F139" s="17" t="s">
        <v>577</v>
      </c>
      <c r="G139" s="17" t="s">
        <v>651</v>
      </c>
    </row>
    <row r="140" spans="2:7" x14ac:dyDescent="0.3">
      <c r="B140" s="15" t="s">
        <v>158</v>
      </c>
      <c r="C140" s="17" t="s">
        <v>575</v>
      </c>
      <c r="D140" s="17" t="s">
        <v>574</v>
      </c>
      <c r="E140" s="17" t="s">
        <v>576</v>
      </c>
      <c r="F140" s="17" t="s">
        <v>574</v>
      </c>
      <c r="G140" s="17" t="s">
        <v>651</v>
      </c>
    </row>
    <row r="141" spans="2:7" x14ac:dyDescent="0.3">
      <c r="B141" s="15" t="s">
        <v>159</v>
      </c>
      <c r="C141" s="17" t="s">
        <v>576</v>
      </c>
      <c r="D141" s="17" t="s">
        <v>574</v>
      </c>
      <c r="E141" s="17" t="s">
        <v>576</v>
      </c>
      <c r="F141" s="17" t="s">
        <v>574</v>
      </c>
      <c r="G141" s="17" t="s">
        <v>651</v>
      </c>
    </row>
    <row r="142" spans="2:7" x14ac:dyDescent="0.3">
      <c r="B142" s="15" t="s">
        <v>160</v>
      </c>
      <c r="C142" s="17" t="s">
        <v>576</v>
      </c>
      <c r="D142" s="17" t="s">
        <v>155</v>
      </c>
      <c r="E142" s="17" t="s">
        <v>576</v>
      </c>
      <c r="F142" s="17" t="s">
        <v>155</v>
      </c>
      <c r="G142" s="17" t="s">
        <v>651</v>
      </c>
    </row>
    <row r="144" spans="2:7" x14ac:dyDescent="0.3">
      <c r="B144" s="15" t="s">
        <v>572</v>
      </c>
    </row>
    <row r="145" spans="2:7" x14ac:dyDescent="0.3">
      <c r="C145" s="17" t="s">
        <v>164</v>
      </c>
      <c r="D145" s="17" t="s">
        <v>165</v>
      </c>
      <c r="E145" s="17" t="s">
        <v>166</v>
      </c>
      <c r="F145" s="17" t="s">
        <v>167</v>
      </c>
      <c r="G145" s="17" t="s">
        <v>168</v>
      </c>
    </row>
    <row r="146" spans="2:7" x14ac:dyDescent="0.3">
      <c r="B146" s="15" t="s">
        <v>559</v>
      </c>
      <c r="C146" s="17" t="s">
        <v>573</v>
      </c>
      <c r="D146" s="17" t="s">
        <v>578</v>
      </c>
      <c r="E146" s="17" t="s">
        <v>573</v>
      </c>
      <c r="F146" s="17" t="s">
        <v>578</v>
      </c>
      <c r="G146" s="17" t="s">
        <v>155</v>
      </c>
    </row>
    <row r="147" spans="2:7" x14ac:dyDescent="0.3">
      <c r="B147" s="15" t="s">
        <v>560</v>
      </c>
      <c r="C147" s="17" t="s">
        <v>573</v>
      </c>
      <c r="D147" s="17" t="s">
        <v>578</v>
      </c>
      <c r="E147" s="17" t="s">
        <v>573</v>
      </c>
      <c r="F147" s="17" t="s">
        <v>578</v>
      </c>
      <c r="G147" s="17" t="s">
        <v>579</v>
      </c>
    </row>
    <row r="148" spans="2:7" x14ac:dyDescent="0.3">
      <c r="B148" s="15" t="s">
        <v>561</v>
      </c>
      <c r="C148" s="17" t="s">
        <v>575</v>
      </c>
      <c r="D148" s="17" t="s">
        <v>578</v>
      </c>
      <c r="E148" s="17" t="s">
        <v>575</v>
      </c>
      <c r="F148" s="17" t="s">
        <v>578</v>
      </c>
      <c r="G148" s="17" t="s">
        <v>579</v>
      </c>
    </row>
    <row r="149" spans="2:7" x14ac:dyDescent="0.3">
      <c r="B149" s="15" t="s">
        <v>158</v>
      </c>
      <c r="C149" s="17" t="s">
        <v>575</v>
      </c>
      <c r="D149" s="17" t="s">
        <v>574</v>
      </c>
      <c r="E149" s="17" t="s">
        <v>580</v>
      </c>
      <c r="F149" s="17" t="s">
        <v>574</v>
      </c>
      <c r="G149" s="17" t="s">
        <v>580</v>
      </c>
    </row>
    <row r="150" spans="2:7" x14ac:dyDescent="0.3">
      <c r="B150" s="15" t="s">
        <v>159</v>
      </c>
      <c r="C150" s="17" t="s">
        <v>579</v>
      </c>
      <c r="D150" s="17" t="s">
        <v>574</v>
      </c>
      <c r="E150" s="17" t="s">
        <v>580</v>
      </c>
      <c r="F150" s="17" t="s">
        <v>574</v>
      </c>
      <c r="G150" s="17" t="s">
        <v>580</v>
      </c>
    </row>
    <row r="151" spans="2:7" x14ac:dyDescent="0.3">
      <c r="B151" s="15" t="s">
        <v>160</v>
      </c>
      <c r="C151" s="17" t="s">
        <v>579</v>
      </c>
      <c r="D151" s="17" t="s">
        <v>155</v>
      </c>
      <c r="E151" s="17" t="s">
        <v>580</v>
      </c>
      <c r="F151" s="17" t="s">
        <v>155</v>
      </c>
      <c r="G151" s="17" t="s">
        <v>580</v>
      </c>
    </row>
    <row r="153" spans="2:7" x14ac:dyDescent="0.3">
      <c r="B153" s="15" t="s">
        <v>652</v>
      </c>
    </row>
    <row r="154" spans="2:7" x14ac:dyDescent="0.3">
      <c r="C154" s="17" t="s">
        <v>164</v>
      </c>
      <c r="D154" s="17" t="s">
        <v>165</v>
      </c>
      <c r="E154" s="17" t="s">
        <v>166</v>
      </c>
      <c r="F154" s="17" t="s">
        <v>167</v>
      </c>
      <c r="G154" s="17" t="s">
        <v>168</v>
      </c>
    </row>
    <row r="155" spans="2:7" x14ac:dyDescent="0.3">
      <c r="B155" s="15" t="s">
        <v>559</v>
      </c>
      <c r="C155" s="17" t="s">
        <v>653</v>
      </c>
      <c r="D155" s="17" t="s">
        <v>654</v>
      </c>
      <c r="E155" s="17" t="s">
        <v>155</v>
      </c>
      <c r="F155" s="17" t="s">
        <v>654</v>
      </c>
      <c r="G155" s="17" t="s">
        <v>653</v>
      </c>
    </row>
    <row r="156" spans="2:7" x14ac:dyDescent="0.3">
      <c r="B156" s="15" t="s">
        <v>560</v>
      </c>
      <c r="C156" s="17" t="s">
        <v>653</v>
      </c>
      <c r="D156" s="17" t="s">
        <v>654</v>
      </c>
      <c r="E156" s="17" t="s">
        <v>655</v>
      </c>
      <c r="F156" s="17" t="s">
        <v>654</v>
      </c>
      <c r="G156" s="17" t="s">
        <v>653</v>
      </c>
    </row>
    <row r="157" spans="2:7" x14ac:dyDescent="0.3">
      <c r="B157" s="15" t="s">
        <v>561</v>
      </c>
      <c r="C157" s="17" t="s">
        <v>655</v>
      </c>
      <c r="D157" s="17" t="s">
        <v>575</v>
      </c>
      <c r="E157" s="17" t="s">
        <v>655</v>
      </c>
      <c r="F157" s="17" t="s">
        <v>654</v>
      </c>
      <c r="G157" s="17" t="s">
        <v>575</v>
      </c>
    </row>
    <row r="158" spans="2:7" x14ac:dyDescent="0.3">
      <c r="B158" s="15" t="s">
        <v>158</v>
      </c>
      <c r="C158" s="17" t="s">
        <v>655</v>
      </c>
      <c r="D158" s="17" t="s">
        <v>575</v>
      </c>
      <c r="E158" s="17" t="s">
        <v>580</v>
      </c>
      <c r="F158" s="17" t="s">
        <v>656</v>
      </c>
      <c r="G158" s="17" t="s">
        <v>580</v>
      </c>
    </row>
    <row r="159" spans="2:7" x14ac:dyDescent="0.3">
      <c r="B159" s="15" t="s">
        <v>159</v>
      </c>
      <c r="C159" s="17" t="s">
        <v>655</v>
      </c>
      <c r="D159" s="17" t="s">
        <v>656</v>
      </c>
      <c r="E159" s="17" t="s">
        <v>580</v>
      </c>
      <c r="F159" s="17" t="s">
        <v>656</v>
      </c>
      <c r="G159" s="17" t="s">
        <v>580</v>
      </c>
    </row>
    <row r="160" spans="2:7" x14ac:dyDescent="0.3">
      <c r="B160" s="15" t="s">
        <v>160</v>
      </c>
      <c r="C160" s="17" t="s">
        <v>155</v>
      </c>
      <c r="D160" s="17" t="s">
        <v>656</v>
      </c>
      <c r="E160" s="17" t="s">
        <v>580</v>
      </c>
      <c r="F160" s="17" t="s">
        <v>155</v>
      </c>
      <c r="G160" s="17" t="s">
        <v>580</v>
      </c>
    </row>
    <row r="162" spans="2:7" x14ac:dyDescent="0.3">
      <c r="B162" s="15" t="s">
        <v>657</v>
      </c>
    </row>
    <row r="163" spans="2:7" x14ac:dyDescent="0.3">
      <c r="C163" s="17" t="s">
        <v>164</v>
      </c>
      <c r="D163" s="17" t="s">
        <v>165</v>
      </c>
      <c r="E163" s="17" t="s">
        <v>166</v>
      </c>
      <c r="F163" s="17" t="s">
        <v>167</v>
      </c>
      <c r="G163" s="17" t="s">
        <v>168</v>
      </c>
    </row>
    <row r="164" spans="2:7" x14ac:dyDescent="0.3">
      <c r="B164" s="15" t="s">
        <v>559</v>
      </c>
      <c r="C164" s="17" t="s">
        <v>653</v>
      </c>
      <c r="D164" s="17" t="s">
        <v>658</v>
      </c>
      <c r="E164" s="17" t="s">
        <v>155</v>
      </c>
      <c r="F164" s="17" t="s">
        <v>155</v>
      </c>
      <c r="G164" s="17" t="s">
        <v>653</v>
      </c>
    </row>
    <row r="165" spans="2:7" x14ac:dyDescent="0.3">
      <c r="B165" s="15" t="s">
        <v>560</v>
      </c>
      <c r="C165" s="17" t="s">
        <v>653</v>
      </c>
      <c r="D165" s="17" t="s">
        <v>658</v>
      </c>
      <c r="E165" s="17" t="s">
        <v>655</v>
      </c>
      <c r="F165" s="17" t="s">
        <v>658</v>
      </c>
      <c r="G165" s="17" t="s">
        <v>653</v>
      </c>
    </row>
    <row r="166" spans="2:7" x14ac:dyDescent="0.3">
      <c r="B166" s="15" t="s">
        <v>561</v>
      </c>
      <c r="C166" s="17" t="s">
        <v>655</v>
      </c>
      <c r="D166" s="17" t="s">
        <v>575</v>
      </c>
      <c r="E166" s="17" t="s">
        <v>655</v>
      </c>
      <c r="F166" s="17" t="s">
        <v>658</v>
      </c>
      <c r="G166" s="17" t="s">
        <v>575</v>
      </c>
    </row>
    <row r="167" spans="2:7" x14ac:dyDescent="0.3">
      <c r="B167" s="15" t="s">
        <v>158</v>
      </c>
      <c r="C167" s="17" t="s">
        <v>655</v>
      </c>
      <c r="D167" s="17" t="s">
        <v>575</v>
      </c>
      <c r="E167" s="17" t="s">
        <v>659</v>
      </c>
      <c r="F167" s="17" t="s">
        <v>656</v>
      </c>
      <c r="G167" s="17" t="s">
        <v>659</v>
      </c>
    </row>
    <row r="168" spans="2:7" x14ac:dyDescent="0.3">
      <c r="B168" s="15" t="s">
        <v>159</v>
      </c>
      <c r="C168" s="17" t="s">
        <v>655</v>
      </c>
      <c r="D168" s="17" t="s">
        <v>656</v>
      </c>
      <c r="E168" s="17" t="s">
        <v>659</v>
      </c>
      <c r="F168" s="17" t="s">
        <v>656</v>
      </c>
      <c r="G168" s="17" t="s">
        <v>659</v>
      </c>
    </row>
    <row r="169" spans="2:7" x14ac:dyDescent="0.3">
      <c r="B169" s="15" t="s">
        <v>160</v>
      </c>
      <c r="C169" s="17" t="s">
        <v>155</v>
      </c>
      <c r="D169" s="17" t="s">
        <v>656</v>
      </c>
      <c r="E169" s="17" t="s">
        <v>155</v>
      </c>
      <c r="F169" s="17" t="s">
        <v>155</v>
      </c>
      <c r="G169" s="17" t="s">
        <v>659</v>
      </c>
    </row>
    <row r="171" spans="2:7" x14ac:dyDescent="0.3">
      <c r="B171" s="15" t="s">
        <v>660</v>
      </c>
    </row>
    <row r="172" spans="2:7" x14ac:dyDescent="0.3">
      <c r="C172" s="17" t="s">
        <v>164</v>
      </c>
      <c r="D172" s="17" t="s">
        <v>165</v>
      </c>
      <c r="E172" s="17" t="s">
        <v>166</v>
      </c>
      <c r="F172" s="17" t="s">
        <v>167</v>
      </c>
      <c r="G172" s="17" t="s">
        <v>168</v>
      </c>
    </row>
    <row r="173" spans="2:7" x14ac:dyDescent="0.3">
      <c r="B173" s="15" t="s">
        <v>559</v>
      </c>
      <c r="C173" s="17" t="s">
        <v>658</v>
      </c>
      <c r="D173" s="17" t="s">
        <v>661</v>
      </c>
      <c r="E173" s="17" t="s">
        <v>662</v>
      </c>
      <c r="F173" s="17" t="s">
        <v>661</v>
      </c>
      <c r="G173" s="17" t="s">
        <v>662</v>
      </c>
    </row>
    <row r="174" spans="2:7" x14ac:dyDescent="0.3">
      <c r="B174" s="15" t="s">
        <v>560</v>
      </c>
      <c r="C174" s="17" t="s">
        <v>658</v>
      </c>
      <c r="D174" s="17" t="s">
        <v>661</v>
      </c>
      <c r="E174" s="17" t="s">
        <v>662</v>
      </c>
      <c r="F174" s="17" t="s">
        <v>661</v>
      </c>
      <c r="G174" s="17" t="s">
        <v>662</v>
      </c>
    </row>
    <row r="175" spans="2:7" x14ac:dyDescent="0.3">
      <c r="B175" s="15" t="s">
        <v>561</v>
      </c>
      <c r="C175" s="17" t="s">
        <v>663</v>
      </c>
      <c r="D175" s="17" t="s">
        <v>664</v>
      </c>
      <c r="E175" s="17" t="s">
        <v>658</v>
      </c>
      <c r="F175" s="17" t="s">
        <v>575</v>
      </c>
      <c r="G175" s="17" t="s">
        <v>662</v>
      </c>
    </row>
    <row r="176" spans="2:7" x14ac:dyDescent="0.3">
      <c r="B176" s="15" t="s">
        <v>158</v>
      </c>
      <c r="C176" s="17" t="s">
        <v>663</v>
      </c>
      <c r="D176" s="17" t="s">
        <v>664</v>
      </c>
      <c r="E176" s="17" t="s">
        <v>658</v>
      </c>
      <c r="F176" s="17" t="s">
        <v>664</v>
      </c>
      <c r="G176" s="17" t="s">
        <v>663</v>
      </c>
    </row>
    <row r="177" spans="2:7" x14ac:dyDescent="0.3">
      <c r="B177" s="15" t="s">
        <v>159</v>
      </c>
      <c r="C177" s="17" t="s">
        <v>663</v>
      </c>
      <c r="D177" s="17" t="s">
        <v>575</v>
      </c>
      <c r="E177" s="17" t="s">
        <v>155</v>
      </c>
      <c r="F177" s="17" t="s">
        <v>664</v>
      </c>
      <c r="G177" s="17" t="s">
        <v>663</v>
      </c>
    </row>
    <row r="178" spans="2:7" x14ac:dyDescent="0.3">
      <c r="B178" s="15" t="s">
        <v>160</v>
      </c>
      <c r="C178" s="17" t="s">
        <v>155</v>
      </c>
      <c r="D178" s="17" t="s">
        <v>575</v>
      </c>
      <c r="E178" s="17" t="s">
        <v>155</v>
      </c>
      <c r="F178" s="17" t="s">
        <v>155</v>
      </c>
      <c r="G178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G17"/>
  <sheetViews>
    <sheetView zoomScale="129" workbookViewId="0">
      <selection activeCell="J9" sqref="J9"/>
    </sheetView>
  </sheetViews>
  <sheetFormatPr baseColWidth="10" defaultRowHeight="14.4" x14ac:dyDescent="0.3"/>
  <cols>
    <col min="1" max="2" width="6.44140625" customWidth="1"/>
  </cols>
  <sheetData>
    <row r="2" spans="1:7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7" x14ac:dyDescent="0.3">
      <c r="A3" s="60" cm="1">
        <f t="array" ref="A3:B17">Tabla1[[Inicio]:[Fin]]</f>
        <v>0.33333333333333331</v>
      </c>
      <c r="B3" s="60">
        <v>0.36805555555555552</v>
      </c>
      <c r="C3" s="61"/>
      <c r="D3" s="61"/>
      <c r="E3" s="61"/>
      <c r="F3" s="61"/>
      <c r="G3" s="61"/>
    </row>
    <row r="4" spans="1:7" x14ac:dyDescent="0.3">
      <c r="A4" s="60">
        <v>0.36805555555555558</v>
      </c>
      <c r="B4" s="60">
        <v>0.40277777777777779</v>
      </c>
      <c r="C4" s="61"/>
      <c r="D4" s="61"/>
      <c r="E4" s="61"/>
      <c r="F4" s="61"/>
      <c r="G4" s="61"/>
    </row>
    <row r="5" spans="1:7" x14ac:dyDescent="0.3">
      <c r="A5" s="60">
        <v>0.40972222222222221</v>
      </c>
      <c r="B5" s="60">
        <v>0.44444444444444442</v>
      </c>
      <c r="C5" s="61"/>
      <c r="D5" s="61"/>
      <c r="E5" s="61"/>
      <c r="F5" s="61"/>
      <c r="G5" s="61"/>
    </row>
    <row r="6" spans="1:7" x14ac:dyDescent="0.3">
      <c r="A6" s="60">
        <v>0.44444444444444442</v>
      </c>
      <c r="B6" s="60">
        <v>0.47916666666666663</v>
      </c>
      <c r="C6" s="61"/>
      <c r="D6" s="61"/>
      <c r="E6" s="61"/>
      <c r="F6" s="61"/>
      <c r="G6" s="61"/>
    </row>
    <row r="7" spans="1:7" x14ac:dyDescent="0.3">
      <c r="A7" s="60">
        <v>0.4861111111111111</v>
      </c>
      <c r="B7" s="60">
        <v>0.52083333333333337</v>
      </c>
      <c r="C7" s="61"/>
      <c r="D7" s="61"/>
      <c r="E7" s="61"/>
      <c r="F7" s="61"/>
      <c r="G7" s="61"/>
    </row>
    <row r="8" spans="1:7" x14ac:dyDescent="0.3">
      <c r="A8" s="60">
        <v>0.52083333333333337</v>
      </c>
      <c r="B8" s="60">
        <v>0.55555555555555558</v>
      </c>
      <c r="C8" s="61"/>
      <c r="D8" s="61"/>
      <c r="E8" s="61"/>
      <c r="F8" s="61"/>
      <c r="G8" s="61"/>
    </row>
    <row r="9" spans="1:7" x14ac:dyDescent="0.3">
      <c r="A9" s="60">
        <v>0.59027777777777779</v>
      </c>
      <c r="B9" s="60">
        <v>0.625</v>
      </c>
      <c r="C9" s="62"/>
      <c r="D9" s="62"/>
      <c r="E9" s="62"/>
      <c r="F9" s="62"/>
      <c r="G9" s="62"/>
    </row>
    <row r="10" spans="1:7" x14ac:dyDescent="0.3">
      <c r="A10" s="60">
        <v>0.63194444444444442</v>
      </c>
      <c r="B10" s="60">
        <v>0.66666666666666663</v>
      </c>
      <c r="C10" s="62"/>
      <c r="D10" s="62"/>
      <c r="E10" s="62"/>
      <c r="F10" s="62"/>
      <c r="G10" s="62"/>
    </row>
    <row r="11" spans="1:7" x14ac:dyDescent="0.3">
      <c r="A11" s="60">
        <v>0.67361111111111116</v>
      </c>
      <c r="B11" s="60">
        <v>0.70833333333333337</v>
      </c>
      <c r="C11" s="62"/>
      <c r="D11" s="62"/>
      <c r="E11" s="62"/>
      <c r="F11" s="62"/>
      <c r="G11" s="62"/>
    </row>
    <row r="12" spans="1:7" x14ac:dyDescent="0.3">
      <c r="A12" s="60">
        <v>0.70833333333333337</v>
      </c>
      <c r="B12" s="60">
        <v>0.74305555555555558</v>
      </c>
      <c r="C12" s="62"/>
      <c r="D12" s="62"/>
      <c r="E12" s="62"/>
      <c r="F12" s="62"/>
      <c r="G12" s="62"/>
    </row>
    <row r="13" spans="1:7" x14ac:dyDescent="0.3">
      <c r="A13" s="60">
        <v>0.75</v>
      </c>
      <c r="B13" s="60">
        <v>0.78472222222222221</v>
      </c>
      <c r="C13" s="63"/>
      <c r="D13" s="63"/>
      <c r="E13" s="63"/>
      <c r="F13" s="63"/>
      <c r="G13" s="63"/>
    </row>
    <row r="14" spans="1:7" x14ac:dyDescent="0.3">
      <c r="A14" s="60">
        <v>0.78472222222222221</v>
      </c>
      <c r="B14" s="60">
        <v>0.81944444444444442</v>
      </c>
      <c r="C14" s="63"/>
      <c r="D14" s="63"/>
      <c r="E14" s="63"/>
      <c r="F14" s="63"/>
      <c r="G14" s="63"/>
    </row>
    <row r="15" spans="1:7" x14ac:dyDescent="0.3">
      <c r="A15" s="60">
        <v>0.82638888888888884</v>
      </c>
      <c r="B15" s="60">
        <v>0.86111111111111105</v>
      </c>
      <c r="C15" s="63"/>
      <c r="D15" s="63"/>
      <c r="E15" s="63"/>
      <c r="F15" s="63"/>
      <c r="G15" s="63"/>
    </row>
    <row r="16" spans="1:7" x14ac:dyDescent="0.3">
      <c r="A16" s="60">
        <v>0.86111111111111116</v>
      </c>
      <c r="B16" s="60">
        <v>0.89583333333333337</v>
      </c>
      <c r="C16" s="63"/>
      <c r="D16" s="63"/>
      <c r="E16" s="63"/>
      <c r="F16" s="63"/>
      <c r="G16" s="63"/>
    </row>
    <row r="17" spans="1:7" x14ac:dyDescent="0.3">
      <c r="A17" s="60">
        <v>0.90277777777777779</v>
      </c>
      <c r="B17" s="60">
        <v>0.9375</v>
      </c>
      <c r="C17" s="63"/>
      <c r="D17" s="63"/>
      <c r="E17" s="63"/>
      <c r="F17" s="63"/>
      <c r="G17" s="63"/>
    </row>
  </sheetData>
  <conditionalFormatting sqref="C3:G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66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1</v>
      </c>
      <c r="D2" s="61">
        <v>0</v>
      </c>
      <c r="E2" s="64">
        <v>2</v>
      </c>
      <c r="F2" s="64">
        <v>3</v>
      </c>
    </row>
    <row r="3" spans="1:6" x14ac:dyDescent="0.3">
      <c r="A3">
        <v>2</v>
      </c>
      <c r="B3" s="61">
        <v>3</v>
      </c>
      <c r="C3" s="61">
        <v>1</v>
      </c>
      <c r="D3" s="61">
        <v>0</v>
      </c>
      <c r="E3" s="64">
        <v>2</v>
      </c>
      <c r="F3" s="64">
        <v>3</v>
      </c>
    </row>
    <row r="4" spans="1:6" x14ac:dyDescent="0.3">
      <c r="A4">
        <v>3</v>
      </c>
      <c r="B4" s="61">
        <v>3</v>
      </c>
      <c r="C4" s="61">
        <v>1</v>
      </c>
      <c r="D4" s="61">
        <v>0</v>
      </c>
      <c r="E4" s="64">
        <v>2</v>
      </c>
      <c r="F4" s="64">
        <v>3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6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0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0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1</v>
      </c>
      <c r="C5" s="61">
        <v>1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1</v>
      </c>
      <c r="C6" s="61">
        <v>1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1</v>
      </c>
      <c r="C7" s="61">
        <v>1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0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65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3</v>
      </c>
      <c r="D4" s="61">
        <v>0</v>
      </c>
      <c r="E4" s="61">
        <v>3</v>
      </c>
      <c r="F4" s="61">
        <v>0</v>
      </c>
    </row>
    <row r="5" spans="1:6" x14ac:dyDescent="0.3">
      <c r="A5">
        <v>4</v>
      </c>
      <c r="B5" s="61">
        <v>0</v>
      </c>
      <c r="C5" s="61">
        <v>1</v>
      </c>
      <c r="D5" s="61">
        <v>0</v>
      </c>
      <c r="E5" s="61">
        <v>1</v>
      </c>
      <c r="F5" s="61">
        <v>0</v>
      </c>
    </row>
    <row r="6" spans="1:6" x14ac:dyDescent="0.3">
      <c r="A6">
        <v>5</v>
      </c>
      <c r="B6" s="61">
        <v>0</v>
      </c>
      <c r="C6" s="61">
        <v>1</v>
      </c>
      <c r="D6" s="61">
        <v>0</v>
      </c>
      <c r="E6" s="61">
        <v>1</v>
      </c>
      <c r="F6" s="61">
        <v>0</v>
      </c>
    </row>
    <row r="7" spans="1:6" x14ac:dyDescent="0.3">
      <c r="A7">
        <v>6</v>
      </c>
      <c r="B7" s="61">
        <v>0</v>
      </c>
      <c r="C7" s="61">
        <v>1</v>
      </c>
      <c r="D7" s="61">
        <v>0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1</v>
      </c>
      <c r="D8" s="62">
        <v>0</v>
      </c>
      <c r="E8" s="62">
        <v>1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3</v>
      </c>
      <c r="D11" s="62">
        <v>0</v>
      </c>
      <c r="E11" s="62">
        <v>3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65" t="s">
        <v>355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3</v>
      </c>
      <c r="C5" s="61">
        <v>3</v>
      </c>
      <c r="D5" s="61">
        <v>3</v>
      </c>
      <c r="E5" s="61">
        <v>3</v>
      </c>
      <c r="F5" s="61">
        <v>3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H15" sqref="H15"/>
    </sheetView>
  </sheetViews>
  <sheetFormatPr baseColWidth="10" defaultRowHeight="14.4" x14ac:dyDescent="0.3"/>
  <sheetData>
    <row r="1" spans="1:6" x14ac:dyDescent="0.3">
      <c r="A1" s="78" t="s">
        <v>471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1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65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3</v>
      </c>
      <c r="F10" s="62">
        <v>3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65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2</v>
      </c>
      <c r="C14" s="63">
        <v>2</v>
      </c>
      <c r="D14" s="63">
        <v>2</v>
      </c>
      <c r="E14" s="63">
        <v>2</v>
      </c>
      <c r="F14" s="63">
        <v>2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65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2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2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2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2</v>
      </c>
      <c r="C15" s="63">
        <v>2</v>
      </c>
      <c r="D15" s="63">
        <v>2</v>
      </c>
      <c r="E15" s="63">
        <v>2</v>
      </c>
      <c r="F15" s="63">
        <v>2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65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65" t="s">
        <v>248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3</v>
      </c>
      <c r="D12" s="63">
        <v>1</v>
      </c>
      <c r="E12" s="63">
        <v>3</v>
      </c>
      <c r="F12" s="63">
        <v>0</v>
      </c>
    </row>
    <row r="13" spans="1:6" x14ac:dyDescent="0.3">
      <c r="A13">
        <v>12</v>
      </c>
      <c r="B13" s="63">
        <v>1</v>
      </c>
      <c r="C13" s="63">
        <v>3</v>
      </c>
      <c r="D13" s="63">
        <v>1</v>
      </c>
      <c r="E13" s="63">
        <v>3</v>
      </c>
      <c r="F13" s="63">
        <v>0</v>
      </c>
    </row>
    <row r="14" spans="1:6" x14ac:dyDescent="0.3">
      <c r="A14">
        <v>13</v>
      </c>
      <c r="B14" s="63">
        <v>1</v>
      </c>
      <c r="C14" s="63">
        <v>3</v>
      </c>
      <c r="D14" s="63">
        <v>1</v>
      </c>
      <c r="E14" s="63">
        <v>3</v>
      </c>
      <c r="F14" s="63">
        <v>0</v>
      </c>
    </row>
    <row r="15" spans="1:6" x14ac:dyDescent="0.3">
      <c r="A15">
        <v>14</v>
      </c>
      <c r="B15" s="63">
        <v>1</v>
      </c>
      <c r="C15" s="63">
        <v>3</v>
      </c>
      <c r="D15" s="63">
        <v>1</v>
      </c>
      <c r="E15" s="63">
        <v>3</v>
      </c>
      <c r="F15" s="63">
        <v>0</v>
      </c>
    </row>
    <row r="16" spans="1:6" x14ac:dyDescent="0.3">
      <c r="A16">
        <v>15</v>
      </c>
      <c r="B16" s="63">
        <v>1</v>
      </c>
      <c r="C16" s="63">
        <v>3</v>
      </c>
      <c r="D16" s="63">
        <v>1</v>
      </c>
      <c r="E16" s="63">
        <v>3</v>
      </c>
      <c r="F16" s="6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65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65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2</v>
      </c>
      <c r="D2" s="61">
        <v>2</v>
      </c>
      <c r="E2" s="61">
        <v>1</v>
      </c>
      <c r="F2" s="61">
        <v>1</v>
      </c>
    </row>
    <row r="3" spans="1:6" x14ac:dyDescent="0.3">
      <c r="A3">
        <v>2</v>
      </c>
      <c r="B3" s="61">
        <v>0</v>
      </c>
      <c r="C3" s="61">
        <v>2</v>
      </c>
      <c r="D3" s="61">
        <v>2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2</v>
      </c>
      <c r="D4" s="61">
        <v>2</v>
      </c>
      <c r="E4" s="61">
        <v>1</v>
      </c>
      <c r="F4" s="61">
        <v>1</v>
      </c>
    </row>
    <row r="5" spans="1:6" x14ac:dyDescent="0.3">
      <c r="A5">
        <v>4</v>
      </c>
      <c r="B5" s="61">
        <v>0</v>
      </c>
      <c r="C5" s="61">
        <v>2</v>
      </c>
      <c r="D5" s="61">
        <v>2</v>
      </c>
      <c r="E5" s="61">
        <v>1</v>
      </c>
      <c r="F5" s="61">
        <v>1</v>
      </c>
    </row>
    <row r="6" spans="1:6" x14ac:dyDescent="0.3">
      <c r="A6">
        <v>5</v>
      </c>
      <c r="B6" s="61">
        <v>0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0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B10" sqref="B10:F16"/>
    </sheetView>
  </sheetViews>
  <sheetFormatPr baseColWidth="10" defaultRowHeight="14.4" x14ac:dyDescent="0.3"/>
  <sheetData>
    <row r="1" spans="1:6" x14ac:dyDescent="0.3">
      <c r="A1" s="65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3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3</v>
      </c>
      <c r="F14" s="63">
        <v>0</v>
      </c>
    </row>
    <row r="15" spans="1:6" x14ac:dyDescent="0.3">
      <c r="A15">
        <v>14</v>
      </c>
      <c r="B15" s="63">
        <v>2</v>
      </c>
      <c r="C15" s="63">
        <v>2</v>
      </c>
      <c r="D15" s="63">
        <v>2</v>
      </c>
      <c r="E15" s="63">
        <v>3</v>
      </c>
      <c r="F15" s="63">
        <v>0</v>
      </c>
    </row>
    <row r="16" spans="1:6" x14ac:dyDescent="0.3">
      <c r="A16">
        <v>15</v>
      </c>
      <c r="B16" s="63">
        <v>2</v>
      </c>
      <c r="C16" s="63">
        <v>2</v>
      </c>
      <c r="D16" s="63">
        <v>2</v>
      </c>
      <c r="E16" s="63">
        <v>3</v>
      </c>
      <c r="F16" s="6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65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1</v>
      </c>
      <c r="D11" s="62">
        <v>0</v>
      </c>
      <c r="E11" s="62">
        <v>1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1</v>
      </c>
      <c r="F15" s="63">
        <v>0</v>
      </c>
    </row>
    <row r="16" spans="1:6" x14ac:dyDescent="0.3">
      <c r="A16">
        <v>15</v>
      </c>
      <c r="B16" s="63">
        <v>0</v>
      </c>
      <c r="C16" s="63">
        <v>1</v>
      </c>
      <c r="D16" s="63">
        <v>0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J18" sqref="J18"/>
    </sheetView>
  </sheetViews>
  <sheetFormatPr baseColWidth="10" defaultRowHeight="14.4" x14ac:dyDescent="0.3"/>
  <sheetData>
    <row r="1" spans="1:6" x14ac:dyDescent="0.3">
      <c r="A1" s="65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1</v>
      </c>
      <c r="D4" s="61">
        <v>0</v>
      </c>
      <c r="E4" s="61">
        <v>1</v>
      </c>
      <c r="F4" s="61">
        <v>3</v>
      </c>
    </row>
    <row r="5" spans="1:6" x14ac:dyDescent="0.3">
      <c r="A5">
        <v>4</v>
      </c>
      <c r="B5" s="61">
        <v>0</v>
      </c>
      <c r="C5" s="61">
        <v>1</v>
      </c>
      <c r="D5" s="61">
        <v>0</v>
      </c>
      <c r="E5" s="61">
        <v>1</v>
      </c>
      <c r="F5" s="61">
        <v>3</v>
      </c>
    </row>
    <row r="6" spans="1:6" x14ac:dyDescent="0.3">
      <c r="A6">
        <v>5</v>
      </c>
      <c r="B6" s="61">
        <v>0</v>
      </c>
      <c r="C6" s="61">
        <v>1</v>
      </c>
      <c r="D6" s="61">
        <v>0</v>
      </c>
      <c r="E6" s="61">
        <v>1</v>
      </c>
      <c r="F6" s="61">
        <v>3</v>
      </c>
    </row>
    <row r="7" spans="1:6" x14ac:dyDescent="0.3">
      <c r="A7">
        <v>6</v>
      </c>
      <c r="B7" s="61">
        <v>0</v>
      </c>
      <c r="C7" s="61">
        <v>2</v>
      </c>
      <c r="D7" s="61">
        <v>0</v>
      </c>
      <c r="E7" s="61">
        <v>2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2</v>
      </c>
      <c r="D11" s="62">
        <v>0</v>
      </c>
      <c r="E11" s="62">
        <v>2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65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2</v>
      </c>
      <c r="D2" s="61">
        <v>2</v>
      </c>
      <c r="E2" s="61">
        <v>2</v>
      </c>
      <c r="F2" s="61">
        <v>0</v>
      </c>
    </row>
    <row r="3" spans="1:6" x14ac:dyDescent="0.3">
      <c r="A3">
        <v>2</v>
      </c>
      <c r="B3" s="61">
        <v>2</v>
      </c>
      <c r="C3" s="61">
        <v>2</v>
      </c>
      <c r="D3" s="61">
        <v>2</v>
      </c>
      <c r="E3" s="61">
        <v>2</v>
      </c>
      <c r="F3" s="61">
        <v>0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0</v>
      </c>
    </row>
    <row r="5" spans="1:6" x14ac:dyDescent="0.3">
      <c r="A5">
        <v>4</v>
      </c>
      <c r="B5" s="61">
        <v>3</v>
      </c>
      <c r="C5" s="61">
        <v>1</v>
      </c>
      <c r="D5" s="61">
        <v>1</v>
      </c>
      <c r="E5" s="61">
        <v>1</v>
      </c>
      <c r="F5" s="61">
        <v>0</v>
      </c>
    </row>
    <row r="6" spans="1:6" x14ac:dyDescent="0.3">
      <c r="A6">
        <v>5</v>
      </c>
      <c r="B6" s="61">
        <v>3</v>
      </c>
      <c r="C6" s="61">
        <v>1</v>
      </c>
      <c r="D6" s="61">
        <v>1</v>
      </c>
      <c r="E6" s="61">
        <v>1</v>
      </c>
      <c r="F6" s="61">
        <v>0</v>
      </c>
    </row>
    <row r="7" spans="1:6" x14ac:dyDescent="0.3">
      <c r="A7">
        <v>6</v>
      </c>
      <c r="B7" s="61">
        <v>3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3</v>
      </c>
      <c r="C12" s="63">
        <v>1</v>
      </c>
      <c r="D12" s="63">
        <v>2</v>
      </c>
      <c r="E12" s="63">
        <v>1</v>
      </c>
      <c r="F12" s="63">
        <v>3</v>
      </c>
    </row>
    <row r="13" spans="1:6" x14ac:dyDescent="0.3">
      <c r="A13">
        <v>12</v>
      </c>
      <c r="B13" s="63">
        <v>3</v>
      </c>
      <c r="C13" s="63">
        <v>1</v>
      </c>
      <c r="D13" s="63">
        <v>2</v>
      </c>
      <c r="E13" s="63">
        <v>1</v>
      </c>
      <c r="F13" s="63">
        <v>3</v>
      </c>
    </row>
    <row r="14" spans="1:6" x14ac:dyDescent="0.3">
      <c r="A14">
        <v>13</v>
      </c>
      <c r="B14" s="63">
        <v>3</v>
      </c>
      <c r="C14" s="63">
        <v>1</v>
      </c>
      <c r="D14" s="63">
        <v>2</v>
      </c>
      <c r="E14" s="63">
        <v>1</v>
      </c>
      <c r="F14" s="63">
        <v>3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65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0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0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0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0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0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65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3</v>
      </c>
      <c r="C4" s="61">
        <v>3</v>
      </c>
      <c r="D4" s="61">
        <v>3</v>
      </c>
      <c r="E4" s="61">
        <v>3</v>
      </c>
      <c r="F4" s="61">
        <v>3</v>
      </c>
    </row>
    <row r="5" spans="1:6" x14ac:dyDescent="0.3">
      <c r="A5">
        <v>4</v>
      </c>
      <c r="B5" s="61">
        <v>3</v>
      </c>
      <c r="C5" s="61">
        <v>3</v>
      </c>
      <c r="D5" s="61">
        <v>3</v>
      </c>
      <c r="E5" s="61">
        <v>3</v>
      </c>
      <c r="F5" s="61">
        <v>3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2</v>
      </c>
      <c r="C7" s="61">
        <v>3</v>
      </c>
      <c r="D7" s="61">
        <v>2</v>
      </c>
      <c r="E7" s="61">
        <v>3</v>
      </c>
      <c r="F7" s="61">
        <v>3</v>
      </c>
    </row>
    <row r="8" spans="1:6" x14ac:dyDescent="0.3">
      <c r="A8">
        <v>7</v>
      </c>
      <c r="B8" s="62">
        <v>2</v>
      </c>
      <c r="C8" s="62">
        <v>3</v>
      </c>
      <c r="D8" s="62">
        <v>2</v>
      </c>
      <c r="E8" s="62">
        <v>3</v>
      </c>
      <c r="F8" s="62">
        <v>3</v>
      </c>
    </row>
    <row r="9" spans="1:6" x14ac:dyDescent="0.3">
      <c r="A9">
        <v>8</v>
      </c>
      <c r="B9" s="62">
        <v>2</v>
      </c>
      <c r="C9" s="62">
        <v>3</v>
      </c>
      <c r="D9" s="62">
        <v>2</v>
      </c>
      <c r="E9" s="62">
        <v>3</v>
      </c>
      <c r="F9" s="62">
        <v>3</v>
      </c>
    </row>
    <row r="10" spans="1:6" x14ac:dyDescent="0.3">
      <c r="A10">
        <v>9</v>
      </c>
      <c r="B10" s="62">
        <v>1</v>
      </c>
      <c r="C10" s="62">
        <v>3</v>
      </c>
      <c r="D10" s="62">
        <v>1</v>
      </c>
      <c r="E10" s="62">
        <v>3</v>
      </c>
      <c r="F10" s="62">
        <v>3</v>
      </c>
    </row>
    <row r="11" spans="1:6" x14ac:dyDescent="0.3">
      <c r="A11">
        <v>10</v>
      </c>
      <c r="B11" s="62">
        <v>1</v>
      </c>
      <c r="C11" s="62">
        <v>2</v>
      </c>
      <c r="D11" s="62">
        <v>1</v>
      </c>
      <c r="E11" s="62">
        <v>2</v>
      </c>
      <c r="F11" s="62">
        <v>2</v>
      </c>
    </row>
    <row r="12" spans="1:6" x14ac:dyDescent="0.3">
      <c r="A12">
        <v>11</v>
      </c>
      <c r="B12" s="63">
        <v>1</v>
      </c>
      <c r="C12" s="63">
        <v>2</v>
      </c>
      <c r="D12" s="63">
        <v>1</v>
      </c>
      <c r="E12" s="63">
        <v>2</v>
      </c>
      <c r="F12" s="63">
        <v>2</v>
      </c>
    </row>
    <row r="13" spans="1:6" x14ac:dyDescent="0.3">
      <c r="A13">
        <v>12</v>
      </c>
      <c r="B13" s="63">
        <v>1</v>
      </c>
      <c r="C13" s="63">
        <v>2</v>
      </c>
      <c r="D13" s="63">
        <v>1</v>
      </c>
      <c r="E13" s="63">
        <v>2</v>
      </c>
      <c r="F13" s="63">
        <v>3</v>
      </c>
    </row>
    <row r="14" spans="1:6" x14ac:dyDescent="0.3">
      <c r="A14">
        <v>13</v>
      </c>
      <c r="B14" s="63">
        <v>1</v>
      </c>
      <c r="C14" s="63">
        <v>2</v>
      </c>
      <c r="D14" s="63">
        <v>1</v>
      </c>
      <c r="E14" s="63">
        <v>2</v>
      </c>
      <c r="F14" s="63">
        <v>3</v>
      </c>
    </row>
    <row r="15" spans="1:6" x14ac:dyDescent="0.3">
      <c r="A15">
        <v>14</v>
      </c>
      <c r="B15" s="63">
        <v>2</v>
      </c>
      <c r="C15" s="63">
        <v>3</v>
      </c>
      <c r="D15" s="63">
        <v>2</v>
      </c>
      <c r="E15" s="63">
        <v>3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G22" sqref="G22"/>
    </sheetView>
  </sheetViews>
  <sheetFormatPr baseColWidth="10" defaultRowHeight="14.4" x14ac:dyDescent="0.3"/>
  <sheetData>
    <row r="1" spans="1:6" x14ac:dyDescent="0.3">
      <c r="A1" s="65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65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0</v>
      </c>
      <c r="D2" s="61">
        <v>0</v>
      </c>
      <c r="E2" s="61">
        <v>0</v>
      </c>
      <c r="F2" s="61">
        <v>3</v>
      </c>
    </row>
    <row r="3" spans="1:6" x14ac:dyDescent="0.3">
      <c r="A3">
        <v>2</v>
      </c>
      <c r="B3" s="61">
        <v>1</v>
      </c>
      <c r="C3" s="61">
        <v>0</v>
      </c>
      <c r="D3" s="61">
        <v>0</v>
      </c>
      <c r="E3" s="61">
        <v>0</v>
      </c>
      <c r="F3" s="61">
        <v>3</v>
      </c>
    </row>
    <row r="4" spans="1:6" x14ac:dyDescent="0.3">
      <c r="A4">
        <v>3</v>
      </c>
      <c r="B4" s="61">
        <v>2</v>
      </c>
      <c r="C4" s="61">
        <v>0</v>
      </c>
      <c r="D4" s="61">
        <v>0</v>
      </c>
      <c r="E4" s="61">
        <v>0</v>
      </c>
      <c r="F4" s="61">
        <v>3</v>
      </c>
    </row>
    <row r="5" spans="1:6" x14ac:dyDescent="0.3">
      <c r="A5">
        <v>4</v>
      </c>
      <c r="B5" s="61">
        <v>2</v>
      </c>
      <c r="C5" s="61">
        <v>0</v>
      </c>
      <c r="D5" s="61">
        <v>0</v>
      </c>
      <c r="E5" s="61">
        <v>0</v>
      </c>
      <c r="F5" s="61">
        <v>3</v>
      </c>
    </row>
    <row r="6" spans="1:6" x14ac:dyDescent="0.3">
      <c r="A6">
        <v>5</v>
      </c>
      <c r="B6" s="78">
        <v>3</v>
      </c>
      <c r="C6" s="61">
        <v>0</v>
      </c>
      <c r="D6" s="61">
        <v>0</v>
      </c>
      <c r="E6" s="61">
        <v>0</v>
      </c>
      <c r="F6" s="78">
        <v>3</v>
      </c>
    </row>
    <row r="7" spans="1:6" x14ac:dyDescent="0.3">
      <c r="A7">
        <v>6</v>
      </c>
      <c r="B7" s="78">
        <v>3</v>
      </c>
      <c r="C7" s="61">
        <v>0</v>
      </c>
      <c r="D7" s="61">
        <v>0</v>
      </c>
      <c r="E7" s="61">
        <v>0</v>
      </c>
      <c r="F7" s="78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65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0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0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0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65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3</v>
      </c>
      <c r="C12" s="63">
        <v>3</v>
      </c>
      <c r="D12" s="63">
        <v>3</v>
      </c>
      <c r="E12" s="63">
        <v>3</v>
      </c>
      <c r="F12" s="63">
        <v>3</v>
      </c>
    </row>
    <row r="13" spans="1:6" x14ac:dyDescent="0.3">
      <c r="A13">
        <v>12</v>
      </c>
      <c r="B13" s="63">
        <v>1</v>
      </c>
      <c r="C13" s="63">
        <v>3</v>
      </c>
      <c r="D13" s="63">
        <v>3</v>
      </c>
      <c r="E13" s="63">
        <v>1</v>
      </c>
      <c r="F13" s="63">
        <v>3</v>
      </c>
    </row>
    <row r="14" spans="1:6" x14ac:dyDescent="0.3">
      <c r="A14">
        <v>13</v>
      </c>
      <c r="B14" s="63">
        <v>1</v>
      </c>
      <c r="C14" s="63">
        <v>3</v>
      </c>
      <c r="D14" s="63">
        <v>3</v>
      </c>
      <c r="E14" s="63">
        <v>1</v>
      </c>
      <c r="F14" s="63">
        <v>3</v>
      </c>
    </row>
    <row r="15" spans="1:6" x14ac:dyDescent="0.3">
      <c r="A15">
        <v>14</v>
      </c>
      <c r="B15" s="63">
        <v>1</v>
      </c>
      <c r="C15" s="63">
        <v>3</v>
      </c>
      <c r="D15" s="63">
        <v>3</v>
      </c>
      <c r="E15" s="63">
        <v>1</v>
      </c>
      <c r="F15" s="63">
        <v>3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65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0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0</v>
      </c>
      <c r="E3" s="61">
        <v>1</v>
      </c>
      <c r="F3" s="61">
        <v>0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2</v>
      </c>
      <c r="C5" s="61">
        <v>2</v>
      </c>
      <c r="D5" s="61">
        <v>2</v>
      </c>
      <c r="E5" s="61">
        <v>2</v>
      </c>
      <c r="F5" s="61">
        <v>2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0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65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65" t="s">
        <v>387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1</v>
      </c>
      <c r="D2" s="61">
        <v>1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2</v>
      </c>
      <c r="C5" s="61">
        <v>2</v>
      </c>
      <c r="D5" s="61">
        <v>2</v>
      </c>
      <c r="E5" s="61">
        <v>2</v>
      </c>
      <c r="F5" s="61">
        <v>2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65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3</v>
      </c>
      <c r="D2" s="61">
        <v>0</v>
      </c>
      <c r="E2" s="61">
        <v>3</v>
      </c>
      <c r="F2" s="61">
        <v>0</v>
      </c>
    </row>
    <row r="3" spans="1:6" x14ac:dyDescent="0.3">
      <c r="A3">
        <v>2</v>
      </c>
      <c r="B3" s="61">
        <v>0</v>
      </c>
      <c r="C3" s="61">
        <v>3</v>
      </c>
      <c r="D3" s="61">
        <v>0</v>
      </c>
      <c r="E3" s="61">
        <v>3</v>
      </c>
      <c r="F3" s="61">
        <v>0</v>
      </c>
    </row>
    <row r="4" spans="1:6" x14ac:dyDescent="0.3">
      <c r="A4">
        <v>3</v>
      </c>
      <c r="B4" s="61">
        <v>0</v>
      </c>
      <c r="C4" s="61">
        <v>2</v>
      </c>
      <c r="D4" s="61">
        <v>0</v>
      </c>
      <c r="E4" s="61">
        <v>2</v>
      </c>
      <c r="F4" s="61">
        <v>0</v>
      </c>
    </row>
    <row r="5" spans="1:6" x14ac:dyDescent="0.3">
      <c r="A5">
        <v>4</v>
      </c>
      <c r="B5" s="61">
        <v>0</v>
      </c>
      <c r="C5" s="61">
        <v>1</v>
      </c>
      <c r="D5" s="61">
        <v>0</v>
      </c>
      <c r="E5" s="61">
        <v>1</v>
      </c>
      <c r="F5" s="61">
        <v>0</v>
      </c>
    </row>
    <row r="6" spans="1:6" x14ac:dyDescent="0.3">
      <c r="A6">
        <v>5</v>
      </c>
      <c r="B6" s="61">
        <v>0</v>
      </c>
      <c r="C6" s="61">
        <v>1</v>
      </c>
      <c r="D6" s="61">
        <v>0</v>
      </c>
      <c r="E6" s="61">
        <v>1</v>
      </c>
      <c r="F6" s="61">
        <v>0</v>
      </c>
    </row>
    <row r="7" spans="1:6" x14ac:dyDescent="0.3">
      <c r="A7">
        <v>6</v>
      </c>
      <c r="B7" s="61">
        <v>0</v>
      </c>
      <c r="C7" s="61">
        <v>1</v>
      </c>
      <c r="D7" s="61">
        <v>0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1</v>
      </c>
      <c r="D8" s="62">
        <v>0</v>
      </c>
      <c r="E8" s="62">
        <v>1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2</v>
      </c>
      <c r="D11" s="62">
        <v>0</v>
      </c>
      <c r="E11" s="62">
        <v>2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65" t="s">
        <v>371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2</v>
      </c>
      <c r="D3" s="61">
        <v>2</v>
      </c>
      <c r="E3" s="61">
        <v>1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65" t="s">
        <v>489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0</v>
      </c>
      <c r="D11" s="62">
        <v>3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0</v>
      </c>
      <c r="D12" s="63">
        <v>3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0</v>
      </c>
      <c r="D13" s="63">
        <v>3</v>
      </c>
      <c r="E13" s="63">
        <v>1</v>
      </c>
      <c r="F13" s="63">
        <v>1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A13" sqref="A13:F16"/>
    </sheetView>
  </sheetViews>
  <sheetFormatPr baseColWidth="10" defaultRowHeight="14.4" x14ac:dyDescent="0.3"/>
  <sheetData>
    <row r="1" spans="1:6" x14ac:dyDescent="0.3">
      <c r="A1" s="65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2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65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3</v>
      </c>
      <c r="C4" s="61">
        <v>3</v>
      </c>
      <c r="D4" s="61">
        <v>3</v>
      </c>
      <c r="E4" s="61">
        <v>3</v>
      </c>
      <c r="F4" s="61">
        <v>3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2</v>
      </c>
      <c r="C6" s="61">
        <v>2</v>
      </c>
      <c r="D6" s="61">
        <v>2</v>
      </c>
      <c r="E6" s="61">
        <v>2</v>
      </c>
      <c r="F6" s="61">
        <v>2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65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1</v>
      </c>
      <c r="D2" s="61">
        <v>2</v>
      </c>
      <c r="E2" s="61">
        <v>1</v>
      </c>
      <c r="F2" s="61">
        <v>1</v>
      </c>
    </row>
    <row r="3" spans="1:6" x14ac:dyDescent="0.3">
      <c r="A3">
        <v>2</v>
      </c>
      <c r="B3" s="61">
        <v>2</v>
      </c>
      <c r="C3" s="61">
        <v>1</v>
      </c>
      <c r="D3" s="61">
        <v>2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3</v>
      </c>
      <c r="D4" s="61">
        <v>3</v>
      </c>
      <c r="E4" s="61">
        <v>2</v>
      </c>
      <c r="F4" s="61">
        <v>2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3</v>
      </c>
      <c r="C12" s="63">
        <v>0</v>
      </c>
      <c r="D12" s="63">
        <v>3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0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65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55E5-17CC-48BD-9EBE-DCC68FBB89A5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65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1</v>
      </c>
      <c r="D11" s="62">
        <v>0</v>
      </c>
      <c r="E11" s="62">
        <v>1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1</v>
      </c>
      <c r="F15" s="63">
        <v>0</v>
      </c>
    </row>
    <row r="16" spans="1:6" x14ac:dyDescent="0.3">
      <c r="A16">
        <v>15</v>
      </c>
      <c r="B16" s="63">
        <v>0</v>
      </c>
      <c r="C16" s="63">
        <v>1</v>
      </c>
      <c r="D16" s="63">
        <v>0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65" t="s">
        <v>178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0</v>
      </c>
      <c r="D12" s="63">
        <v>1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0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65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3</v>
      </c>
      <c r="D2" s="61">
        <v>3</v>
      </c>
      <c r="E2" s="61">
        <v>3</v>
      </c>
      <c r="F2" s="61">
        <v>3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3</v>
      </c>
      <c r="C10" s="62">
        <v>3</v>
      </c>
      <c r="D10" s="62">
        <v>3</v>
      </c>
      <c r="E10" s="62">
        <v>3</v>
      </c>
      <c r="F10" s="62">
        <v>3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65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0</v>
      </c>
      <c r="D2" s="61">
        <v>0</v>
      </c>
      <c r="E2" s="61">
        <v>3</v>
      </c>
      <c r="F2" s="61">
        <v>1</v>
      </c>
    </row>
    <row r="3" spans="1:6" x14ac:dyDescent="0.3">
      <c r="A3">
        <v>2</v>
      </c>
      <c r="B3" s="61">
        <v>1</v>
      </c>
      <c r="C3" s="61">
        <v>0</v>
      </c>
      <c r="D3" s="61">
        <v>0</v>
      </c>
      <c r="E3" s="61">
        <v>3</v>
      </c>
      <c r="F3" s="61">
        <v>1</v>
      </c>
    </row>
    <row r="4" spans="1:6" x14ac:dyDescent="0.3">
      <c r="A4">
        <v>3</v>
      </c>
      <c r="B4" s="61">
        <v>2</v>
      </c>
      <c r="C4" s="61">
        <v>0</v>
      </c>
      <c r="D4" s="61">
        <v>0</v>
      </c>
      <c r="E4" s="61">
        <v>3</v>
      </c>
      <c r="F4" s="61">
        <v>2</v>
      </c>
    </row>
    <row r="5" spans="1:6" x14ac:dyDescent="0.3">
      <c r="A5">
        <v>4</v>
      </c>
      <c r="B5" s="61">
        <v>2</v>
      </c>
      <c r="C5" s="61">
        <v>0</v>
      </c>
      <c r="D5" s="61">
        <v>0</v>
      </c>
      <c r="E5" s="61">
        <v>3</v>
      </c>
      <c r="F5" s="61">
        <v>2</v>
      </c>
    </row>
    <row r="6" spans="1:6" x14ac:dyDescent="0.3">
      <c r="A6">
        <v>5</v>
      </c>
      <c r="B6" s="61">
        <v>2</v>
      </c>
      <c r="C6" s="61">
        <v>0</v>
      </c>
      <c r="D6" s="61">
        <v>0</v>
      </c>
      <c r="E6" s="61">
        <v>3</v>
      </c>
      <c r="F6" s="61">
        <v>2</v>
      </c>
    </row>
    <row r="7" spans="1:6" x14ac:dyDescent="0.3">
      <c r="A7">
        <v>6</v>
      </c>
      <c r="B7" s="61">
        <v>2</v>
      </c>
      <c r="C7" s="61">
        <v>0</v>
      </c>
      <c r="D7" s="61">
        <v>0</v>
      </c>
      <c r="E7" s="61">
        <v>3</v>
      </c>
      <c r="F7" s="61">
        <v>2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2</v>
      </c>
      <c r="D12" s="63">
        <v>3</v>
      </c>
      <c r="E12" s="63">
        <v>3</v>
      </c>
      <c r="F12" s="63">
        <v>1</v>
      </c>
    </row>
    <row r="13" spans="1:6" x14ac:dyDescent="0.3">
      <c r="A13">
        <v>12</v>
      </c>
      <c r="B13" s="63">
        <v>1</v>
      </c>
      <c r="C13" s="63">
        <v>2</v>
      </c>
      <c r="D13" s="63">
        <v>3</v>
      </c>
      <c r="E13" s="63">
        <v>3</v>
      </c>
      <c r="F13" s="63">
        <v>1</v>
      </c>
    </row>
    <row r="14" spans="1:6" x14ac:dyDescent="0.3">
      <c r="A14">
        <v>13</v>
      </c>
      <c r="B14" s="63">
        <v>1</v>
      </c>
      <c r="C14" s="63">
        <v>2</v>
      </c>
      <c r="D14" s="63">
        <v>3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2</v>
      </c>
      <c r="D15" s="63">
        <v>3</v>
      </c>
      <c r="E15" s="63">
        <v>1</v>
      </c>
      <c r="F15" s="63">
        <v>2</v>
      </c>
    </row>
    <row r="16" spans="1:6" x14ac:dyDescent="0.3">
      <c r="A16">
        <v>15</v>
      </c>
      <c r="B16" s="63">
        <v>1</v>
      </c>
      <c r="C16" s="63">
        <v>2</v>
      </c>
      <c r="D16" s="63">
        <v>3</v>
      </c>
      <c r="E16" s="63">
        <v>1</v>
      </c>
      <c r="F16" s="63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65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1</v>
      </c>
      <c r="D2" s="61">
        <v>0</v>
      </c>
      <c r="E2" s="61">
        <v>1</v>
      </c>
      <c r="F2" s="61">
        <v>1</v>
      </c>
    </row>
    <row r="3" spans="1:6" x14ac:dyDescent="0.3">
      <c r="A3">
        <v>2</v>
      </c>
      <c r="B3" s="61">
        <v>0</v>
      </c>
      <c r="C3" s="61">
        <v>1</v>
      </c>
      <c r="D3" s="61">
        <v>0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1</v>
      </c>
      <c r="D4" s="61">
        <v>0</v>
      </c>
      <c r="E4" s="61">
        <v>1</v>
      </c>
      <c r="F4" s="61">
        <v>1</v>
      </c>
    </row>
    <row r="5" spans="1:6" x14ac:dyDescent="0.3">
      <c r="A5">
        <v>4</v>
      </c>
      <c r="B5" s="61">
        <v>0</v>
      </c>
      <c r="C5" s="61">
        <v>1</v>
      </c>
      <c r="D5" s="61">
        <v>0</v>
      </c>
      <c r="E5" s="61">
        <v>1</v>
      </c>
      <c r="F5" s="61">
        <v>1</v>
      </c>
    </row>
    <row r="6" spans="1:6" x14ac:dyDescent="0.3">
      <c r="A6">
        <v>5</v>
      </c>
      <c r="B6" s="61">
        <v>0</v>
      </c>
      <c r="C6" s="61">
        <v>1</v>
      </c>
      <c r="D6" s="61">
        <v>0</v>
      </c>
      <c r="E6" s="61">
        <v>1</v>
      </c>
      <c r="F6" s="61">
        <v>1</v>
      </c>
    </row>
    <row r="7" spans="1:6" x14ac:dyDescent="0.3">
      <c r="A7">
        <v>6</v>
      </c>
      <c r="B7" s="61">
        <v>0</v>
      </c>
      <c r="C7" s="61">
        <v>1</v>
      </c>
      <c r="D7" s="61">
        <v>0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65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3</v>
      </c>
      <c r="D2" s="61">
        <v>2</v>
      </c>
      <c r="E2" s="61">
        <v>1</v>
      </c>
      <c r="F2" s="61">
        <v>3</v>
      </c>
    </row>
    <row r="3" spans="1:6" x14ac:dyDescent="0.3">
      <c r="A3">
        <v>2</v>
      </c>
      <c r="B3" s="61">
        <v>1</v>
      </c>
      <c r="C3" s="61">
        <v>3</v>
      </c>
      <c r="D3" s="61">
        <v>2</v>
      </c>
      <c r="E3" s="61">
        <v>1</v>
      </c>
      <c r="F3" s="61">
        <v>3</v>
      </c>
    </row>
    <row r="4" spans="1:6" x14ac:dyDescent="0.3">
      <c r="A4">
        <v>3</v>
      </c>
      <c r="B4" s="61">
        <v>3</v>
      </c>
      <c r="C4" s="61">
        <v>3</v>
      </c>
      <c r="D4" s="61">
        <v>3</v>
      </c>
      <c r="E4" s="61">
        <v>3</v>
      </c>
      <c r="F4" s="61">
        <v>3</v>
      </c>
    </row>
    <row r="5" spans="1:6" x14ac:dyDescent="0.3">
      <c r="A5">
        <v>4</v>
      </c>
      <c r="B5" s="61">
        <v>3</v>
      </c>
      <c r="C5" s="61">
        <v>3</v>
      </c>
      <c r="D5" s="61">
        <v>3</v>
      </c>
      <c r="E5" s="61">
        <v>3</v>
      </c>
      <c r="F5" s="61">
        <v>3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65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0</v>
      </c>
      <c r="D2" s="61">
        <v>1</v>
      </c>
      <c r="E2" s="61">
        <v>0</v>
      </c>
      <c r="F2" s="61">
        <v>1</v>
      </c>
    </row>
    <row r="3" spans="1:6" x14ac:dyDescent="0.3">
      <c r="A3">
        <v>2</v>
      </c>
      <c r="B3" s="61">
        <v>1</v>
      </c>
      <c r="C3" s="61">
        <v>0</v>
      </c>
      <c r="D3" s="61">
        <v>1</v>
      </c>
      <c r="E3" s="61">
        <v>0</v>
      </c>
      <c r="F3" s="61">
        <v>1</v>
      </c>
    </row>
    <row r="4" spans="1:6" x14ac:dyDescent="0.3">
      <c r="A4">
        <v>3</v>
      </c>
      <c r="B4" s="61">
        <v>1</v>
      </c>
      <c r="C4" s="61">
        <v>0</v>
      </c>
      <c r="D4" s="61">
        <v>1</v>
      </c>
      <c r="E4" s="61">
        <v>0</v>
      </c>
      <c r="F4" s="61">
        <v>1</v>
      </c>
    </row>
    <row r="5" spans="1:6" x14ac:dyDescent="0.3">
      <c r="A5">
        <v>4</v>
      </c>
      <c r="B5" s="61">
        <v>1</v>
      </c>
      <c r="C5" s="61">
        <v>0</v>
      </c>
      <c r="D5" s="61">
        <v>1</v>
      </c>
      <c r="E5" s="61">
        <v>0</v>
      </c>
      <c r="F5" s="61">
        <v>1</v>
      </c>
    </row>
    <row r="6" spans="1:6" x14ac:dyDescent="0.3">
      <c r="A6">
        <v>5</v>
      </c>
      <c r="B6" s="61">
        <v>1</v>
      </c>
      <c r="C6" s="61">
        <v>0</v>
      </c>
      <c r="D6" s="61">
        <v>1</v>
      </c>
      <c r="E6" s="61">
        <v>0</v>
      </c>
      <c r="F6" s="61">
        <v>1</v>
      </c>
    </row>
    <row r="7" spans="1:6" x14ac:dyDescent="0.3">
      <c r="A7">
        <v>6</v>
      </c>
      <c r="B7" s="61">
        <v>1</v>
      </c>
      <c r="C7" s="61">
        <v>0</v>
      </c>
      <c r="D7" s="61">
        <v>1</v>
      </c>
      <c r="E7" s="61">
        <v>0</v>
      </c>
      <c r="F7" s="61">
        <v>1</v>
      </c>
    </row>
    <row r="8" spans="1:6" x14ac:dyDescent="0.3">
      <c r="A8">
        <v>7</v>
      </c>
      <c r="B8" s="62">
        <v>2</v>
      </c>
      <c r="C8" s="62">
        <v>3</v>
      </c>
      <c r="D8" s="62">
        <v>2</v>
      </c>
      <c r="E8" s="62">
        <v>3</v>
      </c>
      <c r="F8" s="62">
        <v>2</v>
      </c>
    </row>
    <row r="9" spans="1:6" x14ac:dyDescent="0.3">
      <c r="A9">
        <v>8</v>
      </c>
      <c r="B9" s="62">
        <v>2</v>
      </c>
      <c r="C9" s="62">
        <v>3</v>
      </c>
      <c r="D9" s="62">
        <v>2</v>
      </c>
      <c r="E9" s="62">
        <v>3</v>
      </c>
      <c r="F9" s="62">
        <v>2</v>
      </c>
    </row>
    <row r="10" spans="1:6" x14ac:dyDescent="0.3">
      <c r="A10">
        <v>9</v>
      </c>
      <c r="B10" s="62">
        <v>3</v>
      </c>
      <c r="C10" s="62">
        <v>3</v>
      </c>
      <c r="D10" s="62">
        <v>3</v>
      </c>
      <c r="E10" s="62">
        <v>3</v>
      </c>
      <c r="F10" s="62">
        <v>3</v>
      </c>
    </row>
    <row r="11" spans="1:6" x14ac:dyDescent="0.3">
      <c r="A11">
        <v>10</v>
      </c>
      <c r="B11" s="62">
        <v>3</v>
      </c>
      <c r="C11" s="62">
        <v>3</v>
      </c>
      <c r="D11" s="62">
        <v>3</v>
      </c>
      <c r="E11" s="62">
        <v>3</v>
      </c>
      <c r="F11" s="62">
        <v>3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t="s">
        <v>269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0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0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0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0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0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0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A10" sqref="A10:F14"/>
    </sheetView>
  </sheetViews>
  <sheetFormatPr baseColWidth="10" defaultRowHeight="14.4" x14ac:dyDescent="0.3"/>
  <sheetData>
    <row r="1" spans="1:6" x14ac:dyDescent="0.3">
      <c r="A1" s="65" t="s">
        <v>473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65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2</v>
      </c>
      <c r="D12" s="63">
        <v>1</v>
      </c>
      <c r="E12" s="63">
        <v>2</v>
      </c>
      <c r="F12" s="63">
        <v>1</v>
      </c>
    </row>
    <row r="13" spans="1:6" x14ac:dyDescent="0.3">
      <c r="A13">
        <v>12</v>
      </c>
      <c r="B13" s="63">
        <v>2</v>
      </c>
      <c r="C13" s="63">
        <v>2</v>
      </c>
      <c r="D13" s="63">
        <v>2</v>
      </c>
      <c r="E13" s="63">
        <v>2</v>
      </c>
      <c r="F13" s="63">
        <v>2</v>
      </c>
    </row>
    <row r="14" spans="1:6" x14ac:dyDescent="0.3">
      <c r="A14">
        <v>13</v>
      </c>
      <c r="B14" s="63">
        <v>2</v>
      </c>
      <c r="C14" s="63">
        <v>2</v>
      </c>
      <c r="D14" s="63">
        <v>2</v>
      </c>
      <c r="E14" s="63">
        <v>2</v>
      </c>
      <c r="F14" s="63">
        <v>2</v>
      </c>
    </row>
    <row r="15" spans="1:6" x14ac:dyDescent="0.3">
      <c r="A15">
        <v>14</v>
      </c>
      <c r="B15" s="63">
        <v>3</v>
      </c>
      <c r="C15" s="63">
        <v>3</v>
      </c>
      <c r="D15" s="63">
        <v>3</v>
      </c>
      <c r="E15" s="63">
        <v>3</v>
      </c>
      <c r="F15" s="63">
        <v>3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65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2</v>
      </c>
      <c r="C13" s="63">
        <v>2</v>
      </c>
      <c r="D13" s="63">
        <v>2</v>
      </c>
      <c r="E13" s="63">
        <v>2</v>
      </c>
      <c r="F13" s="63">
        <v>2</v>
      </c>
    </row>
    <row r="14" spans="1:6" x14ac:dyDescent="0.3">
      <c r="A14">
        <v>13</v>
      </c>
      <c r="B14" s="63">
        <v>3</v>
      </c>
      <c r="C14" s="63">
        <v>3</v>
      </c>
      <c r="D14" s="63">
        <v>3</v>
      </c>
      <c r="E14" s="63">
        <v>3</v>
      </c>
      <c r="F14" s="63">
        <v>3</v>
      </c>
    </row>
    <row r="15" spans="1:6" x14ac:dyDescent="0.3">
      <c r="A15">
        <v>14</v>
      </c>
      <c r="B15" s="63">
        <v>3</v>
      </c>
      <c r="C15" s="63">
        <v>3</v>
      </c>
      <c r="D15" s="63">
        <v>3</v>
      </c>
      <c r="E15" s="63">
        <v>3</v>
      </c>
      <c r="F15" s="63">
        <v>3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66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6">
        <v>0</v>
      </c>
      <c r="C12" s="66">
        <v>0</v>
      </c>
      <c r="D12" s="66">
        <v>0</v>
      </c>
      <c r="E12" s="66">
        <v>0</v>
      </c>
      <c r="F12" s="66">
        <v>3</v>
      </c>
    </row>
    <row r="13" spans="1:6" x14ac:dyDescent="0.3">
      <c r="A13">
        <v>12</v>
      </c>
      <c r="B13" s="63">
        <v>1</v>
      </c>
      <c r="C13" s="63">
        <v>0</v>
      </c>
      <c r="D13" s="63">
        <v>0</v>
      </c>
      <c r="E13" s="63">
        <v>1</v>
      </c>
      <c r="F13" s="63">
        <v>3</v>
      </c>
    </row>
    <row r="14" spans="1:6" x14ac:dyDescent="0.3">
      <c r="A14">
        <v>13</v>
      </c>
      <c r="B14" s="63">
        <v>1</v>
      </c>
      <c r="C14" s="63">
        <v>0</v>
      </c>
      <c r="D14" s="63">
        <v>0</v>
      </c>
      <c r="E14" s="63">
        <v>1</v>
      </c>
      <c r="F14" s="63">
        <v>0</v>
      </c>
    </row>
    <row r="15" spans="1:6" x14ac:dyDescent="0.3">
      <c r="A15">
        <v>14</v>
      </c>
      <c r="B15" s="63">
        <v>1</v>
      </c>
      <c r="C15" s="63">
        <v>0</v>
      </c>
      <c r="D15" s="63">
        <v>0</v>
      </c>
      <c r="E15" s="63">
        <v>1</v>
      </c>
      <c r="F15" s="63">
        <v>0</v>
      </c>
    </row>
    <row r="16" spans="1:6" x14ac:dyDescent="0.3">
      <c r="A16">
        <v>15</v>
      </c>
      <c r="B16" s="63">
        <v>1</v>
      </c>
      <c r="C16" s="63">
        <v>0</v>
      </c>
      <c r="D16" s="63">
        <v>0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65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3</v>
      </c>
      <c r="C3" s="61">
        <v>3</v>
      </c>
      <c r="D3" s="61">
        <v>3</v>
      </c>
      <c r="E3" s="61">
        <v>3</v>
      </c>
      <c r="F3" s="61">
        <v>3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78">
        <v>3</v>
      </c>
      <c r="C12" s="78">
        <v>3</v>
      </c>
      <c r="D12" s="78">
        <v>3</v>
      </c>
      <c r="E12" s="78">
        <v>3</v>
      </c>
      <c r="F12" s="78">
        <v>3</v>
      </c>
    </row>
    <row r="13" spans="1:6" x14ac:dyDescent="0.3">
      <c r="A13">
        <v>12</v>
      </c>
      <c r="B13" s="78">
        <v>3</v>
      </c>
      <c r="C13" s="78">
        <v>3</v>
      </c>
      <c r="D13" s="78">
        <v>3</v>
      </c>
      <c r="E13" s="78">
        <v>3</v>
      </c>
      <c r="F13" s="78">
        <v>3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65" t="s">
        <v>487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2</v>
      </c>
      <c r="C11" s="62">
        <v>0</v>
      </c>
      <c r="D11" s="62">
        <v>0</v>
      </c>
      <c r="E11" s="62">
        <v>2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3</v>
      </c>
      <c r="C14" s="63">
        <v>3</v>
      </c>
      <c r="D14" s="63">
        <v>3</v>
      </c>
      <c r="E14" s="63">
        <v>3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65" t="s">
        <v>317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3</v>
      </c>
      <c r="D2" s="61">
        <v>2</v>
      </c>
      <c r="E2" s="61">
        <v>2</v>
      </c>
      <c r="F2" s="61">
        <v>3</v>
      </c>
    </row>
    <row r="3" spans="1:6" x14ac:dyDescent="0.3">
      <c r="A3">
        <v>2</v>
      </c>
      <c r="B3" s="61">
        <v>2</v>
      </c>
      <c r="C3" s="61">
        <v>3</v>
      </c>
      <c r="D3" s="61">
        <v>1</v>
      </c>
      <c r="E3" s="61">
        <v>1</v>
      </c>
      <c r="F3" s="61">
        <v>2</v>
      </c>
    </row>
    <row r="4" spans="1:6" x14ac:dyDescent="0.3">
      <c r="A4">
        <v>3</v>
      </c>
      <c r="B4" s="61">
        <v>2</v>
      </c>
      <c r="C4" s="61">
        <v>3</v>
      </c>
      <c r="D4" s="61">
        <v>1</v>
      </c>
      <c r="E4" s="61">
        <v>1</v>
      </c>
      <c r="F4" s="61">
        <v>2</v>
      </c>
    </row>
    <row r="5" spans="1:6" x14ac:dyDescent="0.3">
      <c r="A5">
        <v>4</v>
      </c>
      <c r="B5" s="61">
        <v>2</v>
      </c>
      <c r="C5" s="61">
        <v>3</v>
      </c>
      <c r="D5" s="61">
        <v>1</v>
      </c>
      <c r="E5" s="61">
        <v>1</v>
      </c>
      <c r="F5" s="61">
        <v>2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65" t="s">
        <v>249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2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2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2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65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3</v>
      </c>
      <c r="D2" s="61">
        <v>3</v>
      </c>
      <c r="E2" s="61">
        <v>3</v>
      </c>
      <c r="F2" s="61">
        <v>3</v>
      </c>
    </row>
    <row r="3" spans="1:6" x14ac:dyDescent="0.3">
      <c r="A3">
        <v>2</v>
      </c>
      <c r="B3" s="61">
        <v>0</v>
      </c>
      <c r="C3" s="61">
        <v>3</v>
      </c>
      <c r="D3" s="61">
        <v>3</v>
      </c>
      <c r="E3" s="61">
        <v>3</v>
      </c>
      <c r="F3" s="61">
        <v>3</v>
      </c>
    </row>
    <row r="4" spans="1:6" x14ac:dyDescent="0.3">
      <c r="A4">
        <v>3</v>
      </c>
      <c r="B4" s="61">
        <v>3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3</v>
      </c>
      <c r="C8" s="62">
        <v>3</v>
      </c>
      <c r="D8" s="62">
        <v>3</v>
      </c>
      <c r="E8" s="62">
        <v>3</v>
      </c>
      <c r="F8" s="62">
        <v>3</v>
      </c>
    </row>
    <row r="9" spans="1:6" x14ac:dyDescent="0.3">
      <c r="A9">
        <v>8</v>
      </c>
      <c r="B9" s="62">
        <v>3</v>
      </c>
      <c r="C9" s="62">
        <v>3</v>
      </c>
      <c r="D9" s="62">
        <v>3</v>
      </c>
      <c r="E9" s="62">
        <v>3</v>
      </c>
      <c r="F9" s="62">
        <v>3</v>
      </c>
    </row>
    <row r="10" spans="1:6" x14ac:dyDescent="0.3">
      <c r="A10">
        <v>9</v>
      </c>
      <c r="B10" s="62">
        <v>3</v>
      </c>
      <c r="C10" s="62">
        <v>3</v>
      </c>
      <c r="D10" s="62">
        <v>3</v>
      </c>
      <c r="E10" s="62">
        <v>3</v>
      </c>
      <c r="F10" s="62">
        <v>3</v>
      </c>
    </row>
    <row r="11" spans="1:6" x14ac:dyDescent="0.3">
      <c r="A11">
        <v>10</v>
      </c>
      <c r="B11" s="62">
        <v>3</v>
      </c>
      <c r="C11" s="62">
        <v>3</v>
      </c>
      <c r="D11" s="62">
        <v>3</v>
      </c>
      <c r="E11" s="62">
        <v>3</v>
      </c>
      <c r="F11" s="62">
        <v>3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65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1</v>
      </c>
      <c r="C9" s="62">
        <v>3</v>
      </c>
      <c r="D9" s="62">
        <v>1</v>
      </c>
      <c r="E9" s="62">
        <v>3</v>
      </c>
      <c r="F9" s="62">
        <v>1</v>
      </c>
    </row>
    <row r="10" spans="1:6" x14ac:dyDescent="0.3">
      <c r="A10">
        <v>9</v>
      </c>
      <c r="B10" s="62">
        <v>1</v>
      </c>
      <c r="C10" s="62">
        <v>3</v>
      </c>
      <c r="D10" s="62">
        <v>1</v>
      </c>
      <c r="E10" s="62">
        <v>3</v>
      </c>
      <c r="F10" s="62">
        <v>1</v>
      </c>
    </row>
    <row r="11" spans="1:6" x14ac:dyDescent="0.3">
      <c r="A11">
        <v>10</v>
      </c>
      <c r="B11" s="62">
        <v>1</v>
      </c>
      <c r="C11" s="62">
        <v>0</v>
      </c>
      <c r="D11" s="62">
        <v>1</v>
      </c>
      <c r="E11" s="62">
        <v>0</v>
      </c>
      <c r="F11" s="62">
        <v>1</v>
      </c>
    </row>
    <row r="12" spans="1:6" x14ac:dyDescent="0.3">
      <c r="A12">
        <v>11</v>
      </c>
      <c r="B12" s="63">
        <v>2</v>
      </c>
      <c r="C12" s="63">
        <v>0</v>
      </c>
      <c r="D12" s="63">
        <v>2</v>
      </c>
      <c r="E12" s="63">
        <v>0</v>
      </c>
      <c r="F12" s="63">
        <v>2</v>
      </c>
    </row>
    <row r="13" spans="1:6" x14ac:dyDescent="0.3">
      <c r="A13">
        <v>12</v>
      </c>
      <c r="B13" s="63">
        <v>3</v>
      </c>
      <c r="C13" s="63">
        <v>0</v>
      </c>
      <c r="D13" s="63">
        <v>0</v>
      </c>
      <c r="E13" s="63">
        <v>0</v>
      </c>
      <c r="F13" s="63">
        <v>3</v>
      </c>
    </row>
    <row r="14" spans="1:6" x14ac:dyDescent="0.3">
      <c r="A14">
        <v>13</v>
      </c>
      <c r="B14" s="63">
        <v>3</v>
      </c>
      <c r="C14" s="63">
        <v>0</v>
      </c>
      <c r="D14" s="63">
        <v>0</v>
      </c>
      <c r="E14" s="63">
        <v>0</v>
      </c>
      <c r="F14" s="63">
        <v>3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F19" sqref="F19"/>
    </sheetView>
  </sheetViews>
  <sheetFormatPr baseColWidth="10" defaultRowHeight="14.4" x14ac:dyDescent="0.3"/>
  <sheetData>
    <row r="1" spans="1:6" x14ac:dyDescent="0.3">
      <c r="A1" s="65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2</v>
      </c>
      <c r="E12" s="63">
        <v>1</v>
      </c>
      <c r="F12" s="63">
        <v>2</v>
      </c>
    </row>
    <row r="13" spans="1:6" x14ac:dyDescent="0.3">
      <c r="A13">
        <v>12</v>
      </c>
      <c r="B13" s="63">
        <v>0</v>
      </c>
      <c r="C13" s="63">
        <v>0</v>
      </c>
      <c r="D13" s="63">
        <v>2</v>
      </c>
      <c r="E13" s="63">
        <v>1</v>
      </c>
      <c r="F13" s="63">
        <v>2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3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65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0</v>
      </c>
      <c r="E11" s="62">
        <v>1</v>
      </c>
      <c r="F11" s="62">
        <v>0</v>
      </c>
    </row>
    <row r="12" spans="1:6" x14ac:dyDescent="0.3">
      <c r="A12">
        <v>11</v>
      </c>
      <c r="B12" s="63">
        <v>1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2</v>
      </c>
      <c r="C13" s="63">
        <v>2</v>
      </c>
      <c r="D13" s="63">
        <v>0</v>
      </c>
      <c r="E13" s="63">
        <v>2</v>
      </c>
      <c r="F13" s="63">
        <v>0</v>
      </c>
    </row>
    <row r="14" spans="1:6" x14ac:dyDescent="0.3">
      <c r="A14">
        <v>13</v>
      </c>
      <c r="B14" s="63">
        <v>2</v>
      </c>
      <c r="C14" s="63">
        <v>2</v>
      </c>
      <c r="D14" s="63">
        <v>0</v>
      </c>
      <c r="E14" s="63">
        <v>2</v>
      </c>
      <c r="F14" s="63">
        <v>0</v>
      </c>
    </row>
    <row r="15" spans="1:6" x14ac:dyDescent="0.3">
      <c r="A15">
        <v>14</v>
      </c>
      <c r="B15" s="63">
        <v>3</v>
      </c>
      <c r="C15" s="63">
        <v>3</v>
      </c>
      <c r="D15" s="63">
        <v>0</v>
      </c>
      <c r="E15" s="63">
        <v>3</v>
      </c>
      <c r="F15" s="63">
        <v>0</v>
      </c>
    </row>
    <row r="16" spans="1:6" x14ac:dyDescent="0.3">
      <c r="A16">
        <v>15</v>
      </c>
      <c r="B16" s="63">
        <v>3</v>
      </c>
      <c r="C16" s="63">
        <v>3</v>
      </c>
      <c r="D16" s="63">
        <v>0</v>
      </c>
      <c r="E16" s="63">
        <v>3</v>
      </c>
      <c r="F16" s="6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1</v>
      </c>
      <c r="C9" s="62">
        <v>2</v>
      </c>
      <c r="D9" s="62">
        <v>0</v>
      </c>
      <c r="E9" s="62">
        <v>3</v>
      </c>
      <c r="F9" s="62">
        <v>0</v>
      </c>
    </row>
    <row r="10" spans="1:6" x14ac:dyDescent="0.3">
      <c r="A10">
        <v>9</v>
      </c>
      <c r="B10" s="62">
        <v>1</v>
      </c>
      <c r="C10" s="62">
        <v>2</v>
      </c>
      <c r="D10" s="62">
        <v>3</v>
      </c>
      <c r="E10" s="62">
        <v>3</v>
      </c>
      <c r="F10" s="62">
        <v>0</v>
      </c>
    </row>
    <row r="11" spans="1:6" x14ac:dyDescent="0.3">
      <c r="A11">
        <v>10</v>
      </c>
      <c r="B11" s="62">
        <v>1</v>
      </c>
      <c r="C11" s="62">
        <v>2</v>
      </c>
      <c r="D11" s="62">
        <v>3</v>
      </c>
      <c r="E11" s="62">
        <v>3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65" t="s">
        <v>504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65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1</v>
      </c>
      <c r="D2" s="61">
        <v>2</v>
      </c>
      <c r="E2" s="61">
        <v>1</v>
      </c>
      <c r="F2" s="61">
        <v>1</v>
      </c>
    </row>
    <row r="3" spans="1:6" x14ac:dyDescent="0.3">
      <c r="A3">
        <v>2</v>
      </c>
      <c r="B3" s="61">
        <v>2</v>
      </c>
      <c r="C3" s="61">
        <v>1</v>
      </c>
      <c r="D3" s="61">
        <v>2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3</v>
      </c>
      <c r="D4" s="61">
        <v>3</v>
      </c>
      <c r="E4" s="61">
        <v>2</v>
      </c>
      <c r="F4" s="61">
        <v>2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3</v>
      </c>
      <c r="C12" s="63">
        <v>0</v>
      </c>
      <c r="D12" s="63">
        <v>3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0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65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0</v>
      </c>
      <c r="D2" s="61">
        <v>1</v>
      </c>
      <c r="E2" s="61">
        <v>0</v>
      </c>
      <c r="F2" s="61">
        <v>1</v>
      </c>
    </row>
    <row r="3" spans="1:6" x14ac:dyDescent="0.3">
      <c r="A3">
        <v>2</v>
      </c>
      <c r="B3" s="61">
        <v>1</v>
      </c>
      <c r="C3" s="61">
        <v>0</v>
      </c>
      <c r="D3" s="61">
        <v>1</v>
      </c>
      <c r="E3" s="61">
        <v>0</v>
      </c>
      <c r="F3" s="61">
        <v>1</v>
      </c>
    </row>
    <row r="4" spans="1:6" x14ac:dyDescent="0.3">
      <c r="A4">
        <v>3</v>
      </c>
      <c r="B4" s="61">
        <v>1</v>
      </c>
      <c r="C4" s="61">
        <v>0</v>
      </c>
      <c r="D4" s="61">
        <v>1</v>
      </c>
      <c r="E4" s="61">
        <v>0</v>
      </c>
      <c r="F4" s="61">
        <v>1</v>
      </c>
    </row>
    <row r="5" spans="1:6" x14ac:dyDescent="0.3">
      <c r="A5">
        <v>4</v>
      </c>
      <c r="B5" s="61">
        <v>2</v>
      </c>
      <c r="C5" s="61">
        <v>0</v>
      </c>
      <c r="D5" s="61">
        <v>2</v>
      </c>
      <c r="E5" s="61">
        <v>0</v>
      </c>
      <c r="F5" s="61">
        <v>2</v>
      </c>
    </row>
    <row r="6" spans="1:6" x14ac:dyDescent="0.3">
      <c r="A6">
        <v>5</v>
      </c>
      <c r="B6" s="61">
        <v>2</v>
      </c>
      <c r="C6" s="61">
        <v>0</v>
      </c>
      <c r="D6" s="61">
        <v>2</v>
      </c>
      <c r="E6" s="61">
        <v>0</v>
      </c>
      <c r="F6" s="61">
        <v>2</v>
      </c>
    </row>
    <row r="7" spans="1:6" x14ac:dyDescent="0.3">
      <c r="A7">
        <v>6</v>
      </c>
      <c r="B7" s="61">
        <v>3</v>
      </c>
      <c r="C7" s="61">
        <v>0</v>
      </c>
      <c r="D7" s="61">
        <v>3</v>
      </c>
      <c r="E7" s="61">
        <v>0</v>
      </c>
      <c r="F7" s="61">
        <v>3</v>
      </c>
    </row>
    <row r="8" spans="1:6" x14ac:dyDescent="0.3">
      <c r="A8">
        <v>7</v>
      </c>
      <c r="B8" s="62">
        <v>3</v>
      </c>
      <c r="C8" s="62">
        <v>0</v>
      </c>
      <c r="D8" s="62">
        <v>3</v>
      </c>
      <c r="E8" s="62">
        <v>0</v>
      </c>
      <c r="F8" s="62">
        <v>3</v>
      </c>
    </row>
    <row r="9" spans="1:6" x14ac:dyDescent="0.3">
      <c r="A9">
        <v>8</v>
      </c>
      <c r="B9" s="62">
        <v>3</v>
      </c>
      <c r="C9" s="62">
        <v>0</v>
      </c>
      <c r="D9" s="62">
        <v>3</v>
      </c>
      <c r="E9" s="62">
        <v>0</v>
      </c>
      <c r="F9" s="62">
        <v>3</v>
      </c>
    </row>
    <row r="10" spans="1:6" x14ac:dyDescent="0.3">
      <c r="A10">
        <v>9</v>
      </c>
      <c r="B10" s="62">
        <v>3</v>
      </c>
      <c r="C10" s="62">
        <v>0</v>
      </c>
      <c r="D10" s="62">
        <v>3</v>
      </c>
      <c r="E10" s="62">
        <v>0</v>
      </c>
      <c r="F10" s="62">
        <v>3</v>
      </c>
    </row>
    <row r="11" spans="1:6" x14ac:dyDescent="0.3">
      <c r="A11">
        <v>10</v>
      </c>
      <c r="B11" s="62">
        <v>3</v>
      </c>
      <c r="C11" s="62">
        <v>0</v>
      </c>
      <c r="D11" s="62">
        <v>3</v>
      </c>
      <c r="E11" s="62">
        <v>0</v>
      </c>
      <c r="F11" s="62">
        <v>3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65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3</v>
      </c>
      <c r="D2" s="61">
        <v>3</v>
      </c>
      <c r="E2" s="61">
        <v>3</v>
      </c>
      <c r="F2" s="61">
        <v>3</v>
      </c>
    </row>
    <row r="3" spans="1:6" x14ac:dyDescent="0.3">
      <c r="A3">
        <v>2</v>
      </c>
      <c r="B3" s="61">
        <v>3</v>
      </c>
      <c r="C3" s="61">
        <v>3</v>
      </c>
      <c r="D3" s="61">
        <v>3</v>
      </c>
      <c r="E3" s="61">
        <v>3</v>
      </c>
      <c r="F3" s="61">
        <v>3</v>
      </c>
    </row>
    <row r="4" spans="1:6" x14ac:dyDescent="0.3">
      <c r="A4">
        <v>3</v>
      </c>
      <c r="B4" s="61">
        <v>2</v>
      </c>
      <c r="C4" s="61">
        <v>3</v>
      </c>
      <c r="D4" s="61">
        <v>2</v>
      </c>
      <c r="E4" s="61">
        <v>3</v>
      </c>
      <c r="F4" s="61">
        <v>2</v>
      </c>
    </row>
    <row r="5" spans="1:6" x14ac:dyDescent="0.3">
      <c r="A5">
        <v>4</v>
      </c>
      <c r="B5" s="61">
        <v>1</v>
      </c>
      <c r="C5" s="61">
        <v>2</v>
      </c>
      <c r="D5" s="61">
        <v>1</v>
      </c>
      <c r="E5" s="61">
        <v>2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65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65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2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2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78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1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1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65" t="s">
        <v>332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3</v>
      </c>
      <c r="D2" s="61">
        <v>3</v>
      </c>
      <c r="E2" s="61">
        <v>3</v>
      </c>
      <c r="F2" s="61">
        <v>3</v>
      </c>
    </row>
    <row r="3" spans="1:6" x14ac:dyDescent="0.3">
      <c r="A3">
        <v>2</v>
      </c>
      <c r="B3" s="61">
        <v>3</v>
      </c>
      <c r="C3" s="61">
        <v>3</v>
      </c>
      <c r="D3" s="61">
        <v>3</v>
      </c>
      <c r="E3" s="61">
        <v>3</v>
      </c>
      <c r="F3" s="61">
        <v>3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2</v>
      </c>
      <c r="C5" s="61">
        <v>2</v>
      </c>
      <c r="D5" s="61">
        <v>2</v>
      </c>
      <c r="E5" s="61">
        <v>2</v>
      </c>
      <c r="F5" s="61">
        <v>2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65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2</v>
      </c>
    </row>
    <row r="5" spans="1:6" x14ac:dyDescent="0.3">
      <c r="A5">
        <v>4</v>
      </c>
      <c r="B5" s="61">
        <v>2</v>
      </c>
      <c r="C5" s="61">
        <v>2</v>
      </c>
      <c r="D5" s="61">
        <v>2</v>
      </c>
      <c r="E5" s="61">
        <v>2</v>
      </c>
      <c r="F5" s="61">
        <v>2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65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0</v>
      </c>
      <c r="D2" s="61">
        <v>0</v>
      </c>
      <c r="E2" s="61">
        <v>0</v>
      </c>
      <c r="F2" s="61">
        <v>1</v>
      </c>
    </row>
    <row r="3" spans="1:6" x14ac:dyDescent="0.3">
      <c r="A3">
        <v>2</v>
      </c>
      <c r="B3" s="61">
        <v>1</v>
      </c>
      <c r="C3" s="61">
        <v>0</v>
      </c>
      <c r="D3" s="61">
        <v>0</v>
      </c>
      <c r="E3" s="61">
        <v>0</v>
      </c>
      <c r="F3" s="61">
        <v>1</v>
      </c>
    </row>
    <row r="4" spans="1:6" x14ac:dyDescent="0.3">
      <c r="A4">
        <v>3</v>
      </c>
      <c r="B4" s="61">
        <v>1</v>
      </c>
      <c r="C4" s="61">
        <v>0</v>
      </c>
      <c r="D4" s="61">
        <v>0</v>
      </c>
      <c r="E4" s="61">
        <v>0</v>
      </c>
      <c r="F4" s="61">
        <v>1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1</v>
      </c>
      <c r="C12" s="63">
        <v>0</v>
      </c>
      <c r="D12" s="63">
        <v>0</v>
      </c>
      <c r="E12" s="63">
        <v>0</v>
      </c>
      <c r="F12" s="63">
        <v>1</v>
      </c>
    </row>
    <row r="13" spans="1:6" x14ac:dyDescent="0.3">
      <c r="A13">
        <v>12</v>
      </c>
      <c r="B13" s="63">
        <v>1</v>
      </c>
      <c r="C13" s="63">
        <v>0</v>
      </c>
      <c r="D13" s="63">
        <v>0</v>
      </c>
      <c r="E13" s="63">
        <v>0</v>
      </c>
      <c r="F13" s="63">
        <v>1</v>
      </c>
    </row>
    <row r="14" spans="1:6" x14ac:dyDescent="0.3">
      <c r="A14">
        <v>13</v>
      </c>
      <c r="B14" s="63">
        <v>1</v>
      </c>
      <c r="C14" s="63">
        <v>0</v>
      </c>
      <c r="D14" s="63">
        <v>0</v>
      </c>
      <c r="E14" s="63">
        <v>0</v>
      </c>
      <c r="F14" s="63">
        <v>1</v>
      </c>
    </row>
    <row r="15" spans="1:6" x14ac:dyDescent="0.3">
      <c r="A15">
        <v>14</v>
      </c>
      <c r="B15" s="63">
        <v>2</v>
      </c>
      <c r="C15" s="63">
        <v>0</v>
      </c>
      <c r="D15" s="63">
        <v>0</v>
      </c>
      <c r="E15" s="63">
        <v>0</v>
      </c>
      <c r="F15" s="63">
        <v>2</v>
      </c>
    </row>
    <row r="16" spans="1:6" x14ac:dyDescent="0.3">
      <c r="A16">
        <v>15</v>
      </c>
      <c r="B16" s="63">
        <v>2</v>
      </c>
      <c r="C16" s="63">
        <v>0</v>
      </c>
      <c r="D16" s="63">
        <v>0</v>
      </c>
      <c r="E16" s="63">
        <v>0</v>
      </c>
      <c r="F16" s="63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65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1</v>
      </c>
      <c r="D9" s="62">
        <v>0</v>
      </c>
      <c r="E9" s="62">
        <v>1</v>
      </c>
      <c r="F9" s="62">
        <v>0</v>
      </c>
    </row>
    <row r="10" spans="1:6" x14ac:dyDescent="0.3">
      <c r="A10">
        <v>9</v>
      </c>
      <c r="B10" s="62">
        <v>0</v>
      </c>
      <c r="C10" s="62">
        <v>1</v>
      </c>
      <c r="D10" s="62">
        <v>0</v>
      </c>
      <c r="E10" s="62">
        <v>1</v>
      </c>
      <c r="F10" s="62">
        <v>0</v>
      </c>
    </row>
    <row r="11" spans="1:6" x14ac:dyDescent="0.3">
      <c r="A11">
        <v>10</v>
      </c>
      <c r="B11" s="62">
        <v>0</v>
      </c>
      <c r="C11" s="62">
        <v>1</v>
      </c>
      <c r="D11" s="62">
        <v>0</v>
      </c>
      <c r="E11" s="62">
        <v>1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1</v>
      </c>
      <c r="F15" s="63">
        <v>0</v>
      </c>
    </row>
    <row r="16" spans="1:6" x14ac:dyDescent="0.3">
      <c r="A16">
        <v>15</v>
      </c>
      <c r="B16" s="63">
        <v>0</v>
      </c>
      <c r="C16" s="63">
        <v>1</v>
      </c>
      <c r="D16" s="63">
        <v>0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65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1</v>
      </c>
      <c r="C9" s="62">
        <v>0</v>
      </c>
      <c r="D9" s="62">
        <v>1</v>
      </c>
      <c r="E9" s="62">
        <v>0</v>
      </c>
      <c r="F9" s="62">
        <v>1</v>
      </c>
    </row>
    <row r="10" spans="1:6" x14ac:dyDescent="0.3">
      <c r="A10">
        <v>9</v>
      </c>
      <c r="B10" s="62">
        <v>1</v>
      </c>
      <c r="C10" s="62">
        <v>0</v>
      </c>
      <c r="D10" s="62">
        <v>1</v>
      </c>
      <c r="E10" s="62">
        <v>0</v>
      </c>
      <c r="F10" s="62">
        <v>1</v>
      </c>
    </row>
    <row r="11" spans="1:6" x14ac:dyDescent="0.3">
      <c r="A11">
        <v>10</v>
      </c>
      <c r="B11" s="62">
        <v>1</v>
      </c>
      <c r="C11" s="62">
        <v>0</v>
      </c>
      <c r="D11" s="62">
        <v>1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1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65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2</v>
      </c>
      <c r="C12" s="63">
        <v>2</v>
      </c>
      <c r="D12" s="63">
        <v>2</v>
      </c>
      <c r="E12" s="63">
        <v>2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0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66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6">
        <v>1</v>
      </c>
      <c r="F3" s="66">
        <v>2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6">
        <v>1</v>
      </c>
      <c r="F4" s="66">
        <v>2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6">
        <v>2</v>
      </c>
      <c r="F5" s="66">
        <v>2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6">
        <v>2</v>
      </c>
      <c r="F6" s="66">
        <v>2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6">
        <v>2</v>
      </c>
      <c r="F7" s="66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6">
        <v>2</v>
      </c>
      <c r="F8" s="66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65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2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2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1</v>
      </c>
      <c r="F6" s="61">
        <v>1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1</v>
      </c>
      <c r="F7" s="61">
        <v>1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2</v>
      </c>
      <c r="F8" s="62">
        <v>1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2</v>
      </c>
      <c r="F9" s="62">
        <v>1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2</v>
      </c>
      <c r="F10" s="62">
        <v>1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2</v>
      </c>
      <c r="F11" s="62">
        <v>1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66" t="s">
        <v>255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4">
        <v>3</v>
      </c>
      <c r="D14" s="63">
        <v>0</v>
      </c>
      <c r="E14" s="64">
        <v>3</v>
      </c>
      <c r="F14" s="63">
        <v>0</v>
      </c>
    </row>
    <row r="15" spans="1:6" x14ac:dyDescent="0.3">
      <c r="A15">
        <v>14</v>
      </c>
      <c r="B15" s="63">
        <v>0</v>
      </c>
      <c r="C15" s="64">
        <v>3</v>
      </c>
      <c r="D15" s="63">
        <v>0</v>
      </c>
      <c r="E15" s="64">
        <v>3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65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2</v>
      </c>
      <c r="D2" s="61">
        <v>2</v>
      </c>
      <c r="E2" s="61">
        <v>2</v>
      </c>
      <c r="F2" s="61">
        <v>2</v>
      </c>
    </row>
    <row r="3" spans="1:6" x14ac:dyDescent="0.3">
      <c r="A3">
        <v>2</v>
      </c>
      <c r="B3" s="61">
        <v>2</v>
      </c>
      <c r="C3" s="61">
        <v>2</v>
      </c>
      <c r="D3" s="61">
        <v>2</v>
      </c>
      <c r="E3" s="61">
        <v>2</v>
      </c>
      <c r="F3" s="61">
        <v>2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3</v>
      </c>
      <c r="C6" s="61">
        <v>3</v>
      </c>
      <c r="D6" s="61">
        <v>3</v>
      </c>
      <c r="E6" s="61">
        <v>3</v>
      </c>
      <c r="F6" s="61">
        <v>3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B3" sqref="B3"/>
    </sheetView>
  </sheetViews>
  <sheetFormatPr baseColWidth="10" defaultRowHeight="14.4" x14ac:dyDescent="0.3"/>
  <sheetData>
    <row r="1" spans="1:6" x14ac:dyDescent="0.3">
      <c r="A1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J18" sqref="J18"/>
    </sheetView>
  </sheetViews>
  <sheetFormatPr baseColWidth="10" defaultRowHeight="14.4" x14ac:dyDescent="0.3"/>
  <sheetData>
    <row r="1" spans="1:6" x14ac:dyDescent="0.3">
      <c r="A1" s="65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3</v>
      </c>
      <c r="C12" s="63">
        <v>3</v>
      </c>
      <c r="D12" s="63">
        <v>3</v>
      </c>
      <c r="E12" s="63">
        <v>3</v>
      </c>
      <c r="F12" s="63">
        <v>3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65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1</v>
      </c>
      <c r="D2" s="61">
        <v>2</v>
      </c>
      <c r="E2" s="61">
        <v>1</v>
      </c>
      <c r="F2" s="61">
        <v>1</v>
      </c>
    </row>
    <row r="3" spans="1:6" x14ac:dyDescent="0.3">
      <c r="A3">
        <v>2</v>
      </c>
      <c r="B3" s="61">
        <v>2</v>
      </c>
      <c r="C3" s="61">
        <v>1</v>
      </c>
      <c r="D3" s="61">
        <v>2</v>
      </c>
      <c r="E3" s="61">
        <v>1</v>
      </c>
      <c r="F3" s="61">
        <v>1</v>
      </c>
    </row>
    <row r="4" spans="1:6" x14ac:dyDescent="0.3">
      <c r="A4">
        <v>3</v>
      </c>
      <c r="B4" s="61">
        <v>0</v>
      </c>
      <c r="C4" s="61">
        <v>3</v>
      </c>
      <c r="D4" s="61">
        <v>3</v>
      </c>
      <c r="E4" s="61">
        <v>2</v>
      </c>
      <c r="F4" s="61">
        <v>2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3</v>
      </c>
      <c r="C12" s="63">
        <v>0</v>
      </c>
      <c r="D12" s="63">
        <v>3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0</v>
      </c>
      <c r="D13" s="63">
        <v>1</v>
      </c>
      <c r="E13" s="63">
        <v>0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65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2</v>
      </c>
      <c r="C2" s="61">
        <v>1</v>
      </c>
      <c r="D2" s="61">
        <v>2</v>
      </c>
      <c r="E2" s="61">
        <v>1</v>
      </c>
      <c r="F2" s="61">
        <v>3</v>
      </c>
    </row>
    <row r="3" spans="1:6" x14ac:dyDescent="0.3">
      <c r="A3">
        <v>2</v>
      </c>
      <c r="B3" s="61">
        <v>2</v>
      </c>
      <c r="C3" s="61">
        <v>1</v>
      </c>
      <c r="D3" s="61">
        <v>2</v>
      </c>
      <c r="E3" s="61">
        <v>1</v>
      </c>
      <c r="F3" s="61">
        <v>3</v>
      </c>
    </row>
    <row r="4" spans="1:6" x14ac:dyDescent="0.3">
      <c r="A4">
        <v>3</v>
      </c>
      <c r="B4" s="61">
        <v>2</v>
      </c>
      <c r="C4" s="61">
        <v>2</v>
      </c>
      <c r="D4" s="61">
        <v>2</v>
      </c>
      <c r="E4" s="61">
        <v>2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0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65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3</v>
      </c>
      <c r="C2" s="61">
        <v>3</v>
      </c>
      <c r="D2" s="61">
        <v>3</v>
      </c>
      <c r="E2" s="61">
        <v>3</v>
      </c>
      <c r="F2" s="61">
        <v>3</v>
      </c>
    </row>
    <row r="3" spans="1:6" x14ac:dyDescent="0.3">
      <c r="A3">
        <v>2</v>
      </c>
      <c r="B3" s="61">
        <v>3</v>
      </c>
      <c r="C3" s="61">
        <v>3</v>
      </c>
      <c r="D3" s="61">
        <v>3</v>
      </c>
      <c r="E3" s="61">
        <v>3</v>
      </c>
      <c r="F3" s="61">
        <v>3</v>
      </c>
    </row>
    <row r="4" spans="1:6" x14ac:dyDescent="0.3">
      <c r="A4">
        <v>3</v>
      </c>
      <c r="B4" s="61">
        <v>2</v>
      </c>
      <c r="C4" s="61">
        <v>3</v>
      </c>
      <c r="D4" s="61">
        <v>2</v>
      </c>
      <c r="E4" s="61">
        <v>3</v>
      </c>
      <c r="F4" s="61">
        <v>2</v>
      </c>
    </row>
    <row r="5" spans="1:6" x14ac:dyDescent="0.3">
      <c r="A5">
        <v>4</v>
      </c>
      <c r="B5" s="61">
        <v>1</v>
      </c>
      <c r="C5" s="61">
        <v>2</v>
      </c>
      <c r="D5" s="61">
        <v>1</v>
      </c>
      <c r="E5" s="61">
        <v>2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65" t="s">
        <v>275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0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0</v>
      </c>
      <c r="E14" s="63">
        <v>1</v>
      </c>
      <c r="F14" s="63">
        <v>1</v>
      </c>
    </row>
    <row r="15" spans="1:6" x14ac:dyDescent="0.3">
      <c r="A15">
        <v>14</v>
      </c>
      <c r="B15" s="63">
        <v>2</v>
      </c>
      <c r="C15" s="63">
        <v>2</v>
      </c>
      <c r="D15" s="63">
        <v>0</v>
      </c>
      <c r="E15" s="63">
        <v>2</v>
      </c>
      <c r="F15" s="63">
        <v>3</v>
      </c>
    </row>
    <row r="16" spans="1:6" x14ac:dyDescent="0.3">
      <c r="A16">
        <v>15</v>
      </c>
      <c r="B16" s="63">
        <v>2</v>
      </c>
      <c r="C16" s="63">
        <v>2</v>
      </c>
      <c r="D16" s="63">
        <v>0</v>
      </c>
      <c r="E16" s="63">
        <v>2</v>
      </c>
      <c r="F16" s="63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65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3</v>
      </c>
      <c r="C7" s="61">
        <v>3</v>
      </c>
      <c r="D7" s="61">
        <v>3</v>
      </c>
      <c r="E7" s="61">
        <v>3</v>
      </c>
      <c r="F7" s="61">
        <v>3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65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2</v>
      </c>
      <c r="C14" s="63">
        <v>2</v>
      </c>
      <c r="D14" s="63">
        <v>2</v>
      </c>
      <c r="E14" s="63">
        <v>2</v>
      </c>
      <c r="F14" s="63">
        <v>2</v>
      </c>
    </row>
    <row r="15" spans="1:6" x14ac:dyDescent="0.3">
      <c r="A15">
        <v>14</v>
      </c>
      <c r="B15" s="63">
        <v>3</v>
      </c>
      <c r="C15" s="63">
        <v>3</v>
      </c>
      <c r="D15" s="63">
        <v>3</v>
      </c>
      <c r="E15" s="63">
        <v>3</v>
      </c>
      <c r="F15" s="63">
        <v>3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K9" sqref="K9"/>
    </sheetView>
  </sheetViews>
  <sheetFormatPr baseColWidth="10" defaultRowHeight="14.4" x14ac:dyDescent="0.3"/>
  <sheetData>
    <row r="1" spans="1:6" x14ac:dyDescent="0.3">
      <c r="A1" t="s">
        <v>316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65" t="s">
        <v>496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C9" sqref="C9"/>
    </sheetView>
  </sheetViews>
  <sheetFormatPr baseColWidth="10" defaultRowHeight="14.4" x14ac:dyDescent="0.3"/>
  <sheetData>
    <row r="1" spans="1:6" x14ac:dyDescent="0.3">
      <c r="A1" s="65" t="s">
        <v>499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D11" sqref="D11"/>
    </sheetView>
  </sheetViews>
  <sheetFormatPr baseColWidth="10" defaultRowHeight="14.4" x14ac:dyDescent="0.3"/>
  <sheetData>
    <row r="1" spans="1:6" x14ac:dyDescent="0.3">
      <c r="A1" s="65" t="s">
        <v>507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2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0</v>
      </c>
      <c r="C12" s="63">
        <v>1</v>
      </c>
      <c r="D12" s="63">
        <v>1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2</v>
      </c>
      <c r="D13" s="63">
        <v>2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3</v>
      </c>
      <c r="D14" s="63">
        <v>3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I11" sqref="I11"/>
    </sheetView>
  </sheetViews>
  <sheetFormatPr baseColWidth="10" defaultRowHeight="14.4" x14ac:dyDescent="0.3"/>
  <sheetData>
    <row r="1" spans="1:6" x14ac:dyDescent="0.3">
      <c r="A1" s="65" t="s">
        <v>509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65" t="s">
        <v>513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65" t="s">
        <v>516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1</v>
      </c>
      <c r="C2" s="61">
        <v>1</v>
      </c>
      <c r="D2" s="61">
        <v>1</v>
      </c>
      <c r="E2" s="61">
        <v>1</v>
      </c>
      <c r="F2" s="61">
        <v>1</v>
      </c>
    </row>
    <row r="3" spans="1:6" x14ac:dyDescent="0.3">
      <c r="A3">
        <v>2</v>
      </c>
      <c r="B3" s="61">
        <v>1</v>
      </c>
      <c r="C3" s="61">
        <v>1</v>
      </c>
      <c r="D3" s="61">
        <v>1</v>
      </c>
      <c r="E3" s="61">
        <v>1</v>
      </c>
      <c r="F3" s="61">
        <v>1</v>
      </c>
    </row>
    <row r="4" spans="1:6" x14ac:dyDescent="0.3">
      <c r="A4">
        <v>3</v>
      </c>
      <c r="B4" s="61">
        <v>1</v>
      </c>
      <c r="C4" s="61">
        <v>1</v>
      </c>
      <c r="D4" s="61">
        <v>1</v>
      </c>
      <c r="E4" s="61">
        <v>1</v>
      </c>
      <c r="F4" s="61">
        <v>1</v>
      </c>
    </row>
    <row r="5" spans="1:6" x14ac:dyDescent="0.3">
      <c r="A5">
        <v>4</v>
      </c>
      <c r="B5" s="61">
        <v>1</v>
      </c>
      <c r="C5" s="61">
        <v>1</v>
      </c>
      <c r="D5" s="61">
        <v>1</v>
      </c>
      <c r="E5" s="61">
        <v>1</v>
      </c>
      <c r="F5" s="61">
        <v>1</v>
      </c>
    </row>
    <row r="6" spans="1:6" x14ac:dyDescent="0.3">
      <c r="A6">
        <v>5</v>
      </c>
      <c r="B6" s="61">
        <v>1</v>
      </c>
      <c r="C6" s="61">
        <v>1</v>
      </c>
      <c r="D6" s="61">
        <v>1</v>
      </c>
      <c r="E6" s="61">
        <v>1</v>
      </c>
      <c r="F6" s="61">
        <v>1</v>
      </c>
    </row>
    <row r="7" spans="1:6" x14ac:dyDescent="0.3">
      <c r="A7">
        <v>6</v>
      </c>
      <c r="B7" s="61">
        <v>1</v>
      </c>
      <c r="C7" s="61">
        <v>1</v>
      </c>
      <c r="D7" s="61">
        <v>1</v>
      </c>
      <c r="E7" s="61">
        <v>1</v>
      </c>
      <c r="F7" s="61">
        <v>1</v>
      </c>
    </row>
    <row r="8" spans="1:6" x14ac:dyDescent="0.3">
      <c r="A8">
        <v>7</v>
      </c>
      <c r="B8" s="62">
        <v>1</v>
      </c>
      <c r="C8" s="62">
        <v>1</v>
      </c>
      <c r="D8" s="62">
        <v>1</v>
      </c>
      <c r="E8" s="62">
        <v>1</v>
      </c>
      <c r="F8" s="62">
        <v>1</v>
      </c>
    </row>
    <row r="9" spans="1:6" x14ac:dyDescent="0.3">
      <c r="A9">
        <v>8</v>
      </c>
      <c r="B9" s="62">
        <v>1</v>
      </c>
      <c r="C9" s="62">
        <v>1</v>
      </c>
      <c r="D9" s="62">
        <v>1</v>
      </c>
      <c r="E9" s="62">
        <v>1</v>
      </c>
      <c r="F9" s="62">
        <v>1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1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1</v>
      </c>
    </row>
    <row r="15" spans="1:6" x14ac:dyDescent="0.3">
      <c r="A15">
        <v>14</v>
      </c>
      <c r="B15" s="63">
        <v>1</v>
      </c>
      <c r="C15" s="63">
        <v>1</v>
      </c>
      <c r="D15" s="63">
        <v>1</v>
      </c>
      <c r="E15" s="63">
        <v>1</v>
      </c>
      <c r="F15" s="63">
        <v>1</v>
      </c>
    </row>
    <row r="16" spans="1:6" x14ac:dyDescent="0.3">
      <c r="A16">
        <v>15</v>
      </c>
      <c r="B16" s="63">
        <v>1</v>
      </c>
      <c r="C16" s="63">
        <v>1</v>
      </c>
      <c r="D16" s="63">
        <v>1</v>
      </c>
      <c r="E16" s="63">
        <v>1</v>
      </c>
      <c r="F16" s="63">
        <v>1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K20" sqref="K20"/>
    </sheetView>
  </sheetViews>
  <sheetFormatPr baseColWidth="10" defaultRowHeight="14.4" x14ac:dyDescent="0.3"/>
  <sheetData>
    <row r="1" spans="1:6" x14ac:dyDescent="0.3">
      <c r="A1" s="65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3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3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1</v>
      </c>
      <c r="F14" s="63">
        <v>3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1</v>
      </c>
      <c r="F15" s="63">
        <v>3</v>
      </c>
    </row>
    <row r="16" spans="1:6" x14ac:dyDescent="0.3">
      <c r="A16">
        <v>15</v>
      </c>
      <c r="B16" s="63">
        <v>0</v>
      </c>
      <c r="C16" s="63">
        <v>1</v>
      </c>
      <c r="D16" s="63">
        <v>0</v>
      </c>
      <c r="E16" s="63">
        <v>1</v>
      </c>
      <c r="F16" s="63">
        <v>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D22" sqref="D22"/>
    </sheetView>
  </sheetViews>
  <sheetFormatPr baseColWidth="10" defaultRowHeight="14.4" x14ac:dyDescent="0.3"/>
  <sheetData>
    <row r="1" spans="1:6" x14ac:dyDescent="0.3">
      <c r="A1" s="65" t="s">
        <v>522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0</v>
      </c>
      <c r="D10" s="62">
        <v>1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0</v>
      </c>
      <c r="D11" s="62">
        <v>1</v>
      </c>
      <c r="E11" s="62">
        <v>0</v>
      </c>
      <c r="F11" s="62">
        <v>0</v>
      </c>
    </row>
    <row r="12" spans="1:6" x14ac:dyDescent="0.3">
      <c r="A12">
        <v>11</v>
      </c>
      <c r="B12" s="63">
        <v>2</v>
      </c>
      <c r="C12" s="63">
        <v>2</v>
      </c>
      <c r="D12" s="63">
        <v>2</v>
      </c>
      <c r="E12" s="63">
        <v>2</v>
      </c>
      <c r="F12" s="63">
        <v>0</v>
      </c>
    </row>
    <row r="13" spans="1:6" x14ac:dyDescent="0.3">
      <c r="A13">
        <v>12</v>
      </c>
      <c r="B13" s="63">
        <v>2</v>
      </c>
      <c r="C13" s="63">
        <v>2</v>
      </c>
      <c r="D13" s="63">
        <v>2</v>
      </c>
      <c r="E13" s="63">
        <v>2</v>
      </c>
      <c r="F13" s="63">
        <v>0</v>
      </c>
    </row>
    <row r="14" spans="1:6" x14ac:dyDescent="0.3">
      <c r="A14">
        <v>13</v>
      </c>
      <c r="B14" s="63">
        <v>0</v>
      </c>
      <c r="C14" s="63">
        <v>3</v>
      </c>
      <c r="D14" s="63">
        <v>3</v>
      </c>
      <c r="E14" s="63">
        <v>3</v>
      </c>
      <c r="F14" s="63">
        <v>0</v>
      </c>
    </row>
    <row r="15" spans="1:6" x14ac:dyDescent="0.3">
      <c r="A15">
        <v>14</v>
      </c>
      <c r="B15" s="63">
        <v>0</v>
      </c>
      <c r="C15" s="63">
        <v>3</v>
      </c>
      <c r="D15" s="63">
        <v>0</v>
      </c>
      <c r="E15" s="63">
        <v>3</v>
      </c>
      <c r="F15" s="63">
        <v>0</v>
      </c>
    </row>
    <row r="16" spans="1:6" x14ac:dyDescent="0.3">
      <c r="A16">
        <v>15</v>
      </c>
      <c r="B16" s="63">
        <v>0</v>
      </c>
      <c r="C16" s="63">
        <v>3</v>
      </c>
      <c r="D16" s="63">
        <v>0</v>
      </c>
      <c r="E16" s="63">
        <v>3</v>
      </c>
      <c r="F16" s="6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65" t="s">
        <v>525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1</v>
      </c>
      <c r="C10" s="62">
        <v>1</v>
      </c>
      <c r="D10" s="62">
        <v>1</v>
      </c>
      <c r="E10" s="62">
        <v>1</v>
      </c>
      <c r="F10" s="62">
        <v>1</v>
      </c>
    </row>
    <row r="11" spans="1:6" x14ac:dyDescent="0.3">
      <c r="A11">
        <v>10</v>
      </c>
      <c r="B11" s="62">
        <v>1</v>
      </c>
      <c r="C11" s="62">
        <v>1</v>
      </c>
      <c r="D11" s="62">
        <v>1</v>
      </c>
      <c r="E11" s="62">
        <v>1</v>
      </c>
      <c r="F11" s="62">
        <v>1</v>
      </c>
    </row>
    <row r="12" spans="1:6" x14ac:dyDescent="0.3">
      <c r="A12">
        <v>11</v>
      </c>
      <c r="B12" s="63">
        <v>2</v>
      </c>
      <c r="C12" s="63">
        <v>2</v>
      </c>
      <c r="D12" s="63">
        <v>2</v>
      </c>
      <c r="E12" s="63">
        <v>2</v>
      </c>
      <c r="F12" s="63">
        <v>2</v>
      </c>
    </row>
    <row r="13" spans="1:6" x14ac:dyDescent="0.3">
      <c r="A13">
        <v>12</v>
      </c>
      <c r="B13" s="63">
        <v>2</v>
      </c>
      <c r="C13" s="63">
        <v>2</v>
      </c>
      <c r="D13" s="63">
        <v>2</v>
      </c>
      <c r="E13" s="63">
        <v>2</v>
      </c>
      <c r="F13" s="63">
        <v>2</v>
      </c>
    </row>
    <row r="14" spans="1:6" x14ac:dyDescent="0.3">
      <c r="A14">
        <v>13</v>
      </c>
      <c r="B14" s="63">
        <v>3</v>
      </c>
      <c r="C14" s="63">
        <v>3</v>
      </c>
      <c r="D14" s="63">
        <v>3</v>
      </c>
      <c r="E14" s="63">
        <v>3</v>
      </c>
      <c r="F14" s="63">
        <v>3</v>
      </c>
    </row>
    <row r="15" spans="1:6" x14ac:dyDescent="0.3">
      <c r="A15">
        <v>14</v>
      </c>
      <c r="B15" s="63">
        <v>3</v>
      </c>
      <c r="C15" s="63">
        <v>3</v>
      </c>
      <c r="D15" s="63">
        <v>3</v>
      </c>
      <c r="E15" s="63">
        <v>3</v>
      </c>
      <c r="F15" s="63">
        <v>3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65" t="s">
        <v>527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0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0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0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0</v>
      </c>
      <c r="E15" s="63">
        <v>1</v>
      </c>
      <c r="F15" s="63">
        <v>0</v>
      </c>
    </row>
    <row r="16" spans="1:6" x14ac:dyDescent="0.3">
      <c r="A16">
        <v>15</v>
      </c>
      <c r="B16" s="63">
        <v>0</v>
      </c>
      <c r="C16" s="63">
        <v>1</v>
      </c>
      <c r="D16" s="63">
        <v>0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DB47-DC30-4A0F-9A9C-75BD3CB52703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t="s">
        <v>529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531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F16"/>
  <sheetViews>
    <sheetView workbookViewId="0">
      <selection activeCell="G13" sqref="G13"/>
    </sheetView>
  </sheetViews>
  <sheetFormatPr baseColWidth="10" defaultRowHeight="14.4" x14ac:dyDescent="0.3"/>
  <sheetData>
    <row r="1" spans="1:6" x14ac:dyDescent="0.3">
      <c r="A1" s="78" t="s">
        <v>534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78">
        <v>1</v>
      </c>
      <c r="C2" s="78">
        <v>1</v>
      </c>
      <c r="D2" s="78">
        <v>0</v>
      </c>
      <c r="E2" s="78">
        <v>1</v>
      </c>
      <c r="F2" s="78">
        <v>1</v>
      </c>
    </row>
    <row r="3" spans="1:6" x14ac:dyDescent="0.3">
      <c r="A3">
        <v>2</v>
      </c>
      <c r="B3" s="78">
        <v>1</v>
      </c>
      <c r="C3" s="78">
        <v>1</v>
      </c>
      <c r="D3" s="78">
        <v>0</v>
      </c>
      <c r="E3" s="78">
        <v>1</v>
      </c>
      <c r="F3" s="78">
        <v>1</v>
      </c>
    </row>
    <row r="4" spans="1:6" x14ac:dyDescent="0.3">
      <c r="A4">
        <v>3</v>
      </c>
      <c r="B4" s="78">
        <v>1</v>
      </c>
      <c r="C4" s="78">
        <v>1</v>
      </c>
      <c r="D4" s="78">
        <v>0</v>
      </c>
      <c r="E4" s="78">
        <v>1</v>
      </c>
      <c r="F4" s="78">
        <v>1</v>
      </c>
    </row>
    <row r="5" spans="1:6" x14ac:dyDescent="0.3">
      <c r="A5">
        <v>4</v>
      </c>
      <c r="B5" s="78">
        <v>1</v>
      </c>
      <c r="C5" s="78">
        <v>1</v>
      </c>
      <c r="D5" s="78">
        <v>0</v>
      </c>
      <c r="E5" s="78">
        <v>1</v>
      </c>
      <c r="F5" s="78">
        <v>1</v>
      </c>
    </row>
    <row r="6" spans="1:6" x14ac:dyDescent="0.3">
      <c r="A6">
        <v>5</v>
      </c>
      <c r="B6" s="78">
        <v>1</v>
      </c>
      <c r="C6" s="78">
        <v>1</v>
      </c>
      <c r="D6" s="78">
        <v>0</v>
      </c>
      <c r="E6" s="78">
        <v>1</v>
      </c>
      <c r="F6" s="78">
        <v>1</v>
      </c>
    </row>
    <row r="7" spans="1:6" x14ac:dyDescent="0.3">
      <c r="A7">
        <v>6</v>
      </c>
      <c r="B7" s="78">
        <v>1</v>
      </c>
      <c r="C7" s="78">
        <v>1</v>
      </c>
      <c r="D7" s="78">
        <v>0</v>
      </c>
      <c r="E7" s="78">
        <v>1</v>
      </c>
      <c r="F7" s="78">
        <v>1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1</v>
      </c>
      <c r="C11" s="62">
        <v>1</v>
      </c>
      <c r="D11" s="62">
        <v>0</v>
      </c>
      <c r="E11" s="62">
        <v>1</v>
      </c>
      <c r="F11" s="62">
        <v>1</v>
      </c>
    </row>
    <row r="12" spans="1:6" x14ac:dyDescent="0.3">
      <c r="A12">
        <v>11</v>
      </c>
      <c r="B12" s="63">
        <v>1</v>
      </c>
      <c r="C12" s="63">
        <v>1</v>
      </c>
      <c r="D12" s="63">
        <v>0</v>
      </c>
      <c r="E12" s="63">
        <v>1</v>
      </c>
      <c r="F12" s="63">
        <v>1</v>
      </c>
    </row>
    <row r="13" spans="1:6" x14ac:dyDescent="0.3">
      <c r="A13">
        <v>12</v>
      </c>
      <c r="B13" s="78">
        <v>2</v>
      </c>
      <c r="C13" s="78">
        <v>2</v>
      </c>
      <c r="D13" s="63">
        <v>0</v>
      </c>
      <c r="E13" s="78">
        <v>2</v>
      </c>
      <c r="F13" s="78">
        <v>2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t="s">
        <v>544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65" t="s">
        <v>668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3</v>
      </c>
      <c r="C9" s="62">
        <v>2</v>
      </c>
      <c r="D9" s="62">
        <v>2</v>
      </c>
      <c r="E9" s="62">
        <v>2</v>
      </c>
      <c r="F9" s="62">
        <v>3</v>
      </c>
    </row>
    <row r="10" spans="1:6" x14ac:dyDescent="0.3">
      <c r="A10">
        <v>9</v>
      </c>
      <c r="B10" s="62">
        <v>3</v>
      </c>
      <c r="C10" s="62">
        <v>2</v>
      </c>
      <c r="D10" s="62">
        <v>2</v>
      </c>
      <c r="E10" s="62">
        <v>2</v>
      </c>
      <c r="F10" s="62">
        <v>3</v>
      </c>
    </row>
    <row r="11" spans="1:6" x14ac:dyDescent="0.3">
      <c r="A11">
        <v>10</v>
      </c>
      <c r="B11" s="62">
        <v>3</v>
      </c>
      <c r="C11" s="62">
        <v>2</v>
      </c>
      <c r="D11" s="62">
        <v>2</v>
      </c>
      <c r="E11" s="62">
        <v>2</v>
      </c>
      <c r="F11" s="62">
        <v>3</v>
      </c>
    </row>
    <row r="12" spans="1:6" x14ac:dyDescent="0.3">
      <c r="A12">
        <v>11</v>
      </c>
      <c r="B12" s="63">
        <v>3</v>
      </c>
      <c r="C12" s="63">
        <v>2</v>
      </c>
      <c r="D12" s="63">
        <v>2</v>
      </c>
      <c r="E12" s="63">
        <v>2</v>
      </c>
      <c r="F12" s="63">
        <v>3</v>
      </c>
    </row>
    <row r="13" spans="1:6" x14ac:dyDescent="0.3">
      <c r="A13">
        <v>12</v>
      </c>
      <c r="B13" s="63">
        <v>3</v>
      </c>
      <c r="C13" s="63">
        <v>2</v>
      </c>
      <c r="D13" s="63">
        <v>2</v>
      </c>
      <c r="E13" s="63">
        <v>2</v>
      </c>
      <c r="F13" s="63">
        <v>3</v>
      </c>
    </row>
    <row r="14" spans="1:6" x14ac:dyDescent="0.3">
      <c r="A14">
        <v>13</v>
      </c>
      <c r="B14" s="63">
        <v>3</v>
      </c>
      <c r="C14" s="63">
        <v>2</v>
      </c>
      <c r="D14" s="63">
        <v>2</v>
      </c>
      <c r="E14" s="63">
        <v>2</v>
      </c>
      <c r="F14" s="63">
        <v>3</v>
      </c>
    </row>
    <row r="15" spans="1:6" x14ac:dyDescent="0.3">
      <c r="A15">
        <v>14</v>
      </c>
      <c r="B15" s="63">
        <v>3</v>
      </c>
      <c r="C15" s="63">
        <v>3</v>
      </c>
      <c r="D15" s="63">
        <v>3</v>
      </c>
      <c r="E15" s="63">
        <v>3</v>
      </c>
      <c r="F15" s="63">
        <v>3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65" t="s">
        <v>677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1</v>
      </c>
      <c r="D12" s="63">
        <v>1</v>
      </c>
      <c r="E12" s="63">
        <v>1</v>
      </c>
      <c r="F12" s="63">
        <v>0</v>
      </c>
    </row>
    <row r="13" spans="1:6" x14ac:dyDescent="0.3">
      <c r="A13">
        <v>12</v>
      </c>
      <c r="B13" s="63">
        <v>0</v>
      </c>
      <c r="C13" s="63">
        <v>1</v>
      </c>
      <c r="D13" s="63">
        <v>1</v>
      </c>
      <c r="E13" s="63">
        <v>1</v>
      </c>
      <c r="F13" s="63">
        <v>0</v>
      </c>
    </row>
    <row r="14" spans="1:6" x14ac:dyDescent="0.3">
      <c r="A14">
        <v>13</v>
      </c>
      <c r="B14" s="63">
        <v>0</v>
      </c>
      <c r="C14" s="63">
        <v>1</v>
      </c>
      <c r="D14" s="63">
        <v>1</v>
      </c>
      <c r="E14" s="63">
        <v>1</v>
      </c>
      <c r="F14" s="63">
        <v>0</v>
      </c>
    </row>
    <row r="15" spans="1:6" x14ac:dyDescent="0.3">
      <c r="A15">
        <v>14</v>
      </c>
      <c r="B15" s="63">
        <v>0</v>
      </c>
      <c r="C15" s="63">
        <v>1</v>
      </c>
      <c r="D15" s="63">
        <v>1</v>
      </c>
      <c r="E15" s="63">
        <v>1</v>
      </c>
      <c r="F15" s="63">
        <v>0</v>
      </c>
    </row>
    <row r="16" spans="1:6" x14ac:dyDescent="0.3">
      <c r="A16">
        <v>15</v>
      </c>
      <c r="B16" s="63">
        <v>0</v>
      </c>
      <c r="C16" s="63">
        <v>1</v>
      </c>
      <c r="D16" s="63">
        <v>1</v>
      </c>
      <c r="E16" s="63">
        <v>1</v>
      </c>
      <c r="F16" s="6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683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B14" sqref="B14"/>
    </sheetView>
  </sheetViews>
  <sheetFormatPr baseColWidth="10" defaultRowHeight="14.4" x14ac:dyDescent="0.3"/>
  <sheetData>
    <row r="1" spans="1:6" x14ac:dyDescent="0.3">
      <c r="A1" s="65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1</v>
      </c>
      <c r="C13" s="63">
        <v>1</v>
      </c>
      <c r="D13" s="63">
        <v>1</v>
      </c>
      <c r="E13" s="63">
        <v>1</v>
      </c>
      <c r="F13" s="63">
        <v>3</v>
      </c>
    </row>
    <row r="14" spans="1:6" x14ac:dyDescent="0.3">
      <c r="A14">
        <v>13</v>
      </c>
      <c r="B14" s="63">
        <v>1</v>
      </c>
      <c r="C14" s="63">
        <v>1</v>
      </c>
      <c r="D14" s="63">
        <v>1</v>
      </c>
      <c r="E14" s="63">
        <v>1</v>
      </c>
      <c r="F14" s="63">
        <v>3</v>
      </c>
    </row>
    <row r="15" spans="1:6" x14ac:dyDescent="0.3">
      <c r="A15">
        <v>14</v>
      </c>
      <c r="B15" s="63">
        <v>2</v>
      </c>
      <c r="C15" s="63">
        <v>2</v>
      </c>
      <c r="D15" s="63">
        <v>2</v>
      </c>
      <c r="E15" s="63">
        <v>2</v>
      </c>
      <c r="F15" s="63">
        <v>3</v>
      </c>
    </row>
    <row r="16" spans="1:6" x14ac:dyDescent="0.3">
      <c r="A16">
        <v>15</v>
      </c>
      <c r="B16" s="63">
        <v>3</v>
      </c>
      <c r="C16" s="63">
        <v>3</v>
      </c>
      <c r="D16" s="63">
        <v>3</v>
      </c>
      <c r="E16" s="63">
        <v>3</v>
      </c>
      <c r="F16" s="6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A2" sqref="A2"/>
    </sheetView>
  </sheetViews>
  <sheetFormatPr baseColWidth="10" defaultRowHeight="14.4" x14ac:dyDescent="0.3"/>
  <sheetData>
    <row r="1" spans="1:6" x14ac:dyDescent="0.3">
      <c r="A1" s="65" t="s">
        <v>692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3</v>
      </c>
      <c r="C11" s="62">
        <v>3</v>
      </c>
      <c r="D11" s="62">
        <v>3</v>
      </c>
      <c r="E11" s="62">
        <v>3</v>
      </c>
      <c r="F11" s="62">
        <v>3</v>
      </c>
    </row>
    <row r="12" spans="1:6" x14ac:dyDescent="0.3">
      <c r="A12">
        <v>11</v>
      </c>
      <c r="B12" s="63">
        <v>1</v>
      </c>
      <c r="C12" s="63">
        <v>1</v>
      </c>
      <c r="D12" s="63">
        <v>1</v>
      </c>
      <c r="E12" s="63">
        <v>1</v>
      </c>
      <c r="F12" s="63">
        <v>1</v>
      </c>
    </row>
    <row r="13" spans="1:6" x14ac:dyDescent="0.3">
      <c r="A13">
        <v>12</v>
      </c>
      <c r="B13" s="63">
        <v>1</v>
      </c>
      <c r="C13" s="63">
        <v>2</v>
      </c>
      <c r="D13" s="63">
        <v>1</v>
      </c>
      <c r="E13" s="63">
        <v>2</v>
      </c>
      <c r="F13" s="63">
        <v>1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2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2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686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1">
        <v>0</v>
      </c>
      <c r="C2" s="61">
        <v>0</v>
      </c>
      <c r="D2" s="61">
        <v>0</v>
      </c>
      <c r="E2" s="61">
        <v>0</v>
      </c>
      <c r="F2" s="61">
        <v>0</v>
      </c>
    </row>
    <row r="3" spans="1:6" x14ac:dyDescent="0.3">
      <c r="A3">
        <v>2</v>
      </c>
      <c r="B3" s="61">
        <v>0</v>
      </c>
      <c r="C3" s="61">
        <v>0</v>
      </c>
      <c r="D3" s="61">
        <v>0</v>
      </c>
      <c r="E3" s="61">
        <v>0</v>
      </c>
      <c r="F3" s="61">
        <v>0</v>
      </c>
    </row>
    <row r="4" spans="1:6" x14ac:dyDescent="0.3">
      <c r="A4">
        <v>3</v>
      </c>
      <c r="B4" s="61">
        <v>0</v>
      </c>
      <c r="C4" s="61">
        <v>0</v>
      </c>
      <c r="D4" s="61">
        <v>0</v>
      </c>
      <c r="E4" s="61">
        <v>0</v>
      </c>
      <c r="F4" s="61">
        <v>0</v>
      </c>
    </row>
    <row r="5" spans="1:6" x14ac:dyDescent="0.3">
      <c r="A5">
        <v>4</v>
      </c>
      <c r="B5" s="61">
        <v>0</v>
      </c>
      <c r="C5" s="61">
        <v>0</v>
      </c>
      <c r="D5" s="61">
        <v>0</v>
      </c>
      <c r="E5" s="61">
        <v>0</v>
      </c>
      <c r="F5" s="61">
        <v>0</v>
      </c>
    </row>
    <row r="6" spans="1:6" x14ac:dyDescent="0.3">
      <c r="A6">
        <v>5</v>
      </c>
      <c r="B6" s="61">
        <v>0</v>
      </c>
      <c r="C6" s="61">
        <v>0</v>
      </c>
      <c r="D6" s="61">
        <v>0</v>
      </c>
      <c r="E6" s="61">
        <v>0</v>
      </c>
      <c r="F6" s="61">
        <v>0</v>
      </c>
    </row>
    <row r="7" spans="1:6" x14ac:dyDescent="0.3">
      <c r="A7">
        <v>6</v>
      </c>
      <c r="B7" s="61">
        <v>0</v>
      </c>
      <c r="C7" s="61">
        <v>0</v>
      </c>
      <c r="D7" s="61">
        <v>0</v>
      </c>
      <c r="E7" s="61">
        <v>0</v>
      </c>
      <c r="F7" s="61">
        <v>0</v>
      </c>
    </row>
    <row r="8" spans="1:6" x14ac:dyDescent="0.3">
      <c r="A8">
        <v>7</v>
      </c>
      <c r="B8" s="62">
        <v>0</v>
      </c>
      <c r="C8" s="62">
        <v>0</v>
      </c>
      <c r="D8" s="62">
        <v>0</v>
      </c>
      <c r="E8" s="62">
        <v>0</v>
      </c>
      <c r="F8" s="62">
        <v>0</v>
      </c>
    </row>
    <row r="9" spans="1:6" x14ac:dyDescent="0.3">
      <c r="A9">
        <v>8</v>
      </c>
      <c r="B9" s="62">
        <v>0</v>
      </c>
      <c r="C9" s="62">
        <v>0</v>
      </c>
      <c r="D9" s="62">
        <v>0</v>
      </c>
      <c r="E9" s="62">
        <v>0</v>
      </c>
      <c r="F9" s="62">
        <v>0</v>
      </c>
    </row>
    <row r="10" spans="1:6" x14ac:dyDescent="0.3">
      <c r="A10">
        <v>9</v>
      </c>
      <c r="B10" s="62">
        <v>0</v>
      </c>
      <c r="C10" s="62">
        <v>0</v>
      </c>
      <c r="D10" s="62">
        <v>0</v>
      </c>
      <c r="E10" s="62">
        <v>0</v>
      </c>
      <c r="F10" s="62">
        <v>0</v>
      </c>
    </row>
    <row r="11" spans="1:6" x14ac:dyDescent="0.3">
      <c r="A11">
        <v>10</v>
      </c>
      <c r="B11" s="62">
        <v>0</v>
      </c>
      <c r="C11" s="62">
        <v>0</v>
      </c>
      <c r="D11" s="62">
        <v>0</v>
      </c>
      <c r="E11" s="62">
        <v>0</v>
      </c>
      <c r="F11" s="62">
        <v>0</v>
      </c>
    </row>
    <row r="12" spans="1:6" x14ac:dyDescent="0.3">
      <c r="A12">
        <v>11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</row>
    <row r="13" spans="1:6" x14ac:dyDescent="0.3">
      <c r="A13">
        <v>12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</row>
    <row r="14" spans="1:6" x14ac:dyDescent="0.3">
      <c r="A14">
        <v>13</v>
      </c>
      <c r="B14" s="63">
        <v>0</v>
      </c>
      <c r="C14" s="63">
        <v>0</v>
      </c>
      <c r="D14" s="63">
        <v>0</v>
      </c>
      <c r="E14" s="63">
        <v>0</v>
      </c>
      <c r="F14" s="63">
        <v>0</v>
      </c>
    </row>
    <row r="15" spans="1:6" x14ac:dyDescent="0.3">
      <c r="A15">
        <v>14</v>
      </c>
      <c r="B15" s="63">
        <v>0</v>
      </c>
      <c r="C15" s="63">
        <v>0</v>
      </c>
      <c r="D15" s="63">
        <v>0</v>
      </c>
      <c r="E15" s="63">
        <v>0</v>
      </c>
      <c r="F15" s="63">
        <v>0</v>
      </c>
    </row>
    <row r="16" spans="1:6" x14ac:dyDescent="0.3">
      <c r="A16">
        <v>15</v>
      </c>
      <c r="B16" s="63">
        <v>0</v>
      </c>
      <c r="C16" s="63">
        <v>0</v>
      </c>
      <c r="D16" s="63">
        <v>0</v>
      </c>
      <c r="E16" s="63">
        <v>0</v>
      </c>
      <c r="F16" s="6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Props1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110</vt:i4>
      </vt:variant>
    </vt:vector>
  </HeadingPairs>
  <TitlesOfParts>
    <vt:vector size="110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jam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jg</vt:lpstr>
      <vt:lpstr>ms</vt:lpstr>
      <vt:lpstr>fr</vt:lpstr>
      <vt:lpstr>adc</vt:lpstr>
      <vt:lpstr>hc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2024-11-13T06:59:39Z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