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montevideo-my.sharepoint.com/personal/mzunino_correo_um_edu_uy/Documents/Documentos/MARCO/um/Nueva carpeta/quantum/TimetableScheduling/2025_1erSemestre/"/>
    </mc:Choice>
  </mc:AlternateContent>
  <xr:revisionPtr revIDLastSave="31695" documentId="13_ncr:1_{9B24B71E-FFD0-4440-8E71-4E6657E2ADB7}" xr6:coauthVersionLast="47" xr6:coauthVersionMax="47" xr10:uidLastSave="{88978343-6337-41B2-9363-AD841CB7C7F2}"/>
  <bookViews>
    <workbookView xWindow="-108" yWindow="-108" windowWidth="23256" windowHeight="12456" firstSheet="5" activeTab="6" xr2:uid="{00000000-000D-0000-FFFF-FFFF00000000}"/>
  </bookViews>
  <sheets>
    <sheet name="materias" sheetId="84" r:id="rId1"/>
    <sheet name="electivas" sheetId="347" state="hidden" r:id="rId2"/>
    <sheet name="profesores" sheetId="1" r:id="rId3"/>
    <sheet name="grupos" sheetId="119" r:id="rId4"/>
    <sheet name="turnos" sheetId="120" r:id="rId5"/>
    <sheet name="resultados" sheetId="229" r:id="rId6"/>
    <sheet name="salones" sheetId="230" r:id="rId7"/>
    <sheet name="borrador" sheetId="358" r:id="rId8"/>
    <sheet name="aca" sheetId="246" r:id="rId9"/>
    <sheet name="ad" sheetId="247" r:id="rId10"/>
    <sheet name="adr" sheetId="248" r:id="rId11"/>
    <sheet name="am" sheetId="249" r:id="rId12"/>
    <sheet name="ame" sheetId="250" r:id="rId13"/>
    <sheet name="an" sheetId="251" r:id="rId14"/>
    <sheet name="ap" sheetId="252" r:id="rId15"/>
    <sheet name="apa" sheetId="253" r:id="rId16"/>
    <sheet name="apr" sheetId="254" r:id="rId17"/>
    <sheet name="as" sheetId="255" r:id="rId18"/>
    <sheet name="cp" sheetId="257" r:id="rId19"/>
    <sheet name="cr" sheetId="258" r:id="rId20"/>
    <sheet name="db" sheetId="259" r:id="rId21"/>
    <sheet name="dc" sheetId="260" r:id="rId22"/>
    <sheet name="dd" sheetId="261" r:id="rId23"/>
    <sheet name="dj" sheetId="262" r:id="rId24"/>
    <sheet name="dl" sheetId="263" r:id="rId25"/>
    <sheet name="dm" sheetId="264" r:id="rId26"/>
    <sheet name="ds" sheetId="265" r:id="rId27"/>
    <sheet name="ep" sheetId="345" r:id="rId28"/>
    <sheet name="epe" sheetId="267" r:id="rId29"/>
    <sheet name="es" sheetId="268" r:id="rId30"/>
    <sheet name="fb" sheetId="269" r:id="rId31"/>
    <sheet name="gaa" sheetId="270" r:id="rId32"/>
    <sheet name="gb" sheetId="271" r:id="rId33"/>
    <sheet name="gba" sheetId="272" r:id="rId34"/>
    <sheet name="gc" sheetId="273" r:id="rId35"/>
    <sheet name="gd" sheetId="274" r:id="rId36"/>
    <sheet name="gdo" sheetId="275" r:id="rId37"/>
    <sheet name="gp" sheetId="276" r:id="rId38"/>
    <sheet name="gq" sheetId="277" r:id="rId39"/>
    <sheet name="gs" sheetId="330" r:id="rId40"/>
    <sheet name="guc" sheetId="278" r:id="rId41"/>
    <sheet name="hf" sheetId="279" r:id="rId42"/>
    <sheet name="hr" sheetId="280" r:id="rId43"/>
    <sheet name="jcc" sheetId="282" r:id="rId44"/>
    <sheet name="jd" sheetId="283" r:id="rId45"/>
    <sheet name="jds" sheetId="284" r:id="rId46"/>
    <sheet name="jf" sheetId="285" r:id="rId47"/>
    <sheet name="jj" sheetId="286" r:id="rId48"/>
    <sheet name="jk" sheetId="287" r:id="rId49"/>
    <sheet name="jl" sheetId="288" r:id="rId50"/>
    <sheet name="jm" sheetId="289" r:id="rId51"/>
    <sheet name="jmi" sheetId="290" r:id="rId52"/>
    <sheet name="jpa" sheetId="291" r:id="rId53"/>
    <sheet name="jpe" sheetId="292" r:id="rId54"/>
    <sheet name="jpf" sheetId="293" r:id="rId55"/>
    <sheet name="jpi" sheetId="294" r:id="rId56"/>
    <sheet name="kb" sheetId="295" r:id="rId57"/>
    <sheet name="lc" sheetId="296" r:id="rId58"/>
    <sheet name="lg" sheetId="298" r:id="rId59"/>
    <sheet name="mb" sheetId="299" r:id="rId60"/>
    <sheet name="mbo" sheetId="300" r:id="rId61"/>
    <sheet name="mc" sheetId="301" r:id="rId62"/>
    <sheet name="md" sheetId="302" r:id="rId63"/>
    <sheet name="mf" sheetId="333" r:id="rId64"/>
    <sheet name="mjc" sheetId="304" r:id="rId65"/>
    <sheet name="mp" sheetId="305" r:id="rId66"/>
    <sheet name="mpi" sheetId="306" r:id="rId67"/>
    <sheet name="mpr" sheetId="307" r:id="rId68"/>
    <sheet name="mr" sheetId="308" r:id="rId69"/>
    <sheet name="mre" sheetId="309" r:id="rId70"/>
    <sheet name="mz" sheetId="310" r:id="rId71"/>
    <sheet name="nd" sheetId="311" r:id="rId72"/>
    <sheet name="nn" sheetId="312" r:id="rId73"/>
    <sheet name="ns" sheetId="313" r:id="rId74"/>
    <sheet name="ok" sheetId="314" r:id="rId75"/>
    <sheet name="pn" sheetId="315" r:id="rId76"/>
    <sheet name="po" sheetId="316" r:id="rId77"/>
    <sheet name="ps" sheetId="317" r:id="rId78"/>
    <sheet name="pu" sheetId="318" r:id="rId79"/>
    <sheet name="rc" sheetId="319" r:id="rId80"/>
    <sheet name="rda" sheetId="320" r:id="rId81"/>
    <sheet name="rr" sheetId="321" r:id="rId82"/>
    <sheet name="rs" sheetId="322" r:id="rId83"/>
    <sheet name="sb" sheetId="323" r:id="rId84"/>
    <sheet name="sgp" sheetId="324" r:id="rId85"/>
    <sheet name="sp" sheetId="325" r:id="rId86"/>
    <sheet name="svi" sheetId="326" r:id="rId87"/>
    <sheet name="svv" sheetId="327" r:id="rId88"/>
    <sheet name="th" sheetId="328" r:id="rId89"/>
    <sheet name="vt" sheetId="329" r:id="rId90"/>
    <sheet name="icc1" sheetId="331" r:id="rId91"/>
    <sheet name="icc2" sheetId="332" r:id="rId92"/>
    <sheet name="icc3" sheetId="335" r:id="rId93"/>
    <sheet name="xm" sheetId="334" r:id="rId94"/>
    <sheet name="p1a" sheetId="336" r:id="rId95"/>
    <sheet name="p1b" sheetId="337" r:id="rId96"/>
    <sheet name="p1c" sheetId="355" r:id="rId97"/>
    <sheet name="jg" sheetId="338" r:id="rId98"/>
    <sheet name="ms" sheetId="339" r:id="rId99"/>
    <sheet name="fr" sheetId="340" r:id="rId100"/>
    <sheet name="adc" sheetId="341" r:id="rId101"/>
    <sheet name="mk" sheetId="343" r:id="rId102"/>
    <sheet name="ar" sheetId="344" r:id="rId103"/>
    <sheet name="df" sheetId="346" r:id="rId104"/>
    <sheet name="ht" sheetId="348" r:id="rId105"/>
    <sheet name="gg" sheetId="349" r:id="rId106"/>
    <sheet name="cm" sheetId="350" r:id="rId107"/>
    <sheet name="ma" sheetId="351" r:id="rId108"/>
    <sheet name="mg" sheetId="352" r:id="rId109"/>
    <sheet name="anp" sheetId="353" r:id="rId110"/>
    <sheet name="er" sheetId="354" r:id="rId111"/>
    <sheet name="pp" sheetId="356" r:id="rId112"/>
    <sheet name="gca" sheetId="357" r:id="rId113"/>
  </sheets>
  <definedNames>
    <definedName name="_xleta.HOUR" hidden="1" xlm="1">#NAME?</definedName>
    <definedName name="_xlnm.Print_Area" localSheetId="7">borrador!#REF!</definedName>
    <definedName name="_xlnm.Print_Area" localSheetId="2">profesores!#REF!</definedName>
    <definedName name="_xlnm.Print_Area" localSheetId="5">resultados!#REF!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7" i="1" l="1"/>
  <c r="R47" i="1"/>
  <c r="P48" i="1"/>
  <c r="R48" i="1"/>
  <c r="P49" i="1"/>
  <c r="R49" i="1"/>
  <c r="P50" i="1"/>
  <c r="R50" i="1"/>
  <c r="P51" i="1"/>
  <c r="R51" i="1"/>
  <c r="P52" i="1"/>
  <c r="R52" i="1"/>
  <c r="A3" i="230" a="1"/>
  <c r="A3" i="230" s="1"/>
  <c r="V5" i="84"/>
  <c r="V6" i="84"/>
  <c r="V7" i="84"/>
  <c r="V8" i="84"/>
  <c r="V4" i="84"/>
  <c r="P104" i="1"/>
  <c r="R104" i="1"/>
  <c r="P86" i="1"/>
  <c r="R86" i="1"/>
  <c r="P92" i="1"/>
  <c r="R92" i="1"/>
  <c r="G1" i="347" a="1"/>
  <c r="G1" i="347" s="1"/>
  <c r="P102" i="1"/>
  <c r="R102" i="1"/>
  <c r="P103" i="1"/>
  <c r="R103" i="1"/>
  <c r="V21" i="84"/>
  <c r="P101" i="1" l="1"/>
  <c r="R101" i="1"/>
  <c r="P100" i="1"/>
  <c r="R100" i="1"/>
  <c r="P98" i="1"/>
  <c r="R98" i="1"/>
  <c r="P99" i="1"/>
  <c r="R99" i="1"/>
  <c r="P97" i="1"/>
  <c r="R97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7" i="1"/>
  <c r="P88" i="1"/>
  <c r="P89" i="1"/>
  <c r="P90" i="1"/>
  <c r="P91" i="1"/>
  <c r="P93" i="1"/>
  <c r="P94" i="1"/>
  <c r="P95" i="1"/>
  <c r="P96" i="1"/>
  <c r="P105" i="1"/>
  <c r="P2" i="1"/>
  <c r="Z5" i="84"/>
  <c r="Z6" i="84"/>
  <c r="Z7" i="84"/>
  <c r="Z8" i="84"/>
  <c r="Z9" i="84"/>
  <c r="Z10" i="84"/>
  <c r="Z4" i="84"/>
  <c r="AC98" i="84"/>
  <c r="AC109" i="84"/>
  <c r="R105" i="1"/>
  <c r="R96" i="1"/>
  <c r="R95" i="1"/>
  <c r="R89" i="1"/>
  <c r="R90" i="1"/>
  <c r="R91" i="1"/>
  <c r="R93" i="1"/>
  <c r="R94" i="1"/>
  <c r="R88" i="1"/>
  <c r="P108" i="1" l="1"/>
  <c r="Z12" i="84" a="1"/>
  <c r="Z12" i="84" s="1"/>
  <c r="V10" i="84" a="1"/>
  <c r="V10" i="84" s="1"/>
  <c r="P109" i="1"/>
  <c r="R82" i="1"/>
  <c r="R83" i="1"/>
  <c r="R84" i="1"/>
  <c r="R85" i="1"/>
  <c r="R87" i="1"/>
  <c r="R81" i="1"/>
  <c r="R79" i="1"/>
  <c r="R80" i="1"/>
  <c r="R74" i="1" l="1"/>
  <c r="R75" i="1"/>
  <c r="R76" i="1"/>
  <c r="R77" i="1"/>
  <c r="R78" i="1"/>
  <c r="R73" i="1"/>
  <c r="R69" i="1"/>
  <c r="R70" i="1"/>
  <c r="R71" i="1"/>
  <c r="R72" i="1"/>
  <c r="U32" i="84"/>
  <c r="Y85" i="84"/>
  <c r="U85" i="84"/>
  <c r="Y71" i="84"/>
  <c r="U71" i="84"/>
  <c r="R64" i="1"/>
  <c r="R65" i="1"/>
  <c r="R66" i="1"/>
  <c r="R67" i="1"/>
  <c r="R68" i="1"/>
  <c r="R63" i="1"/>
  <c r="R62" i="1"/>
  <c r="R59" i="1"/>
  <c r="R60" i="1"/>
  <c r="R61" i="1"/>
  <c r="A25" i="119"/>
  <c r="R57" i="1"/>
  <c r="R58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53" i="1"/>
  <c r="R54" i="1"/>
  <c r="R55" i="1"/>
  <c r="R56" i="1"/>
  <c r="C3" i="120"/>
  <c r="C4" i="120"/>
  <c r="C5" i="120"/>
  <c r="C6" i="120"/>
  <c r="C7" i="120"/>
  <c r="C8" i="120"/>
  <c r="C9" i="120"/>
  <c r="C10" i="120"/>
  <c r="C11" i="120"/>
  <c r="C12" i="120"/>
  <c r="C13" i="120"/>
  <c r="C14" i="120"/>
  <c r="C15" i="120"/>
  <c r="C16" i="120"/>
  <c r="C2" i="120"/>
  <c r="A8" i="119"/>
  <c r="A7" i="119"/>
  <c r="A26" i="119"/>
  <c r="A14" i="119"/>
  <c r="A15" i="119"/>
  <c r="A16" i="119"/>
  <c r="A17" i="119"/>
  <c r="A18" i="119"/>
  <c r="A19" i="119"/>
  <c r="A20" i="119"/>
  <c r="A21" i="119"/>
  <c r="A22" i="119"/>
  <c r="A23" i="119"/>
  <c r="A24" i="119"/>
  <c r="A27" i="119"/>
  <c r="A28" i="119"/>
  <c r="A29" i="119"/>
  <c r="A30" i="119"/>
  <c r="A6" i="119"/>
  <c r="A9" i="119"/>
  <c r="A2" i="119"/>
  <c r="A3" i="119"/>
  <c r="A4" i="119"/>
  <c r="A5" i="119"/>
  <c r="A10" i="119"/>
  <c r="A11" i="119"/>
  <c r="A12" i="119"/>
  <c r="A13" i="119"/>
  <c r="P115" i="1" l="1"/>
  <c r="P113" i="1"/>
  <c r="P112" i="1"/>
  <c r="P111" i="1"/>
  <c r="P110" i="1"/>
  <c r="P114" i="1"/>
  <c r="P116" i="1" l="1" a="1"/>
  <c r="P11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tc={4B61C5F6-EDAC-4526-92C9-219FB8C0EC39}</author>
    <author>tc={593D5C6E-D2C6-4948-A243-89725A7C0F64}</author>
    <author>tc={4C163CC1-E3EC-482F-B92B-53B8FA7D17E9}</author>
    <author>tc={9C8A45CC-305C-4B73-ADD0-1D5F4446221C}</author>
    <author>tc={B0F64D09-F8B5-43AB-B2BE-149D3AD62FD0}</author>
  </authors>
  <commentList>
    <comment ref="C140" authorId="0" shapeId="0" xr:uid="{4B61C5F6-EDAC-4526-92C9-219FB8C0EC3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</t>
      </text>
    </comment>
    <comment ref="C141" authorId="1" shapeId="0" xr:uid="{593D5C6E-D2C6-4948-A243-89725A7C0F6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</t>
      </text>
    </comment>
    <comment ref="H143" authorId="2" shapeId="0" xr:uid="{4C163CC1-E3EC-482F-B92B-53B8FA7D17E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Disponibilidad exacta (3h lunes)</t>
      </text>
    </comment>
    <comment ref="C148" authorId="3" shapeId="0" xr:uid="{9C8A45CC-305C-4B73-ADD0-1D5F4446221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disponibilidad, horas muy ajustadas</t>
      </text>
    </comment>
    <comment ref="C156" authorId="4" shapeId="0" xr:uid="{B0F64D09-F8B5-43AB-B2BE-149D3AD62FD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Disponibilidad limitada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<sst xmlns="http://schemas.openxmlformats.org/spreadsheetml/2006/main" count="29465" uniqueCount="1016">
  <si>
    <t>Materia</t>
  </si>
  <si>
    <t>Carga Horaria</t>
  </si>
  <si>
    <t>Días por semana</t>
  </si>
  <si>
    <t>Teo/Prac</t>
  </si>
  <si>
    <t>Electiva</t>
  </si>
  <si>
    <t>Cantidad profesores</t>
  </si>
  <si>
    <t>Profesor 1</t>
  </si>
  <si>
    <t>Profesor 2</t>
  </si>
  <si>
    <t>Profesor 3</t>
  </si>
  <si>
    <t>Profesor 4</t>
  </si>
  <si>
    <t>Grupo 1</t>
  </si>
  <si>
    <t>Grupo 2</t>
  </si>
  <si>
    <t>Grupo 3</t>
  </si>
  <si>
    <t>Grupo 4</t>
  </si>
  <si>
    <t>Grupo 5</t>
  </si>
  <si>
    <t>Observaciones</t>
  </si>
  <si>
    <t>MAT1</t>
  </si>
  <si>
    <t>ds</t>
  </si>
  <si>
    <t>1LIC</t>
  </si>
  <si>
    <t>IAL</t>
  </si>
  <si>
    <t>teo</t>
  </si>
  <si>
    <t>cp</t>
  </si>
  <si>
    <t>cantidad de profesores</t>
  </si>
  <si>
    <t>carga horaria</t>
  </si>
  <si>
    <t>LUN</t>
  </si>
  <si>
    <t>MAR</t>
  </si>
  <si>
    <t>MIE</t>
  </si>
  <si>
    <t>JUE</t>
  </si>
  <si>
    <t>VIE</t>
  </si>
  <si>
    <t>IALp</t>
  </si>
  <si>
    <t>prac</t>
  </si>
  <si>
    <t>lc</t>
  </si>
  <si>
    <t>AD</t>
  </si>
  <si>
    <t>TEO/SD</t>
  </si>
  <si>
    <t>TEO</t>
  </si>
  <si>
    <t>AD/SD</t>
  </si>
  <si>
    <t>ADA</t>
  </si>
  <si>
    <t>SD</t>
  </si>
  <si>
    <t>ISW2</t>
  </si>
  <si>
    <t>PComp</t>
  </si>
  <si>
    <t>pn</t>
  </si>
  <si>
    <t>ILic</t>
  </si>
  <si>
    <t>pu</t>
  </si>
  <si>
    <t>IMD</t>
  </si>
  <si>
    <t>2LIC</t>
  </si>
  <si>
    <t>UIUX</t>
  </si>
  <si>
    <t>RD1</t>
  </si>
  <si>
    <t>guc</t>
  </si>
  <si>
    <t>mjc</t>
  </si>
  <si>
    <t>sb</t>
  </si>
  <si>
    <t>Prog2</t>
  </si>
  <si>
    <t>nn</t>
  </si>
  <si>
    <t>DBD1</t>
  </si>
  <si>
    <t>dl</t>
  </si>
  <si>
    <t>HC</t>
  </si>
  <si>
    <t>icc2</t>
  </si>
  <si>
    <t>jpe</t>
  </si>
  <si>
    <t>3LIC</t>
  </si>
  <si>
    <t>ISW2/ADA</t>
  </si>
  <si>
    <t>Teo</t>
  </si>
  <si>
    <t>xm</t>
  </si>
  <si>
    <t>permitir dias consecutivos</t>
  </si>
  <si>
    <t>IngSW2</t>
  </si>
  <si>
    <t>apa</t>
  </si>
  <si>
    <t>2+2</t>
  </si>
  <si>
    <t>dc</t>
  </si>
  <si>
    <t>no dias consecutivos SD</t>
  </si>
  <si>
    <t>jg</t>
  </si>
  <si>
    <t>jcc</t>
  </si>
  <si>
    <t>no dias consecutivos ADA</t>
  </si>
  <si>
    <t>3+2</t>
  </si>
  <si>
    <t>mbo</t>
  </si>
  <si>
    <t>InfrInf</t>
  </si>
  <si>
    <t>adr</t>
  </si>
  <si>
    <t>4LIC</t>
  </si>
  <si>
    <t>ArqAp</t>
  </si>
  <si>
    <t>2x3 + 8x2</t>
  </si>
  <si>
    <t>CreInv</t>
  </si>
  <si>
    <t>svi</t>
  </si>
  <si>
    <t>EG</t>
  </si>
  <si>
    <t>icc1</t>
  </si>
  <si>
    <t>AM1</t>
  </si>
  <si>
    <t>gc</t>
  </si>
  <si>
    <t>lg</t>
  </si>
  <si>
    <t>am</t>
  </si>
  <si>
    <t>jd</t>
  </si>
  <si>
    <t>11</t>
  </si>
  <si>
    <t>12</t>
  </si>
  <si>
    <t>13</t>
  </si>
  <si>
    <t>AM1p</t>
  </si>
  <si>
    <t>14</t>
  </si>
  <si>
    <t>AL</t>
  </si>
  <si>
    <t>ps</t>
  </si>
  <si>
    <t>ALp</t>
  </si>
  <si>
    <t>Prog1</t>
  </si>
  <si>
    <t>T_ing</t>
  </si>
  <si>
    <t>mp</t>
  </si>
  <si>
    <t>svv</t>
  </si>
  <si>
    <t>ap</t>
  </si>
  <si>
    <t>jf</t>
  </si>
  <si>
    <t>vt</t>
  </si>
  <si>
    <t>p1a</t>
  </si>
  <si>
    <t>p1b</t>
  </si>
  <si>
    <t>p1c</t>
  </si>
  <si>
    <t>TIngA</t>
  </si>
  <si>
    <t>as</t>
  </si>
  <si>
    <t>TIngB</t>
  </si>
  <si>
    <t>ad</t>
  </si>
  <si>
    <t>AM2</t>
  </si>
  <si>
    <t>1REC1</t>
  </si>
  <si>
    <t>1REC2</t>
  </si>
  <si>
    <t>AM2p</t>
  </si>
  <si>
    <t>ALN</t>
  </si>
  <si>
    <t>ALNp</t>
  </si>
  <si>
    <t>jk</t>
  </si>
  <si>
    <t>Fisica</t>
  </si>
  <si>
    <t>3x3 + 5x2</t>
  </si>
  <si>
    <t>jpf</t>
  </si>
  <si>
    <t>AM3</t>
  </si>
  <si>
    <t>2CIV</t>
  </si>
  <si>
    <t>2TEL</t>
  </si>
  <si>
    <t>2IND</t>
  </si>
  <si>
    <t>AM3p</t>
  </si>
  <si>
    <t>mz</t>
  </si>
  <si>
    <t>2INF</t>
  </si>
  <si>
    <t>3x6 + 2x6</t>
  </si>
  <si>
    <t>Eco</t>
  </si>
  <si>
    <t>TermoD</t>
  </si>
  <si>
    <t>gb</t>
  </si>
  <si>
    <t>MD</t>
  </si>
  <si>
    <t>Mec1</t>
  </si>
  <si>
    <t>MDp</t>
  </si>
  <si>
    <t>CadBim</t>
  </si>
  <si>
    <t>db</t>
  </si>
  <si>
    <t>Log</t>
  </si>
  <si>
    <t>Sdig</t>
  </si>
  <si>
    <t>3+3</t>
  </si>
  <si>
    <t>DBD2</t>
  </si>
  <si>
    <t>PdO</t>
  </si>
  <si>
    <t>es</t>
  </si>
  <si>
    <t>hf</t>
  </si>
  <si>
    <t>SDIG</t>
  </si>
  <si>
    <t>ECO</t>
  </si>
  <si>
    <t>2INF2</t>
  </si>
  <si>
    <t>PROG2</t>
  </si>
  <si>
    <t>AM3P</t>
  </si>
  <si>
    <t>2INF1</t>
  </si>
  <si>
    <t>IntInd</t>
  </si>
  <si>
    <t>rc</t>
  </si>
  <si>
    <t>po</t>
  </si>
  <si>
    <t>SDig</t>
  </si>
  <si>
    <t>ame</t>
  </si>
  <si>
    <t>coincidir SDig</t>
  </si>
  <si>
    <t>sgp</t>
  </si>
  <si>
    <t>gaa</t>
  </si>
  <si>
    <t>aca</t>
  </si>
  <si>
    <t>IO</t>
  </si>
  <si>
    <t>cr</t>
  </si>
  <si>
    <t>dj</t>
  </si>
  <si>
    <t>3CIV</t>
  </si>
  <si>
    <t>3IND</t>
  </si>
  <si>
    <t>3TEL</t>
  </si>
  <si>
    <t>3INF2</t>
  </si>
  <si>
    <t>3INF1</t>
  </si>
  <si>
    <t>IdM</t>
  </si>
  <si>
    <t>gd</t>
  </si>
  <si>
    <t>RM2</t>
  </si>
  <si>
    <t>ar</t>
  </si>
  <si>
    <t>2+1</t>
  </si>
  <si>
    <t>RM2p</t>
  </si>
  <si>
    <t>Hid</t>
  </si>
  <si>
    <t>mpi</t>
  </si>
  <si>
    <t>sp</t>
  </si>
  <si>
    <t>PdO2</t>
  </si>
  <si>
    <t>epe</t>
  </si>
  <si>
    <t>nd</t>
  </si>
  <si>
    <t>6 + 2x3 + 7x2 + 1</t>
  </si>
  <si>
    <t>EM</t>
  </si>
  <si>
    <t>ITerm</t>
  </si>
  <si>
    <t>ETec</t>
  </si>
  <si>
    <t>mr</t>
  </si>
  <si>
    <t>mf</t>
  </si>
  <si>
    <t>arqap</t>
  </si>
  <si>
    <t>SO</t>
  </si>
  <si>
    <t>gq</t>
  </si>
  <si>
    <t>hr</t>
  </si>
  <si>
    <t>jj</t>
  </si>
  <si>
    <t>4x3 + 7x2 + 1</t>
  </si>
  <si>
    <t>IngSW1</t>
  </si>
  <si>
    <t>jds</t>
  </si>
  <si>
    <t>gba</t>
  </si>
  <si>
    <t>RD2</t>
  </si>
  <si>
    <t>icc3</t>
  </si>
  <si>
    <t>4CIV</t>
  </si>
  <si>
    <t>4IND</t>
  </si>
  <si>
    <t>4INF1</t>
  </si>
  <si>
    <t>4INF2</t>
  </si>
  <si>
    <t>4TEL</t>
  </si>
  <si>
    <t>EA/Minv</t>
  </si>
  <si>
    <t>MecS2</t>
  </si>
  <si>
    <t>jpa</t>
  </si>
  <si>
    <t>maqt</t>
  </si>
  <si>
    <t>MecS2p</t>
  </si>
  <si>
    <t>mpr</t>
  </si>
  <si>
    <t>horario excepcional, fijar a ultima</t>
  </si>
  <si>
    <t>instel</t>
  </si>
  <si>
    <t>EA</t>
  </si>
  <si>
    <t>er</t>
  </si>
  <si>
    <t>coincidir con MetInv y para profesor</t>
  </si>
  <si>
    <t>proyint</t>
  </si>
  <si>
    <t>MInv</t>
  </si>
  <si>
    <t>rs</t>
  </si>
  <si>
    <t>coincidir con EstAp y para profesor</t>
  </si>
  <si>
    <t>SyMH</t>
  </si>
  <si>
    <t>jm</t>
  </si>
  <si>
    <t>mk</t>
  </si>
  <si>
    <t>dias no consecutivos SyMH</t>
  </si>
  <si>
    <t>MaqT</t>
  </si>
  <si>
    <t>mb</t>
  </si>
  <si>
    <t>TecFP</t>
  </si>
  <si>
    <t>X</t>
  </si>
  <si>
    <t>fb</t>
  </si>
  <si>
    <t>coincidir con electiva para 5IND</t>
  </si>
  <si>
    <t>InstEl</t>
  </si>
  <si>
    <t>rr</t>
  </si>
  <si>
    <t>apr</t>
  </si>
  <si>
    <t>ProyInt</t>
  </si>
  <si>
    <t>dm</t>
  </si>
  <si>
    <t>SegInf</t>
  </si>
  <si>
    <t>gdo</t>
  </si>
  <si>
    <t>cm</t>
  </si>
  <si>
    <t>GAD</t>
  </si>
  <si>
    <t>TestQA</t>
  </si>
  <si>
    <t>jl</t>
  </si>
  <si>
    <t>electiva para 5INF/5TEL</t>
  </si>
  <si>
    <t>TIC2</t>
  </si>
  <si>
    <t>dd</t>
  </si>
  <si>
    <t>ns</t>
  </si>
  <si>
    <t>coincidir grupos de TIC2 y para profesores</t>
  </si>
  <si>
    <t>ModS</t>
  </si>
  <si>
    <t>th</t>
  </si>
  <si>
    <t>IA</t>
  </si>
  <si>
    <t>IngTran</t>
  </si>
  <si>
    <t>an</t>
  </si>
  <si>
    <t>5CIV</t>
  </si>
  <si>
    <t>no es posible evitar dias consecutivos</t>
  </si>
  <si>
    <t>IngSan2</t>
  </si>
  <si>
    <t>gca</t>
  </si>
  <si>
    <t>PInv</t>
  </si>
  <si>
    <t>mre</t>
  </si>
  <si>
    <t>md</t>
  </si>
  <si>
    <t>5IND</t>
  </si>
  <si>
    <t>5TEL</t>
  </si>
  <si>
    <t>5INF</t>
  </si>
  <si>
    <t>EstMM</t>
  </si>
  <si>
    <t>gp</t>
  </si>
  <si>
    <t>ACInd</t>
  </si>
  <si>
    <t>jmi</t>
  </si>
  <si>
    <t>Maq3</t>
  </si>
  <si>
    <t>mc</t>
  </si>
  <si>
    <t>ht</t>
  </si>
  <si>
    <t>DEMaq</t>
  </si>
  <si>
    <t>ok</t>
  </si>
  <si>
    <t>SdT</t>
  </si>
  <si>
    <t>jpi</t>
  </si>
  <si>
    <t>TIC6</t>
  </si>
  <si>
    <t>QC</t>
  </si>
  <si>
    <t>BPMN</t>
  </si>
  <si>
    <t>DBD3</t>
  </si>
  <si>
    <t>MdProc</t>
  </si>
  <si>
    <t>GAmb</t>
  </si>
  <si>
    <t>ms</t>
  </si>
  <si>
    <t>Horm2</t>
  </si>
  <si>
    <t>ep</t>
  </si>
  <si>
    <t>DPav</t>
  </si>
  <si>
    <t>df</t>
  </si>
  <si>
    <t>Puentes</t>
  </si>
  <si>
    <t>DIPyU</t>
  </si>
  <si>
    <t>MotCI</t>
  </si>
  <si>
    <t>adc</t>
  </si>
  <si>
    <t>DisEst</t>
  </si>
  <si>
    <t>AgroN</t>
  </si>
  <si>
    <t>fr</t>
  </si>
  <si>
    <t>coincidir con 4IND</t>
  </si>
  <si>
    <t>ApMov</t>
  </si>
  <si>
    <t>gg</t>
  </si>
  <si>
    <t>RPA</t>
  </si>
  <si>
    <t>ma</t>
  </si>
  <si>
    <t>dias no consecutivos RPA</t>
  </si>
  <si>
    <t>mg</t>
  </si>
  <si>
    <t>GSInf</t>
  </si>
  <si>
    <t>anp</t>
  </si>
  <si>
    <t>EthHck</t>
  </si>
  <si>
    <t>StUp1</t>
  </si>
  <si>
    <t>pp</t>
  </si>
  <si>
    <t>coincidir con obligatoria para 3LIC, horario excepcional a ultima</t>
  </si>
  <si>
    <t>X = PERMITIR SUPERPOSICION A PROPÓSITO</t>
  </si>
  <si>
    <t>(no es necesario para pares de materias que no comparten grupos)</t>
  </si>
  <si>
    <t>Nombre</t>
  </si>
  <si>
    <t>Profesor</t>
  </si>
  <si>
    <t>Min/Max dias</t>
  </si>
  <si>
    <t>Materia 1</t>
  </si>
  <si>
    <t>Grupos materia 1</t>
  </si>
  <si>
    <t>Materia 2</t>
  </si>
  <si>
    <t>Grupos materia 2</t>
  </si>
  <si>
    <t>Materia 3</t>
  </si>
  <si>
    <t>Grupos materia 3</t>
  </si>
  <si>
    <t>Materia 4</t>
  </si>
  <si>
    <t>Grupos materia 4</t>
  </si>
  <si>
    <t>Observacion 1</t>
  </si>
  <si>
    <t>Observacion 2</t>
  </si>
  <si>
    <t>Andrés Cardozo</t>
  </si>
  <si>
    <t>Andrea Durlacher</t>
  </si>
  <si>
    <t>Adrián Carballo</t>
  </si>
  <si>
    <t>Alejandro Draper</t>
  </si>
  <si>
    <t>lun</t>
  </si>
  <si>
    <t>mar</t>
  </si>
  <si>
    <t>mie</t>
  </si>
  <si>
    <t>jue</t>
  </si>
  <si>
    <t>vie</t>
  </si>
  <si>
    <t>Andrea Mesa</t>
  </si>
  <si>
    <t>evitar puentes</t>
  </si>
  <si>
    <t>---</t>
  </si>
  <si>
    <t>Andrés Merello</t>
  </si>
  <si>
    <t>Andrés Nieto</t>
  </si>
  <si>
    <t>Andrea Parada</t>
  </si>
  <si>
    <t>10:40-11:30</t>
  </si>
  <si>
    <t>Alfredo Piria</t>
  </si>
  <si>
    <t>11:40-12:30</t>
  </si>
  <si>
    <t>Arianne Palau</t>
  </si>
  <si>
    <t>Adhemar Prieto</t>
  </si>
  <si>
    <t>Adrián Russi</t>
  </si>
  <si>
    <t>no coincidir mañana-tarde</t>
  </si>
  <si>
    <t>Arq Aplic</t>
  </si>
  <si>
    <t>Gabriel Coates</t>
  </si>
  <si>
    <t>Adrián Santilli</t>
  </si>
  <si>
    <t>Cristina Mayr</t>
  </si>
  <si>
    <t>Carlos Presa</t>
  </si>
  <si>
    <t>Claudio Ruibal</t>
  </si>
  <si>
    <t>Daniel Belandria</t>
  </si>
  <si>
    <t>Daniel Canoniero</t>
  </si>
  <si>
    <t>Diego Durán</t>
  </si>
  <si>
    <t>David Fontáns</t>
  </si>
  <si>
    <t>Daniel Jurburg</t>
  </si>
  <si>
    <t>coincidir mañana-tarde</t>
  </si>
  <si>
    <t>Diego López</t>
  </si>
  <si>
    <t>Diego Moratorio</t>
  </si>
  <si>
    <t>Debora Stalker</t>
  </si>
  <si>
    <t>Eduardo Pedoja</t>
  </si>
  <si>
    <t>Eduardo Peñalva</t>
  </si>
  <si>
    <t>12:30-13:20</t>
  </si>
  <si>
    <t>Eugenia Riaño</t>
  </si>
  <si>
    <t>Elio Santilli</t>
  </si>
  <si>
    <t>Fabrizzio Bagnasco</t>
  </si>
  <si>
    <t>Fernando Requena</t>
  </si>
  <si>
    <t>Germán Abu Arab</t>
  </si>
  <si>
    <t>Gerardo Beltrame</t>
  </si>
  <si>
    <t>alternar dias</t>
  </si>
  <si>
    <t>Gonzalo Balatti</t>
  </si>
  <si>
    <t>Gonzalo Caprario</t>
  </si>
  <si>
    <t>Gustavo Domínguez</t>
  </si>
  <si>
    <t>Guillermo Dornelles</t>
  </si>
  <si>
    <t>Gustavo Gretter</t>
  </si>
  <si>
    <t>Gastón Puga</t>
  </si>
  <si>
    <t>Gerardo Quincke</t>
  </si>
  <si>
    <t>Gustavo Compagnone</t>
  </si>
  <si>
    <t>Evitar puentes?</t>
  </si>
  <si>
    <t>Héber Francia</t>
  </si>
  <si>
    <t>max 4 dias</t>
  </si>
  <si>
    <t>Solicito que el grupo más grande no coincida en los dias con otro grupo. Cuando correspondan dos grupos seguidos uno de ellos termina 12 y 30</t>
  </si>
  <si>
    <t>Hernán Rohner</t>
  </si>
  <si>
    <t>lunes xor viernes</t>
  </si>
  <si>
    <t>Héctor Tosar</t>
  </si>
  <si>
    <t>ICC 1</t>
  </si>
  <si>
    <t>ICC 2</t>
  </si>
  <si>
    <t>ICC 3</t>
  </si>
  <si>
    <t>solo miercoles 12-17</t>
  </si>
  <si>
    <t>Juan Cruz Carrau</t>
  </si>
  <si>
    <t>José Díaz</t>
  </si>
  <si>
    <t>Joaquín da Silva</t>
  </si>
  <si>
    <t>Jazmín Finot</t>
  </si>
  <si>
    <t>Josefina Gallinal</t>
  </si>
  <si>
    <t>José Joskowicz</t>
  </si>
  <si>
    <t>Juan Kalemkerian</t>
  </si>
  <si>
    <t>maximo 3 dias</t>
  </si>
  <si>
    <t>solo 1 dia despues de 17hs</t>
  </si>
  <si>
    <t>Javier López</t>
  </si>
  <si>
    <t>todo el mismo dia</t>
  </si>
  <si>
    <t>Julio Molinolo</t>
  </si>
  <si>
    <t>Juan Míguez</t>
  </si>
  <si>
    <t>Julio Patrone</t>
  </si>
  <si>
    <t>Juan Pellegrini</t>
  </si>
  <si>
    <t>Juan Pablo Fossati</t>
  </si>
  <si>
    <t>Juan Piaggio</t>
  </si>
  <si>
    <t>Lara Cuadrado</t>
  </si>
  <si>
    <t>Laura Gatti</t>
  </si>
  <si>
    <t>Marcelo Abreu</t>
  </si>
  <si>
    <t>Marcelo Berglavaz</t>
  </si>
  <si>
    <t>Mateo Borrazás</t>
  </si>
  <si>
    <t>Miguel Causa</t>
  </si>
  <si>
    <t>Michelle Dovat</t>
  </si>
  <si>
    <t>Marcelo Fontan</t>
  </si>
  <si>
    <t>Martha Giménez</t>
  </si>
  <si>
    <t>María Jesús Cresci</t>
  </si>
  <si>
    <t>Martín Kasek</t>
  </si>
  <si>
    <t>Mariana Pereira</t>
  </si>
  <si>
    <t>evitar 2 materias seguidas</t>
  </si>
  <si>
    <t>Marcelo Pittamiglio</t>
  </si>
  <si>
    <t>Mateo Prefumo</t>
  </si>
  <si>
    <t>Mauricio Riera</t>
  </si>
  <si>
    <t>Marcos Rey</t>
  </si>
  <si>
    <t>Milenka Sojachenksi</t>
  </si>
  <si>
    <t>Marco Zunino</t>
  </si>
  <si>
    <t>Nelson Demarco</t>
  </si>
  <si>
    <t>Nicolás Navarro</t>
  </si>
  <si>
    <t>Nicolás Sosa</t>
  </si>
  <si>
    <t>Oliver Kraus</t>
  </si>
  <si>
    <t>Prog1 A</t>
  </si>
  <si>
    <t>Prog1 B</t>
  </si>
  <si>
    <t>Prog1 C</t>
  </si>
  <si>
    <t>Pablo Navas</t>
  </si>
  <si>
    <t>Pablo Ortiz</t>
  </si>
  <si>
    <t>Pablo Pereira</t>
  </si>
  <si>
    <t>Pedro Sakorko</t>
  </si>
  <si>
    <t>Pablo Urquizó</t>
  </si>
  <si>
    <t>Ricardo Cosentino</t>
  </si>
  <si>
    <t>Rubens Ramponi</t>
  </si>
  <si>
    <t>Rafael Sotelo</t>
  </si>
  <si>
    <t>Santiago Blanco</t>
  </si>
  <si>
    <t>Sebastián García Parra</t>
  </si>
  <si>
    <t>Santiago Pereira</t>
  </si>
  <si>
    <t>Sofía Vila</t>
  </si>
  <si>
    <t>Sara Vilar del Valle</t>
  </si>
  <si>
    <t>max dias (3 ideal)</t>
  </si>
  <si>
    <t>Thomas Hobbins</t>
  </si>
  <si>
    <t>Victoria Tejera</t>
  </si>
  <si>
    <t>Xavier Masdeu</t>
  </si>
  <si>
    <t>cantidad de cursos</t>
  </si>
  <si>
    <t>Guillermo Stock</t>
  </si>
  <si>
    <t>Grupo</t>
  </si>
  <si>
    <t>Año</t>
  </si>
  <si>
    <t>Carrera</t>
  </si>
  <si>
    <t>Recurse</t>
  </si>
  <si>
    <t>Particion</t>
  </si>
  <si>
    <t>Auxiliar</t>
  </si>
  <si>
    <t>Turno</t>
  </si>
  <si>
    <t>Alumnos</t>
  </si>
  <si>
    <t>m</t>
  </si>
  <si>
    <t>t1</t>
  </si>
  <si>
    <t>LIC</t>
  </si>
  <si>
    <t>t3</t>
  </si>
  <si>
    <t>REC</t>
  </si>
  <si>
    <t>CIV</t>
  </si>
  <si>
    <t>IND</t>
  </si>
  <si>
    <t>INF</t>
  </si>
  <si>
    <t>+DAT</t>
  </si>
  <si>
    <t>TEL</t>
  </si>
  <si>
    <t>t2</t>
  </si>
  <si>
    <t>#</t>
  </si>
  <si>
    <t>Inicio</t>
  </si>
  <si>
    <t>Fin</t>
  </si>
  <si>
    <t>Turno 1</t>
  </si>
  <si>
    <t>Turno 2</t>
  </si>
  <si>
    <t>Turno 3</t>
  </si>
  <si>
    <t>Turno 4</t>
  </si>
  <si>
    <t>08:00 - 08:50</t>
  </si>
  <si>
    <t>08:50 - 09:40</t>
  </si>
  <si>
    <t>09:50 - 10:40</t>
  </si>
  <si>
    <t>10:40 - 11:30</t>
  </si>
  <si>
    <t>11:40 - 12:30</t>
  </si>
  <si>
    <t>12:30 - 13:20</t>
  </si>
  <si>
    <t>13:20 - 14:10</t>
  </si>
  <si>
    <t>13:10 - 14:00</t>
  </si>
  <si>
    <t>14:10 - 15:00</t>
  </si>
  <si>
    <t>14:00 - 14:50</t>
  </si>
  <si>
    <t>15:10 - 16:00</t>
  </si>
  <si>
    <t>14:50 - 15:40</t>
  </si>
  <si>
    <t>16:10 - 17:00</t>
  </si>
  <si>
    <t>15:50 - 16:40</t>
  </si>
  <si>
    <t>17:00 - 17:50</t>
  </si>
  <si>
    <t>16:40 - 17:30</t>
  </si>
  <si>
    <t>18:00 - 18:50</t>
  </si>
  <si>
    <t>17:40 - 18:30</t>
  </si>
  <si>
    <t>18:50 - 19:40</t>
  </si>
  <si>
    <t>18:40 - 19:30</t>
  </si>
  <si>
    <t>19:50 - 20:40</t>
  </si>
  <si>
    <t>20:40 - 21:30</t>
  </si>
  <si>
    <t>21:40 - 22:30</t>
  </si>
  <si>
    <t>1ro, 2do, 3ro</t>
  </si>
  <si>
    <t>tall, rec, g4</t>
  </si>
  <si>
    <t>4to, 5to</t>
  </si>
  <si>
    <t>lic</t>
  </si>
  <si>
    <t>{1: 1746, 2: 394, 3: 560}</t>
  </si>
  <si>
    <t>TODO, minimizar superposicion de electivas con penalidad = 5 (min/max dias como restriccion)</t>
  </si>
  <si>
    <t>1: 65%, 2: 15%, 3: 21%</t>
  </si>
  <si>
    <t>+ algunas correcciones</t>
  </si>
  <si>
    <t>889.0</t>
  </si>
  <si>
    <t>{1: 461, 2: 85, 3: 76}</t>
  </si>
  <si>
    <t>879.0</t>
  </si>
  <si>
    <t>{1: 464, 2: 89, 3: 69}</t>
  </si>
  <si>
    <t>Promedio general de prioridad horaria:  1.3890625</t>
  </si>
  <si>
    <t>1: 74%, 2: 14%, 3: 12%</t>
  </si>
  <si>
    <t>Conjuntos de electivas compatibles</t>
  </si>
  <si>
    <t>Promedio general de prioridad horaria:  1.3734375</t>
  </si>
  <si>
    <t>1: 75%, 2: 14%, 3: 11%</t>
  </si>
  <si>
    <t xml:space="preserve"> -  -  -  -  -  -  -  -  -  -  -  -  -  -  -  -  -  -  -  -  -  -  -  -  -  -  -  -  -  -  -  -  -  -</t>
  </si>
  <si>
    <t xml:space="preserve"> Puentes ['Horm2', 'DIPyU']</t>
  </si>
  <si>
    <t>Año:  1</t>
  </si>
  <si>
    <t xml:space="preserve"> Profesor:  aca Andrés Cardozo</t>
  </si>
  <si>
    <t xml:space="preserve"> Horm2 ['Puentes', 'DIPyU']</t>
  </si>
  <si>
    <t xml:space="preserve"> DPav ['Horm2']</t>
  </si>
  <si>
    <t xml:space="preserve"> Grupo:  11</t>
  </si>
  <si>
    <t>08:00-08:50</t>
  </si>
  <si>
    <t xml:space="preserve"> DIPyU ['Puentes', 'Horm2']</t>
  </si>
  <si>
    <t>08:50-09:40</t>
  </si>
  <si>
    <t>AL[mp]</t>
  </si>
  <si>
    <t>Prog1[vt]</t>
  </si>
  <si>
    <t>09:50-10:40</t>
  </si>
  <si>
    <t xml:space="preserve"> TecFP ['MdProc']</t>
  </si>
  <si>
    <t xml:space="preserve"> GAmb ['MdProc']</t>
  </si>
  <si>
    <t>TIngA[as]</t>
  </si>
  <si>
    <t>ALp[jf]</t>
  </si>
  <si>
    <t xml:space="preserve"> Profesor:  ad Andrea Durlacher</t>
  </si>
  <si>
    <t xml:space="preserve"> MdProc ['GAmb']</t>
  </si>
  <si>
    <t>AL[svv]</t>
  </si>
  <si>
    <t>AM1[lg]</t>
  </si>
  <si>
    <t>TIngB[ad]</t>
  </si>
  <si>
    <t>AM1[am]</t>
  </si>
  <si>
    <t>AM1p[ps]</t>
  </si>
  <si>
    <t xml:space="preserve"> EthHck ['ApMov']</t>
  </si>
  <si>
    <t xml:space="preserve"> BPMN ['ApMov']</t>
  </si>
  <si>
    <t xml:space="preserve"> ApMov ['EthHck']</t>
  </si>
  <si>
    <t xml:space="preserve"> DBD3 []</t>
  </si>
  <si>
    <t xml:space="preserve"> RPA []</t>
  </si>
  <si>
    <t xml:space="preserve"> Grupo:  12</t>
  </si>
  <si>
    <t>Prog1[p1a]</t>
  </si>
  <si>
    <t>14:10-15:00</t>
  </si>
  <si>
    <t xml:space="preserve"> DisEst ['Puentes', 'DIPyU']</t>
  </si>
  <si>
    <t xml:space="preserve"> DPav ['AgroN', 'DisEst']</t>
  </si>
  <si>
    <t>15:10-16:00</t>
  </si>
  <si>
    <t xml:space="preserve"> StUp1 ['DIPyU']</t>
  </si>
  <si>
    <t>AM1[gc]</t>
  </si>
  <si>
    <t xml:space="preserve"> AgroN ['DisEst', 'DIPyU']</t>
  </si>
  <si>
    <t>16:10-17:00</t>
  </si>
  <si>
    <t>AL[lg]</t>
  </si>
  <si>
    <t>Prog1[p1c]</t>
  </si>
  <si>
    <t xml:space="preserve"> Puentes ['DisEst', 'DIPyU']</t>
  </si>
  <si>
    <t xml:space="preserve"> Profesor:  adc Adrián Carballo</t>
  </si>
  <si>
    <t xml:space="preserve"> DIPyU ['DisEst', 'Puentes']</t>
  </si>
  <si>
    <t xml:space="preserve"> DIPyU ['Puentes', 'DisEst']</t>
  </si>
  <si>
    <t xml:space="preserve"> Grupo:  13</t>
  </si>
  <si>
    <t>18:50-19:40</t>
  </si>
  <si>
    <t>19:50-20:40</t>
  </si>
  <si>
    <t xml:space="preserve"> InstEl ['MotCI', 'StUp1', 'TecFP']</t>
  </si>
  <si>
    <t>20:40-21:30</t>
  </si>
  <si>
    <t xml:space="preserve"> AgroN ['MotCI', 'TecFP']</t>
  </si>
  <si>
    <t xml:space="preserve"> MotCI ['InstEl', 'StUp1', 'TecFP']</t>
  </si>
  <si>
    <t>AL[ds]</t>
  </si>
  <si>
    <t xml:space="preserve"> Profesor:  adr Alejandro Draper</t>
  </si>
  <si>
    <t xml:space="preserve"> StUp1 ['InstEl', 'MotCI', 'TecFP']</t>
  </si>
  <si>
    <t xml:space="preserve"> TecFP ['InstEl', 'MotCI', 'StUp1']</t>
  </si>
  <si>
    <t>18:00-18:50</t>
  </si>
  <si>
    <t xml:space="preserve"> BPMN ['ApMov', 'QC', 'UIUX', 'TestQA']</t>
  </si>
  <si>
    <t xml:space="preserve"> AgroN ['ApMov', 'QC', 'UIUX', 'EthHck']</t>
  </si>
  <si>
    <t xml:space="preserve"> Grupo:  14</t>
  </si>
  <si>
    <t xml:space="preserve"> Profesor:  am Andrea Mesa</t>
  </si>
  <si>
    <t xml:space="preserve"> GSInf ['QC', 'UIUX', 'TestQA', 'EthHck']</t>
  </si>
  <si>
    <t xml:space="preserve"> ApMov ['QC', 'UIUX', 'TestQA', 'EthHck']</t>
  </si>
  <si>
    <t>AM1[jd]</t>
  </si>
  <si>
    <t>Prog1[p1b]</t>
  </si>
  <si>
    <t xml:space="preserve"> RPA ['GSInf', 'QC', 'UIUX', 'TestQA']</t>
  </si>
  <si>
    <t xml:space="preserve"> StUp1 ['ApMov', 'UIUX', 'TestQA', 'EthHck']</t>
  </si>
  <si>
    <t xml:space="preserve"> QC ['ApMov', 'UIUX', 'TestQA', 'EthHck']</t>
  </si>
  <si>
    <t>17:00-17:50</t>
  </si>
  <si>
    <t>AL[ap]</t>
  </si>
  <si>
    <t xml:space="preserve"> UIUX ['ApMov', 'QC', 'TestQA', 'EthHck']</t>
  </si>
  <si>
    <t xml:space="preserve"> DBD3 ['QC', 'UIUX', 'TestQA']</t>
  </si>
  <si>
    <t xml:space="preserve"> TestQA ['ApMov', 'QC', 'UIUX', 'EthHck']</t>
  </si>
  <si>
    <t xml:space="preserve"> EthHck ['ApMov', 'QC', 'UIUX', 'TestQA']</t>
  </si>
  <si>
    <t xml:space="preserve"> Grupo:  1LIC</t>
  </si>
  <si>
    <t xml:space="preserve"> Profesor:  ame Andrés Merello</t>
  </si>
  <si>
    <t>IAL[cp]</t>
  </si>
  <si>
    <t>ILic[pu]</t>
  </si>
  <si>
    <t>MAT1[ds]</t>
  </si>
  <si>
    <t>PComp[pn]</t>
  </si>
  <si>
    <t>IALp[lc]</t>
  </si>
  <si>
    <t>21:40-22:30</t>
  </si>
  <si>
    <t xml:space="preserve"> Grupo:  1REC1</t>
  </si>
  <si>
    <t xml:space="preserve"> Profesor:  an Andrés Nieto</t>
  </si>
  <si>
    <t>ALN[jk]</t>
  </si>
  <si>
    <t>AM2[gc]</t>
  </si>
  <si>
    <t>ALNp[jk]</t>
  </si>
  <si>
    <t>AM2p[gc]</t>
  </si>
  <si>
    <t>Fisica[jpf]</t>
  </si>
  <si>
    <t xml:space="preserve"> Profesor:  anp Andrea Parada</t>
  </si>
  <si>
    <t xml:space="preserve"> Grupo:  1REC2</t>
  </si>
  <si>
    <t>AM2[am]</t>
  </si>
  <si>
    <t>AM2p[am]</t>
  </si>
  <si>
    <t xml:space="preserve"> Profesor:  ap Alfredo Piria</t>
  </si>
  <si>
    <t>Año:  2</t>
  </si>
  <si>
    <t xml:space="preserve"> Profesor:  apa Arianne Palau</t>
  </si>
  <si>
    <t xml:space="preserve"> Grupo:  2CIV</t>
  </si>
  <si>
    <t>CadBim[db]</t>
  </si>
  <si>
    <t>AM3p[mz]</t>
  </si>
  <si>
    <t>PdO[es]</t>
  </si>
  <si>
    <t>Mec1[jpf]</t>
  </si>
  <si>
    <t>TermoD[gb]</t>
  </si>
  <si>
    <t xml:space="preserve"> Profesor:  apr Adhemar Prieto</t>
  </si>
  <si>
    <t>AM3[svv]</t>
  </si>
  <si>
    <t>Eco[hf]</t>
  </si>
  <si>
    <t xml:space="preserve"> Grupo:  2IND</t>
  </si>
  <si>
    <t xml:space="preserve"> Profesor:  ar Adrián Russi</t>
  </si>
  <si>
    <t>AM3[jd]</t>
  </si>
  <si>
    <t>IntInd[rc]</t>
  </si>
  <si>
    <t xml:space="preserve"> Grupo:  2INF1</t>
  </si>
  <si>
    <t xml:space="preserve"> Profesor:  arqap Arq Aplic</t>
  </si>
  <si>
    <t>SDig[]</t>
  </si>
  <si>
    <t>DBD2[sgp]</t>
  </si>
  <si>
    <t>Log[po]</t>
  </si>
  <si>
    <t>MD[jk]</t>
  </si>
  <si>
    <t>Prog2[rl]</t>
  </si>
  <si>
    <t>DBD2[dl]</t>
  </si>
  <si>
    <t>MDp[jk]</t>
  </si>
  <si>
    <t xml:space="preserve"> Profesor:  as Adrián Santilli</t>
  </si>
  <si>
    <t xml:space="preserve"> Grupo:  2INF2</t>
  </si>
  <si>
    <t>SDig[ame]</t>
  </si>
  <si>
    <t>Prog2[gaa]</t>
  </si>
  <si>
    <t>MD[mp]</t>
  </si>
  <si>
    <t xml:space="preserve"> Profesor:  cm Cristina Mayr</t>
  </si>
  <si>
    <t xml:space="preserve"> Grupo:  2TEL</t>
  </si>
  <si>
    <t>MIE[aca]</t>
  </si>
  <si>
    <t xml:space="preserve"> Profesor:  cp Carlos Presa</t>
  </si>
  <si>
    <t xml:space="preserve"> Grupo:  2LIC</t>
  </si>
  <si>
    <t>Prog2[nn]</t>
  </si>
  <si>
    <t>DBD1[dl]</t>
  </si>
  <si>
    <t>HC[icc1]</t>
  </si>
  <si>
    <t>IMD[cp]</t>
  </si>
  <si>
    <t>RD1[guc,mjc,sb]</t>
  </si>
  <si>
    <t xml:space="preserve"> Profesor:  cr Claudio Ruibal</t>
  </si>
  <si>
    <t>HC[icc2]</t>
  </si>
  <si>
    <t>Año:  3</t>
  </si>
  <si>
    <t xml:space="preserve"> Profesor:  db Daniel Belandria</t>
  </si>
  <si>
    <t xml:space="preserve"> Grupo:  3CIV</t>
  </si>
  <si>
    <t>PdO2[epe,nd]</t>
  </si>
  <si>
    <t>IdM[gd]</t>
  </si>
  <si>
    <t>RM2p[]</t>
  </si>
  <si>
    <t>RM2[ar]</t>
  </si>
  <si>
    <t>IO[cr]</t>
  </si>
  <si>
    <t>Hid[mpi,sp]</t>
  </si>
  <si>
    <t>EG[icc2]</t>
  </si>
  <si>
    <t xml:space="preserve"> Profesor:  dc Daniel Canoniero</t>
  </si>
  <si>
    <t xml:space="preserve"> Grupo:  3IND</t>
  </si>
  <si>
    <t>ETec[mr]</t>
  </si>
  <si>
    <t>ITerm[]</t>
  </si>
  <si>
    <t>EM[gb]</t>
  </si>
  <si>
    <t xml:space="preserve"> Profesor:  dd Diego Durán</t>
  </si>
  <si>
    <t xml:space="preserve"> Grupo:  3TEL</t>
  </si>
  <si>
    <t>RD2[guc,mjc,sb]</t>
  </si>
  <si>
    <t>IngSW1[gba]</t>
  </si>
  <si>
    <t>SO[hr]</t>
  </si>
  <si>
    <t>IO[dj]</t>
  </si>
  <si>
    <t xml:space="preserve"> Profesor:  df David Fontáns</t>
  </si>
  <si>
    <t xml:space="preserve"> Grupo:  3INF1</t>
  </si>
  <si>
    <t>InfrInf[jj]</t>
  </si>
  <si>
    <t>IngSW1[jds]</t>
  </si>
  <si>
    <t>ArqAp[arqap]</t>
  </si>
  <si>
    <t xml:space="preserve"> Profesor:  dj Daniel Jurburg</t>
  </si>
  <si>
    <t>SO[gq]</t>
  </si>
  <si>
    <t>IO[]</t>
  </si>
  <si>
    <t xml:space="preserve"> Grupo:  3INF2</t>
  </si>
  <si>
    <t>ArqAp[mf]</t>
  </si>
  <si>
    <t xml:space="preserve"> Profesor:  dl Diego López</t>
  </si>
  <si>
    <t>InfrInf[]</t>
  </si>
  <si>
    <t xml:space="preserve"> Grupo:  3LIC</t>
  </si>
  <si>
    <t>ADA[jcc]</t>
  </si>
  <si>
    <t>Teo[xm]</t>
  </si>
  <si>
    <t>ADA[mbo]</t>
  </si>
  <si>
    <t>IngSW2[apa]</t>
  </si>
  <si>
    <t xml:space="preserve"> Profesor:  dm Diego Moratorio</t>
  </si>
  <si>
    <t>AD[jpe]</t>
  </si>
  <si>
    <t>SD[dc]</t>
  </si>
  <si>
    <t>SD[jg]</t>
  </si>
  <si>
    <t>UIUX[jl]</t>
  </si>
  <si>
    <t>Año:  4</t>
  </si>
  <si>
    <t xml:space="preserve"> Profesor:  ds Debora Stalker</t>
  </si>
  <si>
    <t xml:space="preserve"> Grupo:  4CIV</t>
  </si>
  <si>
    <t>Horm2[ep]</t>
  </si>
  <si>
    <t>Teo[icc3]</t>
  </si>
  <si>
    <t>Puentes[ar]</t>
  </si>
  <si>
    <t>EA[er]/MInv[rs]</t>
  </si>
  <si>
    <t>SyMH[mk]</t>
  </si>
  <si>
    <t>DPav[df]/Puentes[ar]</t>
  </si>
  <si>
    <t>SyMH[jm]</t>
  </si>
  <si>
    <t>DPav[df]</t>
  </si>
  <si>
    <t>MecS2[jpa]</t>
  </si>
  <si>
    <t>DPav[df]/DIPyU[sp]</t>
  </si>
  <si>
    <t>DIPyU[sp]</t>
  </si>
  <si>
    <t>Teo[icc1]</t>
  </si>
  <si>
    <t>MecS2p[mpr,jpa]</t>
  </si>
  <si>
    <t xml:space="preserve"> Profesor:  ep Eduardo Pedoja</t>
  </si>
  <si>
    <t xml:space="preserve"> Grupo:  4IND</t>
  </si>
  <si>
    <t>MaqT[mb]</t>
  </si>
  <si>
    <t>MdProc[dj]</t>
  </si>
  <si>
    <t>ProyInt[dm]</t>
  </si>
  <si>
    <t xml:space="preserve"> Profesor:  epe Eduardo Peñalva</t>
  </si>
  <si>
    <t>GAmb[ms]</t>
  </si>
  <si>
    <t>InstEl[rr,apr]</t>
  </si>
  <si>
    <t>TecFP[fb]</t>
  </si>
  <si>
    <t>TecFP[fb]/GAmb[ms]</t>
  </si>
  <si>
    <t xml:space="preserve"> Grupo:  4TEL</t>
  </si>
  <si>
    <t>TIC2[dd,ns]</t>
  </si>
  <si>
    <t xml:space="preserve"> Profesor:  er Eugenia Riaño</t>
  </si>
  <si>
    <t>SegInf[cm]</t>
  </si>
  <si>
    <t>IA[sgp]</t>
  </si>
  <si>
    <t>ModS[th]</t>
  </si>
  <si>
    <t xml:space="preserve"> Profesor:  es Elio Santilli</t>
  </si>
  <si>
    <t xml:space="preserve"> Grupo:  4INF1</t>
  </si>
  <si>
    <t>TestQA[]</t>
  </si>
  <si>
    <t>GAD[dc]</t>
  </si>
  <si>
    <t>SegInf[gdo]</t>
  </si>
  <si>
    <t xml:space="preserve"> Profesor:  fb Fabrizzio Bagnasco</t>
  </si>
  <si>
    <t xml:space="preserve"> Grupo:  4INF2</t>
  </si>
  <si>
    <t xml:space="preserve"> Profesor:  fr Fernando Requena</t>
  </si>
  <si>
    <t xml:space="preserve"> Profesor:  gaa Germán Abu Arab</t>
  </si>
  <si>
    <t xml:space="preserve"> Grupo:  4LIC</t>
  </si>
  <si>
    <t>InfrInf[adr]</t>
  </si>
  <si>
    <t>DBD3[dl]/ApMov[gg]</t>
  </si>
  <si>
    <t xml:space="preserve"> Profesor:  gb Gerardo Beltrame</t>
  </si>
  <si>
    <t>ArqAp[pn]</t>
  </si>
  <si>
    <t>BPMN[jds]/DBD3[dl]/EthHck[cm]</t>
  </si>
  <si>
    <t>CreInv[svi]</t>
  </si>
  <si>
    <t>DBD3[dl]/ApMov[gg]/RPA[ma]</t>
  </si>
  <si>
    <t>BPMN[jds]/DBD3[dl]/RPA[mg]/EthHck[cm]</t>
  </si>
  <si>
    <t>EG[icc1]</t>
  </si>
  <si>
    <t>ApMov[gg]/RPA[ma]</t>
  </si>
  <si>
    <t>BPMN[jds]/RPA[mg]/EthHck[cm]</t>
  </si>
  <si>
    <t>Año:  5</t>
  </si>
  <si>
    <t xml:space="preserve"> Profesor:  gba Gonzalo Balatti</t>
  </si>
  <si>
    <t xml:space="preserve"> Grupo:  5CIV</t>
  </si>
  <si>
    <t>StUp1[pp]</t>
  </si>
  <si>
    <t>PInv[md]</t>
  </si>
  <si>
    <t>DisEst[ep]</t>
  </si>
  <si>
    <t>DisEst[ep]/StUp1[pp]</t>
  </si>
  <si>
    <t>Puentes[ar]/AgroN[fr]</t>
  </si>
  <si>
    <t>IngSan2[jm,gca]</t>
  </si>
  <si>
    <t>Puentes[ar]/AgroN[fr]/StUp1[pp]</t>
  </si>
  <si>
    <t xml:space="preserve"> Profesor:  gc Gabriel Coates</t>
  </si>
  <si>
    <t>AgroN[fr]/StUp1[pp]</t>
  </si>
  <si>
    <t>IngTran[an]</t>
  </si>
  <si>
    <t>EstMM[gp]</t>
  </si>
  <si>
    <t xml:space="preserve"> Grupo:  5IND</t>
  </si>
  <si>
    <t>DEMaq[ok]</t>
  </si>
  <si>
    <t>InstEl[]</t>
  </si>
  <si>
    <t>InstEl[]/StUp1[pp]</t>
  </si>
  <si>
    <t>InstEl[]/AgroN[fr]</t>
  </si>
  <si>
    <t>ACInd[jmi]</t>
  </si>
  <si>
    <t>Maq3[mc,ht]</t>
  </si>
  <si>
    <t xml:space="preserve"> Profesor:  gca Gonzalo Caprario</t>
  </si>
  <si>
    <t>MotCI[adc]</t>
  </si>
  <si>
    <t xml:space="preserve"> Grupo:  5TEL</t>
  </si>
  <si>
    <t xml:space="preserve"> Profesor:  gd Gustavo Domínguez</t>
  </si>
  <si>
    <t>QC[lg]/StUp1[pp]</t>
  </si>
  <si>
    <t>TIC6[dd,ns]</t>
  </si>
  <si>
    <t>QC[lg]</t>
  </si>
  <si>
    <t>AgroN[fr]/TestQA[]</t>
  </si>
  <si>
    <t>SdT[jpi]</t>
  </si>
  <si>
    <t>GSInf[anp]/StUp1[pp]</t>
  </si>
  <si>
    <t>DBD3[dl]/ApMov[gg]/GSInf[anp]</t>
  </si>
  <si>
    <t>PInv[mre]</t>
  </si>
  <si>
    <t xml:space="preserve"> Profesor:  gdo Guillermo Dornelles</t>
  </si>
  <si>
    <t xml:space="preserve"> Grupo:  5INF</t>
  </si>
  <si>
    <t xml:space="preserve"> Profesor:  gg Gustavo Gretter</t>
  </si>
  <si>
    <t xml:space="preserve"> Profesor:  gp Gastón Puga</t>
  </si>
  <si>
    <t xml:space="preserve"> Profesor:  gq Gerardo Quincke</t>
  </si>
  <si>
    <t xml:space="preserve"> Profesor:  guc Gustavo Compagnone</t>
  </si>
  <si>
    <t xml:space="preserve"> Profesor:  hf Héber Francia</t>
  </si>
  <si>
    <t>13:20-14:10</t>
  </si>
  <si>
    <t xml:space="preserve"> Profesor:  hr Hernán Rohner</t>
  </si>
  <si>
    <t xml:space="preserve"> Profesor:  ht Héctor Tosar</t>
  </si>
  <si>
    <t xml:space="preserve"> Profesor:  icc1 ICC 1</t>
  </si>
  <si>
    <t xml:space="preserve"> Profesor:  icc2 ICC 2</t>
  </si>
  <si>
    <t xml:space="preserve"> Profesor:  icc3 ICC 3</t>
  </si>
  <si>
    <t xml:space="preserve"> Profesor:  jcc Juan Cruz Carrau</t>
  </si>
  <si>
    <t xml:space="preserve"> Profesor:  jd José Díaz</t>
  </si>
  <si>
    <t xml:space="preserve"> Profesor:  jds Joaquín da Silva</t>
  </si>
  <si>
    <t xml:space="preserve"> Profesor:  jf Jazmín Finot</t>
  </si>
  <si>
    <t xml:space="preserve"> Profesor:  jg Josefina Gallinal</t>
  </si>
  <si>
    <t xml:space="preserve"> Profesor:  jj José Joskowicz</t>
  </si>
  <si>
    <t xml:space="preserve"> Profesor:  jk Juan Kalemkerian</t>
  </si>
  <si>
    <t xml:space="preserve"> Profesor:  jl Javier López</t>
  </si>
  <si>
    <t xml:space="preserve"> Profesor:  jm Julio Molinolo</t>
  </si>
  <si>
    <t xml:space="preserve"> Profesor:  jmi Juan Míguez</t>
  </si>
  <si>
    <t xml:space="preserve"> Profesor:  jpa Julio Patrone</t>
  </si>
  <si>
    <t xml:space="preserve"> Profesor:  jpe Juan Pellegrini</t>
  </si>
  <si>
    <t xml:space="preserve"> Profesor:  jpf Juan Pablo Fossati</t>
  </si>
  <si>
    <t xml:space="preserve"> Profesor:  jpi Juan Piaggio</t>
  </si>
  <si>
    <t xml:space="preserve"> Profesor:  lc Lara Cuadrado</t>
  </si>
  <si>
    <t xml:space="preserve"> Profesor:  lg Laura Gatti</t>
  </si>
  <si>
    <t xml:space="preserve"> Profesor:  ma Marcelo Abreu</t>
  </si>
  <si>
    <t xml:space="preserve"> Profesor:  mb Marcelo Berglavaz</t>
  </si>
  <si>
    <t xml:space="preserve"> Profesor:  mbo Mateo Borrazás</t>
  </si>
  <si>
    <t xml:space="preserve"> Profesor:  mc Miguel Causa</t>
  </si>
  <si>
    <t xml:space="preserve"> Profesor:  md Michelle Dovat</t>
  </si>
  <si>
    <t xml:space="preserve"> Profesor:  mf Marcelo Fontan</t>
  </si>
  <si>
    <t xml:space="preserve"> Profesor:  mg Martha Giménez</t>
  </si>
  <si>
    <t xml:space="preserve"> Profesor:  mjc María Jesús Cresci</t>
  </si>
  <si>
    <t xml:space="preserve"> Profesor:  mk Martín Kasek</t>
  </si>
  <si>
    <t xml:space="preserve"> Profesor:  mp Mariana Pereira</t>
  </si>
  <si>
    <t xml:space="preserve"> Profesor:  mpi Marcelo Pittamiglio</t>
  </si>
  <si>
    <t xml:space="preserve"> Profesor:  mpr Mateo Prefumo</t>
  </si>
  <si>
    <t xml:space="preserve"> Profesor:  mr Mauricio Riera</t>
  </si>
  <si>
    <t xml:space="preserve"> Profesor:  mre Marcos Rey</t>
  </si>
  <si>
    <t xml:space="preserve"> Profesor:  ms Milenka Sojachenksi</t>
  </si>
  <si>
    <t xml:space="preserve"> Profesor:  mz Marco Zunino</t>
  </si>
  <si>
    <t xml:space="preserve"> Profesor:  nd Nelson Demarco</t>
  </si>
  <si>
    <t xml:space="preserve"> Profesor:  nn Nicolás Navarro</t>
  </si>
  <si>
    <t xml:space="preserve"> Profesor:  ns Nicolás Sosa</t>
  </si>
  <si>
    <t xml:space="preserve"> Profesor:  ok Oliver Kraus</t>
  </si>
  <si>
    <t xml:space="preserve"> Profesor:  p1a Prog1 A</t>
  </si>
  <si>
    <t xml:space="preserve"> Profesor:  p1b Prog1 B</t>
  </si>
  <si>
    <t xml:space="preserve"> Profesor:  p1c Prog1 C</t>
  </si>
  <si>
    <t xml:space="preserve"> Profesor:  pn Pablo Navas</t>
  </si>
  <si>
    <t xml:space="preserve"> Profesor:  po Pablo Ortiz</t>
  </si>
  <si>
    <t xml:space="preserve"> Profesor:  pp Pablo Pereira</t>
  </si>
  <si>
    <t xml:space="preserve"> Profesor:  ps Pedro Sakorko</t>
  </si>
  <si>
    <t xml:space="preserve"> Profesor:  pu Pablo Urquizó</t>
  </si>
  <si>
    <t xml:space="preserve"> Profesor:  rc Ricardo Cosentino</t>
  </si>
  <si>
    <t xml:space="preserve"> Profesor:  rl Rodrigo López</t>
  </si>
  <si>
    <t xml:space="preserve"> Profesor:  rr Rubens Ramponi</t>
  </si>
  <si>
    <t xml:space="preserve"> Profesor:  rs Rafael Sotelo</t>
  </si>
  <si>
    <t xml:space="preserve"> Profesor:  sb Santiago Blanco</t>
  </si>
  <si>
    <t xml:space="preserve"> Profesor:  sgp Sebastián García Parra</t>
  </si>
  <si>
    <t xml:space="preserve"> Profesor:  sp Santiago Pereira</t>
  </si>
  <si>
    <t xml:space="preserve"> Profesor:  svi Sofía Vila</t>
  </si>
  <si>
    <t xml:space="preserve"> Profesor:  svv Sara Vilar del Valle</t>
  </si>
  <si>
    <t xml:space="preserve"> Profesor:  th Thomas Hobbins</t>
  </si>
  <si>
    <t xml:space="preserve"> Profesor:  vt Victoria Tejera</t>
  </si>
  <si>
    <t xml:space="preserve"> Profesor:  xm Xavier Masdeu</t>
  </si>
  <si>
    <t>1ero + 2do + 3ero + 4to + 5to sin electivas</t>
  </si>
  <si>
    <t>1ro-5to</t>
  </si>
  <si>
    <t>max/min dias</t>
  </si>
  <si>
    <t>INF/TEL/4LINF</t>
  </si>
  <si>
    <t>Diseño e implementación de procesos de Negocio con BPMN</t>
  </si>
  <si>
    <t>INF/TEL/ 4LINF</t>
  </si>
  <si>
    <t>Gestión Seguridad de la Información</t>
  </si>
  <si>
    <t>INF/TEL</t>
  </si>
  <si>
    <t>Aplicaciones Móviles</t>
  </si>
  <si>
    <t>Diseño de Base de datos III</t>
  </si>
  <si>
    <t>INF/TEL/4 LINF</t>
  </si>
  <si>
    <t>Testing (opcional plan viejo)</t>
  </si>
  <si>
    <t>DBD3/RPA</t>
  </si>
  <si>
    <t>BPMN/DBD3/EthHck</t>
  </si>
  <si>
    <t>BPMN/RPA/EthHck</t>
  </si>
  <si>
    <t>Ethikal Hacking</t>
  </si>
  <si>
    <t>ApMov/RPA</t>
  </si>
  <si>
    <t xml:space="preserve">Quantum Computing </t>
  </si>
  <si>
    <t>BPMN/EthHck</t>
  </si>
  <si>
    <t>UI/UX  (opcional para plan viejo)</t>
  </si>
  <si>
    <t>Horm2/Puentes</t>
  </si>
  <si>
    <t>EA/MInv</t>
  </si>
  <si>
    <t>DPav/Puentes</t>
  </si>
  <si>
    <t>QC/TestQA/StUp1</t>
  </si>
  <si>
    <t>DPav/DIPyU</t>
  </si>
  <si>
    <t>ApMov/GSInf</t>
  </si>
  <si>
    <t>BPMN/DBD3/AgroN/EthHck</t>
  </si>
  <si>
    <t>ApMov/RPA/StUp1</t>
  </si>
  <si>
    <t>ApMov/RPA/StUp1/UIUX</t>
  </si>
  <si>
    <t>TecFP/GAmb</t>
  </si>
  <si>
    <t>RPA/BPMN</t>
  </si>
  <si>
    <t>EthHck/RPA</t>
  </si>
  <si>
    <t>QC/TestQA</t>
  </si>
  <si>
    <t>QC/AgroN/TestQA/StUp1</t>
  </si>
  <si>
    <t>AgroN/GSInf/StUp1</t>
  </si>
  <si>
    <t>AgroN/ApMov/GSInf/StUp1</t>
  </si>
  <si>
    <t>DBD3/RPA/StUp1</t>
  </si>
  <si>
    <t>DBD3/StUp1</t>
  </si>
  <si>
    <t>ApMov/RPA/UIUX</t>
  </si>
  <si>
    <t>Puentes/AgroN</t>
  </si>
  <si>
    <t>Puentes/AgroN/StUp1</t>
  </si>
  <si>
    <t>AgroN/StUp1</t>
  </si>
  <si>
    <t>InstEl/AgroN</t>
  </si>
  <si>
    <t>AgroN/TestQA</t>
  </si>
  <si>
    <t>GSInf/StUp1</t>
  </si>
  <si>
    <t>DBD3/AgroN/StUp1</t>
  </si>
  <si>
    <t>DBD3/ApMov/GSInf</t>
  </si>
  <si>
    <t>DBD3/ApMov/RPA/GSInf</t>
  </si>
  <si>
    <t>DBD3/ApMov/RPA</t>
  </si>
  <si>
    <t>TecFP/StUp1</t>
  </si>
  <si>
    <t>DIPyU/AgroN/StUp1</t>
  </si>
  <si>
    <t>Puentes/StUp1</t>
  </si>
  <si>
    <t>DPav/Puentes/DIPyU/AgroN/StUp1</t>
  </si>
  <si>
    <t>sin Puentes</t>
  </si>
  <si>
    <t>Horm2/DPav/DIPyU</t>
  </si>
  <si>
    <t>SYMH dias consecutivos</t>
  </si>
  <si>
    <t>hora excepcional mec2</t>
  </si>
  <si>
    <t>sin Dpav</t>
  </si>
  <si>
    <t>Dpav</t>
  </si>
  <si>
    <t>Puentes/DIPyU</t>
  </si>
  <si>
    <t>Horm2/DIPyU</t>
  </si>
  <si>
    <t>sin DIPyU</t>
  </si>
  <si>
    <t>sin Horm2</t>
  </si>
  <si>
    <t>no factible</t>
  </si>
  <si>
    <t>Karen Baz</t>
  </si>
  <si>
    <t>David Fontans</t>
  </si>
  <si>
    <t>.</t>
  </si>
  <si>
    <t>ID</t>
  </si>
  <si>
    <t xml:space="preserve"> Horm2 ['DIPyU', 'Puentes']</t>
  </si>
  <si>
    <t xml:space="preserve"> DIPyU ['Horm2', 'Puentes']</t>
  </si>
  <si>
    <t xml:space="preserve"> MdProc ['TecFP']</t>
  </si>
  <si>
    <t xml:space="preserve"> InstEl ['MotCI', 'TecFP']</t>
  </si>
  <si>
    <t xml:space="preserve"> MotCI ['StUp1', 'TecFP']</t>
  </si>
  <si>
    <t xml:space="preserve"> StUp1 ['MotCI', 'TecFP']</t>
  </si>
  <si>
    <t xml:space="preserve"> TecFP ['MotCI', 'StUp1']</t>
  </si>
  <si>
    <t xml:space="preserve"> DBD3 ['UIUX', 'AgroN', 'QC']</t>
  </si>
  <si>
    <t xml:space="preserve"> ApMov ['UIUX', 'AgroN', 'EthHck', 'QC']</t>
  </si>
  <si>
    <t xml:space="preserve"> TestQA ['UIUX', 'GSInf', 'EthHck', 'QC']</t>
  </si>
  <si>
    <t xml:space="preserve"> UIUX ['AgroN', 'GSInf', 'EthHck', 'QC']</t>
  </si>
  <si>
    <t xml:space="preserve"> AgroN ['UIUX', 'GSInf', 'EthHck', 'QC']</t>
  </si>
  <si>
    <t xml:space="preserve"> RPA ['UIUX', 'AgroN', 'GSInf', 'QC']</t>
  </si>
  <si>
    <t xml:space="preserve"> StUp1 ['ApMov', 'TestQA', 'UIUX', 'EthHck']</t>
  </si>
  <si>
    <t xml:space="preserve"> GSInf ['UIUX', 'AgroN', 'EthHck', 'QC']</t>
  </si>
  <si>
    <t xml:space="preserve"> BPMN ['UIUX', 'AgroN', 'GSInf', 'QC']</t>
  </si>
  <si>
    <t xml:space="preserve"> EthHck ['UIUX', 'AgroN', 'GSInf', 'QC']</t>
  </si>
  <si>
    <t xml:space="preserve"> QC ['UIUX', 'AgroN', 'GSInf', 'EthHck']</t>
  </si>
  <si>
    <t>2 dias</t>
  </si>
  <si>
    <t>TestQA[gba]</t>
  </si>
  <si>
    <t>Renzo D'Ambrosio</t>
  </si>
  <si>
    <t>rda</t>
  </si>
  <si>
    <t>Prog2[rda]</t>
  </si>
  <si>
    <t>preferencias heredadas de Rodrigo Lopez</t>
  </si>
  <si>
    <t>3 dias</t>
  </si>
  <si>
    <t xml:space="preserve"> Profesor:  rda Renzo D'Ambrosio</t>
  </si>
  <si>
    <t>DBD3[dl]/ApMov[gg]/RPA[ma]/TestQA[gba]</t>
  </si>
  <si>
    <t>ApMov[gg]/RPA[ma]/TestQA[gba]</t>
  </si>
  <si>
    <t>HC[]</t>
  </si>
  <si>
    <t>1: 64%, 2: 15%, 3: 21%</t>
  </si>
  <si>
    <t>1: 72%, 2: 15%, 3: 13%</t>
  </si>
  <si>
    <r>
      <rPr>
        <sz val="11"/>
        <color rgb="FFFF0000"/>
        <rFont val="Calibri"/>
        <family val="2"/>
        <scheme val="minor"/>
      </rPr>
      <t>MInv[rs]</t>
    </r>
    <r>
      <rPr>
        <sz val="11"/>
        <color theme="1"/>
        <rFont val="Calibri"/>
        <family val="2"/>
        <scheme val="minor"/>
      </rPr>
      <t>/GSInf[anp]/StUp1[pp]</t>
    </r>
  </si>
  <si>
    <r>
      <rPr>
        <sz val="11"/>
        <color rgb="FFFF0000"/>
        <rFont val="Calibri"/>
        <family val="2"/>
        <scheme val="minor"/>
      </rPr>
      <t>MInv[rs]</t>
    </r>
    <r>
      <rPr>
        <sz val="11"/>
        <color theme="1"/>
        <rFont val="Calibri"/>
        <family val="2"/>
        <scheme val="minor"/>
      </rPr>
      <t>/DBD3[dl]/ApMov[gg]/GSInf[anp]</t>
    </r>
  </si>
  <si>
    <t>3+2, se representa como 2+1 + 2 horas excepcionales</t>
  </si>
  <si>
    <t>BPMN[jds]/EthHck[cm]</t>
  </si>
  <si>
    <t>MInv[rs]/DBD3[dl]</t>
  </si>
  <si>
    <t>DBD3[dl]</t>
  </si>
  <si>
    <t>dias consecutivos</t>
  </si>
  <si>
    <t>mas 1 hora excepcional</t>
  </si>
  <si>
    <t>hora excepcional</t>
  </si>
  <si>
    <t>MInv[rs]/GSInf[anp]/StUp1[pp]</t>
  </si>
  <si>
    <t>MInv[rs]/DBD3[dl]/ApMov[gg]/GSInf[anp]</t>
  </si>
  <si>
    <t>Grupo:  4TEL</t>
  </si>
  <si>
    <t>MInv[rs]</t>
  </si>
  <si>
    <r>
      <rPr>
        <sz val="11"/>
        <color rgb="FFFF0000"/>
        <rFont val="Calibri"/>
        <family val="2"/>
        <scheme val="minor"/>
      </rPr>
      <t>InstEl[]</t>
    </r>
    <r>
      <rPr>
        <sz val="11"/>
        <color theme="1"/>
        <rFont val="Calibri"/>
        <family val="2"/>
        <scheme val="minor"/>
      </rPr>
      <t>/AgroN[fr]/StUp1[pp]</t>
    </r>
  </si>
  <si>
    <r>
      <rPr>
        <sz val="11"/>
        <color rgb="FFFF0000"/>
        <rFont val="Calibri"/>
        <family val="2"/>
        <scheme val="minor"/>
      </rPr>
      <t>Horm2[ep]</t>
    </r>
    <r>
      <rPr>
        <sz val="11"/>
        <color theme="1"/>
        <rFont val="Calibri"/>
        <family val="2"/>
        <scheme val="minor"/>
      </rPr>
      <t>/Puentes[ar]</t>
    </r>
  </si>
  <si>
    <r>
      <t>Puentes[ar]/</t>
    </r>
    <r>
      <rPr>
        <sz val="11"/>
        <color rgb="FFFF0000"/>
        <rFont val="Calibri"/>
        <family val="2"/>
        <scheme val="minor"/>
      </rPr>
      <t>DisEst[ep]</t>
    </r>
    <r>
      <rPr>
        <sz val="11"/>
        <color theme="1"/>
        <rFont val="Calibri"/>
        <family val="2"/>
        <scheme val="minor"/>
      </rPr>
      <t>/AgroN[fr]/StUp1[pp]</t>
    </r>
  </si>
  <si>
    <r>
      <rPr>
        <sz val="11"/>
        <color rgb="FFFF0000"/>
        <rFont val="Calibri"/>
        <family val="2"/>
        <scheme val="minor"/>
      </rPr>
      <t>DisEst[ep]</t>
    </r>
    <r>
      <rPr>
        <sz val="11"/>
        <color theme="1"/>
        <rFont val="Calibri"/>
        <family val="2"/>
        <scheme val="minor"/>
      </rPr>
      <t>/AgroN[fr]/StUp1[pp]</t>
    </r>
  </si>
  <si>
    <t>ALp[]</t>
  </si>
  <si>
    <r>
      <t>ApMov[gg]/RPA[ma]/</t>
    </r>
    <r>
      <rPr>
        <sz val="11"/>
        <color rgb="FFFF0000"/>
        <rFont val="Calibri"/>
        <family val="2"/>
        <scheme val="minor"/>
      </rPr>
      <t>TestQA[gba]</t>
    </r>
  </si>
  <si>
    <r>
      <t>DBD3[dl]/ApMov[gg]/RPA[ma]/</t>
    </r>
    <r>
      <rPr>
        <sz val="11"/>
        <color rgb="FFFF0000"/>
        <rFont val="Calibri"/>
        <family val="2"/>
        <scheme val="minor"/>
      </rPr>
      <t>TestQA[gba]</t>
    </r>
  </si>
  <si>
    <t>OBJ0_u (cambios materia-horario): 126</t>
  </si>
  <si>
    <t>OBJ0_w (cambios materia-profesor): 15</t>
  </si>
  <si>
    <t>OBJ4 (superposicion electivas): 29</t>
  </si>
  <si>
    <t>MODIFICACIONES / HORAS EXCEPCIONALES EN ROJO</t>
  </si>
  <si>
    <t xml:space="preserve"> MdProc ['MInv', 'TecFP']</t>
  </si>
  <si>
    <t xml:space="preserve"> MInv ['MdProc', 'TecFP']</t>
  </si>
  <si>
    <t xml:space="preserve"> BPMN ['DBD3']</t>
  </si>
  <si>
    <t xml:space="preserve"> RPA ['DBD3']</t>
  </si>
  <si>
    <t xml:space="preserve"> DBD3 ['EthHck']</t>
  </si>
  <si>
    <t xml:space="preserve"> EthHck ['DBD3']</t>
  </si>
  <si>
    <t xml:space="preserve"> Puentes ['DIPyU']</t>
  </si>
  <si>
    <t xml:space="preserve"> AgroN ['DIPyU']</t>
  </si>
  <si>
    <t xml:space="preserve"> DisEst ['DIPyU']</t>
  </si>
  <si>
    <t xml:space="preserve"> ApMov ['AgroN', 'QC', 'UIUX', 'EthHck']</t>
  </si>
  <si>
    <t xml:space="preserve"> RPA ['AgroN', 'QC', 'UIUX', 'DBD3']</t>
  </si>
  <si>
    <t xml:space="preserve"> DBD3 ['AgroN', 'QC', 'TestQA', 'UIUX', 'EthHck']</t>
  </si>
  <si>
    <t xml:space="preserve"> EthHck ['AgroN', 'QC', 'TestQA', 'UIUX', 'DBD3']</t>
  </si>
  <si>
    <t>Conjuntos de electivas 100% compatibles</t>
  </si>
  <si>
    <t>NIVEL DE OCUPACION DE SALONES (sin considerar horas excepcionales)</t>
  </si>
  <si>
    <t>Obj: 571</t>
  </si>
  <si>
    <t>OBJ0: 281</t>
  </si>
  <si>
    <t>OBJ0_y (cambios profesor-horario): 155</t>
  </si>
  <si>
    <t>OBJ1 (prioridades): 884</t>
  </si>
  <si>
    <t>Promedio general de prioridad horaria:  1.451559934318555</t>
  </si>
  <si>
    <t>{1: 1726, 2: 401, 3: 550}</t>
  </si>
  <si>
    <t>{1: 441, 2: 91, 3: 77}</t>
  </si>
  <si>
    <t xml:space="preserve"> Puentes ['DIPyU', 'MInv']</t>
  </si>
  <si>
    <t xml:space="preserve"> DPav ['Horm2', 'MInv']</t>
  </si>
  <si>
    <t xml:space="preserve"> DIPyU ['Horm2', 'MInv']</t>
  </si>
  <si>
    <t xml:space="preserve"> Horm2 ['DIPyU', 'MInv']</t>
  </si>
  <si>
    <t xml:space="preserve"> MInv ['DIPyU', 'Horm2']</t>
  </si>
  <si>
    <t xml:space="preserve"> GAmb ['MInv', 'MdProc']</t>
  </si>
  <si>
    <t xml:space="preserve"> TecFP ['MInv', 'MdProc']</t>
  </si>
  <si>
    <t xml:space="preserve"> DPav ['AgroN']</t>
  </si>
  <si>
    <t xml:space="preserve"> DIPyU ['AgroN']</t>
  </si>
  <si>
    <t xml:space="preserve"> StUp1 ['TecFP', 'MotCI']</t>
  </si>
  <si>
    <t xml:space="preserve"> TecFP ['MotCI', 'AgroN']</t>
  </si>
  <si>
    <t xml:space="preserve"> MotCI ['TecFP', 'AgroN']</t>
  </si>
  <si>
    <t xml:space="preserve"> InstEl ['TecFP', 'MotCI']</t>
  </si>
  <si>
    <t xml:space="preserve"> AgroN ['TecFP', 'MotCI']</t>
  </si>
  <si>
    <t xml:space="preserve"> GSInf ['UIUX', 'QC', 'EthHck', 'TestQA', 'AgroN']</t>
  </si>
  <si>
    <t xml:space="preserve"> BPMN ['UIUX', 'QC', 'DBD3', 'TestQA', 'AgroN']</t>
  </si>
  <si>
    <t xml:space="preserve"> UIUX ['QC', 'DBD3', 'EthHck', 'TestQA', 'AgroN']</t>
  </si>
  <si>
    <t xml:space="preserve"> ApMov ['UIUX', 'QC', 'EthHck', 'AgroN']</t>
  </si>
  <si>
    <t xml:space="preserve"> RPA ['UIUX', 'QC', 'DBD3', 'AgroN']</t>
  </si>
  <si>
    <t xml:space="preserve"> QC ['UIUX', 'DBD3', 'EthHck', 'TestQA', 'AgroN']</t>
  </si>
  <si>
    <t xml:space="preserve"> StUp1 ['UIUX', 'DBD3', 'EthHck', 'TestQA']</t>
  </si>
  <si>
    <t xml:space="preserve"> DBD3 ['UIUX', 'QC', 'EthHck', 'TestQA', 'AgroN']</t>
  </si>
  <si>
    <t xml:space="preserve"> EthHck ['UIUX', 'QC', 'DBD3', 'TestQA', 'AgroN']</t>
  </si>
  <si>
    <t xml:space="preserve"> TestQA ['UIUX', 'QC', 'DBD3', 'EthHck', 'AgroN']</t>
  </si>
  <si>
    <t xml:space="preserve"> AgroN ['UIUX', 'QC', 'DBD3', 'EthHck', 'TestQA']</t>
  </si>
  <si>
    <t xml:space="preserve"> BPMN ['UIUX', 'QC', 'TestQA', 'MInv', 'AgroN']</t>
  </si>
  <si>
    <t xml:space="preserve"> UIUX ['QC', 'EthHck', 'TestQA', 'MInv', 'AgroN']</t>
  </si>
  <si>
    <t xml:space="preserve"> RPA ['UIUX', 'QC', 'MInv', 'AgroN']</t>
  </si>
  <si>
    <t xml:space="preserve"> QC ['UIUX', 'EthHck', 'TestQA', 'MInv', 'AgroN']</t>
  </si>
  <si>
    <t xml:space="preserve"> EthHck ['UIUX', 'QC', 'TestQA', 'MInv', 'AgroN']</t>
  </si>
  <si>
    <t xml:space="preserve"> TestQA ['UIUX', 'QC', 'EthHck', 'MInv', 'AgroN']</t>
  </si>
  <si>
    <t xml:space="preserve"> MInv ['UIUX', 'QC', 'EthHck', 'TestQA', 'AgroN']</t>
  </si>
  <si>
    <t xml:space="preserve"> AgroN ['UIUX', 'QC', 'EthHck', 'TestQA', 'MInv']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</si>
</sst>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ptos"/>
      <family val="2"/>
    </font>
    <font>
      <sz val="11"/>
      <color rgb="FFFF0000"/>
      <name val="Calibri"/>
      <family val="2"/>
      <scheme val="minor"/>
    </font>
    <font>
      <sz val="11"/>
      <name val="Aptos"/>
      <family val="2"/>
    </font>
    <font>
      <u/>
      <sz val="11"/>
      <color theme="1"/>
      <name val="Aptos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0" tint="-0.14999847407452621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6B4C6"/>
        <bgColor indexed="64"/>
      </patternFill>
    </fill>
    <fill>
      <patternFill patternType="solid">
        <fgColor rgb="FFC6E6B4"/>
        <bgColor indexed="64"/>
      </patternFill>
    </fill>
    <fill>
      <patternFill patternType="solid">
        <fgColor rgb="FFB4C6E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theme="0" tint="-0.14999847407452621"/>
      </patternFill>
    </fill>
    <fill>
      <patternFill patternType="solid">
        <fgColor theme="1" tint="4.9989318521683403E-2"/>
        <bgColor theme="0" tint="-0.14999847407452621"/>
      </patternFill>
    </fill>
    <fill>
      <patternFill patternType="solid">
        <fgColor theme="5" tint="0.39997558519241921"/>
        <bgColor theme="0" tint="-0.14999847407452621"/>
      </patternFill>
    </fill>
    <fill>
      <patternFill patternType="solid">
        <fgColor theme="5" tint="0.59999389629810485"/>
        <bgColor theme="0" tint="-0.14999847407452621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0" fontId="3" fillId="0" borderId="0"/>
    <xf numFmtId="9" fontId="12" fillId="0" borderId="0" applyFont="0" applyFill="0" applyBorder="0" applyAlignment="0" applyProtection="0"/>
  </cellStyleXfs>
  <cellXfs count="166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1" fillId="0" borderId="8" xfId="0" applyFont="1" applyBorder="1" applyAlignment="1">
      <alignment vertical="center" wrapText="1"/>
    </xf>
    <xf numFmtId="0" fontId="1" fillId="0" borderId="9" xfId="0" applyFont="1" applyBorder="1"/>
    <xf numFmtId="0" fontId="1" fillId="0" borderId="5" xfId="0" applyFont="1" applyBorder="1"/>
    <xf numFmtId="0" fontId="1" fillId="0" borderId="7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1" fillId="0" borderId="3" xfId="0" applyFont="1" applyBorder="1" applyAlignment="1">
      <alignment vertical="center"/>
    </xf>
    <xf numFmtId="0" fontId="0" fillId="0" borderId="0" xfId="0" applyAlignment="1">
      <alignment horizontal="center"/>
    </xf>
    <xf numFmtId="0" fontId="1" fillId="0" borderId="5" xfId="0" applyFont="1" applyBorder="1" applyAlignment="1">
      <alignment vertical="center" wrapText="1"/>
    </xf>
    <xf numFmtId="0" fontId="1" fillId="0" borderId="11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13" xfId="0" applyFont="1" applyBorder="1" applyAlignment="1">
      <alignment vertical="center" wrapText="1"/>
    </xf>
    <xf numFmtId="0" fontId="1" fillId="3" borderId="8" xfId="0" applyFont="1" applyFill="1" applyBorder="1" applyAlignment="1">
      <alignment vertical="center" wrapText="1"/>
    </xf>
    <xf numFmtId="0" fontId="1" fillId="3" borderId="6" xfId="0" applyFont="1" applyFill="1" applyBorder="1" applyAlignment="1">
      <alignment vertical="center" wrapText="1"/>
    </xf>
    <xf numFmtId="0" fontId="4" fillId="0" borderId="8" xfId="0" applyFont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0" borderId="2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5" fillId="0" borderId="0" xfId="0" applyFont="1"/>
    <xf numFmtId="0" fontId="0" fillId="0" borderId="0" xfId="0" applyAlignment="1">
      <alignment wrapText="1"/>
    </xf>
    <xf numFmtId="20" fontId="0" fillId="0" borderId="0" xfId="0" applyNumberFormat="1" applyAlignment="1">
      <alignment horizontal="left"/>
    </xf>
    <xf numFmtId="0" fontId="1" fillId="4" borderId="4" xfId="0" applyFont="1" applyFill="1" applyBorder="1" applyAlignment="1">
      <alignment vertical="center" wrapText="1"/>
    </xf>
    <xf numFmtId="0" fontId="1" fillId="4" borderId="7" xfId="0" applyFont="1" applyFill="1" applyBorder="1" applyAlignment="1">
      <alignment vertical="center" wrapText="1"/>
    </xf>
    <xf numFmtId="0" fontId="1" fillId="4" borderId="8" xfId="0" applyFont="1" applyFill="1" applyBorder="1" applyAlignment="1">
      <alignment vertical="center" wrapText="1"/>
    </xf>
    <xf numFmtId="0" fontId="1" fillId="5" borderId="8" xfId="0" applyFont="1" applyFill="1" applyBorder="1" applyAlignment="1">
      <alignment vertical="center" wrapText="1"/>
    </xf>
    <xf numFmtId="0" fontId="1" fillId="4" borderId="6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0" xfId="0" applyFont="1" applyFill="1"/>
    <xf numFmtId="15" fontId="1" fillId="0" borderId="1" xfId="0" applyNumberFormat="1" applyFont="1" applyBorder="1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left"/>
    </xf>
    <xf numFmtId="0" fontId="6" fillId="6" borderId="0" xfId="0" applyFont="1" applyFill="1"/>
    <xf numFmtId="0" fontId="1" fillId="6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0" fontId="1" fillId="7" borderId="4" xfId="0" applyFont="1" applyFill="1" applyBorder="1" applyAlignment="1">
      <alignment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2" xfId="0" applyFont="1" applyFill="1" applyBorder="1" applyAlignment="1">
      <alignment vertical="center" wrapText="1"/>
    </xf>
    <xf numFmtId="0" fontId="1" fillId="8" borderId="0" xfId="0" applyFont="1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6" borderId="0" xfId="0" applyFill="1"/>
    <xf numFmtId="0" fontId="0" fillId="8" borderId="0" xfId="0" applyFill="1"/>
    <xf numFmtId="0" fontId="0" fillId="3" borderId="0" xfId="0" applyFill="1"/>
    <xf numFmtId="0" fontId="1" fillId="12" borderId="8" xfId="0" applyFont="1" applyFill="1" applyBorder="1" applyAlignment="1">
      <alignment vertical="center" wrapText="1"/>
    </xf>
    <xf numFmtId="0" fontId="8" fillId="0" borderId="0" xfId="0" applyFont="1"/>
    <xf numFmtId="0" fontId="1" fillId="7" borderId="2" xfId="0" applyFont="1" applyFill="1" applyBorder="1" applyAlignment="1">
      <alignment vertical="center" wrapText="1"/>
    </xf>
    <xf numFmtId="0" fontId="0" fillId="12" borderId="0" xfId="0" applyFill="1" applyAlignment="1">
      <alignment horizontal="right"/>
    </xf>
    <xf numFmtId="0" fontId="1" fillId="0" borderId="1" xfId="0" applyFont="1" applyBorder="1" applyAlignment="1">
      <alignment horizontal="right" vertical="center" wrapText="1"/>
    </xf>
    <xf numFmtId="0" fontId="1" fillId="12" borderId="6" xfId="0" applyFont="1" applyFill="1" applyBorder="1" applyAlignment="1">
      <alignment vertical="center" wrapText="1"/>
    </xf>
    <xf numFmtId="0" fontId="0" fillId="7" borderId="0" xfId="0" applyFill="1"/>
    <xf numFmtId="0" fontId="1" fillId="6" borderId="0" xfId="0" applyFont="1" applyFill="1" applyAlignment="1">
      <alignment horizontal="center"/>
    </xf>
    <xf numFmtId="0" fontId="4" fillId="0" borderId="14" xfId="0" applyFont="1" applyBorder="1" applyAlignment="1">
      <alignment vertical="center" wrapText="1"/>
    </xf>
    <xf numFmtId="0" fontId="4" fillId="2" borderId="14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7" borderId="8" xfId="0" applyFont="1" applyFill="1" applyBorder="1" applyAlignment="1">
      <alignment vertical="center"/>
    </xf>
    <xf numFmtId="0" fontId="9" fillId="0" borderId="0" xfId="0" applyFont="1" applyAlignment="1">
      <alignment horizontal="left"/>
    </xf>
    <xf numFmtId="0" fontId="0" fillId="3" borderId="0" xfId="0" applyFill="1" applyAlignment="1">
      <alignment horizontal="left"/>
    </xf>
    <xf numFmtId="0" fontId="7" fillId="0" borderId="0" xfId="0" applyFont="1"/>
    <xf numFmtId="0" fontId="4" fillId="13" borderId="14" xfId="0" applyFont="1" applyFill="1" applyBorder="1" applyAlignment="1">
      <alignment horizontal="center" vertical="center" wrapText="1"/>
    </xf>
    <xf numFmtId="0" fontId="4" fillId="14" borderId="14" xfId="0" applyFont="1" applyFill="1" applyBorder="1" applyAlignment="1">
      <alignment horizontal="center" vertical="center" wrapText="1"/>
    </xf>
    <xf numFmtId="0" fontId="1" fillId="15" borderId="14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vertical="center" wrapText="1"/>
    </xf>
    <xf numFmtId="0" fontId="1" fillId="2" borderId="6" xfId="0" applyFont="1" applyFill="1" applyBorder="1" applyAlignment="1">
      <alignment vertical="center" wrapText="1"/>
    </xf>
    <xf numFmtId="0" fontId="1" fillId="0" borderId="4" xfId="0" applyFont="1" applyBorder="1" applyAlignment="1">
      <alignment vertical="center"/>
    </xf>
    <xf numFmtId="0" fontId="1" fillId="2" borderId="4" xfId="0" applyFont="1" applyFill="1" applyBorder="1" applyAlignment="1">
      <alignment vertical="center" wrapText="1"/>
    </xf>
    <xf numFmtId="0" fontId="1" fillId="2" borderId="4" xfId="0" applyFont="1" applyFill="1" applyBorder="1" applyAlignment="1">
      <alignment vertical="center"/>
    </xf>
    <xf numFmtId="0" fontId="1" fillId="2" borderId="7" xfId="0" applyFont="1" applyFill="1" applyBorder="1" applyAlignment="1">
      <alignment vertical="center" wrapText="1"/>
    </xf>
    <xf numFmtId="0" fontId="1" fillId="4" borderId="4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 wrapText="1"/>
    </xf>
    <xf numFmtId="0" fontId="1" fillId="8" borderId="4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 wrapText="1"/>
    </xf>
    <xf numFmtId="0" fontId="1" fillId="7" borderId="6" xfId="0" applyFont="1" applyFill="1" applyBorder="1" applyAlignment="1">
      <alignment vertical="center" wrapText="1"/>
    </xf>
    <xf numFmtId="0" fontId="10" fillId="0" borderId="0" xfId="0" applyFont="1"/>
    <xf numFmtId="0" fontId="1" fillId="17" borderId="6" xfId="0" applyFont="1" applyFill="1" applyBorder="1" applyAlignment="1">
      <alignment vertical="center" wrapText="1"/>
    </xf>
    <xf numFmtId="0" fontId="1" fillId="17" borderId="2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1" fillId="8" borderId="4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0" fontId="1" fillId="8" borderId="8" xfId="0" applyFont="1" applyFill="1" applyBorder="1" applyAlignment="1">
      <alignment vertical="center" wrapText="1"/>
    </xf>
    <xf numFmtId="0" fontId="1" fillId="17" borderId="8" xfId="0" applyFont="1" applyFill="1" applyBorder="1" applyAlignment="1">
      <alignment vertical="center" wrapText="1"/>
    </xf>
    <xf numFmtId="0" fontId="1" fillId="12" borderId="4" xfId="0" applyFont="1" applyFill="1" applyBorder="1" applyAlignment="1">
      <alignment vertical="center" wrapText="1"/>
    </xf>
    <xf numFmtId="0" fontId="1" fillId="12" borderId="7" xfId="0" applyFont="1" applyFill="1" applyBorder="1" applyAlignment="1">
      <alignment vertical="center" wrapText="1"/>
    </xf>
    <xf numFmtId="0" fontId="1" fillId="12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9" xfId="0" applyFont="1" applyBorder="1" applyAlignment="1">
      <alignment vertical="center" wrapText="1"/>
    </xf>
    <xf numFmtId="0" fontId="1" fillId="0" borderId="0" xfId="0" applyFont="1" applyAlignment="1">
      <alignment vertical="center"/>
    </xf>
    <xf numFmtId="0" fontId="1" fillId="18" borderId="4" xfId="0" applyFont="1" applyFill="1" applyBorder="1" applyAlignment="1">
      <alignment vertical="center" wrapText="1"/>
    </xf>
    <xf numFmtId="0" fontId="0" fillId="3" borderId="0" xfId="0" applyFill="1" applyAlignment="1">
      <alignment horizontal="center"/>
    </xf>
    <xf numFmtId="20" fontId="0" fillId="0" borderId="0" xfId="0" applyNumberFormat="1" applyAlignment="1">
      <alignment horizontal="center"/>
    </xf>
    <xf numFmtId="0" fontId="1" fillId="19" borderId="8" xfId="0" applyFont="1" applyFill="1" applyBorder="1" applyAlignment="1">
      <alignment vertical="center"/>
    </xf>
    <xf numFmtId="0" fontId="1" fillId="12" borderId="3" xfId="0" applyFont="1" applyFill="1" applyBorder="1" applyAlignment="1">
      <alignment vertical="center"/>
    </xf>
    <xf numFmtId="0" fontId="1" fillId="19" borderId="3" xfId="0" applyFont="1" applyFill="1" applyBorder="1" applyAlignment="1">
      <alignment vertical="center"/>
    </xf>
    <xf numFmtId="0" fontId="0" fillId="0" borderId="10" xfId="0" applyBorder="1"/>
    <xf numFmtId="0" fontId="1" fillId="7" borderId="7" xfId="0" applyFont="1" applyFill="1" applyBorder="1" applyAlignment="1">
      <alignment vertical="center" wrapText="1"/>
    </xf>
    <xf numFmtId="0" fontId="3" fillId="20" borderId="14" xfId="0" applyFont="1" applyFill="1" applyBorder="1"/>
    <xf numFmtId="0" fontId="3" fillId="0" borderId="14" xfId="0" applyFont="1" applyBorder="1"/>
    <xf numFmtId="0" fontId="8" fillId="0" borderId="0" xfId="0" applyFont="1" applyAlignment="1">
      <alignment horizontal="center"/>
    </xf>
    <xf numFmtId="0" fontId="3" fillId="21" borderId="15" xfId="0" applyFont="1" applyFill="1" applyBorder="1"/>
    <xf numFmtId="0" fontId="3" fillId="0" borderId="15" xfId="0" applyFont="1" applyBorder="1"/>
    <xf numFmtId="0" fontId="3" fillId="20" borderId="15" xfId="0" applyFont="1" applyFill="1" applyBorder="1"/>
    <xf numFmtId="0" fontId="3" fillId="21" borderId="16" xfId="0" applyFont="1" applyFill="1" applyBorder="1"/>
    <xf numFmtId="0" fontId="3" fillId="0" borderId="16" xfId="0" applyFont="1" applyBorder="1"/>
    <xf numFmtId="0" fontId="8" fillId="0" borderId="17" xfId="0" applyFont="1" applyBorder="1"/>
    <xf numFmtId="0" fontId="1" fillId="22" borderId="4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 wrapText="1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12" borderId="0" xfId="0" applyFill="1" applyAlignment="1">
      <alignment horizontal="center"/>
    </xf>
    <xf numFmtId="0" fontId="1" fillId="23" borderId="3" xfId="0" applyFont="1" applyFill="1" applyBorder="1" applyAlignment="1">
      <alignment vertical="center"/>
    </xf>
    <xf numFmtId="0" fontId="3" fillId="20" borderId="14" xfId="0" applyFont="1" applyFill="1" applyBorder="1" applyAlignment="1">
      <alignment horizontal="center"/>
    </xf>
    <xf numFmtId="0" fontId="3" fillId="21" borderId="15" xfId="0" applyFont="1" applyFill="1" applyBorder="1" applyAlignment="1">
      <alignment horizontal="center"/>
    </xf>
    <xf numFmtId="0" fontId="3" fillId="21" borderId="16" xfId="0" applyFont="1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24" borderId="0" xfId="0" applyFill="1"/>
    <xf numFmtId="0" fontId="9" fillId="3" borderId="0" xfId="0" applyFont="1" applyFill="1" applyAlignment="1">
      <alignment horizontal="left"/>
    </xf>
    <xf numFmtId="9" fontId="0" fillId="0" borderId="0" xfId="0" applyNumberFormat="1"/>
    <xf numFmtId="0" fontId="9" fillId="0" borderId="0" xfId="0" quotePrefix="1" applyFont="1" applyAlignment="1">
      <alignment horizontal="left"/>
    </xf>
    <xf numFmtId="0" fontId="11" fillId="0" borderId="0" xfId="0" applyFont="1"/>
    <xf numFmtId="0" fontId="11" fillId="21" borderId="0" xfId="0" applyFont="1" applyFill="1"/>
    <xf numFmtId="0" fontId="1" fillId="0" borderId="1" xfId="0" applyFont="1" applyBorder="1" applyAlignment="1">
      <alignment horizontal="left" vertical="center" wrapText="1"/>
    </xf>
    <xf numFmtId="0" fontId="1" fillId="25" borderId="6" xfId="0" applyFont="1" applyFill="1" applyBorder="1" applyAlignment="1">
      <alignment vertical="center" wrapText="1"/>
    </xf>
    <xf numFmtId="0" fontId="1" fillId="25" borderId="2" xfId="0" applyFont="1" applyFill="1" applyBorder="1" applyAlignment="1">
      <alignment vertical="center" wrapText="1"/>
    </xf>
    <xf numFmtId="0" fontId="5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2" applyFont="1"/>
    <xf numFmtId="0" fontId="1" fillId="12" borderId="4" xfId="0" applyFont="1" applyFill="1" applyBorder="1" applyAlignment="1">
      <alignment vertical="center"/>
    </xf>
    <xf numFmtId="0" fontId="3" fillId="0" borderId="0" xfId="0" applyFont="1" applyAlignment="1">
      <alignment horizontal="right"/>
    </xf>
    <xf numFmtId="0" fontId="1" fillId="2" borderId="4" xfId="0" quotePrefix="1" applyFont="1" applyFill="1" applyBorder="1" applyAlignment="1">
      <alignment vertical="center"/>
    </xf>
    <xf numFmtId="0" fontId="5" fillId="0" borderId="0" xfId="0" applyFont="1" applyAlignment="1">
      <alignment horizontal="right"/>
    </xf>
    <xf numFmtId="0" fontId="0" fillId="26" borderId="0" xfId="0" applyFill="1" applyAlignment="1">
      <alignment horizontal="center"/>
    </xf>
    <xf numFmtId="0" fontId="5" fillId="26" borderId="0" xfId="0" applyFont="1" applyFill="1" applyAlignment="1">
      <alignment horizontal="center"/>
    </xf>
    <xf numFmtId="0" fontId="3" fillId="27" borderId="0" xfId="0" applyFont="1" applyFill="1" applyAlignment="1">
      <alignment horizontal="center"/>
    </xf>
    <xf numFmtId="0" fontId="5" fillId="27" borderId="0" xfId="0" applyFont="1" applyFill="1" applyAlignment="1">
      <alignment horizontal="center"/>
    </xf>
    <xf numFmtId="0" fontId="13" fillId="0" borderId="0" xfId="0" applyFont="1" applyAlignment="1">
      <alignment horizontal="left"/>
    </xf>
    <xf numFmtId="0" fontId="0" fillId="27" borderId="0" xfId="0" applyFill="1" applyAlignment="1">
      <alignment horizontal="center"/>
    </xf>
    <xf numFmtId="15" fontId="0" fillId="0" borderId="0" xfId="0" applyNumberFormat="1" applyAlignment="1">
      <alignment horizontal="center"/>
    </xf>
    <xf numFmtId="3" fontId="11" fillId="0" borderId="0" xfId="0" applyNumberFormat="1" applyFont="1"/>
    <xf numFmtId="9" fontId="0" fillId="0" borderId="0" xfId="0" applyNumberFormat="1" applyAlignment="1">
      <alignment horizontal="center"/>
    </xf>
  </cellXfs>
  <cellStyles count="3">
    <cellStyle name="Normal" xfId="0" builtinId="0"/>
    <cellStyle name="Normal 2" xfId="1" xr:uid="{2579EBC4-8073-4D06-AF07-31A01C277B96}"/>
    <cellStyle name="Porcentaje" xfId="2" builtinId="5"/>
  </cellStyles>
  <dxfs count="52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6600"/>
      <color rgb="FFCC99FF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sheetMetadata" Target="metadata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worksheet" Target="worksheets/sheet113.xml"/><Relationship Id="rId118" Type="http://schemas.microsoft.com/office/2017/10/relationships/person" Target="persons/perso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theme" Target="theme/theme1.xml"/><Relationship Id="rId119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ZUNINO CORREA Marco Nicolás" id="{622B8679-81F9-4BA5-BCED-D56836D70B26}" userId="S::mzunino@correo.um.edu.uy::b72be42d-26f6-49f2-8314-9b63fce10b82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696C74-5DD1-4C8E-A739-81312A27383B}" name="Tabla4" displayName="Tabla4" ref="A1:Q174" totalsRowShown="0" headerRowDxfId="51" dataDxfId="49" headerRowBorderDxfId="50" tableBorderDxfId="48">
  <autoFilter ref="A1:Q174" xr:uid="{C1696C74-5DD1-4C8E-A739-81312A27383B}"/>
  <tableColumns count="17">
    <tableColumn id="1" xr3:uid="{075D5136-A95B-4955-B85E-829BC9BA9BAE}" name="ID" dataDxfId="47"/>
    <tableColumn id="16" xr3:uid="{5A89D9FB-B18A-4DA0-8EF0-860B5C0ACC88}" name="Materia" dataDxfId="46"/>
    <tableColumn id="2" xr3:uid="{576A4FC5-51CE-475E-BED3-5CC6B6674721}" name="Carga Horaria" dataDxfId="45"/>
    <tableColumn id="3" xr3:uid="{F2E2F0D6-1D40-4CE0-8103-51959A3B82CD}" name="Días por semana" dataDxfId="44"/>
    <tableColumn id="4" xr3:uid="{264CC43A-F4EB-465F-A7D0-135F4A50B4DA}" name="Teo/Prac" dataDxfId="43"/>
    <tableColumn id="18" xr3:uid="{C1EE52EE-76E1-4227-BDC2-C10CE91F3B25}" name="Electiva" dataDxfId="42"/>
    <tableColumn id="15" xr3:uid="{70E0A7F3-2F19-4D9C-B8B4-44BD310E116D}" name="Cantidad profesores" dataDxfId="41"/>
    <tableColumn id="5" xr3:uid="{6B45BF66-9698-437C-BDC8-5D44A7631A6D}" name="Profesor 1" dataDxfId="40"/>
    <tableColumn id="6" xr3:uid="{B008AED2-55E7-4340-BEFF-FD96D52A94AD}" name="Profesor 2" dataDxfId="39"/>
    <tableColumn id="7" xr3:uid="{AB6B10CF-B16D-4B43-AC73-0C1DC6BF4FDB}" name="Profesor 3" dataDxfId="38"/>
    <tableColumn id="8" xr3:uid="{F29C2ECC-B0C1-4CD7-B883-FA38FEDAB810}" name="Profesor 4" dataDxfId="37"/>
    <tableColumn id="9" xr3:uid="{95992D8B-DCAA-4D57-87A1-000CA7014D18}" name="Grupo 1" dataDxfId="36"/>
    <tableColumn id="10" xr3:uid="{2DA38EA5-810C-44E7-A60B-9C9CF406C451}" name="Grupo 2" dataDxfId="35"/>
    <tableColumn id="11" xr3:uid="{313788F1-87DE-4E02-9D67-7FBF57D47ED7}" name="Grupo 3" dataDxfId="34"/>
    <tableColumn id="12" xr3:uid="{5E84964D-B14A-4A91-815D-C2F572D40545}" name="Grupo 4" dataDxfId="33"/>
    <tableColumn id="13" xr3:uid="{55216FB5-5CFC-47CC-BEE7-9ADF52048B9B}" name="Grupo 5" dataDxfId="32"/>
    <tableColumn id="14" xr3:uid="{37F95C67-73FA-4464-9726-6BF00AC992AA}" name="Observaciones" dataDxfId="3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4893D1-0573-42A8-87FD-99C77B57B53D}" name="Tabla3" displayName="Tabla3" ref="A1:N105" totalsRowShown="0" headerRowDxfId="30" tableBorderDxfId="29">
  <autoFilter ref="A1:N105" xr:uid="{E74893D1-0573-42A8-87FD-99C77B57B53D}"/>
  <sortState xmlns:xlrd2="http://schemas.microsoft.com/office/spreadsheetml/2017/richdata2" ref="A2:N105">
    <sortCondition ref="C1:C105"/>
  </sortState>
  <tableColumns count="14">
    <tableColumn id="1" xr3:uid="{48E73294-D876-4677-AF47-7E46EE0B52D1}" name="Nombre" dataDxfId="28"/>
    <tableColumn id="15" xr3:uid="{B2A08EBB-2DFF-4C69-BAD9-CF0EF60582E5}" name="ID" dataDxfId="27"/>
    <tableColumn id="2" xr3:uid="{F182E5ED-6A3F-437D-AD09-A5B851853EE5}" name="Profesor" dataDxfId="26"/>
    <tableColumn id="3" xr3:uid="{E4879D73-DC77-4506-AC89-73A9F98F9FBA}" name="Min/Max dias" dataDxfId="25"/>
    <tableColumn id="4" xr3:uid="{96CC417A-CAEF-4C35-93B2-5D497E35892C}" name="Materia 1" dataDxfId="24"/>
    <tableColumn id="5" xr3:uid="{B16C4069-5162-4600-9D3C-97ED62A311FD}" name="Grupos materia 1" dataDxfId="23"/>
    <tableColumn id="6" xr3:uid="{EE665987-863E-4B3F-99E6-175412D2D651}" name="Materia 2" dataDxfId="22"/>
    <tableColumn id="7" xr3:uid="{796C3EC6-489F-4C00-8EC4-CB2BACD176F0}" name="Grupos materia 2" dataDxfId="21"/>
    <tableColumn id="8" xr3:uid="{A832BD39-7E70-4D42-9F13-BB9961BA8EA4}" name="Materia 3" dataDxfId="20"/>
    <tableColumn id="9" xr3:uid="{014118E3-F423-471E-967B-E595511BDCE0}" name="Grupos materia 3" dataDxfId="19"/>
    <tableColumn id="10" xr3:uid="{D5535E93-CF2E-4E16-9EF4-8D9EF8957764}" name="Materia 4" dataDxfId="18"/>
    <tableColumn id="11" xr3:uid="{C6AFAB8F-5DB4-4105-9380-B814B98786EE}" name="Grupos materia 4" dataDxfId="17"/>
    <tableColumn id="12" xr3:uid="{D53518AE-F406-461B-8282-1BED3ABEF2FA}" name="Observacion 1" dataDxfId="16"/>
    <tableColumn id="13" xr3:uid="{8F98C1F1-6844-4265-99E2-BB9E4EA1C002}" name="Observacion 2" dataDxfId="1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4E7A155-269B-4C66-8CCB-2F2548E0C716}" name="Tabla5" displayName="Tabla5" ref="A1:H30" totalsRowShown="0" headerRowDxfId="14" dataDxfId="13">
  <autoFilter ref="A1:H30" xr:uid="{44E7A155-269B-4C66-8CCB-2F2548E0C716}"/>
  <tableColumns count="8">
    <tableColumn id="1" xr3:uid="{98ADAA19-5691-4BB3-8733-2957C5BFC6B0}" name="Grupo" dataDxfId="12">
      <calculatedColumnFormula>_xlfn.CONCAT(B2:F2)</calculatedColumnFormula>
    </tableColumn>
    <tableColumn id="2" xr3:uid="{96C39E39-6900-4CC5-9322-E587F4FD0C16}" name="Año" dataDxfId="11"/>
    <tableColumn id="3" xr3:uid="{D2795426-682A-46C5-B539-DB887E797F95}" name="Carrera" dataDxfId="10"/>
    <tableColumn id="4" xr3:uid="{08F3FF89-25C8-4C00-9E65-3DB733E58D11}" name="Recurse" dataDxfId="9"/>
    <tableColumn id="5" xr3:uid="{357C7707-3F4C-44C1-964A-A91504D54BC4}" name="Particion" dataDxfId="8"/>
    <tableColumn id="6" xr3:uid="{D1B39A44-C09E-4EF9-8CF6-38D1BA2CC036}" name="Auxiliar" dataDxfId="7"/>
    <tableColumn id="7" xr3:uid="{19FD498C-7094-4B61-B08E-073879907DF8}" name="Turno" dataDxfId="6"/>
    <tableColumn id="8" xr3:uid="{3AE98A7A-6F97-4245-9775-34A72E026BAC}" name="Alumno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C8BD93-6DE8-4055-A79E-28C0108C529D}" name="Tabla1" displayName="Tabla1" ref="A1:G16" totalsRowShown="0" headerRowDxfId="5">
  <autoFilter ref="A1:G16" xr:uid="{BFC8BD93-6DE8-4055-A79E-28C0108C529D}"/>
  <tableColumns count="7">
    <tableColumn id="1" xr3:uid="{C4C94F3D-1647-44A5-98B4-7B9D48510110}" name="#" dataDxfId="4"/>
    <tableColumn id="2" xr3:uid="{4958DD8C-2B06-4CE4-BCCA-5A9E9A383EDF}" name="Inicio" dataDxfId="3"/>
    <tableColumn id="3" xr3:uid="{4DC8158E-E1DF-4F5A-86A0-386985D639EA}" name="Fin" dataDxfId="2">
      <calculatedColumnFormula>B2+(5/6)/24</calculatedColumnFormula>
    </tableColumn>
    <tableColumn id="4" xr3:uid="{0C86E64C-83FD-4A35-AAFA-296F6C5AC079}" name="Turno 1" dataDxfId="1"/>
    <tableColumn id="5" xr3:uid="{A9393972-2780-4EEE-986A-55246FC43B3F}" name="Turno 2" dataDxfId="0"/>
    <tableColumn id="6" xr3:uid="{52E1372C-0C98-4442-BCB1-2744BF03FD10}" name="Turno 3"/>
    <tableColumn id="7" xr3:uid="{880FD957-1AF6-4909-89A4-591CAB00B72D}" name="Turno 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40" dT="2024-11-08T23:30:24.77" personId="{622B8679-81F9-4BA5-BCED-D56836D70B26}" id="{4B61C5F6-EDAC-4526-92C9-219FB8C0EC39}">
    <text>Poca disponibilidad</text>
  </threadedComment>
  <threadedComment ref="C141" dT="2024-11-08T23:30:24.77" personId="{622B8679-81F9-4BA5-BCED-D56836D70B26}" id="{593D5C6E-D2C6-4948-A243-89725A7C0F64}">
    <text>Poca disponibilidad</text>
  </threadedComment>
  <threadedComment ref="H143" dT="2024-11-08T23:25:17.20" personId="{622B8679-81F9-4BA5-BCED-D56836D70B26}" id="{4C163CC1-E3EC-482F-B92B-53B8FA7D17E9}">
    <text>Disponibilidad exacta (3h lunes)</text>
  </threadedComment>
  <threadedComment ref="C148" dT="2024-11-08T23:08:53.56" personId="{622B8679-81F9-4BA5-BCED-D56836D70B26}" id="{9C8A45CC-305C-4B73-ADD0-1D5F4446221C}">
    <text>Poca disponibilidad, horas muy ajustadas</text>
  </threadedComment>
  <threadedComment ref="C156" dT="2024-11-12T13:55:29.10" personId="{622B8679-81F9-4BA5-BCED-D56836D70B26}" id="{B0F64D09-F8B5-43AB-B2BE-149D3AD62FD0}">
    <text>Disponibilidad limitada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091E0-4256-4316-B983-CB383CA143C1}">
  <sheetPr codeName="Hoja4"/>
  <dimension ref="A1:AL175"/>
  <sheetViews>
    <sheetView zoomScale="90" zoomScaleNormal="90" workbookViewId="0">
      <pane ySplit="1" topLeftCell="A2" activePane="bottomLeft" state="frozen"/>
      <selection activeCell="H164" sqref="H164"/>
      <selection pane="bottomLeft" activeCell="S4" sqref="S4"/>
    </sheetView>
  </sheetViews>
  <sheetFormatPr baseColWidth="10" defaultColWidth="11.88671875" defaultRowHeight="14.4" x14ac:dyDescent="0.3"/>
  <cols>
    <col min="1" max="1" width="5.21875" style="6" customWidth="1"/>
    <col min="2" max="2" width="11.109375" style="6" customWidth="1"/>
    <col min="3" max="4" width="9.88671875" style="5" customWidth="1"/>
    <col min="5" max="6" width="6.109375" style="5" customWidth="1"/>
    <col min="7" max="7" width="11.33203125" style="5" customWidth="1"/>
    <col min="8" max="8" width="10.88671875" style="11" customWidth="1"/>
    <col min="9" max="9" width="10.88671875" style="7" customWidth="1"/>
    <col min="10" max="10" width="10.88671875" style="5" customWidth="1"/>
    <col min="11" max="11" width="10.88671875" style="12" customWidth="1"/>
    <col min="12" max="12" width="8.6640625" style="7" customWidth="1"/>
    <col min="13" max="15" width="8.6640625" style="5" customWidth="1"/>
    <col min="16" max="16" width="8.6640625" style="12" customWidth="1"/>
    <col min="17" max="17" width="17.44140625" style="5" customWidth="1"/>
    <col min="18" max="18" width="14.109375" style="5" customWidth="1"/>
    <col min="19" max="16384" width="11.88671875" style="5"/>
  </cols>
  <sheetData>
    <row r="1" spans="1:38" ht="30.6" customHeight="1" thickBot="1" x14ac:dyDescent="0.35">
      <c r="A1" s="4" t="s">
        <v>905</v>
      </c>
      <c r="B1" s="4" t="s">
        <v>0</v>
      </c>
      <c r="C1" s="4" t="s">
        <v>1</v>
      </c>
      <c r="D1" s="9" t="s">
        <v>2</v>
      </c>
      <c r="E1" s="21" t="s">
        <v>3</v>
      </c>
      <c r="F1" s="21" t="s">
        <v>4</v>
      </c>
      <c r="G1" s="28" t="s">
        <v>5</v>
      </c>
      <c r="H1" s="21" t="s">
        <v>6</v>
      </c>
      <c r="I1" s="9" t="s">
        <v>7</v>
      </c>
      <c r="J1" s="9" t="s">
        <v>8</v>
      </c>
      <c r="K1" s="4" t="s">
        <v>9</v>
      </c>
      <c r="L1" s="21" t="s">
        <v>10</v>
      </c>
      <c r="M1" s="9" t="s">
        <v>11</v>
      </c>
      <c r="N1" s="9" t="s">
        <v>12</v>
      </c>
      <c r="O1" s="9" t="s">
        <v>13</v>
      </c>
      <c r="P1" s="4" t="s">
        <v>14</v>
      </c>
      <c r="Q1" s="24" t="s">
        <v>15</v>
      </c>
    </row>
    <row r="2" spans="1:38" ht="15" thickBot="1" x14ac:dyDescent="0.35">
      <c r="A2" s="2">
        <v>1</v>
      </c>
      <c r="B2" s="2" t="s">
        <v>16</v>
      </c>
      <c r="C2" s="48">
        <v>5</v>
      </c>
      <c r="D2" s="8">
        <v>2</v>
      </c>
      <c r="E2" s="10"/>
      <c r="F2" s="10"/>
      <c r="G2" s="29">
        <v>1</v>
      </c>
      <c r="H2" s="10" t="s">
        <v>17</v>
      </c>
      <c r="I2" s="8"/>
      <c r="J2" s="8"/>
      <c r="K2" s="2"/>
      <c r="L2" s="8" t="s">
        <v>18</v>
      </c>
      <c r="M2" s="8"/>
      <c r="N2" s="8"/>
      <c r="O2" s="8"/>
      <c r="P2" s="2"/>
      <c r="Q2" s="23" t="s">
        <v>945</v>
      </c>
    </row>
    <row r="3" spans="1:38" ht="15" thickBot="1" x14ac:dyDescent="0.35">
      <c r="A3" s="4">
        <v>2</v>
      </c>
      <c r="B3" s="4" t="s">
        <v>19</v>
      </c>
      <c r="C3" s="4">
        <v>5</v>
      </c>
      <c r="D3" s="9">
        <v>2</v>
      </c>
      <c r="E3" s="10" t="s">
        <v>20</v>
      </c>
      <c r="F3" s="10"/>
      <c r="G3" s="10">
        <v>1</v>
      </c>
      <c r="H3" s="10" t="s">
        <v>21</v>
      </c>
      <c r="I3" s="8"/>
      <c r="J3" s="8"/>
      <c r="K3" s="2"/>
      <c r="L3" s="8" t="s">
        <v>18</v>
      </c>
      <c r="M3" s="8"/>
      <c r="N3" s="8"/>
      <c r="O3" s="8"/>
      <c r="P3" s="2"/>
      <c r="Q3" s="83"/>
      <c r="U3" s="5" t="s">
        <v>22</v>
      </c>
      <c r="Y3" s="5" t="s">
        <v>23</v>
      </c>
      <c r="AB3" s="103" t="s">
        <v>24</v>
      </c>
      <c r="AC3" s="103" t="s">
        <v>25</v>
      </c>
      <c r="AD3" s="103" t="s">
        <v>26</v>
      </c>
      <c r="AE3" s="103" t="s">
        <v>27</v>
      </c>
      <c r="AF3" s="103" t="s">
        <v>28</v>
      </c>
      <c r="AH3" s="103" t="s">
        <v>24</v>
      </c>
      <c r="AI3" s="103" t="s">
        <v>25</v>
      </c>
      <c r="AJ3" s="103" t="s">
        <v>26</v>
      </c>
      <c r="AK3" s="103" t="s">
        <v>27</v>
      </c>
      <c r="AL3" s="103" t="s">
        <v>28</v>
      </c>
    </row>
    <row r="4" spans="1:38" ht="15" thickBot="1" x14ac:dyDescent="0.35">
      <c r="A4" s="2">
        <v>3</v>
      </c>
      <c r="B4" s="4" t="s">
        <v>29</v>
      </c>
      <c r="C4" s="4">
        <v>2</v>
      </c>
      <c r="D4" s="9">
        <v>1</v>
      </c>
      <c r="E4" s="10" t="s">
        <v>30</v>
      </c>
      <c r="F4" s="10"/>
      <c r="G4" s="10">
        <v>1</v>
      </c>
      <c r="H4" s="10" t="s">
        <v>31</v>
      </c>
      <c r="I4" s="8"/>
      <c r="J4" s="8"/>
      <c r="K4" s="2"/>
      <c r="L4" s="8" t="s">
        <v>18</v>
      </c>
      <c r="M4" s="8"/>
      <c r="N4" s="8"/>
      <c r="O4" s="8"/>
      <c r="P4" s="2"/>
      <c r="Q4" s="83"/>
      <c r="U4" s="5">
        <v>0</v>
      </c>
      <c r="V4">
        <f>COUNTIF($G$2:$G$174,U4)</f>
        <v>11</v>
      </c>
      <c r="Y4" s="5">
        <v>1</v>
      </c>
      <c r="Z4" s="5">
        <f t="shared" ref="Z4:Z10" si="0">COUNTIF($C$2:$C$2,Y4)</f>
        <v>0</v>
      </c>
      <c r="AB4" s="47" t="s">
        <v>32</v>
      </c>
      <c r="AC4" s="47" t="s">
        <v>33</v>
      </c>
      <c r="AD4" s="47" t="s">
        <v>34</v>
      </c>
      <c r="AE4" s="47" t="s">
        <v>35</v>
      </c>
      <c r="AF4" s="47"/>
      <c r="AH4" s="47"/>
      <c r="AI4" s="47" t="s">
        <v>34</v>
      </c>
      <c r="AJ4" s="47" t="s">
        <v>36</v>
      </c>
      <c r="AK4" s="47" t="s">
        <v>37</v>
      </c>
      <c r="AL4" s="47" t="s">
        <v>38</v>
      </c>
    </row>
    <row r="5" spans="1:38" ht="15" thickBot="1" x14ac:dyDescent="0.35">
      <c r="A5" s="4">
        <v>4</v>
      </c>
      <c r="B5" s="4" t="s">
        <v>39</v>
      </c>
      <c r="C5" s="4">
        <v>4</v>
      </c>
      <c r="D5" s="8">
        <v>2</v>
      </c>
      <c r="E5" s="10"/>
      <c r="F5" s="10"/>
      <c r="G5" s="10">
        <v>1</v>
      </c>
      <c r="H5" s="10" t="s">
        <v>40</v>
      </c>
      <c r="I5" s="8"/>
      <c r="J5" s="8"/>
      <c r="K5" s="2"/>
      <c r="L5" s="8" t="s">
        <v>18</v>
      </c>
      <c r="M5" s="8"/>
      <c r="N5" s="8"/>
      <c r="O5" s="8"/>
      <c r="P5" s="2"/>
      <c r="Q5" s="83"/>
      <c r="U5" s="5">
        <v>1</v>
      </c>
      <c r="V5">
        <f>COUNTIF($G$2:$G$174,U5)</f>
        <v>145</v>
      </c>
      <c r="Y5" s="5">
        <v>2</v>
      </c>
      <c r="Z5" s="5">
        <f t="shared" si="0"/>
        <v>0</v>
      </c>
      <c r="AB5" s="47" t="s">
        <v>32</v>
      </c>
      <c r="AC5" s="47" t="s">
        <v>33</v>
      </c>
      <c r="AD5" s="47" t="s">
        <v>34</v>
      </c>
      <c r="AE5" s="47" t="s">
        <v>35</v>
      </c>
      <c r="AF5" s="47"/>
      <c r="AH5" s="47"/>
      <c r="AI5" s="47" t="s">
        <v>34</v>
      </c>
      <c r="AJ5" s="47" t="s">
        <v>36</v>
      </c>
      <c r="AK5" s="47" t="s">
        <v>37</v>
      </c>
      <c r="AL5" s="47" t="s">
        <v>38</v>
      </c>
    </row>
    <row r="6" spans="1:38" ht="15" thickBot="1" x14ac:dyDescent="0.35">
      <c r="A6" s="2">
        <v>5</v>
      </c>
      <c r="B6" s="84" t="s">
        <v>41</v>
      </c>
      <c r="C6" s="84">
        <v>4</v>
      </c>
      <c r="D6" s="82">
        <v>2</v>
      </c>
      <c r="E6" s="29"/>
      <c r="F6" s="29"/>
      <c r="G6" s="29">
        <v>1</v>
      </c>
      <c r="H6" s="29" t="s">
        <v>42</v>
      </c>
      <c r="I6" s="82"/>
      <c r="J6" s="82"/>
      <c r="K6" s="81"/>
      <c r="L6" s="82" t="s">
        <v>18</v>
      </c>
      <c r="M6" s="82"/>
      <c r="N6" s="82"/>
      <c r="O6" s="82"/>
      <c r="P6" s="81"/>
      <c r="Q6" s="85"/>
      <c r="U6" s="5">
        <v>2</v>
      </c>
      <c r="V6">
        <f>COUNTIF($G$2:$G$174,U6)</f>
        <v>9</v>
      </c>
      <c r="Y6" s="5">
        <v>3</v>
      </c>
      <c r="Z6" s="5">
        <f t="shared" si="0"/>
        <v>0</v>
      </c>
      <c r="AB6" s="47" t="s">
        <v>32</v>
      </c>
      <c r="AC6" s="47" t="s">
        <v>33</v>
      </c>
      <c r="AD6" s="47" t="s">
        <v>34</v>
      </c>
      <c r="AE6" s="47" t="s">
        <v>35</v>
      </c>
      <c r="AF6" s="47"/>
      <c r="AH6" s="47" t="s">
        <v>32</v>
      </c>
      <c r="AI6" s="47" t="s">
        <v>34</v>
      </c>
      <c r="AK6" s="47" t="s">
        <v>37</v>
      </c>
      <c r="AL6" s="47"/>
    </row>
    <row r="7" spans="1:38" ht="15" thickBot="1" x14ac:dyDescent="0.35">
      <c r="A7" s="4">
        <v>6</v>
      </c>
      <c r="B7" s="4" t="s">
        <v>43</v>
      </c>
      <c r="C7" s="4">
        <v>5</v>
      </c>
      <c r="D7" s="8">
        <v>2</v>
      </c>
      <c r="E7" s="10"/>
      <c r="F7" s="10"/>
      <c r="G7" s="10">
        <v>1</v>
      </c>
      <c r="H7" s="10" t="s">
        <v>21</v>
      </c>
      <c r="I7" s="8"/>
      <c r="J7" s="8"/>
      <c r="K7" s="2"/>
      <c r="L7" s="8" t="s">
        <v>44</v>
      </c>
      <c r="M7" s="8"/>
      <c r="N7" s="8"/>
      <c r="O7" s="8"/>
      <c r="P7" s="2"/>
      <c r="Q7" s="83"/>
      <c r="U7" s="5">
        <v>3</v>
      </c>
      <c r="V7">
        <f>COUNTIF($G$2:$G$174,U7)</f>
        <v>2</v>
      </c>
      <c r="Y7" s="5">
        <v>4</v>
      </c>
      <c r="Z7" s="5">
        <f t="shared" si="0"/>
        <v>0</v>
      </c>
      <c r="AB7" s="47" t="s">
        <v>32</v>
      </c>
      <c r="AC7" s="47" t="s">
        <v>37</v>
      </c>
      <c r="AD7" s="47" t="s">
        <v>45</v>
      </c>
      <c r="AE7" s="47" t="s">
        <v>35</v>
      </c>
      <c r="AF7" s="47"/>
      <c r="AH7" s="47" t="s">
        <v>32</v>
      </c>
      <c r="AI7" s="47" t="s">
        <v>37</v>
      </c>
      <c r="AJ7" s="47"/>
      <c r="AK7" s="47" t="s">
        <v>32</v>
      </c>
      <c r="AL7" s="47"/>
    </row>
    <row r="8" spans="1:38" ht="15" thickBot="1" x14ac:dyDescent="0.35">
      <c r="A8" s="2">
        <v>7</v>
      </c>
      <c r="B8" s="84" t="s">
        <v>46</v>
      </c>
      <c r="C8" s="84">
        <v>5</v>
      </c>
      <c r="D8" s="86">
        <v>2</v>
      </c>
      <c r="E8" s="29"/>
      <c r="F8" s="29"/>
      <c r="G8" s="29">
        <v>3</v>
      </c>
      <c r="H8" s="29" t="s">
        <v>47</v>
      </c>
      <c r="I8" s="82" t="s">
        <v>48</v>
      </c>
      <c r="J8" s="82" t="s">
        <v>49</v>
      </c>
      <c r="K8" s="81"/>
      <c r="L8" s="82" t="s">
        <v>44</v>
      </c>
      <c r="M8" s="82"/>
      <c r="N8" s="82"/>
      <c r="O8" s="82"/>
      <c r="P8" s="81"/>
      <c r="Q8" s="85"/>
      <c r="U8" s="5">
        <v>4</v>
      </c>
      <c r="V8">
        <f>COUNTIF($G$2:$G$174,U8)</f>
        <v>0</v>
      </c>
      <c r="Y8" s="5">
        <v>5</v>
      </c>
      <c r="Z8" s="5">
        <f t="shared" si="0"/>
        <v>1</v>
      </c>
      <c r="AB8" s="47" t="s">
        <v>32</v>
      </c>
      <c r="AC8" s="47" t="s">
        <v>37</v>
      </c>
      <c r="AD8" s="47" t="s">
        <v>45</v>
      </c>
      <c r="AE8" s="47" t="s">
        <v>35</v>
      </c>
      <c r="AF8" s="47"/>
      <c r="AH8" s="47"/>
      <c r="AI8" s="47" t="s">
        <v>37</v>
      </c>
      <c r="AK8" s="47" t="s">
        <v>32</v>
      </c>
      <c r="AL8" s="47"/>
    </row>
    <row r="9" spans="1:38" ht="15" thickBot="1" x14ac:dyDescent="0.35">
      <c r="A9" s="4">
        <v>8</v>
      </c>
      <c r="B9" s="4" t="s">
        <v>50</v>
      </c>
      <c r="C9" s="4">
        <v>5</v>
      </c>
      <c r="D9" s="9">
        <v>2</v>
      </c>
      <c r="E9" s="10"/>
      <c r="F9" s="10"/>
      <c r="G9" s="10">
        <v>1</v>
      </c>
      <c r="H9" s="10" t="s">
        <v>51</v>
      </c>
      <c r="I9" s="8"/>
      <c r="J9" s="8"/>
      <c r="K9" s="2"/>
      <c r="L9" s="8" t="s">
        <v>44</v>
      </c>
      <c r="M9" s="8"/>
      <c r="N9" s="8"/>
      <c r="O9" s="8"/>
      <c r="P9" s="2"/>
      <c r="Q9" s="83"/>
      <c r="Y9" s="5">
        <v>6</v>
      </c>
      <c r="Z9" s="5">
        <f t="shared" si="0"/>
        <v>0</v>
      </c>
      <c r="AC9" s="59"/>
      <c r="AD9" s="59"/>
      <c r="AE9" s="59"/>
    </row>
    <row r="10" spans="1:38" ht="15" thickBot="1" x14ac:dyDescent="0.35">
      <c r="A10" s="2">
        <v>9</v>
      </c>
      <c r="B10" s="84" t="s">
        <v>52</v>
      </c>
      <c r="C10" s="84">
        <v>5</v>
      </c>
      <c r="D10" s="86">
        <v>2</v>
      </c>
      <c r="E10" s="29"/>
      <c r="F10" s="29"/>
      <c r="G10" s="29">
        <v>1</v>
      </c>
      <c r="H10" s="29" t="s">
        <v>53</v>
      </c>
      <c r="I10" s="82"/>
      <c r="J10" s="82"/>
      <c r="K10" s="81"/>
      <c r="L10" s="82" t="s">
        <v>44</v>
      </c>
      <c r="M10" s="82"/>
      <c r="N10" s="82"/>
      <c r="O10" s="82"/>
      <c r="P10" s="81"/>
      <c r="Q10" s="85"/>
      <c r="V10" s="5" cm="1">
        <f t="array" ref="V10">SUM(U4:U8*V4:V8)</f>
        <v>169</v>
      </c>
      <c r="Y10" s="5">
        <v>7</v>
      </c>
      <c r="Z10" s="5">
        <f t="shared" si="0"/>
        <v>0</v>
      </c>
      <c r="AC10" s="59"/>
      <c r="AD10" s="59"/>
      <c r="AE10" s="59"/>
      <c r="AH10" s="103" t="s">
        <v>24</v>
      </c>
      <c r="AI10" s="103" t="s">
        <v>25</v>
      </c>
      <c r="AJ10" s="103" t="s">
        <v>26</v>
      </c>
      <c r="AK10" s="103" t="s">
        <v>27</v>
      </c>
      <c r="AL10" s="103" t="s">
        <v>28</v>
      </c>
    </row>
    <row r="11" spans="1:38" ht="15" thickBot="1" x14ac:dyDescent="0.35">
      <c r="A11" s="4">
        <v>10</v>
      </c>
      <c r="B11" s="4" t="s">
        <v>54</v>
      </c>
      <c r="C11" s="4">
        <v>3</v>
      </c>
      <c r="D11" s="9">
        <v>2</v>
      </c>
      <c r="E11" s="10"/>
      <c r="F11" s="10"/>
      <c r="G11" s="10">
        <v>0</v>
      </c>
      <c r="H11" s="26"/>
      <c r="I11" s="8"/>
      <c r="J11" s="8"/>
      <c r="K11" s="2"/>
      <c r="L11" s="8" t="s">
        <v>44</v>
      </c>
      <c r="M11" s="8"/>
      <c r="N11" s="8"/>
      <c r="O11" s="8"/>
      <c r="P11" s="2"/>
      <c r="Q11" s="83"/>
      <c r="AB11" s="103" t="s">
        <v>24</v>
      </c>
      <c r="AC11" s="103" t="s">
        <v>25</v>
      </c>
      <c r="AD11" s="103" t="s">
        <v>26</v>
      </c>
      <c r="AE11" s="103" t="s">
        <v>27</v>
      </c>
      <c r="AF11" s="103" t="s">
        <v>28</v>
      </c>
      <c r="AH11" s="47" t="s">
        <v>36</v>
      </c>
      <c r="AI11" s="47" t="s">
        <v>34</v>
      </c>
      <c r="AJ11" s="47" t="s">
        <v>36</v>
      </c>
      <c r="AK11" s="47" t="s">
        <v>38</v>
      </c>
      <c r="AL11" s="47" t="s">
        <v>32</v>
      </c>
    </row>
    <row r="12" spans="1:38" ht="15" thickBot="1" x14ac:dyDescent="0.35">
      <c r="A12" s="2">
        <v>11</v>
      </c>
      <c r="B12" s="84" t="s">
        <v>32</v>
      </c>
      <c r="C12" s="84">
        <v>4</v>
      </c>
      <c r="D12" s="86">
        <v>2</v>
      </c>
      <c r="E12" s="29"/>
      <c r="F12" s="29"/>
      <c r="G12" s="29">
        <v>1</v>
      </c>
      <c r="H12" s="29" t="s">
        <v>56</v>
      </c>
      <c r="I12" s="82"/>
      <c r="J12" s="82"/>
      <c r="K12" s="81"/>
      <c r="L12" s="82" t="s">
        <v>57</v>
      </c>
      <c r="M12" s="82"/>
      <c r="N12" s="82"/>
      <c r="O12" s="82"/>
      <c r="P12" s="81"/>
      <c r="Q12" s="85"/>
      <c r="Z12" s="5" cm="1">
        <f t="array" ref="Z12">SUM(Y4:Y10*Z4:Z10)</f>
        <v>5</v>
      </c>
      <c r="AB12" s="47" t="s">
        <v>58</v>
      </c>
      <c r="AC12" s="47" t="s">
        <v>38</v>
      </c>
      <c r="AD12" s="47" t="s">
        <v>58</v>
      </c>
      <c r="AE12" s="47" t="s">
        <v>58</v>
      </c>
      <c r="AF12" s="47" t="s">
        <v>58</v>
      </c>
      <c r="AH12" s="47" t="s">
        <v>36</v>
      </c>
      <c r="AI12" s="47" t="s">
        <v>34</v>
      </c>
      <c r="AJ12" s="47" t="s">
        <v>36</v>
      </c>
      <c r="AK12" s="47" t="s">
        <v>38</v>
      </c>
      <c r="AL12" s="47" t="s">
        <v>32</v>
      </c>
    </row>
    <row r="13" spans="1:38" ht="15" thickBot="1" x14ac:dyDescent="0.35">
      <c r="A13" s="4">
        <v>12</v>
      </c>
      <c r="B13" s="4" t="s">
        <v>59</v>
      </c>
      <c r="C13" s="48">
        <v>2</v>
      </c>
      <c r="D13" s="114">
        <v>1</v>
      </c>
      <c r="E13" s="10"/>
      <c r="F13" s="10"/>
      <c r="G13" s="10">
        <v>1</v>
      </c>
      <c r="H13" s="58" t="s">
        <v>60</v>
      </c>
      <c r="I13" s="63"/>
      <c r="J13" s="8"/>
      <c r="K13" s="2"/>
      <c r="L13" s="8" t="s">
        <v>57</v>
      </c>
      <c r="M13" s="8"/>
      <c r="N13" s="8"/>
      <c r="O13" s="8"/>
      <c r="P13" s="2"/>
      <c r="Q13" s="83" t="s">
        <v>61</v>
      </c>
      <c r="T13" s="5" t="s">
        <v>57</v>
      </c>
      <c r="W13"/>
      <c r="AB13" s="47" t="s">
        <v>58</v>
      </c>
      <c r="AC13" s="47" t="s">
        <v>38</v>
      </c>
      <c r="AD13" s="47" t="s">
        <v>58</v>
      </c>
      <c r="AE13" s="47" t="s">
        <v>58</v>
      </c>
      <c r="AF13" s="47" t="s">
        <v>58</v>
      </c>
      <c r="AH13" s="47" t="s">
        <v>32</v>
      </c>
      <c r="AI13" s="47" t="s">
        <v>34</v>
      </c>
      <c r="AJ13" s="47" t="s">
        <v>45</v>
      </c>
      <c r="AK13" s="47" t="s">
        <v>37</v>
      </c>
    </row>
    <row r="14" spans="1:38" ht="15" thickBot="1" x14ac:dyDescent="0.35">
      <c r="A14" s="2">
        <v>13</v>
      </c>
      <c r="B14" s="4" t="s">
        <v>59</v>
      </c>
      <c r="C14" s="48">
        <v>1</v>
      </c>
      <c r="D14" s="114">
        <v>1</v>
      </c>
      <c r="E14" s="10"/>
      <c r="F14" s="10"/>
      <c r="G14" s="10">
        <v>1</v>
      </c>
      <c r="H14" s="58" t="s">
        <v>60</v>
      </c>
      <c r="I14" s="63"/>
      <c r="J14" s="8"/>
      <c r="K14" s="2"/>
      <c r="L14" s="8" t="s">
        <v>57</v>
      </c>
      <c r="M14" s="8"/>
      <c r="N14" s="8"/>
      <c r="O14" s="8"/>
      <c r="P14" s="2"/>
      <c r="Q14" s="83" t="s">
        <v>61</v>
      </c>
      <c r="W14"/>
      <c r="AB14" s="47"/>
      <c r="AC14" s="47"/>
      <c r="AD14" s="47"/>
      <c r="AE14" s="47"/>
      <c r="AF14" s="47"/>
      <c r="AH14" s="47"/>
      <c r="AI14" s="47"/>
      <c r="AJ14" s="47"/>
      <c r="AK14" s="47"/>
    </row>
    <row r="15" spans="1:38" ht="15" thickBot="1" x14ac:dyDescent="0.35">
      <c r="A15" s="4">
        <v>14</v>
      </c>
      <c r="B15" s="4" t="s">
        <v>62</v>
      </c>
      <c r="C15" s="4">
        <v>4</v>
      </c>
      <c r="D15" s="9">
        <v>2</v>
      </c>
      <c r="E15" s="10"/>
      <c r="F15" s="10"/>
      <c r="G15" s="10">
        <v>1</v>
      </c>
      <c r="H15" s="10" t="s">
        <v>63</v>
      </c>
      <c r="I15" s="8"/>
      <c r="J15" s="8"/>
      <c r="K15" s="2"/>
      <c r="L15" s="8" t="s">
        <v>57</v>
      </c>
      <c r="M15" s="8"/>
      <c r="N15" s="8"/>
      <c r="O15" s="8"/>
      <c r="P15" s="2"/>
      <c r="Q15" s="83"/>
      <c r="T15" s="5" t="s">
        <v>32</v>
      </c>
      <c r="U15" s="5" t="s">
        <v>64</v>
      </c>
      <c r="V15" s="5">
        <v>4</v>
      </c>
      <c r="W15"/>
      <c r="AB15" s="47" t="s">
        <v>38</v>
      </c>
      <c r="AC15" s="47" t="s">
        <v>38</v>
      </c>
      <c r="AD15" s="47" t="s">
        <v>38</v>
      </c>
      <c r="AE15" s="47" t="s">
        <v>58</v>
      </c>
      <c r="AF15" s="47" t="s">
        <v>38</v>
      </c>
      <c r="AH15" s="47" t="s">
        <v>32</v>
      </c>
      <c r="AI15" s="47" t="s">
        <v>37</v>
      </c>
      <c r="AJ15" s="47" t="s">
        <v>45</v>
      </c>
      <c r="AK15" s="47" t="s">
        <v>37</v>
      </c>
    </row>
    <row r="16" spans="1:38" ht="15" thickBot="1" x14ac:dyDescent="0.35">
      <c r="A16" s="2">
        <v>15</v>
      </c>
      <c r="B16" s="4" t="s">
        <v>37</v>
      </c>
      <c r="C16" s="4">
        <v>2</v>
      </c>
      <c r="D16" s="9">
        <v>1</v>
      </c>
      <c r="E16" s="10"/>
      <c r="F16" s="10"/>
      <c r="G16" s="58">
        <v>1</v>
      </c>
      <c r="H16" s="58" t="s">
        <v>65</v>
      </c>
      <c r="I16" s="8"/>
      <c r="J16" s="8"/>
      <c r="K16" s="2"/>
      <c r="L16" s="8" t="s">
        <v>57</v>
      </c>
      <c r="M16" s="8"/>
      <c r="N16" s="8"/>
      <c r="O16" s="8"/>
      <c r="P16" s="2"/>
      <c r="Q16" s="83" t="s">
        <v>66</v>
      </c>
      <c r="T16" s="5" t="s">
        <v>34</v>
      </c>
      <c r="U16" s="5">
        <v>3</v>
      </c>
      <c r="V16" s="5">
        <v>3</v>
      </c>
      <c r="W16"/>
      <c r="AB16" s="47"/>
      <c r="AC16" s="47"/>
      <c r="AD16" s="47"/>
      <c r="AE16" s="47"/>
      <c r="AF16" s="47"/>
      <c r="AH16" s="47"/>
      <c r="AI16" s="47" t="s">
        <v>37</v>
      </c>
      <c r="AK16" s="47" t="s">
        <v>37</v>
      </c>
      <c r="AL16" s="47"/>
    </row>
    <row r="17" spans="1:38" ht="15" thickBot="1" x14ac:dyDescent="0.35">
      <c r="A17" s="4">
        <v>16</v>
      </c>
      <c r="B17" s="4" t="s">
        <v>37</v>
      </c>
      <c r="C17" s="4">
        <v>2</v>
      </c>
      <c r="D17" s="9">
        <v>1</v>
      </c>
      <c r="E17" s="10"/>
      <c r="F17" s="10"/>
      <c r="G17" s="58">
        <v>1</v>
      </c>
      <c r="H17" s="58" t="s">
        <v>67</v>
      </c>
      <c r="I17" s="8"/>
      <c r="J17" s="8"/>
      <c r="K17" s="2"/>
      <c r="L17" s="8" t="s">
        <v>57</v>
      </c>
      <c r="M17" s="8"/>
      <c r="N17" s="8"/>
      <c r="O17" s="8"/>
      <c r="P17" s="2"/>
      <c r="Q17" s="83" t="s">
        <v>66</v>
      </c>
      <c r="T17" s="5" t="s">
        <v>38</v>
      </c>
      <c r="U17" s="5" t="s">
        <v>64</v>
      </c>
      <c r="V17" s="5">
        <v>4</v>
      </c>
      <c r="W17"/>
      <c r="AB17" s="47"/>
      <c r="AC17" s="47"/>
      <c r="AD17" s="47"/>
      <c r="AE17" s="47"/>
      <c r="AF17" s="47"/>
      <c r="AH17" s="47"/>
      <c r="AI17" s="47"/>
      <c r="AK17" s="47"/>
      <c r="AL17" s="47"/>
    </row>
    <row r="18" spans="1:38" ht="15" thickBot="1" x14ac:dyDescent="0.35">
      <c r="A18" s="2">
        <v>17</v>
      </c>
      <c r="B18" s="4" t="s">
        <v>36</v>
      </c>
      <c r="C18" s="4">
        <v>2</v>
      </c>
      <c r="D18" s="9">
        <v>1</v>
      </c>
      <c r="E18" s="10"/>
      <c r="F18" s="10"/>
      <c r="G18" s="10">
        <v>1</v>
      </c>
      <c r="H18" s="10" t="s">
        <v>68</v>
      </c>
      <c r="I18" s="8"/>
      <c r="J18" s="8"/>
      <c r="K18" s="2"/>
      <c r="L18" s="8" t="s">
        <v>57</v>
      </c>
      <c r="M18" s="8"/>
      <c r="N18" s="8"/>
      <c r="O18" s="8"/>
      <c r="P18" s="2"/>
      <c r="Q18" s="83" t="s">
        <v>69</v>
      </c>
      <c r="T18" s="5" t="s">
        <v>37</v>
      </c>
      <c r="U18" s="5" t="s">
        <v>70</v>
      </c>
      <c r="V18" s="5">
        <v>5</v>
      </c>
      <c r="W18"/>
      <c r="AC18" s="47"/>
      <c r="AD18" s="47"/>
      <c r="AE18" s="47"/>
      <c r="AF18" s="47"/>
      <c r="AG18" s="47"/>
    </row>
    <row r="19" spans="1:38" ht="15" thickBot="1" x14ac:dyDescent="0.35">
      <c r="A19" s="4">
        <v>18</v>
      </c>
      <c r="B19" s="4" t="s">
        <v>36</v>
      </c>
      <c r="C19" s="4">
        <v>2</v>
      </c>
      <c r="D19" s="9">
        <v>1</v>
      </c>
      <c r="E19" s="10"/>
      <c r="F19" s="10"/>
      <c r="G19" s="10">
        <v>1</v>
      </c>
      <c r="H19" s="10" t="s">
        <v>71</v>
      </c>
      <c r="I19" s="8"/>
      <c r="J19" s="8"/>
      <c r="K19" s="2"/>
      <c r="L19" s="8" t="s">
        <v>57</v>
      </c>
      <c r="M19" s="8"/>
      <c r="N19" s="8"/>
      <c r="O19" s="8"/>
      <c r="P19" s="2"/>
      <c r="Q19" s="83" t="s">
        <v>69</v>
      </c>
      <c r="T19" s="5" t="s">
        <v>36</v>
      </c>
      <c r="U19" s="5" t="s">
        <v>64</v>
      </c>
      <c r="V19" s="5">
        <v>4</v>
      </c>
      <c r="W19"/>
    </row>
    <row r="20" spans="1:38" ht="15" thickBot="1" x14ac:dyDescent="0.35">
      <c r="A20" s="2">
        <v>19</v>
      </c>
      <c r="B20" s="4" t="s">
        <v>72</v>
      </c>
      <c r="C20" s="4">
        <v>4</v>
      </c>
      <c r="D20" s="9">
        <v>2</v>
      </c>
      <c r="E20" s="10"/>
      <c r="F20" s="10"/>
      <c r="G20" s="10">
        <v>1</v>
      </c>
      <c r="H20" s="10" t="s">
        <v>73</v>
      </c>
      <c r="I20" s="8"/>
      <c r="J20" s="8"/>
      <c r="K20" s="2"/>
      <c r="L20" s="8" t="s">
        <v>74</v>
      </c>
      <c r="M20" s="8"/>
      <c r="N20" s="8"/>
      <c r="O20" s="8"/>
      <c r="P20" s="2"/>
      <c r="Q20" s="83"/>
      <c r="T20" s="5" t="s">
        <v>45</v>
      </c>
      <c r="U20" s="5">
        <v>2</v>
      </c>
      <c r="V20" s="5">
        <v>2</v>
      </c>
    </row>
    <row r="21" spans="1:38" ht="15" thickBot="1" x14ac:dyDescent="0.35">
      <c r="A21" s="4">
        <v>20</v>
      </c>
      <c r="B21" s="4" t="s">
        <v>75</v>
      </c>
      <c r="C21" s="4">
        <v>5</v>
      </c>
      <c r="D21" s="9">
        <v>2</v>
      </c>
      <c r="E21" s="10"/>
      <c r="F21" s="10"/>
      <c r="G21" s="10">
        <v>1</v>
      </c>
      <c r="H21" s="10" t="s">
        <v>40</v>
      </c>
      <c r="I21" s="8"/>
      <c r="J21" s="8"/>
      <c r="K21" s="2"/>
      <c r="L21" s="8" t="s">
        <v>74</v>
      </c>
      <c r="M21" s="8"/>
      <c r="N21" s="8"/>
      <c r="O21" s="8"/>
      <c r="P21" s="2"/>
      <c r="Q21" s="83"/>
      <c r="U21" s="5" t="s">
        <v>76</v>
      </c>
      <c r="V21" s="5">
        <f>SUM(V15:V20)</f>
        <v>22</v>
      </c>
    </row>
    <row r="22" spans="1:38" ht="15" thickBot="1" x14ac:dyDescent="0.35">
      <c r="A22" s="2">
        <v>21</v>
      </c>
      <c r="B22" s="4" t="s">
        <v>77</v>
      </c>
      <c r="C22" s="4">
        <v>3</v>
      </c>
      <c r="D22" s="9">
        <v>1</v>
      </c>
      <c r="E22" s="10"/>
      <c r="F22" s="10"/>
      <c r="G22" s="10">
        <v>1</v>
      </c>
      <c r="H22" s="10" t="s">
        <v>78</v>
      </c>
      <c r="I22" s="8"/>
      <c r="J22" s="8"/>
      <c r="K22" s="2"/>
      <c r="L22" s="8" t="s">
        <v>74</v>
      </c>
      <c r="M22" s="8"/>
      <c r="N22" s="8"/>
      <c r="O22" s="8"/>
      <c r="P22" s="2"/>
      <c r="Q22" s="83"/>
    </row>
    <row r="23" spans="1:38" ht="15" thickBot="1" x14ac:dyDescent="0.35">
      <c r="A23" s="4">
        <v>22</v>
      </c>
      <c r="B23" s="4" t="s">
        <v>79</v>
      </c>
      <c r="C23" s="4">
        <v>3</v>
      </c>
      <c r="D23" s="9">
        <v>2</v>
      </c>
      <c r="E23" s="10"/>
      <c r="F23" s="10"/>
      <c r="G23" s="10">
        <v>1</v>
      </c>
      <c r="H23" s="58" t="s">
        <v>80</v>
      </c>
      <c r="I23" s="8"/>
      <c r="J23" s="8"/>
      <c r="K23" s="2"/>
      <c r="L23" s="8" t="s">
        <v>74</v>
      </c>
      <c r="M23" s="8"/>
      <c r="N23" s="8"/>
      <c r="O23" s="8"/>
      <c r="P23" s="2"/>
      <c r="Q23" s="83"/>
    </row>
    <row r="24" spans="1:38" s="41" customFormat="1" ht="15" thickBot="1" x14ac:dyDescent="0.35">
      <c r="A24" s="2">
        <v>23</v>
      </c>
      <c r="B24" s="35"/>
      <c r="C24" s="35"/>
      <c r="D24" s="36"/>
      <c r="E24" s="37"/>
      <c r="F24" s="37"/>
      <c r="G24" s="38"/>
      <c r="H24" s="37"/>
      <c r="I24" s="39"/>
      <c r="J24" s="39"/>
      <c r="K24" s="40"/>
      <c r="L24" s="39"/>
      <c r="M24" s="39"/>
      <c r="N24" s="39"/>
      <c r="O24" s="39"/>
      <c r="P24" s="40"/>
      <c r="Q24" s="87"/>
    </row>
    <row r="25" spans="1:38" ht="15" thickBot="1" x14ac:dyDescent="0.35">
      <c r="A25" s="4">
        <v>24</v>
      </c>
      <c r="B25" s="4" t="s">
        <v>81</v>
      </c>
      <c r="C25" s="4">
        <v>5</v>
      </c>
      <c r="D25" s="9">
        <v>2</v>
      </c>
      <c r="E25" s="10" t="s">
        <v>20</v>
      </c>
      <c r="F25" s="10"/>
      <c r="G25" s="10">
        <v>1</v>
      </c>
      <c r="H25" s="10" t="s">
        <v>82</v>
      </c>
      <c r="I25" s="8" t="s">
        <v>83</v>
      </c>
      <c r="J25" s="8" t="s">
        <v>84</v>
      </c>
      <c r="K25" s="2" t="s">
        <v>85</v>
      </c>
      <c r="L25" s="8" t="s">
        <v>86</v>
      </c>
      <c r="M25" s="8"/>
      <c r="N25" s="8"/>
      <c r="O25" s="8"/>
      <c r="P25" s="2"/>
      <c r="Q25" s="83"/>
    </row>
    <row r="26" spans="1:38" ht="15" thickBot="1" x14ac:dyDescent="0.35">
      <c r="A26" s="2">
        <v>25</v>
      </c>
      <c r="B26" s="4" t="s">
        <v>81</v>
      </c>
      <c r="C26" s="4">
        <v>5</v>
      </c>
      <c r="D26" s="9">
        <v>2</v>
      </c>
      <c r="E26" s="10" t="s">
        <v>20</v>
      </c>
      <c r="F26" s="10"/>
      <c r="G26" s="10">
        <v>1</v>
      </c>
      <c r="H26" s="10" t="s">
        <v>82</v>
      </c>
      <c r="I26" s="8" t="s">
        <v>83</v>
      </c>
      <c r="J26" s="8" t="s">
        <v>84</v>
      </c>
      <c r="K26" s="2" t="s">
        <v>85</v>
      </c>
      <c r="L26" s="8" t="s">
        <v>87</v>
      </c>
      <c r="M26" s="8"/>
      <c r="N26" s="8"/>
      <c r="O26" s="8"/>
      <c r="P26" s="2"/>
      <c r="Q26" s="83"/>
      <c r="S26" s="5" t="s">
        <v>81</v>
      </c>
      <c r="T26" s="44" t="s">
        <v>70</v>
      </c>
      <c r="U26" s="44">
        <v>5</v>
      </c>
    </row>
    <row r="27" spans="1:38" ht="15" thickBot="1" x14ac:dyDescent="0.35">
      <c r="A27" s="4">
        <v>26</v>
      </c>
      <c r="B27" s="4" t="s">
        <v>81</v>
      </c>
      <c r="C27" s="4">
        <v>5</v>
      </c>
      <c r="D27" s="9">
        <v>2</v>
      </c>
      <c r="E27" s="10" t="s">
        <v>20</v>
      </c>
      <c r="F27" s="10"/>
      <c r="G27" s="10">
        <v>1</v>
      </c>
      <c r="H27" s="10" t="s">
        <v>82</v>
      </c>
      <c r="I27" s="8" t="s">
        <v>83</v>
      </c>
      <c r="J27" s="8" t="s">
        <v>84</v>
      </c>
      <c r="K27" s="2" t="s">
        <v>85</v>
      </c>
      <c r="L27" s="8" t="s">
        <v>88</v>
      </c>
      <c r="M27" s="8"/>
      <c r="N27" s="8"/>
      <c r="O27" s="8"/>
      <c r="P27" s="2"/>
      <c r="Q27" s="83"/>
      <c r="S27" s="5" t="s">
        <v>89</v>
      </c>
      <c r="T27" s="44">
        <v>2</v>
      </c>
      <c r="U27" s="44">
        <v>2</v>
      </c>
    </row>
    <row r="28" spans="1:38" ht="15" thickBot="1" x14ac:dyDescent="0.35">
      <c r="A28" s="2">
        <v>27</v>
      </c>
      <c r="B28" s="4" t="s">
        <v>81</v>
      </c>
      <c r="C28" s="4">
        <v>5</v>
      </c>
      <c r="D28" s="9">
        <v>2</v>
      </c>
      <c r="E28" s="10" t="s">
        <v>20</v>
      </c>
      <c r="F28" s="10"/>
      <c r="G28" s="10">
        <v>1</v>
      </c>
      <c r="H28" s="10" t="s">
        <v>82</v>
      </c>
      <c r="I28" s="8" t="s">
        <v>83</v>
      </c>
      <c r="J28" s="8" t="s">
        <v>84</v>
      </c>
      <c r="K28" s="2" t="s">
        <v>85</v>
      </c>
      <c r="L28" s="8" t="s">
        <v>90</v>
      </c>
      <c r="M28" s="8"/>
      <c r="N28" s="8"/>
      <c r="O28" s="8"/>
      <c r="P28" s="2"/>
      <c r="Q28" s="83"/>
      <c r="S28" s="5" t="s">
        <v>91</v>
      </c>
      <c r="T28" s="44" t="s">
        <v>70</v>
      </c>
      <c r="U28" s="44">
        <v>5</v>
      </c>
    </row>
    <row r="29" spans="1:38" ht="15" thickBot="1" x14ac:dyDescent="0.35">
      <c r="A29" s="4">
        <v>28</v>
      </c>
      <c r="B29" s="4" t="s">
        <v>89</v>
      </c>
      <c r="C29" s="4">
        <v>2</v>
      </c>
      <c r="D29" s="9">
        <v>1</v>
      </c>
      <c r="E29" s="10" t="s">
        <v>30</v>
      </c>
      <c r="F29" s="10"/>
      <c r="G29" s="10">
        <v>1</v>
      </c>
      <c r="H29" s="10" t="s">
        <v>92</v>
      </c>
      <c r="I29" s="8"/>
      <c r="J29" s="8"/>
      <c r="K29" s="2"/>
      <c r="L29" s="8" t="s">
        <v>86</v>
      </c>
      <c r="M29" s="8"/>
      <c r="N29" s="8"/>
      <c r="O29" s="8"/>
      <c r="P29" s="2"/>
      <c r="Q29" s="83"/>
      <c r="S29" s="5" t="s">
        <v>93</v>
      </c>
      <c r="T29" s="44">
        <v>2</v>
      </c>
      <c r="U29" s="44">
        <v>2</v>
      </c>
    </row>
    <row r="30" spans="1:38" ht="15" thickBot="1" x14ac:dyDescent="0.35">
      <c r="A30" s="2">
        <v>29</v>
      </c>
      <c r="B30" s="4" t="s">
        <v>89</v>
      </c>
      <c r="C30" s="4">
        <v>2</v>
      </c>
      <c r="D30" s="9">
        <v>1</v>
      </c>
      <c r="E30" s="10" t="s">
        <v>30</v>
      </c>
      <c r="F30" s="10"/>
      <c r="G30" s="10">
        <v>1</v>
      </c>
      <c r="H30" s="10" t="s">
        <v>92</v>
      </c>
      <c r="I30" s="8"/>
      <c r="J30" s="8"/>
      <c r="K30" s="2"/>
      <c r="L30" s="8" t="s">
        <v>87</v>
      </c>
      <c r="M30" s="8"/>
      <c r="N30" s="8"/>
      <c r="O30" s="8"/>
      <c r="P30" s="2"/>
      <c r="Q30" s="83"/>
      <c r="S30" s="5" t="s">
        <v>94</v>
      </c>
      <c r="T30" s="44" t="s">
        <v>70</v>
      </c>
      <c r="U30" s="44">
        <v>5</v>
      </c>
    </row>
    <row r="31" spans="1:38" ht="15" thickBot="1" x14ac:dyDescent="0.35">
      <c r="A31" s="4">
        <v>30</v>
      </c>
      <c r="B31" s="4" t="s">
        <v>89</v>
      </c>
      <c r="C31" s="4">
        <v>2</v>
      </c>
      <c r="D31" s="9">
        <v>1</v>
      </c>
      <c r="E31" s="10" t="s">
        <v>30</v>
      </c>
      <c r="F31" s="10"/>
      <c r="G31" s="10">
        <v>1</v>
      </c>
      <c r="H31" s="10" t="s">
        <v>92</v>
      </c>
      <c r="I31" s="8"/>
      <c r="J31" s="8"/>
      <c r="K31" s="2"/>
      <c r="L31" s="8" t="s">
        <v>88</v>
      </c>
      <c r="M31" s="8"/>
      <c r="N31" s="8"/>
      <c r="O31" s="8"/>
      <c r="P31" s="2"/>
      <c r="Q31" s="83"/>
      <c r="S31" s="5" t="s">
        <v>95</v>
      </c>
      <c r="T31" s="44" t="s">
        <v>70</v>
      </c>
      <c r="U31" s="44">
        <v>5</v>
      </c>
    </row>
    <row r="32" spans="1:38" ht="15" thickBot="1" x14ac:dyDescent="0.35">
      <c r="A32" s="2">
        <v>31</v>
      </c>
      <c r="B32" s="4" t="s">
        <v>89</v>
      </c>
      <c r="C32" s="4">
        <v>2</v>
      </c>
      <c r="D32" s="9">
        <v>1</v>
      </c>
      <c r="E32" s="10" t="s">
        <v>30</v>
      </c>
      <c r="F32" s="10"/>
      <c r="G32" s="10">
        <v>1</v>
      </c>
      <c r="H32" s="10" t="s">
        <v>92</v>
      </c>
      <c r="I32" s="8"/>
      <c r="J32" s="8"/>
      <c r="K32" s="2"/>
      <c r="L32" s="8" t="s">
        <v>90</v>
      </c>
      <c r="M32" s="8"/>
      <c r="N32" s="8"/>
      <c r="O32" s="8"/>
      <c r="P32" s="2"/>
      <c r="Q32" s="83"/>
      <c r="T32" s="44"/>
      <c r="U32" s="44">
        <f>SUM(U26:U31)</f>
        <v>24</v>
      </c>
    </row>
    <row r="33" spans="1:21" ht="15" thickBot="1" x14ac:dyDescent="0.35">
      <c r="A33" s="4">
        <v>32</v>
      </c>
      <c r="B33" s="4" t="s">
        <v>91</v>
      </c>
      <c r="C33" s="4">
        <v>5</v>
      </c>
      <c r="D33" s="9">
        <v>2</v>
      </c>
      <c r="E33" s="10" t="s">
        <v>20</v>
      </c>
      <c r="F33" s="10"/>
      <c r="G33" s="10">
        <v>1</v>
      </c>
      <c r="H33" s="10" t="s">
        <v>96</v>
      </c>
      <c r="I33" s="8" t="s">
        <v>97</v>
      </c>
      <c r="J33" s="8" t="s">
        <v>17</v>
      </c>
      <c r="K33" s="2" t="s">
        <v>98</v>
      </c>
      <c r="L33" s="8" t="s">
        <v>86</v>
      </c>
      <c r="M33" s="8"/>
      <c r="N33" s="8"/>
      <c r="O33" s="8"/>
      <c r="P33" s="2"/>
      <c r="Q33" s="83"/>
      <c r="T33" s="44"/>
      <c r="U33" s="44"/>
    </row>
    <row r="34" spans="1:21" ht="15" thickBot="1" x14ac:dyDescent="0.35">
      <c r="A34" s="2">
        <v>33</v>
      </c>
      <c r="B34" s="4" t="s">
        <v>91</v>
      </c>
      <c r="C34" s="4">
        <v>5</v>
      </c>
      <c r="D34" s="9">
        <v>2</v>
      </c>
      <c r="E34" s="10" t="s">
        <v>20</v>
      </c>
      <c r="F34" s="10"/>
      <c r="G34" s="10">
        <v>1</v>
      </c>
      <c r="H34" s="10" t="s">
        <v>96</v>
      </c>
      <c r="I34" s="8" t="s">
        <v>97</v>
      </c>
      <c r="J34" s="8" t="s">
        <v>17</v>
      </c>
      <c r="K34" s="2" t="s">
        <v>98</v>
      </c>
      <c r="L34" s="8" t="s">
        <v>87</v>
      </c>
      <c r="M34" s="8"/>
      <c r="N34" s="8"/>
      <c r="O34" s="8"/>
      <c r="P34" s="2"/>
      <c r="Q34" s="83"/>
      <c r="T34" s="44"/>
      <c r="U34" s="44"/>
    </row>
    <row r="35" spans="1:21" ht="15" thickBot="1" x14ac:dyDescent="0.35">
      <c r="A35" s="4">
        <v>34</v>
      </c>
      <c r="B35" s="4" t="s">
        <v>91</v>
      </c>
      <c r="C35" s="4">
        <v>5</v>
      </c>
      <c r="D35" s="9">
        <v>2</v>
      </c>
      <c r="E35" s="10" t="s">
        <v>20</v>
      </c>
      <c r="F35" s="10"/>
      <c r="G35" s="10">
        <v>1</v>
      </c>
      <c r="H35" s="10" t="s">
        <v>96</v>
      </c>
      <c r="I35" s="8" t="s">
        <v>97</v>
      </c>
      <c r="J35" s="8" t="s">
        <v>17</v>
      </c>
      <c r="K35" s="2" t="s">
        <v>98</v>
      </c>
      <c r="L35" s="8" t="s">
        <v>88</v>
      </c>
      <c r="M35" s="8"/>
      <c r="N35" s="8"/>
      <c r="O35" s="8"/>
      <c r="P35" s="2"/>
      <c r="Q35" s="83"/>
      <c r="T35" s="44"/>
      <c r="U35" s="44"/>
    </row>
    <row r="36" spans="1:21" ht="15" thickBot="1" x14ac:dyDescent="0.35">
      <c r="A36" s="2">
        <v>35</v>
      </c>
      <c r="B36" s="4" t="s">
        <v>91</v>
      </c>
      <c r="C36" s="4">
        <v>5</v>
      </c>
      <c r="D36" s="9">
        <v>2</v>
      </c>
      <c r="E36" s="10" t="s">
        <v>20</v>
      </c>
      <c r="F36" s="10"/>
      <c r="G36" s="10">
        <v>1</v>
      </c>
      <c r="H36" s="10" t="s">
        <v>96</v>
      </c>
      <c r="I36" s="8" t="s">
        <v>97</v>
      </c>
      <c r="J36" s="8" t="s">
        <v>17</v>
      </c>
      <c r="K36" s="2" t="s">
        <v>98</v>
      </c>
      <c r="L36" s="8" t="s">
        <v>90</v>
      </c>
      <c r="M36" s="8"/>
      <c r="N36" s="8"/>
      <c r="O36" s="8"/>
      <c r="P36" s="2"/>
      <c r="Q36" s="83"/>
      <c r="T36" s="44"/>
      <c r="U36" s="44"/>
    </row>
    <row r="37" spans="1:21" ht="15" thickBot="1" x14ac:dyDescent="0.35">
      <c r="A37" s="4">
        <v>36</v>
      </c>
      <c r="B37" s="4" t="s">
        <v>93</v>
      </c>
      <c r="C37" s="4">
        <v>2</v>
      </c>
      <c r="D37" s="9">
        <v>1</v>
      </c>
      <c r="E37" s="10" t="s">
        <v>30</v>
      </c>
      <c r="F37" s="10"/>
      <c r="G37" s="10">
        <v>0</v>
      </c>
      <c r="H37" s="26"/>
      <c r="I37" s="8"/>
      <c r="J37" s="8"/>
      <c r="K37" s="2"/>
      <c r="L37" s="8" t="s">
        <v>86</v>
      </c>
      <c r="M37" s="8"/>
      <c r="N37" s="8"/>
      <c r="O37" s="8"/>
      <c r="P37" s="2"/>
      <c r="Q37" s="83"/>
    </row>
    <row r="38" spans="1:21" ht="15" thickBot="1" x14ac:dyDescent="0.35">
      <c r="A38" s="2">
        <v>37</v>
      </c>
      <c r="B38" s="4" t="s">
        <v>93</v>
      </c>
      <c r="C38" s="4">
        <v>2</v>
      </c>
      <c r="D38" s="9">
        <v>1</v>
      </c>
      <c r="E38" s="10" t="s">
        <v>30</v>
      </c>
      <c r="F38" s="10"/>
      <c r="G38" s="10">
        <v>0</v>
      </c>
      <c r="H38" s="26"/>
      <c r="I38" s="8"/>
      <c r="J38" s="8"/>
      <c r="K38" s="2"/>
      <c r="L38" s="8" t="s">
        <v>87</v>
      </c>
      <c r="M38" s="8"/>
      <c r="N38" s="8"/>
      <c r="O38" s="8"/>
      <c r="P38" s="2"/>
      <c r="Q38" s="83"/>
    </row>
    <row r="39" spans="1:21" ht="15" thickBot="1" x14ac:dyDescent="0.35">
      <c r="A39" s="4">
        <v>38</v>
      </c>
      <c r="B39" s="4" t="s">
        <v>93</v>
      </c>
      <c r="C39" s="4">
        <v>2</v>
      </c>
      <c r="D39" s="9">
        <v>1</v>
      </c>
      <c r="E39" s="10" t="s">
        <v>30</v>
      </c>
      <c r="F39" s="10"/>
      <c r="G39" s="10">
        <v>0</v>
      </c>
      <c r="H39" s="26"/>
      <c r="I39" s="8"/>
      <c r="J39" s="8"/>
      <c r="K39" s="2"/>
      <c r="L39" s="8" t="s">
        <v>88</v>
      </c>
      <c r="M39" s="8"/>
      <c r="N39" s="8"/>
      <c r="O39" s="8"/>
      <c r="P39" s="2"/>
      <c r="Q39" s="83"/>
    </row>
    <row r="40" spans="1:21" ht="15" thickBot="1" x14ac:dyDescent="0.35">
      <c r="A40" s="2">
        <v>39</v>
      </c>
      <c r="B40" s="4" t="s">
        <v>93</v>
      </c>
      <c r="C40" s="4">
        <v>2</v>
      </c>
      <c r="D40" s="9">
        <v>1</v>
      </c>
      <c r="E40" s="10" t="s">
        <v>30</v>
      </c>
      <c r="F40" s="10"/>
      <c r="G40" s="10">
        <v>0</v>
      </c>
      <c r="H40" s="26"/>
      <c r="I40" s="8"/>
      <c r="J40" s="8"/>
      <c r="K40" s="2"/>
      <c r="L40" s="8" t="s">
        <v>90</v>
      </c>
      <c r="M40" s="8"/>
      <c r="N40" s="8"/>
      <c r="O40" s="8"/>
      <c r="P40" s="2"/>
      <c r="Q40" s="83"/>
    </row>
    <row r="41" spans="1:21" ht="15" thickBot="1" x14ac:dyDescent="0.35">
      <c r="A41" s="4">
        <v>40</v>
      </c>
      <c r="B41" s="4" t="s">
        <v>94</v>
      </c>
      <c r="C41" s="4">
        <v>5</v>
      </c>
      <c r="D41" s="9">
        <v>2</v>
      </c>
      <c r="E41" s="10"/>
      <c r="F41" s="10"/>
      <c r="G41" s="10">
        <v>1</v>
      </c>
      <c r="H41" s="10" t="s">
        <v>100</v>
      </c>
      <c r="I41" s="91" t="s">
        <v>101</v>
      </c>
      <c r="J41" s="91" t="s">
        <v>102</v>
      </c>
      <c r="K41" s="60" t="s">
        <v>103</v>
      </c>
      <c r="L41" s="8" t="s">
        <v>86</v>
      </c>
      <c r="M41" s="8"/>
      <c r="N41" s="8"/>
      <c r="O41" s="8"/>
      <c r="P41" s="2"/>
      <c r="Q41" s="83"/>
    </row>
    <row r="42" spans="1:21" ht="15" thickBot="1" x14ac:dyDescent="0.35">
      <c r="A42" s="2">
        <v>41</v>
      </c>
      <c r="B42" s="84" t="s">
        <v>94</v>
      </c>
      <c r="C42" s="84">
        <v>5</v>
      </c>
      <c r="D42" s="86">
        <v>2</v>
      </c>
      <c r="E42" s="29"/>
      <c r="F42" s="29"/>
      <c r="G42" s="29">
        <v>1</v>
      </c>
      <c r="H42" s="10" t="s">
        <v>100</v>
      </c>
      <c r="I42" s="93" t="s">
        <v>101</v>
      </c>
      <c r="J42" s="93" t="s">
        <v>102</v>
      </c>
      <c r="K42" s="94" t="s">
        <v>103</v>
      </c>
      <c r="L42" s="82" t="s">
        <v>87</v>
      </c>
      <c r="M42" s="82"/>
      <c r="N42" s="82"/>
      <c r="O42" s="82"/>
      <c r="P42" s="81"/>
      <c r="Q42" s="85"/>
    </row>
    <row r="43" spans="1:21" ht="15" thickBot="1" x14ac:dyDescent="0.35">
      <c r="A43" s="4">
        <v>42</v>
      </c>
      <c r="B43" s="4" t="s">
        <v>94</v>
      </c>
      <c r="C43" s="4">
        <v>5</v>
      </c>
      <c r="D43" s="9">
        <v>2</v>
      </c>
      <c r="E43" s="10"/>
      <c r="F43" s="10"/>
      <c r="G43" s="10">
        <v>1</v>
      </c>
      <c r="H43" s="10" t="s">
        <v>100</v>
      </c>
      <c r="I43" s="91" t="s">
        <v>101</v>
      </c>
      <c r="J43" s="91" t="s">
        <v>102</v>
      </c>
      <c r="K43" s="60" t="s">
        <v>103</v>
      </c>
      <c r="L43" s="8" t="s">
        <v>88</v>
      </c>
      <c r="M43" s="8"/>
      <c r="N43" s="8"/>
      <c r="O43" s="8"/>
      <c r="P43" s="2"/>
      <c r="Q43" s="83"/>
    </row>
    <row r="44" spans="1:21" ht="15" thickBot="1" x14ac:dyDescent="0.35">
      <c r="A44" s="2">
        <v>43</v>
      </c>
      <c r="B44" s="84" t="s">
        <v>94</v>
      </c>
      <c r="C44" s="84">
        <v>5</v>
      </c>
      <c r="D44" s="86">
        <v>2</v>
      </c>
      <c r="E44" s="29"/>
      <c r="F44" s="29"/>
      <c r="G44" s="29">
        <v>1</v>
      </c>
      <c r="H44" s="99" t="s">
        <v>101</v>
      </c>
      <c r="I44" s="91" t="s">
        <v>102</v>
      </c>
      <c r="J44" s="91" t="s">
        <v>103</v>
      </c>
      <c r="K44" s="2"/>
      <c r="L44" s="82" t="s">
        <v>90</v>
      </c>
      <c r="M44" s="82"/>
      <c r="N44" s="82"/>
      <c r="O44" s="82"/>
      <c r="P44" s="81"/>
      <c r="Q44" s="85"/>
    </row>
    <row r="45" spans="1:21" ht="15" thickBot="1" x14ac:dyDescent="0.35">
      <c r="A45" s="4">
        <v>44</v>
      </c>
      <c r="B45" s="4" t="s">
        <v>104</v>
      </c>
      <c r="C45" s="4">
        <v>2</v>
      </c>
      <c r="D45" s="9">
        <v>1</v>
      </c>
      <c r="E45" s="10"/>
      <c r="F45" s="10"/>
      <c r="G45" s="10">
        <v>1</v>
      </c>
      <c r="H45" s="10" t="s">
        <v>105</v>
      </c>
      <c r="I45" s="8"/>
      <c r="J45" s="8"/>
      <c r="K45" s="2"/>
      <c r="L45" s="8" t="s">
        <v>86</v>
      </c>
      <c r="M45" s="8"/>
      <c r="N45" s="8"/>
      <c r="O45" s="8"/>
      <c r="P45" s="2"/>
      <c r="Q45" s="83"/>
    </row>
    <row r="46" spans="1:21" ht="15" thickBot="1" x14ac:dyDescent="0.35">
      <c r="A46" s="2">
        <v>45</v>
      </c>
      <c r="B46" s="84" t="s">
        <v>104</v>
      </c>
      <c r="C46" s="84">
        <v>2</v>
      </c>
      <c r="D46" s="86">
        <v>1</v>
      </c>
      <c r="E46" s="29"/>
      <c r="F46" s="29"/>
      <c r="G46" s="29">
        <v>1</v>
      </c>
      <c r="H46" s="29" t="s">
        <v>105</v>
      </c>
      <c r="I46" s="82"/>
      <c r="J46" s="82"/>
      <c r="K46" s="81"/>
      <c r="L46" s="82" t="s">
        <v>87</v>
      </c>
      <c r="M46" s="82"/>
      <c r="N46" s="82"/>
      <c r="O46" s="82"/>
      <c r="P46" s="81"/>
      <c r="Q46" s="85"/>
    </row>
    <row r="47" spans="1:21" ht="15" thickBot="1" x14ac:dyDescent="0.35">
      <c r="A47" s="4">
        <v>46</v>
      </c>
      <c r="B47" s="4" t="s">
        <v>104</v>
      </c>
      <c r="C47" s="4">
        <v>2</v>
      </c>
      <c r="D47" s="9">
        <v>1</v>
      </c>
      <c r="E47" s="10"/>
      <c r="F47" s="10"/>
      <c r="G47" s="10">
        <v>1</v>
      </c>
      <c r="H47" s="10" t="s">
        <v>105</v>
      </c>
      <c r="I47" s="8"/>
      <c r="J47" s="8"/>
      <c r="K47" s="2"/>
      <c r="L47" s="8" t="s">
        <v>88</v>
      </c>
      <c r="M47" s="8"/>
      <c r="N47" s="8"/>
      <c r="O47" s="8"/>
      <c r="P47" s="2"/>
      <c r="Q47" s="83"/>
    </row>
    <row r="48" spans="1:21" ht="15" thickBot="1" x14ac:dyDescent="0.35">
      <c r="A48" s="2">
        <v>47</v>
      </c>
      <c r="B48" s="84" t="s">
        <v>104</v>
      </c>
      <c r="C48" s="84">
        <v>2</v>
      </c>
      <c r="D48" s="86">
        <v>1</v>
      </c>
      <c r="E48" s="29"/>
      <c r="F48" s="29"/>
      <c r="G48" s="29">
        <v>1</v>
      </c>
      <c r="H48" s="29" t="s">
        <v>105</v>
      </c>
      <c r="I48" s="82"/>
      <c r="J48" s="82"/>
      <c r="K48" s="81"/>
      <c r="L48" s="82" t="s">
        <v>90</v>
      </c>
      <c r="M48" s="82"/>
      <c r="N48" s="82"/>
      <c r="O48" s="82"/>
      <c r="P48" s="81"/>
      <c r="Q48" s="85"/>
    </row>
    <row r="49" spans="1:27" ht="15" thickBot="1" x14ac:dyDescent="0.35">
      <c r="A49" s="4">
        <v>48</v>
      </c>
      <c r="B49" s="4" t="s">
        <v>106</v>
      </c>
      <c r="C49" s="4">
        <v>3</v>
      </c>
      <c r="D49" s="9">
        <v>1</v>
      </c>
      <c r="E49" s="10"/>
      <c r="F49" s="10"/>
      <c r="G49" s="10">
        <v>1</v>
      </c>
      <c r="H49" s="10" t="s">
        <v>107</v>
      </c>
      <c r="I49" s="8"/>
      <c r="J49" s="8"/>
      <c r="K49" s="2"/>
      <c r="L49" s="8" t="s">
        <v>86</v>
      </c>
      <c r="M49" s="8"/>
      <c r="N49" s="8"/>
      <c r="O49" s="8"/>
      <c r="P49" s="2"/>
      <c r="Q49" s="83"/>
    </row>
    <row r="50" spans="1:27" ht="15" thickBot="1" x14ac:dyDescent="0.35">
      <c r="A50" s="2">
        <v>49</v>
      </c>
      <c r="B50" s="84" t="s">
        <v>106</v>
      </c>
      <c r="C50" s="84">
        <v>3</v>
      </c>
      <c r="D50" s="86">
        <v>1</v>
      </c>
      <c r="E50" s="29"/>
      <c r="F50" s="29"/>
      <c r="G50" s="29">
        <v>1</v>
      </c>
      <c r="H50" s="29" t="s">
        <v>107</v>
      </c>
      <c r="I50" s="82"/>
      <c r="J50" s="82"/>
      <c r="K50" s="81"/>
      <c r="L50" s="82" t="s">
        <v>87</v>
      </c>
      <c r="M50" s="82"/>
      <c r="N50" s="82"/>
      <c r="O50" s="82"/>
      <c r="P50" s="81"/>
      <c r="Q50" s="85"/>
    </row>
    <row r="51" spans="1:27" ht="15" thickBot="1" x14ac:dyDescent="0.35">
      <c r="A51" s="4">
        <v>50</v>
      </c>
      <c r="B51" s="4" t="s">
        <v>106</v>
      </c>
      <c r="C51" s="4">
        <v>3</v>
      </c>
      <c r="D51" s="9">
        <v>1</v>
      </c>
      <c r="E51" s="10"/>
      <c r="F51" s="10"/>
      <c r="G51" s="10">
        <v>1</v>
      </c>
      <c r="H51" s="10" t="s">
        <v>107</v>
      </c>
      <c r="I51" s="8"/>
      <c r="J51" s="8"/>
      <c r="K51" s="2"/>
      <c r="L51" s="8" t="s">
        <v>88</v>
      </c>
      <c r="M51" s="8"/>
      <c r="N51" s="8"/>
      <c r="O51" s="8"/>
      <c r="P51" s="2"/>
      <c r="Q51" s="83"/>
    </row>
    <row r="52" spans="1:27" ht="15" thickBot="1" x14ac:dyDescent="0.35">
      <c r="A52" s="2">
        <v>51</v>
      </c>
      <c r="B52" s="84" t="s">
        <v>106</v>
      </c>
      <c r="C52" s="84">
        <v>3</v>
      </c>
      <c r="D52" s="86">
        <v>1</v>
      </c>
      <c r="E52" s="29"/>
      <c r="F52" s="29"/>
      <c r="G52" s="29">
        <v>1</v>
      </c>
      <c r="H52" s="29" t="s">
        <v>107</v>
      </c>
      <c r="I52" s="82"/>
      <c r="J52" s="82"/>
      <c r="K52" s="81"/>
      <c r="L52" s="82" t="s">
        <v>90</v>
      </c>
      <c r="M52" s="82"/>
      <c r="N52" s="82"/>
      <c r="O52" s="82"/>
      <c r="P52" s="81"/>
      <c r="Q52" s="85"/>
    </row>
    <row r="53" spans="1:27" ht="15" thickBot="1" x14ac:dyDescent="0.35">
      <c r="A53" s="4">
        <v>52</v>
      </c>
      <c r="B53" s="4" t="s">
        <v>108</v>
      </c>
      <c r="C53" s="4">
        <v>5</v>
      </c>
      <c r="D53" s="9">
        <v>2</v>
      </c>
      <c r="E53" s="10" t="s">
        <v>20</v>
      </c>
      <c r="F53" s="10"/>
      <c r="G53" s="10">
        <v>1</v>
      </c>
      <c r="H53" s="10" t="s">
        <v>82</v>
      </c>
      <c r="I53" s="8"/>
      <c r="J53" s="8"/>
      <c r="K53" s="2"/>
      <c r="L53" s="8" t="s">
        <v>109</v>
      </c>
      <c r="M53" s="8"/>
      <c r="N53" s="8"/>
      <c r="O53" s="8"/>
      <c r="P53" s="2"/>
      <c r="Q53" s="83"/>
      <c r="S53" s="5" t="s">
        <v>108</v>
      </c>
      <c r="T53" s="5" t="s">
        <v>70</v>
      </c>
      <c r="W53" s="47" t="s">
        <v>24</v>
      </c>
      <c r="X53" s="47" t="s">
        <v>25</v>
      </c>
      <c r="Y53" s="47" t="s">
        <v>26</v>
      </c>
      <c r="Z53" s="47" t="s">
        <v>27</v>
      </c>
      <c r="AA53" s="47" t="s">
        <v>28</v>
      </c>
    </row>
    <row r="54" spans="1:27" ht="15" thickBot="1" x14ac:dyDescent="0.35">
      <c r="A54" s="2">
        <v>53</v>
      </c>
      <c r="B54" s="4" t="s">
        <v>108</v>
      </c>
      <c r="C54" s="4">
        <v>5</v>
      </c>
      <c r="D54" s="9">
        <v>2</v>
      </c>
      <c r="E54" s="10" t="s">
        <v>20</v>
      </c>
      <c r="F54" s="10"/>
      <c r="G54" s="10">
        <v>1</v>
      </c>
      <c r="H54" s="10" t="s">
        <v>84</v>
      </c>
      <c r="I54" s="8"/>
      <c r="J54" s="8"/>
      <c r="K54" s="2"/>
      <c r="L54" s="8" t="s">
        <v>110</v>
      </c>
      <c r="M54" s="8"/>
      <c r="N54" s="8"/>
      <c r="O54" s="8"/>
      <c r="P54" s="2"/>
      <c r="Q54" s="83"/>
      <c r="S54" s="5" t="s">
        <v>111</v>
      </c>
      <c r="T54" s="5">
        <v>2</v>
      </c>
      <c r="W54" s="47">
        <v>3</v>
      </c>
      <c r="X54" s="47">
        <v>3</v>
      </c>
      <c r="Y54" s="47">
        <v>3</v>
      </c>
      <c r="Z54" s="47">
        <v>2</v>
      </c>
      <c r="AA54" s="47">
        <v>2</v>
      </c>
    </row>
    <row r="55" spans="1:27" ht="15" thickBot="1" x14ac:dyDescent="0.35">
      <c r="A55" s="4">
        <v>54</v>
      </c>
      <c r="B55" s="4" t="s">
        <v>111</v>
      </c>
      <c r="C55" s="4">
        <v>2</v>
      </c>
      <c r="D55" s="9">
        <v>1</v>
      </c>
      <c r="E55" s="10" t="s">
        <v>30</v>
      </c>
      <c r="F55" s="10"/>
      <c r="G55" s="10">
        <v>1</v>
      </c>
      <c r="H55" s="10" t="s">
        <v>82</v>
      </c>
      <c r="I55" s="8"/>
      <c r="J55" s="8"/>
      <c r="K55" s="2"/>
      <c r="L55" s="8" t="s">
        <v>109</v>
      </c>
      <c r="M55" s="8"/>
      <c r="N55" s="8"/>
      <c r="O55" s="8"/>
      <c r="P55" s="2"/>
      <c r="Q55" s="83"/>
      <c r="S55" s="5" t="s">
        <v>112</v>
      </c>
      <c r="T55" s="5" t="s">
        <v>70</v>
      </c>
      <c r="W55" s="47"/>
      <c r="X55" s="47"/>
      <c r="Y55" s="65">
        <v>2</v>
      </c>
      <c r="Z55" s="47">
        <v>2</v>
      </c>
      <c r="AA55" s="47">
        <v>2</v>
      </c>
    </row>
    <row r="56" spans="1:27" ht="15" thickBot="1" x14ac:dyDescent="0.35">
      <c r="A56" s="2">
        <v>55</v>
      </c>
      <c r="B56" s="4" t="s">
        <v>111</v>
      </c>
      <c r="C56" s="4">
        <v>2</v>
      </c>
      <c r="D56" s="9">
        <v>1</v>
      </c>
      <c r="E56" s="10" t="s">
        <v>30</v>
      </c>
      <c r="F56" s="10"/>
      <c r="G56" s="10">
        <v>1</v>
      </c>
      <c r="H56" s="10" t="s">
        <v>84</v>
      </c>
      <c r="I56" s="8"/>
      <c r="J56" s="8"/>
      <c r="K56" s="2"/>
      <c r="L56" s="8" t="s">
        <v>110</v>
      </c>
      <c r="M56" s="8"/>
      <c r="N56" s="8"/>
      <c r="O56" s="8"/>
      <c r="P56" s="2"/>
      <c r="Q56" s="83"/>
      <c r="S56" s="5" t="s">
        <v>113</v>
      </c>
      <c r="T56" s="5">
        <v>2</v>
      </c>
    </row>
    <row r="57" spans="1:27" ht="15" thickBot="1" x14ac:dyDescent="0.35">
      <c r="A57" s="4">
        <v>56</v>
      </c>
      <c r="B57" s="4" t="s">
        <v>112</v>
      </c>
      <c r="C57" s="4">
        <v>5</v>
      </c>
      <c r="D57" s="9">
        <v>2</v>
      </c>
      <c r="E57" s="10" t="s">
        <v>20</v>
      </c>
      <c r="F57" s="10"/>
      <c r="G57" s="10">
        <v>1</v>
      </c>
      <c r="H57" s="10" t="s">
        <v>114</v>
      </c>
      <c r="I57" s="8"/>
      <c r="J57" s="8"/>
      <c r="K57" s="2"/>
      <c r="L57" s="8" t="s">
        <v>109</v>
      </c>
      <c r="M57" s="8" t="s">
        <v>110</v>
      </c>
      <c r="N57" s="8"/>
      <c r="O57" s="8"/>
      <c r="P57" s="2"/>
      <c r="Q57" s="83"/>
      <c r="S57" s="5" t="s">
        <v>115</v>
      </c>
      <c r="T57" s="5" t="s">
        <v>70</v>
      </c>
    </row>
    <row r="58" spans="1:27" ht="15" thickBot="1" x14ac:dyDescent="0.35">
      <c r="A58" s="2">
        <v>57</v>
      </c>
      <c r="B58" s="4" t="s">
        <v>113</v>
      </c>
      <c r="C58" s="4">
        <v>2</v>
      </c>
      <c r="D58" s="9">
        <v>1</v>
      </c>
      <c r="E58" s="10" t="s">
        <v>30</v>
      </c>
      <c r="F58" s="10"/>
      <c r="G58" s="10">
        <v>1</v>
      </c>
      <c r="H58" s="10" t="s">
        <v>114</v>
      </c>
      <c r="I58" s="8"/>
      <c r="J58" s="8"/>
      <c r="K58" s="2"/>
      <c r="L58" s="8" t="s">
        <v>109</v>
      </c>
      <c r="M58" s="8" t="s">
        <v>110</v>
      </c>
      <c r="N58" s="8"/>
      <c r="O58" s="8"/>
      <c r="P58" s="2"/>
      <c r="Q58" s="83"/>
      <c r="T58" s="5" t="s">
        <v>116</v>
      </c>
      <c r="U58" s="5">
        <v>19</v>
      </c>
    </row>
    <row r="59" spans="1:27" ht="15" thickBot="1" x14ac:dyDescent="0.35">
      <c r="A59" s="4">
        <v>58</v>
      </c>
      <c r="B59" s="4" t="s">
        <v>115</v>
      </c>
      <c r="C59" s="4">
        <v>5</v>
      </c>
      <c r="D59" s="9">
        <v>2</v>
      </c>
      <c r="E59" s="10"/>
      <c r="F59" s="10"/>
      <c r="G59" s="10">
        <v>1</v>
      </c>
      <c r="H59" s="10" t="s">
        <v>117</v>
      </c>
      <c r="I59" s="8"/>
      <c r="J59" s="8"/>
      <c r="K59" s="2"/>
      <c r="L59" s="8" t="s">
        <v>109</v>
      </c>
      <c r="M59" s="8" t="s">
        <v>110</v>
      </c>
      <c r="N59" s="8"/>
      <c r="O59" s="8"/>
      <c r="P59" s="2"/>
      <c r="Q59" s="83"/>
    </row>
    <row r="60" spans="1:27" s="41" customFormat="1" ht="15" thickBot="1" x14ac:dyDescent="0.35">
      <c r="A60" s="2">
        <v>59</v>
      </c>
      <c r="B60" s="35"/>
      <c r="C60" s="35"/>
      <c r="D60" s="36"/>
      <c r="E60" s="37"/>
      <c r="F60" s="37"/>
      <c r="G60" s="38"/>
      <c r="H60" s="37"/>
      <c r="I60" s="39"/>
      <c r="J60" s="39"/>
      <c r="K60" s="40"/>
      <c r="L60" s="39"/>
      <c r="M60" s="39"/>
      <c r="N60" s="39"/>
      <c r="O60" s="39"/>
      <c r="P60" s="40"/>
      <c r="Q60" s="87"/>
    </row>
    <row r="61" spans="1:27" ht="15" thickBot="1" x14ac:dyDescent="0.35">
      <c r="A61" s="4">
        <v>60</v>
      </c>
      <c r="B61" s="4" t="s">
        <v>118</v>
      </c>
      <c r="C61" s="4">
        <v>5</v>
      </c>
      <c r="D61" s="9">
        <v>2</v>
      </c>
      <c r="E61" s="10" t="s">
        <v>20</v>
      </c>
      <c r="F61" s="10"/>
      <c r="G61" s="10">
        <v>1</v>
      </c>
      <c r="H61" s="10" t="s">
        <v>85</v>
      </c>
      <c r="I61" s="8" t="s">
        <v>97</v>
      </c>
      <c r="J61" s="8"/>
      <c r="K61" s="2"/>
      <c r="L61" s="8" t="s">
        <v>119</v>
      </c>
      <c r="M61" s="8" t="s">
        <v>120</v>
      </c>
      <c r="N61" s="8"/>
      <c r="O61" s="8"/>
      <c r="P61" s="2"/>
      <c r="Q61" s="83"/>
    </row>
    <row r="62" spans="1:27" ht="15" thickBot="1" x14ac:dyDescent="0.35">
      <c r="A62" s="2">
        <v>61</v>
      </c>
      <c r="B62" s="4" t="s">
        <v>118</v>
      </c>
      <c r="C62" s="4">
        <v>5</v>
      </c>
      <c r="D62" s="9">
        <v>2</v>
      </c>
      <c r="E62" s="10" t="s">
        <v>20</v>
      </c>
      <c r="F62" s="10"/>
      <c r="G62" s="10">
        <v>1</v>
      </c>
      <c r="H62" s="10" t="s">
        <v>85</v>
      </c>
      <c r="I62" s="8" t="s">
        <v>97</v>
      </c>
      <c r="J62" s="8"/>
      <c r="K62" s="2"/>
      <c r="L62" s="8" t="s">
        <v>121</v>
      </c>
      <c r="M62" s="8"/>
      <c r="N62" s="8"/>
      <c r="O62" s="8"/>
      <c r="P62" s="2"/>
      <c r="Q62" s="83"/>
    </row>
    <row r="63" spans="1:27" ht="15" thickBot="1" x14ac:dyDescent="0.35">
      <c r="A63" s="4">
        <v>62</v>
      </c>
      <c r="B63" s="4" t="s">
        <v>122</v>
      </c>
      <c r="C63" s="4">
        <v>2</v>
      </c>
      <c r="D63" s="9">
        <v>1</v>
      </c>
      <c r="E63" s="10" t="s">
        <v>30</v>
      </c>
      <c r="F63" s="10"/>
      <c r="G63" s="10">
        <v>1</v>
      </c>
      <c r="H63" s="10" t="s">
        <v>123</v>
      </c>
      <c r="I63" s="8"/>
      <c r="J63" s="8"/>
      <c r="K63" s="2"/>
      <c r="L63" s="8" t="s">
        <v>119</v>
      </c>
      <c r="M63" s="8" t="s">
        <v>120</v>
      </c>
      <c r="N63" s="8"/>
      <c r="O63" s="8"/>
      <c r="P63" s="2"/>
      <c r="Q63" s="83"/>
      <c r="S63" s="45" t="s">
        <v>124</v>
      </c>
      <c r="T63" s="44"/>
      <c r="U63" s="44"/>
      <c r="W63" s="5" t="s">
        <v>120</v>
      </c>
      <c r="Z63" s="5" t="s">
        <v>125</v>
      </c>
    </row>
    <row r="64" spans="1:27" ht="15" thickBot="1" x14ac:dyDescent="0.35">
      <c r="A64" s="2">
        <v>63</v>
      </c>
      <c r="B64" s="4" t="s">
        <v>122</v>
      </c>
      <c r="C64" s="4">
        <v>2</v>
      </c>
      <c r="D64" s="9">
        <v>1</v>
      </c>
      <c r="E64" s="10" t="s">
        <v>30</v>
      </c>
      <c r="F64" s="10"/>
      <c r="G64" s="10">
        <v>1</v>
      </c>
      <c r="H64" s="10" t="s">
        <v>123</v>
      </c>
      <c r="I64" s="8"/>
      <c r="J64" s="8"/>
      <c r="K64" s="2"/>
      <c r="L64" s="8" t="s">
        <v>121</v>
      </c>
      <c r="M64" s="8"/>
      <c r="N64" s="8"/>
      <c r="O64" s="8"/>
      <c r="P64" s="2"/>
      <c r="Q64" s="83"/>
      <c r="S64" s="5" t="s">
        <v>126</v>
      </c>
      <c r="T64" s="44" t="s">
        <v>64</v>
      </c>
      <c r="U64" s="44">
        <v>4</v>
      </c>
      <c r="W64" s="5" t="s">
        <v>126</v>
      </c>
      <c r="X64" s="44" t="s">
        <v>64</v>
      </c>
      <c r="Y64" s="44">
        <v>4</v>
      </c>
    </row>
    <row r="65" spans="1:30" ht="15" thickBot="1" x14ac:dyDescent="0.35">
      <c r="A65" s="4">
        <v>64</v>
      </c>
      <c r="B65" s="4" t="s">
        <v>127</v>
      </c>
      <c r="C65" s="4">
        <v>5</v>
      </c>
      <c r="D65" s="9">
        <v>2</v>
      </c>
      <c r="E65" s="10"/>
      <c r="F65" s="10"/>
      <c r="G65" s="10">
        <v>1</v>
      </c>
      <c r="H65" s="10" t="s">
        <v>128</v>
      </c>
      <c r="I65" s="8"/>
      <c r="J65" s="8"/>
      <c r="K65" s="2"/>
      <c r="L65" s="8" t="s">
        <v>119</v>
      </c>
      <c r="M65" s="8" t="s">
        <v>121</v>
      </c>
      <c r="N65" s="8"/>
      <c r="O65" s="8"/>
      <c r="P65" s="2"/>
      <c r="Q65" s="83"/>
      <c r="S65" s="5" t="s">
        <v>129</v>
      </c>
      <c r="T65" s="44" t="s">
        <v>70</v>
      </c>
      <c r="U65" s="44">
        <v>5</v>
      </c>
      <c r="W65" s="5" t="s">
        <v>118</v>
      </c>
      <c r="X65" s="44" t="s">
        <v>70</v>
      </c>
      <c r="Y65" s="44">
        <v>5</v>
      </c>
      <c r="Z65" s="47" t="s">
        <v>24</v>
      </c>
      <c r="AA65" s="47" t="s">
        <v>25</v>
      </c>
      <c r="AB65" s="47" t="s">
        <v>26</v>
      </c>
      <c r="AC65" s="47" t="s">
        <v>27</v>
      </c>
      <c r="AD65" s="47" t="s">
        <v>28</v>
      </c>
    </row>
    <row r="66" spans="1:30" ht="15" thickBot="1" x14ac:dyDescent="0.35">
      <c r="A66" s="2">
        <v>65</v>
      </c>
      <c r="B66" s="84" t="s">
        <v>130</v>
      </c>
      <c r="C66" s="84">
        <v>5</v>
      </c>
      <c r="D66" s="86">
        <v>2</v>
      </c>
      <c r="E66" s="29"/>
      <c r="F66" s="29"/>
      <c r="G66" s="29">
        <v>1</v>
      </c>
      <c r="H66" s="29" t="s">
        <v>117</v>
      </c>
      <c r="I66" s="82"/>
      <c r="J66" s="82"/>
      <c r="K66" s="81"/>
      <c r="L66" s="82" t="s">
        <v>119</v>
      </c>
      <c r="M66" s="82" t="s">
        <v>121</v>
      </c>
      <c r="N66" s="82"/>
      <c r="O66" s="82"/>
      <c r="P66" s="81"/>
      <c r="Q66" s="155"/>
      <c r="S66" s="5" t="s">
        <v>131</v>
      </c>
      <c r="T66" s="44">
        <v>2</v>
      </c>
      <c r="U66" s="44">
        <v>2</v>
      </c>
      <c r="W66" s="5" t="s">
        <v>122</v>
      </c>
      <c r="X66" s="44">
        <v>2</v>
      </c>
      <c r="Y66" s="44">
        <v>2</v>
      </c>
      <c r="Z66" s="47">
        <v>3</v>
      </c>
      <c r="AA66" s="47">
        <v>3</v>
      </c>
      <c r="AB66" s="47">
        <v>2</v>
      </c>
      <c r="AC66" s="47">
        <v>3</v>
      </c>
      <c r="AD66" s="47">
        <v>2</v>
      </c>
    </row>
    <row r="67" spans="1:30" ht="15" thickBot="1" x14ac:dyDescent="0.35">
      <c r="A67" s="4">
        <v>66</v>
      </c>
      <c r="B67" s="4" t="s">
        <v>132</v>
      </c>
      <c r="C67" s="4">
        <v>5</v>
      </c>
      <c r="D67" s="9">
        <v>2</v>
      </c>
      <c r="E67" s="10"/>
      <c r="F67" s="10"/>
      <c r="G67" s="10">
        <v>1</v>
      </c>
      <c r="H67" s="10" t="s">
        <v>133</v>
      </c>
      <c r="I67" s="8"/>
      <c r="J67" s="8"/>
      <c r="K67" s="2"/>
      <c r="L67" s="8" t="s">
        <v>119</v>
      </c>
      <c r="M67" s="8"/>
      <c r="N67" s="8"/>
      <c r="O67" s="8"/>
      <c r="P67" s="2"/>
      <c r="Q67" s="83"/>
      <c r="S67" s="5" t="s">
        <v>134</v>
      </c>
      <c r="T67" s="44" t="s">
        <v>64</v>
      </c>
      <c r="U67" s="44">
        <v>4</v>
      </c>
      <c r="W67" s="5" t="s">
        <v>135</v>
      </c>
      <c r="X67" s="44" t="s">
        <v>136</v>
      </c>
      <c r="Y67" s="44">
        <v>6</v>
      </c>
      <c r="Z67" s="47">
        <v>3</v>
      </c>
      <c r="AA67" s="47">
        <v>3</v>
      </c>
      <c r="AB67" s="47">
        <v>2</v>
      </c>
      <c r="AC67" s="47">
        <v>3</v>
      </c>
      <c r="AD67" s="47">
        <v>2</v>
      </c>
    </row>
    <row r="68" spans="1:30" ht="15" thickBot="1" x14ac:dyDescent="0.35">
      <c r="A68" s="2">
        <v>67</v>
      </c>
      <c r="B68" s="84" t="s">
        <v>132</v>
      </c>
      <c r="C68" s="84">
        <v>5</v>
      </c>
      <c r="D68" s="86">
        <v>2</v>
      </c>
      <c r="E68" s="29"/>
      <c r="F68" s="29"/>
      <c r="G68" s="29">
        <v>1</v>
      </c>
      <c r="H68" s="29" t="s">
        <v>133</v>
      </c>
      <c r="I68" s="82"/>
      <c r="J68" s="82"/>
      <c r="K68" s="81"/>
      <c r="L68" s="82" t="s">
        <v>121</v>
      </c>
      <c r="M68" s="82"/>
      <c r="N68" s="82"/>
      <c r="O68" s="82"/>
      <c r="P68" s="81"/>
      <c r="Q68" s="85"/>
      <c r="S68" s="5" t="s">
        <v>135</v>
      </c>
      <c r="T68" s="44" t="s">
        <v>136</v>
      </c>
      <c r="U68" s="44">
        <v>6</v>
      </c>
      <c r="W68" s="5" t="s">
        <v>137</v>
      </c>
      <c r="X68" s="44" t="s">
        <v>70</v>
      </c>
      <c r="Y68" s="44">
        <v>5</v>
      </c>
      <c r="Z68" s="47"/>
      <c r="AA68" s="47"/>
      <c r="AB68" s="47">
        <v>2</v>
      </c>
      <c r="AD68" s="47">
        <v>2</v>
      </c>
    </row>
    <row r="69" spans="1:30" ht="15" thickBot="1" x14ac:dyDescent="0.35">
      <c r="A69" s="4">
        <v>68</v>
      </c>
      <c r="B69" s="4" t="s">
        <v>138</v>
      </c>
      <c r="C69" s="4">
        <v>3</v>
      </c>
      <c r="D69" s="9">
        <v>1</v>
      </c>
      <c r="E69" s="10"/>
      <c r="F69" s="10"/>
      <c r="G69" s="10">
        <v>1</v>
      </c>
      <c r="H69" s="10" t="s">
        <v>139</v>
      </c>
      <c r="I69" s="8"/>
      <c r="J69" s="8"/>
      <c r="K69" s="2"/>
      <c r="L69" s="8" t="s">
        <v>119</v>
      </c>
      <c r="M69" s="8"/>
      <c r="N69" s="8"/>
      <c r="O69" s="8"/>
      <c r="P69" s="2"/>
      <c r="Q69" s="83"/>
      <c r="S69" s="5" t="s">
        <v>137</v>
      </c>
      <c r="T69" s="44" t="s">
        <v>70</v>
      </c>
      <c r="U69" s="44">
        <v>5</v>
      </c>
      <c r="W69" s="5" t="s">
        <v>50</v>
      </c>
      <c r="X69" s="44" t="s">
        <v>70</v>
      </c>
      <c r="Y69" s="44">
        <v>5</v>
      </c>
      <c r="Z69" s="47"/>
      <c r="AA69" s="47"/>
      <c r="AB69" s="47"/>
      <c r="AC69" s="47"/>
      <c r="AD69" s="47"/>
    </row>
    <row r="70" spans="1:30" ht="15" thickBot="1" x14ac:dyDescent="0.35">
      <c r="A70" s="2">
        <v>69</v>
      </c>
      <c r="B70" s="84" t="s">
        <v>126</v>
      </c>
      <c r="C70" s="100">
        <v>3</v>
      </c>
      <c r="D70" s="9">
        <v>2</v>
      </c>
      <c r="E70" s="29"/>
      <c r="F70" s="29"/>
      <c r="G70" s="29">
        <v>1</v>
      </c>
      <c r="H70" s="29" t="s">
        <v>140</v>
      </c>
      <c r="I70" s="82"/>
      <c r="J70" s="82"/>
      <c r="K70" s="81"/>
      <c r="L70" s="82" t="s">
        <v>119</v>
      </c>
      <c r="M70" s="82" t="s">
        <v>121</v>
      </c>
      <c r="N70" s="82"/>
      <c r="O70" s="82"/>
      <c r="P70" s="81"/>
      <c r="Q70" s="85" t="s">
        <v>944</v>
      </c>
      <c r="S70" s="5" t="s">
        <v>50</v>
      </c>
      <c r="T70" s="44" t="s">
        <v>70</v>
      </c>
      <c r="U70" s="44">
        <v>5</v>
      </c>
      <c r="W70" s="5" t="s">
        <v>26</v>
      </c>
      <c r="X70" s="44">
        <v>3</v>
      </c>
      <c r="Y70" s="44">
        <v>3</v>
      </c>
      <c r="Z70" s="47" t="s">
        <v>118</v>
      </c>
      <c r="AA70" s="47" t="s">
        <v>141</v>
      </c>
      <c r="AB70" s="47" t="s">
        <v>142</v>
      </c>
      <c r="AC70" s="47" t="s">
        <v>141</v>
      </c>
      <c r="AD70" s="47" t="s">
        <v>142</v>
      </c>
    </row>
    <row r="71" spans="1:30" ht="15" thickBot="1" x14ac:dyDescent="0.35">
      <c r="A71" s="4">
        <v>70</v>
      </c>
      <c r="B71" s="4" t="s">
        <v>126</v>
      </c>
      <c r="C71" s="100">
        <v>2</v>
      </c>
      <c r="D71" s="101">
        <v>1</v>
      </c>
      <c r="E71" s="10"/>
      <c r="F71" s="10"/>
      <c r="G71" s="10">
        <v>1</v>
      </c>
      <c r="H71" s="10" t="s">
        <v>140</v>
      </c>
      <c r="I71" s="8"/>
      <c r="J71" s="8"/>
      <c r="K71" s="2"/>
      <c r="L71" s="8" t="s">
        <v>120</v>
      </c>
      <c r="M71" s="8" t="s">
        <v>143</v>
      </c>
      <c r="N71" s="8"/>
      <c r="O71" s="8"/>
      <c r="P71" s="2"/>
      <c r="Q71" s="83"/>
      <c r="T71" s="44"/>
      <c r="U71" s="46">
        <f>SUM(U64:U70)</f>
        <v>31</v>
      </c>
      <c r="Y71" s="44">
        <f>SUM(Y64:Y70)</f>
        <v>30</v>
      </c>
      <c r="Z71" s="47" t="s">
        <v>144</v>
      </c>
      <c r="AA71" s="47" t="s">
        <v>137</v>
      </c>
      <c r="AB71" s="47" t="s">
        <v>118</v>
      </c>
      <c r="AC71" s="47" t="s">
        <v>26</v>
      </c>
      <c r="AD71" s="47" t="s">
        <v>145</v>
      </c>
    </row>
    <row r="72" spans="1:30" ht="15" thickBot="1" x14ac:dyDescent="0.35">
      <c r="A72" s="2">
        <v>71</v>
      </c>
      <c r="B72" s="4" t="s">
        <v>126</v>
      </c>
      <c r="C72" s="100">
        <v>1</v>
      </c>
      <c r="D72" s="101">
        <v>1</v>
      </c>
      <c r="E72" s="10"/>
      <c r="F72" s="10"/>
      <c r="G72" s="10">
        <v>1</v>
      </c>
      <c r="H72" s="10" t="s">
        <v>140</v>
      </c>
      <c r="I72" s="8"/>
      <c r="J72" s="8"/>
      <c r="K72" s="2"/>
      <c r="L72" s="8" t="s">
        <v>120</v>
      </c>
      <c r="M72" s="8" t="s">
        <v>143</v>
      </c>
      <c r="N72" s="8"/>
      <c r="O72" s="8"/>
      <c r="P72" s="2"/>
      <c r="Q72" s="85" t="s">
        <v>944</v>
      </c>
      <c r="T72" s="44"/>
      <c r="U72" s="46"/>
      <c r="Y72" s="44"/>
      <c r="Z72" s="47"/>
      <c r="AA72" s="47"/>
      <c r="AB72" s="47"/>
      <c r="AC72" s="47"/>
      <c r="AD72" s="47"/>
    </row>
    <row r="73" spans="1:30" ht="15" thickBot="1" x14ac:dyDescent="0.35">
      <c r="A73" s="4">
        <v>72</v>
      </c>
      <c r="B73" s="4" t="s">
        <v>126</v>
      </c>
      <c r="C73" s="100">
        <v>2</v>
      </c>
      <c r="D73" s="101">
        <v>1</v>
      </c>
      <c r="E73" s="10"/>
      <c r="F73" s="10"/>
      <c r="G73" s="10">
        <v>1</v>
      </c>
      <c r="H73" s="10" t="s">
        <v>140</v>
      </c>
      <c r="I73" s="8"/>
      <c r="J73" s="8"/>
      <c r="K73" s="2"/>
      <c r="L73" s="8" t="s">
        <v>146</v>
      </c>
      <c r="M73" s="8"/>
      <c r="N73" s="8"/>
      <c r="O73" s="8"/>
      <c r="P73" s="2"/>
      <c r="Q73" s="24"/>
      <c r="T73" s="44"/>
      <c r="U73" s="46"/>
      <c r="Y73" s="44"/>
      <c r="Z73" s="47"/>
      <c r="AA73" s="47"/>
      <c r="AB73" s="47"/>
      <c r="AC73" s="47"/>
      <c r="AD73" s="47"/>
    </row>
    <row r="74" spans="1:30" ht="15" thickBot="1" x14ac:dyDescent="0.35">
      <c r="A74" s="2">
        <v>73</v>
      </c>
      <c r="B74" s="84" t="s">
        <v>126</v>
      </c>
      <c r="C74" s="100">
        <v>1</v>
      </c>
      <c r="D74" s="101">
        <v>1</v>
      </c>
      <c r="E74" s="29"/>
      <c r="F74" s="29"/>
      <c r="G74" s="29">
        <v>1</v>
      </c>
      <c r="H74" s="29" t="s">
        <v>140</v>
      </c>
      <c r="I74" s="82"/>
      <c r="J74" s="82"/>
      <c r="K74" s="81"/>
      <c r="L74" s="82" t="s">
        <v>146</v>
      </c>
      <c r="M74" s="82"/>
      <c r="N74" s="82"/>
      <c r="O74" s="82"/>
      <c r="P74" s="81"/>
      <c r="Q74" s="85" t="s">
        <v>944</v>
      </c>
      <c r="Z74" s="47"/>
      <c r="AA74" s="47"/>
      <c r="AB74" s="47" t="s">
        <v>144</v>
      </c>
      <c r="AD74" s="47" t="s">
        <v>137</v>
      </c>
    </row>
    <row r="75" spans="1:30" ht="15" thickBot="1" x14ac:dyDescent="0.35">
      <c r="A75" s="4">
        <v>74</v>
      </c>
      <c r="B75" s="4" t="s">
        <v>147</v>
      </c>
      <c r="C75" s="4">
        <v>3</v>
      </c>
      <c r="D75" s="9">
        <v>1</v>
      </c>
      <c r="E75" s="10"/>
      <c r="F75" s="10"/>
      <c r="G75" s="10">
        <v>1</v>
      </c>
      <c r="H75" s="10" t="s">
        <v>148</v>
      </c>
      <c r="I75" s="8"/>
      <c r="J75" s="8"/>
      <c r="K75" s="2"/>
      <c r="L75" s="8" t="s">
        <v>121</v>
      </c>
      <c r="M75" s="8"/>
      <c r="N75" s="8"/>
      <c r="O75" s="8"/>
      <c r="P75" s="2"/>
      <c r="Q75" s="83"/>
    </row>
    <row r="76" spans="1:30" ht="15" thickBot="1" x14ac:dyDescent="0.35">
      <c r="A76" s="2">
        <v>75</v>
      </c>
      <c r="B76" s="4" t="s">
        <v>129</v>
      </c>
      <c r="C76" s="4">
        <v>5</v>
      </c>
      <c r="D76" s="9">
        <v>2</v>
      </c>
      <c r="E76" s="10" t="s">
        <v>20</v>
      </c>
      <c r="F76" s="10"/>
      <c r="G76" s="10">
        <v>1</v>
      </c>
      <c r="H76" s="10" t="s">
        <v>114</v>
      </c>
      <c r="I76" s="8" t="s">
        <v>96</v>
      </c>
      <c r="J76" s="8"/>
      <c r="K76" s="2"/>
      <c r="L76" s="8" t="s">
        <v>146</v>
      </c>
      <c r="M76" s="8"/>
      <c r="N76" s="8"/>
      <c r="O76" s="8"/>
      <c r="P76" s="2"/>
      <c r="Q76" s="83"/>
    </row>
    <row r="77" spans="1:30" ht="15" thickBot="1" x14ac:dyDescent="0.35">
      <c r="A77" s="4">
        <v>76</v>
      </c>
      <c r="B77" s="4" t="s">
        <v>129</v>
      </c>
      <c r="C77" s="4">
        <v>5</v>
      </c>
      <c r="D77" s="9">
        <v>2</v>
      </c>
      <c r="E77" s="10" t="s">
        <v>20</v>
      </c>
      <c r="F77" s="10"/>
      <c r="G77" s="10">
        <v>1</v>
      </c>
      <c r="H77" s="10" t="s">
        <v>114</v>
      </c>
      <c r="I77" s="8" t="s">
        <v>96</v>
      </c>
      <c r="J77" s="8"/>
      <c r="K77" s="2"/>
      <c r="L77" s="8" t="s">
        <v>143</v>
      </c>
      <c r="M77" s="8"/>
      <c r="N77" s="8"/>
      <c r="O77" s="8"/>
      <c r="P77" s="2"/>
      <c r="Q77" s="83"/>
      <c r="S77" s="5" t="s">
        <v>121</v>
      </c>
      <c r="W77" s="5" t="s">
        <v>119</v>
      </c>
    </row>
    <row r="78" spans="1:30" ht="15" thickBot="1" x14ac:dyDescent="0.35">
      <c r="A78" s="2">
        <v>77</v>
      </c>
      <c r="B78" s="84" t="s">
        <v>131</v>
      </c>
      <c r="C78" s="4">
        <v>2</v>
      </c>
      <c r="D78" s="86">
        <v>1</v>
      </c>
      <c r="E78" s="29" t="s">
        <v>30</v>
      </c>
      <c r="F78" s="29"/>
      <c r="G78" s="29">
        <v>1</v>
      </c>
      <c r="H78" s="29" t="s">
        <v>114</v>
      </c>
      <c r="I78" s="82"/>
      <c r="J78" s="82"/>
      <c r="K78" s="81"/>
      <c r="L78" s="82" t="s">
        <v>146</v>
      </c>
      <c r="M78" s="82"/>
      <c r="N78" s="82"/>
      <c r="O78" s="82"/>
      <c r="P78" s="81"/>
      <c r="Q78" s="85" t="s">
        <v>944</v>
      </c>
      <c r="S78" s="5" t="s">
        <v>126</v>
      </c>
      <c r="T78" s="44" t="s">
        <v>64</v>
      </c>
      <c r="U78" s="44">
        <v>4</v>
      </c>
      <c r="W78" s="5" t="s">
        <v>126</v>
      </c>
      <c r="X78" s="44" t="s">
        <v>64</v>
      </c>
      <c r="Y78" s="44">
        <v>4</v>
      </c>
    </row>
    <row r="79" spans="1:30" ht="15" thickBot="1" x14ac:dyDescent="0.35">
      <c r="A79" s="4">
        <v>78</v>
      </c>
      <c r="B79" s="4" t="s">
        <v>131</v>
      </c>
      <c r="C79" s="48">
        <v>1</v>
      </c>
      <c r="D79" s="9">
        <v>1</v>
      </c>
      <c r="E79" s="10" t="s">
        <v>30</v>
      </c>
      <c r="F79" s="10"/>
      <c r="G79" s="10">
        <v>1</v>
      </c>
      <c r="H79" s="10" t="s">
        <v>114</v>
      </c>
      <c r="I79" s="8"/>
      <c r="J79" s="8"/>
      <c r="K79" s="2"/>
      <c r="L79" s="8" t="s">
        <v>143</v>
      </c>
      <c r="M79" s="8"/>
      <c r="N79" s="8"/>
      <c r="O79" s="8"/>
      <c r="P79" s="2"/>
      <c r="Q79" s="83" t="s">
        <v>944</v>
      </c>
      <c r="S79" s="5" t="s">
        <v>118</v>
      </c>
      <c r="T79" s="44" t="s">
        <v>70</v>
      </c>
      <c r="U79" s="44">
        <v>5</v>
      </c>
      <c r="W79" s="5" t="s">
        <v>118</v>
      </c>
      <c r="X79" s="44" t="s">
        <v>70</v>
      </c>
      <c r="Y79" s="44">
        <v>5</v>
      </c>
    </row>
    <row r="80" spans="1:30" ht="15" thickBot="1" x14ac:dyDescent="0.35">
      <c r="A80" s="2">
        <v>79</v>
      </c>
      <c r="B80" s="84" t="s">
        <v>134</v>
      </c>
      <c r="C80" s="107">
        <v>3</v>
      </c>
      <c r="D80" s="86">
        <v>2</v>
      </c>
      <c r="E80" s="29"/>
      <c r="F80" s="29"/>
      <c r="G80" s="29">
        <v>1</v>
      </c>
      <c r="H80" s="29" t="s">
        <v>149</v>
      </c>
      <c r="I80" s="82"/>
      <c r="J80" s="82"/>
      <c r="K80" s="81"/>
      <c r="L80" s="82" t="s">
        <v>146</v>
      </c>
      <c r="M80" s="82"/>
      <c r="N80" s="82"/>
      <c r="O80" s="82"/>
      <c r="P80" s="81"/>
      <c r="Q80" s="85" t="s">
        <v>944</v>
      </c>
      <c r="S80" s="5" t="s">
        <v>122</v>
      </c>
      <c r="T80" s="44">
        <v>2</v>
      </c>
      <c r="U80" s="44">
        <v>2</v>
      </c>
      <c r="W80" s="5" t="s">
        <v>122</v>
      </c>
      <c r="X80" s="44">
        <v>2</v>
      </c>
      <c r="Y80" s="44">
        <v>2</v>
      </c>
    </row>
    <row r="81" spans="1:35" ht="15" thickBot="1" x14ac:dyDescent="0.35">
      <c r="A81" s="4">
        <v>80</v>
      </c>
      <c r="B81" s="4" t="s">
        <v>134</v>
      </c>
      <c r="C81" s="4">
        <v>4</v>
      </c>
      <c r="D81" s="9">
        <v>2</v>
      </c>
      <c r="E81" s="10"/>
      <c r="F81" s="10"/>
      <c r="G81" s="10">
        <v>1</v>
      </c>
      <c r="H81" s="10" t="s">
        <v>149</v>
      </c>
      <c r="I81" s="8"/>
      <c r="J81" s="8"/>
      <c r="K81" s="2"/>
      <c r="L81" s="8" t="s">
        <v>143</v>
      </c>
      <c r="M81" s="8"/>
      <c r="N81" s="8"/>
      <c r="O81" s="8"/>
      <c r="P81" s="2"/>
      <c r="Q81" s="83"/>
      <c r="S81" s="5" t="s">
        <v>127</v>
      </c>
      <c r="T81" s="44" t="s">
        <v>70</v>
      </c>
      <c r="U81" s="44">
        <v>5</v>
      </c>
      <c r="W81" s="5" t="s">
        <v>127</v>
      </c>
      <c r="X81" s="44" t="s">
        <v>70</v>
      </c>
      <c r="Y81" s="44">
        <v>5</v>
      </c>
    </row>
    <row r="82" spans="1:35" ht="15" thickBot="1" x14ac:dyDescent="0.35">
      <c r="A82" s="2">
        <v>81</v>
      </c>
      <c r="B82" s="84" t="s">
        <v>150</v>
      </c>
      <c r="C82" s="84">
        <v>6</v>
      </c>
      <c r="D82" s="86">
        <v>2</v>
      </c>
      <c r="E82" s="29"/>
      <c r="F82" s="29"/>
      <c r="G82" s="29">
        <v>1</v>
      </c>
      <c r="H82" s="10" t="s">
        <v>151</v>
      </c>
      <c r="I82" s="82"/>
      <c r="J82" s="82"/>
      <c r="K82" s="81"/>
      <c r="L82" s="82" t="s">
        <v>120</v>
      </c>
      <c r="M82" s="82" t="s">
        <v>143</v>
      </c>
      <c r="N82" s="82"/>
      <c r="O82" s="82"/>
      <c r="P82" s="81"/>
      <c r="Q82" s="83" t="s">
        <v>152</v>
      </c>
      <c r="S82" s="5" t="s">
        <v>130</v>
      </c>
      <c r="T82" s="44" t="s">
        <v>70</v>
      </c>
      <c r="U82" s="44">
        <v>5</v>
      </c>
      <c r="W82" s="5" t="s">
        <v>130</v>
      </c>
      <c r="X82" s="44" t="s">
        <v>70</v>
      </c>
      <c r="Y82" s="44">
        <v>5</v>
      </c>
    </row>
    <row r="83" spans="1:35" ht="15" thickBot="1" x14ac:dyDescent="0.35">
      <c r="A83" s="4">
        <v>82</v>
      </c>
      <c r="B83" s="4" t="s">
        <v>150</v>
      </c>
      <c r="C83" s="4">
        <v>6</v>
      </c>
      <c r="D83" s="9">
        <v>2</v>
      </c>
      <c r="E83" s="10"/>
      <c r="F83" s="10"/>
      <c r="G83" s="10">
        <v>0</v>
      </c>
      <c r="H83" s="26"/>
      <c r="I83" s="8"/>
      <c r="J83" s="8"/>
      <c r="K83" s="2"/>
      <c r="L83" s="8" t="s">
        <v>146</v>
      </c>
      <c r="M83" s="8"/>
      <c r="N83" s="8"/>
      <c r="O83" s="8"/>
      <c r="P83" s="2"/>
      <c r="Q83" s="83" t="s">
        <v>152</v>
      </c>
      <c r="S83" s="5" t="s">
        <v>132</v>
      </c>
      <c r="T83" s="44" t="s">
        <v>70</v>
      </c>
      <c r="U83" s="44">
        <v>5</v>
      </c>
      <c r="W83" s="5" t="s">
        <v>132</v>
      </c>
      <c r="X83" s="44" t="s">
        <v>70</v>
      </c>
      <c r="Y83" s="44">
        <v>5</v>
      </c>
    </row>
    <row r="84" spans="1:35" ht="15" thickBot="1" x14ac:dyDescent="0.35">
      <c r="A84" s="2">
        <v>83</v>
      </c>
      <c r="B84" s="84" t="s">
        <v>137</v>
      </c>
      <c r="C84" s="84">
        <v>5</v>
      </c>
      <c r="D84" s="86">
        <v>2</v>
      </c>
      <c r="E84" s="29"/>
      <c r="F84" s="29"/>
      <c r="G84" s="29">
        <v>1</v>
      </c>
      <c r="H84" s="29" t="s">
        <v>53</v>
      </c>
      <c r="I84" s="82" t="s">
        <v>153</v>
      </c>
      <c r="J84" s="82"/>
      <c r="K84" s="81"/>
      <c r="L84" s="82" t="s">
        <v>120</v>
      </c>
      <c r="M84" s="82" t="s">
        <v>143</v>
      </c>
      <c r="N84" s="82"/>
      <c r="O84" s="82"/>
      <c r="P84" s="81"/>
      <c r="Q84" s="83"/>
      <c r="S84" s="5" t="s">
        <v>147</v>
      </c>
      <c r="T84" s="44">
        <v>3</v>
      </c>
      <c r="U84" s="44">
        <v>3</v>
      </c>
      <c r="W84" s="5" t="s">
        <v>138</v>
      </c>
      <c r="X84" s="44">
        <v>3</v>
      </c>
      <c r="Y84" s="44">
        <v>3</v>
      </c>
    </row>
    <row r="85" spans="1:35" ht="15" thickBot="1" x14ac:dyDescent="0.35">
      <c r="A85" s="4">
        <v>84</v>
      </c>
      <c r="B85" s="4" t="s">
        <v>137</v>
      </c>
      <c r="C85" s="4">
        <v>5</v>
      </c>
      <c r="D85" s="9">
        <v>2</v>
      </c>
      <c r="E85" s="10"/>
      <c r="F85" s="10"/>
      <c r="G85" s="10">
        <v>1</v>
      </c>
      <c r="H85" s="10" t="s">
        <v>53</v>
      </c>
      <c r="I85" s="8" t="s">
        <v>153</v>
      </c>
      <c r="J85" s="8"/>
      <c r="K85" s="2"/>
      <c r="L85" s="8" t="s">
        <v>146</v>
      </c>
      <c r="M85" s="8"/>
      <c r="N85" s="8"/>
      <c r="O85" s="8"/>
      <c r="P85" s="2"/>
      <c r="Q85" s="83"/>
      <c r="U85" s="44">
        <f>SUM(U78:U84)</f>
        <v>29</v>
      </c>
      <c r="Y85" s="44">
        <f>SUM(Y78:Y84)</f>
        <v>29</v>
      </c>
    </row>
    <row r="86" spans="1:35" ht="15" thickBot="1" x14ac:dyDescent="0.35">
      <c r="A86" s="4">
        <v>85</v>
      </c>
      <c r="B86" s="4" t="s">
        <v>50</v>
      </c>
      <c r="C86" s="4">
        <v>5</v>
      </c>
      <c r="D86" s="9">
        <v>2</v>
      </c>
      <c r="E86" s="10"/>
      <c r="F86" s="10"/>
      <c r="G86" s="10">
        <v>1</v>
      </c>
      <c r="H86" s="10" t="s">
        <v>927</v>
      </c>
      <c r="I86" s="146"/>
      <c r="J86" s="146"/>
      <c r="K86" s="147"/>
      <c r="L86" s="8" t="s">
        <v>120</v>
      </c>
      <c r="M86" s="8" t="s">
        <v>143</v>
      </c>
      <c r="N86" s="8"/>
      <c r="O86" s="8"/>
      <c r="P86" s="2"/>
      <c r="Q86" s="83"/>
    </row>
    <row r="87" spans="1:35" ht="15" thickBot="1" x14ac:dyDescent="0.35">
      <c r="A87" s="4">
        <v>86</v>
      </c>
      <c r="B87" s="4" t="s">
        <v>50</v>
      </c>
      <c r="C87" s="4">
        <v>5</v>
      </c>
      <c r="D87" s="9">
        <v>2</v>
      </c>
      <c r="E87" s="10"/>
      <c r="F87" s="10"/>
      <c r="G87" s="10">
        <v>1</v>
      </c>
      <c r="H87" s="10" t="s">
        <v>154</v>
      </c>
      <c r="I87" s="8"/>
      <c r="J87" s="8"/>
      <c r="K87" s="2"/>
      <c r="L87" s="8" t="s">
        <v>146</v>
      </c>
      <c r="M87" s="8"/>
      <c r="N87" s="8"/>
      <c r="O87" s="8"/>
      <c r="P87" s="2"/>
      <c r="Q87" s="83"/>
    </row>
    <row r="88" spans="1:35" ht="15" thickBot="1" x14ac:dyDescent="0.35">
      <c r="A88" s="2">
        <v>87</v>
      </c>
      <c r="B88" s="84" t="s">
        <v>26</v>
      </c>
      <c r="C88" s="84">
        <v>3</v>
      </c>
      <c r="D88" s="86">
        <v>1</v>
      </c>
      <c r="E88" s="29"/>
      <c r="F88" s="29"/>
      <c r="G88" s="29">
        <v>1</v>
      </c>
      <c r="H88" s="29" t="s">
        <v>155</v>
      </c>
      <c r="I88" s="82"/>
      <c r="J88" s="82"/>
      <c r="K88" s="88"/>
      <c r="L88" s="82" t="s">
        <v>120</v>
      </c>
      <c r="M88" s="82"/>
      <c r="N88" s="82"/>
      <c r="O88" s="82"/>
      <c r="P88" s="81"/>
      <c r="Q88" s="85"/>
    </row>
    <row r="89" spans="1:35" s="41" customFormat="1" ht="15" thickBot="1" x14ac:dyDescent="0.35">
      <c r="A89" s="4">
        <v>88</v>
      </c>
      <c r="B89" s="35"/>
      <c r="C89" s="35"/>
      <c r="D89" s="36"/>
      <c r="E89" s="37"/>
      <c r="F89" s="37"/>
      <c r="G89" s="37"/>
      <c r="H89" s="37"/>
      <c r="I89" s="39"/>
      <c r="J89" s="39"/>
      <c r="K89" s="40"/>
      <c r="L89" s="39"/>
      <c r="M89" s="39"/>
      <c r="N89" s="39"/>
      <c r="O89" s="39"/>
      <c r="P89" s="40"/>
      <c r="Q89" s="87"/>
    </row>
    <row r="90" spans="1:35" ht="15" thickBot="1" x14ac:dyDescent="0.35">
      <c r="A90" s="2">
        <v>89</v>
      </c>
      <c r="B90" s="84" t="s">
        <v>156</v>
      </c>
      <c r="C90" s="84">
        <v>4</v>
      </c>
      <c r="D90" s="86">
        <v>2</v>
      </c>
      <c r="E90" s="29"/>
      <c r="F90" s="29"/>
      <c r="G90" s="29">
        <v>1</v>
      </c>
      <c r="H90" s="29" t="s">
        <v>157</v>
      </c>
      <c r="I90" s="82" t="s">
        <v>158</v>
      </c>
      <c r="J90" s="82"/>
      <c r="K90" s="81"/>
      <c r="L90" s="82" t="s">
        <v>159</v>
      </c>
      <c r="M90" s="82" t="s">
        <v>160</v>
      </c>
      <c r="N90" s="82"/>
      <c r="O90" s="82"/>
      <c r="P90" s="81"/>
      <c r="Q90" s="85"/>
    </row>
    <row r="91" spans="1:35" ht="15" thickBot="1" x14ac:dyDescent="0.35">
      <c r="A91" s="4">
        <v>90</v>
      </c>
      <c r="B91" s="4" t="s">
        <v>156</v>
      </c>
      <c r="C91" s="4">
        <v>4</v>
      </c>
      <c r="D91" s="9">
        <v>2</v>
      </c>
      <c r="E91" s="10"/>
      <c r="F91" s="10"/>
      <c r="G91" s="10">
        <v>1</v>
      </c>
      <c r="H91" s="10" t="s">
        <v>157</v>
      </c>
      <c r="I91" s="8" t="s">
        <v>158</v>
      </c>
      <c r="J91" s="8"/>
      <c r="K91" s="2"/>
      <c r="L91" s="8" t="s">
        <v>161</v>
      </c>
      <c r="M91" s="8" t="s">
        <v>162</v>
      </c>
      <c r="N91" s="8"/>
      <c r="O91" s="8"/>
      <c r="P91" s="2"/>
      <c r="Q91" s="83"/>
      <c r="AA91" s="5" t="s">
        <v>159</v>
      </c>
    </row>
    <row r="92" spans="1:35" ht="15" thickBot="1" x14ac:dyDescent="0.35">
      <c r="A92" s="2">
        <v>91</v>
      </c>
      <c r="B92" s="84" t="s">
        <v>156</v>
      </c>
      <c r="C92" s="84">
        <v>4</v>
      </c>
      <c r="D92" s="86">
        <v>2</v>
      </c>
      <c r="E92" s="29"/>
      <c r="F92" s="29"/>
      <c r="G92" s="29">
        <v>0</v>
      </c>
      <c r="H92" s="26"/>
      <c r="I92" s="82"/>
      <c r="J92" s="82"/>
      <c r="K92" s="81"/>
      <c r="L92" s="82" t="s">
        <v>163</v>
      </c>
      <c r="M92" s="82"/>
      <c r="N92" s="82"/>
      <c r="O92" s="82"/>
      <c r="P92" s="81"/>
      <c r="Q92" s="85"/>
      <c r="AA92" s="5" t="s">
        <v>156</v>
      </c>
      <c r="AB92" s="5" t="s">
        <v>64</v>
      </c>
      <c r="AC92" s="5">
        <v>4</v>
      </c>
      <c r="AE92" s="47" t="s">
        <v>24</v>
      </c>
      <c r="AF92" s="47" t="s">
        <v>25</v>
      </c>
      <c r="AG92" s="47" t="s">
        <v>26</v>
      </c>
      <c r="AH92" s="47" t="s">
        <v>27</v>
      </c>
      <c r="AI92" s="47" t="s">
        <v>28</v>
      </c>
    </row>
    <row r="93" spans="1:35" ht="15" thickBot="1" x14ac:dyDescent="0.35">
      <c r="A93" s="4">
        <v>92</v>
      </c>
      <c r="B93" s="4" t="s">
        <v>164</v>
      </c>
      <c r="C93" s="4">
        <v>4</v>
      </c>
      <c r="D93" s="9">
        <v>2</v>
      </c>
      <c r="E93" s="10"/>
      <c r="F93" s="10"/>
      <c r="G93" s="10">
        <v>1</v>
      </c>
      <c r="H93" s="10" t="s">
        <v>165</v>
      </c>
      <c r="I93" s="8"/>
      <c r="J93" s="8"/>
      <c r="K93" s="2"/>
      <c r="L93" s="8" t="s">
        <v>159</v>
      </c>
      <c r="M93" s="8" t="s">
        <v>160</v>
      </c>
      <c r="N93" s="8"/>
      <c r="O93" s="8"/>
      <c r="P93" s="2"/>
      <c r="Q93" s="83"/>
      <c r="AA93" s="5" t="s">
        <v>164</v>
      </c>
      <c r="AB93" s="5" t="s">
        <v>64</v>
      </c>
      <c r="AC93" s="5">
        <v>4</v>
      </c>
      <c r="AE93" s="47">
        <v>6</v>
      </c>
      <c r="AF93" s="47">
        <v>3</v>
      </c>
      <c r="AG93" s="47">
        <v>3</v>
      </c>
      <c r="AH93" s="47">
        <v>2</v>
      </c>
      <c r="AI93" s="47">
        <v>2</v>
      </c>
    </row>
    <row r="94" spans="1:35" ht="15" thickBot="1" x14ac:dyDescent="0.35">
      <c r="A94" s="2">
        <v>93</v>
      </c>
      <c r="B94" s="4" t="s">
        <v>166</v>
      </c>
      <c r="C94" s="84">
        <v>3</v>
      </c>
      <c r="D94" s="86">
        <v>1</v>
      </c>
      <c r="E94" s="29" t="s">
        <v>20</v>
      </c>
      <c r="F94" s="29"/>
      <c r="G94" s="29">
        <v>1</v>
      </c>
      <c r="H94" s="10" t="s">
        <v>167</v>
      </c>
      <c r="I94" s="82"/>
      <c r="J94" s="82"/>
      <c r="K94" s="81"/>
      <c r="L94" s="82" t="s">
        <v>159</v>
      </c>
      <c r="M94" s="82"/>
      <c r="N94" s="82"/>
      <c r="O94" s="82"/>
      <c r="P94" s="81"/>
      <c r="Q94" s="83"/>
      <c r="AA94" s="5" t="s">
        <v>79</v>
      </c>
      <c r="AB94" s="5" t="s">
        <v>168</v>
      </c>
      <c r="AC94" s="5">
        <v>3</v>
      </c>
      <c r="AE94" s="47"/>
      <c r="AF94" s="47">
        <v>1</v>
      </c>
      <c r="AG94" s="47">
        <v>2</v>
      </c>
      <c r="AH94" s="47">
        <v>2</v>
      </c>
      <c r="AI94" s="47">
        <v>2</v>
      </c>
    </row>
    <row r="95" spans="1:35" ht="15" thickBot="1" x14ac:dyDescent="0.35">
      <c r="A95" s="4">
        <v>94</v>
      </c>
      <c r="B95" s="4" t="s">
        <v>169</v>
      </c>
      <c r="C95" s="4">
        <v>2</v>
      </c>
      <c r="D95" s="9">
        <v>1</v>
      </c>
      <c r="E95" s="10" t="s">
        <v>30</v>
      </c>
      <c r="F95" s="10"/>
      <c r="G95" s="10">
        <v>0</v>
      </c>
      <c r="H95" s="26"/>
      <c r="I95" s="8"/>
      <c r="J95" s="8"/>
      <c r="K95" s="2"/>
      <c r="L95" s="8" t="s">
        <v>159</v>
      </c>
      <c r="M95" s="8"/>
      <c r="N95" s="8"/>
      <c r="O95" s="8"/>
      <c r="P95" s="2"/>
      <c r="Q95" s="83"/>
      <c r="AA95" s="5" t="s">
        <v>166</v>
      </c>
      <c r="AB95" s="5" t="s">
        <v>70</v>
      </c>
      <c r="AC95" s="5">
        <v>5</v>
      </c>
      <c r="AE95" s="47"/>
      <c r="AF95" s="47"/>
      <c r="AG95" s="47"/>
      <c r="AH95" s="5">
        <v>2</v>
      </c>
      <c r="AI95" s="47">
        <v>2</v>
      </c>
    </row>
    <row r="96" spans="1:35" ht="15" thickBot="1" x14ac:dyDescent="0.35">
      <c r="A96" s="2">
        <v>95</v>
      </c>
      <c r="B96" s="84" t="s">
        <v>170</v>
      </c>
      <c r="C96" s="84">
        <v>5</v>
      </c>
      <c r="D96" s="86">
        <v>2</v>
      </c>
      <c r="E96" s="29"/>
      <c r="F96" s="29"/>
      <c r="G96" s="29">
        <v>2</v>
      </c>
      <c r="H96" s="10" t="s">
        <v>171</v>
      </c>
      <c r="I96" s="82" t="s">
        <v>172</v>
      </c>
      <c r="J96" s="82"/>
      <c r="K96" s="81"/>
      <c r="L96" s="82" t="s">
        <v>159</v>
      </c>
      <c r="M96" s="82"/>
      <c r="N96" s="82"/>
      <c r="O96" s="82"/>
      <c r="P96" s="81"/>
      <c r="Q96" s="85"/>
      <c r="AA96" s="5" t="s">
        <v>170</v>
      </c>
      <c r="AB96" s="5" t="s">
        <v>70</v>
      </c>
      <c r="AC96" s="5">
        <v>5</v>
      </c>
    </row>
    <row r="97" spans="1:35" ht="15" thickBot="1" x14ac:dyDescent="0.35">
      <c r="A97" s="4">
        <v>96</v>
      </c>
      <c r="B97" s="4" t="s">
        <v>173</v>
      </c>
      <c r="C97" s="4">
        <v>6</v>
      </c>
      <c r="D97" s="9">
        <v>1</v>
      </c>
      <c r="E97" s="10"/>
      <c r="F97" s="10"/>
      <c r="G97" s="10">
        <v>2</v>
      </c>
      <c r="H97" s="10" t="s">
        <v>174</v>
      </c>
      <c r="I97" s="8" t="s">
        <v>175</v>
      </c>
      <c r="J97" s="8"/>
      <c r="K97" s="2"/>
      <c r="L97" s="8" t="s">
        <v>159</v>
      </c>
      <c r="M97" s="8"/>
      <c r="N97" s="8"/>
      <c r="O97" s="8"/>
      <c r="P97" s="2"/>
      <c r="Q97" s="83"/>
      <c r="AA97" s="5" t="s">
        <v>173</v>
      </c>
      <c r="AB97" s="5">
        <v>6</v>
      </c>
      <c r="AC97" s="5">
        <v>6</v>
      </c>
    </row>
    <row r="98" spans="1:35" ht="15" thickBot="1" x14ac:dyDescent="0.35">
      <c r="A98" s="2">
        <v>97</v>
      </c>
      <c r="B98" s="84" t="s">
        <v>79</v>
      </c>
      <c r="C98" s="84">
        <v>3</v>
      </c>
      <c r="D98" s="86">
        <v>2</v>
      </c>
      <c r="E98" s="29"/>
      <c r="F98" s="29"/>
      <c r="G98" s="29">
        <v>1</v>
      </c>
      <c r="H98" s="58" t="s">
        <v>55</v>
      </c>
      <c r="I98" s="82"/>
      <c r="J98" s="82"/>
      <c r="K98" s="81"/>
      <c r="L98" s="82" t="s">
        <v>159</v>
      </c>
      <c r="M98" s="82" t="s">
        <v>160</v>
      </c>
      <c r="N98" s="82"/>
      <c r="O98" s="82"/>
      <c r="P98" s="81"/>
      <c r="Q98" s="85"/>
      <c r="AB98" s="7" t="s">
        <v>176</v>
      </c>
      <c r="AC98" s="5">
        <f>SUM(AC92:AC97)</f>
        <v>27</v>
      </c>
    </row>
    <row r="99" spans="1:35" ht="15" thickBot="1" x14ac:dyDescent="0.35">
      <c r="A99" s="4">
        <v>98</v>
      </c>
      <c r="B99" s="4" t="s">
        <v>79</v>
      </c>
      <c r="C99" s="4">
        <v>3</v>
      </c>
      <c r="D99" s="9">
        <v>2</v>
      </c>
      <c r="E99" s="10"/>
      <c r="F99" s="10"/>
      <c r="G99" s="10">
        <v>1</v>
      </c>
      <c r="H99" s="58" t="s">
        <v>55</v>
      </c>
      <c r="I99" s="8"/>
      <c r="J99" s="8"/>
      <c r="K99" s="2"/>
      <c r="L99" s="8" t="s">
        <v>161</v>
      </c>
      <c r="M99" s="8" t="s">
        <v>162</v>
      </c>
      <c r="N99" s="8"/>
      <c r="O99" s="8"/>
      <c r="P99" s="2"/>
      <c r="Q99" s="83"/>
    </row>
    <row r="100" spans="1:35" ht="15" thickBot="1" x14ac:dyDescent="0.35">
      <c r="A100" s="2">
        <v>99</v>
      </c>
      <c r="B100" s="84" t="s">
        <v>79</v>
      </c>
      <c r="C100" s="84">
        <v>3</v>
      </c>
      <c r="D100" s="86">
        <v>2</v>
      </c>
      <c r="E100" s="29"/>
      <c r="F100" s="29"/>
      <c r="G100" s="29">
        <v>1</v>
      </c>
      <c r="H100" s="58" t="s">
        <v>55</v>
      </c>
      <c r="I100" s="82"/>
      <c r="J100" s="82"/>
      <c r="K100" s="81"/>
      <c r="L100" s="82" t="s">
        <v>163</v>
      </c>
      <c r="M100" s="82"/>
      <c r="N100" s="82"/>
      <c r="O100" s="82"/>
      <c r="P100" s="81"/>
      <c r="Q100" s="85"/>
    </row>
    <row r="101" spans="1:35" ht="15" thickBot="1" x14ac:dyDescent="0.35">
      <c r="A101" s="4">
        <v>100</v>
      </c>
      <c r="B101" s="4" t="s">
        <v>177</v>
      </c>
      <c r="C101" s="4">
        <v>6</v>
      </c>
      <c r="D101" s="9">
        <v>2</v>
      </c>
      <c r="E101" s="10"/>
      <c r="F101" s="10"/>
      <c r="G101" s="10">
        <v>1</v>
      </c>
      <c r="H101" s="10" t="s">
        <v>128</v>
      </c>
      <c r="I101" s="8"/>
      <c r="J101" s="8"/>
      <c r="K101" s="2"/>
      <c r="L101" s="8" t="s">
        <v>161</v>
      </c>
      <c r="M101" s="8" t="s">
        <v>160</v>
      </c>
      <c r="N101" s="8"/>
      <c r="O101" s="8"/>
      <c r="P101" s="2"/>
      <c r="Q101" s="83"/>
    </row>
    <row r="102" spans="1:35" ht="15" thickBot="1" x14ac:dyDescent="0.35">
      <c r="A102" s="2">
        <v>101</v>
      </c>
      <c r="B102" s="84" t="s">
        <v>178</v>
      </c>
      <c r="C102" s="84">
        <v>4</v>
      </c>
      <c r="D102" s="86">
        <v>2</v>
      </c>
      <c r="E102" s="29"/>
      <c r="F102" s="29"/>
      <c r="G102" s="29">
        <v>0</v>
      </c>
      <c r="H102" s="26"/>
      <c r="I102" s="82"/>
      <c r="J102" s="82"/>
      <c r="K102" s="81"/>
      <c r="L102" s="82" t="s">
        <v>160</v>
      </c>
      <c r="M102" s="82"/>
      <c r="N102" s="82"/>
      <c r="O102" s="82"/>
      <c r="P102" s="81"/>
      <c r="Q102" s="85"/>
      <c r="AA102" s="5" t="s">
        <v>160</v>
      </c>
    </row>
    <row r="103" spans="1:35" ht="15" thickBot="1" x14ac:dyDescent="0.35">
      <c r="A103" s="4">
        <v>102</v>
      </c>
      <c r="B103" s="4" t="s">
        <v>179</v>
      </c>
      <c r="C103" s="4">
        <v>6</v>
      </c>
      <c r="D103" s="9">
        <v>2</v>
      </c>
      <c r="E103" s="10"/>
      <c r="F103" s="10"/>
      <c r="G103" s="10">
        <v>1</v>
      </c>
      <c r="H103" s="10" t="s">
        <v>180</v>
      </c>
      <c r="I103" s="8"/>
      <c r="J103" s="8"/>
      <c r="K103" s="2"/>
      <c r="L103" s="8" t="s">
        <v>160</v>
      </c>
      <c r="M103" s="8"/>
      <c r="N103" s="8"/>
      <c r="O103" s="8"/>
      <c r="P103" s="2"/>
      <c r="Q103" s="83"/>
      <c r="AA103" s="5" t="s">
        <v>156</v>
      </c>
      <c r="AB103" s="5" t="s">
        <v>64</v>
      </c>
      <c r="AC103" s="5">
        <v>4</v>
      </c>
      <c r="AE103" s="47" t="s">
        <v>24</v>
      </c>
      <c r="AF103" s="47" t="s">
        <v>25</v>
      </c>
      <c r="AG103" s="47" t="s">
        <v>26</v>
      </c>
      <c r="AH103" s="47" t="s">
        <v>27</v>
      </c>
      <c r="AI103" s="47" t="s">
        <v>28</v>
      </c>
    </row>
    <row r="104" spans="1:35" ht="15" thickBot="1" x14ac:dyDescent="0.35">
      <c r="A104" s="2">
        <v>103</v>
      </c>
      <c r="B104" s="84" t="s">
        <v>75</v>
      </c>
      <c r="C104" s="84">
        <v>5</v>
      </c>
      <c r="D104" s="86">
        <v>2</v>
      </c>
      <c r="E104" s="29"/>
      <c r="F104" s="29"/>
      <c r="G104" s="29">
        <v>1</v>
      </c>
      <c r="H104" s="29" t="s">
        <v>181</v>
      </c>
      <c r="I104" s="27" t="s">
        <v>182</v>
      </c>
      <c r="J104" s="82"/>
      <c r="K104" s="81"/>
      <c r="L104" s="82" t="s">
        <v>163</v>
      </c>
      <c r="M104" s="82"/>
      <c r="N104" s="82"/>
      <c r="O104" s="82"/>
      <c r="P104" s="81"/>
      <c r="Q104" s="85"/>
      <c r="AA104" s="5" t="s">
        <v>164</v>
      </c>
      <c r="AB104" s="5" t="s">
        <v>64</v>
      </c>
      <c r="AC104" s="5">
        <v>4</v>
      </c>
      <c r="AE104" s="5">
        <v>3</v>
      </c>
      <c r="AF104" s="5">
        <v>3</v>
      </c>
      <c r="AG104" s="5">
        <v>3</v>
      </c>
      <c r="AH104" s="5">
        <v>3</v>
      </c>
      <c r="AI104" s="5">
        <v>2</v>
      </c>
    </row>
    <row r="105" spans="1:35" ht="15" thickBot="1" x14ac:dyDescent="0.35">
      <c r="A105" s="4">
        <v>104</v>
      </c>
      <c r="B105" s="4" t="s">
        <v>75</v>
      </c>
      <c r="C105" s="4">
        <v>5</v>
      </c>
      <c r="D105" s="9">
        <v>2</v>
      </c>
      <c r="E105" s="10"/>
      <c r="F105" s="10"/>
      <c r="G105" s="10">
        <v>1</v>
      </c>
      <c r="H105" s="10" t="s">
        <v>181</v>
      </c>
      <c r="I105" s="27" t="s">
        <v>182</v>
      </c>
      <c r="J105" s="8"/>
      <c r="K105" s="2"/>
      <c r="L105" s="8" t="s">
        <v>162</v>
      </c>
      <c r="M105" s="8"/>
      <c r="N105" s="8"/>
      <c r="O105" s="8"/>
      <c r="P105" s="2"/>
      <c r="Q105" s="83"/>
      <c r="AA105" s="5" t="s">
        <v>79</v>
      </c>
      <c r="AB105" s="5" t="s">
        <v>168</v>
      </c>
      <c r="AC105" s="5">
        <v>3</v>
      </c>
      <c r="AE105" s="5">
        <v>2</v>
      </c>
      <c r="AF105" s="5">
        <v>2</v>
      </c>
      <c r="AG105" s="5">
        <v>2</v>
      </c>
      <c r="AH105" s="5">
        <v>2</v>
      </c>
      <c r="AI105" s="5">
        <v>2</v>
      </c>
    </row>
    <row r="106" spans="1:35" ht="15" thickBot="1" x14ac:dyDescent="0.35">
      <c r="A106" s="2">
        <v>105</v>
      </c>
      <c r="B106" s="84" t="s">
        <v>183</v>
      </c>
      <c r="C106" s="84">
        <v>5</v>
      </c>
      <c r="D106" s="86">
        <v>2</v>
      </c>
      <c r="E106" s="29"/>
      <c r="F106" s="29"/>
      <c r="G106" s="29">
        <v>1</v>
      </c>
      <c r="H106" s="29" t="s">
        <v>184</v>
      </c>
      <c r="I106" s="82" t="s">
        <v>185</v>
      </c>
      <c r="J106" s="82"/>
      <c r="K106" s="81"/>
      <c r="L106" s="82" t="s">
        <v>161</v>
      </c>
      <c r="M106" s="82" t="s">
        <v>162</v>
      </c>
      <c r="N106" s="82"/>
      <c r="O106" s="82"/>
      <c r="P106" s="81"/>
      <c r="Q106" s="85"/>
      <c r="AA106" s="5" t="s">
        <v>177</v>
      </c>
      <c r="AB106" s="5" t="s">
        <v>136</v>
      </c>
      <c r="AC106" s="5">
        <v>6</v>
      </c>
      <c r="AE106" s="5">
        <v>1</v>
      </c>
      <c r="AI106" s="5">
        <v>2</v>
      </c>
    </row>
    <row r="107" spans="1:35" ht="15" thickBot="1" x14ac:dyDescent="0.35">
      <c r="A107" s="4">
        <v>106</v>
      </c>
      <c r="B107" s="4" t="s">
        <v>183</v>
      </c>
      <c r="C107" s="4">
        <v>5</v>
      </c>
      <c r="D107" s="9">
        <v>2</v>
      </c>
      <c r="E107" s="10"/>
      <c r="F107" s="10"/>
      <c r="G107" s="10">
        <v>1</v>
      </c>
      <c r="H107" s="10" t="s">
        <v>184</v>
      </c>
      <c r="I107" s="8" t="s">
        <v>185</v>
      </c>
      <c r="J107" s="8"/>
      <c r="K107" s="2"/>
      <c r="L107" s="8" t="s">
        <v>163</v>
      </c>
      <c r="M107" s="8"/>
      <c r="N107" s="8"/>
      <c r="O107" s="8"/>
      <c r="P107" s="2"/>
      <c r="Q107" s="83"/>
      <c r="AA107" s="5" t="s">
        <v>178</v>
      </c>
      <c r="AB107" s="5" t="s">
        <v>64</v>
      </c>
      <c r="AC107" s="5">
        <v>4</v>
      </c>
    </row>
    <row r="108" spans="1:35" ht="15" thickBot="1" x14ac:dyDescent="0.35">
      <c r="A108" s="2">
        <v>107</v>
      </c>
      <c r="B108" s="84" t="s">
        <v>72</v>
      </c>
      <c r="C108" s="84">
        <v>4</v>
      </c>
      <c r="D108" s="86">
        <v>2</v>
      </c>
      <c r="E108" s="29"/>
      <c r="F108" s="29"/>
      <c r="G108" s="29">
        <v>1</v>
      </c>
      <c r="H108" s="29" t="s">
        <v>186</v>
      </c>
      <c r="I108" s="82"/>
      <c r="J108" s="82"/>
      <c r="K108" s="81"/>
      <c r="L108" s="82" t="s">
        <v>163</v>
      </c>
      <c r="M108" s="82"/>
      <c r="N108" s="82"/>
      <c r="O108" s="82"/>
      <c r="P108" s="81"/>
      <c r="Q108" s="85"/>
      <c r="AA108" s="5" t="s">
        <v>179</v>
      </c>
      <c r="AB108" s="5" t="s">
        <v>136</v>
      </c>
      <c r="AC108" s="5">
        <v>6</v>
      </c>
    </row>
    <row r="109" spans="1:35" ht="15" thickBot="1" x14ac:dyDescent="0.35">
      <c r="A109" s="4">
        <v>108</v>
      </c>
      <c r="B109" s="4" t="s">
        <v>72</v>
      </c>
      <c r="C109" s="4">
        <v>4</v>
      </c>
      <c r="D109" s="9">
        <v>2</v>
      </c>
      <c r="E109" s="10"/>
      <c r="F109" s="10"/>
      <c r="G109" s="26">
        <v>0</v>
      </c>
      <c r="H109" s="26"/>
      <c r="I109" s="8"/>
      <c r="J109" s="8"/>
      <c r="K109" s="2"/>
      <c r="L109" s="8" t="s">
        <v>162</v>
      </c>
      <c r="M109" s="8"/>
      <c r="N109" s="8"/>
      <c r="O109" s="8"/>
      <c r="P109" s="2"/>
      <c r="Q109" s="83"/>
      <c r="AB109" s="5" t="s">
        <v>187</v>
      </c>
      <c r="AC109" s="5">
        <f>SUM(AC103:AC108)</f>
        <v>27</v>
      </c>
    </row>
    <row r="110" spans="1:35" ht="15" thickBot="1" x14ac:dyDescent="0.35">
      <c r="A110" s="2">
        <v>109</v>
      </c>
      <c r="B110" s="84" t="s">
        <v>188</v>
      </c>
      <c r="C110" s="84">
        <v>4</v>
      </c>
      <c r="D110" s="86">
        <v>2</v>
      </c>
      <c r="E110" s="29"/>
      <c r="F110" s="29"/>
      <c r="G110" s="29">
        <v>1</v>
      </c>
      <c r="H110" s="29" t="s">
        <v>189</v>
      </c>
      <c r="I110" s="82" t="s">
        <v>190</v>
      </c>
      <c r="J110" s="82"/>
      <c r="K110" s="81"/>
      <c r="L110" s="82" t="s">
        <v>161</v>
      </c>
      <c r="M110" s="82" t="s">
        <v>162</v>
      </c>
      <c r="N110" s="82"/>
      <c r="O110" s="82"/>
      <c r="P110" s="81"/>
      <c r="Q110" s="85"/>
    </row>
    <row r="111" spans="1:35" ht="15" thickBot="1" x14ac:dyDescent="0.35">
      <c r="A111" s="4">
        <v>110</v>
      </c>
      <c r="B111" s="4" t="s">
        <v>188</v>
      </c>
      <c r="C111" s="4">
        <v>4</v>
      </c>
      <c r="D111" s="9">
        <v>2</v>
      </c>
      <c r="E111" s="10"/>
      <c r="F111" s="10"/>
      <c r="G111" s="10">
        <v>1</v>
      </c>
      <c r="H111" s="10" t="s">
        <v>189</v>
      </c>
      <c r="I111" s="8" t="s">
        <v>190</v>
      </c>
      <c r="J111" s="8"/>
      <c r="K111" s="2"/>
      <c r="L111" s="8" t="s">
        <v>163</v>
      </c>
      <c r="M111" s="8"/>
      <c r="N111" s="8"/>
      <c r="O111" s="8"/>
      <c r="P111" s="2"/>
      <c r="Q111" s="83"/>
    </row>
    <row r="112" spans="1:35" ht="15" thickBot="1" x14ac:dyDescent="0.35">
      <c r="A112" s="2">
        <v>111</v>
      </c>
      <c r="B112" s="84" t="s">
        <v>191</v>
      </c>
      <c r="C112" s="84">
        <v>5</v>
      </c>
      <c r="D112" s="86">
        <v>2</v>
      </c>
      <c r="E112" s="29"/>
      <c r="F112" s="29"/>
      <c r="G112" s="29">
        <v>3</v>
      </c>
      <c r="H112" s="29" t="s">
        <v>47</v>
      </c>
      <c r="I112" s="82" t="s">
        <v>48</v>
      </c>
      <c r="J112" s="82" t="s">
        <v>49</v>
      </c>
      <c r="K112" s="81"/>
      <c r="L112" s="82" t="s">
        <v>161</v>
      </c>
      <c r="M112" s="82"/>
      <c r="N112" s="82"/>
      <c r="O112" s="82"/>
      <c r="P112" s="81"/>
      <c r="Q112" s="85"/>
    </row>
    <row r="113" spans="1:22" s="41" customFormat="1" ht="15" thickBot="1" x14ac:dyDescent="0.35">
      <c r="A113" s="4">
        <v>112</v>
      </c>
      <c r="B113" s="35"/>
      <c r="C113" s="35"/>
      <c r="D113" s="36"/>
      <c r="E113" s="37"/>
      <c r="F113" s="37"/>
      <c r="G113" s="37"/>
      <c r="H113" s="37"/>
      <c r="I113" s="39"/>
      <c r="J113" s="39"/>
      <c r="K113" s="40"/>
      <c r="L113" s="39"/>
      <c r="M113" s="39"/>
      <c r="N113" s="39"/>
      <c r="O113" s="39"/>
      <c r="P113" s="40"/>
      <c r="Q113" s="87"/>
    </row>
    <row r="114" spans="1:22" ht="15" thickBot="1" x14ac:dyDescent="0.35">
      <c r="A114" s="2">
        <v>113</v>
      </c>
      <c r="B114" s="4" t="s">
        <v>59</v>
      </c>
      <c r="C114" s="48">
        <v>2</v>
      </c>
      <c r="D114" s="114">
        <v>1</v>
      </c>
      <c r="E114" s="10"/>
      <c r="F114" s="10"/>
      <c r="G114" s="10">
        <v>1</v>
      </c>
      <c r="H114" s="58" t="s">
        <v>80</v>
      </c>
      <c r="I114" s="63" t="s">
        <v>192</v>
      </c>
      <c r="J114" s="8"/>
      <c r="K114" s="2"/>
      <c r="L114" s="8" t="s">
        <v>193</v>
      </c>
      <c r="M114" s="8" t="s">
        <v>194</v>
      </c>
      <c r="N114" s="27" t="s">
        <v>197</v>
      </c>
      <c r="O114" s="8"/>
      <c r="P114" s="2"/>
      <c r="Q114" s="124" t="s">
        <v>61</v>
      </c>
    </row>
    <row r="115" spans="1:22" ht="15" thickBot="1" x14ac:dyDescent="0.35">
      <c r="A115" s="4">
        <v>114</v>
      </c>
      <c r="B115" s="4" t="s">
        <v>59</v>
      </c>
      <c r="C115" s="48">
        <v>1</v>
      </c>
      <c r="D115" s="114">
        <v>1</v>
      </c>
      <c r="E115" s="10"/>
      <c r="F115" s="10"/>
      <c r="G115" s="10">
        <v>1</v>
      </c>
      <c r="H115" s="58" t="s">
        <v>80</v>
      </c>
      <c r="I115" s="63"/>
      <c r="J115" s="8"/>
      <c r="K115" s="2"/>
      <c r="L115" s="8" t="s">
        <v>193</v>
      </c>
      <c r="M115" s="8" t="s">
        <v>194</v>
      </c>
      <c r="N115" s="27" t="s">
        <v>197</v>
      </c>
      <c r="O115" s="8"/>
      <c r="P115" s="2"/>
      <c r="Q115" s="124" t="s">
        <v>61</v>
      </c>
    </row>
    <row r="116" spans="1:22" ht="15" thickBot="1" x14ac:dyDescent="0.35">
      <c r="A116" s="2">
        <v>115</v>
      </c>
      <c r="B116" s="4" t="s">
        <v>59</v>
      </c>
      <c r="C116" s="48">
        <v>2</v>
      </c>
      <c r="D116" s="114">
        <v>1</v>
      </c>
      <c r="E116" s="10"/>
      <c r="F116" s="10"/>
      <c r="G116" s="10">
        <v>1</v>
      </c>
      <c r="H116" s="58" t="s">
        <v>80</v>
      </c>
      <c r="I116" s="63" t="s">
        <v>192</v>
      </c>
      <c r="J116" s="8"/>
      <c r="K116" s="2"/>
      <c r="L116" s="8" t="s">
        <v>195</v>
      </c>
      <c r="M116" s="8" t="s">
        <v>196</v>
      </c>
      <c r="N116" s="8"/>
      <c r="O116" s="8"/>
      <c r="P116" s="2"/>
      <c r="Q116" s="124" t="s">
        <v>61</v>
      </c>
      <c r="U116" s="5" t="s">
        <v>59</v>
      </c>
      <c r="V116" s="5">
        <v>3</v>
      </c>
    </row>
    <row r="117" spans="1:22" ht="15" thickBot="1" x14ac:dyDescent="0.35">
      <c r="A117" s="4">
        <v>116</v>
      </c>
      <c r="B117" s="4" t="s">
        <v>59</v>
      </c>
      <c r="C117" s="48">
        <v>1</v>
      </c>
      <c r="D117" s="114">
        <v>1</v>
      </c>
      <c r="E117" s="10"/>
      <c r="F117" s="10"/>
      <c r="G117" s="10">
        <v>1</v>
      </c>
      <c r="H117" s="58" t="s">
        <v>80</v>
      </c>
      <c r="I117" s="63"/>
      <c r="J117" s="8"/>
      <c r="K117" s="2"/>
      <c r="L117" s="8" t="s">
        <v>195</v>
      </c>
      <c r="M117" s="8" t="s">
        <v>196</v>
      </c>
      <c r="N117" s="8"/>
      <c r="O117" s="8"/>
      <c r="P117" s="2"/>
      <c r="Q117" s="124" t="s">
        <v>61</v>
      </c>
      <c r="U117" s="5" t="s">
        <v>198</v>
      </c>
      <c r="V117" s="5">
        <v>4</v>
      </c>
    </row>
    <row r="118" spans="1:22" ht="15" thickBot="1" x14ac:dyDescent="0.35">
      <c r="A118" s="2">
        <v>117</v>
      </c>
      <c r="B118" s="84" t="s">
        <v>199</v>
      </c>
      <c r="C118" s="84">
        <v>4</v>
      </c>
      <c r="D118" s="9">
        <v>2</v>
      </c>
      <c r="E118" s="29" t="s">
        <v>20</v>
      </c>
      <c r="F118" s="29"/>
      <c r="G118" s="29">
        <v>1</v>
      </c>
      <c r="H118" s="10" t="s">
        <v>200</v>
      </c>
      <c r="I118" s="82"/>
      <c r="J118" s="82"/>
      <c r="K118" s="81"/>
      <c r="L118" s="82" t="s">
        <v>193</v>
      </c>
      <c r="M118" s="82"/>
      <c r="N118" s="82"/>
      <c r="O118" s="82"/>
      <c r="P118" s="81"/>
      <c r="Q118" s="83"/>
      <c r="U118" s="5" t="s">
        <v>201</v>
      </c>
      <c r="V118" s="5">
        <v>5</v>
      </c>
    </row>
    <row r="119" spans="1:22" ht="15" thickBot="1" x14ac:dyDescent="0.35">
      <c r="A119" s="4">
        <v>118</v>
      </c>
      <c r="B119" s="4" t="s">
        <v>202</v>
      </c>
      <c r="C119" s="48">
        <v>1</v>
      </c>
      <c r="D119" s="9">
        <v>1</v>
      </c>
      <c r="E119" s="10" t="s">
        <v>30</v>
      </c>
      <c r="F119" s="10"/>
      <c r="G119" s="10">
        <v>2</v>
      </c>
      <c r="H119" s="10" t="s">
        <v>203</v>
      </c>
      <c r="I119" s="8" t="s">
        <v>200</v>
      </c>
      <c r="J119" s="8"/>
      <c r="K119" s="2"/>
      <c r="L119" s="8" t="s">
        <v>193</v>
      </c>
      <c r="M119" s="8"/>
      <c r="N119" s="8"/>
      <c r="O119" s="8"/>
      <c r="P119" s="2"/>
      <c r="Q119" s="83" t="s">
        <v>204</v>
      </c>
      <c r="U119" s="5" t="s">
        <v>205</v>
      </c>
      <c r="V119" s="5">
        <v>5</v>
      </c>
    </row>
    <row r="120" spans="1:22" ht="15" thickBot="1" x14ac:dyDescent="0.35">
      <c r="A120" s="2">
        <v>119</v>
      </c>
      <c r="B120" s="4" t="s">
        <v>206</v>
      </c>
      <c r="C120" s="4">
        <v>4</v>
      </c>
      <c r="D120" s="9">
        <v>2</v>
      </c>
      <c r="E120" s="10"/>
      <c r="F120" s="10"/>
      <c r="G120" s="10">
        <v>1</v>
      </c>
      <c r="H120" s="10" t="s">
        <v>207</v>
      </c>
      <c r="I120" s="8"/>
      <c r="J120" s="8"/>
      <c r="K120" s="2"/>
      <c r="L120" s="8" t="s">
        <v>193</v>
      </c>
      <c r="M120" s="8" t="s">
        <v>194</v>
      </c>
      <c r="N120" s="8" t="s">
        <v>197</v>
      </c>
      <c r="O120" s="8"/>
      <c r="P120" s="2"/>
      <c r="Q120" s="83" t="s">
        <v>208</v>
      </c>
      <c r="U120" s="5" t="s">
        <v>209</v>
      </c>
      <c r="V120" s="5">
        <v>4</v>
      </c>
    </row>
    <row r="121" spans="1:22" ht="15" thickBot="1" x14ac:dyDescent="0.35">
      <c r="A121" s="4">
        <v>120</v>
      </c>
      <c r="B121" s="4" t="s">
        <v>206</v>
      </c>
      <c r="C121" s="4">
        <v>4</v>
      </c>
      <c r="D121" s="9">
        <v>2</v>
      </c>
      <c r="E121" s="10"/>
      <c r="F121" s="10"/>
      <c r="G121" s="10">
        <v>1</v>
      </c>
      <c r="H121" s="10" t="s">
        <v>207</v>
      </c>
      <c r="I121" s="8"/>
      <c r="J121" s="8"/>
      <c r="K121" s="2"/>
      <c r="L121" s="8" t="s">
        <v>195</v>
      </c>
      <c r="M121" s="8" t="s">
        <v>196</v>
      </c>
      <c r="N121" s="8"/>
      <c r="O121" s="8"/>
      <c r="P121" s="2"/>
      <c r="Q121" s="83" t="s">
        <v>208</v>
      </c>
    </row>
    <row r="122" spans="1:22" ht="15" thickBot="1" x14ac:dyDescent="0.35">
      <c r="A122" s="2">
        <v>121</v>
      </c>
      <c r="B122" s="4" t="s">
        <v>210</v>
      </c>
      <c r="C122" s="4">
        <v>4</v>
      </c>
      <c r="D122" s="9">
        <v>2</v>
      </c>
      <c r="E122" s="10"/>
      <c r="F122" s="26" t="s">
        <v>220</v>
      </c>
      <c r="G122" s="10">
        <v>1</v>
      </c>
      <c r="H122" s="10" t="s">
        <v>211</v>
      </c>
      <c r="I122" s="8"/>
      <c r="J122" s="8"/>
      <c r="K122" s="2"/>
      <c r="L122" s="8" t="s">
        <v>193</v>
      </c>
      <c r="M122" s="8" t="s">
        <v>194</v>
      </c>
      <c r="N122" s="8" t="s">
        <v>197</v>
      </c>
      <c r="O122" s="27" t="s">
        <v>253</v>
      </c>
      <c r="P122" s="2"/>
      <c r="Q122" s="83" t="s">
        <v>212</v>
      </c>
    </row>
    <row r="123" spans="1:22" ht="15" thickBot="1" x14ac:dyDescent="0.35">
      <c r="A123" s="4">
        <v>122</v>
      </c>
      <c r="B123" s="4" t="s">
        <v>210</v>
      </c>
      <c r="C123" s="4">
        <v>4</v>
      </c>
      <c r="D123" s="9">
        <v>2</v>
      </c>
      <c r="E123" s="10"/>
      <c r="F123" s="10"/>
      <c r="G123" s="10">
        <v>1</v>
      </c>
      <c r="H123" s="10" t="s">
        <v>211</v>
      </c>
      <c r="I123" s="8"/>
      <c r="J123" s="8"/>
      <c r="K123" s="2"/>
      <c r="L123" s="8" t="s">
        <v>195</v>
      </c>
      <c r="M123" s="8" t="s">
        <v>196</v>
      </c>
      <c r="N123" s="8"/>
      <c r="O123" s="8"/>
      <c r="P123" s="2"/>
      <c r="Q123" s="83" t="s">
        <v>212</v>
      </c>
    </row>
    <row r="124" spans="1:22" ht="15" thickBot="1" x14ac:dyDescent="0.35">
      <c r="A124" s="2">
        <v>123</v>
      </c>
      <c r="B124" s="84" t="s">
        <v>213</v>
      </c>
      <c r="C124" s="84">
        <v>3</v>
      </c>
      <c r="D124" s="84">
        <v>1</v>
      </c>
      <c r="E124" s="86"/>
      <c r="F124" s="29"/>
      <c r="G124" s="29">
        <v>1</v>
      </c>
      <c r="H124" s="29" t="s">
        <v>214</v>
      </c>
      <c r="I124" s="82" t="s">
        <v>215</v>
      </c>
      <c r="J124" s="82"/>
      <c r="K124" s="81"/>
      <c r="L124" s="82" t="s">
        <v>193</v>
      </c>
      <c r="M124" s="82"/>
      <c r="N124" s="82"/>
      <c r="O124" s="82"/>
      <c r="P124" s="81"/>
      <c r="Q124" s="83" t="s">
        <v>216</v>
      </c>
    </row>
    <row r="125" spans="1:22" ht="15" thickBot="1" x14ac:dyDescent="0.35">
      <c r="A125" s="4">
        <v>124</v>
      </c>
      <c r="B125" s="4" t="s">
        <v>213</v>
      </c>
      <c r="C125" s="4">
        <v>3</v>
      </c>
      <c r="D125" s="4">
        <v>1</v>
      </c>
      <c r="E125" s="9"/>
      <c r="F125" s="10"/>
      <c r="G125" s="10">
        <v>1</v>
      </c>
      <c r="H125" s="10" t="s">
        <v>214</v>
      </c>
      <c r="I125" s="8" t="s">
        <v>215</v>
      </c>
      <c r="J125" s="8"/>
      <c r="K125" s="2"/>
      <c r="L125" s="8" t="s">
        <v>193</v>
      </c>
      <c r="M125" s="8"/>
      <c r="N125" s="8"/>
      <c r="O125" s="8"/>
      <c r="P125" s="2"/>
      <c r="Q125" s="83" t="s">
        <v>216</v>
      </c>
    </row>
    <row r="126" spans="1:22" ht="15" thickBot="1" x14ac:dyDescent="0.35">
      <c r="A126" s="2">
        <v>125</v>
      </c>
      <c r="B126" s="4" t="s">
        <v>217</v>
      </c>
      <c r="C126" s="4">
        <v>5</v>
      </c>
      <c r="D126" s="4">
        <v>2</v>
      </c>
      <c r="E126" s="9"/>
      <c r="F126" s="10"/>
      <c r="G126" s="10">
        <v>1</v>
      </c>
      <c r="H126" s="10" t="s">
        <v>218</v>
      </c>
      <c r="I126" s="8"/>
      <c r="J126" s="8"/>
      <c r="K126" s="2"/>
      <c r="L126" s="8" t="s">
        <v>194</v>
      </c>
      <c r="M126" s="8"/>
      <c r="N126" s="8"/>
      <c r="O126" s="8"/>
      <c r="P126" s="2"/>
      <c r="Q126" s="83"/>
    </row>
    <row r="127" spans="1:22" ht="15" thickBot="1" x14ac:dyDescent="0.35">
      <c r="A127" s="4">
        <v>126</v>
      </c>
      <c r="B127" s="100" t="s">
        <v>219</v>
      </c>
      <c r="C127" s="4">
        <v>5</v>
      </c>
      <c r="D127" s="4">
        <v>2</v>
      </c>
      <c r="E127" s="9"/>
      <c r="F127" s="26" t="s">
        <v>220</v>
      </c>
      <c r="G127" s="10">
        <v>1</v>
      </c>
      <c r="H127" s="10" t="s">
        <v>221</v>
      </c>
      <c r="I127" s="8"/>
      <c r="J127" s="8"/>
      <c r="K127" s="2"/>
      <c r="L127" s="8" t="s">
        <v>194</v>
      </c>
      <c r="M127" s="8"/>
      <c r="N127" s="8"/>
      <c r="O127" s="8"/>
      <c r="P127" s="2"/>
      <c r="Q127" s="83" t="s">
        <v>222</v>
      </c>
    </row>
    <row r="128" spans="1:22" ht="15" thickBot="1" x14ac:dyDescent="0.35">
      <c r="A128" s="2">
        <v>127</v>
      </c>
      <c r="B128" s="4" t="s">
        <v>223</v>
      </c>
      <c r="C128" s="4">
        <v>5</v>
      </c>
      <c r="D128" s="4">
        <v>2</v>
      </c>
      <c r="E128" s="9"/>
      <c r="F128" s="10"/>
      <c r="G128" s="10">
        <v>2</v>
      </c>
      <c r="H128" s="10" t="s">
        <v>224</v>
      </c>
      <c r="I128" s="8" t="s">
        <v>225</v>
      </c>
      <c r="J128" s="8"/>
      <c r="K128" s="2"/>
      <c r="L128" s="8" t="s">
        <v>194</v>
      </c>
      <c r="M128" s="8"/>
      <c r="N128" s="8"/>
      <c r="O128" s="8"/>
      <c r="P128" s="2"/>
      <c r="Q128" s="83"/>
    </row>
    <row r="129" spans="1:19" ht="15" thickBot="1" x14ac:dyDescent="0.35">
      <c r="A129" s="4">
        <v>128</v>
      </c>
      <c r="B129" s="4" t="s">
        <v>226</v>
      </c>
      <c r="C129" s="4">
        <v>4</v>
      </c>
      <c r="D129" s="4">
        <v>1</v>
      </c>
      <c r="E129" s="9"/>
      <c r="F129" s="10"/>
      <c r="G129" s="10">
        <v>1</v>
      </c>
      <c r="H129" s="10" t="s">
        <v>227</v>
      </c>
      <c r="I129" s="8"/>
      <c r="J129" s="8"/>
      <c r="K129" s="2"/>
      <c r="L129" s="8" t="s">
        <v>194</v>
      </c>
      <c r="M129" s="8"/>
      <c r="N129" s="8"/>
      <c r="O129" s="8"/>
      <c r="P129" s="2"/>
      <c r="Q129" s="83"/>
    </row>
    <row r="130" spans="1:19" ht="15" thickBot="1" x14ac:dyDescent="0.35">
      <c r="A130" s="2">
        <v>129</v>
      </c>
      <c r="B130" s="4" t="s">
        <v>228</v>
      </c>
      <c r="C130" s="4">
        <v>4</v>
      </c>
      <c r="D130" s="9">
        <v>2</v>
      </c>
      <c r="E130" s="10"/>
      <c r="F130" s="10"/>
      <c r="G130" s="10">
        <v>1</v>
      </c>
      <c r="H130" s="26" t="s">
        <v>230</v>
      </c>
      <c r="I130" s="8" t="s">
        <v>229</v>
      </c>
      <c r="J130" s="8"/>
      <c r="K130" s="2"/>
      <c r="L130" s="8" t="s">
        <v>195</v>
      </c>
      <c r="M130" s="8" t="s">
        <v>196</v>
      </c>
      <c r="N130" s="8"/>
      <c r="O130" s="8"/>
      <c r="P130" s="2"/>
      <c r="Q130" s="83"/>
    </row>
    <row r="131" spans="1:19" ht="15" thickBot="1" x14ac:dyDescent="0.35">
      <c r="A131" s="4">
        <v>130</v>
      </c>
      <c r="B131" s="4" t="s">
        <v>231</v>
      </c>
      <c r="C131" s="4">
        <v>4</v>
      </c>
      <c r="D131" s="4">
        <v>2</v>
      </c>
      <c r="E131" s="9"/>
      <c r="F131" s="10"/>
      <c r="G131" s="10">
        <v>1</v>
      </c>
      <c r="H131" s="10" t="s">
        <v>65</v>
      </c>
      <c r="I131" s="8"/>
      <c r="J131" s="8"/>
      <c r="K131" s="2"/>
      <c r="L131" s="8" t="s">
        <v>195</v>
      </c>
      <c r="M131" s="8" t="s">
        <v>196</v>
      </c>
      <c r="N131" s="8"/>
      <c r="O131" s="8"/>
      <c r="P131" s="2"/>
      <c r="Q131" s="83"/>
    </row>
    <row r="132" spans="1:19" ht="15" thickBot="1" x14ac:dyDescent="0.35">
      <c r="A132" s="2">
        <v>131</v>
      </c>
      <c r="B132" s="4" t="s">
        <v>232</v>
      </c>
      <c r="C132" s="4">
        <v>2</v>
      </c>
      <c r="D132" s="9">
        <v>1</v>
      </c>
      <c r="E132" s="10"/>
      <c r="F132" s="10"/>
      <c r="G132" s="10">
        <v>1</v>
      </c>
      <c r="H132" s="10" t="s">
        <v>190</v>
      </c>
      <c r="I132" s="8"/>
      <c r="J132" s="8"/>
      <c r="K132" s="2"/>
      <c r="L132" s="8" t="s">
        <v>195</v>
      </c>
      <c r="M132" s="8"/>
      <c r="N132" s="8"/>
      <c r="O132" s="8"/>
      <c r="P132" s="2"/>
      <c r="Q132" s="83"/>
    </row>
    <row r="133" spans="1:19" ht="15" thickBot="1" x14ac:dyDescent="0.35">
      <c r="A133" s="4">
        <v>132</v>
      </c>
      <c r="B133" s="4" t="s">
        <v>45</v>
      </c>
      <c r="C133" s="4">
        <v>2</v>
      </c>
      <c r="D133" s="4">
        <v>1</v>
      </c>
      <c r="E133" s="9"/>
      <c r="F133" s="10"/>
      <c r="G133" s="10">
        <v>1</v>
      </c>
      <c r="H133" s="10" t="s">
        <v>233</v>
      </c>
      <c r="I133" s="8"/>
      <c r="J133" s="8"/>
      <c r="K133" s="2"/>
      <c r="L133" s="8" t="s">
        <v>57</v>
      </c>
      <c r="M133" s="8"/>
      <c r="N133" s="8"/>
      <c r="O133" s="8"/>
      <c r="P133" s="2"/>
      <c r="Q133" s="83" t="s">
        <v>234</v>
      </c>
    </row>
    <row r="134" spans="1:19" ht="15" thickBot="1" x14ac:dyDescent="0.35">
      <c r="A134" s="2">
        <v>133</v>
      </c>
      <c r="B134" s="4" t="s">
        <v>45</v>
      </c>
      <c r="C134" s="4">
        <v>2</v>
      </c>
      <c r="D134" s="4">
        <v>1</v>
      </c>
      <c r="E134" s="9"/>
      <c r="F134" s="10"/>
      <c r="G134" s="10">
        <v>1</v>
      </c>
      <c r="H134" s="10" t="s">
        <v>233</v>
      </c>
      <c r="I134" s="8"/>
      <c r="J134" s="8"/>
      <c r="K134" s="2"/>
      <c r="L134" s="8" t="s">
        <v>195</v>
      </c>
      <c r="M134" s="8" t="s">
        <v>196</v>
      </c>
      <c r="N134" s="8"/>
      <c r="O134" s="8"/>
      <c r="P134" s="2"/>
      <c r="Q134" s="83"/>
    </row>
    <row r="135" spans="1:19" ht="15" thickBot="1" x14ac:dyDescent="0.35">
      <c r="A135" s="4">
        <v>134</v>
      </c>
      <c r="B135" s="4" t="s">
        <v>235</v>
      </c>
      <c r="C135" s="4">
        <v>4</v>
      </c>
      <c r="D135" s="9">
        <v>1</v>
      </c>
      <c r="E135" s="10"/>
      <c r="F135" s="10"/>
      <c r="G135" s="10">
        <v>2</v>
      </c>
      <c r="H135" s="10" t="s">
        <v>236</v>
      </c>
      <c r="I135" s="8" t="s">
        <v>237</v>
      </c>
      <c r="J135" s="8"/>
      <c r="K135" s="2"/>
      <c r="L135" s="8" t="s">
        <v>197</v>
      </c>
      <c r="M135" s="8" t="s">
        <v>196</v>
      </c>
      <c r="N135" s="8"/>
      <c r="O135" s="8"/>
      <c r="P135" s="2"/>
      <c r="Q135" s="83" t="s">
        <v>238</v>
      </c>
    </row>
    <row r="136" spans="1:19" ht="15" thickBot="1" x14ac:dyDescent="0.35">
      <c r="A136" s="2">
        <v>135</v>
      </c>
      <c r="B136" s="4" t="s">
        <v>235</v>
      </c>
      <c r="C136" s="4">
        <v>4</v>
      </c>
      <c r="D136" s="9">
        <v>1</v>
      </c>
      <c r="E136" s="10"/>
      <c r="F136" s="10"/>
      <c r="G136" s="10">
        <v>2</v>
      </c>
      <c r="H136" s="10" t="s">
        <v>236</v>
      </c>
      <c r="I136" s="8" t="s">
        <v>237</v>
      </c>
      <c r="J136" s="8"/>
      <c r="K136" s="2"/>
      <c r="L136" s="8" t="s">
        <v>195</v>
      </c>
      <c r="M136" s="8"/>
      <c r="N136" s="8"/>
      <c r="O136" s="8"/>
      <c r="P136" s="2"/>
      <c r="Q136" s="83" t="s">
        <v>238</v>
      </c>
    </row>
    <row r="137" spans="1:19" ht="15" thickBot="1" x14ac:dyDescent="0.35">
      <c r="A137" s="4">
        <v>136</v>
      </c>
      <c r="B137" s="4" t="s">
        <v>239</v>
      </c>
      <c r="C137" s="4">
        <v>5</v>
      </c>
      <c r="D137" s="9">
        <v>2</v>
      </c>
      <c r="E137" s="10"/>
      <c r="F137" s="10"/>
      <c r="G137" s="10">
        <v>1</v>
      </c>
      <c r="H137" s="10" t="s">
        <v>240</v>
      </c>
      <c r="I137" s="8"/>
      <c r="J137" s="8"/>
      <c r="K137" s="2"/>
      <c r="L137" s="8" t="s">
        <v>197</v>
      </c>
      <c r="M137" s="8"/>
      <c r="N137" s="8"/>
      <c r="O137" s="8"/>
      <c r="P137" s="2"/>
      <c r="Q137" s="83"/>
    </row>
    <row r="138" spans="1:19" ht="15" thickBot="1" x14ac:dyDescent="0.35">
      <c r="A138" s="2">
        <v>137</v>
      </c>
      <c r="B138" s="4" t="s">
        <v>241</v>
      </c>
      <c r="C138" s="4">
        <v>5</v>
      </c>
      <c r="D138" s="9">
        <v>2</v>
      </c>
      <c r="E138" s="10"/>
      <c r="F138" s="10"/>
      <c r="G138" s="10">
        <v>1</v>
      </c>
      <c r="H138" s="10" t="s">
        <v>153</v>
      </c>
      <c r="I138" s="8"/>
      <c r="J138" s="8"/>
      <c r="K138" s="2"/>
      <c r="L138" s="8" t="s">
        <v>197</v>
      </c>
      <c r="M138" s="8"/>
      <c r="N138" s="8"/>
      <c r="O138" s="8"/>
      <c r="P138" s="2"/>
      <c r="Q138" s="83"/>
    </row>
    <row r="139" spans="1:19" s="41" customFormat="1" ht="15" thickBot="1" x14ac:dyDescent="0.35">
      <c r="A139" s="4">
        <v>138</v>
      </c>
      <c r="B139" s="35"/>
      <c r="C139" s="35"/>
      <c r="D139" s="36"/>
      <c r="E139" s="37"/>
      <c r="F139" s="37"/>
      <c r="G139" s="37"/>
      <c r="H139" s="37"/>
      <c r="I139" s="39"/>
      <c r="J139" s="39"/>
      <c r="K139" s="40"/>
      <c r="L139" s="39"/>
      <c r="M139" s="39"/>
      <c r="N139" s="39"/>
      <c r="O139" s="39"/>
      <c r="P139" s="40"/>
      <c r="Q139" s="87"/>
    </row>
    <row r="140" spans="1:19" ht="15" thickBot="1" x14ac:dyDescent="0.35">
      <c r="A140" s="2">
        <v>139</v>
      </c>
      <c r="B140" s="84" t="s">
        <v>242</v>
      </c>
      <c r="C140" s="4">
        <v>2</v>
      </c>
      <c r="D140" s="9">
        <v>1</v>
      </c>
      <c r="E140" s="29"/>
      <c r="F140" s="29"/>
      <c r="G140" s="29">
        <v>1</v>
      </c>
      <c r="H140" s="29" t="s">
        <v>243</v>
      </c>
      <c r="I140" s="82"/>
      <c r="J140" s="82"/>
      <c r="K140" s="81"/>
      <c r="L140" s="82" t="s">
        <v>244</v>
      </c>
      <c r="M140" s="82"/>
      <c r="N140" s="82"/>
      <c r="O140" s="82"/>
      <c r="P140" s="81"/>
      <c r="Q140" s="85" t="s">
        <v>245</v>
      </c>
    </row>
    <row r="141" spans="1:19" ht="15" thickBot="1" x14ac:dyDescent="0.35">
      <c r="A141" s="4">
        <v>140</v>
      </c>
      <c r="B141" s="4" t="s">
        <v>242</v>
      </c>
      <c r="C141" s="4">
        <v>2</v>
      </c>
      <c r="D141" s="9">
        <v>1</v>
      </c>
      <c r="E141" s="10"/>
      <c r="F141" s="10"/>
      <c r="G141" s="10">
        <v>1</v>
      </c>
      <c r="H141" s="10" t="s">
        <v>243</v>
      </c>
      <c r="I141" s="8"/>
      <c r="J141" s="8"/>
      <c r="K141" s="2"/>
      <c r="L141" s="8" t="s">
        <v>244</v>
      </c>
      <c r="M141" s="8"/>
      <c r="N141" s="8"/>
      <c r="O141" s="8"/>
      <c r="P141" s="2"/>
      <c r="Q141" s="83" t="s">
        <v>245</v>
      </c>
    </row>
    <row r="142" spans="1:19" ht="15" thickBot="1" x14ac:dyDescent="0.35">
      <c r="A142" s="2">
        <v>141</v>
      </c>
      <c r="B142" s="84" t="s">
        <v>246</v>
      </c>
      <c r="C142" s="84">
        <v>4</v>
      </c>
      <c r="D142" s="86">
        <v>2</v>
      </c>
      <c r="E142" s="29"/>
      <c r="F142" s="29"/>
      <c r="G142" s="29">
        <v>2</v>
      </c>
      <c r="H142" s="29" t="s">
        <v>214</v>
      </c>
      <c r="I142" s="82" t="s">
        <v>247</v>
      </c>
      <c r="J142" s="82"/>
      <c r="K142" s="81"/>
      <c r="L142" s="82" t="s">
        <v>244</v>
      </c>
      <c r="M142" s="82"/>
      <c r="N142" s="82"/>
      <c r="O142" s="82"/>
      <c r="P142" s="81"/>
      <c r="Q142" s="85"/>
    </row>
    <row r="143" spans="1:19" ht="15" thickBot="1" x14ac:dyDescent="0.35">
      <c r="A143" s="4">
        <v>142</v>
      </c>
      <c r="B143" s="4" t="s">
        <v>248</v>
      </c>
      <c r="C143" s="4">
        <v>3</v>
      </c>
      <c r="D143" s="9">
        <v>1</v>
      </c>
      <c r="E143" s="10"/>
      <c r="F143" s="10"/>
      <c r="G143" s="10">
        <v>1</v>
      </c>
      <c r="H143" s="10" t="s">
        <v>249</v>
      </c>
      <c r="I143" s="8" t="s">
        <v>250</v>
      </c>
      <c r="J143" s="8"/>
      <c r="K143" s="2"/>
      <c r="L143" s="8" t="s">
        <v>244</v>
      </c>
      <c r="M143" s="8" t="s">
        <v>251</v>
      </c>
      <c r="N143" s="8"/>
      <c r="O143" s="8"/>
      <c r="P143" s="2"/>
      <c r="Q143" s="83"/>
      <c r="S143" s="75"/>
    </row>
    <row r="144" spans="1:19" ht="15" thickBot="1" x14ac:dyDescent="0.35">
      <c r="A144" s="2">
        <v>143</v>
      </c>
      <c r="B144" s="84" t="s">
        <v>248</v>
      </c>
      <c r="C144" s="84">
        <v>3</v>
      </c>
      <c r="D144" s="86">
        <v>1</v>
      </c>
      <c r="E144" s="29"/>
      <c r="F144" s="29"/>
      <c r="G144" s="29">
        <v>1</v>
      </c>
      <c r="H144" s="29" t="s">
        <v>249</v>
      </c>
      <c r="I144" s="82" t="s">
        <v>250</v>
      </c>
      <c r="J144" s="125"/>
      <c r="K144" s="81"/>
      <c r="L144" s="82" t="s">
        <v>252</v>
      </c>
      <c r="M144" s="82" t="s">
        <v>253</v>
      </c>
      <c r="N144" s="82"/>
      <c r="O144" s="82"/>
      <c r="P144" s="81"/>
      <c r="Q144" s="85"/>
    </row>
    <row r="145" spans="1:17" ht="15" thickBot="1" x14ac:dyDescent="0.35">
      <c r="A145" s="4">
        <v>144</v>
      </c>
      <c r="B145" s="4" t="s">
        <v>254</v>
      </c>
      <c r="C145" s="4">
        <v>5</v>
      </c>
      <c r="D145" s="9">
        <v>2</v>
      </c>
      <c r="E145" s="10"/>
      <c r="F145" s="10"/>
      <c r="G145" s="10">
        <v>1</v>
      </c>
      <c r="H145" s="10" t="s">
        <v>255</v>
      </c>
      <c r="I145" s="8"/>
      <c r="J145" s="8"/>
      <c r="K145" s="2"/>
      <c r="L145" s="8" t="s">
        <v>244</v>
      </c>
      <c r="M145" s="8"/>
      <c r="N145" s="8"/>
      <c r="O145" s="8"/>
      <c r="P145" s="2"/>
      <c r="Q145" s="83"/>
    </row>
    <row r="146" spans="1:17" ht="15" thickBot="1" x14ac:dyDescent="0.35">
      <c r="A146" s="2">
        <v>145</v>
      </c>
      <c r="B146" s="84" t="s">
        <v>256</v>
      </c>
      <c r="C146" s="84">
        <v>4</v>
      </c>
      <c r="D146" s="86">
        <v>2</v>
      </c>
      <c r="E146" s="29"/>
      <c r="F146" s="29"/>
      <c r="G146" s="29">
        <v>1</v>
      </c>
      <c r="H146" s="29" t="s">
        <v>257</v>
      </c>
      <c r="I146" s="82"/>
      <c r="J146" s="82"/>
      <c r="K146" s="81"/>
      <c r="L146" s="82" t="s">
        <v>251</v>
      </c>
      <c r="M146" s="82"/>
      <c r="N146" s="82"/>
      <c r="O146" s="82"/>
      <c r="P146" s="81"/>
      <c r="Q146" s="85"/>
    </row>
    <row r="147" spans="1:17" ht="15" thickBot="1" x14ac:dyDescent="0.35">
      <c r="A147" s="4">
        <v>146</v>
      </c>
      <c r="B147" s="4" t="s">
        <v>258</v>
      </c>
      <c r="C147" s="4">
        <v>5</v>
      </c>
      <c r="D147" s="9">
        <v>2</v>
      </c>
      <c r="E147" s="10"/>
      <c r="F147" s="10"/>
      <c r="G147" s="10">
        <v>2</v>
      </c>
      <c r="H147" s="10" t="s">
        <v>259</v>
      </c>
      <c r="I147" s="8" t="s">
        <v>260</v>
      </c>
      <c r="J147" s="8"/>
      <c r="K147" s="2"/>
      <c r="L147" s="8" t="s">
        <v>251</v>
      </c>
      <c r="M147" s="8"/>
      <c r="N147" s="8"/>
      <c r="O147" s="8"/>
      <c r="P147" s="2"/>
      <c r="Q147" s="83"/>
    </row>
    <row r="148" spans="1:17" ht="15" thickBot="1" x14ac:dyDescent="0.35">
      <c r="A148" s="2">
        <v>147</v>
      </c>
      <c r="B148" s="84" t="s">
        <v>261</v>
      </c>
      <c r="C148" s="84">
        <v>5</v>
      </c>
      <c r="D148" s="86">
        <v>2</v>
      </c>
      <c r="E148" s="29"/>
      <c r="F148" s="29"/>
      <c r="G148" s="29">
        <v>1</v>
      </c>
      <c r="H148" s="29" t="s">
        <v>262</v>
      </c>
      <c r="I148" s="82"/>
      <c r="J148" s="82"/>
      <c r="K148" s="81"/>
      <c r="L148" s="82" t="s">
        <v>251</v>
      </c>
      <c r="M148" s="82"/>
      <c r="N148" s="82"/>
      <c r="O148" s="82"/>
      <c r="P148" s="81"/>
      <c r="Q148" s="85"/>
    </row>
    <row r="149" spans="1:17" ht="15" thickBot="1" x14ac:dyDescent="0.35">
      <c r="A149" s="4">
        <v>148</v>
      </c>
      <c r="B149" s="4" t="s">
        <v>263</v>
      </c>
      <c r="C149" s="4">
        <v>4</v>
      </c>
      <c r="D149" s="9">
        <v>2</v>
      </c>
      <c r="E149" s="10"/>
      <c r="F149" s="10"/>
      <c r="G149" s="10">
        <v>1</v>
      </c>
      <c r="H149" s="10" t="s">
        <v>264</v>
      </c>
      <c r="I149" s="8"/>
      <c r="J149" s="8"/>
      <c r="K149" s="2"/>
      <c r="L149" s="8" t="s">
        <v>252</v>
      </c>
      <c r="M149" s="8"/>
      <c r="N149" s="8"/>
      <c r="O149" s="8"/>
      <c r="P149" s="2"/>
      <c r="Q149" s="83"/>
    </row>
    <row r="150" spans="1:17" ht="15" thickBot="1" x14ac:dyDescent="0.35">
      <c r="A150" s="2">
        <v>149</v>
      </c>
      <c r="B150" s="4" t="s">
        <v>228</v>
      </c>
      <c r="C150" s="4">
        <v>4</v>
      </c>
      <c r="D150" s="9">
        <v>2</v>
      </c>
      <c r="E150" s="10"/>
      <c r="F150" s="10"/>
      <c r="G150" s="10">
        <v>1</v>
      </c>
      <c r="H150" s="26" t="s">
        <v>229</v>
      </c>
      <c r="I150" s="8" t="s">
        <v>230</v>
      </c>
      <c r="J150" s="8"/>
      <c r="K150" s="2"/>
      <c r="L150" s="8" t="s">
        <v>253</v>
      </c>
      <c r="M150" s="91" t="s">
        <v>197</v>
      </c>
      <c r="N150" s="8"/>
      <c r="O150" s="8"/>
      <c r="P150" s="2"/>
      <c r="Q150" s="83"/>
    </row>
    <row r="151" spans="1:17" ht="15" thickBot="1" x14ac:dyDescent="0.35">
      <c r="A151" s="4">
        <v>150</v>
      </c>
      <c r="B151" s="4" t="s">
        <v>265</v>
      </c>
      <c r="C151" s="4">
        <v>4</v>
      </c>
      <c r="D151" s="9">
        <v>1</v>
      </c>
      <c r="E151" s="10"/>
      <c r="F151" s="10"/>
      <c r="G151" s="10">
        <v>2</v>
      </c>
      <c r="H151" s="10" t="s">
        <v>236</v>
      </c>
      <c r="I151" s="8" t="s">
        <v>237</v>
      </c>
      <c r="J151" s="8"/>
      <c r="K151" s="2"/>
      <c r="L151" s="8" t="s">
        <v>252</v>
      </c>
      <c r="M151" s="8" t="s">
        <v>253</v>
      </c>
      <c r="N151" s="8"/>
      <c r="O151" s="8"/>
      <c r="P151" s="2"/>
      <c r="Q151" s="83"/>
    </row>
    <row r="152" spans="1:17" s="51" customFormat="1" ht="15" thickBot="1" x14ac:dyDescent="0.35">
      <c r="A152" s="2">
        <v>151</v>
      </c>
      <c r="B152" s="96"/>
      <c r="C152" s="96"/>
      <c r="D152" s="97"/>
      <c r="E152" s="98"/>
      <c r="F152" s="98"/>
      <c r="G152" s="98"/>
      <c r="H152" s="98"/>
      <c r="I152" s="49"/>
      <c r="J152" s="49"/>
      <c r="K152" s="50"/>
      <c r="L152" s="49"/>
      <c r="M152" s="49"/>
      <c r="N152" s="49"/>
      <c r="O152" s="49"/>
      <c r="P152" s="50"/>
      <c r="Q152" s="89"/>
    </row>
    <row r="153" spans="1:17" ht="15" thickBot="1" x14ac:dyDescent="0.35">
      <c r="A153" s="4">
        <v>152</v>
      </c>
      <c r="B153" s="4" t="s">
        <v>266</v>
      </c>
      <c r="C153" s="4">
        <v>4</v>
      </c>
      <c r="D153" s="9">
        <v>2</v>
      </c>
      <c r="E153" s="10"/>
      <c r="F153" s="10" t="s">
        <v>220</v>
      </c>
      <c r="G153" s="10">
        <v>1</v>
      </c>
      <c r="H153" s="10" t="s">
        <v>83</v>
      </c>
      <c r="I153" s="8"/>
      <c r="J153" s="8"/>
      <c r="K153" s="2"/>
      <c r="L153" s="8" t="s">
        <v>252</v>
      </c>
      <c r="M153" s="8" t="s">
        <v>253</v>
      </c>
      <c r="N153" s="8"/>
      <c r="O153" s="8"/>
      <c r="P153" s="2"/>
      <c r="Q153" s="83"/>
    </row>
    <row r="154" spans="1:17" ht="15" thickBot="1" x14ac:dyDescent="0.35">
      <c r="A154" s="2">
        <v>153</v>
      </c>
      <c r="B154" s="4" t="s">
        <v>267</v>
      </c>
      <c r="C154" s="4">
        <v>3</v>
      </c>
      <c r="D154" s="9">
        <v>1</v>
      </c>
      <c r="E154" s="10"/>
      <c r="F154" s="10" t="s">
        <v>220</v>
      </c>
      <c r="G154" s="10">
        <v>1</v>
      </c>
      <c r="H154" s="10" t="s">
        <v>189</v>
      </c>
      <c r="I154" s="8"/>
      <c r="J154" s="8"/>
      <c r="K154" s="2"/>
      <c r="L154" s="82" t="s">
        <v>74</v>
      </c>
      <c r="M154" s="82" t="s">
        <v>252</v>
      </c>
      <c r="N154" s="82" t="s">
        <v>253</v>
      </c>
      <c r="O154" s="82"/>
      <c r="P154" s="81"/>
      <c r="Q154" s="85"/>
    </row>
    <row r="155" spans="1:17" ht="15" thickBot="1" x14ac:dyDescent="0.35">
      <c r="A155" s="4">
        <v>154</v>
      </c>
      <c r="B155" s="4" t="s">
        <v>268</v>
      </c>
      <c r="C155" s="48">
        <v>3</v>
      </c>
      <c r="D155" s="9">
        <v>2</v>
      </c>
      <c r="E155" s="10"/>
      <c r="F155" s="10" t="s">
        <v>220</v>
      </c>
      <c r="G155" s="10">
        <v>1</v>
      </c>
      <c r="H155" s="10" t="s">
        <v>53</v>
      </c>
      <c r="I155" s="8"/>
      <c r="J155" s="8"/>
      <c r="K155" s="2"/>
      <c r="L155" s="8" t="s">
        <v>74</v>
      </c>
      <c r="M155" s="8" t="s">
        <v>252</v>
      </c>
      <c r="N155" s="8" t="s">
        <v>253</v>
      </c>
      <c r="O155" s="8"/>
      <c r="P155" s="2"/>
      <c r="Q155" s="153" t="s">
        <v>939</v>
      </c>
    </row>
    <row r="156" spans="1:17" ht="15" thickBot="1" x14ac:dyDescent="0.35">
      <c r="A156" s="2">
        <v>155</v>
      </c>
      <c r="B156" s="4" t="s">
        <v>269</v>
      </c>
      <c r="C156" s="4">
        <v>4</v>
      </c>
      <c r="D156" s="9">
        <v>2</v>
      </c>
      <c r="E156" s="10"/>
      <c r="F156" s="10" t="s">
        <v>220</v>
      </c>
      <c r="G156" s="10">
        <v>1</v>
      </c>
      <c r="H156" s="10" t="s">
        <v>158</v>
      </c>
      <c r="I156" s="8"/>
      <c r="J156" s="8"/>
      <c r="K156" s="2"/>
      <c r="L156" s="82" t="s">
        <v>194</v>
      </c>
      <c r="M156" s="82"/>
      <c r="N156" s="82"/>
      <c r="O156" s="82"/>
      <c r="P156" s="81"/>
      <c r="Q156" s="85"/>
    </row>
    <row r="157" spans="1:17" ht="15" thickBot="1" x14ac:dyDescent="0.35">
      <c r="A157" s="4">
        <v>156</v>
      </c>
      <c r="B157" s="4" t="s">
        <v>270</v>
      </c>
      <c r="C157" s="4">
        <v>4</v>
      </c>
      <c r="D157" s="9">
        <v>2</v>
      </c>
      <c r="E157" s="10"/>
      <c r="F157" s="10" t="s">
        <v>220</v>
      </c>
      <c r="G157" s="10">
        <v>1</v>
      </c>
      <c r="H157" s="10" t="s">
        <v>271</v>
      </c>
      <c r="I157" s="8"/>
      <c r="J157" s="8"/>
      <c r="K157" s="2"/>
      <c r="L157" s="8" t="s">
        <v>194</v>
      </c>
      <c r="M157" s="8"/>
      <c r="N157" s="8"/>
      <c r="O157" s="8"/>
      <c r="P157" s="2"/>
      <c r="Q157" s="83"/>
    </row>
    <row r="158" spans="1:17" ht="15" thickBot="1" x14ac:dyDescent="0.35">
      <c r="A158" s="2">
        <v>157</v>
      </c>
      <c r="B158" s="4" t="s">
        <v>272</v>
      </c>
      <c r="C158" s="4">
        <v>4</v>
      </c>
      <c r="D158" s="9">
        <v>2</v>
      </c>
      <c r="E158" s="10"/>
      <c r="F158" s="10" t="s">
        <v>220</v>
      </c>
      <c r="G158" s="10">
        <v>1</v>
      </c>
      <c r="H158" s="10" t="s">
        <v>273</v>
      </c>
      <c r="I158" s="8"/>
      <c r="J158" s="8"/>
      <c r="K158" s="2"/>
      <c r="L158" s="82" t="s">
        <v>193</v>
      </c>
      <c r="M158" s="82"/>
      <c r="N158" s="82"/>
      <c r="O158" s="82"/>
      <c r="P158" s="81"/>
      <c r="Q158" s="85"/>
    </row>
    <row r="159" spans="1:17" ht="15" thickBot="1" x14ac:dyDescent="0.35">
      <c r="A159" s="4">
        <v>158</v>
      </c>
      <c r="B159" s="4" t="s">
        <v>274</v>
      </c>
      <c r="C159" s="4">
        <v>4</v>
      </c>
      <c r="D159" s="9">
        <v>2</v>
      </c>
      <c r="E159" s="10"/>
      <c r="F159" s="10" t="s">
        <v>220</v>
      </c>
      <c r="G159" s="10">
        <v>1</v>
      </c>
      <c r="H159" s="10" t="s">
        <v>275</v>
      </c>
      <c r="I159" s="8"/>
      <c r="J159" s="8"/>
      <c r="K159" s="2"/>
      <c r="L159" s="8" t="s">
        <v>193</v>
      </c>
      <c r="M159" s="8" t="s">
        <v>244</v>
      </c>
      <c r="N159" s="8"/>
      <c r="O159" s="8"/>
      <c r="P159" s="2"/>
      <c r="Q159" s="83"/>
    </row>
    <row r="160" spans="1:17" ht="15" thickBot="1" x14ac:dyDescent="0.35">
      <c r="A160" s="2">
        <v>159</v>
      </c>
      <c r="B160" s="4" t="s">
        <v>276</v>
      </c>
      <c r="C160" s="4">
        <v>4</v>
      </c>
      <c r="D160" s="9">
        <v>2</v>
      </c>
      <c r="E160" s="10"/>
      <c r="F160" s="10" t="s">
        <v>220</v>
      </c>
      <c r="G160" s="10">
        <v>1</v>
      </c>
      <c r="H160" s="10" t="s">
        <v>167</v>
      </c>
      <c r="I160" s="8"/>
      <c r="J160" s="8"/>
      <c r="K160" s="2"/>
      <c r="L160" s="8" t="s">
        <v>193</v>
      </c>
      <c r="M160" s="8" t="s">
        <v>244</v>
      </c>
      <c r="N160" s="82"/>
      <c r="O160" s="82"/>
      <c r="P160" s="81"/>
      <c r="Q160" s="83"/>
    </row>
    <row r="161" spans="1:17" ht="15" thickBot="1" x14ac:dyDescent="0.35">
      <c r="A161" s="4">
        <v>160</v>
      </c>
      <c r="B161" s="4" t="s">
        <v>277</v>
      </c>
      <c r="C161" s="4">
        <v>4</v>
      </c>
      <c r="D161" s="9">
        <v>2</v>
      </c>
      <c r="E161" s="10"/>
      <c r="F161" s="10" t="s">
        <v>220</v>
      </c>
      <c r="G161" s="10">
        <v>1</v>
      </c>
      <c r="H161" s="10" t="s">
        <v>172</v>
      </c>
      <c r="I161" s="8"/>
      <c r="J161" s="8"/>
      <c r="K161" s="2"/>
      <c r="L161" s="8" t="s">
        <v>193</v>
      </c>
      <c r="M161" s="8" t="s">
        <v>244</v>
      </c>
      <c r="N161" s="8"/>
      <c r="O161" s="8"/>
      <c r="P161" s="2"/>
      <c r="Q161" s="83"/>
    </row>
    <row r="162" spans="1:17" ht="15" thickBot="1" x14ac:dyDescent="0.35">
      <c r="A162" s="2">
        <v>161</v>
      </c>
      <c r="B162" s="4" t="s">
        <v>223</v>
      </c>
      <c r="C162" s="4">
        <v>4</v>
      </c>
      <c r="D162" s="9">
        <v>2</v>
      </c>
      <c r="E162" s="10"/>
      <c r="F162" s="10" t="s">
        <v>220</v>
      </c>
      <c r="G162" s="10">
        <v>0</v>
      </c>
      <c r="H162" s="26"/>
      <c r="I162" s="8"/>
      <c r="J162" s="8"/>
      <c r="K162" s="2"/>
      <c r="L162" s="82" t="s">
        <v>251</v>
      </c>
      <c r="M162" s="82"/>
      <c r="N162" s="82"/>
      <c r="O162" s="82"/>
      <c r="P162" s="81"/>
      <c r="Q162" s="83" t="s">
        <v>943</v>
      </c>
    </row>
    <row r="163" spans="1:17" ht="15" thickBot="1" x14ac:dyDescent="0.35">
      <c r="A163" s="4">
        <v>162</v>
      </c>
      <c r="B163" s="4" t="s">
        <v>278</v>
      </c>
      <c r="C163" s="4">
        <v>3</v>
      </c>
      <c r="D163" s="9">
        <v>1</v>
      </c>
      <c r="E163" s="10"/>
      <c r="F163" s="10" t="s">
        <v>220</v>
      </c>
      <c r="G163" s="10">
        <v>1</v>
      </c>
      <c r="H163" s="10" t="s">
        <v>279</v>
      </c>
      <c r="I163" s="8"/>
      <c r="J163" s="8"/>
      <c r="K163" s="2"/>
      <c r="L163" s="8" t="s">
        <v>251</v>
      </c>
      <c r="M163" s="8"/>
      <c r="N163" s="8"/>
      <c r="O163" s="8"/>
      <c r="P163" s="2"/>
      <c r="Q163" s="83"/>
    </row>
    <row r="164" spans="1:17" ht="15" thickBot="1" x14ac:dyDescent="0.35">
      <c r="A164" s="2">
        <v>163</v>
      </c>
      <c r="B164" s="4" t="s">
        <v>280</v>
      </c>
      <c r="C164" s="4">
        <v>4</v>
      </c>
      <c r="D164" s="9">
        <v>2</v>
      </c>
      <c r="E164" s="10"/>
      <c r="F164" s="10" t="s">
        <v>220</v>
      </c>
      <c r="G164" s="10">
        <v>1</v>
      </c>
      <c r="H164" s="10" t="s">
        <v>273</v>
      </c>
      <c r="I164" s="8"/>
      <c r="J164" s="8"/>
      <c r="K164" s="2"/>
      <c r="L164" s="82" t="s">
        <v>244</v>
      </c>
      <c r="M164" s="82"/>
      <c r="N164" s="82"/>
      <c r="O164" s="82"/>
      <c r="P164" s="81"/>
      <c r="Q164" s="85"/>
    </row>
    <row r="165" spans="1:17" ht="15" thickBot="1" x14ac:dyDescent="0.35">
      <c r="A165" s="4">
        <v>164</v>
      </c>
      <c r="B165" s="4" t="s">
        <v>281</v>
      </c>
      <c r="C165" s="4">
        <v>2</v>
      </c>
      <c r="D165" s="9">
        <v>1</v>
      </c>
      <c r="E165" s="10"/>
      <c r="F165" s="10" t="s">
        <v>220</v>
      </c>
      <c r="G165" s="10">
        <v>1</v>
      </c>
      <c r="H165" s="10" t="s">
        <v>282</v>
      </c>
      <c r="I165" s="8"/>
      <c r="J165" s="8"/>
      <c r="K165" s="2"/>
      <c r="L165" s="8" t="s">
        <v>244</v>
      </c>
      <c r="M165" s="8" t="s">
        <v>251</v>
      </c>
      <c r="N165" s="8" t="s">
        <v>252</v>
      </c>
      <c r="O165" s="8" t="s">
        <v>253</v>
      </c>
      <c r="P165" s="2"/>
      <c r="Q165" s="83"/>
    </row>
    <row r="166" spans="1:17" ht="15" thickBot="1" x14ac:dyDescent="0.35">
      <c r="A166" s="2">
        <v>165</v>
      </c>
      <c r="B166" s="100" t="s">
        <v>219</v>
      </c>
      <c r="C166" s="4">
        <v>5</v>
      </c>
      <c r="D166" s="9">
        <v>2</v>
      </c>
      <c r="E166" s="10"/>
      <c r="F166" s="10" t="s">
        <v>220</v>
      </c>
      <c r="G166" s="10">
        <v>1</v>
      </c>
      <c r="H166" s="10" t="s">
        <v>221</v>
      </c>
      <c r="I166" s="8"/>
      <c r="J166" s="8"/>
      <c r="K166" s="2"/>
      <c r="L166" s="82" t="s">
        <v>251</v>
      </c>
      <c r="M166" s="82"/>
      <c r="N166" s="82"/>
      <c r="O166" s="82"/>
      <c r="P166" s="81"/>
      <c r="Q166" s="83" t="s">
        <v>283</v>
      </c>
    </row>
    <row r="167" spans="1:17" ht="15" thickBot="1" x14ac:dyDescent="0.35">
      <c r="A167" s="4">
        <v>166</v>
      </c>
      <c r="B167" s="4" t="s">
        <v>284</v>
      </c>
      <c r="C167" s="4">
        <v>4</v>
      </c>
      <c r="D167" s="9">
        <v>1</v>
      </c>
      <c r="E167" s="10"/>
      <c r="F167" s="10" t="s">
        <v>220</v>
      </c>
      <c r="G167" s="10">
        <v>1</v>
      </c>
      <c r="H167" s="10" t="s">
        <v>285</v>
      </c>
      <c r="I167" s="8"/>
      <c r="J167" s="8"/>
      <c r="K167" s="2"/>
      <c r="L167" s="8" t="s">
        <v>74</v>
      </c>
      <c r="M167" s="8" t="s">
        <v>252</v>
      </c>
      <c r="N167" s="25" t="s">
        <v>253</v>
      </c>
      <c r="O167" s="25"/>
      <c r="P167" s="22"/>
      <c r="Q167" s="83"/>
    </row>
    <row r="168" spans="1:17" ht="15" thickBot="1" x14ac:dyDescent="0.35">
      <c r="A168" s="2">
        <v>167</v>
      </c>
      <c r="B168" s="4" t="s">
        <v>286</v>
      </c>
      <c r="C168" s="4">
        <v>2</v>
      </c>
      <c r="D168" s="9">
        <v>1</v>
      </c>
      <c r="E168" s="10"/>
      <c r="F168" s="10" t="s">
        <v>220</v>
      </c>
      <c r="G168" s="10">
        <v>1</v>
      </c>
      <c r="H168" s="10" t="s">
        <v>287</v>
      </c>
      <c r="I168" s="8"/>
      <c r="J168" s="8"/>
      <c r="K168" s="2"/>
      <c r="L168" s="8" t="s">
        <v>74</v>
      </c>
      <c r="M168" s="82" t="s">
        <v>252</v>
      </c>
      <c r="N168" s="90" t="s">
        <v>253</v>
      </c>
      <c r="O168" s="82"/>
      <c r="P168" s="81"/>
      <c r="Q168" s="85" t="s">
        <v>288</v>
      </c>
    </row>
    <row r="169" spans="1:17" ht="15" thickBot="1" x14ac:dyDescent="0.35">
      <c r="A169" s="4">
        <v>168</v>
      </c>
      <c r="B169" s="4" t="s">
        <v>286</v>
      </c>
      <c r="C169" s="4">
        <v>2</v>
      </c>
      <c r="D169" s="9">
        <v>1</v>
      </c>
      <c r="E169" s="10"/>
      <c r="F169" s="10" t="s">
        <v>220</v>
      </c>
      <c r="G169" s="10">
        <v>1</v>
      </c>
      <c r="H169" s="10" t="s">
        <v>289</v>
      </c>
      <c r="I169" s="8"/>
      <c r="J169" s="8"/>
      <c r="K169" s="2"/>
      <c r="L169" s="8" t="s">
        <v>74</v>
      </c>
      <c r="M169" s="8" t="s">
        <v>252</v>
      </c>
      <c r="N169" s="25" t="s">
        <v>253</v>
      </c>
      <c r="O169" s="8"/>
      <c r="P169" s="2"/>
      <c r="Q169" s="83" t="s">
        <v>288</v>
      </c>
    </row>
    <row r="170" spans="1:17" ht="15" thickBot="1" x14ac:dyDescent="0.35">
      <c r="A170" s="2">
        <v>169</v>
      </c>
      <c r="B170" s="4" t="s">
        <v>290</v>
      </c>
      <c r="C170" s="4">
        <v>3</v>
      </c>
      <c r="D170" s="9">
        <v>1</v>
      </c>
      <c r="E170" s="10"/>
      <c r="F170" s="10" t="s">
        <v>220</v>
      </c>
      <c r="G170" s="10">
        <v>1</v>
      </c>
      <c r="H170" s="10" t="s">
        <v>291</v>
      </c>
      <c r="I170" s="8"/>
      <c r="J170" s="8"/>
      <c r="K170" s="2"/>
      <c r="L170" s="90" t="s">
        <v>252</v>
      </c>
      <c r="M170" s="90" t="s">
        <v>253</v>
      </c>
      <c r="N170" s="82"/>
      <c r="O170" s="82"/>
      <c r="P170" s="81"/>
      <c r="Q170" s="85"/>
    </row>
    <row r="171" spans="1:17" ht="15" thickBot="1" x14ac:dyDescent="0.35">
      <c r="A171" s="4">
        <v>170</v>
      </c>
      <c r="B171" s="4" t="s">
        <v>232</v>
      </c>
      <c r="C171" s="4">
        <v>2</v>
      </c>
      <c r="D171" s="9">
        <v>1</v>
      </c>
      <c r="E171" s="10"/>
      <c r="F171" s="10" t="s">
        <v>220</v>
      </c>
      <c r="G171" s="10">
        <v>1</v>
      </c>
      <c r="H171" s="10" t="s">
        <v>190</v>
      </c>
      <c r="I171" s="8"/>
      <c r="J171" s="8"/>
      <c r="K171" s="2"/>
      <c r="L171" s="25" t="s">
        <v>252</v>
      </c>
      <c r="M171" s="25" t="s">
        <v>253</v>
      </c>
      <c r="N171" s="8" t="s">
        <v>196</v>
      </c>
      <c r="O171" s="8"/>
      <c r="P171" s="2"/>
      <c r="Q171" s="83"/>
    </row>
    <row r="172" spans="1:17" ht="15" thickBot="1" x14ac:dyDescent="0.35">
      <c r="A172" s="2">
        <v>171</v>
      </c>
      <c r="B172" s="4" t="s">
        <v>292</v>
      </c>
      <c r="C172" s="4">
        <v>3</v>
      </c>
      <c r="D172" s="9">
        <v>1</v>
      </c>
      <c r="E172" s="10"/>
      <c r="F172" s="10" t="s">
        <v>220</v>
      </c>
      <c r="G172" s="10">
        <v>1</v>
      </c>
      <c r="H172" s="10" t="s">
        <v>230</v>
      </c>
      <c r="I172" s="8"/>
      <c r="J172" s="8"/>
      <c r="K172" s="2"/>
      <c r="L172" s="8" t="s">
        <v>74</v>
      </c>
      <c r="M172" s="8" t="s">
        <v>252</v>
      </c>
      <c r="N172" s="8" t="s">
        <v>253</v>
      </c>
      <c r="O172" s="8"/>
      <c r="P172" s="2"/>
      <c r="Q172" s="83"/>
    </row>
    <row r="173" spans="1:17" ht="15" thickBot="1" x14ac:dyDescent="0.35">
      <c r="A173" s="4">
        <v>172</v>
      </c>
      <c r="B173" s="4" t="s">
        <v>293</v>
      </c>
      <c r="C173" s="4">
        <v>5</v>
      </c>
      <c r="D173" s="9">
        <v>2</v>
      </c>
      <c r="E173" s="10"/>
      <c r="F173" s="10" t="s">
        <v>220</v>
      </c>
      <c r="G173" s="10">
        <v>1</v>
      </c>
      <c r="H173" s="10" t="s">
        <v>294</v>
      </c>
      <c r="I173" s="8"/>
      <c r="J173" s="8"/>
      <c r="K173" s="2"/>
      <c r="L173" s="8" t="s">
        <v>244</v>
      </c>
      <c r="M173" s="8" t="s">
        <v>251</v>
      </c>
      <c r="N173" s="8" t="s">
        <v>252</v>
      </c>
      <c r="O173" s="8" t="s">
        <v>253</v>
      </c>
      <c r="P173" s="2"/>
      <c r="Q173" s="83"/>
    </row>
    <row r="174" spans="1:17" ht="15" thickBot="1" x14ac:dyDescent="0.35">
      <c r="A174" s="2">
        <v>173</v>
      </c>
      <c r="B174" s="84" t="s">
        <v>45</v>
      </c>
      <c r="C174" s="107">
        <v>1</v>
      </c>
      <c r="D174" s="86">
        <v>1</v>
      </c>
      <c r="E174" s="29"/>
      <c r="F174" s="29" t="s">
        <v>220</v>
      </c>
      <c r="G174" s="29">
        <v>1</v>
      </c>
      <c r="H174" s="29" t="s">
        <v>233</v>
      </c>
      <c r="I174" s="82"/>
      <c r="J174" s="82"/>
      <c r="K174" s="81"/>
      <c r="L174" s="82" t="s">
        <v>253</v>
      </c>
      <c r="M174" s="82" t="s">
        <v>252</v>
      </c>
      <c r="N174" s="82"/>
      <c r="O174" s="82"/>
      <c r="P174" s="81"/>
      <c r="Q174" s="83" t="s">
        <v>295</v>
      </c>
    </row>
    <row r="175" spans="1:17" x14ac:dyDescent="0.3">
      <c r="A175" s="104"/>
      <c r="B175" s="104"/>
      <c r="C175" s="104"/>
      <c r="D175" s="104"/>
      <c r="E175" s="104"/>
      <c r="F175" s="104"/>
      <c r="G175" s="104"/>
      <c r="H175" s="105"/>
      <c r="I175" s="104"/>
      <c r="J175" s="104"/>
      <c r="K175" s="18"/>
      <c r="L175" s="104"/>
      <c r="M175" s="104"/>
      <c r="N175" s="104"/>
      <c r="O175" s="104"/>
      <c r="P175" s="18"/>
      <c r="Q175" s="106"/>
    </row>
  </sheetData>
  <phoneticPr fontId="2" type="noConversion"/>
  <pageMargins left="0.7" right="0.7" top="0.75" bottom="0.75" header="0.3" footer="0.3"/>
  <pageSetup orientation="portrait" horizontalDpi="360" verticalDpi="360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2CF085-B107-4035-BD52-EA31218E5090}">
          <x14:formula1>
            <xm:f>grupos!$A$2:$A$30</xm:f>
          </x14:formula1>
          <xm:sqref>O133:P133 M167:P169 O114:P117 L114:M117 N114:N115 L2:P113 O130:P130 L130:M130 L131:P132 L133:L134 M134:P134 L136:P166 L170:P173 O174:P174 L174:M174 O135:P135 L135:M135 L175:P175 L124:P129 L123:M123 O123:P123 L118:P122</xm:sqref>
        </x14:dataValidation>
        <x14:dataValidation type="list" allowBlank="1" showInputMessage="1" showErrorMessage="1" xr:uid="{BEF44E82-C065-494E-839C-AA870BCB249F}">
          <x14:formula1>
            <xm:f>profesores!$C$2:$C$147</xm:f>
          </x14:formula1>
          <xm:sqref>H2:K187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50E8B-9B66-4B2E-8DA8-988DBCCF9363}">
  <dimension ref="A1:AB26"/>
  <sheetViews>
    <sheetView workbookViewId="0">
      <selection activeCell="M13" sqref="M13"/>
    </sheetView>
  </sheetViews>
  <sheetFormatPr baseColWidth="10" defaultColWidth="11.44140625" defaultRowHeight="14.4" customHeight="1" x14ac:dyDescent="0.3"/>
  <cols>
    <col min="1" max="5" width="6.6640625" customWidth="1"/>
    <col min="7" max="46" width="8.5546875" customWidth="1"/>
  </cols>
  <sheetData>
    <row r="1" spans="1:28" ht="14.4" customHeight="1" x14ac:dyDescent="0.3">
      <c r="A1" s="66" t="s">
        <v>10</v>
      </c>
      <c r="B1" s="66" t="s">
        <v>11</v>
      </c>
      <c r="C1" s="66" t="s">
        <v>12</v>
      </c>
      <c r="D1" s="66" t="s">
        <v>13</v>
      </c>
      <c r="E1" s="66" t="s">
        <v>14</v>
      </c>
      <c r="F1" s="66" t="s">
        <v>0</v>
      </c>
      <c r="G1" s="76" t="str" cm="1">
        <f t="array" ref="G1:AB1">TRANSPOSE(F2:F23)</f>
        <v>QC</v>
      </c>
      <c r="H1" s="77" t="str">
        <v>BPMN</v>
      </c>
      <c r="I1" s="76" t="str">
        <v>DBD3</v>
      </c>
      <c r="J1" s="77" t="str">
        <v>MdProc</v>
      </c>
      <c r="K1" s="76" t="str">
        <v>GAmb</v>
      </c>
      <c r="L1" s="77" t="str">
        <v>Horm2</v>
      </c>
      <c r="M1" s="76" t="str">
        <v>DPav</v>
      </c>
      <c r="N1" s="77" t="str">
        <v>Puentes</v>
      </c>
      <c r="O1" s="76" t="str">
        <v>DIPyU</v>
      </c>
      <c r="P1" s="77" t="str">
        <v>InstEl</v>
      </c>
      <c r="Q1" s="76" t="str">
        <v>MotCI</v>
      </c>
      <c r="R1" s="77" t="str">
        <v>DisEst</v>
      </c>
      <c r="S1" s="76" t="str">
        <v>AgroN</v>
      </c>
      <c r="T1" s="77" t="str">
        <v>TecFP</v>
      </c>
      <c r="U1" s="76" t="str">
        <v>ApMov</v>
      </c>
      <c r="V1" s="77" t="str">
        <v>RPA</v>
      </c>
      <c r="W1" s="76" t="str">
        <v>RPA</v>
      </c>
      <c r="X1" s="77" t="str">
        <v>GSInf</v>
      </c>
      <c r="Y1" s="76" t="str">
        <v>TestQA</v>
      </c>
      <c r="Z1" s="77" t="str">
        <v>EthHck</v>
      </c>
      <c r="AA1" t="str">
        <v>UIUX</v>
      </c>
      <c r="AB1" t="str">
        <v>UIUX</v>
      </c>
    </row>
    <row r="2" spans="1:28" ht="14.4" customHeight="1" x14ac:dyDescent="0.3">
      <c r="A2" s="68" t="s">
        <v>252</v>
      </c>
      <c r="B2" s="68" t="s">
        <v>253</v>
      </c>
      <c r="C2" s="68"/>
      <c r="D2" s="68"/>
      <c r="E2" s="68"/>
      <c r="F2" s="67" t="s">
        <v>266</v>
      </c>
      <c r="G2" s="80"/>
      <c r="H2" s="69"/>
      <c r="I2" s="78"/>
      <c r="J2" s="69"/>
      <c r="K2" s="78"/>
      <c r="L2" s="69"/>
      <c r="M2" s="78"/>
      <c r="N2" s="69"/>
      <c r="O2" s="78"/>
      <c r="P2" s="69"/>
      <c r="Q2" s="78"/>
      <c r="R2" s="69"/>
      <c r="S2" s="78" t="s">
        <v>220</v>
      </c>
      <c r="T2" s="69"/>
      <c r="U2" s="78"/>
      <c r="V2" s="69"/>
      <c r="W2" s="78"/>
      <c r="X2" s="69"/>
      <c r="Y2" s="78"/>
      <c r="Z2" s="69"/>
      <c r="AA2" s="78"/>
      <c r="AB2" s="69"/>
    </row>
    <row r="3" spans="1:28" ht="14.4" customHeight="1" x14ac:dyDescent="0.3">
      <c r="A3" s="70" t="s">
        <v>74</v>
      </c>
      <c r="B3" s="70" t="s">
        <v>252</v>
      </c>
      <c r="C3" s="70" t="s">
        <v>253</v>
      </c>
      <c r="D3" s="70"/>
      <c r="E3" s="70"/>
      <c r="F3" s="66" t="s">
        <v>267</v>
      </c>
      <c r="G3" s="79"/>
      <c r="H3" s="80"/>
      <c r="I3" s="79"/>
      <c r="J3" s="71"/>
      <c r="K3" s="79"/>
      <c r="L3" s="71"/>
      <c r="M3" s="79"/>
      <c r="N3" s="71"/>
      <c r="O3" s="79"/>
      <c r="P3" s="71"/>
      <c r="Q3" s="79"/>
      <c r="R3" s="71"/>
      <c r="S3" s="79" t="s">
        <v>220</v>
      </c>
      <c r="T3" s="71"/>
      <c r="U3" s="79"/>
      <c r="V3" s="71"/>
      <c r="W3" s="79"/>
      <c r="X3" s="71"/>
      <c r="Y3" s="79"/>
      <c r="Z3" s="71"/>
      <c r="AA3" s="79"/>
      <c r="AB3" s="71"/>
    </row>
    <row r="4" spans="1:28" ht="14.4" customHeight="1" x14ac:dyDescent="0.3">
      <c r="A4" s="68" t="s">
        <v>74</v>
      </c>
      <c r="B4" s="68" t="s">
        <v>252</v>
      </c>
      <c r="C4" s="68" t="s">
        <v>253</v>
      </c>
      <c r="D4" s="68"/>
      <c r="E4" s="68"/>
      <c r="F4" s="67" t="s">
        <v>268</v>
      </c>
      <c r="G4" s="78"/>
      <c r="H4" s="69"/>
      <c r="I4" s="80"/>
      <c r="J4" s="69"/>
      <c r="K4" s="78"/>
      <c r="L4" s="69"/>
      <c r="M4" s="78"/>
      <c r="N4" s="69"/>
      <c r="O4" s="78"/>
      <c r="P4" s="69"/>
      <c r="Q4" s="78"/>
      <c r="R4" s="69"/>
      <c r="S4" s="78" t="s">
        <v>220</v>
      </c>
      <c r="T4" s="69"/>
      <c r="U4" s="78"/>
      <c r="V4" s="69"/>
      <c r="W4" s="78"/>
      <c r="X4" s="69"/>
      <c r="Y4" s="78"/>
      <c r="Z4" s="69"/>
      <c r="AA4" s="78"/>
      <c r="AB4" s="69"/>
    </row>
    <row r="5" spans="1:28" ht="14.4" customHeight="1" x14ac:dyDescent="0.3">
      <c r="A5" s="70" t="s">
        <v>194</v>
      </c>
      <c r="B5" s="70"/>
      <c r="C5" s="70"/>
      <c r="D5" s="70"/>
      <c r="E5" s="70"/>
      <c r="F5" s="66" t="s">
        <v>269</v>
      </c>
      <c r="G5" s="79"/>
      <c r="H5" s="71"/>
      <c r="I5" s="79"/>
      <c r="J5" s="80"/>
      <c r="K5" s="79"/>
      <c r="L5" s="71"/>
      <c r="M5" s="79"/>
      <c r="N5" s="71"/>
      <c r="O5" s="79"/>
      <c r="P5" s="71"/>
      <c r="Q5" s="79"/>
      <c r="R5" s="71"/>
      <c r="S5" s="79" t="s">
        <v>220</v>
      </c>
      <c r="T5" s="71"/>
      <c r="U5" s="79"/>
      <c r="V5" s="71"/>
      <c r="W5" s="79"/>
      <c r="X5" s="71"/>
      <c r="Y5" s="79"/>
      <c r="Z5" s="71"/>
      <c r="AA5" s="79"/>
      <c r="AB5" s="71"/>
    </row>
    <row r="6" spans="1:28" ht="14.4" customHeight="1" x14ac:dyDescent="0.3">
      <c r="A6" s="68" t="s">
        <v>194</v>
      </c>
      <c r="B6" s="68"/>
      <c r="C6" s="68"/>
      <c r="D6" s="68"/>
      <c r="E6" s="68"/>
      <c r="F6" s="67" t="s">
        <v>270</v>
      </c>
      <c r="G6" s="78"/>
      <c r="H6" s="69"/>
      <c r="I6" s="78"/>
      <c r="J6" s="69"/>
      <c r="K6" s="80"/>
      <c r="L6" s="69"/>
      <c r="M6" s="78"/>
      <c r="N6" s="69"/>
      <c r="O6" s="78"/>
      <c r="P6" s="69"/>
      <c r="Q6" s="78"/>
      <c r="R6" s="69"/>
      <c r="S6" s="78" t="s">
        <v>220</v>
      </c>
      <c r="T6" s="69"/>
      <c r="U6" s="78"/>
      <c r="V6" s="69"/>
      <c r="W6" s="78"/>
      <c r="X6" s="69"/>
      <c r="Y6" s="78"/>
      <c r="Z6" s="69"/>
      <c r="AA6" s="78"/>
      <c r="AB6" s="69"/>
    </row>
    <row r="7" spans="1:28" ht="14.4" customHeight="1" x14ac:dyDescent="0.3">
      <c r="A7" s="70" t="s">
        <v>193</v>
      </c>
      <c r="B7" s="70"/>
      <c r="C7" s="70"/>
      <c r="D7" s="70"/>
      <c r="E7" s="70"/>
      <c r="F7" s="66" t="s">
        <v>272</v>
      </c>
      <c r="G7" s="79"/>
      <c r="H7" s="71"/>
      <c r="I7" s="79"/>
      <c r="J7" s="71"/>
      <c r="K7" s="79"/>
      <c r="L7" s="80"/>
      <c r="M7" s="79"/>
      <c r="N7" s="71"/>
      <c r="O7" s="79"/>
      <c r="P7" s="71"/>
      <c r="Q7" s="79"/>
      <c r="R7" s="71"/>
      <c r="S7" s="79" t="s">
        <v>220</v>
      </c>
      <c r="T7" s="71"/>
      <c r="U7" s="79"/>
      <c r="V7" s="71"/>
      <c r="W7" s="79"/>
      <c r="X7" s="71"/>
      <c r="Y7" s="79"/>
      <c r="Z7" s="71"/>
      <c r="AA7" s="79"/>
      <c r="AB7" s="71"/>
    </row>
    <row r="8" spans="1:28" ht="14.4" customHeight="1" x14ac:dyDescent="0.3">
      <c r="A8" s="68" t="s">
        <v>193</v>
      </c>
      <c r="B8" s="68" t="s">
        <v>244</v>
      </c>
      <c r="C8" s="68"/>
      <c r="D8" s="68"/>
      <c r="E8" s="68"/>
      <c r="F8" s="67" t="s">
        <v>274</v>
      </c>
      <c r="G8" s="78"/>
      <c r="H8" s="69"/>
      <c r="I8" s="78"/>
      <c r="J8" s="69"/>
      <c r="K8" s="78"/>
      <c r="L8" s="69"/>
      <c r="M8" s="80"/>
      <c r="N8" s="69"/>
      <c r="O8" s="78"/>
      <c r="P8" s="69"/>
      <c r="Q8" s="78"/>
      <c r="R8" s="69" t="s">
        <v>220</v>
      </c>
      <c r="S8" s="78" t="s">
        <v>220</v>
      </c>
      <c r="T8" s="69"/>
      <c r="U8" s="78"/>
      <c r="V8" s="69"/>
      <c r="W8" s="78"/>
      <c r="X8" s="69"/>
      <c r="Y8" s="78"/>
      <c r="Z8" s="69"/>
      <c r="AA8" s="78"/>
      <c r="AB8" s="69"/>
    </row>
    <row r="9" spans="1:28" ht="14.4" customHeight="1" x14ac:dyDescent="0.3">
      <c r="A9" s="70" t="s">
        <v>193</v>
      </c>
      <c r="B9" s="70" t="s">
        <v>244</v>
      </c>
      <c r="C9" s="70"/>
      <c r="D9" s="70"/>
      <c r="E9" s="70"/>
      <c r="F9" s="66" t="s">
        <v>276</v>
      </c>
      <c r="G9" s="79"/>
      <c r="H9" s="71"/>
      <c r="I9" s="79"/>
      <c r="J9" s="71"/>
      <c r="K9" s="79"/>
      <c r="L9" s="71"/>
      <c r="M9" s="79"/>
      <c r="N9" s="80"/>
      <c r="O9" s="79"/>
      <c r="P9" s="71"/>
      <c r="Q9" s="79"/>
      <c r="R9" s="71"/>
      <c r="S9" s="79" t="s">
        <v>220</v>
      </c>
      <c r="T9" s="71"/>
      <c r="U9" s="79"/>
      <c r="V9" s="71"/>
      <c r="W9" s="79"/>
      <c r="X9" s="71"/>
      <c r="Y9" s="79"/>
      <c r="Z9" s="71"/>
      <c r="AA9" s="79"/>
      <c r="AB9" s="71"/>
    </row>
    <row r="10" spans="1:28" ht="14.4" customHeight="1" x14ac:dyDescent="0.3">
      <c r="A10" s="68" t="s">
        <v>193</v>
      </c>
      <c r="B10" s="68" t="s">
        <v>244</v>
      </c>
      <c r="C10" s="68"/>
      <c r="D10" s="68"/>
      <c r="E10" s="68"/>
      <c r="F10" s="67" t="s">
        <v>277</v>
      </c>
      <c r="G10" s="78"/>
      <c r="H10" s="69"/>
      <c r="I10" s="78"/>
      <c r="J10" s="69"/>
      <c r="K10" s="78"/>
      <c r="L10" s="69"/>
      <c r="M10" s="78"/>
      <c r="N10" s="69"/>
      <c r="O10" s="80"/>
      <c r="P10" s="69"/>
      <c r="Q10" s="78"/>
      <c r="R10" s="69"/>
      <c r="S10" s="78" t="s">
        <v>220</v>
      </c>
      <c r="T10" s="69"/>
      <c r="U10" s="78"/>
      <c r="V10" s="69"/>
      <c r="W10" s="78"/>
      <c r="X10" s="69"/>
      <c r="Y10" s="78"/>
      <c r="Z10" s="69"/>
      <c r="AA10" s="78"/>
      <c r="AB10" s="69"/>
    </row>
    <row r="11" spans="1:28" ht="14.4" customHeight="1" x14ac:dyDescent="0.3">
      <c r="A11" s="70" t="s">
        <v>251</v>
      </c>
      <c r="B11" s="70"/>
      <c r="C11" s="70"/>
      <c r="D11" s="70"/>
      <c r="E11" s="70"/>
      <c r="F11" s="66" t="s">
        <v>223</v>
      </c>
      <c r="G11" s="79"/>
      <c r="H11" s="71"/>
      <c r="I11" s="79"/>
      <c r="J11" s="71"/>
      <c r="K11" s="79"/>
      <c r="L11" s="71"/>
      <c r="M11" s="79"/>
      <c r="N11" s="71"/>
      <c r="O11" s="79"/>
      <c r="P11" s="80"/>
      <c r="Q11" s="79"/>
      <c r="R11" s="71"/>
      <c r="S11" s="79" t="s">
        <v>220</v>
      </c>
      <c r="T11" s="71"/>
      <c r="U11" s="79"/>
      <c r="V11" s="71"/>
      <c r="W11" s="79"/>
      <c r="X11" s="71"/>
      <c r="Y11" s="79"/>
      <c r="Z11" s="71"/>
      <c r="AA11" s="79"/>
      <c r="AB11" s="71"/>
    </row>
    <row r="12" spans="1:28" ht="14.4" customHeight="1" x14ac:dyDescent="0.3">
      <c r="A12" s="68" t="s">
        <v>251</v>
      </c>
      <c r="B12" s="68"/>
      <c r="C12" s="68"/>
      <c r="D12" s="68"/>
      <c r="E12" s="68"/>
      <c r="F12" s="67" t="s">
        <v>278</v>
      </c>
      <c r="G12" s="78"/>
      <c r="H12" s="69"/>
      <c r="I12" s="78"/>
      <c r="J12" s="69"/>
      <c r="K12" s="78"/>
      <c r="L12" s="69"/>
      <c r="M12" s="78"/>
      <c r="N12" s="69"/>
      <c r="O12" s="78"/>
      <c r="P12" s="69"/>
      <c r="Q12" s="80"/>
      <c r="R12" s="69"/>
      <c r="S12" s="78" t="s">
        <v>220</v>
      </c>
      <c r="T12" s="69"/>
      <c r="U12" s="78"/>
      <c r="V12" s="69"/>
      <c r="W12" s="78"/>
      <c r="X12" s="69"/>
      <c r="Y12" s="78"/>
      <c r="Z12" s="69"/>
      <c r="AA12" s="78"/>
      <c r="AB12" s="69"/>
    </row>
    <row r="13" spans="1:28" ht="14.4" customHeight="1" x14ac:dyDescent="0.3">
      <c r="A13" s="70" t="s">
        <v>244</v>
      </c>
      <c r="B13" s="70"/>
      <c r="C13" s="70"/>
      <c r="D13" s="70"/>
      <c r="E13" s="70"/>
      <c r="F13" s="66" t="s">
        <v>280</v>
      </c>
      <c r="G13" s="79"/>
      <c r="H13" s="71"/>
      <c r="I13" s="79"/>
      <c r="J13" s="71"/>
      <c r="K13" s="79"/>
      <c r="L13" s="71"/>
      <c r="M13" s="79" t="s">
        <v>220</v>
      </c>
      <c r="N13" s="71"/>
      <c r="O13" s="79"/>
      <c r="P13" s="71"/>
      <c r="Q13" s="79"/>
      <c r="R13" s="80"/>
      <c r="S13" s="79" t="s">
        <v>220</v>
      </c>
      <c r="T13" s="71"/>
      <c r="U13" s="79"/>
      <c r="V13" s="71"/>
      <c r="W13" s="79"/>
      <c r="X13" s="71"/>
      <c r="Y13" s="79"/>
      <c r="Z13" s="71"/>
      <c r="AA13" s="79"/>
      <c r="AB13" s="71"/>
    </row>
    <row r="14" spans="1:28" ht="14.4" customHeight="1" x14ac:dyDescent="0.3">
      <c r="A14" s="68" t="s">
        <v>244</v>
      </c>
      <c r="B14" s="68" t="s">
        <v>251</v>
      </c>
      <c r="C14" s="68" t="s">
        <v>252</v>
      </c>
      <c r="D14" s="68" t="s">
        <v>253</v>
      </c>
      <c r="E14" s="68"/>
      <c r="F14" s="67" t="s">
        <v>281</v>
      </c>
      <c r="G14" s="78" t="s">
        <v>220</v>
      </c>
      <c r="H14" s="69" t="s">
        <v>220</v>
      </c>
      <c r="I14" s="78" t="s">
        <v>220</v>
      </c>
      <c r="J14" s="69" t="s">
        <v>220</v>
      </c>
      <c r="K14" s="78" t="s">
        <v>220</v>
      </c>
      <c r="L14" s="69" t="s">
        <v>220</v>
      </c>
      <c r="M14" s="78" t="s">
        <v>220</v>
      </c>
      <c r="N14" s="69" t="s">
        <v>220</v>
      </c>
      <c r="O14" s="78" t="s">
        <v>220</v>
      </c>
      <c r="P14" s="69" t="s">
        <v>220</v>
      </c>
      <c r="Q14" s="78" t="s">
        <v>220</v>
      </c>
      <c r="R14" s="69" t="s">
        <v>220</v>
      </c>
      <c r="S14" s="80"/>
      <c r="T14" s="69" t="s">
        <v>220</v>
      </c>
      <c r="U14" s="78" t="s">
        <v>220</v>
      </c>
      <c r="V14" s="69" t="s">
        <v>220</v>
      </c>
      <c r="W14" s="78" t="s">
        <v>220</v>
      </c>
      <c r="X14" s="69" t="s">
        <v>220</v>
      </c>
      <c r="Y14" s="78" t="s">
        <v>220</v>
      </c>
      <c r="Z14" s="69" t="s">
        <v>220</v>
      </c>
      <c r="AA14" s="78" t="s">
        <v>220</v>
      </c>
      <c r="AB14" s="69" t="s">
        <v>220</v>
      </c>
    </row>
    <row r="15" spans="1:28" ht="14.4" customHeight="1" x14ac:dyDescent="0.3">
      <c r="A15" s="70" t="s">
        <v>194</v>
      </c>
      <c r="B15" s="70" t="s">
        <v>251</v>
      </c>
      <c r="C15" s="70"/>
      <c r="D15" s="70"/>
      <c r="E15" s="70"/>
      <c r="F15" s="66" t="s">
        <v>219</v>
      </c>
      <c r="G15" s="79"/>
      <c r="H15" s="71"/>
      <c r="I15" s="79"/>
      <c r="J15" s="71"/>
      <c r="K15" s="79"/>
      <c r="L15" s="71"/>
      <c r="M15" s="79"/>
      <c r="N15" s="71"/>
      <c r="O15" s="79"/>
      <c r="P15" s="71"/>
      <c r="Q15" s="79"/>
      <c r="R15" s="71"/>
      <c r="S15" s="79" t="s">
        <v>220</v>
      </c>
      <c r="T15" s="80"/>
      <c r="U15" s="79"/>
      <c r="V15" s="71"/>
      <c r="W15" s="79"/>
      <c r="X15" s="71"/>
      <c r="Y15" s="79"/>
      <c r="Z15" s="71"/>
      <c r="AA15" s="79"/>
      <c r="AB15" s="71"/>
    </row>
    <row r="16" spans="1:28" ht="14.4" customHeight="1" x14ac:dyDescent="0.3">
      <c r="A16" s="68" t="s">
        <v>252</v>
      </c>
      <c r="B16" s="68" t="s">
        <v>253</v>
      </c>
      <c r="C16" s="68"/>
      <c r="D16" s="68"/>
      <c r="E16" s="68"/>
      <c r="F16" s="67" t="s">
        <v>284</v>
      </c>
      <c r="G16" s="78"/>
      <c r="H16" s="69"/>
      <c r="I16" s="78"/>
      <c r="J16" s="69"/>
      <c r="K16" s="78"/>
      <c r="L16" s="69"/>
      <c r="M16" s="78"/>
      <c r="N16" s="69"/>
      <c r="O16" s="78"/>
      <c r="P16" s="69"/>
      <c r="Q16" s="78"/>
      <c r="R16" s="69"/>
      <c r="S16" s="78" t="s">
        <v>220</v>
      </c>
      <c r="T16" s="69"/>
      <c r="U16" s="80"/>
      <c r="V16" s="69"/>
      <c r="W16" s="78"/>
      <c r="X16" s="69"/>
      <c r="Y16" s="78"/>
      <c r="Z16" s="69"/>
      <c r="AA16" s="78"/>
      <c r="AB16" s="69"/>
    </row>
    <row r="17" spans="1:28" ht="14.4" customHeight="1" x14ac:dyDescent="0.3">
      <c r="A17" s="70" t="s">
        <v>252</v>
      </c>
      <c r="B17" s="70" t="s">
        <v>253</v>
      </c>
      <c r="C17" s="70"/>
      <c r="D17" s="70"/>
      <c r="E17" s="70"/>
      <c r="F17" s="66" t="s">
        <v>286</v>
      </c>
      <c r="G17" s="79"/>
      <c r="H17" s="71"/>
      <c r="I17" s="79"/>
      <c r="J17" s="71"/>
      <c r="K17" s="79"/>
      <c r="L17" s="71"/>
      <c r="M17" s="79"/>
      <c r="N17" s="71"/>
      <c r="O17" s="79"/>
      <c r="P17" s="71"/>
      <c r="Q17" s="79"/>
      <c r="R17" s="71"/>
      <c r="S17" s="79" t="s">
        <v>220</v>
      </c>
      <c r="T17" s="71"/>
      <c r="U17" s="79"/>
      <c r="V17" s="80"/>
      <c r="W17" s="79"/>
      <c r="X17" s="71"/>
      <c r="Y17" s="79"/>
      <c r="Z17" s="71"/>
      <c r="AA17" s="79"/>
      <c r="AB17" s="71"/>
    </row>
    <row r="18" spans="1:28" ht="14.4" customHeight="1" x14ac:dyDescent="0.3">
      <c r="A18" s="68" t="s">
        <v>252</v>
      </c>
      <c r="B18" s="68" t="s">
        <v>253</v>
      </c>
      <c r="C18" s="68"/>
      <c r="D18" s="68"/>
      <c r="E18" s="68"/>
      <c r="F18" s="67" t="s">
        <v>286</v>
      </c>
      <c r="G18" s="78"/>
      <c r="H18" s="69"/>
      <c r="I18" s="78"/>
      <c r="J18" s="69"/>
      <c r="K18" s="78"/>
      <c r="L18" s="69"/>
      <c r="M18" s="78"/>
      <c r="N18" s="69"/>
      <c r="O18" s="78"/>
      <c r="P18" s="69"/>
      <c r="Q18" s="78"/>
      <c r="R18" s="69"/>
      <c r="S18" s="78" t="s">
        <v>220</v>
      </c>
      <c r="T18" s="69"/>
      <c r="U18" s="78"/>
      <c r="V18" s="69"/>
      <c r="W18" s="80"/>
      <c r="X18" s="69"/>
      <c r="Y18" s="78"/>
      <c r="Z18" s="69"/>
      <c r="AA18" s="78"/>
      <c r="AB18" s="69"/>
    </row>
    <row r="19" spans="1:28" ht="14.4" customHeight="1" x14ac:dyDescent="0.3">
      <c r="A19" s="70" t="s">
        <v>252</v>
      </c>
      <c r="B19" s="70" t="s">
        <v>253</v>
      </c>
      <c r="C19" s="70"/>
      <c r="D19" s="70"/>
      <c r="E19" s="70"/>
      <c r="F19" s="66" t="s">
        <v>290</v>
      </c>
      <c r="G19" s="79"/>
      <c r="H19" s="71"/>
      <c r="I19" s="79"/>
      <c r="J19" s="71"/>
      <c r="K19" s="79"/>
      <c r="L19" s="71"/>
      <c r="M19" s="79"/>
      <c r="N19" s="71"/>
      <c r="O19" s="79"/>
      <c r="P19" s="71"/>
      <c r="Q19" s="79"/>
      <c r="R19" s="71"/>
      <c r="S19" s="79" t="s">
        <v>220</v>
      </c>
      <c r="T19" s="71"/>
      <c r="U19" s="79"/>
      <c r="V19" s="71"/>
      <c r="W19" s="79"/>
      <c r="X19" s="80"/>
      <c r="Y19" s="79"/>
      <c r="Z19" s="71"/>
      <c r="AA19" s="79"/>
      <c r="AB19" s="71"/>
    </row>
    <row r="20" spans="1:28" ht="14.4" customHeight="1" x14ac:dyDescent="0.3">
      <c r="A20" s="68" t="s">
        <v>252</v>
      </c>
      <c r="B20" s="68" t="s">
        <v>253</v>
      </c>
      <c r="C20" s="68"/>
      <c r="D20" s="68"/>
      <c r="E20" s="68"/>
      <c r="F20" s="67" t="s">
        <v>232</v>
      </c>
      <c r="G20" s="78"/>
      <c r="H20" s="69"/>
      <c r="I20" s="78"/>
      <c r="J20" s="69"/>
      <c r="K20" s="78"/>
      <c r="L20" s="69"/>
      <c r="M20" s="78"/>
      <c r="N20" s="69"/>
      <c r="O20" s="78"/>
      <c r="P20" s="69"/>
      <c r="Q20" s="78"/>
      <c r="R20" s="69"/>
      <c r="S20" s="78" t="s">
        <v>220</v>
      </c>
      <c r="T20" s="69"/>
      <c r="U20" s="78"/>
      <c r="V20" s="69"/>
      <c r="W20" s="78"/>
      <c r="X20" s="69"/>
      <c r="Y20" s="80"/>
      <c r="Z20" s="69"/>
      <c r="AA20" s="78"/>
      <c r="AB20" s="69"/>
    </row>
    <row r="21" spans="1:28" ht="14.4" customHeight="1" x14ac:dyDescent="0.3">
      <c r="A21" s="70" t="s">
        <v>74</v>
      </c>
      <c r="B21" s="70" t="s">
        <v>252</v>
      </c>
      <c r="C21" s="70" t="s">
        <v>253</v>
      </c>
      <c r="D21" s="70"/>
      <c r="E21" s="70"/>
      <c r="F21" s="66" t="s">
        <v>292</v>
      </c>
      <c r="G21" s="79"/>
      <c r="H21" s="71"/>
      <c r="I21" s="79"/>
      <c r="J21" s="71"/>
      <c r="K21" s="79"/>
      <c r="L21" s="71"/>
      <c r="M21" s="79"/>
      <c r="N21" s="71"/>
      <c r="O21" s="79"/>
      <c r="P21" s="71"/>
      <c r="Q21" s="79"/>
      <c r="R21" s="71"/>
      <c r="S21" s="79" t="s">
        <v>220</v>
      </c>
      <c r="T21" s="71"/>
      <c r="U21" s="79"/>
      <c r="V21" s="71"/>
      <c r="W21" s="79"/>
      <c r="X21" s="71"/>
      <c r="Y21" s="79"/>
      <c r="Z21" s="80"/>
      <c r="AA21" s="79"/>
      <c r="AB21" s="71"/>
    </row>
    <row r="22" spans="1:28" ht="14.4" customHeight="1" x14ac:dyDescent="0.3">
      <c r="A22" s="68" t="s">
        <v>252</v>
      </c>
      <c r="B22" s="68"/>
      <c r="C22" s="68"/>
      <c r="D22" s="68"/>
      <c r="E22" s="68"/>
      <c r="F22" s="67" t="s">
        <v>45</v>
      </c>
      <c r="G22" s="78"/>
      <c r="H22" s="69"/>
      <c r="I22" s="78"/>
      <c r="J22" s="69"/>
      <c r="K22" s="78"/>
      <c r="L22" s="69"/>
      <c r="M22" s="78"/>
      <c r="N22" s="69"/>
      <c r="O22" s="78"/>
      <c r="P22" s="69"/>
      <c r="Q22" s="78"/>
      <c r="R22" s="69"/>
      <c r="S22" s="78" t="s">
        <v>220</v>
      </c>
      <c r="T22" s="69"/>
      <c r="U22" s="78"/>
      <c r="V22" s="69"/>
      <c r="W22" s="78"/>
      <c r="X22" s="69"/>
      <c r="Y22" s="78"/>
      <c r="Z22" s="69"/>
      <c r="AA22" s="80"/>
      <c r="AB22" s="69"/>
    </row>
    <row r="23" spans="1:28" ht="14.4" customHeight="1" x14ac:dyDescent="0.3">
      <c r="A23" s="70" t="s">
        <v>253</v>
      </c>
      <c r="B23" s="70"/>
      <c r="C23" s="70"/>
      <c r="D23" s="70"/>
      <c r="E23" s="70"/>
      <c r="F23" s="66" t="s">
        <v>45</v>
      </c>
      <c r="G23" s="79"/>
      <c r="H23" s="71"/>
      <c r="I23" s="79"/>
      <c r="J23" s="71"/>
      <c r="K23" s="79"/>
      <c r="L23" s="71"/>
      <c r="M23" s="79"/>
      <c r="N23" s="71"/>
      <c r="O23" s="79"/>
      <c r="P23" s="71"/>
      <c r="Q23" s="79"/>
      <c r="R23" s="71"/>
      <c r="S23" s="79" t="s">
        <v>220</v>
      </c>
      <c r="T23" s="71"/>
      <c r="U23" s="79"/>
      <c r="V23" s="71"/>
      <c r="W23" s="79"/>
      <c r="X23" s="71"/>
      <c r="Y23" s="79"/>
      <c r="Z23" s="71"/>
      <c r="AA23" s="79"/>
      <c r="AB23" s="80"/>
    </row>
    <row r="25" spans="1:28" ht="14.4" customHeight="1" x14ac:dyDescent="0.3">
      <c r="G25" t="s">
        <v>296</v>
      </c>
    </row>
    <row r="26" spans="1:28" ht="14.4" customHeight="1" x14ac:dyDescent="0.3">
      <c r="G26" t="s">
        <v>297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P755"/>
  <sheetViews>
    <sheetView zoomScale="82" zoomScaleNormal="82" workbookViewId="0">
      <selection activeCell="G99" sqref="G99"/>
    </sheetView>
  </sheetViews>
  <sheetFormatPr baseColWidth="10" defaultColWidth="8.88671875" defaultRowHeight="16.2" customHeight="1" x14ac:dyDescent="0.3"/>
  <cols>
    <col min="1" max="1" width="26.6640625" style="15" customWidth="1"/>
    <col min="2" max="2" width="4.44140625" style="17" customWidth="1"/>
    <col min="3" max="3" width="10.44140625" customWidth="1"/>
    <col min="4" max="4" width="10.5546875" customWidth="1"/>
    <col min="5" max="7" width="9.6640625" customWidth="1"/>
    <col min="8" max="8" width="9.6640625" style="31" customWidth="1"/>
    <col min="9" max="12" width="9.6640625" customWidth="1"/>
    <col min="13" max="14" width="16" customWidth="1"/>
    <col min="15" max="15" width="17.109375" customWidth="1"/>
    <col min="20" max="20" width="19.44140625" customWidth="1"/>
    <col min="21" max="21" width="13.109375" customWidth="1"/>
    <col min="22" max="29" width="8.88671875" customWidth="1"/>
    <col min="30" max="30" width="11.88671875" customWidth="1"/>
    <col min="31" max="35" width="8.88671875" customWidth="1"/>
  </cols>
  <sheetData>
    <row r="1" spans="1:29" ht="29.4" customHeight="1" thickBot="1" x14ac:dyDescent="0.35">
      <c r="A1" s="62" t="s">
        <v>298</v>
      </c>
      <c r="B1" s="145" t="s">
        <v>905</v>
      </c>
      <c r="C1" s="1" t="s">
        <v>299</v>
      </c>
      <c r="D1" s="1" t="s">
        <v>300</v>
      </c>
      <c r="E1" s="8" t="s">
        <v>301</v>
      </c>
      <c r="F1" s="2" t="s">
        <v>302</v>
      </c>
      <c r="G1" s="8" t="s">
        <v>303</v>
      </c>
      <c r="H1" s="30" t="s">
        <v>304</v>
      </c>
      <c r="I1" s="8" t="s">
        <v>305</v>
      </c>
      <c r="J1" s="2" t="s">
        <v>306</v>
      </c>
      <c r="K1" s="8" t="s">
        <v>307</v>
      </c>
      <c r="L1" s="2" t="s">
        <v>308</v>
      </c>
      <c r="M1" s="1" t="s">
        <v>309</v>
      </c>
      <c r="N1" s="10" t="s">
        <v>310</v>
      </c>
    </row>
    <row r="2" spans="1:29" ht="16.2" customHeight="1" thickBot="1" x14ac:dyDescent="0.35">
      <c r="A2" s="61" t="s">
        <v>311</v>
      </c>
      <c r="B2" s="17">
        <v>1</v>
      </c>
      <c r="C2" s="1" t="s">
        <v>155</v>
      </c>
      <c r="D2" s="1"/>
      <c r="E2" s="9" t="s">
        <v>26</v>
      </c>
      <c r="F2" s="14">
        <v>1</v>
      </c>
      <c r="G2" s="9"/>
      <c r="H2" s="14"/>
      <c r="I2" s="9"/>
      <c r="J2" s="14"/>
      <c r="K2" s="9"/>
      <c r="L2" s="4"/>
      <c r="M2" s="16"/>
      <c r="N2" s="20"/>
      <c r="P2">
        <f>F2+H2+J2+L2</f>
        <v>1</v>
      </c>
      <c r="R2">
        <f>COUNTIF($C$2:$C$105,Tabla3[[#This Row],[Profesor]])</f>
        <v>1</v>
      </c>
    </row>
    <row r="3" spans="1:29" ht="16.2" customHeight="1" thickBot="1" x14ac:dyDescent="0.35">
      <c r="A3" s="15" t="s">
        <v>312</v>
      </c>
      <c r="B3" s="17">
        <v>2</v>
      </c>
      <c r="C3" s="3" t="s">
        <v>107</v>
      </c>
      <c r="D3" s="3"/>
      <c r="E3" s="9" t="s">
        <v>106</v>
      </c>
      <c r="F3" s="14">
        <v>4</v>
      </c>
      <c r="G3" s="9"/>
      <c r="H3" s="14"/>
      <c r="I3" s="9"/>
      <c r="J3" s="4"/>
      <c r="K3" s="9"/>
      <c r="L3" s="4"/>
      <c r="M3" s="16"/>
      <c r="N3" s="19"/>
      <c r="P3">
        <f t="shared" ref="P3:P63" si="0">F3+H3+J3+L3</f>
        <v>4</v>
      </c>
      <c r="R3">
        <f>COUNTIF($C$2:$C$105,Tabla3[[#This Row],[Profesor]])</f>
        <v>1</v>
      </c>
    </row>
    <row r="4" spans="1:29" ht="16.2" customHeight="1" thickBot="1" x14ac:dyDescent="0.35">
      <c r="A4" s="15" t="s">
        <v>313</v>
      </c>
      <c r="B4" s="17">
        <v>3</v>
      </c>
      <c r="C4" s="3" t="s">
        <v>279</v>
      </c>
      <c r="D4" s="3"/>
      <c r="E4" s="9" t="s">
        <v>278</v>
      </c>
      <c r="F4" s="14">
        <v>1</v>
      </c>
      <c r="G4" s="9"/>
      <c r="H4" s="14"/>
      <c r="I4" s="9"/>
      <c r="J4" s="4"/>
      <c r="K4" s="9"/>
      <c r="L4" s="4"/>
      <c r="M4" s="16"/>
      <c r="N4" s="19"/>
      <c r="P4">
        <f t="shared" si="0"/>
        <v>1</v>
      </c>
      <c r="R4">
        <f>COUNTIF($C$2:$C$105,Tabla3[[#This Row],[Profesor]])</f>
        <v>1</v>
      </c>
      <c r="T4" s="15"/>
      <c r="AC4" s="15"/>
    </row>
    <row r="5" spans="1:29" ht="16.2" customHeight="1" thickBot="1" x14ac:dyDescent="0.35">
      <c r="A5" s="15" t="s">
        <v>314</v>
      </c>
      <c r="B5" s="17">
        <v>4</v>
      </c>
      <c r="C5" s="3" t="s">
        <v>73</v>
      </c>
      <c r="D5" s="3"/>
      <c r="E5" s="9" t="s">
        <v>72</v>
      </c>
      <c r="F5" s="14">
        <v>1</v>
      </c>
      <c r="G5" s="9"/>
      <c r="H5" s="14"/>
      <c r="I5" s="9"/>
      <c r="J5" s="4"/>
      <c r="K5" s="9"/>
      <c r="L5" s="4"/>
      <c r="M5" s="16"/>
      <c r="N5" s="19"/>
      <c r="P5">
        <f t="shared" si="0"/>
        <v>1</v>
      </c>
      <c r="R5">
        <f>COUNTIF($C$2:$C$105,Tabla3[[#This Row],[Profesor]])</f>
        <v>1</v>
      </c>
    </row>
    <row r="6" spans="1:29" ht="16.2" customHeight="1" thickBot="1" x14ac:dyDescent="0.35">
      <c r="A6" s="15" t="s">
        <v>320</v>
      </c>
      <c r="B6" s="17">
        <v>5</v>
      </c>
      <c r="C6" s="3" t="s">
        <v>84</v>
      </c>
      <c r="D6" s="3"/>
      <c r="E6" s="13" t="s">
        <v>81</v>
      </c>
      <c r="F6" s="14">
        <v>1</v>
      </c>
      <c r="G6" s="13" t="s">
        <v>108</v>
      </c>
      <c r="H6" s="14">
        <v>1</v>
      </c>
      <c r="I6" s="13" t="s">
        <v>111</v>
      </c>
      <c r="J6" s="14">
        <v>1</v>
      </c>
      <c r="K6" s="13"/>
      <c r="L6" s="4"/>
      <c r="M6" s="112" t="s">
        <v>321</v>
      </c>
      <c r="N6" s="19"/>
      <c r="P6">
        <f t="shared" si="0"/>
        <v>3</v>
      </c>
      <c r="R6">
        <f>COUNTIF($C$2:$C$105,Tabla3[[#This Row],[Profesor]])</f>
        <v>1</v>
      </c>
    </row>
    <row r="7" spans="1:29" ht="16.2" customHeight="1" thickBot="1" x14ac:dyDescent="0.35">
      <c r="A7" s="15" t="s">
        <v>323</v>
      </c>
      <c r="B7" s="17">
        <v>6</v>
      </c>
      <c r="C7" s="3" t="s">
        <v>151</v>
      </c>
      <c r="D7" s="3"/>
      <c r="E7" s="9" t="s">
        <v>150</v>
      </c>
      <c r="F7" s="14">
        <v>1</v>
      </c>
      <c r="G7" s="9"/>
      <c r="H7" s="14"/>
      <c r="I7" s="9"/>
      <c r="J7" s="4"/>
      <c r="K7" s="9"/>
      <c r="L7" s="4"/>
      <c r="M7" s="16"/>
      <c r="N7" s="19"/>
      <c r="P7">
        <f t="shared" si="0"/>
        <v>1</v>
      </c>
      <c r="R7">
        <f>COUNTIF($C$2:$C$105,Tabla3[[#This Row],[Profesor]])</f>
        <v>1</v>
      </c>
    </row>
    <row r="8" spans="1:29" ht="16.2" customHeight="1" thickBot="1" x14ac:dyDescent="0.35">
      <c r="A8" s="61" t="s">
        <v>324</v>
      </c>
      <c r="B8" s="17">
        <v>7</v>
      </c>
      <c r="C8" s="3" t="s">
        <v>243</v>
      </c>
      <c r="D8" s="3"/>
      <c r="E8" s="9" t="s">
        <v>242</v>
      </c>
      <c r="F8" s="14">
        <v>2</v>
      </c>
      <c r="G8" s="9"/>
      <c r="H8" s="14"/>
      <c r="I8" s="9"/>
      <c r="J8" s="4"/>
      <c r="K8" s="9"/>
      <c r="L8" s="4"/>
      <c r="M8" s="16"/>
      <c r="N8" s="19"/>
      <c r="P8">
        <f t="shared" si="0"/>
        <v>2</v>
      </c>
      <c r="R8">
        <f>COUNTIF($C$2:$C$105,Tabla3[[#This Row],[Profesor]])</f>
        <v>1</v>
      </c>
    </row>
    <row r="9" spans="1:29" ht="16.2" customHeight="1" thickBot="1" x14ac:dyDescent="0.35">
      <c r="A9" s="15" t="s">
        <v>325</v>
      </c>
      <c r="B9" s="17">
        <v>8</v>
      </c>
      <c r="C9" s="3" t="s">
        <v>291</v>
      </c>
      <c r="D9" s="3"/>
      <c r="E9" s="9" t="s">
        <v>290</v>
      </c>
      <c r="F9" s="14">
        <v>1</v>
      </c>
      <c r="G9" s="9"/>
      <c r="H9" s="14"/>
      <c r="I9" s="9"/>
      <c r="J9" s="4"/>
      <c r="K9" s="9"/>
      <c r="L9" s="4"/>
      <c r="M9" s="16"/>
      <c r="N9" s="19"/>
      <c r="P9">
        <f t="shared" si="0"/>
        <v>1</v>
      </c>
      <c r="R9">
        <f>COUNTIF($C$2:$C$105,Tabla3[[#This Row],[Profesor]])</f>
        <v>1</v>
      </c>
    </row>
    <row r="10" spans="1:29" ht="16.2" customHeight="1" thickBot="1" x14ac:dyDescent="0.35">
      <c r="A10" s="15" t="s">
        <v>327</v>
      </c>
      <c r="B10" s="17">
        <v>9</v>
      </c>
      <c r="C10" s="3" t="s">
        <v>98</v>
      </c>
      <c r="D10" s="3"/>
      <c r="E10" s="13" t="s">
        <v>91</v>
      </c>
      <c r="F10" s="14">
        <v>1</v>
      </c>
      <c r="G10" s="13"/>
      <c r="H10" s="14"/>
      <c r="I10" s="13"/>
      <c r="J10" s="14"/>
      <c r="K10" s="13"/>
      <c r="L10" s="4"/>
      <c r="M10" s="16"/>
      <c r="N10" s="19"/>
      <c r="P10">
        <f t="shared" si="0"/>
        <v>1</v>
      </c>
      <c r="R10">
        <f>COUNTIF($C$2:$C$105,Tabla3[[#This Row],[Profesor]])</f>
        <v>1</v>
      </c>
    </row>
    <row r="11" spans="1:29" ht="16.2" customHeight="1" thickBot="1" x14ac:dyDescent="0.35">
      <c r="A11" s="15" t="s">
        <v>329</v>
      </c>
      <c r="B11" s="17">
        <v>10</v>
      </c>
      <c r="C11" s="3" t="s">
        <v>63</v>
      </c>
      <c r="D11" s="3"/>
      <c r="E11" s="9" t="s">
        <v>62</v>
      </c>
      <c r="F11" s="14">
        <v>1</v>
      </c>
      <c r="G11" s="9"/>
      <c r="H11" s="14"/>
      <c r="I11" s="9"/>
      <c r="J11" s="4"/>
      <c r="K11" s="9"/>
      <c r="L11" s="4"/>
      <c r="M11" s="16"/>
      <c r="N11" s="19"/>
      <c r="P11">
        <f t="shared" si="0"/>
        <v>1</v>
      </c>
      <c r="R11">
        <f>COUNTIF($C$2:$C$105,Tabla3[[#This Row],[Profesor]])</f>
        <v>1</v>
      </c>
    </row>
    <row r="12" spans="1:29" ht="16.2" customHeight="1" thickBot="1" x14ac:dyDescent="0.35">
      <c r="A12" s="15" t="s">
        <v>330</v>
      </c>
      <c r="B12" s="17">
        <v>11</v>
      </c>
      <c r="C12" s="3" t="s">
        <v>225</v>
      </c>
      <c r="D12" s="3"/>
      <c r="E12" s="9" t="s">
        <v>223</v>
      </c>
      <c r="F12" s="14">
        <v>1</v>
      </c>
      <c r="G12" s="9"/>
      <c r="H12" s="14"/>
      <c r="I12" s="9"/>
      <c r="J12" s="4"/>
      <c r="K12" s="9"/>
      <c r="L12" s="4"/>
      <c r="M12" s="16"/>
      <c r="N12" s="19"/>
      <c r="P12">
        <f t="shared" si="0"/>
        <v>1</v>
      </c>
      <c r="R12">
        <f>COUNTIF($C$2:$C$105,Tabla3[[#This Row],[Profesor]])</f>
        <v>1</v>
      </c>
    </row>
    <row r="13" spans="1:29" ht="16.2" customHeight="1" thickBot="1" x14ac:dyDescent="0.35">
      <c r="A13" s="15" t="s">
        <v>331</v>
      </c>
      <c r="B13" s="17">
        <v>12</v>
      </c>
      <c r="C13" s="1" t="s">
        <v>167</v>
      </c>
      <c r="D13" s="1"/>
      <c r="E13" s="9" t="s">
        <v>166</v>
      </c>
      <c r="F13" s="14">
        <v>1</v>
      </c>
      <c r="G13" s="9" t="s">
        <v>276</v>
      </c>
      <c r="H13" s="14">
        <v>1</v>
      </c>
      <c r="I13" s="9"/>
      <c r="J13" s="4"/>
      <c r="K13" s="13"/>
      <c r="L13" s="4"/>
      <c r="M13" s="132" t="s">
        <v>332</v>
      </c>
      <c r="N13" s="20"/>
      <c r="P13">
        <f t="shared" si="0"/>
        <v>2</v>
      </c>
      <c r="R13">
        <f>COUNTIF($C$2:$C$105,Tabla3[[#This Row],[Profesor]])</f>
        <v>1</v>
      </c>
    </row>
    <row r="14" spans="1:29" ht="16.2" customHeight="1" thickBot="1" x14ac:dyDescent="0.35">
      <c r="A14" s="15" t="s">
        <v>333</v>
      </c>
      <c r="B14" s="17">
        <v>13</v>
      </c>
      <c r="C14" s="95" t="s">
        <v>182</v>
      </c>
      <c r="D14" s="1"/>
      <c r="E14" s="9" t="s">
        <v>75</v>
      </c>
      <c r="F14" s="14">
        <v>1</v>
      </c>
      <c r="G14" s="9"/>
      <c r="H14" s="14"/>
      <c r="I14" s="9"/>
      <c r="J14" s="4"/>
      <c r="K14" s="9"/>
      <c r="L14" s="4"/>
      <c r="M14" s="16"/>
      <c r="N14" s="20"/>
      <c r="P14">
        <f t="shared" si="0"/>
        <v>1</v>
      </c>
      <c r="R14">
        <f>COUNTIF($C$2:$C$105,Tabla3[[#This Row],[Profesor]])</f>
        <v>1</v>
      </c>
      <c r="T14" s="15"/>
      <c r="AC14" s="15"/>
    </row>
    <row r="15" spans="1:29" ht="16.2" customHeight="1" thickBot="1" x14ac:dyDescent="0.35">
      <c r="A15" s="15" t="s">
        <v>335</v>
      </c>
      <c r="B15" s="17">
        <v>14</v>
      </c>
      <c r="C15" s="1" t="s">
        <v>105</v>
      </c>
      <c r="D15" s="1"/>
      <c r="E15" s="13" t="s">
        <v>104</v>
      </c>
      <c r="F15" s="14">
        <v>4</v>
      </c>
      <c r="G15" s="13"/>
      <c r="H15" s="14"/>
      <c r="I15" s="13"/>
      <c r="J15" s="14"/>
      <c r="K15" s="13"/>
      <c r="L15" s="4"/>
      <c r="M15" s="16"/>
      <c r="N15" s="20"/>
      <c r="P15">
        <f t="shared" si="0"/>
        <v>4</v>
      </c>
      <c r="R15">
        <f>COUNTIF($C$2:$C$105,Tabla3[[#This Row],[Profesor]])</f>
        <v>1</v>
      </c>
    </row>
    <row r="16" spans="1:29" ht="16.2" customHeight="1" thickBot="1" x14ac:dyDescent="0.35">
      <c r="A16" s="15" t="s">
        <v>336</v>
      </c>
      <c r="B16" s="17">
        <v>15</v>
      </c>
      <c r="C16" s="1" t="s">
        <v>230</v>
      </c>
      <c r="D16" s="1"/>
      <c r="E16" s="9" t="s">
        <v>228</v>
      </c>
      <c r="F16" s="14">
        <v>1</v>
      </c>
      <c r="G16" s="9" t="s">
        <v>292</v>
      </c>
      <c r="H16" s="14">
        <v>1</v>
      </c>
      <c r="I16" s="9"/>
      <c r="J16" s="4"/>
      <c r="K16" s="9"/>
      <c r="L16" s="4"/>
      <c r="M16" s="16"/>
      <c r="N16" s="20"/>
      <c r="P16">
        <f t="shared" si="0"/>
        <v>2</v>
      </c>
      <c r="R16">
        <f>COUNTIF($C$2:$C$105,Tabla3[[#This Row],[Profesor]])</f>
        <v>1</v>
      </c>
    </row>
    <row r="17" spans="1:29" ht="16.2" customHeight="1" thickBot="1" x14ac:dyDescent="0.35">
      <c r="A17" s="15" t="s">
        <v>337</v>
      </c>
      <c r="B17" s="17">
        <v>16</v>
      </c>
      <c r="C17" s="1" t="s">
        <v>21</v>
      </c>
      <c r="D17" s="1"/>
      <c r="E17" s="9" t="s">
        <v>19</v>
      </c>
      <c r="F17" s="14">
        <v>1</v>
      </c>
      <c r="G17" s="9" t="s">
        <v>43</v>
      </c>
      <c r="H17" s="14">
        <v>1</v>
      </c>
      <c r="I17" s="9"/>
      <c r="J17" s="4"/>
      <c r="K17" s="9"/>
      <c r="L17" s="4"/>
      <c r="M17" s="132" t="s">
        <v>924</v>
      </c>
      <c r="N17" s="20"/>
      <c r="P17">
        <f t="shared" si="0"/>
        <v>2</v>
      </c>
      <c r="R17">
        <f>COUNTIF($C$2:$C$105,Tabla3[[#This Row],[Profesor]])</f>
        <v>1</v>
      </c>
    </row>
    <row r="18" spans="1:29" ht="16.2" customHeight="1" thickBot="1" x14ac:dyDescent="0.35">
      <c r="A18" s="15" t="s">
        <v>338</v>
      </c>
      <c r="B18" s="17">
        <v>17</v>
      </c>
      <c r="C18" s="1" t="s">
        <v>157</v>
      </c>
      <c r="D18" s="1"/>
      <c r="E18" s="9" t="s">
        <v>156</v>
      </c>
      <c r="F18" s="14">
        <v>1</v>
      </c>
      <c r="G18" s="9"/>
      <c r="H18" s="14"/>
      <c r="I18" s="9"/>
      <c r="J18" s="4"/>
      <c r="K18" s="9"/>
      <c r="L18" s="4"/>
      <c r="M18" s="16"/>
      <c r="N18" s="20"/>
      <c r="P18">
        <f t="shared" si="0"/>
        <v>1</v>
      </c>
      <c r="R18">
        <f>COUNTIF($C$2:$C$105,Tabla3[[#This Row],[Profesor]])</f>
        <v>1</v>
      </c>
    </row>
    <row r="19" spans="1:29" ht="16.2" customHeight="1" thickBot="1" x14ac:dyDescent="0.35">
      <c r="A19" s="15" t="s">
        <v>339</v>
      </c>
      <c r="B19" s="17">
        <v>18</v>
      </c>
      <c r="C19" s="1" t="s">
        <v>133</v>
      </c>
      <c r="D19" s="1"/>
      <c r="E19" s="9" t="s">
        <v>132</v>
      </c>
      <c r="F19" s="14">
        <v>2</v>
      </c>
      <c r="G19" s="9"/>
      <c r="H19" s="14"/>
      <c r="I19" s="9"/>
      <c r="J19" s="4"/>
      <c r="K19" s="9"/>
      <c r="L19" s="4"/>
      <c r="M19" s="16"/>
      <c r="N19" s="20"/>
      <c r="P19">
        <f t="shared" si="0"/>
        <v>2</v>
      </c>
      <c r="R19">
        <f>COUNTIF($C$2:$C$105,Tabla3[[#This Row],[Profesor]])</f>
        <v>1</v>
      </c>
    </row>
    <row r="20" spans="1:29" ht="16.2" customHeight="1" thickBot="1" x14ac:dyDescent="0.35">
      <c r="A20" s="15" t="s">
        <v>340</v>
      </c>
      <c r="B20" s="17">
        <v>19</v>
      </c>
      <c r="C20" s="1" t="s">
        <v>65</v>
      </c>
      <c r="D20" s="1"/>
      <c r="E20" s="13" t="s">
        <v>37</v>
      </c>
      <c r="F20" s="14">
        <v>1</v>
      </c>
      <c r="G20" s="13" t="s">
        <v>231</v>
      </c>
      <c r="H20" s="14">
        <v>1</v>
      </c>
      <c r="I20" s="13"/>
      <c r="J20" s="14"/>
      <c r="K20" s="13"/>
      <c r="L20" s="4"/>
      <c r="M20" s="16"/>
      <c r="N20" s="20"/>
      <c r="P20">
        <f t="shared" si="0"/>
        <v>2</v>
      </c>
      <c r="R20">
        <f>COUNTIF($C$2:$C$105,Tabla3[[#This Row],[Profesor]])</f>
        <v>1</v>
      </c>
    </row>
    <row r="21" spans="1:29" ht="16.2" customHeight="1" thickBot="1" x14ac:dyDescent="0.35">
      <c r="A21" s="15" t="s">
        <v>341</v>
      </c>
      <c r="B21" s="17">
        <v>20</v>
      </c>
      <c r="C21" s="1" t="s">
        <v>236</v>
      </c>
      <c r="D21" s="1"/>
      <c r="E21" s="9" t="s">
        <v>235</v>
      </c>
      <c r="F21" s="14">
        <v>2</v>
      </c>
      <c r="G21" s="9" t="s">
        <v>265</v>
      </c>
      <c r="H21" s="14">
        <v>1</v>
      </c>
      <c r="I21" s="9"/>
      <c r="J21" s="4"/>
      <c r="K21" s="9"/>
      <c r="L21" s="4"/>
      <c r="M21" s="16"/>
      <c r="N21" s="20"/>
      <c r="P21">
        <f t="shared" si="0"/>
        <v>3</v>
      </c>
      <c r="R21">
        <f>COUNTIF($C$2:$C$105,Tabla3[[#This Row],[Profesor]])</f>
        <v>1</v>
      </c>
    </row>
    <row r="22" spans="1:29" ht="16.2" customHeight="1" thickBot="1" x14ac:dyDescent="0.35">
      <c r="A22" s="15" t="s">
        <v>342</v>
      </c>
      <c r="B22" s="17">
        <v>21</v>
      </c>
      <c r="C22" s="1" t="s">
        <v>275</v>
      </c>
      <c r="D22" s="1"/>
      <c r="E22" s="9" t="s">
        <v>274</v>
      </c>
      <c r="F22" s="14">
        <v>1</v>
      </c>
      <c r="G22" s="9"/>
      <c r="H22" s="14"/>
      <c r="I22" s="9"/>
      <c r="J22" s="4"/>
      <c r="K22" s="9"/>
      <c r="L22" s="4"/>
      <c r="M22" s="16"/>
      <c r="N22" s="20"/>
      <c r="P22">
        <f t="shared" si="0"/>
        <v>1</v>
      </c>
      <c r="R22">
        <f>COUNTIF($C$2:$C$105,Tabla3[[#This Row],[Profesor]])</f>
        <v>1</v>
      </c>
      <c r="T22" s="15"/>
      <c r="AC22" s="15"/>
    </row>
    <row r="23" spans="1:29" ht="16.2" customHeight="1" thickBot="1" x14ac:dyDescent="0.35">
      <c r="A23" s="15" t="s">
        <v>343</v>
      </c>
      <c r="B23" s="17">
        <v>22</v>
      </c>
      <c r="C23" s="1" t="s">
        <v>158</v>
      </c>
      <c r="D23" s="1"/>
      <c r="E23" s="9" t="s">
        <v>156</v>
      </c>
      <c r="F23" s="14">
        <v>1</v>
      </c>
      <c r="G23" s="9" t="s">
        <v>269</v>
      </c>
      <c r="H23" s="14">
        <v>1</v>
      </c>
      <c r="I23" s="9"/>
      <c r="J23" s="4"/>
      <c r="K23" s="9"/>
      <c r="L23" s="4"/>
      <c r="M23" s="132" t="s">
        <v>344</v>
      </c>
      <c r="N23" s="20"/>
      <c r="P23">
        <f t="shared" si="0"/>
        <v>2</v>
      </c>
      <c r="R23">
        <f>COUNTIF($C$2:$C$105,Tabla3[[#This Row],[Profesor]])</f>
        <v>1</v>
      </c>
    </row>
    <row r="24" spans="1:29" ht="16.2" customHeight="1" thickBot="1" x14ac:dyDescent="0.35">
      <c r="A24" s="15" t="s">
        <v>345</v>
      </c>
      <c r="B24" s="17">
        <v>23</v>
      </c>
      <c r="C24" s="1" t="s">
        <v>53</v>
      </c>
      <c r="D24" s="1"/>
      <c r="E24" s="13" t="s">
        <v>52</v>
      </c>
      <c r="F24" s="14">
        <v>1</v>
      </c>
      <c r="G24" s="13" t="s">
        <v>137</v>
      </c>
      <c r="H24" s="14">
        <v>1</v>
      </c>
      <c r="I24" s="13" t="s">
        <v>268</v>
      </c>
      <c r="J24" s="14">
        <v>1</v>
      </c>
      <c r="K24" s="13"/>
      <c r="L24" s="4"/>
      <c r="M24" s="16"/>
      <c r="N24" s="20"/>
      <c r="P24">
        <f t="shared" si="0"/>
        <v>3</v>
      </c>
      <c r="R24">
        <f>COUNTIF($C$2:$C$105,Tabla3[[#This Row],[Profesor]])</f>
        <v>1</v>
      </c>
    </row>
    <row r="25" spans="1:29" ht="16.2" customHeight="1" thickBot="1" x14ac:dyDescent="0.35">
      <c r="A25" s="15" t="s">
        <v>346</v>
      </c>
      <c r="B25" s="17">
        <v>24</v>
      </c>
      <c r="C25" s="1" t="s">
        <v>227</v>
      </c>
      <c r="D25" s="1"/>
      <c r="E25" s="9" t="s">
        <v>226</v>
      </c>
      <c r="F25" s="14">
        <v>1</v>
      </c>
      <c r="G25" s="9"/>
      <c r="H25" s="14"/>
      <c r="I25" s="9"/>
      <c r="J25" s="4"/>
      <c r="K25" s="9"/>
      <c r="L25" s="4"/>
      <c r="M25" s="16"/>
      <c r="N25" s="20"/>
      <c r="P25">
        <f t="shared" si="0"/>
        <v>1</v>
      </c>
      <c r="R25">
        <f>COUNTIF($C$2:$C$105,Tabla3[[#This Row],[Profesor]])</f>
        <v>1</v>
      </c>
    </row>
    <row r="26" spans="1:29" ht="16.2" customHeight="1" thickBot="1" x14ac:dyDescent="0.35">
      <c r="A26" s="15" t="s">
        <v>347</v>
      </c>
      <c r="B26" s="17">
        <v>25</v>
      </c>
      <c r="C26" s="1" t="s">
        <v>17</v>
      </c>
      <c r="D26" s="1"/>
      <c r="E26" s="13" t="s">
        <v>16</v>
      </c>
      <c r="F26" s="14">
        <v>1</v>
      </c>
      <c r="G26" s="13" t="s">
        <v>91</v>
      </c>
      <c r="H26" s="14">
        <v>1</v>
      </c>
      <c r="I26" s="13"/>
      <c r="J26" s="4"/>
      <c r="K26" s="13"/>
      <c r="L26" s="4"/>
      <c r="M26" s="111" t="s">
        <v>321</v>
      </c>
      <c r="N26" s="20"/>
      <c r="P26">
        <f t="shared" si="0"/>
        <v>2</v>
      </c>
      <c r="R26">
        <f>COUNTIF($C$2:$C$105,Tabla3[[#This Row],[Profesor]])</f>
        <v>1</v>
      </c>
    </row>
    <row r="27" spans="1:29" ht="16.2" customHeight="1" thickBot="1" x14ac:dyDescent="0.35">
      <c r="A27" s="15" t="s">
        <v>348</v>
      </c>
      <c r="B27" s="17">
        <v>26</v>
      </c>
      <c r="C27" s="1" t="s">
        <v>273</v>
      </c>
      <c r="D27" s="1"/>
      <c r="E27" s="9" t="s">
        <v>272</v>
      </c>
      <c r="F27" s="14">
        <v>1</v>
      </c>
      <c r="G27" s="9" t="s">
        <v>280</v>
      </c>
      <c r="H27" s="14">
        <v>1</v>
      </c>
      <c r="I27" s="9"/>
      <c r="J27" s="4"/>
      <c r="K27" s="13"/>
      <c r="L27" s="4"/>
      <c r="M27" s="16"/>
      <c r="N27" s="20"/>
      <c r="P27">
        <f t="shared" si="0"/>
        <v>2</v>
      </c>
      <c r="R27">
        <f>COUNTIF($C$2:$C$105,Tabla3[[#This Row],[Profesor]])</f>
        <v>1</v>
      </c>
    </row>
    <row r="28" spans="1:29" ht="16.2" customHeight="1" thickBot="1" x14ac:dyDescent="0.35">
      <c r="A28" s="61" t="s">
        <v>349</v>
      </c>
      <c r="B28" s="17">
        <v>27</v>
      </c>
      <c r="C28" s="1" t="s">
        <v>174</v>
      </c>
      <c r="D28" s="1"/>
      <c r="E28" s="9" t="s">
        <v>173</v>
      </c>
      <c r="F28" s="14">
        <v>1</v>
      </c>
      <c r="G28" s="9"/>
      <c r="H28" s="14"/>
      <c r="I28" s="9"/>
      <c r="J28" s="4"/>
      <c r="K28" s="9"/>
      <c r="L28" s="4"/>
      <c r="M28" s="16"/>
      <c r="N28" s="20"/>
      <c r="P28">
        <f t="shared" si="0"/>
        <v>1</v>
      </c>
      <c r="R28">
        <f>COUNTIF($C$2:$C$105,Tabla3[[#This Row],[Profesor]])</f>
        <v>1</v>
      </c>
    </row>
    <row r="29" spans="1:29" ht="16.2" customHeight="1" thickBot="1" x14ac:dyDescent="0.35">
      <c r="A29" s="15" t="s">
        <v>351</v>
      </c>
      <c r="B29" s="17">
        <v>28</v>
      </c>
      <c r="C29" s="1" t="s">
        <v>207</v>
      </c>
      <c r="D29" s="1"/>
      <c r="E29" s="9" t="s">
        <v>206</v>
      </c>
      <c r="F29" s="14">
        <v>2</v>
      </c>
      <c r="G29" s="9"/>
      <c r="H29" s="14"/>
      <c r="I29" s="9"/>
      <c r="J29" s="4"/>
      <c r="K29" s="9"/>
      <c r="L29" s="4"/>
      <c r="M29" s="16"/>
      <c r="N29" s="20"/>
      <c r="P29">
        <f t="shared" si="0"/>
        <v>2</v>
      </c>
      <c r="R29">
        <f>COUNTIF($C$2:$C$105,Tabla3[[#This Row],[Profesor]])</f>
        <v>1</v>
      </c>
    </row>
    <row r="30" spans="1:29" ht="16.2" customHeight="1" thickBot="1" x14ac:dyDescent="0.35">
      <c r="A30" s="15" t="s">
        <v>352</v>
      </c>
      <c r="B30" s="17">
        <v>29</v>
      </c>
      <c r="C30" s="1" t="s">
        <v>139</v>
      </c>
      <c r="D30" s="1"/>
      <c r="E30" s="9" t="s">
        <v>138</v>
      </c>
      <c r="F30" s="14">
        <v>1</v>
      </c>
      <c r="G30" s="9"/>
      <c r="H30" s="14"/>
      <c r="I30" s="9"/>
      <c r="J30" s="4"/>
      <c r="K30" s="9"/>
      <c r="L30" s="4"/>
      <c r="M30" s="16"/>
      <c r="N30" s="20"/>
      <c r="P30">
        <f t="shared" si="0"/>
        <v>1</v>
      </c>
      <c r="R30">
        <f>COUNTIF($C$2:$C$105,Tabla3[[#This Row],[Profesor]])</f>
        <v>1</v>
      </c>
    </row>
    <row r="31" spans="1:29" ht="16.2" customHeight="1" thickBot="1" x14ac:dyDescent="0.35">
      <c r="A31" s="15" t="s">
        <v>353</v>
      </c>
      <c r="B31" s="17">
        <v>30</v>
      </c>
      <c r="C31" s="1" t="s">
        <v>221</v>
      </c>
      <c r="D31" s="1"/>
      <c r="E31" s="9" t="s">
        <v>219</v>
      </c>
      <c r="F31" s="14">
        <v>2</v>
      </c>
      <c r="G31" s="9"/>
      <c r="H31" s="14"/>
      <c r="I31" s="9"/>
      <c r="J31" s="4"/>
      <c r="K31" s="9"/>
      <c r="L31" s="4"/>
      <c r="M31" s="16"/>
      <c r="N31" s="20"/>
      <c r="P31">
        <f t="shared" si="0"/>
        <v>2</v>
      </c>
      <c r="R31">
        <f>COUNTIF($C$2:$C$105,Tabla3[[#This Row],[Profesor]])</f>
        <v>1</v>
      </c>
    </row>
    <row r="32" spans="1:29" ht="16.2" customHeight="1" thickBot="1" x14ac:dyDescent="0.35">
      <c r="A32" s="15" t="s">
        <v>354</v>
      </c>
      <c r="B32" s="17">
        <v>31</v>
      </c>
      <c r="C32" s="1" t="s">
        <v>282</v>
      </c>
      <c r="D32" s="1"/>
      <c r="E32" s="9" t="s">
        <v>281</v>
      </c>
      <c r="F32" s="14">
        <v>1</v>
      </c>
      <c r="G32" s="9"/>
      <c r="H32" s="14"/>
      <c r="I32" s="9"/>
      <c r="J32" s="4"/>
      <c r="K32" s="9"/>
      <c r="L32" s="4"/>
      <c r="M32" s="16"/>
      <c r="N32" s="20"/>
      <c r="P32">
        <f t="shared" si="0"/>
        <v>1</v>
      </c>
      <c r="R32">
        <f>COUNTIF($C$2:$C$105,Tabla3[[#This Row],[Profesor]])</f>
        <v>1</v>
      </c>
    </row>
    <row r="33" spans="1:18" ht="16.2" customHeight="1" thickBot="1" x14ac:dyDescent="0.35">
      <c r="A33" s="15" t="s">
        <v>355</v>
      </c>
      <c r="B33" s="17">
        <v>32</v>
      </c>
      <c r="C33" s="1" t="s">
        <v>154</v>
      </c>
      <c r="D33" s="1"/>
      <c r="E33" s="9" t="s">
        <v>50</v>
      </c>
      <c r="F33" s="14">
        <v>1</v>
      </c>
      <c r="G33" s="9"/>
      <c r="H33" s="14"/>
      <c r="I33" s="9"/>
      <c r="J33" s="4"/>
      <c r="K33" s="9"/>
      <c r="L33" s="4"/>
      <c r="M33" s="16"/>
      <c r="N33" s="20"/>
      <c r="P33">
        <f t="shared" si="0"/>
        <v>1</v>
      </c>
      <c r="R33">
        <f>COUNTIF($C$2:$C$105,Tabla3[[#This Row],[Profesor]])</f>
        <v>1</v>
      </c>
    </row>
    <row r="34" spans="1:18" ht="16.2" customHeight="1" thickBot="1" x14ac:dyDescent="0.35">
      <c r="A34" s="15" t="s">
        <v>356</v>
      </c>
      <c r="B34" s="17">
        <v>33</v>
      </c>
      <c r="C34" s="1" t="s">
        <v>128</v>
      </c>
      <c r="D34" s="1"/>
      <c r="E34" s="13" t="s">
        <v>127</v>
      </c>
      <c r="F34" s="14">
        <v>1</v>
      </c>
      <c r="G34" s="13" t="s">
        <v>177</v>
      </c>
      <c r="H34" s="14">
        <v>1</v>
      </c>
      <c r="I34" s="13"/>
      <c r="J34" s="14"/>
      <c r="K34" s="13"/>
      <c r="L34" s="4"/>
      <c r="M34" s="16"/>
      <c r="N34" s="110" t="s">
        <v>357</v>
      </c>
      <c r="P34">
        <f t="shared" si="0"/>
        <v>2</v>
      </c>
      <c r="R34">
        <f>COUNTIF($C$2:$C$105,Tabla3[[#This Row],[Profesor]])</f>
        <v>1</v>
      </c>
    </row>
    <row r="35" spans="1:18" ht="16.2" customHeight="1" thickBot="1" x14ac:dyDescent="0.35">
      <c r="A35" s="15" t="s">
        <v>358</v>
      </c>
      <c r="B35" s="17">
        <v>34</v>
      </c>
      <c r="C35" s="1" t="s">
        <v>190</v>
      </c>
      <c r="D35" s="1"/>
      <c r="E35" s="9" t="s">
        <v>188</v>
      </c>
      <c r="F35" s="14">
        <v>1</v>
      </c>
      <c r="G35" s="9" t="s">
        <v>232</v>
      </c>
      <c r="H35" s="14">
        <v>2</v>
      </c>
      <c r="I35" s="9"/>
      <c r="J35" s="4"/>
      <c r="K35" s="9"/>
      <c r="L35" s="4"/>
      <c r="M35" s="16"/>
      <c r="N35" s="20"/>
      <c r="P35">
        <f t="shared" si="0"/>
        <v>3</v>
      </c>
      <c r="R35">
        <f>COUNTIF($C$2:$C$105,Tabla3[[#This Row],[Profesor]])</f>
        <v>1</v>
      </c>
    </row>
    <row r="36" spans="1:18" ht="16.2" customHeight="1" thickBot="1" x14ac:dyDescent="0.35">
      <c r="A36" s="15" t="s">
        <v>334</v>
      </c>
      <c r="B36" s="17">
        <v>35</v>
      </c>
      <c r="C36" s="1" t="s">
        <v>82</v>
      </c>
      <c r="D36" s="1"/>
      <c r="E36" s="13" t="s">
        <v>81</v>
      </c>
      <c r="F36" s="14">
        <v>1</v>
      </c>
      <c r="G36" s="13" t="s">
        <v>108</v>
      </c>
      <c r="H36" s="14">
        <v>1</v>
      </c>
      <c r="I36" s="13" t="s">
        <v>111</v>
      </c>
      <c r="J36" s="14">
        <v>1</v>
      </c>
      <c r="K36" s="13"/>
      <c r="L36" s="4"/>
      <c r="M36" s="16"/>
      <c r="N36" s="20"/>
      <c r="P36">
        <f t="shared" si="0"/>
        <v>3</v>
      </c>
      <c r="R36">
        <f>COUNTIF($C$2:$C$105,Tabla3[[#This Row],[Profesor]])</f>
        <v>1</v>
      </c>
    </row>
    <row r="37" spans="1:18" ht="16.2" customHeight="1" thickBot="1" x14ac:dyDescent="0.35">
      <c r="A37" s="61" t="s">
        <v>359</v>
      </c>
      <c r="B37" s="17">
        <v>36</v>
      </c>
      <c r="C37" s="1" t="s">
        <v>247</v>
      </c>
      <c r="D37" s="1"/>
      <c r="E37" s="9" t="s">
        <v>246</v>
      </c>
      <c r="F37" s="14">
        <v>1</v>
      </c>
      <c r="G37" s="9"/>
      <c r="H37" s="14"/>
      <c r="I37" s="9"/>
      <c r="J37" s="4"/>
      <c r="K37" s="9"/>
      <c r="L37" s="4"/>
      <c r="M37" s="16"/>
      <c r="N37" s="20"/>
      <c r="P37">
        <f t="shared" si="0"/>
        <v>1</v>
      </c>
      <c r="R37">
        <f>COUNTIF($C$2:$C$105,Tabla3[[#This Row],[Profesor]])</f>
        <v>1</v>
      </c>
    </row>
    <row r="38" spans="1:18" ht="16.2" customHeight="1" thickBot="1" x14ac:dyDescent="0.35">
      <c r="A38" s="15" t="s">
        <v>360</v>
      </c>
      <c r="B38" s="17">
        <v>37</v>
      </c>
      <c r="C38" s="1" t="s">
        <v>165</v>
      </c>
      <c r="D38" s="1"/>
      <c r="E38" s="9" t="s">
        <v>164</v>
      </c>
      <c r="F38" s="14">
        <v>1</v>
      </c>
      <c r="G38" s="9"/>
      <c r="H38" s="14"/>
      <c r="I38" s="9"/>
      <c r="J38" s="4"/>
      <c r="K38" s="9"/>
      <c r="L38" s="4"/>
      <c r="M38" s="16"/>
      <c r="N38" s="20"/>
      <c r="P38">
        <f t="shared" si="0"/>
        <v>1</v>
      </c>
      <c r="R38">
        <f>COUNTIF($C$2:$C$105,Tabla3[[#This Row],[Profesor]])</f>
        <v>1</v>
      </c>
    </row>
    <row r="39" spans="1:18" ht="16.2" customHeight="1" thickBot="1" x14ac:dyDescent="0.35">
      <c r="A39" s="15" t="s">
        <v>361</v>
      </c>
      <c r="B39" s="17">
        <v>38</v>
      </c>
      <c r="C39" s="1" t="s">
        <v>229</v>
      </c>
      <c r="D39" s="1"/>
      <c r="E39" s="9" t="s">
        <v>228</v>
      </c>
      <c r="F39" s="14">
        <v>1</v>
      </c>
      <c r="G39" s="9"/>
      <c r="H39" s="14"/>
      <c r="I39" s="9"/>
      <c r="J39" s="4"/>
      <c r="K39" s="9"/>
      <c r="L39" s="4"/>
      <c r="M39" s="16"/>
      <c r="N39" s="20"/>
      <c r="P39">
        <f t="shared" si="0"/>
        <v>1</v>
      </c>
      <c r="R39">
        <f>COUNTIF($C$2:$C$105,Tabla3[[#This Row],[Profesor]])</f>
        <v>1</v>
      </c>
    </row>
    <row r="40" spans="1:18" ht="16.2" customHeight="1" thickBot="1" x14ac:dyDescent="0.35">
      <c r="A40" s="15" t="s">
        <v>362</v>
      </c>
      <c r="B40" s="17">
        <v>39</v>
      </c>
      <c r="C40" s="1" t="s">
        <v>285</v>
      </c>
      <c r="D40" s="1"/>
      <c r="E40" s="9" t="s">
        <v>284</v>
      </c>
      <c r="F40" s="14">
        <v>1</v>
      </c>
      <c r="G40" s="9"/>
      <c r="H40" s="14"/>
      <c r="I40" s="9"/>
      <c r="J40" s="4"/>
      <c r="K40" s="9"/>
      <c r="L40" s="4"/>
      <c r="M40" s="16"/>
      <c r="N40" s="20"/>
      <c r="P40">
        <f t="shared" si="0"/>
        <v>1</v>
      </c>
      <c r="R40">
        <f>COUNTIF($C$2:$C$105,Tabla3[[#This Row],[Profesor]])</f>
        <v>1</v>
      </c>
    </row>
    <row r="41" spans="1:18" ht="16.2" customHeight="1" thickBot="1" x14ac:dyDescent="0.35">
      <c r="A41" s="15" t="s">
        <v>363</v>
      </c>
      <c r="B41" s="17">
        <v>40</v>
      </c>
      <c r="C41" s="1" t="s">
        <v>255</v>
      </c>
      <c r="D41" s="1"/>
      <c r="E41" s="9" t="s">
        <v>254</v>
      </c>
      <c r="F41" s="14">
        <v>1</v>
      </c>
      <c r="G41" s="9"/>
      <c r="H41" s="14"/>
      <c r="I41" s="9"/>
      <c r="J41" s="4"/>
      <c r="K41" s="9"/>
      <c r="L41" s="4"/>
      <c r="M41" s="16"/>
      <c r="N41" s="20"/>
      <c r="P41">
        <f t="shared" si="0"/>
        <v>1</v>
      </c>
      <c r="R41">
        <f>COUNTIF($C$2:$C$105,Tabla3[[#This Row],[Profesor]])</f>
        <v>1</v>
      </c>
    </row>
    <row r="42" spans="1:18" ht="16.2" customHeight="1" thickBot="1" x14ac:dyDescent="0.35">
      <c r="A42" s="15" t="s">
        <v>364</v>
      </c>
      <c r="B42" s="17">
        <v>41</v>
      </c>
      <c r="C42" s="1" t="s">
        <v>184</v>
      </c>
      <c r="D42" s="1"/>
      <c r="E42" s="9" t="s">
        <v>183</v>
      </c>
      <c r="F42" s="14">
        <v>1</v>
      </c>
      <c r="G42" s="9"/>
      <c r="H42" s="14"/>
      <c r="I42" s="9"/>
      <c r="J42" s="4"/>
      <c r="K42" s="9"/>
      <c r="L42" s="4"/>
      <c r="M42" s="16"/>
      <c r="N42" s="20"/>
      <c r="P42">
        <f t="shared" si="0"/>
        <v>1</v>
      </c>
      <c r="R42">
        <f>COUNTIF($C$2:$C$105,Tabla3[[#This Row],[Profesor]])</f>
        <v>1</v>
      </c>
    </row>
    <row r="43" spans="1:18" ht="16.2" customHeight="1" thickBot="1" x14ac:dyDescent="0.35">
      <c r="A43" s="15" t="s">
        <v>365</v>
      </c>
      <c r="B43" s="17">
        <v>42</v>
      </c>
      <c r="C43" s="1" t="s">
        <v>47</v>
      </c>
      <c r="D43" s="1"/>
      <c r="E43" s="13" t="s">
        <v>46</v>
      </c>
      <c r="F43" s="14">
        <v>1</v>
      </c>
      <c r="G43" s="13" t="s">
        <v>191</v>
      </c>
      <c r="H43" s="14">
        <v>1</v>
      </c>
      <c r="I43" s="13"/>
      <c r="J43" s="14"/>
      <c r="K43" s="13"/>
      <c r="L43" s="4"/>
      <c r="M43" s="16"/>
      <c r="N43" s="20"/>
      <c r="O43" t="s">
        <v>366</v>
      </c>
      <c r="P43">
        <f t="shared" si="0"/>
        <v>2</v>
      </c>
      <c r="R43">
        <f>COUNTIF($C$2:$C$105,Tabla3[[#This Row],[Profesor]])</f>
        <v>1</v>
      </c>
    </row>
    <row r="44" spans="1:18" ht="16.2" customHeight="1" thickBot="1" x14ac:dyDescent="0.35">
      <c r="A44" s="15" t="s">
        <v>367</v>
      </c>
      <c r="B44" s="17">
        <v>43</v>
      </c>
      <c r="C44" s="1" t="s">
        <v>140</v>
      </c>
      <c r="D44" s="1"/>
      <c r="E44" s="9" t="s">
        <v>126</v>
      </c>
      <c r="F44" s="102">
        <v>5</v>
      </c>
      <c r="G44" s="9"/>
      <c r="H44" s="14"/>
      <c r="I44" s="9"/>
      <c r="J44" s="4"/>
      <c r="K44" s="9"/>
      <c r="L44" s="4"/>
      <c r="M44" s="112" t="s">
        <v>368</v>
      </c>
      <c r="N44" s="72" t="s">
        <v>369</v>
      </c>
      <c r="P44">
        <f t="shared" si="0"/>
        <v>5</v>
      </c>
      <c r="R44">
        <f>COUNTIF($C$2:$C$105,Tabla3[[#This Row],[Profesor]])</f>
        <v>1</v>
      </c>
    </row>
    <row r="45" spans="1:18" ht="16.2" customHeight="1" thickBot="1" x14ac:dyDescent="0.35">
      <c r="A45" s="15" t="s">
        <v>370</v>
      </c>
      <c r="B45" s="17">
        <v>44</v>
      </c>
      <c r="C45" s="1" t="s">
        <v>185</v>
      </c>
      <c r="D45" s="1"/>
      <c r="E45" s="9" t="s">
        <v>183</v>
      </c>
      <c r="F45" s="14">
        <v>1</v>
      </c>
      <c r="G45" s="9"/>
      <c r="H45" s="14"/>
      <c r="I45" s="9"/>
      <c r="J45" s="4"/>
      <c r="K45" s="9"/>
      <c r="L45" s="4"/>
      <c r="M45" s="16"/>
      <c r="N45" s="110" t="s">
        <v>371</v>
      </c>
      <c r="P45">
        <f t="shared" si="0"/>
        <v>1</v>
      </c>
      <c r="R45">
        <f>COUNTIF($C$2:$C$105,Tabla3[[#This Row],[Profesor]])</f>
        <v>1</v>
      </c>
    </row>
    <row r="46" spans="1:18" ht="16.2" customHeight="1" thickBot="1" x14ac:dyDescent="0.35">
      <c r="A46" s="15" t="s">
        <v>372</v>
      </c>
      <c r="B46" s="17">
        <v>45</v>
      </c>
      <c r="C46" s="1" t="s">
        <v>260</v>
      </c>
      <c r="D46" s="1"/>
      <c r="E46" s="9" t="s">
        <v>258</v>
      </c>
      <c r="F46" s="14">
        <v>1</v>
      </c>
      <c r="G46" s="9"/>
      <c r="H46" s="14"/>
      <c r="I46" s="9"/>
      <c r="J46" s="4"/>
      <c r="K46" s="9"/>
      <c r="L46" s="4"/>
      <c r="M46" s="16"/>
      <c r="N46" s="20"/>
      <c r="P46">
        <f t="shared" si="0"/>
        <v>1</v>
      </c>
      <c r="R46">
        <f>COUNTIF($C$2:$C$105,Tabla3[[#This Row],[Profesor]])</f>
        <v>1</v>
      </c>
    </row>
    <row r="47" spans="1:18" ht="16.2" customHeight="1" thickBot="1" x14ac:dyDescent="0.35">
      <c r="A47" s="15" t="s">
        <v>373</v>
      </c>
      <c r="B47" s="17">
        <v>46</v>
      </c>
      <c r="C47" s="95" t="s">
        <v>80</v>
      </c>
      <c r="D47" s="1"/>
      <c r="E47" s="9" t="s">
        <v>79</v>
      </c>
      <c r="F47" s="14">
        <v>1</v>
      </c>
      <c r="G47" s="9" t="s">
        <v>59</v>
      </c>
      <c r="H47" s="102">
        <v>3</v>
      </c>
      <c r="I47" s="9"/>
      <c r="J47" s="4"/>
      <c r="K47" s="9"/>
      <c r="L47" s="4"/>
      <c r="M47" s="16"/>
      <c r="N47" s="20"/>
      <c r="P47">
        <f t="shared" ref="P47:P52" si="1">F47+H47+J47+L47</f>
        <v>4</v>
      </c>
      <c r="R47">
        <f>COUNTIF($C$2:$C$105,Tabla3[[#This Row],[Profesor]])</f>
        <v>1</v>
      </c>
    </row>
    <row r="48" spans="1:18" ht="16.2" customHeight="1" thickBot="1" x14ac:dyDescent="0.35">
      <c r="A48" s="15" t="s">
        <v>374</v>
      </c>
      <c r="B48" s="17">
        <v>47</v>
      </c>
      <c r="C48" s="95" t="s">
        <v>55</v>
      </c>
      <c r="D48" s="1"/>
      <c r="E48" s="9" t="s">
        <v>79</v>
      </c>
      <c r="F48" s="14">
        <v>3</v>
      </c>
      <c r="G48" s="9"/>
      <c r="H48" s="14"/>
      <c r="I48" s="9"/>
      <c r="J48" s="4"/>
      <c r="K48" s="9"/>
      <c r="L48" s="4"/>
      <c r="M48" s="16" t="s">
        <v>924</v>
      </c>
      <c r="N48" s="20"/>
      <c r="P48">
        <f t="shared" si="1"/>
        <v>3</v>
      </c>
      <c r="R48">
        <f>COUNTIF($C$2:$C$105,Tabla3[[#This Row],[Profesor]])</f>
        <v>1</v>
      </c>
    </row>
    <row r="49" spans="1:18" ht="16.2" customHeight="1" thickBot="1" x14ac:dyDescent="0.35">
      <c r="A49" s="15" t="s">
        <v>375</v>
      </c>
      <c r="B49" s="17">
        <v>48</v>
      </c>
      <c r="C49" s="95" t="s">
        <v>192</v>
      </c>
      <c r="D49" s="1"/>
      <c r="E49" s="9" t="s">
        <v>59</v>
      </c>
      <c r="F49" s="102">
        <v>1</v>
      </c>
      <c r="G49" s="9"/>
      <c r="H49" s="14"/>
      <c r="I49" s="9"/>
      <c r="J49" s="4"/>
      <c r="K49" s="9"/>
      <c r="L49" s="4"/>
      <c r="M49" s="16"/>
      <c r="N49" s="110" t="s">
        <v>376</v>
      </c>
      <c r="P49">
        <f t="shared" si="1"/>
        <v>1</v>
      </c>
      <c r="R49">
        <f>COUNTIF($C$2:$C$105,Tabla3[[#This Row],[Profesor]])</f>
        <v>1</v>
      </c>
    </row>
    <row r="50" spans="1:18" ht="16.2" customHeight="1" thickBot="1" x14ac:dyDescent="0.35">
      <c r="A50" s="15" t="s">
        <v>377</v>
      </c>
      <c r="B50" s="17">
        <v>49</v>
      </c>
      <c r="C50" s="1" t="s">
        <v>68</v>
      </c>
      <c r="D50" s="1"/>
      <c r="E50" s="9" t="s">
        <v>36</v>
      </c>
      <c r="F50" s="14">
        <v>1</v>
      </c>
      <c r="G50" s="9"/>
      <c r="H50" s="14"/>
      <c r="I50" s="9"/>
      <c r="J50" s="4"/>
      <c r="K50" s="9"/>
      <c r="L50" s="4"/>
      <c r="M50" s="16"/>
      <c r="N50" s="20"/>
      <c r="P50">
        <f t="shared" si="1"/>
        <v>1</v>
      </c>
      <c r="R50">
        <f>COUNTIF($C$2:$C$105,Tabla3[[#This Row],[Profesor]])</f>
        <v>1</v>
      </c>
    </row>
    <row r="51" spans="1:18" ht="16.2" customHeight="1" thickBot="1" x14ac:dyDescent="0.35">
      <c r="A51" s="15" t="s">
        <v>378</v>
      </c>
      <c r="B51" s="17">
        <v>50</v>
      </c>
      <c r="C51" s="1" t="s">
        <v>85</v>
      </c>
      <c r="D51" s="1"/>
      <c r="E51" s="13" t="s">
        <v>81</v>
      </c>
      <c r="F51" s="14">
        <v>1</v>
      </c>
      <c r="G51" s="13" t="s">
        <v>118</v>
      </c>
      <c r="H51" s="14">
        <v>1</v>
      </c>
      <c r="I51" s="13"/>
      <c r="J51" s="4"/>
      <c r="K51" s="13"/>
      <c r="L51" s="4"/>
      <c r="M51" s="16"/>
      <c r="N51" s="20"/>
      <c r="P51">
        <f t="shared" si="1"/>
        <v>2</v>
      </c>
      <c r="R51">
        <f>COUNTIF($C$2:$C$105,Tabla3[[#This Row],[Profesor]])</f>
        <v>1</v>
      </c>
    </row>
    <row r="52" spans="1:18" ht="16.2" customHeight="1" thickBot="1" x14ac:dyDescent="0.35">
      <c r="A52" s="15" t="s">
        <v>379</v>
      </c>
      <c r="B52" s="17">
        <v>51</v>
      </c>
      <c r="C52" s="1" t="s">
        <v>189</v>
      </c>
      <c r="D52" s="1"/>
      <c r="E52" s="9" t="s">
        <v>267</v>
      </c>
      <c r="F52" s="14">
        <v>1</v>
      </c>
      <c r="G52" s="9" t="s">
        <v>188</v>
      </c>
      <c r="H52" s="14">
        <v>1</v>
      </c>
      <c r="I52" s="9"/>
      <c r="J52" s="4"/>
      <c r="K52" s="9"/>
      <c r="L52" s="4"/>
      <c r="M52" s="16"/>
      <c r="N52" s="20"/>
      <c r="P52">
        <f t="shared" si="1"/>
        <v>2</v>
      </c>
      <c r="R52">
        <f>COUNTIF($C$2:$C$105,Tabla3[[#This Row],[Profesor]])</f>
        <v>1</v>
      </c>
    </row>
    <row r="53" spans="1:18" ht="16.2" customHeight="1" thickBot="1" x14ac:dyDescent="0.35">
      <c r="A53" s="15" t="s">
        <v>380</v>
      </c>
      <c r="B53" s="17">
        <v>52</v>
      </c>
      <c r="C53" s="1" t="s">
        <v>99</v>
      </c>
      <c r="D53" s="1"/>
      <c r="E53" s="13"/>
      <c r="F53" s="14"/>
      <c r="G53" s="13"/>
      <c r="H53" s="14"/>
      <c r="I53" s="13"/>
      <c r="J53" s="14"/>
      <c r="K53" s="13"/>
      <c r="L53" s="4"/>
      <c r="M53" s="112" t="s">
        <v>924</v>
      </c>
      <c r="N53" s="20"/>
      <c r="P53">
        <f t="shared" si="0"/>
        <v>0</v>
      </c>
      <c r="R53">
        <f>COUNTIF($C$2:$C$105,Tabla3[[#This Row],[Profesor]])</f>
        <v>1</v>
      </c>
    </row>
    <row r="54" spans="1:18" ht="16.2" customHeight="1" thickBot="1" x14ac:dyDescent="0.35">
      <c r="A54" s="15" t="s">
        <v>381</v>
      </c>
      <c r="B54" s="17">
        <v>53</v>
      </c>
      <c r="C54" s="1" t="s">
        <v>67</v>
      </c>
      <c r="D54" s="1"/>
      <c r="E54" s="9" t="s">
        <v>37</v>
      </c>
      <c r="F54" s="14">
        <v>1</v>
      </c>
      <c r="G54" s="9"/>
      <c r="H54" s="14"/>
      <c r="I54" s="9"/>
      <c r="J54" s="4"/>
      <c r="K54" s="9"/>
      <c r="L54" s="4"/>
      <c r="M54" s="16"/>
      <c r="N54" s="20"/>
      <c r="P54">
        <f t="shared" si="0"/>
        <v>1</v>
      </c>
      <c r="R54">
        <f>COUNTIF($C$2:$C$105,Tabla3[[#This Row],[Profesor]])</f>
        <v>1</v>
      </c>
    </row>
    <row r="55" spans="1:18" ht="16.2" customHeight="1" thickBot="1" x14ac:dyDescent="0.35">
      <c r="A55" s="15" t="s">
        <v>382</v>
      </c>
      <c r="B55" s="17">
        <v>54</v>
      </c>
      <c r="C55" s="1" t="s">
        <v>186</v>
      </c>
      <c r="D55" s="1"/>
      <c r="E55" s="9" t="s">
        <v>72</v>
      </c>
      <c r="F55" s="14">
        <v>1</v>
      </c>
      <c r="G55" s="9"/>
      <c r="H55" s="14"/>
      <c r="I55" s="9"/>
      <c r="J55" s="4"/>
      <c r="K55" s="9"/>
      <c r="L55" s="4"/>
      <c r="M55" s="16"/>
      <c r="N55" s="20"/>
      <c r="P55">
        <f t="shared" si="0"/>
        <v>1</v>
      </c>
      <c r="R55">
        <f>COUNTIF($C$2:$C$105,Tabla3[[#This Row],[Profesor]])</f>
        <v>1</v>
      </c>
    </row>
    <row r="56" spans="1:18" ht="16.2" customHeight="1" thickBot="1" x14ac:dyDescent="0.35">
      <c r="A56" s="15" t="s">
        <v>383</v>
      </c>
      <c r="B56" s="17">
        <v>55</v>
      </c>
      <c r="C56" s="1" t="s">
        <v>114</v>
      </c>
      <c r="D56" s="1"/>
      <c r="E56" s="13" t="s">
        <v>112</v>
      </c>
      <c r="F56" s="14">
        <v>1</v>
      </c>
      <c r="G56" s="13" t="s">
        <v>113</v>
      </c>
      <c r="H56" s="14">
        <v>1</v>
      </c>
      <c r="I56" s="13" t="s">
        <v>129</v>
      </c>
      <c r="J56" s="14">
        <v>1</v>
      </c>
      <c r="K56" s="13" t="s">
        <v>131</v>
      </c>
      <c r="L56" s="14">
        <v>2</v>
      </c>
      <c r="M56" s="132" t="s">
        <v>384</v>
      </c>
      <c r="N56" s="20" t="s">
        <v>385</v>
      </c>
      <c r="P56">
        <f t="shared" si="0"/>
        <v>5</v>
      </c>
      <c r="R56">
        <f>COUNTIF($C$2:$C$105,Tabla3[[#This Row],[Profesor]])</f>
        <v>1</v>
      </c>
    </row>
    <row r="57" spans="1:18" ht="16.2" customHeight="1" thickBot="1" x14ac:dyDescent="0.35">
      <c r="A57" s="15" t="s">
        <v>386</v>
      </c>
      <c r="B57" s="17">
        <v>56</v>
      </c>
      <c r="C57" s="1" t="s">
        <v>233</v>
      </c>
      <c r="D57" s="1"/>
      <c r="E57" s="9" t="s">
        <v>45</v>
      </c>
      <c r="F57" s="14">
        <v>3</v>
      </c>
      <c r="G57" s="9"/>
      <c r="H57" s="14"/>
      <c r="I57" s="9"/>
      <c r="J57" s="4"/>
      <c r="K57" s="9"/>
      <c r="L57" s="4"/>
      <c r="M57" s="16"/>
      <c r="N57" s="110" t="s">
        <v>387</v>
      </c>
      <c r="P57">
        <f t="shared" si="0"/>
        <v>3</v>
      </c>
      <c r="R57">
        <f>COUNTIF($C$2:$C$105,Tabla3[[#This Row],[Profesor]])</f>
        <v>1</v>
      </c>
    </row>
    <row r="58" spans="1:18" ht="16.2" customHeight="1" thickBot="1" x14ac:dyDescent="0.35">
      <c r="A58" s="15" t="s">
        <v>388</v>
      </c>
      <c r="B58" s="17">
        <v>57</v>
      </c>
      <c r="C58" s="1" t="s">
        <v>214</v>
      </c>
      <c r="D58" s="1"/>
      <c r="E58" s="9" t="s">
        <v>246</v>
      </c>
      <c r="F58" s="14">
        <v>1</v>
      </c>
      <c r="G58" s="9" t="s">
        <v>213</v>
      </c>
      <c r="H58" s="14">
        <v>1</v>
      </c>
      <c r="I58" s="9"/>
      <c r="J58" s="4"/>
      <c r="K58" s="9"/>
      <c r="L58" s="4"/>
      <c r="M58" s="16"/>
      <c r="N58" s="20"/>
      <c r="P58">
        <f t="shared" si="0"/>
        <v>2</v>
      </c>
      <c r="R58">
        <f>COUNTIF($C$2:$C$105,Tabla3[[#This Row],[Profesor]])</f>
        <v>1</v>
      </c>
    </row>
    <row r="59" spans="1:18" ht="16.2" customHeight="1" thickBot="1" x14ac:dyDescent="0.35">
      <c r="A59" s="15" t="s">
        <v>389</v>
      </c>
      <c r="B59" s="17">
        <v>58</v>
      </c>
      <c r="C59" s="1" t="s">
        <v>257</v>
      </c>
      <c r="D59" s="1"/>
      <c r="E59" s="9" t="s">
        <v>256</v>
      </c>
      <c r="F59" s="14">
        <v>1</v>
      </c>
      <c r="G59" s="9"/>
      <c r="H59" s="14"/>
      <c r="I59" s="9"/>
      <c r="J59" s="4"/>
      <c r="K59" s="9"/>
      <c r="L59" s="4"/>
      <c r="M59" s="16"/>
      <c r="N59" s="20"/>
      <c r="P59">
        <f t="shared" si="0"/>
        <v>1</v>
      </c>
      <c r="R59">
        <f>COUNTIF($C$2:$C$105,Tabla3[[#This Row],[Profesor]])</f>
        <v>1</v>
      </c>
    </row>
    <row r="60" spans="1:18" ht="16.2" customHeight="1" thickBot="1" x14ac:dyDescent="0.35">
      <c r="A60" s="15" t="s">
        <v>390</v>
      </c>
      <c r="B60" s="17">
        <v>59</v>
      </c>
      <c r="C60" s="1" t="s">
        <v>200</v>
      </c>
      <c r="D60" s="1"/>
      <c r="E60" s="9" t="s">
        <v>199</v>
      </c>
      <c r="F60" s="14">
        <v>1</v>
      </c>
      <c r="G60" s="9" t="s">
        <v>202</v>
      </c>
      <c r="H60" s="14">
        <v>1</v>
      </c>
      <c r="I60" s="9"/>
      <c r="J60" s="4"/>
      <c r="K60" s="9"/>
      <c r="L60" s="4"/>
      <c r="M60" s="16"/>
      <c r="N60" s="20"/>
      <c r="P60">
        <f t="shared" si="0"/>
        <v>2</v>
      </c>
      <c r="R60">
        <f>COUNTIF($C$2:$C$105,Tabla3[[#This Row],[Profesor]])</f>
        <v>1</v>
      </c>
    </row>
    <row r="61" spans="1:18" ht="16.2" customHeight="1" thickBot="1" x14ac:dyDescent="0.35">
      <c r="A61" s="15" t="s">
        <v>391</v>
      </c>
      <c r="B61" s="17">
        <v>60</v>
      </c>
      <c r="C61" s="1" t="s">
        <v>56</v>
      </c>
      <c r="D61" s="1"/>
      <c r="E61" s="9" t="s">
        <v>32</v>
      </c>
      <c r="F61" s="14">
        <v>1</v>
      </c>
      <c r="G61" s="9"/>
      <c r="H61" s="14"/>
      <c r="I61" s="9"/>
      <c r="J61" s="4"/>
      <c r="K61" s="9"/>
      <c r="L61" s="4"/>
      <c r="M61" s="16"/>
      <c r="N61" s="20"/>
      <c r="P61">
        <f t="shared" si="0"/>
        <v>1</v>
      </c>
      <c r="R61">
        <f>COUNTIF($C$2:$C$105,Tabla3[[#This Row],[Profesor]])</f>
        <v>1</v>
      </c>
    </row>
    <row r="62" spans="1:18" ht="16.2" customHeight="1" thickBot="1" x14ac:dyDescent="0.35">
      <c r="A62" s="61" t="s">
        <v>392</v>
      </c>
      <c r="B62" s="17">
        <v>61</v>
      </c>
      <c r="C62" s="1" t="s">
        <v>117</v>
      </c>
      <c r="D62" s="1"/>
      <c r="E62" s="13" t="s">
        <v>130</v>
      </c>
      <c r="F62" s="14">
        <v>1</v>
      </c>
      <c r="G62" s="13" t="s">
        <v>115</v>
      </c>
      <c r="H62" s="14">
        <v>1</v>
      </c>
      <c r="I62" s="13"/>
      <c r="J62" s="14"/>
      <c r="K62" s="13"/>
      <c r="L62" s="4"/>
      <c r="M62" s="16"/>
      <c r="N62" s="20"/>
      <c r="P62">
        <f t="shared" si="0"/>
        <v>2</v>
      </c>
      <c r="R62">
        <f>COUNTIF($C$2:$C$105,Tabla3[[#This Row],[Profesor]])</f>
        <v>1</v>
      </c>
    </row>
    <row r="63" spans="1:18" ht="16.2" customHeight="1" thickBot="1" x14ac:dyDescent="0.35">
      <c r="A63" s="15" t="s">
        <v>393</v>
      </c>
      <c r="B63" s="17">
        <v>62</v>
      </c>
      <c r="C63" s="1" t="s">
        <v>264</v>
      </c>
      <c r="D63" s="1"/>
      <c r="E63" s="9" t="s">
        <v>263</v>
      </c>
      <c r="F63" s="14">
        <v>1</v>
      </c>
      <c r="G63" s="9"/>
      <c r="H63" s="14"/>
      <c r="I63" s="9"/>
      <c r="J63" s="4"/>
      <c r="K63" s="9"/>
      <c r="L63" s="4"/>
      <c r="M63" s="16"/>
      <c r="N63" s="20"/>
      <c r="P63">
        <f t="shared" si="0"/>
        <v>1</v>
      </c>
      <c r="R63">
        <f>COUNTIF($C$2:$C$105,Tabla3[[#This Row],[Profesor]])</f>
        <v>1</v>
      </c>
    </row>
    <row r="64" spans="1:18" ht="16.2" customHeight="1" thickBot="1" x14ac:dyDescent="0.35">
      <c r="A64" s="15" t="s">
        <v>394</v>
      </c>
      <c r="B64" s="17">
        <v>63</v>
      </c>
      <c r="C64" s="1" t="s">
        <v>31</v>
      </c>
      <c r="D64" s="1"/>
      <c r="E64" s="9" t="s">
        <v>29</v>
      </c>
      <c r="F64" s="14">
        <v>1</v>
      </c>
      <c r="G64" s="9"/>
      <c r="H64" s="14"/>
      <c r="I64" s="9"/>
      <c r="J64" s="4"/>
      <c r="K64" s="9"/>
      <c r="L64" s="4"/>
      <c r="M64" s="16"/>
      <c r="N64" s="20"/>
      <c r="P64">
        <f t="shared" ref="P64:P105" si="2">F64+H64+J64+L64</f>
        <v>1</v>
      </c>
      <c r="R64">
        <f>COUNTIF($C$2:$C$105,Tabla3[[#This Row],[Profesor]])</f>
        <v>1</v>
      </c>
    </row>
    <row r="65" spans="1:42" ht="16.2" customHeight="1" thickBot="1" x14ac:dyDescent="0.35">
      <c r="A65" s="15" t="s">
        <v>395</v>
      </c>
      <c r="B65" s="17">
        <v>64</v>
      </c>
      <c r="C65" s="1" t="s">
        <v>83</v>
      </c>
      <c r="D65" s="1"/>
      <c r="E65" s="13" t="s">
        <v>266</v>
      </c>
      <c r="F65" s="14">
        <v>1</v>
      </c>
      <c r="G65" s="13" t="s">
        <v>81</v>
      </c>
      <c r="H65" s="14">
        <v>1</v>
      </c>
      <c r="I65" s="13"/>
      <c r="J65" s="14"/>
      <c r="K65" s="13"/>
      <c r="L65" s="4"/>
      <c r="M65" s="16"/>
      <c r="N65" s="20"/>
      <c r="P65">
        <f t="shared" si="2"/>
        <v>2</v>
      </c>
      <c r="R65">
        <f>COUNTIF($C$2:$C$105,Tabla3[[#This Row],[Profesor]])</f>
        <v>1</v>
      </c>
    </row>
    <row r="66" spans="1:42" ht="16.2" customHeight="1" thickBot="1" x14ac:dyDescent="0.35">
      <c r="A66" s="15" t="s">
        <v>396</v>
      </c>
      <c r="B66" s="17">
        <v>65</v>
      </c>
      <c r="C66" s="1" t="s">
        <v>287</v>
      </c>
      <c r="D66" s="1"/>
      <c r="E66" s="9" t="s">
        <v>286</v>
      </c>
      <c r="F66" s="14">
        <v>1</v>
      </c>
      <c r="G66" s="9"/>
      <c r="H66" s="14"/>
      <c r="I66" s="9"/>
      <c r="J66" s="4"/>
      <c r="K66" s="9"/>
      <c r="L66" s="4"/>
      <c r="M66" s="16"/>
      <c r="N66" s="20"/>
      <c r="P66">
        <f t="shared" si="2"/>
        <v>1</v>
      </c>
      <c r="R66">
        <f>COUNTIF($C$2:$C$105,Tabla3[[#This Row],[Profesor]])</f>
        <v>1</v>
      </c>
    </row>
    <row r="67" spans="1:42" ht="16.2" customHeight="1" thickBot="1" x14ac:dyDescent="0.35">
      <c r="A67" s="15" t="s">
        <v>397</v>
      </c>
      <c r="B67" s="17">
        <v>66</v>
      </c>
      <c r="C67" s="1" t="s">
        <v>218</v>
      </c>
      <c r="D67" s="1"/>
      <c r="E67" s="9" t="s">
        <v>217</v>
      </c>
      <c r="F67" s="14">
        <v>1</v>
      </c>
      <c r="G67" s="9"/>
      <c r="H67" s="14"/>
      <c r="I67" s="9"/>
      <c r="J67" s="4"/>
      <c r="K67" s="9"/>
      <c r="L67" s="4"/>
      <c r="M67" s="16"/>
      <c r="N67" s="20"/>
      <c r="P67">
        <f t="shared" si="2"/>
        <v>1</v>
      </c>
      <c r="R67">
        <f>COUNTIF($C$2:$C$105,Tabla3[[#This Row],[Profesor]])</f>
        <v>1</v>
      </c>
    </row>
    <row r="68" spans="1:42" ht="16.2" customHeight="1" thickBot="1" x14ac:dyDescent="0.35">
      <c r="A68" s="15" t="s">
        <v>398</v>
      </c>
      <c r="B68" s="17">
        <v>67</v>
      </c>
      <c r="C68" s="1" t="s">
        <v>71</v>
      </c>
      <c r="D68" s="1"/>
      <c r="E68" s="9" t="s">
        <v>36</v>
      </c>
      <c r="F68" s="14">
        <v>1</v>
      </c>
      <c r="G68" s="9"/>
      <c r="H68" s="14"/>
      <c r="I68" s="9"/>
      <c r="J68" s="4"/>
      <c r="K68" s="9"/>
      <c r="L68" s="4"/>
      <c r="M68" s="16"/>
      <c r="N68" s="20"/>
      <c r="P68">
        <f t="shared" si="2"/>
        <v>1</v>
      </c>
      <c r="R68">
        <f>COUNTIF($C$2:$C$105,Tabla3[[#This Row],[Profesor]])</f>
        <v>1</v>
      </c>
    </row>
    <row r="69" spans="1:42" ht="16.2" customHeight="1" thickBot="1" x14ac:dyDescent="0.35">
      <c r="A69" s="15" t="s">
        <v>399</v>
      </c>
      <c r="B69" s="17">
        <v>68</v>
      </c>
      <c r="C69" s="1" t="s">
        <v>259</v>
      </c>
      <c r="D69" s="1"/>
      <c r="E69" s="9" t="s">
        <v>258</v>
      </c>
      <c r="F69" s="14">
        <v>1</v>
      </c>
      <c r="G69" s="9"/>
      <c r="H69" s="14"/>
      <c r="I69" s="9"/>
      <c r="J69" s="4"/>
      <c r="K69" s="9"/>
      <c r="L69" s="4"/>
      <c r="M69" s="16"/>
      <c r="N69" s="20"/>
      <c r="P69">
        <f t="shared" si="2"/>
        <v>1</v>
      </c>
      <c r="R69">
        <f>COUNTIF($C$2:$C$105,Tabla3[[#This Row],[Profesor]])</f>
        <v>1</v>
      </c>
    </row>
    <row r="70" spans="1:42" ht="16.2" customHeight="1" thickBot="1" x14ac:dyDescent="0.35">
      <c r="A70" s="15" t="s">
        <v>400</v>
      </c>
      <c r="B70" s="17">
        <v>69</v>
      </c>
      <c r="C70" s="1" t="s">
        <v>250</v>
      </c>
      <c r="D70" s="1"/>
      <c r="E70" s="9" t="s">
        <v>248</v>
      </c>
      <c r="F70" s="14">
        <v>1</v>
      </c>
      <c r="G70" s="9"/>
      <c r="H70" s="14"/>
      <c r="I70" s="9"/>
      <c r="J70" s="4"/>
      <c r="K70" s="9"/>
      <c r="L70" s="4"/>
      <c r="M70" s="16"/>
      <c r="N70" s="20"/>
      <c r="P70">
        <f t="shared" si="2"/>
        <v>1</v>
      </c>
      <c r="R70">
        <f>COUNTIF($C$2:$C$105,Tabla3[[#This Row],[Profesor]])</f>
        <v>1</v>
      </c>
    </row>
    <row r="71" spans="1:42" ht="16.2" customHeight="1" thickBot="1" x14ac:dyDescent="0.35">
      <c r="A71" s="15" t="s">
        <v>401</v>
      </c>
      <c r="B71" s="17">
        <v>70</v>
      </c>
      <c r="C71" s="1" t="s">
        <v>181</v>
      </c>
      <c r="D71" s="1"/>
      <c r="E71" s="9" t="s">
        <v>75</v>
      </c>
      <c r="F71" s="14">
        <v>1</v>
      </c>
      <c r="G71" s="9"/>
      <c r="H71" s="14"/>
      <c r="I71" s="9"/>
      <c r="J71" s="4"/>
      <c r="K71" s="9"/>
      <c r="L71" s="4"/>
      <c r="M71" s="16"/>
      <c r="N71" s="20"/>
      <c r="P71">
        <f t="shared" si="2"/>
        <v>1</v>
      </c>
      <c r="R71">
        <f>COUNTIF($C$2:$C$105,Tabla3[[#This Row],[Profesor]])</f>
        <v>1</v>
      </c>
    </row>
    <row r="72" spans="1:42" ht="16.2" customHeight="1" thickBot="1" x14ac:dyDescent="0.35">
      <c r="A72" s="15" t="s">
        <v>402</v>
      </c>
      <c r="B72" s="17">
        <v>71</v>
      </c>
      <c r="C72" s="1" t="s">
        <v>289</v>
      </c>
      <c r="D72" s="1"/>
      <c r="E72" s="9" t="s">
        <v>286</v>
      </c>
      <c r="F72" s="14">
        <v>1</v>
      </c>
      <c r="G72" s="9"/>
      <c r="H72" s="14"/>
      <c r="I72" s="9"/>
      <c r="J72" s="4"/>
      <c r="K72" s="9"/>
      <c r="L72" s="4"/>
      <c r="M72" s="16"/>
      <c r="N72" s="20"/>
      <c r="P72">
        <f t="shared" si="2"/>
        <v>1</v>
      </c>
      <c r="R72">
        <f>COUNTIF($C$2:$C$105,Tabla3[[#This Row],[Profesor]])</f>
        <v>1</v>
      </c>
    </row>
    <row r="73" spans="1:42" ht="16.2" customHeight="1" thickBot="1" x14ac:dyDescent="0.35">
      <c r="A73" s="15" t="s">
        <v>403</v>
      </c>
      <c r="B73" s="17">
        <v>72</v>
      </c>
      <c r="C73" s="1" t="s">
        <v>48</v>
      </c>
      <c r="D73" s="1"/>
      <c r="E73" s="13" t="s">
        <v>46</v>
      </c>
      <c r="F73" s="14">
        <v>1</v>
      </c>
      <c r="G73" s="13" t="s">
        <v>191</v>
      </c>
      <c r="H73" s="14">
        <v>1</v>
      </c>
      <c r="I73" s="13"/>
      <c r="J73" s="14"/>
      <c r="K73" s="13"/>
      <c r="L73" s="4"/>
      <c r="M73" s="16"/>
      <c r="N73" s="20"/>
      <c r="P73">
        <f t="shared" si="2"/>
        <v>2</v>
      </c>
      <c r="R73">
        <f>COUNTIF($C$2:$C$105,Tabla3[[#This Row],[Profesor]])</f>
        <v>1</v>
      </c>
    </row>
    <row r="74" spans="1:42" ht="16.2" customHeight="1" thickBot="1" x14ac:dyDescent="0.35">
      <c r="A74" s="15" t="s">
        <v>404</v>
      </c>
      <c r="B74" s="17">
        <v>73</v>
      </c>
      <c r="C74" s="1" t="s">
        <v>215</v>
      </c>
      <c r="D74" s="1"/>
      <c r="E74" s="9" t="s">
        <v>213</v>
      </c>
      <c r="F74" s="14">
        <v>1</v>
      </c>
      <c r="G74" s="9"/>
      <c r="H74" s="14"/>
      <c r="I74" s="9"/>
      <c r="J74" s="4"/>
      <c r="K74" s="9"/>
      <c r="L74" s="4"/>
      <c r="M74" s="16"/>
      <c r="N74" s="20"/>
      <c r="P74">
        <f t="shared" si="2"/>
        <v>1</v>
      </c>
      <c r="R74">
        <f>COUNTIF($C$2:$C$105,Tabla3[[#This Row],[Profesor]])</f>
        <v>1</v>
      </c>
    </row>
    <row r="75" spans="1:42" ht="16.2" customHeight="1" thickBot="1" x14ac:dyDescent="0.35">
      <c r="A75" s="15" t="s">
        <v>405</v>
      </c>
      <c r="B75" s="17">
        <v>74</v>
      </c>
      <c r="C75" s="1" t="s">
        <v>96</v>
      </c>
      <c r="D75" s="1"/>
      <c r="E75" s="13" t="s">
        <v>129</v>
      </c>
      <c r="F75" s="14">
        <v>1</v>
      </c>
      <c r="G75" s="13" t="s">
        <v>91</v>
      </c>
      <c r="H75" s="14">
        <v>1</v>
      </c>
      <c r="I75" s="13"/>
      <c r="J75" s="14"/>
      <c r="K75" s="13"/>
      <c r="L75" s="4"/>
      <c r="M75" s="112" t="s">
        <v>406</v>
      </c>
      <c r="N75" s="20"/>
      <c r="P75">
        <f t="shared" si="2"/>
        <v>2</v>
      </c>
      <c r="R75">
        <f>COUNTIF($C$2:$C$105,Tabla3[[#This Row],[Profesor]])</f>
        <v>1</v>
      </c>
      <c r="AP75" s="31"/>
    </row>
    <row r="76" spans="1:42" ht="16.2" customHeight="1" thickBot="1" x14ac:dyDescent="0.35">
      <c r="A76" s="15" t="s">
        <v>407</v>
      </c>
      <c r="B76" s="17">
        <v>75</v>
      </c>
      <c r="C76" s="1" t="s">
        <v>171</v>
      </c>
      <c r="D76" s="1"/>
      <c r="E76" s="9" t="s">
        <v>170</v>
      </c>
      <c r="F76" s="14">
        <v>1</v>
      </c>
      <c r="G76" s="9"/>
      <c r="H76" s="14"/>
      <c r="I76" s="9"/>
      <c r="J76" s="4"/>
      <c r="K76" s="9"/>
      <c r="L76" s="4"/>
      <c r="M76" s="16"/>
      <c r="N76" s="20"/>
      <c r="P76">
        <f t="shared" si="2"/>
        <v>1</v>
      </c>
      <c r="R76">
        <f>COUNTIF($C$2:$C$105,Tabla3[[#This Row],[Profesor]])</f>
        <v>1</v>
      </c>
    </row>
    <row r="77" spans="1:42" ht="16.2" customHeight="1" thickBot="1" x14ac:dyDescent="0.35">
      <c r="A77" s="15" t="s">
        <v>408</v>
      </c>
      <c r="B77" s="17">
        <v>76</v>
      </c>
      <c r="C77" s="1" t="s">
        <v>203</v>
      </c>
      <c r="D77" s="1"/>
      <c r="E77" s="9" t="s">
        <v>202</v>
      </c>
      <c r="F77" s="14">
        <v>1</v>
      </c>
      <c r="G77" s="9"/>
      <c r="H77" s="14"/>
      <c r="I77" s="9"/>
      <c r="J77" s="4"/>
      <c r="K77" s="9"/>
      <c r="L77" s="4"/>
      <c r="M77" s="16"/>
      <c r="N77" s="20"/>
      <c r="P77">
        <f t="shared" si="2"/>
        <v>1</v>
      </c>
      <c r="R77">
        <f>COUNTIF($C$2:$C$105,Tabla3[[#This Row],[Profesor]])</f>
        <v>1</v>
      </c>
      <c r="AP77" s="31"/>
    </row>
    <row r="78" spans="1:42" ht="16.2" customHeight="1" thickBot="1" x14ac:dyDescent="0.35">
      <c r="A78" s="15" t="s">
        <v>409</v>
      </c>
      <c r="B78" s="17">
        <v>77</v>
      </c>
      <c r="C78" s="1" t="s">
        <v>180</v>
      </c>
      <c r="D78" s="1"/>
      <c r="E78" s="9" t="s">
        <v>179</v>
      </c>
      <c r="F78" s="14">
        <v>1</v>
      </c>
      <c r="G78" s="9"/>
      <c r="H78" s="14"/>
      <c r="I78" s="9"/>
      <c r="J78" s="4"/>
      <c r="K78" s="9"/>
      <c r="L78" s="4"/>
      <c r="M78" s="16"/>
      <c r="N78" s="20"/>
      <c r="P78">
        <f t="shared" si="2"/>
        <v>1</v>
      </c>
      <c r="R78">
        <f>COUNTIF($C$2:$C$105,Tabla3[[#This Row],[Profesor]])</f>
        <v>1</v>
      </c>
    </row>
    <row r="79" spans="1:42" ht="16.2" customHeight="1" thickBot="1" x14ac:dyDescent="0.35">
      <c r="A79" s="61" t="s">
        <v>410</v>
      </c>
      <c r="B79" s="17">
        <v>78</v>
      </c>
      <c r="C79" s="1" t="s">
        <v>249</v>
      </c>
      <c r="D79" s="1"/>
      <c r="E79" s="9" t="s">
        <v>248</v>
      </c>
      <c r="F79" s="14">
        <v>1</v>
      </c>
      <c r="G79" s="9"/>
      <c r="H79" s="14"/>
      <c r="I79" s="9"/>
      <c r="J79" s="4"/>
      <c r="K79" s="9"/>
      <c r="L79" s="4"/>
      <c r="M79" s="16"/>
      <c r="N79" s="20"/>
      <c r="P79">
        <f t="shared" si="2"/>
        <v>1</v>
      </c>
      <c r="R79">
        <f>COUNTIF($C$2:$C$105,Tabla3[[#This Row],[Profesor]])</f>
        <v>1</v>
      </c>
      <c r="AP79" s="31"/>
    </row>
    <row r="80" spans="1:42" ht="16.2" customHeight="1" thickBot="1" x14ac:dyDescent="0.35">
      <c r="A80" s="15" t="s">
        <v>411</v>
      </c>
      <c r="B80" s="17">
        <v>79</v>
      </c>
      <c r="C80" s="1" t="s">
        <v>271</v>
      </c>
      <c r="D80" s="1"/>
      <c r="E80" s="9" t="s">
        <v>270</v>
      </c>
      <c r="F80" s="14">
        <v>1</v>
      </c>
      <c r="G80" s="9"/>
      <c r="H80" s="14"/>
      <c r="I80" s="9"/>
      <c r="J80" s="4"/>
      <c r="K80" s="9"/>
      <c r="L80" s="4"/>
      <c r="M80" s="16"/>
      <c r="N80" s="20"/>
      <c r="P80">
        <f t="shared" si="2"/>
        <v>1</v>
      </c>
      <c r="R80">
        <f>COUNTIF($C$2:$C$105,Tabla3[[#This Row],[Profesor]])</f>
        <v>1</v>
      </c>
    </row>
    <row r="81" spans="1:18" ht="16.2" customHeight="1" thickBot="1" x14ac:dyDescent="0.35">
      <c r="A81" s="15" t="s">
        <v>412</v>
      </c>
      <c r="B81" s="17">
        <v>80</v>
      </c>
      <c r="C81" s="1" t="s">
        <v>123</v>
      </c>
      <c r="D81" s="1"/>
      <c r="E81" s="9" t="s">
        <v>122</v>
      </c>
      <c r="F81" s="14">
        <v>2</v>
      </c>
      <c r="G81" s="9"/>
      <c r="H81" s="14"/>
      <c r="I81" s="9"/>
      <c r="J81" s="4"/>
      <c r="K81" s="9"/>
      <c r="L81" s="4"/>
      <c r="M81" s="16"/>
      <c r="N81" s="20"/>
      <c r="P81">
        <f t="shared" si="2"/>
        <v>2</v>
      </c>
      <c r="R81">
        <f>COUNTIF($C$2:$C$105,Tabla3[[#This Row],[Profesor]])</f>
        <v>1</v>
      </c>
    </row>
    <row r="82" spans="1:18" ht="16.2" customHeight="1" thickBot="1" x14ac:dyDescent="0.35">
      <c r="A82" s="15" t="s">
        <v>413</v>
      </c>
      <c r="B82" s="17">
        <v>81</v>
      </c>
      <c r="C82" s="1" t="s">
        <v>175</v>
      </c>
      <c r="D82" s="1"/>
      <c r="E82" s="13" t="s">
        <v>173</v>
      </c>
      <c r="F82" s="14">
        <v>1</v>
      </c>
      <c r="G82" s="13"/>
      <c r="H82" s="14"/>
      <c r="I82" s="13"/>
      <c r="J82" s="14"/>
      <c r="K82" s="13"/>
      <c r="L82" s="4"/>
      <c r="M82" s="16"/>
      <c r="N82" s="20"/>
      <c r="P82">
        <f t="shared" si="2"/>
        <v>1</v>
      </c>
      <c r="R82">
        <f>COUNTIF($C$2:$C$105,Tabla3[[#This Row],[Profesor]])</f>
        <v>1</v>
      </c>
    </row>
    <row r="83" spans="1:18" ht="16.2" customHeight="1" thickBot="1" x14ac:dyDescent="0.35">
      <c r="A83" s="15" t="s">
        <v>414</v>
      </c>
      <c r="B83" s="17">
        <v>82</v>
      </c>
      <c r="C83" s="1" t="s">
        <v>51</v>
      </c>
      <c r="D83" s="1"/>
      <c r="E83" s="13" t="s">
        <v>50</v>
      </c>
      <c r="F83" s="14">
        <v>1</v>
      </c>
      <c r="G83" s="13"/>
      <c r="H83" s="14"/>
      <c r="I83" s="13"/>
      <c r="J83" s="14"/>
      <c r="K83" s="13"/>
      <c r="L83" s="4"/>
      <c r="M83" s="16"/>
      <c r="N83" s="20"/>
      <c r="P83">
        <f t="shared" si="2"/>
        <v>1</v>
      </c>
      <c r="R83">
        <f>COUNTIF($C$2:$C$105,Tabla3[[#This Row],[Profesor]])</f>
        <v>1</v>
      </c>
    </row>
    <row r="84" spans="1:18" ht="16.2" customHeight="1" thickBot="1" x14ac:dyDescent="0.35">
      <c r="A84" s="15" t="s">
        <v>415</v>
      </c>
      <c r="B84" s="17">
        <v>83</v>
      </c>
      <c r="C84" s="1" t="s">
        <v>237</v>
      </c>
      <c r="D84" s="1"/>
      <c r="E84" s="9" t="s">
        <v>235</v>
      </c>
      <c r="F84" s="14">
        <v>2</v>
      </c>
      <c r="G84" s="9" t="s">
        <v>265</v>
      </c>
      <c r="H84" s="14">
        <v>1</v>
      </c>
      <c r="I84" s="9"/>
      <c r="J84" s="4"/>
      <c r="K84" s="9"/>
      <c r="L84" s="4"/>
      <c r="M84" s="16"/>
      <c r="N84" s="20"/>
      <c r="P84">
        <f t="shared" si="2"/>
        <v>3</v>
      </c>
      <c r="R84">
        <f>COUNTIF($C$2:$C$105,Tabla3[[#This Row],[Profesor]])</f>
        <v>1</v>
      </c>
    </row>
    <row r="85" spans="1:18" ht="16.2" customHeight="1" thickBot="1" x14ac:dyDescent="0.35">
      <c r="A85" s="15" t="s">
        <v>416</v>
      </c>
      <c r="B85" s="17">
        <v>84</v>
      </c>
      <c r="C85" s="1" t="s">
        <v>262</v>
      </c>
      <c r="D85" s="1"/>
      <c r="E85" s="9" t="s">
        <v>261</v>
      </c>
      <c r="F85" s="14">
        <v>1</v>
      </c>
      <c r="G85" s="9"/>
      <c r="H85" s="14"/>
      <c r="I85" s="9"/>
      <c r="J85" s="4"/>
      <c r="K85" s="9"/>
      <c r="L85" s="4"/>
      <c r="M85" s="16"/>
      <c r="N85" s="20"/>
      <c r="P85">
        <f t="shared" si="2"/>
        <v>1</v>
      </c>
      <c r="R85">
        <f>COUNTIF($C$2:$C$105,Tabla3[[#This Row],[Profesor]])</f>
        <v>1</v>
      </c>
    </row>
    <row r="86" spans="1:18" ht="16.2" customHeight="1" thickBot="1" x14ac:dyDescent="0.35">
      <c r="A86" s="15" t="s">
        <v>417</v>
      </c>
      <c r="B86" s="17">
        <v>85</v>
      </c>
      <c r="C86" s="95" t="s">
        <v>101</v>
      </c>
      <c r="D86" s="1"/>
      <c r="E86" s="9" t="s">
        <v>94</v>
      </c>
      <c r="F86" s="14">
        <v>1</v>
      </c>
      <c r="G86" s="9"/>
      <c r="H86" s="14"/>
      <c r="I86" s="9"/>
      <c r="J86" s="4"/>
      <c r="K86" s="9"/>
      <c r="L86" s="4"/>
      <c r="M86" s="16"/>
      <c r="N86" s="20"/>
      <c r="P86">
        <f t="shared" ref="P86" si="3">F86+H86+J86+L86</f>
        <v>1</v>
      </c>
      <c r="R86">
        <f>COUNTIF($C$2:$C$105,Tabla3[[#This Row],[Profesor]])</f>
        <v>1</v>
      </c>
    </row>
    <row r="87" spans="1:18" ht="16.2" customHeight="1" thickBot="1" x14ac:dyDescent="0.35">
      <c r="A87" s="15" t="s">
        <v>418</v>
      </c>
      <c r="B87" s="17">
        <v>86</v>
      </c>
      <c r="C87" s="95" t="s">
        <v>102</v>
      </c>
      <c r="D87" s="1"/>
      <c r="E87" s="9" t="s">
        <v>94</v>
      </c>
      <c r="F87" s="14">
        <v>1</v>
      </c>
      <c r="G87" s="9"/>
      <c r="H87" s="14"/>
      <c r="I87" s="9"/>
      <c r="J87" s="4"/>
      <c r="K87" s="9"/>
      <c r="L87" s="4"/>
      <c r="M87" s="16"/>
      <c r="N87" s="20"/>
      <c r="P87">
        <f t="shared" si="2"/>
        <v>1</v>
      </c>
      <c r="R87">
        <f>COUNTIF($C$2:$C$105,Tabla3[[#This Row],[Profesor]])</f>
        <v>1</v>
      </c>
    </row>
    <row r="88" spans="1:18" ht="16.2" customHeight="1" thickBot="1" x14ac:dyDescent="0.35">
      <c r="A88" s="15" t="s">
        <v>419</v>
      </c>
      <c r="B88" s="17">
        <v>87</v>
      </c>
      <c r="C88" s="95" t="s">
        <v>103</v>
      </c>
      <c r="D88" s="1"/>
      <c r="E88" s="9" t="s">
        <v>94</v>
      </c>
      <c r="F88" s="14">
        <v>1</v>
      </c>
      <c r="G88" s="9"/>
      <c r="H88" s="14"/>
      <c r="I88" s="9"/>
      <c r="J88" s="4"/>
      <c r="K88" s="9"/>
      <c r="L88" s="4"/>
      <c r="M88" s="16"/>
      <c r="N88" s="20"/>
      <c r="P88">
        <f t="shared" si="2"/>
        <v>1</v>
      </c>
      <c r="R88">
        <f>COUNTIF($C$2:$C$105,Tabla3[[#This Row],[Profesor]])</f>
        <v>1</v>
      </c>
    </row>
    <row r="89" spans="1:18" ht="16.2" customHeight="1" thickBot="1" x14ac:dyDescent="0.35">
      <c r="A89" s="15" t="s">
        <v>420</v>
      </c>
      <c r="B89" s="17">
        <v>88</v>
      </c>
      <c r="C89" s="1" t="s">
        <v>40</v>
      </c>
      <c r="D89" s="1"/>
      <c r="E89" s="9" t="s">
        <v>39</v>
      </c>
      <c r="F89" s="14">
        <v>1</v>
      </c>
      <c r="G89" s="9" t="s">
        <v>75</v>
      </c>
      <c r="H89" s="14">
        <v>1</v>
      </c>
      <c r="I89" s="9"/>
      <c r="J89" s="4"/>
      <c r="K89" s="9"/>
      <c r="L89" s="4"/>
      <c r="M89" s="112" t="s">
        <v>930</v>
      </c>
      <c r="N89" s="20"/>
      <c r="P89">
        <f t="shared" si="2"/>
        <v>2</v>
      </c>
      <c r="R89">
        <f>COUNTIF($C$2:$C$105,Tabla3[[#This Row],[Profesor]])</f>
        <v>1</v>
      </c>
    </row>
    <row r="90" spans="1:18" ht="16.2" customHeight="1" thickBot="1" x14ac:dyDescent="0.35">
      <c r="A90" s="61" t="s">
        <v>421</v>
      </c>
      <c r="B90" s="17">
        <v>89</v>
      </c>
      <c r="C90" s="1" t="s">
        <v>149</v>
      </c>
      <c r="D90" s="1"/>
      <c r="E90" s="9" t="s">
        <v>134</v>
      </c>
      <c r="F90" s="14">
        <v>2</v>
      </c>
      <c r="G90" s="9"/>
      <c r="H90" s="14"/>
      <c r="I90" s="9"/>
      <c r="J90" s="4"/>
      <c r="K90" s="9"/>
      <c r="L90" s="4"/>
      <c r="M90" s="16"/>
      <c r="N90" s="20"/>
      <c r="P90">
        <f t="shared" si="2"/>
        <v>2</v>
      </c>
      <c r="R90">
        <f>COUNTIF($C$2:$C$105,Tabla3[[#This Row],[Profesor]])</f>
        <v>1</v>
      </c>
    </row>
    <row r="91" spans="1:18" ht="16.2" customHeight="1" thickBot="1" x14ac:dyDescent="0.35">
      <c r="A91" s="15" t="s">
        <v>422</v>
      </c>
      <c r="B91" s="17">
        <v>90</v>
      </c>
      <c r="C91" s="1" t="s">
        <v>294</v>
      </c>
      <c r="D91" s="1"/>
      <c r="E91" s="9" t="s">
        <v>293</v>
      </c>
      <c r="F91" s="14">
        <v>1</v>
      </c>
      <c r="G91" s="9"/>
      <c r="H91" s="14"/>
      <c r="I91" s="9"/>
      <c r="J91" s="4"/>
      <c r="K91" s="9"/>
      <c r="L91" s="4"/>
      <c r="M91" s="16"/>
      <c r="N91" s="20"/>
      <c r="P91">
        <f t="shared" si="2"/>
        <v>1</v>
      </c>
      <c r="R91">
        <f>COUNTIF($C$2:$C$105,Tabla3[[#This Row],[Profesor]])</f>
        <v>1</v>
      </c>
    </row>
    <row r="92" spans="1:18" ht="16.2" customHeight="1" thickBot="1" x14ac:dyDescent="0.35">
      <c r="A92" s="15" t="s">
        <v>423</v>
      </c>
      <c r="B92" s="17">
        <v>91</v>
      </c>
      <c r="C92" s="1" t="s">
        <v>92</v>
      </c>
      <c r="D92" s="1"/>
      <c r="E92" s="13" t="s">
        <v>89</v>
      </c>
      <c r="F92" s="14">
        <v>4</v>
      </c>
      <c r="G92" s="13"/>
      <c r="H92" s="14"/>
      <c r="I92" s="13"/>
      <c r="J92" s="14"/>
      <c r="K92" s="13"/>
      <c r="L92" s="4"/>
      <c r="M92" s="16"/>
      <c r="N92" s="20"/>
      <c r="P92">
        <f t="shared" ref="P92" si="4">F92+H92+J92+L92</f>
        <v>4</v>
      </c>
      <c r="R92">
        <f>COUNTIF($C$2:$C$105,Tabla3[[#This Row],[Profesor]])</f>
        <v>1</v>
      </c>
    </row>
    <row r="93" spans="1:18" ht="16.2" customHeight="1" thickBot="1" x14ac:dyDescent="0.35">
      <c r="A93" s="61" t="s">
        <v>424</v>
      </c>
      <c r="B93" s="17">
        <v>92</v>
      </c>
      <c r="C93" s="1" t="s">
        <v>42</v>
      </c>
      <c r="D93" s="1"/>
      <c r="E93" s="9" t="s">
        <v>41</v>
      </c>
      <c r="F93" s="14">
        <v>1</v>
      </c>
      <c r="G93" s="9"/>
      <c r="H93" s="14"/>
      <c r="I93" s="9"/>
      <c r="J93" s="4"/>
      <c r="K93" s="9"/>
      <c r="L93" s="4"/>
      <c r="M93" s="16"/>
      <c r="N93" s="20"/>
      <c r="P93">
        <f t="shared" si="2"/>
        <v>1</v>
      </c>
      <c r="R93">
        <f>COUNTIF($C$2:$C$105,Tabla3[[#This Row],[Profesor]])</f>
        <v>1</v>
      </c>
    </row>
    <row r="94" spans="1:18" ht="16.2" customHeight="1" thickBot="1" x14ac:dyDescent="0.35">
      <c r="A94" s="15" t="s">
        <v>425</v>
      </c>
      <c r="B94" s="17">
        <v>93</v>
      </c>
      <c r="C94" s="1" t="s">
        <v>148</v>
      </c>
      <c r="D94" s="1"/>
      <c r="E94" s="9" t="s">
        <v>147</v>
      </c>
      <c r="F94" s="14">
        <v>1</v>
      </c>
      <c r="G94" s="9"/>
      <c r="H94" s="14"/>
      <c r="I94" s="9"/>
      <c r="J94" s="4"/>
      <c r="K94" s="9"/>
      <c r="L94" s="4"/>
      <c r="M94" s="16"/>
      <c r="N94" s="20"/>
      <c r="P94">
        <f t="shared" si="2"/>
        <v>1</v>
      </c>
      <c r="R94">
        <f>COUNTIF($C$2:$C$105,Tabla3[[#This Row],[Profesor]])</f>
        <v>1</v>
      </c>
    </row>
    <row r="95" spans="1:18" ht="16.2" customHeight="1" thickBot="1" x14ac:dyDescent="0.35">
      <c r="A95" s="15" t="s">
        <v>926</v>
      </c>
      <c r="B95" s="17">
        <v>94</v>
      </c>
      <c r="C95" s="1" t="s">
        <v>927</v>
      </c>
      <c r="D95" s="1"/>
      <c r="E95" s="13" t="s">
        <v>50</v>
      </c>
      <c r="F95" s="14">
        <v>1</v>
      </c>
      <c r="G95" s="13"/>
      <c r="H95" s="14"/>
      <c r="I95" s="13"/>
      <c r="J95" s="14"/>
      <c r="K95" s="13"/>
      <c r="L95" s="4"/>
      <c r="M95" s="16" t="s">
        <v>929</v>
      </c>
      <c r="N95" s="20"/>
      <c r="P95">
        <f t="shared" si="2"/>
        <v>1</v>
      </c>
      <c r="R95">
        <f>COUNTIF($C$2:$C$105,Tabla3[[#This Row],[Profesor]])</f>
        <v>1</v>
      </c>
    </row>
    <row r="96" spans="1:18" ht="16.2" customHeight="1" thickBot="1" x14ac:dyDescent="0.35">
      <c r="A96" s="15" t="s">
        <v>426</v>
      </c>
      <c r="B96" s="17">
        <v>95</v>
      </c>
      <c r="C96" s="1" t="s">
        <v>224</v>
      </c>
      <c r="D96" s="1"/>
      <c r="E96" s="9" t="s">
        <v>223</v>
      </c>
      <c r="F96" s="14">
        <v>1</v>
      </c>
      <c r="G96" s="9"/>
      <c r="H96" s="14"/>
      <c r="I96" s="9"/>
      <c r="J96" s="4"/>
      <c r="K96" s="9"/>
      <c r="L96" s="4"/>
      <c r="M96" s="16"/>
      <c r="N96" s="20"/>
      <c r="P96">
        <f>F96+H96+J96+L96</f>
        <v>1</v>
      </c>
      <c r="R96">
        <f>COUNTIF($C$2:$C$105,Tabla3[[#This Row],[Profesor]])</f>
        <v>1</v>
      </c>
    </row>
    <row r="97" spans="1:18" ht="16.2" customHeight="1" thickBot="1" x14ac:dyDescent="0.35">
      <c r="A97" s="15" t="s">
        <v>427</v>
      </c>
      <c r="B97" s="17">
        <v>96</v>
      </c>
      <c r="C97" s="1" t="s">
        <v>211</v>
      </c>
      <c r="D97" s="1"/>
      <c r="E97" s="9" t="s">
        <v>210</v>
      </c>
      <c r="F97" s="14">
        <v>2</v>
      </c>
      <c r="G97" s="9"/>
      <c r="H97" s="14"/>
      <c r="I97" s="9"/>
      <c r="J97" s="4"/>
      <c r="K97" s="9"/>
      <c r="L97" s="4"/>
      <c r="M97" s="16"/>
      <c r="N97" s="20"/>
      <c r="P97">
        <f>F97+H97+J97+L97</f>
        <v>2</v>
      </c>
      <c r="R97">
        <f>COUNTIF($C$2:$C$105,Tabla3[[#This Row],[Profesor]])</f>
        <v>1</v>
      </c>
    </row>
    <row r="98" spans="1:18" ht="16.2" customHeight="1" thickBot="1" x14ac:dyDescent="0.35">
      <c r="A98" s="15" t="s">
        <v>428</v>
      </c>
      <c r="B98" s="17">
        <v>97</v>
      </c>
      <c r="C98" s="1" t="s">
        <v>49</v>
      </c>
      <c r="D98" s="1"/>
      <c r="E98" s="13" t="s">
        <v>46</v>
      </c>
      <c r="F98" s="14">
        <v>1</v>
      </c>
      <c r="G98" s="13" t="s">
        <v>191</v>
      </c>
      <c r="H98" s="14">
        <v>1</v>
      </c>
      <c r="I98" s="13"/>
      <c r="J98" s="14"/>
      <c r="K98" s="13"/>
      <c r="L98" s="4"/>
      <c r="M98" s="16"/>
      <c r="N98" s="20"/>
      <c r="P98">
        <f>F98+H98+J98+L98</f>
        <v>2</v>
      </c>
      <c r="R98">
        <f>COUNTIF($C$2:$C$105,Tabla3[[#This Row],[Profesor]])</f>
        <v>1</v>
      </c>
    </row>
    <row r="99" spans="1:18" ht="16.2" customHeight="1" thickBot="1" x14ac:dyDescent="0.35">
      <c r="A99" s="15" t="s">
        <v>429</v>
      </c>
      <c r="B99" s="17">
        <v>98</v>
      </c>
      <c r="C99" s="1" t="s">
        <v>153</v>
      </c>
      <c r="D99" s="42"/>
      <c r="E99" s="13" t="s">
        <v>137</v>
      </c>
      <c r="F99" s="14">
        <v>1</v>
      </c>
      <c r="G99" s="13" t="s">
        <v>241</v>
      </c>
      <c r="H99" s="14">
        <v>1</v>
      </c>
      <c r="I99" s="13"/>
      <c r="J99" s="14"/>
      <c r="K99" s="13"/>
      <c r="L99" s="4"/>
      <c r="M99" s="16"/>
      <c r="N99" s="20"/>
      <c r="P99">
        <f>F99+H99+J99+L99</f>
        <v>2</v>
      </c>
      <c r="R99">
        <f>COUNTIF($C$2:$C$105,Tabla3[[#This Row],[Profesor]])</f>
        <v>1</v>
      </c>
    </row>
    <row r="100" spans="1:18" ht="16.2" customHeight="1" thickBot="1" x14ac:dyDescent="0.35">
      <c r="A100" s="15" t="s">
        <v>430</v>
      </c>
      <c r="B100" s="17">
        <v>99</v>
      </c>
      <c r="C100" s="1" t="s">
        <v>172</v>
      </c>
      <c r="D100" s="1"/>
      <c r="E100" s="9" t="s">
        <v>170</v>
      </c>
      <c r="F100" s="14">
        <v>1</v>
      </c>
      <c r="G100" s="9" t="s">
        <v>277</v>
      </c>
      <c r="H100" s="14">
        <v>1</v>
      </c>
      <c r="I100" s="9"/>
      <c r="J100" s="4"/>
      <c r="K100" s="9"/>
      <c r="L100" s="4"/>
      <c r="M100" s="16"/>
      <c r="N100" s="20"/>
      <c r="P100">
        <f t="shared" ref="P100" si="5">F100+H100+J100+L100</f>
        <v>2</v>
      </c>
      <c r="R100">
        <f>COUNTIF($C$2:$C$105,Tabla3[[#This Row],[Profesor]])</f>
        <v>1</v>
      </c>
    </row>
    <row r="101" spans="1:18" ht="16.2" customHeight="1" thickBot="1" x14ac:dyDescent="0.35">
      <c r="A101" s="15" t="s">
        <v>431</v>
      </c>
      <c r="B101" s="17">
        <v>100</v>
      </c>
      <c r="C101" s="1" t="s">
        <v>78</v>
      </c>
      <c r="D101" s="1"/>
      <c r="E101" s="9" t="s">
        <v>77</v>
      </c>
      <c r="F101" s="14">
        <v>1</v>
      </c>
      <c r="G101" s="9"/>
      <c r="H101" s="14"/>
      <c r="I101" s="9"/>
      <c r="J101" s="4"/>
      <c r="K101" s="9"/>
      <c r="L101" s="4"/>
      <c r="M101" s="16"/>
      <c r="N101" s="20"/>
      <c r="P101">
        <f t="shared" ref="P101" si="6">F101+H101+J101+L101</f>
        <v>1</v>
      </c>
      <c r="R101">
        <f>COUNTIF($C$2:$C$105,Tabla3[[#This Row],[Profesor]])</f>
        <v>1</v>
      </c>
    </row>
    <row r="102" spans="1:18" ht="16.2" customHeight="1" thickBot="1" x14ac:dyDescent="0.35">
      <c r="A102" s="15" t="s">
        <v>432</v>
      </c>
      <c r="B102" s="17">
        <v>101</v>
      </c>
      <c r="C102" s="1" t="s">
        <v>97</v>
      </c>
      <c r="D102" s="1"/>
      <c r="E102" s="13" t="s">
        <v>91</v>
      </c>
      <c r="F102" s="14">
        <v>1</v>
      </c>
      <c r="G102" s="13" t="s">
        <v>118</v>
      </c>
      <c r="H102" s="14">
        <v>1</v>
      </c>
      <c r="I102" s="13"/>
      <c r="J102" s="14"/>
      <c r="K102" s="13"/>
      <c r="L102" s="4"/>
      <c r="M102" s="112" t="s">
        <v>433</v>
      </c>
      <c r="N102" s="110" t="s">
        <v>357</v>
      </c>
      <c r="P102">
        <f t="shared" ref="P102:P103" si="7">F102+H102+J102+L102</f>
        <v>2</v>
      </c>
      <c r="R102">
        <f>COUNTIF($C$2:$C$105,Tabla3[[#This Row],[Profesor]])</f>
        <v>1</v>
      </c>
    </row>
    <row r="103" spans="1:18" ht="16.2" customHeight="1" thickBot="1" x14ac:dyDescent="0.35">
      <c r="A103" s="15" t="s">
        <v>434</v>
      </c>
      <c r="B103" s="17">
        <v>102</v>
      </c>
      <c r="C103" s="1" t="s">
        <v>240</v>
      </c>
      <c r="D103" s="1"/>
      <c r="E103" s="9" t="s">
        <v>239</v>
      </c>
      <c r="F103" s="14">
        <v>1</v>
      </c>
      <c r="G103" s="9"/>
      <c r="H103" s="14"/>
      <c r="I103" s="9"/>
      <c r="J103" s="4"/>
      <c r="K103" s="9"/>
      <c r="L103" s="4"/>
      <c r="M103" s="16"/>
      <c r="N103" s="20"/>
      <c r="P103">
        <f t="shared" si="7"/>
        <v>1</v>
      </c>
      <c r="R103">
        <f>COUNTIF($C$2:$C$105,Tabla3[[#This Row],[Profesor]])</f>
        <v>1</v>
      </c>
    </row>
    <row r="104" spans="1:18" ht="16.2" customHeight="1" thickBot="1" x14ac:dyDescent="0.35">
      <c r="A104" s="15" t="s">
        <v>435</v>
      </c>
      <c r="B104" s="17">
        <v>103</v>
      </c>
      <c r="C104" s="1" t="s">
        <v>100</v>
      </c>
      <c r="D104" s="1"/>
      <c r="E104" s="9" t="s">
        <v>94</v>
      </c>
      <c r="F104" s="14">
        <v>1</v>
      </c>
      <c r="G104" s="9"/>
      <c r="H104" s="14"/>
      <c r="I104" s="9"/>
      <c r="J104" s="4"/>
      <c r="K104" s="9"/>
      <c r="L104" s="4"/>
      <c r="M104" s="16"/>
      <c r="N104" s="20"/>
      <c r="P104">
        <f t="shared" ref="P104" si="8">F104+H104+J104+L104</f>
        <v>1</v>
      </c>
      <c r="R104">
        <f>COUNTIF($C$2:$C$105,Tabla3[[#This Row],[Profesor]])</f>
        <v>1</v>
      </c>
    </row>
    <row r="105" spans="1:18" ht="16.2" customHeight="1" thickBot="1" x14ac:dyDescent="0.35">
      <c r="A105" s="15" t="s">
        <v>436</v>
      </c>
      <c r="B105" s="17">
        <v>104</v>
      </c>
      <c r="C105" s="1" t="s">
        <v>60</v>
      </c>
      <c r="D105" s="1"/>
      <c r="E105" s="9" t="s">
        <v>59</v>
      </c>
      <c r="F105" s="102">
        <v>2</v>
      </c>
      <c r="G105" s="9"/>
      <c r="H105" s="14"/>
      <c r="I105" s="9"/>
      <c r="J105" s="4"/>
      <c r="K105" s="9"/>
      <c r="L105" s="4"/>
      <c r="M105" s="16"/>
      <c r="N105" s="20"/>
      <c r="P105">
        <f t="shared" si="2"/>
        <v>2</v>
      </c>
      <c r="R105">
        <f>COUNTIF($C$2:$C$105,Tabla3[[#This Row],[Profesor]])</f>
        <v>1</v>
      </c>
    </row>
    <row r="107" spans="1:18" ht="16.2" customHeight="1" x14ac:dyDescent="0.3">
      <c r="O107" t="s">
        <v>437</v>
      </c>
    </row>
    <row r="108" spans="1:18" ht="16.2" customHeight="1" x14ac:dyDescent="0.3">
      <c r="O108">
        <v>0</v>
      </c>
      <c r="P108">
        <f t="shared" ref="P108:P115" si="9">COUNTIF($P$2:$P$105,O108)</f>
        <v>1</v>
      </c>
    </row>
    <row r="109" spans="1:18" ht="16.2" customHeight="1" x14ac:dyDescent="0.3">
      <c r="O109">
        <v>1</v>
      </c>
      <c r="P109">
        <f t="shared" si="9"/>
        <v>59</v>
      </c>
    </row>
    <row r="110" spans="1:18" ht="16.2" customHeight="1" x14ac:dyDescent="0.3">
      <c r="O110">
        <v>2</v>
      </c>
      <c r="P110">
        <f t="shared" si="9"/>
        <v>30</v>
      </c>
    </row>
    <row r="111" spans="1:18" ht="16.2" customHeight="1" x14ac:dyDescent="0.3">
      <c r="O111">
        <v>3</v>
      </c>
      <c r="P111">
        <f t="shared" si="9"/>
        <v>8</v>
      </c>
    </row>
    <row r="112" spans="1:18" ht="16.2" customHeight="1" x14ac:dyDescent="0.3">
      <c r="O112">
        <v>4</v>
      </c>
      <c r="P112">
        <f t="shared" si="9"/>
        <v>4</v>
      </c>
    </row>
    <row r="113" spans="15:29" ht="16.2" customHeight="1" x14ac:dyDescent="0.3">
      <c r="O113">
        <v>5</v>
      </c>
      <c r="P113">
        <f t="shared" si="9"/>
        <v>2</v>
      </c>
    </row>
    <row r="114" spans="15:29" ht="16.2" customHeight="1" x14ac:dyDescent="0.3">
      <c r="O114">
        <v>6</v>
      </c>
      <c r="P114">
        <f t="shared" si="9"/>
        <v>0</v>
      </c>
    </row>
    <row r="115" spans="15:29" ht="16.2" customHeight="1" x14ac:dyDescent="0.3">
      <c r="O115">
        <v>7</v>
      </c>
      <c r="P115">
        <f t="shared" si="9"/>
        <v>0</v>
      </c>
    </row>
    <row r="116" spans="15:29" ht="16.2" customHeight="1" x14ac:dyDescent="0.3">
      <c r="P116" cm="1">
        <f t="array" ref="P116">SUM(O108:O115*P108:P115)</f>
        <v>169</v>
      </c>
    </row>
    <row r="118" spans="15:29" ht="16.2" customHeight="1" x14ac:dyDescent="0.3">
      <c r="T118" s="15"/>
      <c r="AC118" s="15"/>
    </row>
    <row r="131" spans="20:29" ht="16.2" customHeight="1" x14ac:dyDescent="0.3">
      <c r="T131" s="15"/>
      <c r="AC131" s="15"/>
    </row>
    <row r="144" spans="20:29" ht="16.2" customHeight="1" x14ac:dyDescent="0.3">
      <c r="T144" s="15"/>
      <c r="AC144" s="15"/>
    </row>
    <row r="157" spans="20:29" ht="16.2" customHeight="1" x14ac:dyDescent="0.3">
      <c r="T157" s="15"/>
      <c r="AC157" s="15"/>
    </row>
    <row r="170" spans="20:29" ht="16.2" customHeight="1" x14ac:dyDescent="0.3">
      <c r="T170" s="15"/>
      <c r="AC170" s="15"/>
    </row>
    <row r="183" spans="20:29" ht="16.2" customHeight="1" x14ac:dyDescent="0.3">
      <c r="T183" s="15"/>
      <c r="AC183" s="15"/>
    </row>
    <row r="196" spans="20:29" ht="16.2" customHeight="1" x14ac:dyDescent="0.3">
      <c r="T196" s="15"/>
      <c r="AC196" s="15"/>
    </row>
    <row r="209" spans="20:29" ht="16.2" customHeight="1" x14ac:dyDescent="0.3">
      <c r="T209" s="15"/>
      <c r="AC209" s="15"/>
    </row>
    <row r="222" spans="20:29" ht="16.2" customHeight="1" x14ac:dyDescent="0.3">
      <c r="T222" s="15"/>
      <c r="AC222" s="15"/>
    </row>
    <row r="235" spans="20:29" ht="16.2" customHeight="1" x14ac:dyDescent="0.3">
      <c r="T235" s="15"/>
      <c r="AC235" s="15"/>
    </row>
    <row r="248" spans="20:29" ht="16.2" customHeight="1" x14ac:dyDescent="0.3">
      <c r="T248" s="15"/>
      <c r="AC248" s="15"/>
    </row>
    <row r="261" spans="20:29" ht="16.2" customHeight="1" x14ac:dyDescent="0.3">
      <c r="T261" s="15"/>
      <c r="AC261" s="15"/>
    </row>
    <row r="274" spans="20:29" ht="16.2" customHeight="1" x14ac:dyDescent="0.3">
      <c r="T274" s="15"/>
      <c r="AC274" s="15"/>
    </row>
    <row r="287" spans="20:29" ht="16.2" customHeight="1" x14ac:dyDescent="0.3">
      <c r="T287" s="15"/>
      <c r="AC287" s="15"/>
    </row>
    <row r="300" spans="20:29" ht="16.2" customHeight="1" x14ac:dyDescent="0.3">
      <c r="T300" s="15"/>
      <c r="AC300" s="15"/>
    </row>
    <row r="313" spans="20:29" ht="16.2" customHeight="1" x14ac:dyDescent="0.3">
      <c r="T313" s="15"/>
      <c r="AC313" s="15"/>
    </row>
    <row r="326" spans="20:29" ht="16.2" customHeight="1" x14ac:dyDescent="0.3">
      <c r="T326" s="15"/>
      <c r="AC326" s="15"/>
    </row>
    <row r="339" spans="20:29" ht="16.2" customHeight="1" x14ac:dyDescent="0.3">
      <c r="T339" s="15"/>
      <c r="AC339" s="15"/>
    </row>
    <row r="352" spans="20:29" ht="16.2" customHeight="1" x14ac:dyDescent="0.3">
      <c r="T352" s="15"/>
      <c r="AC352" s="15"/>
    </row>
    <row r="365" spans="20:29" ht="16.2" customHeight="1" x14ac:dyDescent="0.3">
      <c r="T365" s="15"/>
      <c r="AC365" s="15"/>
    </row>
    <row r="378" spans="20:29" ht="16.2" customHeight="1" x14ac:dyDescent="0.3">
      <c r="T378" s="15"/>
      <c r="AC378" s="15"/>
    </row>
    <row r="391" spans="20:29" ht="16.2" customHeight="1" x14ac:dyDescent="0.3">
      <c r="T391" s="15"/>
      <c r="AC391" s="15"/>
    </row>
    <row r="404" spans="20:29" ht="16.2" customHeight="1" x14ac:dyDescent="0.3">
      <c r="T404" s="15"/>
      <c r="AC404" s="15"/>
    </row>
    <row r="417" spans="20:29" ht="16.2" customHeight="1" x14ac:dyDescent="0.3">
      <c r="T417" s="15"/>
      <c r="AC417" s="15"/>
    </row>
    <row r="430" spans="20:29" ht="16.2" customHeight="1" x14ac:dyDescent="0.3">
      <c r="T430" s="15"/>
      <c r="AC430" s="15"/>
    </row>
    <row r="443" spans="20:29" ht="16.2" customHeight="1" x14ac:dyDescent="0.3">
      <c r="T443" s="15"/>
      <c r="AC443" s="15"/>
    </row>
    <row r="456" spans="20:29" ht="16.2" customHeight="1" x14ac:dyDescent="0.3">
      <c r="T456" s="15"/>
      <c r="AC456" s="15"/>
    </row>
    <row r="469" spans="20:29" ht="16.2" customHeight="1" x14ac:dyDescent="0.3">
      <c r="T469" s="15"/>
      <c r="AC469" s="15"/>
    </row>
    <row r="482" spans="20:29" ht="16.2" customHeight="1" x14ac:dyDescent="0.3">
      <c r="T482" s="15"/>
      <c r="AC482" s="15"/>
    </row>
    <row r="495" spans="20:29" ht="16.2" customHeight="1" x14ac:dyDescent="0.3">
      <c r="T495" s="15"/>
      <c r="AC495" s="15"/>
    </row>
    <row r="508" spans="20:29" ht="16.2" customHeight="1" x14ac:dyDescent="0.3">
      <c r="T508" s="15"/>
      <c r="AC508" s="15"/>
    </row>
    <row r="521" spans="20:29" ht="16.2" customHeight="1" x14ac:dyDescent="0.3">
      <c r="T521" s="15"/>
      <c r="AC521" s="15"/>
    </row>
    <row r="534" spans="20:29" ht="16.2" customHeight="1" x14ac:dyDescent="0.3">
      <c r="T534" s="15"/>
      <c r="AC534" s="15"/>
    </row>
    <row r="547" spans="20:29" ht="16.2" customHeight="1" x14ac:dyDescent="0.3">
      <c r="T547" s="15"/>
      <c r="AC547" s="15"/>
    </row>
    <row r="560" spans="20:29" ht="16.2" customHeight="1" x14ac:dyDescent="0.3">
      <c r="T560" s="15"/>
      <c r="AC560" s="15"/>
    </row>
    <row r="573" spans="20:29" ht="16.2" customHeight="1" x14ac:dyDescent="0.3">
      <c r="T573" s="15"/>
      <c r="AC573" s="15"/>
    </row>
    <row r="586" spans="20:29" ht="16.2" customHeight="1" x14ac:dyDescent="0.3">
      <c r="T586" s="15"/>
      <c r="AC586" s="15"/>
    </row>
    <row r="599" spans="20:29" ht="16.2" customHeight="1" x14ac:dyDescent="0.3">
      <c r="T599" s="15"/>
      <c r="AC599" s="15"/>
    </row>
    <row r="612" spans="20:29" ht="16.2" customHeight="1" x14ac:dyDescent="0.3">
      <c r="T612" s="15"/>
      <c r="AC612" s="15"/>
    </row>
    <row r="625" spans="20:29" ht="16.2" customHeight="1" x14ac:dyDescent="0.3">
      <c r="T625" s="15"/>
      <c r="AC625" s="15"/>
    </row>
    <row r="638" spans="20:29" ht="16.2" customHeight="1" x14ac:dyDescent="0.3">
      <c r="T638" s="15"/>
      <c r="AC638" s="15"/>
    </row>
    <row r="651" spans="20:29" ht="16.2" customHeight="1" x14ac:dyDescent="0.3">
      <c r="T651" s="15"/>
      <c r="AC651" s="15"/>
    </row>
    <row r="664" spans="20:29" ht="16.2" customHeight="1" x14ac:dyDescent="0.3">
      <c r="T664" s="15"/>
      <c r="AC664" s="15"/>
    </row>
    <row r="677" spans="20:29" ht="16.2" customHeight="1" x14ac:dyDescent="0.3">
      <c r="T677" s="15"/>
      <c r="AC677" s="15"/>
    </row>
    <row r="690" spans="20:29" ht="16.2" customHeight="1" x14ac:dyDescent="0.3">
      <c r="T690" s="15"/>
      <c r="AC690" s="15"/>
    </row>
    <row r="703" spans="20:29" ht="16.2" customHeight="1" x14ac:dyDescent="0.3">
      <c r="T703" s="15"/>
      <c r="AC703" s="15"/>
    </row>
    <row r="716" spans="20:29" ht="16.2" customHeight="1" x14ac:dyDescent="0.3">
      <c r="T716" s="15"/>
      <c r="AC716" s="15"/>
    </row>
    <row r="729" spans="20:29" ht="16.2" customHeight="1" x14ac:dyDescent="0.3">
      <c r="T729" s="15"/>
      <c r="AC729" s="15"/>
    </row>
    <row r="742" spans="20:29" ht="16.2" customHeight="1" x14ac:dyDescent="0.3">
      <c r="T742" s="15"/>
      <c r="AC742" s="15"/>
    </row>
    <row r="755" spans="20:29" ht="16.2" customHeight="1" x14ac:dyDescent="0.3">
      <c r="T755" s="15"/>
      <c r="AC755" s="15"/>
    </row>
  </sheetData>
  <phoneticPr fontId="2" type="noConversion"/>
  <pageMargins left="0.7" right="0.7" top="0.75" bottom="0.75" header="0.3" footer="0.3"/>
  <pageSetup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51C35C-A0C4-4FE1-8710-CECC79027773}">
          <x14:formula1>
            <xm:f>materias!$B$2:$B$174</xm:f>
          </x14:formula1>
          <xm:sqref>E2:E105 G2:G105 I2:I105 K2:K105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AF091-B188-45E4-A668-87A3C369D9D0}">
  <sheetPr codeName="Hoja21"/>
  <dimension ref="A1:I30"/>
  <sheetViews>
    <sheetView topLeftCell="A8" workbookViewId="0">
      <selection activeCell="L27" sqref="L27"/>
    </sheetView>
  </sheetViews>
  <sheetFormatPr baseColWidth="10" defaultColWidth="11.44140625" defaultRowHeight="14.4" x14ac:dyDescent="0.3"/>
  <sheetData>
    <row r="1" spans="1:9" ht="15" thickBot="1" x14ac:dyDescent="0.35">
      <c r="A1" s="2" t="s">
        <v>439</v>
      </c>
      <c r="B1" s="2" t="s">
        <v>440</v>
      </c>
      <c r="C1" s="2" t="s">
        <v>441</v>
      </c>
      <c r="D1" s="2" t="s">
        <v>442</v>
      </c>
      <c r="E1" s="2" t="s">
        <v>443</v>
      </c>
      <c r="F1" s="2" t="s">
        <v>444</v>
      </c>
      <c r="G1" s="2" t="s">
        <v>445</v>
      </c>
      <c r="H1" s="18" t="s">
        <v>446</v>
      </c>
    </row>
    <row r="2" spans="1:9" ht="15" thickBot="1" x14ac:dyDescent="0.35">
      <c r="A2" s="2" t="str">
        <f t="shared" ref="A2:A8" si="0">_xlfn.CONCAT(B2:F2)</f>
        <v>11</v>
      </c>
      <c r="B2" s="2">
        <v>1</v>
      </c>
      <c r="C2" s="2"/>
      <c r="D2" s="2"/>
      <c r="E2" s="2">
        <v>1</v>
      </c>
      <c r="F2" s="2"/>
      <c r="G2" s="2" t="s">
        <v>447</v>
      </c>
      <c r="H2">
        <v>45</v>
      </c>
    </row>
    <row r="3" spans="1:9" ht="15" thickBot="1" x14ac:dyDescent="0.35">
      <c r="A3" s="2" t="str">
        <f t="shared" si="0"/>
        <v>12</v>
      </c>
      <c r="B3" s="2">
        <v>1</v>
      </c>
      <c r="C3" s="2"/>
      <c r="D3" s="2"/>
      <c r="E3" s="2">
        <v>2</v>
      </c>
      <c r="F3" s="2"/>
      <c r="G3" s="2" t="s">
        <v>447</v>
      </c>
      <c r="H3">
        <v>45</v>
      </c>
    </row>
    <row r="4" spans="1:9" ht="15" thickBot="1" x14ac:dyDescent="0.35">
      <c r="A4" s="2" t="str">
        <f t="shared" si="0"/>
        <v>13</v>
      </c>
      <c r="B4" s="2">
        <v>1</v>
      </c>
      <c r="C4" s="2"/>
      <c r="D4" s="2"/>
      <c r="E4" s="2">
        <v>3</v>
      </c>
      <c r="F4" s="2"/>
      <c r="G4" s="2" t="s">
        <v>447</v>
      </c>
      <c r="H4">
        <v>45</v>
      </c>
    </row>
    <row r="5" spans="1:9" ht="15" thickBot="1" x14ac:dyDescent="0.35">
      <c r="A5" s="2" t="str">
        <f t="shared" si="0"/>
        <v>14</v>
      </c>
      <c r="B5" s="2">
        <v>1</v>
      </c>
      <c r="C5" s="2"/>
      <c r="D5" s="2"/>
      <c r="E5" s="2">
        <v>4</v>
      </c>
      <c r="F5" s="2"/>
      <c r="G5" s="2" t="s">
        <v>448</v>
      </c>
      <c r="H5">
        <v>45</v>
      </c>
    </row>
    <row r="6" spans="1:9" ht="15" thickBot="1" x14ac:dyDescent="0.35">
      <c r="A6" s="2" t="str">
        <f t="shared" si="0"/>
        <v>1LIC</v>
      </c>
      <c r="B6" s="2">
        <v>1</v>
      </c>
      <c r="C6" s="2" t="s">
        <v>449</v>
      </c>
      <c r="D6" s="2"/>
      <c r="E6" s="2"/>
      <c r="F6" s="2"/>
      <c r="G6" s="2" t="s">
        <v>450</v>
      </c>
      <c r="H6">
        <v>25</v>
      </c>
    </row>
    <row r="7" spans="1:9" ht="15" thickBot="1" x14ac:dyDescent="0.35">
      <c r="A7" s="2" t="str">
        <f t="shared" si="0"/>
        <v>1REC1</v>
      </c>
      <c r="B7" s="2">
        <v>1</v>
      </c>
      <c r="C7" s="2"/>
      <c r="D7" s="2" t="s">
        <v>451</v>
      </c>
      <c r="E7" s="2">
        <v>1</v>
      </c>
      <c r="F7" s="2"/>
      <c r="G7" s="2" t="s">
        <v>448</v>
      </c>
      <c r="H7">
        <v>35</v>
      </c>
    </row>
    <row r="8" spans="1:9" ht="15" thickBot="1" x14ac:dyDescent="0.35">
      <c r="A8" s="2" t="str">
        <f t="shared" si="0"/>
        <v>1REC2</v>
      </c>
      <c r="B8" s="2">
        <v>1</v>
      </c>
      <c r="C8" s="2"/>
      <c r="D8" s="2" t="s">
        <v>451</v>
      </c>
      <c r="E8" s="2">
        <v>2</v>
      </c>
      <c r="F8" s="2"/>
      <c r="G8" s="2" t="s">
        <v>448</v>
      </c>
      <c r="H8">
        <v>35</v>
      </c>
    </row>
    <row r="9" spans="1:9" ht="15" thickBot="1" x14ac:dyDescent="0.35">
      <c r="A9" s="2" t="str">
        <f>_xlfn.CONCAT(B9:F9)</f>
        <v>2CIV</v>
      </c>
      <c r="B9" s="2">
        <v>2</v>
      </c>
      <c r="C9" s="2" t="s">
        <v>452</v>
      </c>
      <c r="D9" s="2"/>
      <c r="E9" s="2"/>
      <c r="F9" s="2"/>
      <c r="G9" s="2" t="s">
        <v>447</v>
      </c>
      <c r="H9">
        <v>18</v>
      </c>
    </row>
    <row r="10" spans="1:9" ht="15" thickBot="1" x14ac:dyDescent="0.35">
      <c r="A10" s="2" t="str">
        <f>_xlfn.CONCAT(B10:F10)</f>
        <v>2IND</v>
      </c>
      <c r="B10" s="2">
        <v>2</v>
      </c>
      <c r="C10" s="2" t="s">
        <v>453</v>
      </c>
      <c r="D10" s="2"/>
      <c r="E10" s="2"/>
      <c r="F10" s="2"/>
      <c r="G10" s="2" t="s">
        <v>447</v>
      </c>
      <c r="H10">
        <v>26</v>
      </c>
    </row>
    <row r="11" spans="1:9" ht="15" thickBot="1" x14ac:dyDescent="0.35">
      <c r="A11" s="2" t="str">
        <f>_xlfn.CONCAT(B11:F11)</f>
        <v>2INF1</v>
      </c>
      <c r="B11" s="2">
        <v>2</v>
      </c>
      <c r="C11" s="2" t="s">
        <v>454</v>
      </c>
      <c r="D11" s="2"/>
      <c r="E11" s="2">
        <v>1</v>
      </c>
      <c r="F11" s="2"/>
      <c r="G11" s="2" t="s">
        <v>447</v>
      </c>
      <c r="H11">
        <v>34</v>
      </c>
      <c r="I11" s="43" t="s">
        <v>455</v>
      </c>
    </row>
    <row r="12" spans="1:9" ht="15" thickBot="1" x14ac:dyDescent="0.35">
      <c r="A12" s="2" t="str">
        <f>_xlfn.CONCAT(B12:F12)</f>
        <v>2INF2</v>
      </c>
      <c r="B12" s="2">
        <v>2</v>
      </c>
      <c r="C12" s="2" t="s">
        <v>454</v>
      </c>
      <c r="D12" s="2"/>
      <c r="E12" s="2">
        <v>2</v>
      </c>
      <c r="F12" s="2"/>
      <c r="G12" s="2" t="s">
        <v>447</v>
      </c>
      <c r="H12">
        <v>34</v>
      </c>
      <c r="I12" s="43" t="s">
        <v>455</v>
      </c>
    </row>
    <row r="13" spans="1:9" ht="15" thickBot="1" x14ac:dyDescent="0.35">
      <c r="A13" s="2" t="str">
        <f>_xlfn.CONCAT(B13:F13)</f>
        <v>2TEL</v>
      </c>
      <c r="B13" s="2">
        <v>2</v>
      </c>
      <c r="C13" s="2" t="s">
        <v>456</v>
      </c>
      <c r="D13" s="2"/>
      <c r="E13" s="2"/>
      <c r="F13" s="2"/>
      <c r="G13" s="2" t="s">
        <v>447</v>
      </c>
      <c r="H13">
        <v>16</v>
      </c>
    </row>
    <row r="14" spans="1:9" ht="15" thickBot="1" x14ac:dyDescent="0.35">
      <c r="A14" s="2" t="str">
        <f t="shared" ref="A14:A25" si="1">_xlfn.CONCAT(B14:F14)</f>
        <v>2LIC</v>
      </c>
      <c r="B14" s="2">
        <v>2</v>
      </c>
      <c r="C14" s="2" t="s">
        <v>449</v>
      </c>
      <c r="D14" s="2"/>
      <c r="E14" s="2"/>
      <c r="F14" s="2"/>
      <c r="G14" s="2" t="s">
        <v>450</v>
      </c>
      <c r="H14">
        <v>26</v>
      </c>
    </row>
    <row r="15" spans="1:9" ht="15" thickBot="1" x14ac:dyDescent="0.35">
      <c r="A15" s="2" t="str">
        <f t="shared" si="1"/>
        <v>3CIV</v>
      </c>
      <c r="B15" s="2">
        <v>3</v>
      </c>
      <c r="C15" s="2" t="s">
        <v>452</v>
      </c>
      <c r="D15" s="2"/>
      <c r="E15" s="2"/>
      <c r="F15" s="2"/>
      <c r="G15" s="2" t="s">
        <v>447</v>
      </c>
      <c r="H15">
        <v>17</v>
      </c>
    </row>
    <row r="16" spans="1:9" ht="15" thickBot="1" x14ac:dyDescent="0.35">
      <c r="A16" s="2" t="str">
        <f t="shared" si="1"/>
        <v>3IND</v>
      </c>
      <c r="B16" s="2">
        <v>3</v>
      </c>
      <c r="C16" s="2" t="s">
        <v>453</v>
      </c>
      <c r="D16" s="2"/>
      <c r="E16" s="2"/>
      <c r="F16" s="2"/>
      <c r="G16" s="2" t="s">
        <v>447</v>
      </c>
      <c r="H16">
        <v>32</v>
      </c>
    </row>
    <row r="17" spans="1:8" ht="15" thickBot="1" x14ac:dyDescent="0.35">
      <c r="A17" s="2" t="str">
        <f t="shared" si="1"/>
        <v>3TEL</v>
      </c>
      <c r="B17" s="2">
        <v>3</v>
      </c>
      <c r="C17" s="2" t="s">
        <v>456</v>
      </c>
      <c r="D17" s="2"/>
      <c r="E17" s="2"/>
      <c r="F17" s="2"/>
      <c r="G17" s="2" t="s">
        <v>447</v>
      </c>
      <c r="H17">
        <v>24</v>
      </c>
    </row>
    <row r="18" spans="1:8" ht="15" thickBot="1" x14ac:dyDescent="0.35">
      <c r="A18" s="2" t="str">
        <f t="shared" si="1"/>
        <v>3INF1</v>
      </c>
      <c r="B18" s="2">
        <v>3</v>
      </c>
      <c r="C18" s="2" t="s">
        <v>454</v>
      </c>
      <c r="D18" s="2"/>
      <c r="E18" s="2">
        <v>1</v>
      </c>
      <c r="F18" s="2"/>
      <c r="G18" s="2" t="s">
        <v>447</v>
      </c>
      <c r="H18">
        <v>27</v>
      </c>
    </row>
    <row r="19" spans="1:8" ht="15" thickBot="1" x14ac:dyDescent="0.35">
      <c r="A19" s="2" t="str">
        <f t="shared" si="1"/>
        <v>3INF2</v>
      </c>
      <c r="B19" s="2">
        <v>3</v>
      </c>
      <c r="C19" s="2" t="s">
        <v>454</v>
      </c>
      <c r="D19" s="2"/>
      <c r="E19" s="2">
        <v>2</v>
      </c>
      <c r="F19" s="2"/>
      <c r="G19" s="2" t="s">
        <v>447</v>
      </c>
      <c r="H19">
        <v>26</v>
      </c>
    </row>
    <row r="20" spans="1:8" ht="15" thickBot="1" x14ac:dyDescent="0.35">
      <c r="A20" s="2" t="str">
        <f t="shared" si="1"/>
        <v>3LIC</v>
      </c>
      <c r="B20" s="2">
        <v>3</v>
      </c>
      <c r="C20" s="2" t="s">
        <v>449</v>
      </c>
      <c r="D20" s="2"/>
      <c r="E20" s="2"/>
      <c r="F20" s="2"/>
      <c r="G20" s="2" t="s">
        <v>450</v>
      </c>
      <c r="H20">
        <v>20</v>
      </c>
    </row>
    <row r="21" spans="1:8" ht="15" thickBot="1" x14ac:dyDescent="0.35">
      <c r="A21" s="2" t="str">
        <f t="shared" si="1"/>
        <v>4CIV</v>
      </c>
      <c r="B21" s="2">
        <v>4</v>
      </c>
      <c r="C21" s="2" t="s">
        <v>452</v>
      </c>
      <c r="D21" s="2"/>
      <c r="E21" s="2"/>
      <c r="F21" s="2"/>
      <c r="G21" s="2" t="s">
        <v>457</v>
      </c>
      <c r="H21">
        <v>7</v>
      </c>
    </row>
    <row r="22" spans="1:8" ht="15" thickBot="1" x14ac:dyDescent="0.35">
      <c r="A22" s="2" t="str">
        <f t="shared" si="1"/>
        <v>4IND</v>
      </c>
      <c r="B22" s="2">
        <v>4</v>
      </c>
      <c r="C22" s="2" t="s">
        <v>453</v>
      </c>
      <c r="D22" s="2"/>
      <c r="E22" s="2"/>
      <c r="F22" s="2"/>
      <c r="G22" s="2" t="s">
        <v>457</v>
      </c>
      <c r="H22">
        <v>16</v>
      </c>
    </row>
    <row r="23" spans="1:8" ht="15" thickBot="1" x14ac:dyDescent="0.35">
      <c r="A23" s="2" t="str">
        <f t="shared" si="1"/>
        <v>4TEL</v>
      </c>
      <c r="B23" s="2">
        <v>4</v>
      </c>
      <c r="C23" s="2" t="s">
        <v>456</v>
      </c>
      <c r="D23" s="2"/>
      <c r="E23" s="2"/>
      <c r="F23" s="2"/>
      <c r="G23" s="2" t="s">
        <v>457</v>
      </c>
      <c r="H23">
        <v>8</v>
      </c>
    </row>
    <row r="24" spans="1:8" ht="15" thickBot="1" x14ac:dyDescent="0.35">
      <c r="A24" s="2" t="str">
        <f t="shared" si="1"/>
        <v>4INF1</v>
      </c>
      <c r="B24" s="2">
        <v>4</v>
      </c>
      <c r="C24" s="2" t="s">
        <v>454</v>
      </c>
      <c r="D24" s="2"/>
      <c r="E24" s="2">
        <v>1</v>
      </c>
      <c r="F24" s="2"/>
      <c r="G24" s="2" t="s">
        <v>457</v>
      </c>
      <c r="H24">
        <v>24</v>
      </c>
    </row>
    <row r="25" spans="1:8" ht="15" thickBot="1" x14ac:dyDescent="0.35">
      <c r="A25" s="2" t="str">
        <f t="shared" si="1"/>
        <v>4INF2</v>
      </c>
      <c r="B25" s="2">
        <v>4</v>
      </c>
      <c r="C25" s="2" t="s">
        <v>454</v>
      </c>
      <c r="D25" s="2"/>
      <c r="E25" s="2">
        <v>2</v>
      </c>
      <c r="F25" s="2"/>
      <c r="G25" s="2" t="s">
        <v>457</v>
      </c>
      <c r="H25">
        <v>23</v>
      </c>
    </row>
    <row r="26" spans="1:8" ht="15" thickBot="1" x14ac:dyDescent="0.35">
      <c r="A26" s="2" t="str">
        <f t="shared" ref="A26:A30" si="2">_xlfn.CONCAT(B26:F26)</f>
        <v>4LIC</v>
      </c>
      <c r="B26" s="2">
        <v>4</v>
      </c>
      <c r="C26" s="2" t="s">
        <v>449</v>
      </c>
      <c r="D26" s="2"/>
      <c r="E26" s="2"/>
      <c r="F26" s="2"/>
      <c r="G26" s="2" t="s">
        <v>450</v>
      </c>
      <c r="H26">
        <v>31</v>
      </c>
    </row>
    <row r="27" spans="1:8" ht="15" thickBot="1" x14ac:dyDescent="0.35">
      <c r="A27" s="2" t="str">
        <f t="shared" si="2"/>
        <v>5CIV</v>
      </c>
      <c r="B27" s="2">
        <v>5</v>
      </c>
      <c r="C27" s="2" t="s">
        <v>452</v>
      </c>
      <c r="D27" s="2"/>
      <c r="E27" s="2"/>
      <c r="F27" s="2"/>
      <c r="G27" s="2" t="s">
        <v>457</v>
      </c>
      <c r="H27">
        <v>15</v>
      </c>
    </row>
    <row r="28" spans="1:8" ht="15" thickBot="1" x14ac:dyDescent="0.35">
      <c r="A28" s="2" t="str">
        <f t="shared" si="2"/>
        <v>5IND</v>
      </c>
      <c r="B28" s="2">
        <v>5</v>
      </c>
      <c r="C28" s="2" t="s">
        <v>453</v>
      </c>
      <c r="D28" s="2"/>
      <c r="E28" s="2"/>
      <c r="F28" s="2"/>
      <c r="G28" s="2" t="s">
        <v>457</v>
      </c>
      <c r="H28">
        <v>17</v>
      </c>
    </row>
    <row r="29" spans="1:8" ht="15" thickBot="1" x14ac:dyDescent="0.35">
      <c r="A29" s="2" t="str">
        <f t="shared" si="2"/>
        <v>5TEL</v>
      </c>
      <c r="B29" s="2">
        <v>5</v>
      </c>
      <c r="C29" s="2" t="s">
        <v>456</v>
      </c>
      <c r="D29" s="2"/>
      <c r="E29" s="2"/>
      <c r="F29" s="2"/>
      <c r="G29" s="2" t="s">
        <v>457</v>
      </c>
      <c r="H29">
        <v>14</v>
      </c>
    </row>
    <row r="30" spans="1:8" ht="15" thickBot="1" x14ac:dyDescent="0.35">
      <c r="A30" s="2" t="str">
        <f t="shared" si="2"/>
        <v>5INF</v>
      </c>
      <c r="B30" s="2">
        <v>5</v>
      </c>
      <c r="C30" s="2" t="s">
        <v>454</v>
      </c>
      <c r="D30" s="2"/>
      <c r="E30" s="2"/>
      <c r="F30" s="2"/>
      <c r="G30" s="2" t="s">
        <v>457</v>
      </c>
      <c r="H30">
        <v>21</v>
      </c>
    </row>
  </sheetData>
  <phoneticPr fontId="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D1F034-F003-4A4D-A6CF-2AC6B6698EE8}">
          <x14:formula1>
            <xm:f>turnos!$R$1:$U$1</xm:f>
          </x14:formula1>
          <xm:sqref>G2:G7 G9:G30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007FF-62CB-480A-B3B8-0345C974688E}">
  <sheetPr codeName="Hoja1"/>
  <dimension ref="A1:U18"/>
  <sheetViews>
    <sheetView topLeftCell="F1" workbookViewId="0">
      <selection activeCell="U20" sqref="U20"/>
    </sheetView>
  </sheetViews>
  <sheetFormatPr baseColWidth="10" defaultColWidth="11.44140625" defaultRowHeight="14.4" x14ac:dyDescent="0.3"/>
  <cols>
    <col min="1" max="1" width="4.33203125" bestFit="1" customWidth="1"/>
    <col min="2" max="2" width="7.33203125" style="31" customWidth="1"/>
    <col min="3" max="3" width="6" style="31" customWidth="1"/>
    <col min="4" max="7" width="9.109375" style="33" customWidth="1"/>
  </cols>
  <sheetData>
    <row r="1" spans="1:21" x14ac:dyDescent="0.3">
      <c r="A1" s="31" t="s">
        <v>458</v>
      </c>
      <c r="B1" s="31" t="s">
        <v>459</v>
      </c>
      <c r="C1" s="31" t="s">
        <v>460</v>
      </c>
      <c r="D1" s="33" t="s">
        <v>461</v>
      </c>
      <c r="E1" s="33" t="s">
        <v>462</v>
      </c>
      <c r="F1" s="33" t="s">
        <v>463</v>
      </c>
      <c r="G1" s="33" t="s">
        <v>464</v>
      </c>
      <c r="Q1" s="15" t="s">
        <v>458</v>
      </c>
      <c r="R1" t="s">
        <v>447</v>
      </c>
      <c r="S1" t="s">
        <v>448</v>
      </c>
      <c r="T1" t="s">
        <v>457</v>
      </c>
      <c r="U1" t="s">
        <v>450</v>
      </c>
    </row>
    <row r="2" spans="1:21" x14ac:dyDescent="0.3">
      <c r="A2" s="31">
        <v>1</v>
      </c>
      <c r="B2" s="34">
        <v>0.33333333333333331</v>
      </c>
      <c r="C2" s="34">
        <f>B2+(5/6)/24</f>
        <v>0.36805555555555552</v>
      </c>
      <c r="D2" t="s">
        <v>447</v>
      </c>
      <c r="K2" t="s">
        <v>465</v>
      </c>
      <c r="M2" t="s">
        <v>447</v>
      </c>
      <c r="Q2" s="15">
        <v>1</v>
      </c>
      <c r="R2" t="s">
        <v>465</v>
      </c>
    </row>
    <row r="3" spans="1:21" x14ac:dyDescent="0.3">
      <c r="A3" s="31">
        <v>2</v>
      </c>
      <c r="B3" s="34">
        <v>0.36805555555555558</v>
      </c>
      <c r="C3" s="34">
        <f t="shared" ref="C3:C16" si="0">B3+(5/6)/24</f>
        <v>0.40277777777777779</v>
      </c>
      <c r="D3" t="s">
        <v>447</v>
      </c>
      <c r="K3" t="s">
        <v>466</v>
      </c>
      <c r="M3" t="s">
        <v>447</v>
      </c>
      <c r="Q3" s="15">
        <v>2</v>
      </c>
      <c r="R3" t="s">
        <v>466</v>
      </c>
    </row>
    <row r="4" spans="1:21" x14ac:dyDescent="0.3">
      <c r="A4" s="31">
        <v>3</v>
      </c>
      <c r="B4" s="34">
        <v>0.40972222222222221</v>
      </c>
      <c r="C4" s="34">
        <f t="shared" si="0"/>
        <v>0.44444444444444442</v>
      </c>
      <c r="D4" t="s">
        <v>447</v>
      </c>
      <c r="K4" t="s">
        <v>467</v>
      </c>
      <c r="M4" t="s">
        <v>447</v>
      </c>
      <c r="Q4" s="15">
        <v>3</v>
      </c>
      <c r="R4" t="s">
        <v>467</v>
      </c>
    </row>
    <row r="5" spans="1:21" x14ac:dyDescent="0.3">
      <c r="A5" s="31">
        <v>4</v>
      </c>
      <c r="B5" s="34">
        <v>0.44444444444444442</v>
      </c>
      <c r="C5" s="34">
        <f t="shared" si="0"/>
        <v>0.47916666666666663</v>
      </c>
      <c r="D5" t="s">
        <v>447</v>
      </c>
      <c r="K5" t="s">
        <v>468</v>
      </c>
      <c r="M5" t="s">
        <v>447</v>
      </c>
      <c r="Q5" s="15">
        <v>4</v>
      </c>
      <c r="R5" t="s">
        <v>468</v>
      </c>
    </row>
    <row r="6" spans="1:21" x14ac:dyDescent="0.3">
      <c r="A6" s="31">
        <v>5</v>
      </c>
      <c r="B6" s="34">
        <v>0.4861111111111111</v>
      </c>
      <c r="C6" s="34">
        <f t="shared" si="0"/>
        <v>0.52083333333333337</v>
      </c>
      <c r="D6" t="s">
        <v>447</v>
      </c>
      <c r="K6" t="s">
        <v>469</v>
      </c>
      <c r="M6" t="s">
        <v>447</v>
      </c>
      <c r="Q6" s="15">
        <v>5</v>
      </c>
      <c r="R6" t="s">
        <v>469</v>
      </c>
    </row>
    <row r="7" spans="1:21" x14ac:dyDescent="0.3">
      <c r="A7" s="31">
        <v>6</v>
      </c>
      <c r="B7" s="34">
        <v>0.52083333333333337</v>
      </c>
      <c r="C7" s="34">
        <f t="shared" si="0"/>
        <v>0.55555555555555558</v>
      </c>
      <c r="D7" t="s">
        <v>447</v>
      </c>
      <c r="K7" t="s">
        <v>470</v>
      </c>
      <c r="M7" t="s">
        <v>447</v>
      </c>
      <c r="Q7" s="15">
        <v>6</v>
      </c>
      <c r="R7" t="s">
        <v>470</v>
      </c>
    </row>
    <row r="8" spans="1:21" x14ac:dyDescent="0.3">
      <c r="A8" s="31">
        <v>7</v>
      </c>
      <c r="B8" s="34">
        <v>0.59027777777777779</v>
      </c>
      <c r="C8" s="34">
        <f t="shared" si="0"/>
        <v>0.625</v>
      </c>
      <c r="E8" t="s">
        <v>448</v>
      </c>
      <c r="K8" s="32" t="s">
        <v>471</v>
      </c>
      <c r="M8" t="s">
        <v>447</v>
      </c>
      <c r="N8" t="s">
        <v>448</v>
      </c>
      <c r="R8" s="32" t="s">
        <v>471</v>
      </c>
      <c r="S8" s="32" t="s">
        <v>472</v>
      </c>
    </row>
    <row r="9" spans="1:21" x14ac:dyDescent="0.3">
      <c r="A9" s="31">
        <v>8</v>
      </c>
      <c r="B9" s="34">
        <v>0.63194444444444442</v>
      </c>
      <c r="C9" s="34">
        <f t="shared" si="0"/>
        <v>0.66666666666666663</v>
      </c>
      <c r="E9" t="s">
        <v>448</v>
      </c>
      <c r="F9" t="s">
        <v>457</v>
      </c>
      <c r="K9" t="s">
        <v>473</v>
      </c>
      <c r="N9" t="s">
        <v>448</v>
      </c>
      <c r="Q9" s="15">
        <v>7</v>
      </c>
      <c r="S9" t="s">
        <v>474</v>
      </c>
    </row>
    <row r="10" spans="1:21" x14ac:dyDescent="0.3">
      <c r="A10" s="31">
        <v>9</v>
      </c>
      <c r="B10" s="34">
        <v>0.67361111111111116</v>
      </c>
      <c r="C10" s="34">
        <f t="shared" si="0"/>
        <v>0.70833333333333337</v>
      </c>
      <c r="E10" t="s">
        <v>448</v>
      </c>
      <c r="F10" t="s">
        <v>457</v>
      </c>
      <c r="K10" t="s">
        <v>475</v>
      </c>
      <c r="N10" t="s">
        <v>448</v>
      </c>
      <c r="O10" t="s">
        <v>457</v>
      </c>
      <c r="Q10" s="15">
        <v>8</v>
      </c>
      <c r="S10" t="s">
        <v>476</v>
      </c>
      <c r="T10" t="s">
        <v>475</v>
      </c>
    </row>
    <row r="11" spans="1:21" x14ac:dyDescent="0.3">
      <c r="A11" s="31">
        <v>10</v>
      </c>
      <c r="B11" s="34">
        <v>0.70833333333333337</v>
      </c>
      <c r="C11" s="34">
        <f t="shared" si="0"/>
        <v>0.74305555555555558</v>
      </c>
      <c r="E11" t="s">
        <v>448</v>
      </c>
      <c r="F11" t="s">
        <v>457</v>
      </c>
      <c r="K11" t="s">
        <v>477</v>
      </c>
      <c r="N11" t="s">
        <v>448</v>
      </c>
      <c r="O11" t="s">
        <v>457</v>
      </c>
      <c r="Q11" s="15">
        <v>9</v>
      </c>
      <c r="S11" t="s">
        <v>478</v>
      </c>
      <c r="T11" t="s">
        <v>477</v>
      </c>
    </row>
    <row r="12" spans="1:21" x14ac:dyDescent="0.3">
      <c r="A12" s="31">
        <v>11</v>
      </c>
      <c r="B12" s="34">
        <v>0.75</v>
      </c>
      <c r="C12" s="34">
        <f t="shared" si="0"/>
        <v>0.78472222222222221</v>
      </c>
      <c r="E12" t="s">
        <v>448</v>
      </c>
      <c r="F12" t="s">
        <v>457</v>
      </c>
      <c r="G12" t="s">
        <v>450</v>
      </c>
      <c r="K12" t="s">
        <v>479</v>
      </c>
      <c r="N12" t="s">
        <v>448</v>
      </c>
      <c r="O12" t="s">
        <v>457</v>
      </c>
      <c r="Q12" s="15">
        <v>10</v>
      </c>
      <c r="S12" t="s">
        <v>480</v>
      </c>
      <c r="T12" t="s">
        <v>479</v>
      </c>
    </row>
    <row r="13" spans="1:21" x14ac:dyDescent="0.3">
      <c r="A13" s="31">
        <v>12</v>
      </c>
      <c r="B13" s="34">
        <v>0.78472222222222221</v>
      </c>
      <c r="C13" s="34">
        <f t="shared" si="0"/>
        <v>0.81944444444444442</v>
      </c>
      <c r="E13" t="s">
        <v>448</v>
      </c>
      <c r="F13" t="s">
        <v>457</v>
      </c>
      <c r="G13" t="s">
        <v>450</v>
      </c>
      <c r="K13" t="s">
        <v>481</v>
      </c>
      <c r="N13" t="s">
        <v>448</v>
      </c>
      <c r="O13" t="s">
        <v>457</v>
      </c>
      <c r="Q13" s="15">
        <v>11</v>
      </c>
      <c r="S13" t="s">
        <v>482</v>
      </c>
      <c r="T13" t="s">
        <v>481</v>
      </c>
      <c r="U13" t="s">
        <v>481</v>
      </c>
    </row>
    <row r="14" spans="1:21" x14ac:dyDescent="0.3">
      <c r="A14" s="31">
        <v>13</v>
      </c>
      <c r="B14" s="34">
        <v>0.82638888888888884</v>
      </c>
      <c r="C14" s="34">
        <f t="shared" si="0"/>
        <v>0.86111111111111105</v>
      </c>
      <c r="F14" t="s">
        <v>457</v>
      </c>
      <c r="G14" t="s">
        <v>450</v>
      </c>
      <c r="K14" t="s">
        <v>483</v>
      </c>
      <c r="N14" t="s">
        <v>448</v>
      </c>
      <c r="O14" t="s">
        <v>457</v>
      </c>
      <c r="Q14" s="15">
        <v>12</v>
      </c>
      <c r="S14" t="s">
        <v>484</v>
      </c>
      <c r="T14" t="s">
        <v>483</v>
      </c>
      <c r="U14" t="s">
        <v>483</v>
      </c>
    </row>
    <row r="15" spans="1:21" x14ac:dyDescent="0.3">
      <c r="A15" s="31">
        <v>14</v>
      </c>
      <c r="B15" s="34">
        <v>0.86111111111111116</v>
      </c>
      <c r="C15" s="34">
        <f t="shared" si="0"/>
        <v>0.89583333333333337</v>
      </c>
      <c r="F15" t="s">
        <v>457</v>
      </c>
      <c r="G15" t="s">
        <v>450</v>
      </c>
      <c r="K15" t="s">
        <v>485</v>
      </c>
      <c r="O15" t="s">
        <v>457</v>
      </c>
      <c r="Q15" s="15">
        <v>13</v>
      </c>
      <c r="T15" t="s">
        <v>485</v>
      </c>
      <c r="U15" t="s">
        <v>485</v>
      </c>
    </row>
    <row r="16" spans="1:21" x14ac:dyDescent="0.3">
      <c r="A16" s="31">
        <v>15</v>
      </c>
      <c r="B16" s="34">
        <v>0.90277777777777779</v>
      </c>
      <c r="C16" s="34">
        <f t="shared" si="0"/>
        <v>0.9375</v>
      </c>
      <c r="G16" t="s">
        <v>450</v>
      </c>
      <c r="K16" t="s">
        <v>486</v>
      </c>
      <c r="O16" t="s">
        <v>457</v>
      </c>
      <c r="Q16" s="15">
        <v>14</v>
      </c>
      <c r="T16" t="s">
        <v>486</v>
      </c>
      <c r="U16" t="s">
        <v>486</v>
      </c>
    </row>
    <row r="17" spans="11:21" x14ac:dyDescent="0.3">
      <c r="K17" t="s">
        <v>487</v>
      </c>
      <c r="Q17" s="15">
        <v>15</v>
      </c>
      <c r="U17" t="s">
        <v>487</v>
      </c>
    </row>
    <row r="18" spans="11:21" x14ac:dyDescent="0.3">
      <c r="R18" t="s">
        <v>488</v>
      </c>
      <c r="S18" t="s">
        <v>489</v>
      </c>
      <c r="T18" t="s">
        <v>490</v>
      </c>
      <c r="U18" t="s">
        <v>491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E286-FE84-4B45-9F3D-4D8665FA0913}">
  <sheetPr codeName="Hoja3">
    <pageSetUpPr fitToPage="1"/>
  </sheetPr>
  <dimension ref="B1:CC733"/>
  <sheetViews>
    <sheetView zoomScale="79" zoomScaleNormal="66" workbookViewId="0">
      <selection activeCell="Q28" sqref="Q28"/>
    </sheetView>
  </sheetViews>
  <sheetFormatPr baseColWidth="10" defaultColWidth="17.33203125" defaultRowHeight="14.4" x14ac:dyDescent="0.3"/>
  <cols>
    <col min="2" max="2" width="17.33203125" style="15"/>
    <col min="3" max="7" width="29.6640625" style="17" customWidth="1"/>
    <col min="8" max="9" width="17.33203125" style="17"/>
    <col min="10" max="10" width="13.33203125" customWidth="1"/>
    <col min="11" max="15" width="9.44140625" style="17" customWidth="1"/>
    <col min="16" max="16" width="11.44140625" customWidth="1"/>
    <col min="17" max="18" width="11.44140625" style="17" customWidth="1"/>
    <col min="19" max="21" width="14.109375" style="31" customWidth="1"/>
    <col min="23" max="23" width="5.5546875" style="139" customWidth="1"/>
    <col min="25" max="25" width="17.33203125" style="15"/>
    <col min="26" max="30" width="29.6640625" style="17" customWidth="1"/>
    <col min="31" max="32" width="17.33203125" style="17"/>
    <col min="33" max="33" width="13.33203125" customWidth="1"/>
    <col min="34" max="38" width="9.44140625" style="17" customWidth="1"/>
    <col min="45" max="45" width="5.5546875" style="139" customWidth="1"/>
    <col min="48" max="48" width="17.33203125" style="15"/>
    <col min="49" max="53" width="29.6640625" style="17" customWidth="1"/>
    <col min="54" max="55" width="17.33203125" style="17"/>
    <col min="56" max="56" width="13.33203125" customWidth="1"/>
    <col min="57" max="61" width="9.44140625" style="17" customWidth="1"/>
    <col min="68" max="68" width="5.5546875" style="139" customWidth="1"/>
  </cols>
  <sheetData>
    <row r="1" spans="2:81" x14ac:dyDescent="0.3">
      <c r="E1" s="143"/>
      <c r="F1" s="143"/>
      <c r="G1" s="143" t="s">
        <v>981</v>
      </c>
      <c r="H1" t="s">
        <v>976</v>
      </c>
      <c r="I1"/>
      <c r="AB1" s="143"/>
      <c r="AC1" s="143"/>
      <c r="AD1" s="143" t="s">
        <v>492</v>
      </c>
      <c r="AE1" s="31"/>
      <c r="BA1" s="31" t="s">
        <v>492</v>
      </c>
      <c r="BB1" s="31"/>
    </row>
    <row r="2" spans="2:81" x14ac:dyDescent="0.3">
      <c r="B2" s="140" t="s">
        <v>493</v>
      </c>
      <c r="C2" s="108"/>
      <c r="D2" s="108"/>
      <c r="E2" s="144"/>
      <c r="F2" s="143"/>
      <c r="G2" s="143" t="s">
        <v>935</v>
      </c>
      <c r="H2" t="s">
        <v>977</v>
      </c>
      <c r="I2"/>
      <c r="Y2" s="140" t="s">
        <v>493</v>
      </c>
      <c r="Z2" s="108"/>
      <c r="AA2" s="108"/>
      <c r="AB2" s="144"/>
      <c r="AC2" s="143"/>
      <c r="AD2" s="143" t="s">
        <v>494</v>
      </c>
      <c r="AE2" s="31"/>
      <c r="AV2" s="140" t="s">
        <v>493</v>
      </c>
      <c r="AW2" s="108"/>
      <c r="AX2" s="108"/>
      <c r="BA2" s="31" t="s">
        <v>494</v>
      </c>
      <c r="BB2" s="31"/>
    </row>
    <row r="3" spans="2:81" x14ac:dyDescent="0.3">
      <c r="B3" s="142" t="s">
        <v>495</v>
      </c>
      <c r="E3" s="164">
        <v>884</v>
      </c>
      <c r="F3" s="143"/>
      <c r="G3" s="143" t="s">
        <v>982</v>
      </c>
      <c r="H3"/>
      <c r="I3" t="s">
        <v>957</v>
      </c>
      <c r="Y3" s="142" t="s">
        <v>495</v>
      </c>
      <c r="AB3" s="143" t="s">
        <v>496</v>
      </c>
      <c r="AC3" s="143"/>
      <c r="AD3" s="143" t="s">
        <v>497</v>
      </c>
      <c r="AE3" s="31"/>
      <c r="AY3" s="31" t="s">
        <v>498</v>
      </c>
      <c r="BA3" s="31" t="s">
        <v>499</v>
      </c>
      <c r="BB3" s="31"/>
    </row>
    <row r="4" spans="2:81" x14ac:dyDescent="0.3">
      <c r="B4" s="148" t="s">
        <v>960</v>
      </c>
      <c r="E4" s="143" t="s">
        <v>980</v>
      </c>
      <c r="F4" s="143"/>
      <c r="G4" s="143" t="s">
        <v>936</v>
      </c>
      <c r="H4"/>
      <c r="I4" t="s">
        <v>958</v>
      </c>
      <c r="AB4" s="143" t="s">
        <v>500</v>
      </c>
      <c r="AC4" s="143"/>
      <c r="AD4" s="143" t="s">
        <v>501</v>
      </c>
      <c r="AE4" s="31"/>
      <c r="AO4" t="s">
        <v>502</v>
      </c>
      <c r="AY4" s="31" t="s">
        <v>503</v>
      </c>
      <c r="BA4" s="31" t="s">
        <v>504</v>
      </c>
      <c r="BB4" s="31"/>
      <c r="BL4" t="s">
        <v>502</v>
      </c>
      <c r="BX4" t="s">
        <v>673</v>
      </c>
    </row>
    <row r="5" spans="2:81" x14ac:dyDescent="0.3">
      <c r="E5" s="31"/>
      <c r="G5" s="31"/>
      <c r="H5"/>
      <c r="I5" t="s">
        <v>978</v>
      </c>
      <c r="AB5" s="31"/>
      <c r="AD5" s="31"/>
      <c r="BA5" s="31"/>
      <c r="BY5" t="s">
        <v>315</v>
      </c>
      <c r="BZ5" t="s">
        <v>316</v>
      </c>
      <c r="CA5" t="s">
        <v>317</v>
      </c>
      <c r="CB5" t="s">
        <v>318</v>
      </c>
      <c r="CC5" t="s">
        <v>319</v>
      </c>
    </row>
    <row r="6" spans="2:81" x14ac:dyDescent="0.3">
      <c r="G6" s="31"/>
      <c r="H6" t="s">
        <v>979</v>
      </c>
      <c r="I6"/>
      <c r="AD6" s="31"/>
      <c r="AO6" t="s">
        <v>193</v>
      </c>
      <c r="BA6" s="31"/>
      <c r="BL6" t="s">
        <v>193</v>
      </c>
      <c r="BX6" t="s">
        <v>561</v>
      </c>
      <c r="BY6" t="s">
        <v>674</v>
      </c>
      <c r="BZ6" t="s">
        <v>675</v>
      </c>
      <c r="CA6" t="s">
        <v>675</v>
      </c>
      <c r="CB6" t="s">
        <v>676</v>
      </c>
      <c r="CC6" t="s">
        <v>677</v>
      </c>
    </row>
    <row r="7" spans="2:81" x14ac:dyDescent="0.3">
      <c r="B7" s="31" t="s">
        <v>505</v>
      </c>
      <c r="G7" s="31"/>
      <c r="H7" t="s">
        <v>959</v>
      </c>
      <c r="I7"/>
      <c r="S7" s="31" t="s">
        <v>974</v>
      </c>
      <c r="Y7" s="31" t="s">
        <v>505</v>
      </c>
      <c r="AD7" s="31"/>
      <c r="AP7" t="s">
        <v>906</v>
      </c>
      <c r="AV7" s="31" t="s">
        <v>505</v>
      </c>
      <c r="BA7" s="31"/>
      <c r="BM7" t="s">
        <v>506</v>
      </c>
      <c r="BX7" t="s">
        <v>551</v>
      </c>
      <c r="BY7" t="s">
        <v>674</v>
      </c>
      <c r="BZ7" t="s">
        <v>677</v>
      </c>
      <c r="CA7" t="s">
        <v>675</v>
      </c>
      <c r="CB7" t="s">
        <v>676</v>
      </c>
      <c r="CC7" t="s">
        <v>677</v>
      </c>
    </row>
    <row r="8" spans="2:81" x14ac:dyDescent="0.3">
      <c r="B8" s="73" t="s">
        <v>507</v>
      </c>
      <c r="G8" s="31"/>
      <c r="J8" t="s">
        <v>508</v>
      </c>
      <c r="Y8" s="73" t="s">
        <v>507</v>
      </c>
      <c r="AD8" s="31"/>
      <c r="AG8" t="s">
        <v>508</v>
      </c>
      <c r="AP8" t="s">
        <v>907</v>
      </c>
      <c r="AV8" s="73" t="s">
        <v>507</v>
      </c>
      <c r="BA8" s="31"/>
      <c r="BD8" t="s">
        <v>508</v>
      </c>
      <c r="BM8" t="s">
        <v>509</v>
      </c>
      <c r="BX8" t="s">
        <v>552</v>
      </c>
      <c r="BY8" t="s">
        <v>679</v>
      </c>
      <c r="BZ8" t="s">
        <v>677</v>
      </c>
      <c r="CA8" t="s">
        <v>680</v>
      </c>
      <c r="CB8" t="s">
        <v>679</v>
      </c>
      <c r="CC8" t="s">
        <v>681</v>
      </c>
    </row>
    <row r="9" spans="2:81" x14ac:dyDescent="0.3">
      <c r="K9" s="17" t="s">
        <v>315</v>
      </c>
      <c r="L9" s="17" t="s">
        <v>316</v>
      </c>
      <c r="M9" s="17" t="s">
        <v>317</v>
      </c>
      <c r="N9" s="17" t="s">
        <v>318</v>
      </c>
      <c r="O9" s="17" t="s">
        <v>319</v>
      </c>
      <c r="S9" s="31" t="s">
        <v>193</v>
      </c>
      <c r="AH9" s="17" t="s">
        <v>315</v>
      </c>
      <c r="AI9" s="17" t="s">
        <v>316</v>
      </c>
      <c r="AJ9" s="17" t="s">
        <v>317</v>
      </c>
      <c r="AK9" s="17" t="s">
        <v>318</v>
      </c>
      <c r="AL9" s="17" t="s">
        <v>319</v>
      </c>
      <c r="AP9" t="s">
        <v>506</v>
      </c>
      <c r="BE9" s="17" t="s">
        <v>315</v>
      </c>
      <c r="BF9" s="17" t="s">
        <v>316</v>
      </c>
      <c r="BG9" s="17" t="s">
        <v>317</v>
      </c>
      <c r="BH9" s="17" t="s">
        <v>318</v>
      </c>
      <c r="BI9" s="17" t="s">
        <v>319</v>
      </c>
      <c r="BM9" t="s">
        <v>510</v>
      </c>
      <c r="BX9" t="s">
        <v>554</v>
      </c>
      <c r="BY9" t="s">
        <v>679</v>
      </c>
      <c r="BZ9" t="s">
        <v>682</v>
      </c>
      <c r="CA9" t="s">
        <v>680</v>
      </c>
      <c r="CB9" t="s">
        <v>679</v>
      </c>
      <c r="CC9" t="s">
        <v>681</v>
      </c>
    </row>
    <row r="10" spans="2:81" x14ac:dyDescent="0.3">
      <c r="B10" s="15" t="s">
        <v>511</v>
      </c>
      <c r="J10" t="s">
        <v>512</v>
      </c>
      <c r="K10" s="17" t="s">
        <v>322</v>
      </c>
      <c r="L10" s="17" t="s">
        <v>322</v>
      </c>
      <c r="M10" s="17" t="s">
        <v>322</v>
      </c>
      <c r="N10" s="17" t="s">
        <v>322</v>
      </c>
      <c r="O10" s="17" t="s">
        <v>26</v>
      </c>
      <c r="T10" s="31" t="s">
        <v>983</v>
      </c>
      <c r="Y10" s="15" t="s">
        <v>511</v>
      </c>
      <c r="AG10" t="s">
        <v>512</v>
      </c>
      <c r="AH10" s="17" t="s">
        <v>322</v>
      </c>
      <c r="AI10" s="17" t="s">
        <v>322</v>
      </c>
      <c r="AJ10" s="17" t="s">
        <v>322</v>
      </c>
      <c r="AK10" s="17" t="s">
        <v>322</v>
      </c>
      <c r="AL10" s="17" t="s">
        <v>26</v>
      </c>
      <c r="AP10" t="s">
        <v>510</v>
      </c>
      <c r="AV10" s="15" t="s">
        <v>511</v>
      </c>
      <c r="BD10" t="s">
        <v>512</v>
      </c>
      <c r="BE10" s="17" t="s">
        <v>322</v>
      </c>
      <c r="BF10" s="17" t="s">
        <v>322</v>
      </c>
      <c r="BG10" s="17" t="s">
        <v>322</v>
      </c>
      <c r="BH10" s="17" t="s">
        <v>322</v>
      </c>
      <c r="BI10" s="17" t="s">
        <v>26</v>
      </c>
      <c r="BM10" t="s">
        <v>513</v>
      </c>
      <c r="BX10" t="s">
        <v>586</v>
      </c>
      <c r="BY10" t="s">
        <v>322</v>
      </c>
      <c r="BZ10" t="s">
        <v>682</v>
      </c>
      <c r="CA10" t="s">
        <v>680</v>
      </c>
      <c r="CB10" t="s">
        <v>322</v>
      </c>
      <c r="CC10" t="s">
        <v>322</v>
      </c>
    </row>
    <row r="11" spans="2:81" x14ac:dyDescent="0.3">
      <c r="C11" s="17" t="s">
        <v>315</v>
      </c>
      <c r="D11" s="17" t="s">
        <v>316</v>
      </c>
      <c r="E11" s="17" t="s">
        <v>317</v>
      </c>
      <c r="F11" s="17" t="s">
        <v>318</v>
      </c>
      <c r="G11" s="17" t="s">
        <v>319</v>
      </c>
      <c r="J11" t="s">
        <v>514</v>
      </c>
      <c r="K11" s="17" t="s">
        <v>322</v>
      </c>
      <c r="L11" s="17" t="s">
        <v>322</v>
      </c>
      <c r="M11" s="17" t="s">
        <v>322</v>
      </c>
      <c r="N11" s="17" t="s">
        <v>322</v>
      </c>
      <c r="O11" s="17" t="s">
        <v>26</v>
      </c>
      <c r="T11" s="31" t="s">
        <v>984</v>
      </c>
      <c r="Z11" s="17" t="s">
        <v>315</v>
      </c>
      <c r="AA11" s="17" t="s">
        <v>316</v>
      </c>
      <c r="AB11" s="17" t="s">
        <v>317</v>
      </c>
      <c r="AC11" s="17" t="s">
        <v>318</v>
      </c>
      <c r="AD11" s="17" t="s">
        <v>319</v>
      </c>
      <c r="AG11" t="s">
        <v>514</v>
      </c>
      <c r="AH11" s="17" t="s">
        <v>322</v>
      </c>
      <c r="AI11" s="17" t="s">
        <v>322</v>
      </c>
      <c r="AJ11" s="17" t="s">
        <v>322</v>
      </c>
      <c r="AK11" s="17" t="s">
        <v>322</v>
      </c>
      <c r="AL11" s="17" t="s">
        <v>26</v>
      </c>
      <c r="AO11" t="s">
        <v>194</v>
      </c>
      <c r="AW11" s="17" t="s">
        <v>315</v>
      </c>
      <c r="AX11" s="17" t="s">
        <v>316</v>
      </c>
      <c r="AY11" s="17" t="s">
        <v>317</v>
      </c>
      <c r="AZ11" s="17" t="s">
        <v>318</v>
      </c>
      <c r="BA11" s="17" t="s">
        <v>319</v>
      </c>
      <c r="BD11" t="s">
        <v>514</v>
      </c>
      <c r="BE11" s="17" t="s">
        <v>322</v>
      </c>
      <c r="BF11" s="17" t="s">
        <v>322</v>
      </c>
      <c r="BG11" s="17" t="s">
        <v>322</v>
      </c>
      <c r="BH11" s="17" t="s">
        <v>322</v>
      </c>
      <c r="BI11" s="17" t="s">
        <v>26</v>
      </c>
      <c r="BL11" t="s">
        <v>194</v>
      </c>
    </row>
    <row r="12" spans="2:81" x14ac:dyDescent="0.3">
      <c r="B12" s="15" t="s">
        <v>512</v>
      </c>
      <c r="C12" s="17" t="s">
        <v>515</v>
      </c>
      <c r="D12" s="17" t="s">
        <v>516</v>
      </c>
      <c r="E12" s="17" t="s">
        <v>322</v>
      </c>
      <c r="F12" s="17" t="s">
        <v>322</v>
      </c>
      <c r="G12" s="17" t="s">
        <v>516</v>
      </c>
      <c r="J12" t="s">
        <v>517</v>
      </c>
      <c r="K12" s="17" t="s">
        <v>322</v>
      </c>
      <c r="L12" s="17" t="s">
        <v>322</v>
      </c>
      <c r="M12" s="17" t="s">
        <v>322</v>
      </c>
      <c r="N12" s="17" t="s">
        <v>322</v>
      </c>
      <c r="O12" s="17" t="s">
        <v>26</v>
      </c>
      <c r="T12" s="31" t="s">
        <v>985</v>
      </c>
      <c r="Y12" s="15" t="s">
        <v>512</v>
      </c>
      <c r="Z12" s="17" t="s">
        <v>515</v>
      </c>
      <c r="AA12" s="17" t="s">
        <v>516</v>
      </c>
      <c r="AB12" s="17" t="s">
        <v>322</v>
      </c>
      <c r="AC12" s="17" t="s">
        <v>322</v>
      </c>
      <c r="AD12" s="17" t="s">
        <v>516</v>
      </c>
      <c r="AG12" t="s">
        <v>517</v>
      </c>
      <c r="AH12" s="17" t="s">
        <v>322</v>
      </c>
      <c r="AI12" s="17" t="s">
        <v>322</v>
      </c>
      <c r="AJ12" s="17" t="s">
        <v>322</v>
      </c>
      <c r="AK12" s="17" t="s">
        <v>322</v>
      </c>
      <c r="AL12" s="17" t="s">
        <v>26</v>
      </c>
      <c r="AP12" t="s">
        <v>519</v>
      </c>
      <c r="AV12" s="15" t="s">
        <v>512</v>
      </c>
      <c r="AW12" s="17" t="s">
        <v>322</v>
      </c>
      <c r="AX12" s="17" t="s">
        <v>322</v>
      </c>
      <c r="AY12" s="17" t="s">
        <v>516</v>
      </c>
      <c r="AZ12" s="17" t="s">
        <v>322</v>
      </c>
      <c r="BA12" s="17" t="s">
        <v>516</v>
      </c>
      <c r="BD12" t="s">
        <v>517</v>
      </c>
      <c r="BE12" s="17" t="s">
        <v>322</v>
      </c>
      <c r="BF12" s="17" t="s">
        <v>322</v>
      </c>
      <c r="BG12" s="17" t="s">
        <v>322</v>
      </c>
      <c r="BH12" s="17" t="s">
        <v>322</v>
      </c>
      <c r="BI12" s="17" t="s">
        <v>26</v>
      </c>
      <c r="BM12" t="s">
        <v>518</v>
      </c>
      <c r="BX12" t="s">
        <v>505</v>
      </c>
    </row>
    <row r="13" spans="2:81" x14ac:dyDescent="0.3">
      <c r="B13" s="15" t="s">
        <v>514</v>
      </c>
      <c r="C13" s="17" t="s">
        <v>515</v>
      </c>
      <c r="D13" s="17" t="s">
        <v>516</v>
      </c>
      <c r="E13" s="17" t="s">
        <v>322</v>
      </c>
      <c r="F13" s="17" t="s">
        <v>322</v>
      </c>
      <c r="G13" s="17" t="s">
        <v>516</v>
      </c>
      <c r="T13" s="31" t="s">
        <v>986</v>
      </c>
      <c r="Y13" s="15" t="s">
        <v>514</v>
      </c>
      <c r="Z13" s="17" t="s">
        <v>515</v>
      </c>
      <c r="AA13" s="17" t="s">
        <v>516</v>
      </c>
      <c r="AB13" s="17" t="s">
        <v>322</v>
      </c>
      <c r="AC13" s="17" t="s">
        <v>322</v>
      </c>
      <c r="AD13" s="17" t="s">
        <v>516</v>
      </c>
      <c r="AP13" t="s">
        <v>908</v>
      </c>
      <c r="AV13" s="15" t="s">
        <v>514</v>
      </c>
      <c r="AW13" s="17" t="s">
        <v>322</v>
      </c>
      <c r="AX13" s="17" t="s">
        <v>520</v>
      </c>
      <c r="AY13" s="17" t="s">
        <v>516</v>
      </c>
      <c r="AZ13" s="17" t="s">
        <v>322</v>
      </c>
      <c r="BA13" s="17" t="s">
        <v>516</v>
      </c>
      <c r="BM13" t="s">
        <v>519</v>
      </c>
      <c r="BX13" t="s">
        <v>683</v>
      </c>
    </row>
    <row r="14" spans="2:81" x14ac:dyDescent="0.3">
      <c r="B14" s="15" t="s">
        <v>517</v>
      </c>
      <c r="C14" s="17" t="s">
        <v>515</v>
      </c>
      <c r="D14" s="17" t="s">
        <v>516</v>
      </c>
      <c r="E14" s="17" t="s">
        <v>322</v>
      </c>
      <c r="F14" s="17" t="s">
        <v>520</v>
      </c>
      <c r="G14" s="17" t="s">
        <v>954</v>
      </c>
      <c r="H14" s="31"/>
      <c r="J14" t="s">
        <v>522</v>
      </c>
      <c r="T14" s="31" t="s">
        <v>987</v>
      </c>
      <c r="Y14" s="15" t="s">
        <v>517</v>
      </c>
      <c r="Z14" s="17" t="s">
        <v>515</v>
      </c>
      <c r="AA14" s="17" t="s">
        <v>516</v>
      </c>
      <c r="AB14" s="17" t="s">
        <v>322</v>
      </c>
      <c r="AC14" s="17" t="s">
        <v>520</v>
      </c>
      <c r="AD14" s="17" t="s">
        <v>521</v>
      </c>
      <c r="AE14" s="31"/>
      <c r="AG14" t="s">
        <v>522</v>
      </c>
      <c r="AP14" t="s">
        <v>518</v>
      </c>
      <c r="AV14" s="15" t="s">
        <v>517</v>
      </c>
      <c r="AW14" s="17" t="s">
        <v>524</v>
      </c>
      <c r="AX14" s="17" t="s">
        <v>520</v>
      </c>
      <c r="AY14" s="17" t="s">
        <v>516</v>
      </c>
      <c r="AZ14" s="17" t="s">
        <v>524</v>
      </c>
      <c r="BA14" s="17" t="s">
        <v>525</v>
      </c>
      <c r="BB14" s="31"/>
      <c r="BD14" t="s">
        <v>522</v>
      </c>
      <c r="BM14" t="s">
        <v>523</v>
      </c>
    </row>
    <row r="15" spans="2:81" x14ac:dyDescent="0.3">
      <c r="B15" s="15" t="s">
        <v>326</v>
      </c>
      <c r="C15" s="17" t="s">
        <v>526</v>
      </c>
      <c r="D15" s="17" t="s">
        <v>527</v>
      </c>
      <c r="E15" s="17" t="s">
        <v>515</v>
      </c>
      <c r="F15" s="17" t="s">
        <v>520</v>
      </c>
      <c r="G15" s="17" t="s">
        <v>954</v>
      </c>
      <c r="K15" s="17" t="s">
        <v>315</v>
      </c>
      <c r="L15" s="17" t="s">
        <v>316</v>
      </c>
      <c r="M15" s="17" t="s">
        <v>317</v>
      </c>
      <c r="N15" s="17" t="s">
        <v>318</v>
      </c>
      <c r="O15" s="17" t="s">
        <v>319</v>
      </c>
      <c r="S15" s="31" t="s">
        <v>194</v>
      </c>
      <c r="Y15" s="15" t="s">
        <v>326</v>
      </c>
      <c r="Z15" s="17" t="s">
        <v>526</v>
      </c>
      <c r="AA15" s="17" t="s">
        <v>527</v>
      </c>
      <c r="AB15" s="17" t="s">
        <v>515</v>
      </c>
      <c r="AC15" s="17" t="s">
        <v>520</v>
      </c>
      <c r="AD15" s="17" t="s">
        <v>521</v>
      </c>
      <c r="AH15" s="17" t="s">
        <v>315</v>
      </c>
      <c r="AI15" s="17" t="s">
        <v>316</v>
      </c>
      <c r="AJ15" s="17" t="s">
        <v>317</v>
      </c>
      <c r="AK15" s="17" t="s">
        <v>318</v>
      </c>
      <c r="AL15" s="17" t="s">
        <v>319</v>
      </c>
      <c r="AO15" t="s">
        <v>74</v>
      </c>
      <c r="AV15" s="15" t="s">
        <v>326</v>
      </c>
      <c r="AW15" s="17" t="s">
        <v>524</v>
      </c>
      <c r="AX15" s="17" t="s">
        <v>526</v>
      </c>
      <c r="AY15" s="17" t="s">
        <v>525</v>
      </c>
      <c r="AZ15" s="17" t="s">
        <v>524</v>
      </c>
      <c r="BA15" s="17" t="s">
        <v>525</v>
      </c>
      <c r="BE15" s="17" t="s">
        <v>315</v>
      </c>
      <c r="BF15" s="17" t="s">
        <v>316</v>
      </c>
      <c r="BG15" s="17" t="s">
        <v>317</v>
      </c>
      <c r="BH15" s="17" t="s">
        <v>318</v>
      </c>
      <c r="BI15" s="17" t="s">
        <v>319</v>
      </c>
      <c r="BL15" t="s">
        <v>74</v>
      </c>
      <c r="BX15" t="s">
        <v>685</v>
      </c>
    </row>
    <row r="16" spans="2:81" x14ac:dyDescent="0.3">
      <c r="B16" s="15" t="s">
        <v>328</v>
      </c>
      <c r="C16" s="17" t="s">
        <v>526</v>
      </c>
      <c r="D16" s="17" t="s">
        <v>527</v>
      </c>
      <c r="E16" s="17" t="s">
        <v>515</v>
      </c>
      <c r="F16" s="17" t="s">
        <v>527</v>
      </c>
      <c r="G16" s="17" t="s">
        <v>528</v>
      </c>
      <c r="J16" t="s">
        <v>512</v>
      </c>
      <c r="K16" s="17" t="s">
        <v>106</v>
      </c>
      <c r="L16" s="17" t="s">
        <v>322</v>
      </c>
      <c r="M16" s="17" t="s">
        <v>322</v>
      </c>
      <c r="N16" s="17" t="s">
        <v>322</v>
      </c>
      <c r="O16" s="17" t="s">
        <v>322</v>
      </c>
      <c r="T16" s="31" t="s">
        <v>988</v>
      </c>
      <c r="Y16" s="15" t="s">
        <v>328</v>
      </c>
      <c r="Z16" s="17" t="s">
        <v>526</v>
      </c>
      <c r="AA16" s="17" t="s">
        <v>527</v>
      </c>
      <c r="AB16" s="17" t="s">
        <v>515</v>
      </c>
      <c r="AC16" s="17" t="s">
        <v>527</v>
      </c>
      <c r="AD16" s="17" t="s">
        <v>528</v>
      </c>
      <c r="AG16" t="s">
        <v>512</v>
      </c>
      <c r="AH16" s="17" t="s">
        <v>106</v>
      </c>
      <c r="AI16" s="17" t="s">
        <v>322</v>
      </c>
      <c r="AJ16" s="17" t="s">
        <v>322</v>
      </c>
      <c r="AK16" s="17" t="s">
        <v>322</v>
      </c>
      <c r="AL16" s="17" t="s">
        <v>322</v>
      </c>
      <c r="AP16" t="s">
        <v>532</v>
      </c>
      <c r="AV16" s="15" t="s">
        <v>328</v>
      </c>
      <c r="AW16" s="17" t="s">
        <v>524</v>
      </c>
      <c r="AX16" s="17" t="s">
        <v>526</v>
      </c>
      <c r="AY16" s="17" t="s">
        <v>525</v>
      </c>
      <c r="AZ16" s="17" t="s">
        <v>528</v>
      </c>
      <c r="BA16" s="17" t="s">
        <v>521</v>
      </c>
      <c r="BD16" t="s">
        <v>512</v>
      </c>
      <c r="BE16" s="17" t="s">
        <v>106</v>
      </c>
      <c r="BF16" s="17" t="s">
        <v>322</v>
      </c>
      <c r="BG16" s="17" t="s">
        <v>322</v>
      </c>
      <c r="BH16" s="17" t="s">
        <v>322</v>
      </c>
      <c r="BI16" s="17" t="s">
        <v>322</v>
      </c>
      <c r="BM16" t="s">
        <v>530</v>
      </c>
      <c r="BY16" t="s">
        <v>315</v>
      </c>
      <c r="BZ16" t="s">
        <v>316</v>
      </c>
      <c r="CA16" t="s">
        <v>317</v>
      </c>
      <c r="CB16" t="s">
        <v>318</v>
      </c>
      <c r="CC16" t="s">
        <v>319</v>
      </c>
    </row>
    <row r="17" spans="2:81" x14ac:dyDescent="0.3">
      <c r="B17" s="15" t="s">
        <v>350</v>
      </c>
      <c r="C17" s="17" t="s">
        <v>526</v>
      </c>
      <c r="D17" s="17" t="s">
        <v>527</v>
      </c>
      <c r="E17" s="17" t="s">
        <v>322</v>
      </c>
      <c r="F17" s="17" t="s">
        <v>527</v>
      </c>
      <c r="G17" s="17" t="s">
        <v>528</v>
      </c>
      <c r="J17" t="s">
        <v>514</v>
      </c>
      <c r="K17" s="17" t="s">
        <v>106</v>
      </c>
      <c r="L17" s="17" t="s">
        <v>322</v>
      </c>
      <c r="M17" s="17" t="s">
        <v>322</v>
      </c>
      <c r="N17" s="17" t="s">
        <v>322</v>
      </c>
      <c r="O17" s="17" t="s">
        <v>322</v>
      </c>
      <c r="T17" s="31" t="s">
        <v>962</v>
      </c>
      <c r="Y17" s="15" t="s">
        <v>350</v>
      </c>
      <c r="Z17" s="17" t="s">
        <v>526</v>
      </c>
      <c r="AA17" s="17" t="s">
        <v>527</v>
      </c>
      <c r="AB17" s="17" t="s">
        <v>322</v>
      </c>
      <c r="AC17" s="17" t="s">
        <v>527</v>
      </c>
      <c r="AD17" s="17" t="s">
        <v>528</v>
      </c>
      <c r="AG17" t="s">
        <v>514</v>
      </c>
      <c r="AH17" s="17" t="s">
        <v>106</v>
      </c>
      <c r="AI17" s="17" t="s">
        <v>322</v>
      </c>
      <c r="AJ17" s="17" t="s">
        <v>322</v>
      </c>
      <c r="AK17" s="17" t="s">
        <v>322</v>
      </c>
      <c r="AL17" s="17" t="s">
        <v>322</v>
      </c>
      <c r="AP17" t="s">
        <v>531</v>
      </c>
      <c r="AV17" s="15" t="s">
        <v>350</v>
      </c>
      <c r="AW17" s="17" t="s">
        <v>322</v>
      </c>
      <c r="AX17" s="17" t="s">
        <v>526</v>
      </c>
      <c r="AY17" s="17" t="s">
        <v>525</v>
      </c>
      <c r="AZ17" s="17" t="s">
        <v>528</v>
      </c>
      <c r="BA17" s="17" t="s">
        <v>521</v>
      </c>
      <c r="BD17" t="s">
        <v>514</v>
      </c>
      <c r="BE17" s="17" t="s">
        <v>106</v>
      </c>
      <c r="BF17" s="17" t="s">
        <v>322</v>
      </c>
      <c r="BG17" s="17" t="s">
        <v>322</v>
      </c>
      <c r="BH17" s="17" t="s">
        <v>322</v>
      </c>
      <c r="BI17" s="17" t="s">
        <v>322</v>
      </c>
      <c r="BM17" t="s">
        <v>531</v>
      </c>
      <c r="BX17" t="s">
        <v>539</v>
      </c>
      <c r="BY17" t="s">
        <v>686</v>
      </c>
      <c r="BZ17" t="s">
        <v>322</v>
      </c>
      <c r="CA17" t="s">
        <v>697</v>
      </c>
      <c r="CB17" t="s">
        <v>686</v>
      </c>
      <c r="CC17" t="s">
        <v>322</v>
      </c>
    </row>
    <row r="18" spans="2:81" x14ac:dyDescent="0.3">
      <c r="J18" t="s">
        <v>517</v>
      </c>
      <c r="K18" s="17" t="s">
        <v>106</v>
      </c>
      <c r="L18" s="17" t="s">
        <v>106</v>
      </c>
      <c r="M18" s="17" t="s">
        <v>322</v>
      </c>
      <c r="N18" s="17" t="s">
        <v>322</v>
      </c>
      <c r="O18" s="17" t="s">
        <v>322</v>
      </c>
      <c r="T18" s="31" t="s">
        <v>961</v>
      </c>
      <c r="AG18" t="s">
        <v>517</v>
      </c>
      <c r="AH18" s="17" t="s">
        <v>106</v>
      </c>
      <c r="AI18" s="17" t="s">
        <v>106</v>
      </c>
      <c r="AJ18" s="17" t="s">
        <v>322</v>
      </c>
      <c r="AK18" s="17" t="s">
        <v>322</v>
      </c>
      <c r="AL18" s="17" t="s">
        <v>322</v>
      </c>
      <c r="AP18" t="s">
        <v>533</v>
      </c>
      <c r="BD18" t="s">
        <v>517</v>
      </c>
      <c r="BE18" s="17" t="s">
        <v>106</v>
      </c>
      <c r="BF18" s="17" t="s">
        <v>322</v>
      </c>
      <c r="BG18" s="17" t="s">
        <v>322</v>
      </c>
      <c r="BH18" s="17" t="s">
        <v>322</v>
      </c>
      <c r="BI18" s="17" t="s">
        <v>322</v>
      </c>
      <c r="BM18" t="s">
        <v>533</v>
      </c>
      <c r="BX18" t="s">
        <v>543</v>
      </c>
      <c r="BY18" t="s">
        <v>686</v>
      </c>
      <c r="BZ18" t="s">
        <v>688</v>
      </c>
      <c r="CA18" t="s">
        <v>697</v>
      </c>
      <c r="CB18" t="s">
        <v>686</v>
      </c>
      <c r="CC18" t="s">
        <v>322</v>
      </c>
    </row>
    <row r="19" spans="2:81" x14ac:dyDescent="0.3">
      <c r="B19" s="15" t="s">
        <v>534</v>
      </c>
      <c r="J19" t="s">
        <v>326</v>
      </c>
      <c r="K19" s="17" t="s">
        <v>106</v>
      </c>
      <c r="L19" s="17" t="s">
        <v>106</v>
      </c>
      <c r="M19" s="17" t="s">
        <v>322</v>
      </c>
      <c r="N19" s="17" t="s">
        <v>322</v>
      </c>
      <c r="O19" s="17" t="s">
        <v>322</v>
      </c>
      <c r="T19" s="31" t="s">
        <v>989</v>
      </c>
      <c r="Y19" s="15" t="s">
        <v>534</v>
      </c>
      <c r="AG19" t="s">
        <v>326</v>
      </c>
      <c r="AH19" s="17" t="s">
        <v>106</v>
      </c>
      <c r="AI19" s="17" t="s">
        <v>106</v>
      </c>
      <c r="AJ19" s="17" t="s">
        <v>322</v>
      </c>
      <c r="AK19" s="17" t="s">
        <v>322</v>
      </c>
      <c r="AL19" s="17" t="s">
        <v>322</v>
      </c>
      <c r="AP19" t="s">
        <v>530</v>
      </c>
      <c r="AV19" s="15" t="s">
        <v>534</v>
      </c>
      <c r="BD19" t="s">
        <v>326</v>
      </c>
      <c r="BE19" s="17" t="s">
        <v>106</v>
      </c>
      <c r="BF19" s="17" t="s">
        <v>106</v>
      </c>
      <c r="BG19" s="17" t="s">
        <v>322</v>
      </c>
      <c r="BH19" s="17" t="s">
        <v>322</v>
      </c>
      <c r="BI19" s="17" t="s">
        <v>322</v>
      </c>
      <c r="BM19" t="s">
        <v>532</v>
      </c>
      <c r="BX19" t="s">
        <v>573</v>
      </c>
      <c r="BY19" t="s">
        <v>689</v>
      </c>
      <c r="BZ19" t="s">
        <v>688</v>
      </c>
      <c r="CA19" t="s">
        <v>689</v>
      </c>
      <c r="CB19" t="s">
        <v>690</v>
      </c>
      <c r="CC19" t="s">
        <v>691</v>
      </c>
    </row>
    <row r="20" spans="2:81" x14ac:dyDescent="0.3">
      <c r="C20" s="17" t="s">
        <v>315</v>
      </c>
      <c r="D20" s="17" t="s">
        <v>316</v>
      </c>
      <c r="E20" s="17" t="s">
        <v>317</v>
      </c>
      <c r="F20" s="17" t="s">
        <v>318</v>
      </c>
      <c r="G20" s="17" t="s">
        <v>319</v>
      </c>
      <c r="J20" t="s">
        <v>328</v>
      </c>
      <c r="K20" s="17" t="s">
        <v>106</v>
      </c>
      <c r="L20" s="17" t="s">
        <v>106</v>
      </c>
      <c r="M20" s="17" t="s">
        <v>322</v>
      </c>
      <c r="N20" s="17" t="s">
        <v>322</v>
      </c>
      <c r="O20" s="17" t="s">
        <v>322</v>
      </c>
      <c r="S20" s="31" t="s">
        <v>74</v>
      </c>
      <c r="Z20" s="17" t="s">
        <v>315</v>
      </c>
      <c r="AA20" s="17" t="s">
        <v>316</v>
      </c>
      <c r="AB20" s="17" t="s">
        <v>317</v>
      </c>
      <c r="AC20" s="17" t="s">
        <v>318</v>
      </c>
      <c r="AD20" s="17" t="s">
        <v>319</v>
      </c>
      <c r="AG20" t="s">
        <v>328</v>
      </c>
      <c r="AH20" s="17" t="s">
        <v>106</v>
      </c>
      <c r="AI20" s="17" t="s">
        <v>106</v>
      </c>
      <c r="AJ20" s="17" t="s">
        <v>322</v>
      </c>
      <c r="AK20" s="17" t="s">
        <v>322</v>
      </c>
      <c r="AL20" s="17" t="s">
        <v>322</v>
      </c>
      <c r="AP20" t="s">
        <v>529</v>
      </c>
      <c r="AW20" s="17" t="s">
        <v>315</v>
      </c>
      <c r="AX20" s="17" t="s">
        <v>316</v>
      </c>
      <c r="AY20" s="17" t="s">
        <v>317</v>
      </c>
      <c r="AZ20" s="17" t="s">
        <v>318</v>
      </c>
      <c r="BA20" s="17" t="s">
        <v>319</v>
      </c>
      <c r="BD20" t="s">
        <v>328</v>
      </c>
      <c r="BE20" s="17" t="s">
        <v>106</v>
      </c>
      <c r="BF20" s="17" t="s">
        <v>106</v>
      </c>
      <c r="BG20" s="17" t="s">
        <v>322</v>
      </c>
      <c r="BH20" s="17" t="s">
        <v>322</v>
      </c>
      <c r="BI20" s="17" t="s">
        <v>322</v>
      </c>
      <c r="BM20" t="s">
        <v>529</v>
      </c>
      <c r="BX20" t="s">
        <v>561</v>
      </c>
      <c r="BY20" t="s">
        <v>689</v>
      </c>
      <c r="BZ20" t="s">
        <v>692</v>
      </c>
      <c r="CA20" t="s">
        <v>689</v>
      </c>
      <c r="CB20" t="s">
        <v>690</v>
      </c>
      <c r="CC20" t="s">
        <v>691</v>
      </c>
    </row>
    <row r="21" spans="2:81" x14ac:dyDescent="0.3">
      <c r="B21" s="15" t="s">
        <v>512</v>
      </c>
      <c r="C21" s="17" t="s">
        <v>535</v>
      </c>
      <c r="D21" s="17" t="s">
        <v>322</v>
      </c>
      <c r="E21" s="17" t="s">
        <v>535</v>
      </c>
      <c r="F21" s="17" t="s">
        <v>322</v>
      </c>
      <c r="G21" s="17" t="s">
        <v>528</v>
      </c>
      <c r="J21" t="s">
        <v>350</v>
      </c>
      <c r="K21" s="17" t="s">
        <v>106</v>
      </c>
      <c r="L21" s="17" t="s">
        <v>322</v>
      </c>
      <c r="M21" s="17" t="s">
        <v>322</v>
      </c>
      <c r="N21" s="17" t="s">
        <v>322</v>
      </c>
      <c r="O21" s="17" t="s">
        <v>322</v>
      </c>
      <c r="T21" s="31" t="s">
        <v>963</v>
      </c>
      <c r="Y21" s="15" t="s">
        <v>512</v>
      </c>
      <c r="Z21" s="17" t="s">
        <v>535</v>
      </c>
      <c r="AA21" s="17" t="s">
        <v>322</v>
      </c>
      <c r="AB21" s="17" t="s">
        <v>535</v>
      </c>
      <c r="AC21" s="17" t="s">
        <v>322</v>
      </c>
      <c r="AD21" s="17" t="s">
        <v>528</v>
      </c>
      <c r="AG21" t="s">
        <v>350</v>
      </c>
      <c r="AH21" s="17" t="s">
        <v>106</v>
      </c>
      <c r="AI21" s="17" t="s">
        <v>322</v>
      </c>
      <c r="AJ21" s="17" t="s">
        <v>322</v>
      </c>
      <c r="AK21" s="17" t="s">
        <v>322</v>
      </c>
      <c r="AL21" s="17" t="s">
        <v>322</v>
      </c>
      <c r="AO21" t="s">
        <v>244</v>
      </c>
      <c r="AV21" s="15" t="s">
        <v>512</v>
      </c>
      <c r="AW21" s="17" t="s">
        <v>526</v>
      </c>
      <c r="AX21" s="17" t="s">
        <v>322</v>
      </c>
      <c r="AY21" s="17" t="s">
        <v>322</v>
      </c>
      <c r="AZ21" s="17" t="s">
        <v>322</v>
      </c>
      <c r="BA21" s="17" t="s">
        <v>528</v>
      </c>
      <c r="BD21" t="s">
        <v>350</v>
      </c>
      <c r="BE21" s="17" t="s">
        <v>106</v>
      </c>
      <c r="BF21" s="17" t="s">
        <v>106</v>
      </c>
      <c r="BG21" s="17" t="s">
        <v>322</v>
      </c>
      <c r="BH21" s="17" t="s">
        <v>322</v>
      </c>
      <c r="BI21" s="17" t="s">
        <v>322</v>
      </c>
      <c r="BL21" t="s">
        <v>244</v>
      </c>
      <c r="BX21" t="s">
        <v>551</v>
      </c>
      <c r="BY21" t="s">
        <v>693</v>
      </c>
      <c r="BZ21" t="s">
        <v>692</v>
      </c>
      <c r="CA21" t="s">
        <v>694</v>
      </c>
      <c r="CB21" t="s">
        <v>690</v>
      </c>
      <c r="CC21" t="s">
        <v>694</v>
      </c>
    </row>
    <row r="22" spans="2:81" x14ac:dyDescent="0.3">
      <c r="B22" s="15" t="s">
        <v>514</v>
      </c>
      <c r="C22" s="17" t="s">
        <v>535</v>
      </c>
      <c r="D22" s="17" t="s">
        <v>322</v>
      </c>
      <c r="E22" s="17" t="s">
        <v>535</v>
      </c>
      <c r="F22" s="17" t="s">
        <v>322</v>
      </c>
      <c r="G22" s="17" t="s">
        <v>528</v>
      </c>
      <c r="J22" t="s">
        <v>536</v>
      </c>
      <c r="K22" s="17" t="s">
        <v>322</v>
      </c>
      <c r="L22" s="17" t="s">
        <v>106</v>
      </c>
      <c r="M22" s="17" t="s">
        <v>322</v>
      </c>
      <c r="N22" s="17" t="s">
        <v>322</v>
      </c>
      <c r="O22" s="17" t="s">
        <v>322</v>
      </c>
      <c r="T22" s="31" t="s">
        <v>531</v>
      </c>
      <c r="Y22" s="15" t="s">
        <v>514</v>
      </c>
      <c r="Z22" s="17" t="s">
        <v>535</v>
      </c>
      <c r="AA22" s="17" t="s">
        <v>322</v>
      </c>
      <c r="AB22" s="17" t="s">
        <v>535</v>
      </c>
      <c r="AC22" s="17" t="s">
        <v>322</v>
      </c>
      <c r="AD22" s="17" t="s">
        <v>528</v>
      </c>
      <c r="AG22" t="s">
        <v>536</v>
      </c>
      <c r="AH22" s="17" t="s">
        <v>322</v>
      </c>
      <c r="AI22" s="17" t="s">
        <v>106</v>
      </c>
      <c r="AJ22" s="17" t="s">
        <v>322</v>
      </c>
      <c r="AK22" s="17" t="s">
        <v>322</v>
      </c>
      <c r="AL22" s="17" t="s">
        <v>322</v>
      </c>
      <c r="AP22" t="s">
        <v>540</v>
      </c>
      <c r="AV22" s="15" t="s">
        <v>514</v>
      </c>
      <c r="AW22" s="17" t="s">
        <v>526</v>
      </c>
      <c r="AX22" s="17" t="s">
        <v>322</v>
      </c>
      <c r="AY22" s="17" t="s">
        <v>520</v>
      </c>
      <c r="AZ22" s="17" t="s">
        <v>322</v>
      </c>
      <c r="BA22" s="17" t="s">
        <v>528</v>
      </c>
      <c r="BD22" t="s">
        <v>536</v>
      </c>
      <c r="BE22" s="17" t="s">
        <v>106</v>
      </c>
      <c r="BF22" s="17" t="s">
        <v>322</v>
      </c>
      <c r="BG22" s="17" t="s">
        <v>322</v>
      </c>
      <c r="BH22" s="17" t="s">
        <v>322</v>
      </c>
      <c r="BI22" s="17" t="s">
        <v>322</v>
      </c>
      <c r="BM22" t="s">
        <v>538</v>
      </c>
      <c r="BX22" t="s">
        <v>552</v>
      </c>
      <c r="BY22" t="s">
        <v>695</v>
      </c>
      <c r="BZ22" t="s">
        <v>692</v>
      </c>
      <c r="CA22" t="s">
        <v>694</v>
      </c>
      <c r="CB22" t="s">
        <v>696</v>
      </c>
      <c r="CC22" t="s">
        <v>694</v>
      </c>
    </row>
    <row r="23" spans="2:81" x14ac:dyDescent="0.3">
      <c r="B23" s="15" t="s">
        <v>517</v>
      </c>
      <c r="C23" s="17" t="s">
        <v>524</v>
      </c>
      <c r="D23" s="17" t="s">
        <v>526</v>
      </c>
      <c r="E23" s="17" t="s">
        <v>535</v>
      </c>
      <c r="F23" s="17" t="s">
        <v>524</v>
      </c>
      <c r="G23" s="17" t="s">
        <v>520</v>
      </c>
      <c r="J23" t="s">
        <v>539</v>
      </c>
      <c r="K23" s="17" t="s">
        <v>322</v>
      </c>
      <c r="L23" s="17" t="s">
        <v>106</v>
      </c>
      <c r="M23" s="17" t="s">
        <v>322</v>
      </c>
      <c r="N23" s="17" t="s">
        <v>322</v>
      </c>
      <c r="O23" s="17" t="s">
        <v>322</v>
      </c>
      <c r="T23" s="31" t="s">
        <v>964</v>
      </c>
      <c r="Y23" s="15" t="s">
        <v>517</v>
      </c>
      <c r="Z23" s="17" t="s">
        <v>524</v>
      </c>
      <c r="AA23" s="17" t="s">
        <v>526</v>
      </c>
      <c r="AB23" s="17" t="s">
        <v>535</v>
      </c>
      <c r="AC23" s="17" t="s">
        <v>524</v>
      </c>
      <c r="AD23" s="17" t="s">
        <v>520</v>
      </c>
      <c r="AG23" t="s">
        <v>539</v>
      </c>
      <c r="AH23" s="17" t="s">
        <v>322</v>
      </c>
      <c r="AI23" s="17" t="s">
        <v>106</v>
      </c>
      <c r="AJ23" s="17" t="s">
        <v>322</v>
      </c>
      <c r="AK23" s="17" t="s">
        <v>322</v>
      </c>
      <c r="AL23" s="17" t="s">
        <v>322</v>
      </c>
      <c r="AP23" t="s">
        <v>542</v>
      </c>
      <c r="AV23" s="15" t="s">
        <v>517</v>
      </c>
      <c r="AW23" s="17" t="s">
        <v>526</v>
      </c>
      <c r="AX23" s="17" t="s">
        <v>322</v>
      </c>
      <c r="AY23" s="17" t="s">
        <v>520</v>
      </c>
      <c r="AZ23" s="17" t="s">
        <v>541</v>
      </c>
      <c r="BA23" s="17" t="s">
        <v>521</v>
      </c>
      <c r="BD23" t="s">
        <v>539</v>
      </c>
      <c r="BE23" s="17" t="s">
        <v>106</v>
      </c>
      <c r="BF23" s="17" t="s">
        <v>322</v>
      </c>
      <c r="BG23" s="17" t="s">
        <v>322</v>
      </c>
      <c r="BH23" s="17" t="s">
        <v>322</v>
      </c>
      <c r="BI23" s="17" t="s">
        <v>322</v>
      </c>
      <c r="BM23" t="s">
        <v>542</v>
      </c>
      <c r="BX23" t="s">
        <v>554</v>
      </c>
      <c r="BY23" t="s">
        <v>696</v>
      </c>
      <c r="BZ23" t="s">
        <v>697</v>
      </c>
      <c r="CA23" t="s">
        <v>698</v>
      </c>
      <c r="CB23" t="s">
        <v>696</v>
      </c>
      <c r="CC23" t="s">
        <v>322</v>
      </c>
    </row>
    <row r="24" spans="2:81" x14ac:dyDescent="0.3">
      <c r="B24" s="15" t="s">
        <v>326</v>
      </c>
      <c r="C24" s="17" t="s">
        <v>524</v>
      </c>
      <c r="D24" s="17" t="s">
        <v>526</v>
      </c>
      <c r="E24" s="17" t="s">
        <v>525</v>
      </c>
      <c r="F24" s="17" t="s">
        <v>524</v>
      </c>
      <c r="G24" s="17" t="s">
        <v>520</v>
      </c>
      <c r="J24" t="s">
        <v>543</v>
      </c>
      <c r="K24" s="17" t="s">
        <v>322</v>
      </c>
      <c r="L24" s="17" t="s">
        <v>106</v>
      </c>
      <c r="M24" s="17" t="s">
        <v>322</v>
      </c>
      <c r="N24" s="17" t="s">
        <v>322</v>
      </c>
      <c r="O24" s="17" t="s">
        <v>322</v>
      </c>
      <c r="T24" s="31" t="s">
        <v>965</v>
      </c>
      <c r="Y24" s="15" t="s">
        <v>326</v>
      </c>
      <c r="Z24" s="17" t="s">
        <v>524</v>
      </c>
      <c r="AA24" s="17" t="s">
        <v>526</v>
      </c>
      <c r="AB24" s="17" t="s">
        <v>525</v>
      </c>
      <c r="AC24" s="17" t="s">
        <v>524</v>
      </c>
      <c r="AD24" s="17" t="s">
        <v>520</v>
      </c>
      <c r="AG24" t="s">
        <v>543</v>
      </c>
      <c r="AH24" s="17" t="s">
        <v>322</v>
      </c>
      <c r="AI24" s="17" t="s">
        <v>106</v>
      </c>
      <c r="AJ24" s="17" t="s">
        <v>322</v>
      </c>
      <c r="AK24" s="17" t="s">
        <v>322</v>
      </c>
      <c r="AL24" s="17" t="s">
        <v>322</v>
      </c>
      <c r="AP24" t="s">
        <v>538</v>
      </c>
      <c r="AV24" s="15" t="s">
        <v>326</v>
      </c>
      <c r="AW24" s="17" t="s">
        <v>544</v>
      </c>
      <c r="AX24" s="17" t="s">
        <v>541</v>
      </c>
      <c r="AY24" s="17" t="s">
        <v>545</v>
      </c>
      <c r="AZ24" s="17" t="s">
        <v>541</v>
      </c>
      <c r="BA24" s="17" t="s">
        <v>521</v>
      </c>
      <c r="BD24" t="s">
        <v>543</v>
      </c>
      <c r="BE24" s="17" t="s">
        <v>106</v>
      </c>
      <c r="BF24" s="17" t="s">
        <v>322</v>
      </c>
      <c r="BG24" s="17" t="s">
        <v>322</v>
      </c>
      <c r="BH24" s="17" t="s">
        <v>322</v>
      </c>
      <c r="BI24" s="17" t="s">
        <v>322</v>
      </c>
      <c r="BM24" t="s">
        <v>546</v>
      </c>
    </row>
    <row r="25" spans="2:81" x14ac:dyDescent="0.3">
      <c r="B25" s="15" t="s">
        <v>328</v>
      </c>
      <c r="C25" s="17" t="s">
        <v>525</v>
      </c>
      <c r="D25" s="17" t="s">
        <v>526</v>
      </c>
      <c r="E25" s="17" t="s">
        <v>525</v>
      </c>
      <c r="F25" s="17" t="s">
        <v>524</v>
      </c>
      <c r="G25" s="17" t="s">
        <v>954</v>
      </c>
      <c r="T25" s="31" t="s">
        <v>966</v>
      </c>
      <c r="Y25" s="15" t="s">
        <v>328</v>
      </c>
      <c r="Z25" s="17" t="s">
        <v>525</v>
      </c>
      <c r="AA25" s="17" t="s">
        <v>526</v>
      </c>
      <c r="AB25" s="17" t="s">
        <v>525</v>
      </c>
      <c r="AC25" s="17" t="s">
        <v>524</v>
      </c>
      <c r="AD25" s="17" t="s">
        <v>521</v>
      </c>
      <c r="AP25" t="s">
        <v>537</v>
      </c>
      <c r="AV25" s="15" t="s">
        <v>328</v>
      </c>
      <c r="AW25" s="17" t="s">
        <v>544</v>
      </c>
      <c r="AX25" s="17" t="s">
        <v>541</v>
      </c>
      <c r="AY25" s="17" t="s">
        <v>545</v>
      </c>
      <c r="AZ25" s="17" t="s">
        <v>544</v>
      </c>
      <c r="BA25" s="17" t="s">
        <v>545</v>
      </c>
      <c r="BM25" t="s">
        <v>537</v>
      </c>
      <c r="BX25" t="s">
        <v>700</v>
      </c>
    </row>
    <row r="26" spans="2:81" x14ac:dyDescent="0.3">
      <c r="B26" s="15" t="s">
        <v>350</v>
      </c>
      <c r="C26" s="17" t="s">
        <v>525</v>
      </c>
      <c r="D26" s="17" t="s">
        <v>322</v>
      </c>
      <c r="E26" s="17" t="s">
        <v>525</v>
      </c>
      <c r="F26" s="17" t="s">
        <v>322</v>
      </c>
      <c r="G26" s="17" t="s">
        <v>954</v>
      </c>
      <c r="J26" t="s">
        <v>547</v>
      </c>
      <c r="S26" s="31" t="s">
        <v>244</v>
      </c>
      <c r="Y26" s="15" t="s">
        <v>350</v>
      </c>
      <c r="Z26" s="17" t="s">
        <v>525</v>
      </c>
      <c r="AA26" s="17" t="s">
        <v>322</v>
      </c>
      <c r="AB26" s="17" t="s">
        <v>525</v>
      </c>
      <c r="AC26" s="17" t="s">
        <v>322</v>
      </c>
      <c r="AD26" s="17" t="s">
        <v>521</v>
      </c>
      <c r="AG26" t="s">
        <v>547</v>
      </c>
      <c r="AP26" t="s">
        <v>546</v>
      </c>
      <c r="AV26" s="15" t="s">
        <v>350</v>
      </c>
      <c r="AW26" s="17" t="s">
        <v>544</v>
      </c>
      <c r="AX26" s="17" t="s">
        <v>541</v>
      </c>
      <c r="AY26" s="17" t="s">
        <v>545</v>
      </c>
      <c r="AZ26" s="17" t="s">
        <v>544</v>
      </c>
      <c r="BA26" s="17" t="s">
        <v>545</v>
      </c>
      <c r="BD26" t="s">
        <v>547</v>
      </c>
      <c r="BM26" t="s">
        <v>540</v>
      </c>
      <c r="BY26" t="s">
        <v>315</v>
      </c>
      <c r="BZ26" t="s">
        <v>316</v>
      </c>
      <c r="CA26" t="s">
        <v>317</v>
      </c>
      <c r="CB26" t="s">
        <v>318</v>
      </c>
      <c r="CC26" t="s">
        <v>319</v>
      </c>
    </row>
    <row r="27" spans="2:81" x14ac:dyDescent="0.3">
      <c r="K27" s="17" t="s">
        <v>315</v>
      </c>
      <c r="L27" s="17" t="s">
        <v>316</v>
      </c>
      <c r="M27" s="17" t="s">
        <v>317</v>
      </c>
      <c r="N27" s="17" t="s">
        <v>318</v>
      </c>
      <c r="O27" s="17" t="s">
        <v>319</v>
      </c>
      <c r="T27" s="31" t="s">
        <v>967</v>
      </c>
      <c r="AH27" s="17" t="s">
        <v>315</v>
      </c>
      <c r="AI27" s="17" t="s">
        <v>316</v>
      </c>
      <c r="AJ27" s="17" t="s">
        <v>317</v>
      </c>
      <c r="AK27" s="17" t="s">
        <v>318</v>
      </c>
      <c r="AL27" s="17" t="s">
        <v>319</v>
      </c>
      <c r="AP27" t="s">
        <v>548</v>
      </c>
      <c r="BE27" s="17" t="s">
        <v>315</v>
      </c>
      <c r="BF27" s="17" t="s">
        <v>316</v>
      </c>
      <c r="BG27" s="17" t="s">
        <v>317</v>
      </c>
      <c r="BH27" s="17" t="s">
        <v>318</v>
      </c>
      <c r="BI27" s="17" t="s">
        <v>319</v>
      </c>
      <c r="BM27" t="s">
        <v>549</v>
      </c>
      <c r="BX27" t="s">
        <v>539</v>
      </c>
      <c r="BY27" t="s">
        <v>701</v>
      </c>
      <c r="BZ27" t="s">
        <v>702</v>
      </c>
      <c r="CA27" t="s">
        <v>697</v>
      </c>
      <c r="CB27" t="s">
        <v>702</v>
      </c>
      <c r="CC27" t="s">
        <v>701</v>
      </c>
    </row>
    <row r="28" spans="2:81" x14ac:dyDescent="0.3">
      <c r="B28" s="15" t="s">
        <v>550</v>
      </c>
      <c r="J28" t="s">
        <v>551</v>
      </c>
      <c r="K28" s="17" t="s">
        <v>322</v>
      </c>
      <c r="L28" s="17" t="s">
        <v>278</v>
      </c>
      <c r="M28" s="17" t="s">
        <v>322</v>
      </c>
      <c r="N28" s="17" t="s">
        <v>322</v>
      </c>
      <c r="O28" s="17" t="s">
        <v>322</v>
      </c>
      <c r="T28" s="31" t="s">
        <v>990</v>
      </c>
      <c r="Y28" s="15" t="s">
        <v>550</v>
      </c>
      <c r="AG28" t="s">
        <v>551</v>
      </c>
      <c r="AH28" s="17" t="s">
        <v>322</v>
      </c>
      <c r="AI28" s="17" t="s">
        <v>278</v>
      </c>
      <c r="AJ28" s="17" t="s">
        <v>322</v>
      </c>
      <c r="AK28" s="17" t="s">
        <v>322</v>
      </c>
      <c r="AL28" s="17" t="s">
        <v>322</v>
      </c>
      <c r="AO28" t="s">
        <v>251</v>
      </c>
      <c r="AV28" s="15" t="s">
        <v>550</v>
      </c>
      <c r="BD28" t="s">
        <v>551</v>
      </c>
      <c r="BE28" s="17" t="s">
        <v>322</v>
      </c>
      <c r="BF28" s="17" t="s">
        <v>278</v>
      </c>
      <c r="BG28" s="17" t="s">
        <v>322</v>
      </c>
      <c r="BH28" s="17" t="s">
        <v>322</v>
      </c>
      <c r="BI28" s="17" t="s">
        <v>322</v>
      </c>
      <c r="BL28" t="s">
        <v>251</v>
      </c>
      <c r="BX28" t="s">
        <v>543</v>
      </c>
      <c r="BY28" t="s">
        <v>701</v>
      </c>
      <c r="BZ28" t="s">
        <v>702</v>
      </c>
      <c r="CA28" t="s">
        <v>697</v>
      </c>
      <c r="CB28" t="s">
        <v>702</v>
      </c>
      <c r="CC28" t="s">
        <v>701</v>
      </c>
    </row>
    <row r="29" spans="2:81" x14ac:dyDescent="0.3">
      <c r="C29" s="17" t="s">
        <v>315</v>
      </c>
      <c r="D29" s="17" t="s">
        <v>316</v>
      </c>
      <c r="E29" s="17" t="s">
        <v>317</v>
      </c>
      <c r="F29" s="17" t="s">
        <v>318</v>
      </c>
      <c r="G29" s="17" t="s">
        <v>319</v>
      </c>
      <c r="J29" t="s">
        <v>552</v>
      </c>
      <c r="K29" s="17" t="s">
        <v>322</v>
      </c>
      <c r="L29" s="17" t="s">
        <v>278</v>
      </c>
      <c r="M29" s="17" t="s">
        <v>322</v>
      </c>
      <c r="N29" s="17" t="s">
        <v>322</v>
      </c>
      <c r="O29" s="17" t="s">
        <v>322</v>
      </c>
      <c r="T29" s="31" t="s">
        <v>540</v>
      </c>
      <c r="Z29" s="17" t="s">
        <v>315</v>
      </c>
      <c r="AA29" s="17" t="s">
        <v>316</v>
      </c>
      <c r="AB29" s="17" t="s">
        <v>317</v>
      </c>
      <c r="AC29" s="17" t="s">
        <v>318</v>
      </c>
      <c r="AD29" s="17" t="s">
        <v>319</v>
      </c>
      <c r="AG29" t="s">
        <v>552</v>
      </c>
      <c r="AH29" s="17" t="s">
        <v>322</v>
      </c>
      <c r="AI29" s="17" t="s">
        <v>278</v>
      </c>
      <c r="AJ29" s="17" t="s">
        <v>322</v>
      </c>
      <c r="AK29" s="17" t="s">
        <v>322</v>
      </c>
      <c r="AL29" s="17" t="s">
        <v>322</v>
      </c>
      <c r="AP29" t="s">
        <v>909</v>
      </c>
      <c r="AW29" s="17" t="s">
        <v>315</v>
      </c>
      <c r="AX29" s="17" t="s">
        <v>316</v>
      </c>
      <c r="AY29" s="17" t="s">
        <v>317</v>
      </c>
      <c r="AZ29" s="17" t="s">
        <v>318</v>
      </c>
      <c r="BA29" s="17" t="s">
        <v>319</v>
      </c>
      <c r="BD29" t="s">
        <v>552</v>
      </c>
      <c r="BE29" s="17" t="s">
        <v>322</v>
      </c>
      <c r="BF29" s="17" t="s">
        <v>278</v>
      </c>
      <c r="BG29" s="17" t="s">
        <v>322</v>
      </c>
      <c r="BH29" s="17" t="s">
        <v>322</v>
      </c>
      <c r="BI29" s="17" t="s">
        <v>322</v>
      </c>
      <c r="BM29" t="s">
        <v>553</v>
      </c>
      <c r="BX29" t="s">
        <v>573</v>
      </c>
      <c r="BY29" t="s">
        <v>689</v>
      </c>
      <c r="BZ29" t="s">
        <v>703</v>
      </c>
      <c r="CA29" t="s">
        <v>689</v>
      </c>
      <c r="CB29" t="s">
        <v>322</v>
      </c>
      <c r="CC29" t="s">
        <v>701</v>
      </c>
    </row>
    <row r="30" spans="2:81" x14ac:dyDescent="0.3">
      <c r="B30" s="15" t="s">
        <v>512</v>
      </c>
      <c r="C30" s="17" t="s">
        <v>526</v>
      </c>
      <c r="D30" s="17" t="s">
        <v>322</v>
      </c>
      <c r="E30" s="17" t="s">
        <v>322</v>
      </c>
      <c r="F30" s="17" t="s">
        <v>322</v>
      </c>
      <c r="G30" s="17" t="s">
        <v>954</v>
      </c>
      <c r="J30" t="s">
        <v>554</v>
      </c>
      <c r="K30" s="17" t="s">
        <v>322</v>
      </c>
      <c r="L30" s="17" t="s">
        <v>278</v>
      </c>
      <c r="M30" s="17" t="s">
        <v>322</v>
      </c>
      <c r="N30" s="17" t="s">
        <v>322</v>
      </c>
      <c r="O30" s="17" t="s">
        <v>322</v>
      </c>
      <c r="T30" s="31" t="s">
        <v>991</v>
      </c>
      <c r="Y30" s="15" t="s">
        <v>512</v>
      </c>
      <c r="Z30" s="17" t="s">
        <v>526</v>
      </c>
      <c r="AA30" s="17" t="s">
        <v>322</v>
      </c>
      <c r="AB30" s="17" t="s">
        <v>322</v>
      </c>
      <c r="AC30" s="17" t="s">
        <v>322</v>
      </c>
      <c r="AD30" s="17" t="s">
        <v>521</v>
      </c>
      <c r="AG30" t="s">
        <v>554</v>
      </c>
      <c r="AH30" s="17" t="s">
        <v>322</v>
      </c>
      <c r="AI30" s="17" t="s">
        <v>278</v>
      </c>
      <c r="AJ30" s="17" t="s">
        <v>322</v>
      </c>
      <c r="AK30" s="17" t="s">
        <v>322</v>
      </c>
      <c r="AL30" s="17" t="s">
        <v>322</v>
      </c>
      <c r="AP30" t="s">
        <v>555</v>
      </c>
      <c r="AV30" s="15" t="s">
        <v>512</v>
      </c>
      <c r="AW30" s="17" t="s">
        <v>535</v>
      </c>
      <c r="AX30" s="17" t="s">
        <v>322</v>
      </c>
      <c r="AY30" s="17" t="s">
        <v>322</v>
      </c>
      <c r="AZ30" s="17" t="s">
        <v>535</v>
      </c>
      <c r="BA30" s="17" t="s">
        <v>521</v>
      </c>
      <c r="BD30" t="s">
        <v>554</v>
      </c>
      <c r="BE30" s="17" t="s">
        <v>322</v>
      </c>
      <c r="BF30" s="17" t="s">
        <v>278</v>
      </c>
      <c r="BG30" s="17" t="s">
        <v>322</v>
      </c>
      <c r="BH30" s="17" t="s">
        <v>322</v>
      </c>
      <c r="BI30" s="17" t="s">
        <v>322</v>
      </c>
      <c r="BM30" t="s">
        <v>555</v>
      </c>
      <c r="BX30" t="s">
        <v>561</v>
      </c>
      <c r="BY30" t="s">
        <v>689</v>
      </c>
      <c r="BZ30" t="s">
        <v>703</v>
      </c>
      <c r="CA30" t="s">
        <v>689</v>
      </c>
      <c r="CB30" t="s">
        <v>705</v>
      </c>
      <c r="CC30" t="s">
        <v>322</v>
      </c>
    </row>
    <row r="31" spans="2:81" x14ac:dyDescent="0.3">
      <c r="B31" s="15" t="s">
        <v>514</v>
      </c>
      <c r="C31" s="17" t="s">
        <v>526</v>
      </c>
      <c r="D31" s="17" t="s">
        <v>520</v>
      </c>
      <c r="E31" s="17" t="s">
        <v>322</v>
      </c>
      <c r="F31" s="17" t="s">
        <v>322</v>
      </c>
      <c r="G31" s="17" t="s">
        <v>954</v>
      </c>
      <c r="T31" s="31" t="s">
        <v>969</v>
      </c>
      <c r="Y31" s="15" t="s">
        <v>514</v>
      </c>
      <c r="Z31" s="17" t="s">
        <v>526</v>
      </c>
      <c r="AA31" s="17" t="s">
        <v>520</v>
      </c>
      <c r="AB31" s="17" t="s">
        <v>322</v>
      </c>
      <c r="AC31" s="17" t="s">
        <v>322</v>
      </c>
      <c r="AD31" s="17" t="s">
        <v>521</v>
      </c>
      <c r="AP31" t="s">
        <v>910</v>
      </c>
      <c r="AV31" s="15" t="s">
        <v>514</v>
      </c>
      <c r="AW31" s="17" t="s">
        <v>535</v>
      </c>
      <c r="AX31" s="17" t="s">
        <v>322</v>
      </c>
      <c r="AY31" s="17" t="s">
        <v>322</v>
      </c>
      <c r="AZ31" s="17" t="s">
        <v>535</v>
      </c>
      <c r="BA31" s="17" t="s">
        <v>521</v>
      </c>
      <c r="BM31" t="s">
        <v>556</v>
      </c>
      <c r="BX31" t="s">
        <v>551</v>
      </c>
      <c r="BY31" t="s">
        <v>706</v>
      </c>
      <c r="BZ31" t="s">
        <v>703</v>
      </c>
      <c r="CA31" t="s">
        <v>705</v>
      </c>
      <c r="CB31" t="s">
        <v>705</v>
      </c>
      <c r="CC31" t="s">
        <v>707</v>
      </c>
    </row>
    <row r="32" spans="2:81" x14ac:dyDescent="0.3">
      <c r="B32" s="15" t="s">
        <v>517</v>
      </c>
      <c r="C32" s="17" t="s">
        <v>526</v>
      </c>
      <c r="D32" s="17" t="s">
        <v>520</v>
      </c>
      <c r="E32" s="17" t="s">
        <v>322</v>
      </c>
      <c r="F32" s="17" t="s">
        <v>541</v>
      </c>
      <c r="G32" s="17" t="s">
        <v>557</v>
      </c>
      <c r="J32" t="s">
        <v>558</v>
      </c>
      <c r="T32" s="31" t="s">
        <v>968</v>
      </c>
      <c r="Y32" s="15" t="s">
        <v>517</v>
      </c>
      <c r="Z32" s="17" t="s">
        <v>526</v>
      </c>
      <c r="AA32" s="17" t="s">
        <v>520</v>
      </c>
      <c r="AB32" s="17" t="s">
        <v>322</v>
      </c>
      <c r="AC32" s="17" t="s">
        <v>541</v>
      </c>
      <c r="AD32" s="17" t="s">
        <v>557</v>
      </c>
      <c r="AG32" t="s">
        <v>558</v>
      </c>
      <c r="AP32" t="s">
        <v>911</v>
      </c>
      <c r="AV32" s="15" t="s">
        <v>517</v>
      </c>
      <c r="AW32" s="17" t="s">
        <v>535</v>
      </c>
      <c r="AX32" s="17" t="s">
        <v>322</v>
      </c>
      <c r="AY32" s="17" t="s">
        <v>322</v>
      </c>
      <c r="AZ32" s="17" t="s">
        <v>520</v>
      </c>
      <c r="BA32" s="17" t="s">
        <v>557</v>
      </c>
      <c r="BD32" t="s">
        <v>558</v>
      </c>
      <c r="BM32" t="s">
        <v>559</v>
      </c>
      <c r="BX32" t="s">
        <v>552</v>
      </c>
      <c r="BY32" t="s">
        <v>706</v>
      </c>
      <c r="BZ32" t="s">
        <v>703</v>
      </c>
      <c r="CA32" t="s">
        <v>708</v>
      </c>
      <c r="CB32" t="s">
        <v>706</v>
      </c>
      <c r="CC32" t="s">
        <v>707</v>
      </c>
    </row>
    <row r="33" spans="2:81" x14ac:dyDescent="0.3">
      <c r="B33" s="15" t="s">
        <v>326</v>
      </c>
      <c r="C33" s="17" t="s">
        <v>545</v>
      </c>
      <c r="D33" s="17" t="s">
        <v>541</v>
      </c>
      <c r="E33" s="17" t="s">
        <v>557</v>
      </c>
      <c r="F33" s="17" t="s">
        <v>541</v>
      </c>
      <c r="G33" s="17" t="s">
        <v>557</v>
      </c>
      <c r="K33" s="17" t="s">
        <v>315</v>
      </c>
      <c r="L33" s="17" t="s">
        <v>316</v>
      </c>
      <c r="M33" s="17" t="s">
        <v>317</v>
      </c>
      <c r="N33" s="17" t="s">
        <v>318</v>
      </c>
      <c r="O33" s="17" t="s">
        <v>319</v>
      </c>
      <c r="S33" s="31" t="s">
        <v>251</v>
      </c>
      <c r="Y33" s="15" t="s">
        <v>326</v>
      </c>
      <c r="Z33" s="17" t="s">
        <v>545</v>
      </c>
      <c r="AA33" s="17" t="s">
        <v>541</v>
      </c>
      <c r="AB33" s="17" t="s">
        <v>557</v>
      </c>
      <c r="AC33" s="17" t="s">
        <v>541</v>
      </c>
      <c r="AD33" s="17" t="s">
        <v>557</v>
      </c>
      <c r="AH33" s="17" t="s">
        <v>315</v>
      </c>
      <c r="AI33" s="17" t="s">
        <v>316</v>
      </c>
      <c r="AJ33" s="17" t="s">
        <v>317</v>
      </c>
      <c r="AK33" s="17" t="s">
        <v>318</v>
      </c>
      <c r="AL33" s="17" t="s">
        <v>319</v>
      </c>
      <c r="AP33" t="s">
        <v>912</v>
      </c>
      <c r="AV33" s="15" t="s">
        <v>326</v>
      </c>
      <c r="AW33" s="17" t="s">
        <v>526</v>
      </c>
      <c r="AX33" s="17" t="s">
        <v>527</v>
      </c>
      <c r="AY33" s="17" t="s">
        <v>557</v>
      </c>
      <c r="AZ33" s="17" t="s">
        <v>520</v>
      </c>
      <c r="BA33" s="17" t="s">
        <v>557</v>
      </c>
      <c r="BE33" s="17" t="s">
        <v>315</v>
      </c>
      <c r="BF33" s="17" t="s">
        <v>316</v>
      </c>
      <c r="BG33" s="17" t="s">
        <v>317</v>
      </c>
      <c r="BH33" s="17" t="s">
        <v>318</v>
      </c>
      <c r="BI33" s="17" t="s">
        <v>319</v>
      </c>
      <c r="BM33" t="s">
        <v>560</v>
      </c>
      <c r="BX33" t="s">
        <v>554</v>
      </c>
      <c r="BY33" t="s">
        <v>706</v>
      </c>
      <c r="BZ33" t="s">
        <v>697</v>
      </c>
      <c r="CA33" t="s">
        <v>707</v>
      </c>
      <c r="CB33" t="s">
        <v>706</v>
      </c>
      <c r="CC33" t="s">
        <v>707</v>
      </c>
    </row>
    <row r="34" spans="2:81" x14ac:dyDescent="0.3">
      <c r="B34" s="15" t="s">
        <v>328</v>
      </c>
      <c r="C34" s="17" t="s">
        <v>545</v>
      </c>
      <c r="D34" s="17" t="s">
        <v>541</v>
      </c>
      <c r="E34" s="17" t="s">
        <v>557</v>
      </c>
      <c r="F34" s="17" t="s">
        <v>528</v>
      </c>
      <c r="G34" s="17" t="s">
        <v>545</v>
      </c>
      <c r="J34" t="s">
        <v>561</v>
      </c>
      <c r="K34" s="17" t="s">
        <v>322</v>
      </c>
      <c r="L34" s="17" t="s">
        <v>72</v>
      </c>
      <c r="M34" s="17" t="s">
        <v>322</v>
      </c>
      <c r="N34" s="17" t="s">
        <v>72</v>
      </c>
      <c r="O34" s="17" t="s">
        <v>322</v>
      </c>
      <c r="T34" s="31" t="s">
        <v>992</v>
      </c>
      <c r="U34" s="148"/>
      <c r="Y34" s="15" t="s">
        <v>328</v>
      </c>
      <c r="Z34" s="17" t="s">
        <v>545</v>
      </c>
      <c r="AA34" s="17" t="s">
        <v>541</v>
      </c>
      <c r="AB34" s="17" t="s">
        <v>557</v>
      </c>
      <c r="AC34" s="17" t="s">
        <v>528</v>
      </c>
      <c r="AD34" s="17" t="s">
        <v>545</v>
      </c>
      <c r="AG34" t="s">
        <v>561</v>
      </c>
      <c r="AH34" s="17" t="s">
        <v>322</v>
      </c>
      <c r="AI34" s="17" t="s">
        <v>72</v>
      </c>
      <c r="AJ34" s="17" t="s">
        <v>322</v>
      </c>
      <c r="AK34" s="17" t="s">
        <v>72</v>
      </c>
      <c r="AL34" s="17" t="s">
        <v>322</v>
      </c>
      <c r="AO34" t="s">
        <v>252</v>
      </c>
      <c r="AV34" s="15" t="s">
        <v>328</v>
      </c>
      <c r="AW34" s="17" t="s">
        <v>526</v>
      </c>
      <c r="AX34" s="17" t="s">
        <v>527</v>
      </c>
      <c r="AY34" s="17" t="s">
        <v>557</v>
      </c>
      <c r="AZ34" s="17" t="s">
        <v>527</v>
      </c>
      <c r="BA34" s="17" t="s">
        <v>528</v>
      </c>
      <c r="BD34" t="s">
        <v>561</v>
      </c>
      <c r="BE34" s="17" t="s">
        <v>322</v>
      </c>
      <c r="BF34" s="17" t="s">
        <v>72</v>
      </c>
      <c r="BG34" s="17" t="s">
        <v>322</v>
      </c>
      <c r="BH34" s="17" t="s">
        <v>72</v>
      </c>
      <c r="BI34" s="17" t="s">
        <v>322</v>
      </c>
      <c r="BL34" t="s">
        <v>252</v>
      </c>
    </row>
    <row r="35" spans="2:81" x14ac:dyDescent="0.3">
      <c r="B35" s="15" t="s">
        <v>350</v>
      </c>
      <c r="C35" s="17" t="s">
        <v>545</v>
      </c>
      <c r="D35" s="17" t="s">
        <v>541</v>
      </c>
      <c r="E35" s="17" t="s">
        <v>557</v>
      </c>
      <c r="F35" s="17" t="s">
        <v>528</v>
      </c>
      <c r="G35" s="17" t="s">
        <v>545</v>
      </c>
      <c r="J35" t="s">
        <v>551</v>
      </c>
      <c r="K35" s="17" t="s">
        <v>322</v>
      </c>
      <c r="L35" s="17" t="s">
        <v>72</v>
      </c>
      <c r="M35" s="17" t="s">
        <v>322</v>
      </c>
      <c r="N35" s="17" t="s">
        <v>72</v>
      </c>
      <c r="O35" s="17" t="s">
        <v>322</v>
      </c>
      <c r="T35" s="31" t="s">
        <v>993</v>
      </c>
      <c r="U35" s="148"/>
      <c r="Y35" s="15" t="s">
        <v>350</v>
      </c>
      <c r="Z35" s="17" t="s">
        <v>545</v>
      </c>
      <c r="AA35" s="17" t="s">
        <v>541</v>
      </c>
      <c r="AB35" s="17" t="s">
        <v>557</v>
      </c>
      <c r="AC35" s="17" t="s">
        <v>528</v>
      </c>
      <c r="AD35" s="17" t="s">
        <v>545</v>
      </c>
      <c r="AG35" t="s">
        <v>551</v>
      </c>
      <c r="AH35" s="17" t="s">
        <v>322</v>
      </c>
      <c r="AI35" s="17" t="s">
        <v>72</v>
      </c>
      <c r="AJ35" s="17" t="s">
        <v>322</v>
      </c>
      <c r="AK35" s="17" t="s">
        <v>72</v>
      </c>
      <c r="AL35" s="17" t="s">
        <v>322</v>
      </c>
      <c r="AP35" t="s">
        <v>913</v>
      </c>
      <c r="AQ35" s="32"/>
      <c r="AV35" s="15" t="s">
        <v>350</v>
      </c>
      <c r="AW35" s="17" t="s">
        <v>526</v>
      </c>
      <c r="AX35" s="17" t="s">
        <v>527</v>
      </c>
      <c r="AY35" s="17" t="s">
        <v>557</v>
      </c>
      <c r="AZ35" s="17" t="s">
        <v>527</v>
      </c>
      <c r="BA35" s="17" t="s">
        <v>528</v>
      </c>
      <c r="BD35" t="s">
        <v>551</v>
      </c>
      <c r="BE35" s="17" t="s">
        <v>322</v>
      </c>
      <c r="BF35" s="17" t="s">
        <v>72</v>
      </c>
      <c r="BG35" s="17" t="s">
        <v>322</v>
      </c>
      <c r="BH35" s="17" t="s">
        <v>72</v>
      </c>
      <c r="BI35" s="17" t="s">
        <v>322</v>
      </c>
      <c r="BM35" t="s">
        <v>562</v>
      </c>
      <c r="BN35" s="32"/>
      <c r="BX35" t="s">
        <v>709</v>
      </c>
    </row>
    <row r="36" spans="2:81" x14ac:dyDescent="0.3">
      <c r="T36" s="31" t="s">
        <v>994</v>
      </c>
      <c r="U36" s="148"/>
      <c r="AP36" t="s">
        <v>914</v>
      </c>
      <c r="AQ36" s="32"/>
      <c r="BM36" t="s">
        <v>563</v>
      </c>
      <c r="BN36" s="32"/>
      <c r="BY36" t="s">
        <v>315</v>
      </c>
      <c r="BZ36" t="s">
        <v>316</v>
      </c>
      <c r="CA36" t="s">
        <v>317</v>
      </c>
      <c r="CB36" t="s">
        <v>318</v>
      </c>
      <c r="CC36" t="s">
        <v>319</v>
      </c>
    </row>
    <row r="37" spans="2:81" x14ac:dyDescent="0.3">
      <c r="B37" s="15" t="s">
        <v>564</v>
      </c>
      <c r="J37" t="s">
        <v>565</v>
      </c>
      <c r="T37" s="31" t="s">
        <v>995</v>
      </c>
      <c r="Y37" s="15" t="s">
        <v>564</v>
      </c>
      <c r="AG37" t="s">
        <v>565</v>
      </c>
      <c r="AP37" t="s">
        <v>915</v>
      </c>
      <c r="AQ37" s="32"/>
      <c r="AV37" s="15" t="s">
        <v>564</v>
      </c>
      <c r="BD37" t="s">
        <v>565</v>
      </c>
      <c r="BM37" t="s">
        <v>566</v>
      </c>
      <c r="BN37" s="32"/>
      <c r="BX37" t="s">
        <v>539</v>
      </c>
      <c r="BY37" t="s">
        <v>322</v>
      </c>
      <c r="BZ37" t="s">
        <v>710</v>
      </c>
      <c r="CA37" t="s">
        <v>322</v>
      </c>
      <c r="CB37" t="s">
        <v>322</v>
      </c>
      <c r="CC37" t="s">
        <v>687</v>
      </c>
    </row>
    <row r="38" spans="2:81" x14ac:dyDescent="0.3">
      <c r="C38" s="17" t="s">
        <v>315</v>
      </c>
      <c r="D38" s="17" t="s">
        <v>316</v>
      </c>
      <c r="E38" s="17" t="s">
        <v>317</v>
      </c>
      <c r="F38" s="17" t="s">
        <v>318</v>
      </c>
      <c r="G38" s="17" t="s">
        <v>319</v>
      </c>
      <c r="K38" s="17" t="s">
        <v>315</v>
      </c>
      <c r="L38" s="17" t="s">
        <v>316</v>
      </c>
      <c r="M38" s="17" t="s">
        <v>317</v>
      </c>
      <c r="N38" s="17" t="s">
        <v>318</v>
      </c>
      <c r="O38" s="17" t="s">
        <v>319</v>
      </c>
      <c r="T38" s="31" t="s">
        <v>996</v>
      </c>
      <c r="U38" s="148"/>
      <c r="Z38" s="17" t="s">
        <v>315</v>
      </c>
      <c r="AA38" s="17" t="s">
        <v>316</v>
      </c>
      <c r="AB38" s="17" t="s">
        <v>317</v>
      </c>
      <c r="AC38" s="17" t="s">
        <v>318</v>
      </c>
      <c r="AD38" s="17" t="s">
        <v>319</v>
      </c>
      <c r="AH38" s="17" t="s">
        <v>315</v>
      </c>
      <c r="AI38" s="17" t="s">
        <v>316</v>
      </c>
      <c r="AJ38" s="17" t="s">
        <v>317</v>
      </c>
      <c r="AK38" s="17" t="s">
        <v>318</v>
      </c>
      <c r="AL38" s="17" t="s">
        <v>319</v>
      </c>
      <c r="AP38" t="s">
        <v>916</v>
      </c>
      <c r="AW38" s="17" t="s">
        <v>315</v>
      </c>
      <c r="AX38" s="17" t="s">
        <v>316</v>
      </c>
      <c r="AY38" s="17" t="s">
        <v>317</v>
      </c>
      <c r="AZ38" s="17" t="s">
        <v>318</v>
      </c>
      <c r="BA38" s="17" t="s">
        <v>319</v>
      </c>
      <c r="BE38" s="17" t="s">
        <v>315</v>
      </c>
      <c r="BF38" s="17" t="s">
        <v>316</v>
      </c>
      <c r="BG38" s="17" t="s">
        <v>317</v>
      </c>
      <c r="BH38" s="17" t="s">
        <v>318</v>
      </c>
      <c r="BI38" s="17" t="s">
        <v>319</v>
      </c>
      <c r="BM38" t="s">
        <v>567</v>
      </c>
      <c r="BX38" t="s">
        <v>543</v>
      </c>
      <c r="BY38" t="s">
        <v>322</v>
      </c>
      <c r="BZ38" t="s">
        <v>710</v>
      </c>
      <c r="CA38" t="s">
        <v>322</v>
      </c>
      <c r="CB38" t="s">
        <v>322</v>
      </c>
      <c r="CC38" t="s">
        <v>687</v>
      </c>
    </row>
    <row r="39" spans="2:81" x14ac:dyDescent="0.3">
      <c r="B39" s="15" t="s">
        <v>536</v>
      </c>
      <c r="C39" s="17" t="s">
        <v>322</v>
      </c>
      <c r="D39" s="17" t="s">
        <v>526</v>
      </c>
      <c r="E39" s="17" t="s">
        <v>569</v>
      </c>
      <c r="F39" s="17" t="s">
        <v>568</v>
      </c>
      <c r="G39" s="17" t="s">
        <v>954</v>
      </c>
      <c r="J39" t="s">
        <v>326</v>
      </c>
      <c r="K39" s="17" t="s">
        <v>322</v>
      </c>
      <c r="L39" s="17" t="s">
        <v>81</v>
      </c>
      <c r="M39" s="17" t="s">
        <v>322</v>
      </c>
      <c r="N39" s="17" t="s">
        <v>322</v>
      </c>
      <c r="O39" s="17" t="s">
        <v>322</v>
      </c>
      <c r="S39" s="31" t="s">
        <v>252</v>
      </c>
      <c r="U39" s="148"/>
      <c r="Y39" s="15" t="s">
        <v>536</v>
      </c>
      <c r="Z39" s="17" t="s">
        <v>568</v>
      </c>
      <c r="AA39" s="17" t="s">
        <v>526</v>
      </c>
      <c r="AB39" s="17" t="s">
        <v>569</v>
      </c>
      <c r="AC39" s="17" t="s">
        <v>568</v>
      </c>
      <c r="AD39" s="17" t="s">
        <v>521</v>
      </c>
      <c r="AG39" t="s">
        <v>326</v>
      </c>
      <c r="AH39" s="17" t="s">
        <v>322</v>
      </c>
      <c r="AI39" s="17" t="s">
        <v>81</v>
      </c>
      <c r="AJ39" s="17" t="s">
        <v>322</v>
      </c>
      <c r="AK39" s="17" t="s">
        <v>322</v>
      </c>
      <c r="AL39" s="17" t="s">
        <v>322</v>
      </c>
      <c r="AP39" t="s">
        <v>917</v>
      </c>
      <c r="AQ39" s="32"/>
      <c r="AV39" s="15" t="s">
        <v>536</v>
      </c>
      <c r="AW39" s="17" t="s">
        <v>526</v>
      </c>
      <c r="AX39" s="17" t="s">
        <v>568</v>
      </c>
      <c r="AY39" s="17" t="s">
        <v>569</v>
      </c>
      <c r="AZ39" s="17" t="s">
        <v>568</v>
      </c>
      <c r="BA39" s="17" t="s">
        <v>521</v>
      </c>
      <c r="BD39" t="s">
        <v>326</v>
      </c>
      <c r="BE39" s="17" t="s">
        <v>322</v>
      </c>
      <c r="BF39" s="17" t="s">
        <v>81</v>
      </c>
      <c r="BG39" s="17" t="s">
        <v>322</v>
      </c>
      <c r="BH39" s="17" t="s">
        <v>322</v>
      </c>
      <c r="BI39" s="17" t="s">
        <v>322</v>
      </c>
      <c r="BM39" t="s">
        <v>570</v>
      </c>
      <c r="BN39" s="32"/>
      <c r="BX39" t="s">
        <v>573</v>
      </c>
      <c r="BY39" t="s">
        <v>689</v>
      </c>
      <c r="BZ39" t="s">
        <v>710</v>
      </c>
      <c r="CA39" t="s">
        <v>689</v>
      </c>
      <c r="CB39" t="s">
        <v>322</v>
      </c>
      <c r="CC39" t="s">
        <v>712</v>
      </c>
    </row>
    <row r="40" spans="2:81" x14ac:dyDescent="0.3">
      <c r="B40" s="15" t="s">
        <v>539</v>
      </c>
      <c r="C40" s="17" t="s">
        <v>568</v>
      </c>
      <c r="D40" s="17" t="s">
        <v>526</v>
      </c>
      <c r="E40" s="17" t="s">
        <v>569</v>
      </c>
      <c r="F40" s="17" t="s">
        <v>568</v>
      </c>
      <c r="G40" s="17" t="s">
        <v>954</v>
      </c>
      <c r="J40" t="s">
        <v>328</v>
      </c>
      <c r="K40" s="17" t="s">
        <v>322</v>
      </c>
      <c r="L40" s="17" t="s">
        <v>81</v>
      </c>
      <c r="M40" s="17" t="s">
        <v>322</v>
      </c>
      <c r="N40" s="17" t="s">
        <v>81</v>
      </c>
      <c r="O40" s="17" t="s">
        <v>322</v>
      </c>
      <c r="T40" s="31" t="s">
        <v>997</v>
      </c>
      <c r="U40" s="148"/>
      <c r="Y40" s="15" t="s">
        <v>539</v>
      </c>
      <c r="Z40" s="17" t="s">
        <v>568</v>
      </c>
      <c r="AA40" s="17" t="s">
        <v>526</v>
      </c>
      <c r="AB40" s="17" t="s">
        <v>569</v>
      </c>
      <c r="AC40" s="17" t="s">
        <v>568</v>
      </c>
      <c r="AD40" s="17" t="s">
        <v>521</v>
      </c>
      <c r="AG40" t="s">
        <v>328</v>
      </c>
      <c r="AH40" s="17" t="s">
        <v>322</v>
      </c>
      <c r="AI40" s="17" t="s">
        <v>81</v>
      </c>
      <c r="AJ40" s="17" t="s">
        <v>322</v>
      </c>
      <c r="AK40" s="17" t="s">
        <v>81</v>
      </c>
      <c r="AL40" s="17" t="s">
        <v>322</v>
      </c>
      <c r="AP40" t="s">
        <v>918</v>
      </c>
      <c r="AQ40" s="32"/>
      <c r="AV40" s="15" t="s">
        <v>539</v>
      </c>
      <c r="AW40" s="17" t="s">
        <v>526</v>
      </c>
      <c r="AX40" s="17" t="s">
        <v>568</v>
      </c>
      <c r="AY40" s="17" t="s">
        <v>569</v>
      </c>
      <c r="AZ40" s="17" t="s">
        <v>568</v>
      </c>
      <c r="BA40" s="17" t="s">
        <v>521</v>
      </c>
      <c r="BD40" t="s">
        <v>328</v>
      </c>
      <c r="BE40" s="17" t="s">
        <v>322</v>
      </c>
      <c r="BF40" s="17" t="s">
        <v>81</v>
      </c>
      <c r="BG40" s="17" t="s">
        <v>322</v>
      </c>
      <c r="BH40" s="17" t="s">
        <v>81</v>
      </c>
      <c r="BI40" s="17" t="s">
        <v>322</v>
      </c>
      <c r="BM40" t="s">
        <v>571</v>
      </c>
      <c r="BN40" s="32"/>
      <c r="BX40" t="s">
        <v>561</v>
      </c>
      <c r="BY40" t="s">
        <v>689</v>
      </c>
      <c r="BZ40" t="s">
        <v>710</v>
      </c>
      <c r="CA40" t="s">
        <v>689</v>
      </c>
      <c r="CB40" t="s">
        <v>322</v>
      </c>
      <c r="CC40" t="s">
        <v>712</v>
      </c>
    </row>
    <row r="41" spans="2:81" x14ac:dyDescent="0.3">
      <c r="B41" s="15" t="s">
        <v>543</v>
      </c>
      <c r="C41" s="130" t="s">
        <v>568</v>
      </c>
      <c r="D41" s="17" t="s">
        <v>526</v>
      </c>
      <c r="E41" s="17" t="s">
        <v>569</v>
      </c>
      <c r="F41" s="130" t="s">
        <v>569</v>
      </c>
      <c r="G41" s="17" t="s">
        <v>528</v>
      </c>
      <c r="J41" t="s">
        <v>350</v>
      </c>
      <c r="K41" s="17" t="s">
        <v>322</v>
      </c>
      <c r="L41" s="17" t="s">
        <v>81</v>
      </c>
      <c r="M41" s="17" t="s">
        <v>322</v>
      </c>
      <c r="N41" s="17" t="s">
        <v>81</v>
      </c>
      <c r="O41" s="17" t="s">
        <v>322</v>
      </c>
      <c r="T41" s="31" t="s">
        <v>998</v>
      </c>
      <c r="U41" s="148"/>
      <c r="Y41" s="15" t="s">
        <v>543</v>
      </c>
      <c r="Z41" s="17" t="s">
        <v>569</v>
      </c>
      <c r="AA41" s="17" t="s">
        <v>526</v>
      </c>
      <c r="AB41" s="17" t="s">
        <v>569</v>
      </c>
      <c r="AC41" s="17" t="s">
        <v>568</v>
      </c>
      <c r="AD41" s="17" t="s">
        <v>528</v>
      </c>
      <c r="AG41" t="s">
        <v>350</v>
      </c>
      <c r="AH41" s="17" t="s">
        <v>322</v>
      </c>
      <c r="AI41" s="17" t="s">
        <v>81</v>
      </c>
      <c r="AJ41" s="17" t="s">
        <v>322</v>
      </c>
      <c r="AK41" s="17" t="s">
        <v>81</v>
      </c>
      <c r="AL41" s="17" t="s">
        <v>322</v>
      </c>
      <c r="AP41" t="s">
        <v>919</v>
      </c>
      <c r="AQ41" s="32"/>
      <c r="AV41" s="15" t="s">
        <v>543</v>
      </c>
      <c r="AW41" s="17" t="s">
        <v>526</v>
      </c>
      <c r="AX41" s="17" t="s">
        <v>568</v>
      </c>
      <c r="AY41" s="17" t="s">
        <v>569</v>
      </c>
      <c r="AZ41" s="17" t="s">
        <v>520</v>
      </c>
      <c r="BA41" s="17" t="s">
        <v>528</v>
      </c>
      <c r="BD41" t="s">
        <v>350</v>
      </c>
      <c r="BE41" s="17" t="s">
        <v>322</v>
      </c>
      <c r="BF41" s="17" t="s">
        <v>81</v>
      </c>
      <c r="BG41" s="17" t="s">
        <v>322</v>
      </c>
      <c r="BH41" s="17" t="s">
        <v>81</v>
      </c>
      <c r="BI41" s="17" t="s">
        <v>322</v>
      </c>
      <c r="BM41" t="s">
        <v>572</v>
      </c>
      <c r="BN41" s="32"/>
      <c r="BX41" t="s">
        <v>551</v>
      </c>
      <c r="BY41" t="s">
        <v>713</v>
      </c>
      <c r="BZ41" t="s">
        <v>712</v>
      </c>
      <c r="CA41" t="s">
        <v>714</v>
      </c>
      <c r="CB41" t="s">
        <v>697</v>
      </c>
      <c r="CC41" t="s">
        <v>714</v>
      </c>
    </row>
    <row r="42" spans="2:81" x14ac:dyDescent="0.3">
      <c r="B42" s="15" t="s">
        <v>573</v>
      </c>
      <c r="C42" s="130" t="s">
        <v>568</v>
      </c>
      <c r="D42" s="17" t="s">
        <v>520</v>
      </c>
      <c r="E42" s="17" t="s">
        <v>574</v>
      </c>
      <c r="F42" s="130" t="s">
        <v>569</v>
      </c>
      <c r="G42" s="17" t="s">
        <v>528</v>
      </c>
      <c r="J42" t="s">
        <v>536</v>
      </c>
      <c r="K42" s="17" t="s">
        <v>322</v>
      </c>
      <c r="L42" s="17" t="s">
        <v>108</v>
      </c>
      <c r="M42" s="17" t="s">
        <v>322</v>
      </c>
      <c r="N42" s="17" t="s">
        <v>108</v>
      </c>
      <c r="O42" s="17" t="s">
        <v>322</v>
      </c>
      <c r="T42" s="31" t="s">
        <v>999</v>
      </c>
      <c r="Y42" s="15" t="s">
        <v>573</v>
      </c>
      <c r="Z42" s="17" t="s">
        <v>569</v>
      </c>
      <c r="AA42" s="17" t="s">
        <v>520</v>
      </c>
      <c r="AB42" s="17" t="s">
        <v>574</v>
      </c>
      <c r="AC42" s="17" t="s">
        <v>322</v>
      </c>
      <c r="AD42" s="17" t="s">
        <v>528</v>
      </c>
      <c r="AG42" t="s">
        <v>536</v>
      </c>
      <c r="AH42" s="17" t="s">
        <v>322</v>
      </c>
      <c r="AI42" s="17" t="s">
        <v>108</v>
      </c>
      <c r="AJ42" s="17" t="s">
        <v>322</v>
      </c>
      <c r="AK42" s="17" t="s">
        <v>108</v>
      </c>
      <c r="AL42" s="17" t="s">
        <v>322</v>
      </c>
      <c r="AP42" t="s">
        <v>920</v>
      </c>
      <c r="AQ42" s="32"/>
      <c r="AV42" s="15" t="s">
        <v>573</v>
      </c>
      <c r="AW42" s="17" t="s">
        <v>569</v>
      </c>
      <c r="AX42" s="17" t="s">
        <v>574</v>
      </c>
      <c r="AY42" s="17" t="s">
        <v>322</v>
      </c>
      <c r="AZ42" s="17" t="s">
        <v>520</v>
      </c>
      <c r="BA42" s="17" t="s">
        <v>528</v>
      </c>
      <c r="BD42" t="s">
        <v>536</v>
      </c>
      <c r="BE42" s="17" t="s">
        <v>322</v>
      </c>
      <c r="BF42" s="17" t="s">
        <v>108</v>
      </c>
      <c r="BG42" s="17" t="s">
        <v>322</v>
      </c>
      <c r="BH42" s="17" t="s">
        <v>108</v>
      </c>
      <c r="BI42" s="17" t="s">
        <v>322</v>
      </c>
      <c r="BM42" t="s">
        <v>575</v>
      </c>
      <c r="BN42" s="32"/>
      <c r="BX42" t="s">
        <v>552</v>
      </c>
      <c r="BY42" t="s">
        <v>713</v>
      </c>
      <c r="BZ42" t="s">
        <v>712</v>
      </c>
      <c r="CA42" t="s">
        <v>714</v>
      </c>
      <c r="CB42" t="s">
        <v>713</v>
      </c>
      <c r="CC42" t="s">
        <v>714</v>
      </c>
    </row>
    <row r="43" spans="2:81" x14ac:dyDescent="0.3">
      <c r="B43" s="15" t="s">
        <v>561</v>
      </c>
      <c r="C43" s="17" t="s">
        <v>574</v>
      </c>
      <c r="D43" s="17" t="s">
        <v>520</v>
      </c>
      <c r="E43" s="17" t="s">
        <v>574</v>
      </c>
      <c r="F43" s="17" t="s">
        <v>322</v>
      </c>
      <c r="G43" s="17" t="s">
        <v>322</v>
      </c>
      <c r="J43" t="s">
        <v>539</v>
      </c>
      <c r="K43" s="17" t="s">
        <v>322</v>
      </c>
      <c r="L43" s="17" t="s">
        <v>108</v>
      </c>
      <c r="M43" s="17" t="s">
        <v>322</v>
      </c>
      <c r="N43" s="17" t="s">
        <v>108</v>
      </c>
      <c r="O43" s="17" t="s">
        <v>322</v>
      </c>
      <c r="T43" s="31" t="s">
        <v>1000</v>
      </c>
      <c r="U43" s="148"/>
      <c r="Y43" s="15" t="s">
        <v>561</v>
      </c>
      <c r="Z43" s="17" t="s">
        <v>574</v>
      </c>
      <c r="AA43" s="17" t="s">
        <v>520</v>
      </c>
      <c r="AB43" s="17" t="s">
        <v>574</v>
      </c>
      <c r="AC43" s="17" t="s">
        <v>322</v>
      </c>
      <c r="AD43" s="17" t="s">
        <v>322</v>
      </c>
      <c r="AG43" t="s">
        <v>539</v>
      </c>
      <c r="AH43" s="17" t="s">
        <v>322</v>
      </c>
      <c r="AI43" s="17" t="s">
        <v>108</v>
      </c>
      <c r="AJ43" s="17" t="s">
        <v>322</v>
      </c>
      <c r="AK43" s="17" t="s">
        <v>108</v>
      </c>
      <c r="AL43" s="17" t="s">
        <v>322</v>
      </c>
      <c r="AP43" t="s">
        <v>921</v>
      </c>
      <c r="AV43" s="15" t="s">
        <v>561</v>
      </c>
      <c r="AW43" s="17" t="s">
        <v>569</v>
      </c>
      <c r="AX43" s="17" t="s">
        <v>574</v>
      </c>
      <c r="AY43" s="17" t="s">
        <v>322</v>
      </c>
      <c r="AZ43" s="17" t="s">
        <v>322</v>
      </c>
      <c r="BA43" s="17" t="s">
        <v>574</v>
      </c>
      <c r="BD43" t="s">
        <v>539</v>
      </c>
      <c r="BE43" s="17" t="s">
        <v>322</v>
      </c>
      <c r="BF43" s="17" t="s">
        <v>108</v>
      </c>
      <c r="BG43" s="17" t="s">
        <v>322</v>
      </c>
      <c r="BH43" s="17" t="s">
        <v>108</v>
      </c>
      <c r="BI43" s="17" t="s">
        <v>322</v>
      </c>
      <c r="BM43" t="s">
        <v>576</v>
      </c>
      <c r="BX43" t="s">
        <v>554</v>
      </c>
      <c r="BY43" t="s">
        <v>713</v>
      </c>
      <c r="BZ43" t="s">
        <v>322</v>
      </c>
      <c r="CA43" t="s">
        <v>322</v>
      </c>
      <c r="CB43" t="s">
        <v>713</v>
      </c>
      <c r="CC43" t="s">
        <v>714</v>
      </c>
    </row>
    <row r="44" spans="2:81" x14ac:dyDescent="0.3">
      <c r="B44" s="15" t="s">
        <v>551</v>
      </c>
      <c r="C44" s="17" t="s">
        <v>574</v>
      </c>
      <c r="D44" s="17" t="s">
        <v>322</v>
      </c>
      <c r="E44" s="17" t="s">
        <v>574</v>
      </c>
      <c r="F44" s="17" t="s">
        <v>322</v>
      </c>
      <c r="G44" s="17" t="s">
        <v>322</v>
      </c>
      <c r="J44" t="s">
        <v>543</v>
      </c>
      <c r="K44" s="17" t="s">
        <v>322</v>
      </c>
      <c r="L44" s="130" t="s">
        <v>108</v>
      </c>
      <c r="M44" s="17" t="s">
        <v>322</v>
      </c>
      <c r="N44" s="130" t="s">
        <v>111</v>
      </c>
      <c r="O44" s="17" t="s">
        <v>322</v>
      </c>
      <c r="T44" s="31" t="s">
        <v>1001</v>
      </c>
      <c r="U44" s="148"/>
      <c r="Y44" s="15" t="s">
        <v>551</v>
      </c>
      <c r="Z44" s="17" t="s">
        <v>574</v>
      </c>
      <c r="AA44" s="17" t="s">
        <v>322</v>
      </c>
      <c r="AB44" s="17" t="s">
        <v>574</v>
      </c>
      <c r="AC44" s="17" t="s">
        <v>322</v>
      </c>
      <c r="AD44" s="17" t="s">
        <v>322</v>
      </c>
      <c r="AG44" t="s">
        <v>543</v>
      </c>
      <c r="AH44" s="17" t="s">
        <v>322</v>
      </c>
      <c r="AI44" s="17" t="s">
        <v>111</v>
      </c>
      <c r="AJ44" s="17" t="s">
        <v>322</v>
      </c>
      <c r="AK44" s="17" t="s">
        <v>108</v>
      </c>
      <c r="AL44" s="17" t="s">
        <v>322</v>
      </c>
      <c r="AP44" t="s">
        <v>922</v>
      </c>
      <c r="AQ44" s="32"/>
      <c r="AV44" s="15" t="s">
        <v>551</v>
      </c>
      <c r="AW44" s="17" t="s">
        <v>322</v>
      </c>
      <c r="AX44" s="17" t="s">
        <v>574</v>
      </c>
      <c r="AY44" s="17" t="s">
        <v>322</v>
      </c>
      <c r="AZ44" s="17" t="s">
        <v>322</v>
      </c>
      <c r="BA44" s="17" t="s">
        <v>574</v>
      </c>
      <c r="BD44" t="s">
        <v>543</v>
      </c>
      <c r="BE44" s="17" t="s">
        <v>322</v>
      </c>
      <c r="BF44" s="17" t="s">
        <v>111</v>
      </c>
      <c r="BG44" s="17" t="s">
        <v>322</v>
      </c>
      <c r="BH44" s="17" t="s">
        <v>108</v>
      </c>
      <c r="BI44" s="17" t="s">
        <v>322</v>
      </c>
      <c r="BM44" t="s">
        <v>577</v>
      </c>
      <c r="BN44" s="32"/>
    </row>
    <row r="45" spans="2:81" x14ac:dyDescent="0.3">
      <c r="J45" s="150" t="s">
        <v>573</v>
      </c>
      <c r="K45" s="151" t="s">
        <v>322</v>
      </c>
      <c r="L45" s="151" t="s">
        <v>322</v>
      </c>
      <c r="M45" s="151" t="s">
        <v>322</v>
      </c>
      <c r="N45" s="130" t="s">
        <v>111</v>
      </c>
      <c r="O45" s="151" t="s">
        <v>322</v>
      </c>
      <c r="T45" s="31" t="s">
        <v>1002</v>
      </c>
      <c r="U45" s="148"/>
      <c r="AG45" t="s">
        <v>573</v>
      </c>
      <c r="AH45" s="17" t="s">
        <v>322</v>
      </c>
      <c r="AI45" s="17" t="s">
        <v>111</v>
      </c>
      <c r="AJ45" s="17" t="s">
        <v>322</v>
      </c>
      <c r="AK45" s="17" t="s">
        <v>322</v>
      </c>
      <c r="AL45" s="17" t="s">
        <v>322</v>
      </c>
      <c r="AP45" t="s">
        <v>923</v>
      </c>
      <c r="AQ45" s="32"/>
      <c r="BD45" t="s">
        <v>573</v>
      </c>
      <c r="BE45" s="17" t="s">
        <v>322</v>
      </c>
      <c r="BF45" s="17" t="s">
        <v>111</v>
      </c>
      <c r="BG45" s="17" t="s">
        <v>322</v>
      </c>
      <c r="BH45" s="17" t="s">
        <v>322</v>
      </c>
      <c r="BI45" s="17" t="s">
        <v>322</v>
      </c>
      <c r="BM45" t="s">
        <v>578</v>
      </c>
      <c r="BN45" s="32"/>
      <c r="BX45" t="s">
        <v>716</v>
      </c>
    </row>
    <row r="46" spans="2:81" x14ac:dyDescent="0.3">
      <c r="B46" s="15" t="s">
        <v>579</v>
      </c>
      <c r="T46" s="31" t="s">
        <v>1003</v>
      </c>
      <c r="U46" s="148"/>
      <c r="Y46" s="15" t="s">
        <v>579</v>
      </c>
      <c r="AO46" t="s">
        <v>253</v>
      </c>
      <c r="AQ46" s="32"/>
      <c r="AV46" s="15" t="s">
        <v>579</v>
      </c>
      <c r="BL46" t="s">
        <v>253</v>
      </c>
      <c r="BN46" s="32"/>
      <c r="BY46" t="s">
        <v>315</v>
      </c>
      <c r="BZ46" t="s">
        <v>316</v>
      </c>
      <c r="CA46" t="s">
        <v>317</v>
      </c>
      <c r="CB46" t="s">
        <v>318</v>
      </c>
      <c r="CC46" t="s">
        <v>319</v>
      </c>
    </row>
    <row r="47" spans="2:81" x14ac:dyDescent="0.3">
      <c r="C47" s="17" t="s">
        <v>315</v>
      </c>
      <c r="D47" s="17" t="s">
        <v>316</v>
      </c>
      <c r="E47" s="17" t="s">
        <v>317</v>
      </c>
      <c r="F47" s="17" t="s">
        <v>318</v>
      </c>
      <c r="G47" s="17" t="s">
        <v>319</v>
      </c>
      <c r="J47" t="s">
        <v>580</v>
      </c>
      <c r="T47" s="31" t="s">
        <v>1004</v>
      </c>
      <c r="Z47" s="17" t="s">
        <v>315</v>
      </c>
      <c r="AA47" s="17" t="s">
        <v>316</v>
      </c>
      <c r="AB47" s="17" t="s">
        <v>317</v>
      </c>
      <c r="AC47" s="17" t="s">
        <v>318</v>
      </c>
      <c r="AD47" s="17" t="s">
        <v>319</v>
      </c>
      <c r="AG47" t="s">
        <v>580</v>
      </c>
      <c r="AP47" t="s">
        <v>913</v>
      </c>
      <c r="AQ47" s="32"/>
      <c r="AW47" s="17" t="s">
        <v>315</v>
      </c>
      <c r="AX47" s="17" t="s">
        <v>316</v>
      </c>
      <c r="AY47" s="17" t="s">
        <v>317</v>
      </c>
      <c r="AZ47" s="17" t="s">
        <v>318</v>
      </c>
      <c r="BA47" s="17" t="s">
        <v>319</v>
      </c>
      <c r="BD47" t="s">
        <v>580</v>
      </c>
      <c r="BM47" t="s">
        <v>562</v>
      </c>
      <c r="BN47" s="32"/>
      <c r="BX47" t="s">
        <v>539</v>
      </c>
      <c r="BY47" t="s">
        <v>717</v>
      </c>
      <c r="BZ47" t="s">
        <v>710</v>
      </c>
      <c r="CA47" t="s">
        <v>322</v>
      </c>
      <c r="CB47" t="s">
        <v>717</v>
      </c>
      <c r="CC47" t="s">
        <v>687</v>
      </c>
    </row>
    <row r="48" spans="2:81" x14ac:dyDescent="0.3">
      <c r="B48" s="156" t="s">
        <v>573</v>
      </c>
      <c r="C48" s="17" t="s">
        <v>322</v>
      </c>
      <c r="D48" s="17" t="s">
        <v>322</v>
      </c>
      <c r="E48" s="17" t="s">
        <v>322</v>
      </c>
      <c r="F48" s="17" t="s">
        <v>322</v>
      </c>
      <c r="G48" s="130" t="s">
        <v>583</v>
      </c>
      <c r="K48" s="17" t="s">
        <v>315</v>
      </c>
      <c r="L48" s="17" t="s">
        <v>316</v>
      </c>
      <c r="M48" s="17" t="s">
        <v>317</v>
      </c>
      <c r="N48" s="17" t="s">
        <v>318</v>
      </c>
      <c r="O48" s="17" t="s">
        <v>319</v>
      </c>
      <c r="T48" s="31" t="s">
        <v>1005</v>
      </c>
      <c r="U48" s="148"/>
      <c r="Y48" s="15" t="s">
        <v>561</v>
      </c>
      <c r="Z48" s="17" t="s">
        <v>581</v>
      </c>
      <c r="AA48" s="17" t="s">
        <v>582</v>
      </c>
      <c r="AB48" s="17" t="s">
        <v>583</v>
      </c>
      <c r="AC48" s="17" t="s">
        <v>581</v>
      </c>
      <c r="AD48" s="17" t="s">
        <v>583</v>
      </c>
      <c r="AH48" s="17" t="s">
        <v>315</v>
      </c>
      <c r="AI48" s="17" t="s">
        <v>316</v>
      </c>
      <c r="AJ48" s="17" t="s">
        <v>317</v>
      </c>
      <c r="AK48" s="17" t="s">
        <v>318</v>
      </c>
      <c r="AL48" s="17" t="s">
        <v>319</v>
      </c>
      <c r="AP48" t="s">
        <v>914</v>
      </c>
      <c r="AV48" s="15" t="s">
        <v>561</v>
      </c>
      <c r="AW48" s="17" t="s">
        <v>581</v>
      </c>
      <c r="AX48" s="17" t="s">
        <v>582</v>
      </c>
      <c r="AY48" s="17" t="s">
        <v>583</v>
      </c>
      <c r="AZ48" s="17" t="s">
        <v>584</v>
      </c>
      <c r="BA48" s="17" t="s">
        <v>583</v>
      </c>
      <c r="BE48" s="17" t="s">
        <v>315</v>
      </c>
      <c r="BF48" s="17" t="s">
        <v>316</v>
      </c>
      <c r="BG48" s="17" t="s">
        <v>317</v>
      </c>
      <c r="BH48" s="17" t="s">
        <v>318</v>
      </c>
      <c r="BI48" s="17" t="s">
        <v>319</v>
      </c>
      <c r="BM48" t="s">
        <v>563</v>
      </c>
      <c r="BX48" t="s">
        <v>543</v>
      </c>
      <c r="BY48" t="s">
        <v>717</v>
      </c>
      <c r="BZ48" t="s">
        <v>710</v>
      </c>
      <c r="CA48" t="s">
        <v>718</v>
      </c>
      <c r="CB48" t="s">
        <v>717</v>
      </c>
      <c r="CC48" t="s">
        <v>687</v>
      </c>
    </row>
    <row r="49" spans="2:81" x14ac:dyDescent="0.3">
      <c r="B49" s="15" t="s">
        <v>561</v>
      </c>
      <c r="C49" s="17" t="s">
        <v>581</v>
      </c>
      <c r="D49" s="17" t="s">
        <v>582</v>
      </c>
      <c r="E49" s="17" t="s">
        <v>583</v>
      </c>
      <c r="F49" s="130" t="s">
        <v>581</v>
      </c>
      <c r="G49" s="17" t="s">
        <v>583</v>
      </c>
      <c r="J49" t="s">
        <v>512</v>
      </c>
      <c r="K49" s="17" t="s">
        <v>150</v>
      </c>
      <c r="L49" s="17" t="s">
        <v>322</v>
      </c>
      <c r="M49" s="17" t="s">
        <v>322</v>
      </c>
      <c r="N49" s="17" t="s">
        <v>322</v>
      </c>
      <c r="O49" s="17" t="s">
        <v>322</v>
      </c>
      <c r="T49" s="31" t="s">
        <v>1006</v>
      </c>
      <c r="U49" s="148"/>
      <c r="Y49" s="15" t="s">
        <v>551</v>
      </c>
      <c r="Z49" s="17" t="s">
        <v>581</v>
      </c>
      <c r="AA49" s="17" t="s">
        <v>582</v>
      </c>
      <c r="AB49" s="17" t="s">
        <v>583</v>
      </c>
      <c r="AC49" s="17" t="s">
        <v>581</v>
      </c>
      <c r="AD49" s="17" t="s">
        <v>583</v>
      </c>
      <c r="AG49" t="s">
        <v>512</v>
      </c>
      <c r="AH49" s="17" t="s">
        <v>150</v>
      </c>
      <c r="AI49" s="17" t="s">
        <v>322</v>
      </c>
      <c r="AJ49" s="17" t="s">
        <v>322</v>
      </c>
      <c r="AK49" s="17" t="s">
        <v>322</v>
      </c>
      <c r="AL49" s="17" t="s">
        <v>322</v>
      </c>
      <c r="AP49" t="s">
        <v>915</v>
      </c>
      <c r="AQ49" s="32"/>
      <c r="AV49" s="15" t="s">
        <v>551</v>
      </c>
      <c r="AW49" s="17" t="s">
        <v>581</v>
      </c>
      <c r="AX49" s="17" t="s">
        <v>582</v>
      </c>
      <c r="AY49" s="17" t="s">
        <v>583</v>
      </c>
      <c r="AZ49" s="17" t="s">
        <v>584</v>
      </c>
      <c r="BA49" s="17" t="s">
        <v>583</v>
      </c>
      <c r="BD49" t="s">
        <v>512</v>
      </c>
      <c r="BE49" s="17" t="s">
        <v>150</v>
      </c>
      <c r="BF49" s="17" t="s">
        <v>322</v>
      </c>
      <c r="BG49" s="17" t="s">
        <v>322</v>
      </c>
      <c r="BH49" s="17" t="s">
        <v>322</v>
      </c>
      <c r="BI49" s="17" t="s">
        <v>322</v>
      </c>
      <c r="BM49" t="s">
        <v>566</v>
      </c>
      <c r="BN49" s="32"/>
      <c r="BX49" t="s">
        <v>573</v>
      </c>
      <c r="BY49" t="s">
        <v>689</v>
      </c>
      <c r="BZ49" t="s">
        <v>710</v>
      </c>
      <c r="CA49" t="s">
        <v>718</v>
      </c>
      <c r="CB49" t="s">
        <v>689</v>
      </c>
      <c r="CC49" t="s">
        <v>719</v>
      </c>
    </row>
    <row r="50" spans="2:81" x14ac:dyDescent="0.3">
      <c r="B50" s="15" t="s">
        <v>551</v>
      </c>
      <c r="C50" s="17" t="s">
        <v>581</v>
      </c>
      <c r="D50" s="17" t="s">
        <v>582</v>
      </c>
      <c r="E50" s="17" t="s">
        <v>583</v>
      </c>
      <c r="F50" s="130" t="s">
        <v>581</v>
      </c>
      <c r="G50" s="17" t="s">
        <v>583</v>
      </c>
      <c r="J50" t="s">
        <v>514</v>
      </c>
      <c r="K50" s="17" t="s">
        <v>150</v>
      </c>
      <c r="L50" s="17" t="s">
        <v>322</v>
      </c>
      <c r="M50" s="17" t="s">
        <v>322</v>
      </c>
      <c r="N50" s="17" t="s">
        <v>322</v>
      </c>
      <c r="O50" s="17" t="s">
        <v>322</v>
      </c>
      <c r="T50" s="31" t="s">
        <v>1007</v>
      </c>
      <c r="U50" s="148"/>
      <c r="Y50" s="15" t="s">
        <v>552</v>
      </c>
      <c r="Z50" s="17" t="s">
        <v>581</v>
      </c>
      <c r="AA50" s="17" t="s">
        <v>585</v>
      </c>
      <c r="AB50" s="17" t="s">
        <v>583</v>
      </c>
      <c r="AC50" s="17" t="s">
        <v>582</v>
      </c>
      <c r="AD50" s="17" t="s">
        <v>583</v>
      </c>
      <c r="AG50" t="s">
        <v>514</v>
      </c>
      <c r="AH50" s="17" t="s">
        <v>150</v>
      </c>
      <c r="AI50" s="17" t="s">
        <v>322</v>
      </c>
      <c r="AJ50" s="17" t="s">
        <v>322</v>
      </c>
      <c r="AK50" s="17" t="s">
        <v>322</v>
      </c>
      <c r="AL50" s="17" t="s">
        <v>322</v>
      </c>
      <c r="AP50" t="s">
        <v>916</v>
      </c>
      <c r="AQ50" s="32"/>
      <c r="AV50" s="15" t="s">
        <v>552</v>
      </c>
      <c r="AW50" s="17" t="s">
        <v>581</v>
      </c>
      <c r="AX50" s="17" t="s">
        <v>585</v>
      </c>
      <c r="AY50" s="17" t="s">
        <v>583</v>
      </c>
      <c r="AZ50" s="17" t="s">
        <v>582</v>
      </c>
      <c r="BA50" s="17" t="s">
        <v>583</v>
      </c>
      <c r="BD50" t="s">
        <v>514</v>
      </c>
      <c r="BE50" s="17" t="s">
        <v>150</v>
      </c>
      <c r="BF50" s="17" t="s">
        <v>322</v>
      </c>
      <c r="BG50" s="17" t="s">
        <v>322</v>
      </c>
      <c r="BH50" s="17" t="s">
        <v>322</v>
      </c>
      <c r="BI50" s="17" t="s">
        <v>322</v>
      </c>
      <c r="BM50" t="s">
        <v>567</v>
      </c>
      <c r="BN50" s="32"/>
      <c r="BX50" t="s">
        <v>561</v>
      </c>
      <c r="BY50" t="s">
        <v>689</v>
      </c>
      <c r="BZ50" t="s">
        <v>710</v>
      </c>
      <c r="CA50" t="s">
        <v>719</v>
      </c>
      <c r="CB50" t="s">
        <v>689</v>
      </c>
      <c r="CC50" t="s">
        <v>719</v>
      </c>
    </row>
    <row r="51" spans="2:81" x14ac:dyDescent="0.3">
      <c r="B51" s="15" t="s">
        <v>552</v>
      </c>
      <c r="C51" s="17" t="s">
        <v>581</v>
      </c>
      <c r="D51" s="17" t="s">
        <v>585</v>
      </c>
      <c r="E51" s="17" t="s">
        <v>583</v>
      </c>
      <c r="F51" s="17" t="s">
        <v>322</v>
      </c>
      <c r="G51" s="130" t="s">
        <v>582</v>
      </c>
      <c r="J51" t="s">
        <v>517</v>
      </c>
      <c r="K51" s="17" t="s">
        <v>150</v>
      </c>
      <c r="L51" s="17" t="s">
        <v>322</v>
      </c>
      <c r="M51" s="17" t="s">
        <v>150</v>
      </c>
      <c r="N51" s="17" t="s">
        <v>322</v>
      </c>
      <c r="O51" s="17" t="s">
        <v>322</v>
      </c>
      <c r="S51" s="31" t="s">
        <v>253</v>
      </c>
      <c r="U51" s="148"/>
      <c r="Y51" s="15" t="s">
        <v>554</v>
      </c>
      <c r="Z51" s="17" t="s">
        <v>584</v>
      </c>
      <c r="AA51" s="17" t="s">
        <v>585</v>
      </c>
      <c r="AB51" s="17" t="s">
        <v>584</v>
      </c>
      <c r="AC51" s="17" t="s">
        <v>582</v>
      </c>
      <c r="AD51" s="17" t="s">
        <v>322</v>
      </c>
      <c r="AG51" t="s">
        <v>517</v>
      </c>
      <c r="AH51" s="17" t="s">
        <v>150</v>
      </c>
      <c r="AI51" s="17" t="s">
        <v>322</v>
      </c>
      <c r="AJ51" s="17" t="s">
        <v>150</v>
      </c>
      <c r="AK51" s="17" t="s">
        <v>322</v>
      </c>
      <c r="AL51" s="17" t="s">
        <v>322</v>
      </c>
      <c r="AP51" t="s">
        <v>917</v>
      </c>
      <c r="AQ51" s="32"/>
      <c r="AV51" s="15" t="s">
        <v>554</v>
      </c>
      <c r="AW51" s="17" t="s">
        <v>584</v>
      </c>
      <c r="AX51" s="17" t="s">
        <v>585</v>
      </c>
      <c r="AY51" s="17" t="s">
        <v>581</v>
      </c>
      <c r="AZ51" s="17" t="s">
        <v>582</v>
      </c>
      <c r="BA51" s="17" t="s">
        <v>322</v>
      </c>
      <c r="BD51" t="s">
        <v>517</v>
      </c>
      <c r="BE51" s="17" t="s">
        <v>150</v>
      </c>
      <c r="BF51" s="17" t="s">
        <v>322</v>
      </c>
      <c r="BG51" s="17" t="s">
        <v>150</v>
      </c>
      <c r="BH51" s="17" t="s">
        <v>322</v>
      </c>
      <c r="BI51" s="17" t="s">
        <v>322</v>
      </c>
      <c r="BM51" t="s">
        <v>570</v>
      </c>
      <c r="BN51" s="32"/>
      <c r="BX51" t="s">
        <v>551</v>
      </c>
      <c r="BY51" t="s">
        <v>718</v>
      </c>
      <c r="BZ51" t="s">
        <v>682</v>
      </c>
      <c r="CA51" t="s">
        <v>719</v>
      </c>
      <c r="CB51" t="s">
        <v>697</v>
      </c>
      <c r="CC51" t="s">
        <v>322</v>
      </c>
    </row>
    <row r="52" spans="2:81" x14ac:dyDescent="0.3">
      <c r="B52" s="15" t="s">
        <v>554</v>
      </c>
      <c r="C52" s="17" t="s">
        <v>584</v>
      </c>
      <c r="D52" s="17" t="s">
        <v>585</v>
      </c>
      <c r="E52" s="130" t="s">
        <v>584</v>
      </c>
      <c r="F52" s="17" t="s">
        <v>322</v>
      </c>
      <c r="G52" s="130" t="s">
        <v>582</v>
      </c>
      <c r="J52" t="s">
        <v>326</v>
      </c>
      <c r="K52" s="17" t="s">
        <v>322</v>
      </c>
      <c r="L52" s="17" t="s">
        <v>322</v>
      </c>
      <c r="M52" s="17" t="s">
        <v>150</v>
      </c>
      <c r="N52" s="17" t="s">
        <v>322</v>
      </c>
      <c r="O52" s="17" t="s">
        <v>322</v>
      </c>
      <c r="T52" s="31" t="s">
        <v>997</v>
      </c>
      <c r="Y52" s="15" t="s">
        <v>586</v>
      </c>
      <c r="Z52" s="17" t="s">
        <v>584</v>
      </c>
      <c r="AA52" s="17" t="s">
        <v>322</v>
      </c>
      <c r="AB52" s="17" t="s">
        <v>584</v>
      </c>
      <c r="AC52" s="17" t="s">
        <v>322</v>
      </c>
      <c r="AD52" s="17" t="s">
        <v>322</v>
      </c>
      <c r="AG52" t="s">
        <v>326</v>
      </c>
      <c r="AH52" s="17" t="s">
        <v>322</v>
      </c>
      <c r="AI52" s="17" t="s">
        <v>322</v>
      </c>
      <c r="AJ52" s="17" t="s">
        <v>150</v>
      </c>
      <c r="AK52" s="17" t="s">
        <v>322</v>
      </c>
      <c r="AL52" s="17" t="s">
        <v>322</v>
      </c>
      <c r="AP52" t="s">
        <v>918</v>
      </c>
      <c r="AQ52" s="32"/>
      <c r="AV52" s="15" t="s">
        <v>586</v>
      </c>
      <c r="AW52" s="17" t="s">
        <v>584</v>
      </c>
      <c r="AX52" s="17" t="s">
        <v>322</v>
      </c>
      <c r="AY52" s="17" t="s">
        <v>581</v>
      </c>
      <c r="AZ52" s="17" t="s">
        <v>322</v>
      </c>
      <c r="BA52" s="17" t="s">
        <v>322</v>
      </c>
      <c r="BD52" t="s">
        <v>326</v>
      </c>
      <c r="BE52" s="17" t="s">
        <v>322</v>
      </c>
      <c r="BF52" s="17" t="s">
        <v>322</v>
      </c>
      <c r="BG52" s="17" t="s">
        <v>150</v>
      </c>
      <c r="BH52" s="17" t="s">
        <v>322</v>
      </c>
      <c r="BI52" s="17" t="s">
        <v>322</v>
      </c>
      <c r="BM52" t="s">
        <v>571</v>
      </c>
      <c r="BN52" s="32"/>
      <c r="BX52" t="s">
        <v>552</v>
      </c>
      <c r="BY52" t="s">
        <v>718</v>
      </c>
      <c r="BZ52" t="s">
        <v>682</v>
      </c>
      <c r="CA52" t="s">
        <v>322</v>
      </c>
      <c r="CB52" t="s">
        <v>322</v>
      </c>
      <c r="CC52" t="s">
        <v>322</v>
      </c>
    </row>
    <row r="53" spans="2:81" x14ac:dyDescent="0.3">
      <c r="B53" s="15" t="s">
        <v>586</v>
      </c>
      <c r="C53" s="17" t="s">
        <v>584</v>
      </c>
      <c r="D53" s="17" t="s">
        <v>322</v>
      </c>
      <c r="E53" s="130" t="s">
        <v>584</v>
      </c>
      <c r="F53" s="17" t="s">
        <v>322</v>
      </c>
      <c r="G53" s="17" t="s">
        <v>322</v>
      </c>
      <c r="J53" t="s">
        <v>328</v>
      </c>
      <c r="K53" s="17" t="s">
        <v>322</v>
      </c>
      <c r="L53" s="17" t="s">
        <v>322</v>
      </c>
      <c r="M53" s="17" t="s">
        <v>150</v>
      </c>
      <c r="N53" s="17" t="s">
        <v>322</v>
      </c>
      <c r="O53" s="17" t="s">
        <v>322</v>
      </c>
      <c r="T53" s="31" t="s">
        <v>1008</v>
      </c>
      <c r="AG53" t="s">
        <v>328</v>
      </c>
      <c r="AH53" s="17" t="s">
        <v>322</v>
      </c>
      <c r="AI53" s="17" t="s">
        <v>322</v>
      </c>
      <c r="AJ53" s="17" t="s">
        <v>150</v>
      </c>
      <c r="AK53" s="17" t="s">
        <v>322</v>
      </c>
      <c r="AL53" s="17" t="s">
        <v>322</v>
      </c>
      <c r="AP53" t="s">
        <v>919</v>
      </c>
      <c r="BD53" t="s">
        <v>328</v>
      </c>
      <c r="BE53" s="17" t="s">
        <v>322</v>
      </c>
      <c r="BF53" s="17" t="s">
        <v>322</v>
      </c>
      <c r="BG53" s="17" t="s">
        <v>150</v>
      </c>
      <c r="BH53" s="17" t="s">
        <v>322</v>
      </c>
      <c r="BI53" s="17" t="s">
        <v>322</v>
      </c>
      <c r="BM53" t="s">
        <v>572</v>
      </c>
      <c r="BX53" t="s">
        <v>554</v>
      </c>
      <c r="BY53" t="s">
        <v>322</v>
      </c>
      <c r="BZ53" t="s">
        <v>322</v>
      </c>
      <c r="CA53" t="s">
        <v>322</v>
      </c>
      <c r="CB53" t="s">
        <v>322</v>
      </c>
      <c r="CC53" t="s">
        <v>322</v>
      </c>
    </row>
    <row r="54" spans="2:81" x14ac:dyDescent="0.3">
      <c r="T54" s="31" t="s">
        <v>1009</v>
      </c>
      <c r="Y54" s="15" t="s">
        <v>587</v>
      </c>
      <c r="AP54" t="s">
        <v>920</v>
      </c>
      <c r="AV54" s="15" t="s">
        <v>587</v>
      </c>
      <c r="BM54" t="s">
        <v>575</v>
      </c>
    </row>
    <row r="55" spans="2:81" x14ac:dyDescent="0.3">
      <c r="B55" s="15" t="s">
        <v>587</v>
      </c>
      <c r="J55" t="s">
        <v>588</v>
      </c>
      <c r="T55" s="31" t="s">
        <v>1000</v>
      </c>
      <c r="Z55" s="17" t="s">
        <v>315</v>
      </c>
      <c r="AA55" s="17" t="s">
        <v>316</v>
      </c>
      <c r="AB55" s="17" t="s">
        <v>317</v>
      </c>
      <c r="AC55" s="17" t="s">
        <v>318</v>
      </c>
      <c r="AD55" s="17" t="s">
        <v>319</v>
      </c>
      <c r="AG55" t="s">
        <v>588</v>
      </c>
      <c r="AP55" t="s">
        <v>921</v>
      </c>
      <c r="AW55" s="17" t="s">
        <v>315</v>
      </c>
      <c r="AX55" s="17" t="s">
        <v>316</v>
      </c>
      <c r="AY55" s="17" t="s">
        <v>317</v>
      </c>
      <c r="AZ55" s="17" t="s">
        <v>318</v>
      </c>
      <c r="BA55" s="17" t="s">
        <v>319</v>
      </c>
      <c r="BD55" t="s">
        <v>588</v>
      </c>
      <c r="BM55" t="s">
        <v>576</v>
      </c>
      <c r="BX55" t="s">
        <v>721</v>
      </c>
    </row>
    <row r="56" spans="2:81" x14ac:dyDescent="0.3">
      <c r="C56" s="17" t="s">
        <v>315</v>
      </c>
      <c r="D56" s="17" t="s">
        <v>316</v>
      </c>
      <c r="E56" s="17" t="s">
        <v>317</v>
      </c>
      <c r="F56" s="17" t="s">
        <v>318</v>
      </c>
      <c r="G56" s="17" t="s">
        <v>319</v>
      </c>
      <c r="K56" s="17" t="s">
        <v>315</v>
      </c>
      <c r="L56" s="17" t="s">
        <v>316</v>
      </c>
      <c r="M56" s="17" t="s">
        <v>317</v>
      </c>
      <c r="N56" s="17" t="s">
        <v>318</v>
      </c>
      <c r="O56" s="17" t="s">
        <v>319</v>
      </c>
      <c r="T56" s="31" t="s">
        <v>1010</v>
      </c>
      <c r="Y56" s="15" t="s">
        <v>536</v>
      </c>
      <c r="Z56" s="17" t="s">
        <v>589</v>
      </c>
      <c r="AA56" s="17" t="s">
        <v>590</v>
      </c>
      <c r="AB56" s="17" t="s">
        <v>589</v>
      </c>
      <c r="AC56" s="17" t="s">
        <v>590</v>
      </c>
      <c r="AD56" s="17" t="s">
        <v>591</v>
      </c>
      <c r="AH56" s="17" t="s">
        <v>315</v>
      </c>
      <c r="AI56" s="17" t="s">
        <v>316</v>
      </c>
      <c r="AJ56" s="17" t="s">
        <v>317</v>
      </c>
      <c r="AK56" s="17" t="s">
        <v>318</v>
      </c>
      <c r="AL56" s="17" t="s">
        <v>319</v>
      </c>
      <c r="AP56" t="s">
        <v>922</v>
      </c>
      <c r="AV56" s="15" t="s">
        <v>536</v>
      </c>
      <c r="AW56" s="17" t="s">
        <v>589</v>
      </c>
      <c r="AX56" s="17" t="s">
        <v>590</v>
      </c>
      <c r="AY56" s="17" t="s">
        <v>589</v>
      </c>
      <c r="AZ56" s="17" t="s">
        <v>590</v>
      </c>
      <c r="BA56" s="17" t="s">
        <v>591</v>
      </c>
      <c r="BE56" s="17" t="s">
        <v>315</v>
      </c>
      <c r="BF56" s="17" t="s">
        <v>316</v>
      </c>
      <c r="BG56" s="17" t="s">
        <v>317</v>
      </c>
      <c r="BH56" s="17" t="s">
        <v>318</v>
      </c>
      <c r="BI56" s="17" t="s">
        <v>319</v>
      </c>
      <c r="BM56" t="s">
        <v>577</v>
      </c>
      <c r="BY56" t="s">
        <v>315</v>
      </c>
      <c r="BZ56" t="s">
        <v>316</v>
      </c>
      <c r="CA56" t="s">
        <v>317</v>
      </c>
      <c r="CB56" t="s">
        <v>318</v>
      </c>
      <c r="CC56" t="s">
        <v>319</v>
      </c>
    </row>
    <row r="57" spans="2:81" x14ac:dyDescent="0.3">
      <c r="B57" s="15" t="s">
        <v>536</v>
      </c>
      <c r="C57" s="17" t="s">
        <v>589</v>
      </c>
      <c r="D57" s="17" t="s">
        <v>590</v>
      </c>
      <c r="E57" s="17" t="s">
        <v>589</v>
      </c>
      <c r="F57" s="17" t="s">
        <v>590</v>
      </c>
      <c r="G57" s="130" t="s">
        <v>591</v>
      </c>
      <c r="J57" t="s">
        <v>561</v>
      </c>
      <c r="K57" s="17" t="s">
        <v>322</v>
      </c>
      <c r="L57" s="17" t="s">
        <v>322</v>
      </c>
      <c r="M57" s="17" t="s">
        <v>242</v>
      </c>
      <c r="N57" s="17" t="s">
        <v>322</v>
      </c>
      <c r="O57" s="17" t="s">
        <v>322</v>
      </c>
      <c r="T57" s="31" t="s">
        <v>1011</v>
      </c>
      <c r="Y57" s="15" t="s">
        <v>539</v>
      </c>
      <c r="Z57" s="17" t="s">
        <v>589</v>
      </c>
      <c r="AA57" s="17" t="s">
        <v>590</v>
      </c>
      <c r="AB57" s="17" t="s">
        <v>589</v>
      </c>
      <c r="AC57" s="17" t="s">
        <v>590</v>
      </c>
      <c r="AD57" s="17" t="s">
        <v>591</v>
      </c>
      <c r="AG57" t="s">
        <v>561</v>
      </c>
      <c r="AH57" s="17" t="s">
        <v>322</v>
      </c>
      <c r="AI57" s="17" t="s">
        <v>322</v>
      </c>
      <c r="AJ57" s="17" t="s">
        <v>242</v>
      </c>
      <c r="AK57" s="17" t="s">
        <v>322</v>
      </c>
      <c r="AL57" s="17" t="s">
        <v>322</v>
      </c>
      <c r="AP57" t="s">
        <v>923</v>
      </c>
      <c r="AV57" s="15" t="s">
        <v>539</v>
      </c>
      <c r="AW57" s="17" t="s">
        <v>589</v>
      </c>
      <c r="AX57" s="17" t="s">
        <v>590</v>
      </c>
      <c r="AY57" s="17" t="s">
        <v>589</v>
      </c>
      <c r="AZ57" s="17" t="s">
        <v>590</v>
      </c>
      <c r="BA57" s="17" t="s">
        <v>591</v>
      </c>
      <c r="BD57" t="s">
        <v>561</v>
      </c>
      <c r="BE57" s="17" t="s">
        <v>322</v>
      </c>
      <c r="BF57" s="17" t="s">
        <v>322</v>
      </c>
      <c r="BG57" s="17" t="s">
        <v>242</v>
      </c>
      <c r="BH57" s="17" t="s">
        <v>322</v>
      </c>
      <c r="BI57" s="17" t="s">
        <v>322</v>
      </c>
      <c r="BM57" t="s">
        <v>578</v>
      </c>
      <c r="BX57" t="s">
        <v>539</v>
      </c>
      <c r="BY57" t="s">
        <v>717</v>
      </c>
      <c r="BZ57" t="s">
        <v>710</v>
      </c>
      <c r="CA57" t="s">
        <v>322</v>
      </c>
      <c r="CB57" t="s">
        <v>717</v>
      </c>
      <c r="CC57" t="s">
        <v>687</v>
      </c>
    </row>
    <row r="58" spans="2:81" x14ac:dyDescent="0.3">
      <c r="B58" s="15" t="s">
        <v>539</v>
      </c>
      <c r="C58" s="17" t="s">
        <v>589</v>
      </c>
      <c r="D58" s="17" t="s">
        <v>590</v>
      </c>
      <c r="E58" s="17" t="s">
        <v>589</v>
      </c>
      <c r="F58" s="17" t="s">
        <v>590</v>
      </c>
      <c r="G58" s="130" t="s">
        <v>591</v>
      </c>
      <c r="J58" t="s">
        <v>551</v>
      </c>
      <c r="K58" s="17" t="s">
        <v>322</v>
      </c>
      <c r="L58" s="17" t="s">
        <v>242</v>
      </c>
      <c r="M58" s="17" t="s">
        <v>242</v>
      </c>
      <c r="N58" s="17" t="s">
        <v>322</v>
      </c>
      <c r="O58" s="17" t="s">
        <v>322</v>
      </c>
      <c r="T58" s="31" t="s">
        <v>1003</v>
      </c>
      <c r="Y58" s="15" t="s">
        <v>543</v>
      </c>
      <c r="Z58" s="17" t="s">
        <v>589</v>
      </c>
      <c r="AA58" s="17" t="s">
        <v>592</v>
      </c>
      <c r="AB58" s="17" t="s">
        <v>593</v>
      </c>
      <c r="AC58" s="17" t="s">
        <v>590</v>
      </c>
      <c r="AD58" s="17" t="s">
        <v>593</v>
      </c>
      <c r="AG58" t="s">
        <v>551</v>
      </c>
      <c r="AH58" s="17" t="s">
        <v>322</v>
      </c>
      <c r="AI58" s="17" t="s">
        <v>242</v>
      </c>
      <c r="AJ58" s="17" t="s">
        <v>242</v>
      </c>
      <c r="AK58" s="17" t="s">
        <v>322</v>
      </c>
      <c r="AL58" s="17" t="s">
        <v>322</v>
      </c>
      <c r="AV58" s="15" t="s">
        <v>543</v>
      </c>
      <c r="AW58" s="17" t="s">
        <v>593</v>
      </c>
      <c r="AX58" s="17" t="s">
        <v>592</v>
      </c>
      <c r="AY58" s="17" t="s">
        <v>589</v>
      </c>
      <c r="AZ58" s="17" t="s">
        <v>590</v>
      </c>
      <c r="BA58" s="17" t="s">
        <v>593</v>
      </c>
      <c r="BD58" t="s">
        <v>551</v>
      </c>
      <c r="BE58" s="17" t="s">
        <v>322</v>
      </c>
      <c r="BF58" s="17" t="s">
        <v>242</v>
      </c>
      <c r="BG58" s="17" t="s">
        <v>242</v>
      </c>
      <c r="BH58" s="17" t="s">
        <v>322</v>
      </c>
      <c r="BI58" s="17" t="s">
        <v>322</v>
      </c>
      <c r="BX58" t="s">
        <v>543</v>
      </c>
      <c r="BY58" t="s">
        <v>717</v>
      </c>
      <c r="BZ58" t="s">
        <v>710</v>
      </c>
      <c r="CA58" t="s">
        <v>718</v>
      </c>
      <c r="CB58" t="s">
        <v>717</v>
      </c>
      <c r="CC58" t="s">
        <v>687</v>
      </c>
    </row>
    <row r="59" spans="2:81" x14ac:dyDescent="0.3">
      <c r="B59" s="15" t="s">
        <v>543</v>
      </c>
      <c r="C59" s="17" t="s">
        <v>589</v>
      </c>
      <c r="D59" s="130" t="s">
        <v>590</v>
      </c>
      <c r="E59" s="17" t="s">
        <v>593</v>
      </c>
      <c r="F59" s="130" t="s">
        <v>592</v>
      </c>
      <c r="G59" s="17" t="s">
        <v>593</v>
      </c>
      <c r="J59" t="s">
        <v>552</v>
      </c>
      <c r="K59" s="17" t="s">
        <v>322</v>
      </c>
      <c r="L59" s="17" t="s">
        <v>242</v>
      </c>
      <c r="M59" s="17" t="s">
        <v>322</v>
      </c>
      <c r="N59" s="17" t="s">
        <v>322</v>
      </c>
      <c r="O59" s="17" t="s">
        <v>322</v>
      </c>
      <c r="T59" s="31" t="s">
        <v>1004</v>
      </c>
      <c r="Y59" s="15" t="s">
        <v>573</v>
      </c>
      <c r="Z59" s="17" t="s">
        <v>322</v>
      </c>
      <c r="AA59" s="17" t="s">
        <v>592</v>
      </c>
      <c r="AB59" s="17" t="s">
        <v>593</v>
      </c>
      <c r="AC59" s="17" t="s">
        <v>322</v>
      </c>
      <c r="AD59" s="17" t="s">
        <v>593</v>
      </c>
      <c r="AG59" t="s">
        <v>552</v>
      </c>
      <c r="AH59" s="17" t="s">
        <v>322</v>
      </c>
      <c r="AI59" s="17" t="s">
        <v>242</v>
      </c>
      <c r="AJ59" s="17" t="s">
        <v>322</v>
      </c>
      <c r="AK59" s="17" t="s">
        <v>322</v>
      </c>
      <c r="AL59" s="17" t="s">
        <v>322</v>
      </c>
      <c r="AV59" s="15" t="s">
        <v>573</v>
      </c>
      <c r="AW59" s="17" t="s">
        <v>593</v>
      </c>
      <c r="AX59" s="17" t="s">
        <v>592</v>
      </c>
      <c r="AY59" s="17" t="s">
        <v>322</v>
      </c>
      <c r="AZ59" s="17" t="s">
        <v>322</v>
      </c>
      <c r="BA59" s="17" t="s">
        <v>593</v>
      </c>
      <c r="BD59" t="s">
        <v>552</v>
      </c>
      <c r="BE59" s="17" t="s">
        <v>322</v>
      </c>
      <c r="BF59" s="17" t="s">
        <v>242</v>
      </c>
      <c r="BG59" s="17" t="s">
        <v>322</v>
      </c>
      <c r="BH59" s="17" t="s">
        <v>322</v>
      </c>
      <c r="BI59" s="17" t="s">
        <v>322</v>
      </c>
      <c r="BX59" t="s">
        <v>573</v>
      </c>
      <c r="BY59" t="s">
        <v>689</v>
      </c>
      <c r="BZ59" t="s">
        <v>710</v>
      </c>
      <c r="CA59" t="s">
        <v>718</v>
      </c>
      <c r="CB59" t="s">
        <v>689</v>
      </c>
      <c r="CC59" t="s">
        <v>719</v>
      </c>
    </row>
    <row r="60" spans="2:81" x14ac:dyDescent="0.3">
      <c r="B60" s="15" t="s">
        <v>573</v>
      </c>
      <c r="C60" s="17" t="s">
        <v>322</v>
      </c>
      <c r="D60" s="17" t="s">
        <v>322</v>
      </c>
      <c r="E60" s="17" t="s">
        <v>593</v>
      </c>
      <c r="F60" s="130" t="s">
        <v>592</v>
      </c>
      <c r="G60" s="17" t="s">
        <v>593</v>
      </c>
      <c r="T60" s="31" t="s">
        <v>1012</v>
      </c>
      <c r="Y60" s="15" t="s">
        <v>561</v>
      </c>
      <c r="Z60" s="17" t="s">
        <v>322</v>
      </c>
      <c r="AA60" s="17" t="s">
        <v>322</v>
      </c>
      <c r="AB60" s="17" t="s">
        <v>593</v>
      </c>
      <c r="AC60" s="17" t="s">
        <v>322</v>
      </c>
      <c r="AD60" s="17" t="s">
        <v>322</v>
      </c>
      <c r="AV60" s="15" t="s">
        <v>561</v>
      </c>
      <c r="AW60" s="17" t="s">
        <v>322</v>
      </c>
      <c r="AX60" s="17" t="s">
        <v>322</v>
      </c>
      <c r="AY60" s="17" t="s">
        <v>322</v>
      </c>
      <c r="AZ60" s="17" t="s">
        <v>322</v>
      </c>
      <c r="BA60" s="17" t="s">
        <v>593</v>
      </c>
      <c r="BX60" t="s">
        <v>561</v>
      </c>
      <c r="BY60" t="s">
        <v>689</v>
      </c>
      <c r="BZ60" t="s">
        <v>710</v>
      </c>
      <c r="CA60" t="s">
        <v>719</v>
      </c>
      <c r="CB60" t="s">
        <v>689</v>
      </c>
      <c r="CC60" t="s">
        <v>719</v>
      </c>
    </row>
    <row r="61" spans="2:81" x14ac:dyDescent="0.3">
      <c r="B61" s="15" t="s">
        <v>561</v>
      </c>
      <c r="C61" s="17" t="s">
        <v>322</v>
      </c>
      <c r="D61" s="17" t="s">
        <v>322</v>
      </c>
      <c r="E61" s="17" t="s">
        <v>593</v>
      </c>
      <c r="F61" s="17" t="s">
        <v>322</v>
      </c>
      <c r="G61" s="17" t="s">
        <v>322</v>
      </c>
      <c r="J61" t="s">
        <v>594</v>
      </c>
      <c r="T61" s="31" t="s">
        <v>1013</v>
      </c>
      <c r="Y61" s="15" t="s">
        <v>551</v>
      </c>
      <c r="Z61" s="17" t="s">
        <v>322</v>
      </c>
      <c r="AA61" s="17" t="s">
        <v>322</v>
      </c>
      <c r="AB61" s="17" t="s">
        <v>322</v>
      </c>
      <c r="AC61" s="17" t="s">
        <v>322</v>
      </c>
      <c r="AD61" s="17" t="s">
        <v>322</v>
      </c>
      <c r="AG61" t="s">
        <v>594</v>
      </c>
      <c r="AV61" s="15" t="s">
        <v>551</v>
      </c>
      <c r="AW61" s="17" t="s">
        <v>322</v>
      </c>
      <c r="AX61" s="17" t="s">
        <v>322</v>
      </c>
      <c r="AY61" s="17" t="s">
        <v>322</v>
      </c>
      <c r="AZ61" s="17" t="s">
        <v>322</v>
      </c>
      <c r="BA61" s="17" t="s">
        <v>322</v>
      </c>
      <c r="BD61" t="s">
        <v>594</v>
      </c>
      <c r="BX61" t="s">
        <v>551</v>
      </c>
      <c r="BY61" t="s">
        <v>718</v>
      </c>
      <c r="BZ61" t="s">
        <v>682</v>
      </c>
      <c r="CA61" t="s">
        <v>719</v>
      </c>
      <c r="CB61" t="s">
        <v>697</v>
      </c>
      <c r="CC61" t="s">
        <v>322</v>
      </c>
    </row>
    <row r="62" spans="2:81" x14ac:dyDescent="0.3">
      <c r="B62" s="15" t="s">
        <v>551</v>
      </c>
      <c r="C62" s="17" t="s">
        <v>322</v>
      </c>
      <c r="D62" s="17" t="s">
        <v>322</v>
      </c>
      <c r="E62" s="17" t="s">
        <v>322</v>
      </c>
      <c r="F62" s="17" t="s">
        <v>322</v>
      </c>
      <c r="G62" s="17" t="s">
        <v>322</v>
      </c>
      <c r="K62" s="17" t="s">
        <v>315</v>
      </c>
      <c r="L62" s="17" t="s">
        <v>316</v>
      </c>
      <c r="M62" s="17" t="s">
        <v>317</v>
      </c>
      <c r="N62" s="17" t="s">
        <v>318</v>
      </c>
      <c r="O62" s="17" t="s">
        <v>319</v>
      </c>
      <c r="T62" s="31" t="s">
        <v>1014</v>
      </c>
      <c r="AH62" s="17" t="s">
        <v>315</v>
      </c>
      <c r="AI62" s="17" t="s">
        <v>316</v>
      </c>
      <c r="AJ62" s="17" t="s">
        <v>317</v>
      </c>
      <c r="AK62" s="17" t="s">
        <v>318</v>
      </c>
      <c r="AL62" s="17" t="s">
        <v>319</v>
      </c>
      <c r="BE62" s="17" t="s">
        <v>315</v>
      </c>
      <c r="BF62" s="17" t="s">
        <v>316</v>
      </c>
      <c r="BG62" s="17" t="s">
        <v>317</v>
      </c>
      <c r="BH62" s="17" t="s">
        <v>318</v>
      </c>
      <c r="BI62" s="17" t="s">
        <v>319</v>
      </c>
      <c r="BX62" t="s">
        <v>552</v>
      </c>
      <c r="BY62" t="s">
        <v>718</v>
      </c>
      <c r="BZ62" t="s">
        <v>682</v>
      </c>
      <c r="CA62" t="s">
        <v>322</v>
      </c>
      <c r="CB62" t="s">
        <v>322</v>
      </c>
      <c r="CC62" t="s">
        <v>322</v>
      </c>
    </row>
    <row r="63" spans="2:81" x14ac:dyDescent="0.3">
      <c r="J63" t="s">
        <v>573</v>
      </c>
      <c r="K63" s="17" t="s">
        <v>322</v>
      </c>
      <c r="L63" s="17" t="s">
        <v>322</v>
      </c>
      <c r="M63" s="17" t="s">
        <v>290</v>
      </c>
      <c r="N63" s="17" t="s">
        <v>322</v>
      </c>
      <c r="O63" s="17" t="s">
        <v>322</v>
      </c>
      <c r="T63" s="31" t="s">
        <v>1015</v>
      </c>
      <c r="Y63" s="15" t="s">
        <v>595</v>
      </c>
      <c r="AG63" t="s">
        <v>573</v>
      </c>
      <c r="AH63" s="17" t="s">
        <v>322</v>
      </c>
      <c r="AI63" s="17" t="s">
        <v>322</v>
      </c>
      <c r="AJ63" s="17" t="s">
        <v>290</v>
      </c>
      <c r="AK63" s="17" t="s">
        <v>322</v>
      </c>
      <c r="AL63" s="17" t="s">
        <v>322</v>
      </c>
      <c r="AV63" s="15" t="s">
        <v>595</v>
      </c>
      <c r="BD63" t="s">
        <v>573</v>
      </c>
      <c r="BE63" s="17" t="s">
        <v>322</v>
      </c>
      <c r="BF63" s="17" t="s">
        <v>322</v>
      </c>
      <c r="BG63" s="17" t="s">
        <v>290</v>
      </c>
      <c r="BH63" s="17" t="s">
        <v>322</v>
      </c>
      <c r="BI63" s="17" t="s">
        <v>322</v>
      </c>
      <c r="BX63" t="s">
        <v>554</v>
      </c>
      <c r="BY63" t="s">
        <v>322</v>
      </c>
      <c r="BZ63" t="s">
        <v>322</v>
      </c>
      <c r="CA63" t="s">
        <v>322</v>
      </c>
      <c r="CB63" t="s">
        <v>322</v>
      </c>
      <c r="CC63" t="s">
        <v>322</v>
      </c>
    </row>
    <row r="64" spans="2:81" x14ac:dyDescent="0.3">
      <c r="B64" s="15" t="s">
        <v>595</v>
      </c>
      <c r="J64" t="s">
        <v>561</v>
      </c>
      <c r="K64" s="17" t="s">
        <v>322</v>
      </c>
      <c r="L64" s="17" t="s">
        <v>322</v>
      </c>
      <c r="M64" s="17" t="s">
        <v>290</v>
      </c>
      <c r="N64" s="17" t="s">
        <v>322</v>
      </c>
      <c r="O64" s="17" t="s">
        <v>322</v>
      </c>
      <c r="T64" s="31" t="s">
        <v>970</v>
      </c>
      <c r="Z64" s="17" t="s">
        <v>315</v>
      </c>
      <c r="AA64" s="17" t="s">
        <v>316</v>
      </c>
      <c r="AB64" s="17" t="s">
        <v>317</v>
      </c>
      <c r="AC64" s="17" t="s">
        <v>318</v>
      </c>
      <c r="AD64" s="17" t="s">
        <v>319</v>
      </c>
      <c r="AG64" t="s">
        <v>561</v>
      </c>
      <c r="AH64" s="17" t="s">
        <v>322</v>
      </c>
      <c r="AI64" s="17" t="s">
        <v>322</v>
      </c>
      <c r="AJ64" s="17" t="s">
        <v>290</v>
      </c>
      <c r="AK64" s="17" t="s">
        <v>322</v>
      </c>
      <c r="AL64" s="17" t="s">
        <v>322</v>
      </c>
      <c r="AW64" s="17" t="s">
        <v>315</v>
      </c>
      <c r="AX64" s="17" t="s">
        <v>316</v>
      </c>
      <c r="AY64" s="17" t="s">
        <v>317</v>
      </c>
      <c r="AZ64" s="17" t="s">
        <v>318</v>
      </c>
      <c r="BA64" s="17" t="s">
        <v>319</v>
      </c>
      <c r="BD64" t="s">
        <v>561</v>
      </c>
      <c r="BE64" s="17" t="s">
        <v>322</v>
      </c>
      <c r="BF64" s="17" t="s">
        <v>322</v>
      </c>
      <c r="BG64" s="17" t="s">
        <v>290</v>
      </c>
      <c r="BH64" s="17" t="s">
        <v>322</v>
      </c>
      <c r="BI64" s="17" t="s">
        <v>322</v>
      </c>
    </row>
    <row r="65" spans="2:61" x14ac:dyDescent="0.3">
      <c r="C65" s="17" t="s">
        <v>315</v>
      </c>
      <c r="D65" s="17" t="s">
        <v>316</v>
      </c>
      <c r="E65" s="17" t="s">
        <v>317</v>
      </c>
      <c r="F65" s="17" t="s">
        <v>318</v>
      </c>
      <c r="G65" s="17" t="s">
        <v>319</v>
      </c>
      <c r="J65" t="s">
        <v>551</v>
      </c>
      <c r="K65" s="17" t="s">
        <v>322</v>
      </c>
      <c r="L65" s="17" t="s">
        <v>322</v>
      </c>
      <c r="M65" s="17" t="s">
        <v>290</v>
      </c>
      <c r="N65" s="17" t="s">
        <v>322</v>
      </c>
      <c r="O65" s="17" t="s">
        <v>322</v>
      </c>
      <c r="T65" s="31" t="s">
        <v>971</v>
      </c>
      <c r="Y65" s="15" t="s">
        <v>536</v>
      </c>
      <c r="Z65" s="17" t="s">
        <v>589</v>
      </c>
      <c r="AA65" s="17" t="s">
        <v>596</v>
      </c>
      <c r="AB65" s="17" t="s">
        <v>589</v>
      </c>
      <c r="AC65" s="17" t="s">
        <v>596</v>
      </c>
      <c r="AD65" s="17" t="s">
        <v>591</v>
      </c>
      <c r="AG65" t="s">
        <v>551</v>
      </c>
      <c r="AH65" s="17" t="s">
        <v>322</v>
      </c>
      <c r="AI65" s="17" t="s">
        <v>322</v>
      </c>
      <c r="AJ65" s="17" t="s">
        <v>290</v>
      </c>
      <c r="AK65" s="17" t="s">
        <v>322</v>
      </c>
      <c r="AL65" s="17" t="s">
        <v>322</v>
      </c>
      <c r="AV65" s="15" t="s">
        <v>536</v>
      </c>
      <c r="AW65" s="17" t="s">
        <v>589</v>
      </c>
      <c r="AX65" s="17" t="s">
        <v>596</v>
      </c>
      <c r="AY65" s="17" t="s">
        <v>589</v>
      </c>
      <c r="AZ65" s="17" t="s">
        <v>596</v>
      </c>
      <c r="BA65" s="17" t="s">
        <v>591</v>
      </c>
      <c r="BD65" t="s">
        <v>551</v>
      </c>
      <c r="BE65" s="17" t="s">
        <v>322</v>
      </c>
      <c r="BF65" s="17" t="s">
        <v>322</v>
      </c>
      <c r="BG65" s="17" t="s">
        <v>290</v>
      </c>
      <c r="BH65" s="17" t="s">
        <v>322</v>
      </c>
      <c r="BI65" s="17" t="s">
        <v>322</v>
      </c>
    </row>
    <row r="66" spans="2:61" x14ac:dyDescent="0.3">
      <c r="B66" s="15" t="s">
        <v>536</v>
      </c>
      <c r="C66" s="17" t="s">
        <v>589</v>
      </c>
      <c r="D66" s="17" t="s">
        <v>596</v>
      </c>
      <c r="E66" s="17" t="s">
        <v>589</v>
      </c>
      <c r="F66" s="17" t="s">
        <v>596</v>
      </c>
      <c r="G66" s="130" t="s">
        <v>591</v>
      </c>
      <c r="T66" s="31" t="s">
        <v>972</v>
      </c>
      <c r="Y66" s="15" t="s">
        <v>539</v>
      </c>
      <c r="Z66" s="17" t="s">
        <v>589</v>
      </c>
      <c r="AA66" s="17" t="s">
        <v>596</v>
      </c>
      <c r="AB66" s="17" t="s">
        <v>589</v>
      </c>
      <c r="AC66" s="17" t="s">
        <v>596</v>
      </c>
      <c r="AD66" s="17" t="s">
        <v>591</v>
      </c>
      <c r="AV66" s="15" t="s">
        <v>539</v>
      </c>
      <c r="AW66" s="17" t="s">
        <v>589</v>
      </c>
      <c r="AX66" s="17" t="s">
        <v>596</v>
      </c>
      <c r="AY66" s="17" t="s">
        <v>589</v>
      </c>
      <c r="AZ66" s="17" t="s">
        <v>596</v>
      </c>
      <c r="BA66" s="17" t="s">
        <v>591</v>
      </c>
    </row>
    <row r="67" spans="2:61" x14ac:dyDescent="0.3">
      <c r="B67" s="15" t="s">
        <v>539</v>
      </c>
      <c r="C67" s="17" t="s">
        <v>589</v>
      </c>
      <c r="D67" s="17" t="s">
        <v>596</v>
      </c>
      <c r="E67" s="17" t="s">
        <v>589</v>
      </c>
      <c r="F67" s="17" t="s">
        <v>596</v>
      </c>
      <c r="G67" s="130" t="s">
        <v>591</v>
      </c>
      <c r="J67" t="s">
        <v>598</v>
      </c>
      <c r="T67" s="31" t="s">
        <v>973</v>
      </c>
      <c r="Y67" s="15" t="s">
        <v>543</v>
      </c>
      <c r="Z67" s="17" t="s">
        <v>589</v>
      </c>
      <c r="AA67" s="17" t="s">
        <v>597</v>
      </c>
      <c r="AB67" s="17" t="s">
        <v>593</v>
      </c>
      <c r="AC67" s="17" t="s">
        <v>596</v>
      </c>
      <c r="AD67" s="17" t="s">
        <v>593</v>
      </c>
      <c r="AG67" t="s">
        <v>598</v>
      </c>
      <c r="AV67" s="15" t="s">
        <v>543</v>
      </c>
      <c r="AW67" s="17" t="s">
        <v>593</v>
      </c>
      <c r="AX67" s="17" t="s">
        <v>597</v>
      </c>
      <c r="AY67" s="17" t="s">
        <v>589</v>
      </c>
      <c r="AZ67" s="17" t="s">
        <v>596</v>
      </c>
      <c r="BA67" s="17" t="s">
        <v>593</v>
      </c>
      <c r="BD67" t="s">
        <v>598</v>
      </c>
    </row>
    <row r="68" spans="2:61" x14ac:dyDescent="0.3">
      <c r="B68" s="15" t="s">
        <v>543</v>
      </c>
      <c r="C68" s="17" t="s">
        <v>589</v>
      </c>
      <c r="D68" s="130" t="s">
        <v>596</v>
      </c>
      <c r="E68" s="17" t="s">
        <v>593</v>
      </c>
      <c r="F68" s="130" t="s">
        <v>597</v>
      </c>
      <c r="G68" s="17" t="s">
        <v>593</v>
      </c>
      <c r="K68" s="17" t="s">
        <v>315</v>
      </c>
      <c r="L68" s="17" t="s">
        <v>316</v>
      </c>
      <c r="M68" s="17" t="s">
        <v>317</v>
      </c>
      <c r="N68" s="17" t="s">
        <v>318</v>
      </c>
      <c r="O68" s="17" t="s">
        <v>319</v>
      </c>
      <c r="Y68" s="15" t="s">
        <v>573</v>
      </c>
      <c r="Z68" s="17" t="s">
        <v>322</v>
      </c>
      <c r="AA68" s="17" t="s">
        <v>597</v>
      </c>
      <c r="AB68" s="17" t="s">
        <v>593</v>
      </c>
      <c r="AC68" s="17" t="s">
        <v>322</v>
      </c>
      <c r="AD68" s="17" t="s">
        <v>593</v>
      </c>
      <c r="AH68" s="17" t="s">
        <v>315</v>
      </c>
      <c r="AI68" s="17" t="s">
        <v>316</v>
      </c>
      <c r="AJ68" s="17" t="s">
        <v>317</v>
      </c>
      <c r="AK68" s="17" t="s">
        <v>318</v>
      </c>
      <c r="AL68" s="17" t="s">
        <v>319</v>
      </c>
      <c r="AV68" s="15" t="s">
        <v>573</v>
      </c>
      <c r="AW68" s="17" t="s">
        <v>593</v>
      </c>
      <c r="AX68" s="17" t="s">
        <v>597</v>
      </c>
      <c r="AY68" s="17" t="s">
        <v>322</v>
      </c>
      <c r="AZ68" s="17" t="s">
        <v>322</v>
      </c>
      <c r="BA68" s="17" t="s">
        <v>593</v>
      </c>
      <c r="BE68" s="17" t="s">
        <v>315</v>
      </c>
      <c r="BF68" s="17" t="s">
        <v>316</v>
      </c>
      <c r="BG68" s="17" t="s">
        <v>317</v>
      </c>
      <c r="BH68" s="17" t="s">
        <v>318</v>
      </c>
      <c r="BI68" s="17" t="s">
        <v>319</v>
      </c>
    </row>
    <row r="69" spans="2:61" x14ac:dyDescent="0.3">
      <c r="B69" s="15" t="s">
        <v>573</v>
      </c>
      <c r="C69" s="17" t="s">
        <v>322</v>
      </c>
      <c r="D69" s="17" t="s">
        <v>322</v>
      </c>
      <c r="E69" s="17" t="s">
        <v>593</v>
      </c>
      <c r="F69" s="130" t="s">
        <v>597</v>
      </c>
      <c r="G69" s="17" t="s">
        <v>593</v>
      </c>
      <c r="J69" t="s">
        <v>573</v>
      </c>
      <c r="K69" s="17" t="s">
        <v>322</v>
      </c>
      <c r="L69" s="17" t="s">
        <v>322</v>
      </c>
      <c r="M69" s="17" t="s">
        <v>91</v>
      </c>
      <c r="N69" s="17" t="s">
        <v>322</v>
      </c>
      <c r="O69" s="17" t="s">
        <v>322</v>
      </c>
      <c r="Y69" s="15" t="s">
        <v>561</v>
      </c>
      <c r="Z69" s="17" t="s">
        <v>322</v>
      </c>
      <c r="AA69" s="17" t="s">
        <v>322</v>
      </c>
      <c r="AB69" s="17" t="s">
        <v>593</v>
      </c>
      <c r="AC69" s="17" t="s">
        <v>322</v>
      </c>
      <c r="AD69" s="17" t="s">
        <v>322</v>
      </c>
      <c r="AG69" t="s">
        <v>573</v>
      </c>
      <c r="AH69" s="17" t="s">
        <v>322</v>
      </c>
      <c r="AI69" s="17" t="s">
        <v>322</v>
      </c>
      <c r="AJ69" s="17" t="s">
        <v>91</v>
      </c>
      <c r="AK69" s="17" t="s">
        <v>322</v>
      </c>
      <c r="AL69" s="17" t="s">
        <v>322</v>
      </c>
      <c r="AV69" s="15" t="s">
        <v>561</v>
      </c>
      <c r="AW69" s="17" t="s">
        <v>322</v>
      </c>
      <c r="AX69" s="17" t="s">
        <v>322</v>
      </c>
      <c r="AY69" s="17" t="s">
        <v>322</v>
      </c>
      <c r="AZ69" s="17" t="s">
        <v>322</v>
      </c>
      <c r="BA69" s="17" t="s">
        <v>593</v>
      </c>
      <c r="BD69" t="s">
        <v>573</v>
      </c>
      <c r="BE69" s="17" t="s">
        <v>322</v>
      </c>
      <c r="BF69" s="17" t="s">
        <v>91</v>
      </c>
      <c r="BG69" s="17" t="s">
        <v>322</v>
      </c>
      <c r="BH69" s="17" t="s">
        <v>322</v>
      </c>
      <c r="BI69" s="17" t="s">
        <v>322</v>
      </c>
    </row>
    <row r="70" spans="2:61" x14ac:dyDescent="0.3">
      <c r="B70" s="15" t="s">
        <v>561</v>
      </c>
      <c r="C70" s="17" t="s">
        <v>322</v>
      </c>
      <c r="D70" s="17" t="s">
        <v>322</v>
      </c>
      <c r="E70" s="17" t="s">
        <v>593</v>
      </c>
      <c r="F70" s="17" t="s">
        <v>322</v>
      </c>
      <c r="G70" s="17" t="s">
        <v>322</v>
      </c>
      <c r="J70" t="s">
        <v>561</v>
      </c>
      <c r="K70" s="17" t="s">
        <v>91</v>
      </c>
      <c r="L70" s="17" t="s">
        <v>322</v>
      </c>
      <c r="M70" s="17" t="s">
        <v>91</v>
      </c>
      <c r="N70" s="17" t="s">
        <v>322</v>
      </c>
      <c r="O70" s="17" t="s">
        <v>322</v>
      </c>
      <c r="Y70" s="15" t="s">
        <v>551</v>
      </c>
      <c r="Z70" s="17" t="s">
        <v>322</v>
      </c>
      <c r="AA70" s="17" t="s">
        <v>322</v>
      </c>
      <c r="AB70" s="17" t="s">
        <v>322</v>
      </c>
      <c r="AC70" s="17" t="s">
        <v>322</v>
      </c>
      <c r="AD70" s="17" t="s">
        <v>322</v>
      </c>
      <c r="AG70" t="s">
        <v>561</v>
      </c>
      <c r="AH70" s="17" t="s">
        <v>91</v>
      </c>
      <c r="AI70" s="17" t="s">
        <v>322</v>
      </c>
      <c r="AJ70" s="17" t="s">
        <v>91</v>
      </c>
      <c r="AK70" s="17" t="s">
        <v>322</v>
      </c>
      <c r="AL70" s="17" t="s">
        <v>322</v>
      </c>
      <c r="AV70" s="15" t="s">
        <v>551</v>
      </c>
      <c r="AW70" s="17" t="s">
        <v>322</v>
      </c>
      <c r="AX70" s="17" t="s">
        <v>322</v>
      </c>
      <c r="AY70" s="17" t="s">
        <v>322</v>
      </c>
      <c r="AZ70" s="17" t="s">
        <v>322</v>
      </c>
      <c r="BA70" s="17" t="s">
        <v>322</v>
      </c>
      <c r="BD70" t="s">
        <v>561</v>
      </c>
      <c r="BE70" s="17" t="s">
        <v>322</v>
      </c>
      <c r="BF70" s="17" t="s">
        <v>91</v>
      </c>
      <c r="BG70" s="17" t="s">
        <v>322</v>
      </c>
      <c r="BH70" s="17" t="s">
        <v>322</v>
      </c>
      <c r="BI70" s="17" t="s">
        <v>91</v>
      </c>
    </row>
    <row r="71" spans="2:61" x14ac:dyDescent="0.3">
      <c r="B71" s="15" t="s">
        <v>551</v>
      </c>
      <c r="C71" s="17" t="s">
        <v>322</v>
      </c>
      <c r="D71" s="17" t="s">
        <v>322</v>
      </c>
      <c r="E71" s="17" t="s">
        <v>322</v>
      </c>
      <c r="F71" s="17" t="s">
        <v>322</v>
      </c>
      <c r="G71" s="17" t="s">
        <v>322</v>
      </c>
      <c r="J71" t="s">
        <v>551</v>
      </c>
      <c r="K71" s="17" t="s">
        <v>91</v>
      </c>
      <c r="L71" s="17" t="s">
        <v>322</v>
      </c>
      <c r="M71" s="17" t="s">
        <v>91</v>
      </c>
      <c r="N71" s="17" t="s">
        <v>322</v>
      </c>
      <c r="O71" s="17" t="s">
        <v>322</v>
      </c>
      <c r="AG71" t="s">
        <v>551</v>
      </c>
      <c r="AH71" s="17" t="s">
        <v>91</v>
      </c>
      <c r="AI71" s="17" t="s">
        <v>322</v>
      </c>
      <c r="AJ71" s="17" t="s">
        <v>91</v>
      </c>
      <c r="AK71" s="17" t="s">
        <v>322</v>
      </c>
      <c r="AL71" s="17" t="s">
        <v>322</v>
      </c>
      <c r="BD71" t="s">
        <v>551</v>
      </c>
      <c r="BE71" s="17" t="s">
        <v>322</v>
      </c>
      <c r="BF71" s="17" t="s">
        <v>91</v>
      </c>
      <c r="BG71" s="17" t="s">
        <v>322</v>
      </c>
      <c r="BH71" s="17" t="s">
        <v>322</v>
      </c>
      <c r="BI71" s="17" t="s">
        <v>91</v>
      </c>
    </row>
    <row r="72" spans="2:61" x14ac:dyDescent="0.3">
      <c r="Y72" s="31" t="s">
        <v>505</v>
      </c>
      <c r="AV72" s="31" t="s">
        <v>505</v>
      </c>
    </row>
    <row r="73" spans="2:61" x14ac:dyDescent="0.3">
      <c r="B73" s="31" t="s">
        <v>505</v>
      </c>
      <c r="J73" t="s">
        <v>600</v>
      </c>
      <c r="Y73" s="73" t="s">
        <v>599</v>
      </c>
      <c r="AG73" t="s">
        <v>600</v>
      </c>
      <c r="AV73" s="73" t="s">
        <v>599</v>
      </c>
      <c r="BD73" t="s">
        <v>600</v>
      </c>
    </row>
    <row r="74" spans="2:61" x14ac:dyDescent="0.3">
      <c r="B74" s="73" t="s">
        <v>599</v>
      </c>
      <c r="K74" s="17" t="s">
        <v>315</v>
      </c>
      <c r="L74" s="17" t="s">
        <v>316</v>
      </c>
      <c r="M74" s="17" t="s">
        <v>317</v>
      </c>
      <c r="N74" s="17" t="s">
        <v>318</v>
      </c>
      <c r="O74" s="17" t="s">
        <v>319</v>
      </c>
      <c r="AH74" s="17" t="s">
        <v>315</v>
      </c>
      <c r="AI74" s="17" t="s">
        <v>316</v>
      </c>
      <c r="AJ74" s="17" t="s">
        <v>317</v>
      </c>
      <c r="AK74" s="17" t="s">
        <v>318</v>
      </c>
      <c r="AL74" s="17" t="s">
        <v>319</v>
      </c>
      <c r="BE74" s="17" t="s">
        <v>315</v>
      </c>
      <c r="BF74" s="17" t="s">
        <v>316</v>
      </c>
      <c r="BG74" s="17" t="s">
        <v>317</v>
      </c>
      <c r="BH74" s="17" t="s">
        <v>318</v>
      </c>
      <c r="BI74" s="17" t="s">
        <v>319</v>
      </c>
    </row>
    <row r="75" spans="2:61" x14ac:dyDescent="0.3">
      <c r="J75" t="s">
        <v>561</v>
      </c>
      <c r="K75" s="17" t="s">
        <v>322</v>
      </c>
      <c r="L75" s="17" t="s">
        <v>322</v>
      </c>
      <c r="M75" s="17" t="s">
        <v>322</v>
      </c>
      <c r="N75" s="17" t="s">
        <v>322</v>
      </c>
      <c r="O75" s="17" t="s">
        <v>62</v>
      </c>
      <c r="Y75" s="15" t="s">
        <v>601</v>
      </c>
      <c r="AG75" t="s">
        <v>561</v>
      </c>
      <c r="AH75" s="17" t="s">
        <v>322</v>
      </c>
      <c r="AI75" s="17" t="s">
        <v>322</v>
      </c>
      <c r="AJ75" s="17" t="s">
        <v>322</v>
      </c>
      <c r="AK75" s="17" t="s">
        <v>322</v>
      </c>
      <c r="AL75" s="17" t="s">
        <v>62</v>
      </c>
      <c r="AV75" s="15" t="s">
        <v>601</v>
      </c>
      <c r="BD75" t="s">
        <v>561</v>
      </c>
      <c r="BE75" s="17" t="s">
        <v>322</v>
      </c>
      <c r="BF75" s="17" t="s">
        <v>322</v>
      </c>
      <c r="BG75" s="17" t="s">
        <v>322</v>
      </c>
      <c r="BH75" s="17" t="s">
        <v>322</v>
      </c>
      <c r="BI75" s="17" t="s">
        <v>62</v>
      </c>
    </row>
    <row r="76" spans="2:61" x14ac:dyDescent="0.3">
      <c r="B76" s="15" t="s">
        <v>601</v>
      </c>
      <c r="J76" t="s">
        <v>551</v>
      </c>
      <c r="K76" s="17" t="s">
        <v>322</v>
      </c>
      <c r="L76" s="17" t="s">
        <v>62</v>
      </c>
      <c r="M76" s="17" t="s">
        <v>322</v>
      </c>
      <c r="N76" s="17" t="s">
        <v>322</v>
      </c>
      <c r="O76" s="17" t="s">
        <v>62</v>
      </c>
      <c r="Z76" s="17" t="s">
        <v>315</v>
      </c>
      <c r="AA76" s="17" t="s">
        <v>316</v>
      </c>
      <c r="AB76" s="17" t="s">
        <v>317</v>
      </c>
      <c r="AC76" s="17" t="s">
        <v>318</v>
      </c>
      <c r="AD76" s="17" t="s">
        <v>319</v>
      </c>
      <c r="AG76" t="s">
        <v>551</v>
      </c>
      <c r="AH76" s="17" t="s">
        <v>322</v>
      </c>
      <c r="AI76" s="17" t="s">
        <v>62</v>
      </c>
      <c r="AJ76" s="17" t="s">
        <v>322</v>
      </c>
      <c r="AK76" s="17" t="s">
        <v>322</v>
      </c>
      <c r="AL76" s="17" t="s">
        <v>62</v>
      </c>
      <c r="AW76" s="17" t="s">
        <v>315</v>
      </c>
      <c r="AX76" s="17" t="s">
        <v>316</v>
      </c>
      <c r="AY76" s="17" t="s">
        <v>317</v>
      </c>
      <c r="AZ76" s="17" t="s">
        <v>318</v>
      </c>
      <c r="BA76" s="17" t="s">
        <v>319</v>
      </c>
      <c r="BD76" t="s">
        <v>551</v>
      </c>
      <c r="BE76" s="17" t="s">
        <v>322</v>
      </c>
      <c r="BF76" s="17" t="s">
        <v>62</v>
      </c>
      <c r="BG76" s="17" t="s">
        <v>322</v>
      </c>
      <c r="BH76" s="17" t="s">
        <v>322</v>
      </c>
      <c r="BI76" s="17" t="s">
        <v>62</v>
      </c>
    </row>
    <row r="77" spans="2:61" x14ac:dyDescent="0.3">
      <c r="C77" s="17" t="s">
        <v>315</v>
      </c>
      <c r="D77" s="17" t="s">
        <v>316</v>
      </c>
      <c r="E77" s="17" t="s">
        <v>317</v>
      </c>
      <c r="F77" s="17" t="s">
        <v>318</v>
      </c>
      <c r="G77" s="17" t="s">
        <v>319</v>
      </c>
      <c r="J77" t="s">
        <v>552</v>
      </c>
      <c r="K77" s="17" t="s">
        <v>322</v>
      </c>
      <c r="L77" s="17" t="s">
        <v>62</v>
      </c>
      <c r="M77" s="17" t="s">
        <v>322</v>
      </c>
      <c r="N77" s="17" t="s">
        <v>322</v>
      </c>
      <c r="O77" s="17" t="s">
        <v>322</v>
      </c>
      <c r="Y77" s="15" t="s">
        <v>512</v>
      </c>
      <c r="Z77" s="17" t="s">
        <v>322</v>
      </c>
      <c r="AA77" s="17" t="s">
        <v>602</v>
      </c>
      <c r="AB77" s="17" t="s">
        <v>603</v>
      </c>
      <c r="AC77" s="17" t="s">
        <v>604</v>
      </c>
      <c r="AD77" s="17" t="s">
        <v>602</v>
      </c>
      <c r="AG77" t="s">
        <v>552</v>
      </c>
      <c r="AH77" s="17" t="s">
        <v>322</v>
      </c>
      <c r="AI77" s="17" t="s">
        <v>62</v>
      </c>
      <c r="AJ77" s="17" t="s">
        <v>322</v>
      </c>
      <c r="AK77" s="17" t="s">
        <v>322</v>
      </c>
      <c r="AL77" s="17" t="s">
        <v>322</v>
      </c>
      <c r="AV77" s="15" t="s">
        <v>512</v>
      </c>
      <c r="AW77" s="17" t="s">
        <v>322</v>
      </c>
      <c r="AX77" s="17" t="s">
        <v>602</v>
      </c>
      <c r="AY77" s="17" t="s">
        <v>603</v>
      </c>
      <c r="AZ77" s="17" t="s">
        <v>604</v>
      </c>
      <c r="BA77" s="17" t="s">
        <v>602</v>
      </c>
      <c r="BD77" t="s">
        <v>552</v>
      </c>
      <c r="BE77" s="17" t="s">
        <v>322</v>
      </c>
      <c r="BF77" s="17" t="s">
        <v>62</v>
      </c>
      <c r="BG77" s="17" t="s">
        <v>322</v>
      </c>
      <c r="BH77" s="17" t="s">
        <v>322</v>
      </c>
      <c r="BI77" s="17" t="s">
        <v>322</v>
      </c>
    </row>
    <row r="78" spans="2:61" x14ac:dyDescent="0.3">
      <c r="B78" s="15" t="s">
        <v>512</v>
      </c>
      <c r="C78" s="17" t="s">
        <v>322</v>
      </c>
      <c r="D78" s="17" t="s">
        <v>602</v>
      </c>
      <c r="E78" s="17" t="s">
        <v>603</v>
      </c>
      <c r="F78" s="17" t="s">
        <v>604</v>
      </c>
      <c r="G78" s="17" t="s">
        <v>602</v>
      </c>
      <c r="Y78" s="15" t="s">
        <v>514</v>
      </c>
      <c r="Z78" s="17" t="s">
        <v>322</v>
      </c>
      <c r="AA78" s="17" t="s">
        <v>602</v>
      </c>
      <c r="AB78" s="17" t="s">
        <v>603</v>
      </c>
      <c r="AC78" s="17" t="s">
        <v>604</v>
      </c>
      <c r="AD78" s="17" t="s">
        <v>602</v>
      </c>
      <c r="AV78" s="15" t="s">
        <v>514</v>
      </c>
      <c r="AW78" s="17" t="s">
        <v>605</v>
      </c>
      <c r="AX78" s="17" t="s">
        <v>602</v>
      </c>
      <c r="AY78" s="17" t="s">
        <v>603</v>
      </c>
      <c r="AZ78" s="17" t="s">
        <v>604</v>
      </c>
      <c r="BA78" s="17" t="s">
        <v>602</v>
      </c>
    </row>
    <row r="79" spans="2:61" x14ac:dyDescent="0.3">
      <c r="B79" s="15" t="s">
        <v>514</v>
      </c>
      <c r="C79" s="17" t="s">
        <v>322</v>
      </c>
      <c r="D79" s="17" t="s">
        <v>602</v>
      </c>
      <c r="E79" s="17" t="s">
        <v>603</v>
      </c>
      <c r="F79" s="17" t="s">
        <v>604</v>
      </c>
      <c r="G79" s="17" t="s">
        <v>602</v>
      </c>
      <c r="J79" t="s">
        <v>607</v>
      </c>
      <c r="Y79" s="15" t="s">
        <v>517</v>
      </c>
      <c r="Z79" s="17" t="s">
        <v>605</v>
      </c>
      <c r="AA79" s="17" t="s">
        <v>606</v>
      </c>
      <c r="AB79" s="17" t="s">
        <v>605</v>
      </c>
      <c r="AC79" s="17" t="s">
        <v>604</v>
      </c>
      <c r="AD79" s="17" t="s">
        <v>602</v>
      </c>
      <c r="AG79" t="s">
        <v>607</v>
      </c>
      <c r="AV79" s="15" t="s">
        <v>517</v>
      </c>
      <c r="AW79" s="17" t="s">
        <v>605</v>
      </c>
      <c r="AX79" s="17" t="s">
        <v>606</v>
      </c>
      <c r="AY79" s="17" t="s">
        <v>605</v>
      </c>
      <c r="AZ79" s="17" t="s">
        <v>604</v>
      </c>
      <c r="BA79" s="17" t="s">
        <v>602</v>
      </c>
      <c r="BD79" t="s">
        <v>607</v>
      </c>
    </row>
    <row r="80" spans="2:61" x14ac:dyDescent="0.3">
      <c r="B80" s="15" t="s">
        <v>517</v>
      </c>
      <c r="C80" s="17" t="s">
        <v>605</v>
      </c>
      <c r="D80" s="17" t="s">
        <v>606</v>
      </c>
      <c r="E80" s="17" t="s">
        <v>605</v>
      </c>
      <c r="F80" s="17" t="s">
        <v>604</v>
      </c>
      <c r="G80" s="17" t="s">
        <v>602</v>
      </c>
      <c r="K80" s="17" t="s">
        <v>315</v>
      </c>
      <c r="L80" s="17" t="s">
        <v>316</v>
      </c>
      <c r="M80" s="17" t="s">
        <v>317</v>
      </c>
      <c r="N80" s="17" t="s">
        <v>318</v>
      </c>
      <c r="O80" s="17" t="s">
        <v>319</v>
      </c>
      <c r="Y80" s="15" t="s">
        <v>326</v>
      </c>
      <c r="Z80" s="17" t="s">
        <v>605</v>
      </c>
      <c r="AA80" s="17" t="s">
        <v>606</v>
      </c>
      <c r="AB80" s="17" t="s">
        <v>605</v>
      </c>
      <c r="AC80" s="17" t="s">
        <v>606</v>
      </c>
      <c r="AD80" s="17" t="s">
        <v>608</v>
      </c>
      <c r="AH80" s="17" t="s">
        <v>315</v>
      </c>
      <c r="AI80" s="17" t="s">
        <v>316</v>
      </c>
      <c r="AJ80" s="17" t="s">
        <v>317</v>
      </c>
      <c r="AK80" s="17" t="s">
        <v>318</v>
      </c>
      <c r="AL80" s="17" t="s">
        <v>319</v>
      </c>
      <c r="AV80" s="15" t="s">
        <v>326</v>
      </c>
      <c r="AW80" s="17" t="s">
        <v>605</v>
      </c>
      <c r="AX80" s="17" t="s">
        <v>606</v>
      </c>
      <c r="AY80" s="17" t="s">
        <v>605</v>
      </c>
      <c r="AZ80" s="17" t="s">
        <v>606</v>
      </c>
      <c r="BA80" s="17" t="s">
        <v>608</v>
      </c>
      <c r="BE80" s="17" t="s">
        <v>315</v>
      </c>
      <c r="BF80" s="17" t="s">
        <v>316</v>
      </c>
      <c r="BG80" s="17" t="s">
        <v>317</v>
      </c>
      <c r="BH80" s="17" t="s">
        <v>318</v>
      </c>
      <c r="BI80" s="17" t="s">
        <v>319</v>
      </c>
    </row>
    <row r="81" spans="2:61" x14ac:dyDescent="0.3">
      <c r="B81" s="15" t="s">
        <v>326</v>
      </c>
      <c r="C81" s="17" t="s">
        <v>605</v>
      </c>
      <c r="D81" s="17" t="s">
        <v>606</v>
      </c>
      <c r="E81" s="17" t="s">
        <v>605</v>
      </c>
      <c r="F81" s="17" t="s">
        <v>606</v>
      </c>
      <c r="G81" s="17" t="s">
        <v>608</v>
      </c>
      <c r="J81" t="s">
        <v>551</v>
      </c>
      <c r="K81" s="17" t="s">
        <v>223</v>
      </c>
      <c r="L81" s="17" t="s">
        <v>322</v>
      </c>
      <c r="M81" s="17" t="s">
        <v>322</v>
      </c>
      <c r="N81" s="17" t="s">
        <v>322</v>
      </c>
      <c r="O81" s="17" t="s">
        <v>322</v>
      </c>
      <c r="Y81" s="15" t="s">
        <v>328</v>
      </c>
      <c r="Z81" s="17" t="s">
        <v>609</v>
      </c>
      <c r="AA81" s="17" t="s">
        <v>608</v>
      </c>
      <c r="AB81" s="17" t="s">
        <v>609</v>
      </c>
      <c r="AC81" s="17" t="s">
        <v>606</v>
      </c>
      <c r="AD81" s="17" t="s">
        <v>608</v>
      </c>
      <c r="AG81" t="s">
        <v>551</v>
      </c>
      <c r="AH81" s="17" t="s">
        <v>223</v>
      </c>
      <c r="AI81" s="17" t="s">
        <v>322</v>
      </c>
      <c r="AJ81" s="17" t="s">
        <v>322</v>
      </c>
      <c r="AK81" s="17" t="s">
        <v>322</v>
      </c>
      <c r="AL81" s="17" t="s">
        <v>322</v>
      </c>
      <c r="AV81" s="15" t="s">
        <v>328</v>
      </c>
      <c r="AW81" s="17" t="s">
        <v>609</v>
      </c>
      <c r="AX81" s="17" t="s">
        <v>608</v>
      </c>
      <c r="AY81" s="17" t="s">
        <v>609</v>
      </c>
      <c r="AZ81" s="17" t="s">
        <v>606</v>
      </c>
      <c r="BA81" s="17" t="s">
        <v>608</v>
      </c>
      <c r="BD81" t="s">
        <v>551</v>
      </c>
      <c r="BE81" s="17" t="s">
        <v>223</v>
      </c>
      <c r="BF81" s="17" t="s">
        <v>322</v>
      </c>
      <c r="BG81" s="17" t="s">
        <v>322</v>
      </c>
      <c r="BH81" s="17" t="s">
        <v>322</v>
      </c>
      <c r="BI81" s="17" t="s">
        <v>322</v>
      </c>
    </row>
    <row r="82" spans="2:61" x14ac:dyDescent="0.3">
      <c r="B82" s="15" t="s">
        <v>328</v>
      </c>
      <c r="C82" s="130" t="s">
        <v>605</v>
      </c>
      <c r="D82" s="17" t="s">
        <v>608</v>
      </c>
      <c r="E82" s="17" t="s">
        <v>609</v>
      </c>
      <c r="F82" s="17" t="s">
        <v>606</v>
      </c>
      <c r="G82" s="17" t="s">
        <v>608</v>
      </c>
      <c r="J82" t="s">
        <v>552</v>
      </c>
      <c r="K82" s="17" t="s">
        <v>223</v>
      </c>
      <c r="L82" s="17" t="s">
        <v>322</v>
      </c>
      <c r="M82" s="17" t="s">
        <v>322</v>
      </c>
      <c r="N82" s="17" t="s">
        <v>223</v>
      </c>
      <c r="O82" s="17" t="s">
        <v>322</v>
      </c>
      <c r="Y82" s="15" t="s">
        <v>350</v>
      </c>
      <c r="Z82" s="17" t="s">
        <v>609</v>
      </c>
      <c r="AA82" s="17" t="s">
        <v>608</v>
      </c>
      <c r="AB82" s="17" t="s">
        <v>609</v>
      </c>
      <c r="AC82" s="17" t="s">
        <v>606</v>
      </c>
      <c r="AD82" s="17" t="s">
        <v>608</v>
      </c>
      <c r="AG82" t="s">
        <v>552</v>
      </c>
      <c r="AH82" s="17" t="s">
        <v>223</v>
      </c>
      <c r="AI82" s="17" t="s">
        <v>322</v>
      </c>
      <c r="AJ82" s="17" t="s">
        <v>322</v>
      </c>
      <c r="AK82" s="17" t="s">
        <v>223</v>
      </c>
      <c r="AL82" s="17" t="s">
        <v>322</v>
      </c>
      <c r="AV82" s="15" t="s">
        <v>350</v>
      </c>
      <c r="AW82" s="17" t="s">
        <v>609</v>
      </c>
      <c r="AX82" s="17" t="s">
        <v>608</v>
      </c>
      <c r="AY82" s="17" t="s">
        <v>609</v>
      </c>
      <c r="AZ82" s="17" t="s">
        <v>606</v>
      </c>
      <c r="BA82" s="17" t="s">
        <v>608</v>
      </c>
      <c r="BD82" t="s">
        <v>552</v>
      </c>
      <c r="BE82" s="17" t="s">
        <v>223</v>
      </c>
      <c r="BF82" s="17" t="s">
        <v>322</v>
      </c>
      <c r="BG82" s="17" t="s">
        <v>322</v>
      </c>
      <c r="BH82" s="17" t="s">
        <v>223</v>
      </c>
      <c r="BI82" s="17" t="s">
        <v>322</v>
      </c>
    </row>
    <row r="83" spans="2:61" x14ac:dyDescent="0.3">
      <c r="B83" s="15" t="s">
        <v>350</v>
      </c>
      <c r="C83" s="17" t="s">
        <v>609</v>
      </c>
      <c r="D83" s="17" t="s">
        <v>608</v>
      </c>
      <c r="E83" s="17" t="s">
        <v>609</v>
      </c>
      <c r="F83" s="17" t="s">
        <v>606</v>
      </c>
      <c r="G83" s="17" t="s">
        <v>608</v>
      </c>
      <c r="J83" t="s">
        <v>554</v>
      </c>
      <c r="K83" s="17" t="s">
        <v>223</v>
      </c>
      <c r="L83" s="17" t="s">
        <v>322</v>
      </c>
      <c r="M83" s="17" t="s">
        <v>322</v>
      </c>
      <c r="N83" s="17" t="s">
        <v>223</v>
      </c>
      <c r="O83" s="17" t="s">
        <v>322</v>
      </c>
      <c r="AG83" t="s">
        <v>554</v>
      </c>
      <c r="AH83" s="17" t="s">
        <v>223</v>
      </c>
      <c r="AI83" s="17" t="s">
        <v>322</v>
      </c>
      <c r="AJ83" s="17" t="s">
        <v>322</v>
      </c>
      <c r="AK83" s="17" t="s">
        <v>223</v>
      </c>
      <c r="AL83" s="17" t="s">
        <v>322</v>
      </c>
      <c r="BD83" t="s">
        <v>554</v>
      </c>
      <c r="BE83" s="17" t="s">
        <v>223</v>
      </c>
      <c r="BF83" s="17" t="s">
        <v>322</v>
      </c>
      <c r="BG83" s="17" t="s">
        <v>322</v>
      </c>
      <c r="BH83" s="17" t="s">
        <v>223</v>
      </c>
      <c r="BI83" s="17" t="s">
        <v>322</v>
      </c>
    </row>
    <row r="84" spans="2:61" x14ac:dyDescent="0.3">
      <c r="B84" s="156" t="s">
        <v>776</v>
      </c>
      <c r="C84" s="130" t="s">
        <v>609</v>
      </c>
      <c r="D84" s="17" t="s">
        <v>322</v>
      </c>
      <c r="E84" s="17" t="s">
        <v>322</v>
      </c>
      <c r="F84" s="17" t="s">
        <v>322</v>
      </c>
      <c r="G84" s="17" t="s">
        <v>322</v>
      </c>
      <c r="Y84" s="15" t="s">
        <v>610</v>
      </c>
      <c r="AV84" s="15" t="s">
        <v>610</v>
      </c>
    </row>
    <row r="85" spans="2:61" x14ac:dyDescent="0.3">
      <c r="J85" t="s">
        <v>611</v>
      </c>
      <c r="Z85" s="17" t="s">
        <v>315</v>
      </c>
      <c r="AA85" s="17" t="s">
        <v>316</v>
      </c>
      <c r="AB85" s="17" t="s">
        <v>317</v>
      </c>
      <c r="AC85" s="17" t="s">
        <v>318</v>
      </c>
      <c r="AD85" s="17" t="s">
        <v>319</v>
      </c>
      <c r="AG85" t="s">
        <v>611</v>
      </c>
      <c r="AW85" s="17" t="s">
        <v>315</v>
      </c>
      <c r="AX85" s="17" t="s">
        <v>316</v>
      </c>
      <c r="AY85" s="17" t="s">
        <v>317</v>
      </c>
      <c r="AZ85" s="17" t="s">
        <v>318</v>
      </c>
      <c r="BA85" s="17" t="s">
        <v>319</v>
      </c>
      <c r="BD85" t="s">
        <v>611</v>
      </c>
    </row>
    <row r="86" spans="2:61" x14ac:dyDescent="0.3">
      <c r="B86" s="15" t="s">
        <v>610</v>
      </c>
      <c r="K86" s="17" t="s">
        <v>315</v>
      </c>
      <c r="L86" s="17" t="s">
        <v>316</v>
      </c>
      <c r="M86" s="17" t="s">
        <v>317</v>
      </c>
      <c r="N86" s="17" t="s">
        <v>318</v>
      </c>
      <c r="O86" s="17" t="s">
        <v>319</v>
      </c>
      <c r="Y86" s="15" t="s">
        <v>512</v>
      </c>
      <c r="Z86" s="17" t="s">
        <v>322</v>
      </c>
      <c r="AA86" s="17" t="s">
        <v>612</v>
      </c>
      <c r="AB86" s="17" t="s">
        <v>602</v>
      </c>
      <c r="AC86" s="17" t="s">
        <v>613</v>
      </c>
      <c r="AD86" s="17" t="s">
        <v>612</v>
      </c>
      <c r="AH86" s="17" t="s">
        <v>315</v>
      </c>
      <c r="AI86" s="17" t="s">
        <v>316</v>
      </c>
      <c r="AJ86" s="17" t="s">
        <v>317</v>
      </c>
      <c r="AK86" s="17" t="s">
        <v>318</v>
      </c>
      <c r="AL86" s="17" t="s">
        <v>319</v>
      </c>
      <c r="AV86" s="15" t="s">
        <v>512</v>
      </c>
      <c r="AW86" s="17" t="s">
        <v>322</v>
      </c>
      <c r="AX86" s="17" t="s">
        <v>612</v>
      </c>
      <c r="AY86" s="17" t="s">
        <v>602</v>
      </c>
      <c r="AZ86" s="17" t="s">
        <v>612</v>
      </c>
      <c r="BA86" s="17" t="s">
        <v>613</v>
      </c>
      <c r="BE86" s="17" t="s">
        <v>315</v>
      </c>
      <c r="BF86" s="17" t="s">
        <v>316</v>
      </c>
      <c r="BG86" s="17" t="s">
        <v>317</v>
      </c>
      <c r="BH86" s="17" t="s">
        <v>318</v>
      </c>
      <c r="BI86" s="17" t="s">
        <v>319</v>
      </c>
    </row>
    <row r="87" spans="2:61" x14ac:dyDescent="0.3">
      <c r="C87" s="17" t="s">
        <v>315</v>
      </c>
      <c r="D87" s="17" t="s">
        <v>316</v>
      </c>
      <c r="E87" s="17" t="s">
        <v>317</v>
      </c>
      <c r="F87" s="17" t="s">
        <v>318</v>
      </c>
      <c r="G87" s="17" t="s">
        <v>319</v>
      </c>
      <c r="J87" t="s">
        <v>514</v>
      </c>
      <c r="K87" s="17" t="s">
        <v>322</v>
      </c>
      <c r="L87" s="17" t="s">
        <v>322</v>
      </c>
      <c r="M87" s="17" t="s">
        <v>166</v>
      </c>
      <c r="N87" s="17" t="s">
        <v>322</v>
      </c>
      <c r="O87" s="17" t="s">
        <v>322</v>
      </c>
      <c r="Y87" s="15" t="s">
        <v>514</v>
      </c>
      <c r="Z87" s="17" t="s">
        <v>605</v>
      </c>
      <c r="AA87" s="17" t="s">
        <v>612</v>
      </c>
      <c r="AB87" s="17" t="s">
        <v>602</v>
      </c>
      <c r="AC87" s="17" t="s">
        <v>613</v>
      </c>
      <c r="AD87" s="17" t="s">
        <v>612</v>
      </c>
      <c r="AG87" t="s">
        <v>514</v>
      </c>
      <c r="AH87" s="17" t="s">
        <v>322</v>
      </c>
      <c r="AI87" s="17" t="s">
        <v>322</v>
      </c>
      <c r="AJ87" s="17" t="s">
        <v>166</v>
      </c>
      <c r="AK87" s="17" t="s">
        <v>322</v>
      </c>
      <c r="AL87" s="17" t="s">
        <v>322</v>
      </c>
      <c r="AV87" s="15" t="s">
        <v>514</v>
      </c>
      <c r="AW87" s="17" t="s">
        <v>605</v>
      </c>
      <c r="AX87" s="17" t="s">
        <v>612</v>
      </c>
      <c r="AY87" s="17" t="s">
        <v>602</v>
      </c>
      <c r="AZ87" s="17" t="s">
        <v>612</v>
      </c>
      <c r="BA87" s="17" t="s">
        <v>613</v>
      </c>
      <c r="BD87" t="s">
        <v>514</v>
      </c>
      <c r="BE87" s="17" t="s">
        <v>322</v>
      </c>
      <c r="BF87" s="17" t="s">
        <v>322</v>
      </c>
      <c r="BG87" s="17" t="s">
        <v>166</v>
      </c>
      <c r="BH87" s="17" t="s">
        <v>322</v>
      </c>
      <c r="BI87" s="17" t="s">
        <v>322</v>
      </c>
    </row>
    <row r="88" spans="2:61" x14ac:dyDescent="0.3">
      <c r="B88" s="15" t="s">
        <v>512</v>
      </c>
      <c r="C88" s="17" t="s">
        <v>322</v>
      </c>
      <c r="D88" s="17" t="s">
        <v>612</v>
      </c>
      <c r="E88" s="17" t="s">
        <v>602</v>
      </c>
      <c r="F88" s="17" t="s">
        <v>613</v>
      </c>
      <c r="G88" s="17" t="s">
        <v>612</v>
      </c>
      <c r="J88" t="s">
        <v>517</v>
      </c>
      <c r="K88" s="17" t="s">
        <v>322</v>
      </c>
      <c r="L88" s="17" t="s">
        <v>322</v>
      </c>
      <c r="M88" s="17" t="s">
        <v>166</v>
      </c>
      <c r="N88" s="17" t="s">
        <v>322</v>
      </c>
      <c r="O88" s="17" t="s">
        <v>322</v>
      </c>
      <c r="Y88" s="15" t="s">
        <v>517</v>
      </c>
      <c r="Z88" s="17" t="s">
        <v>605</v>
      </c>
      <c r="AA88" s="17" t="s">
        <v>606</v>
      </c>
      <c r="AB88" s="17" t="s">
        <v>605</v>
      </c>
      <c r="AC88" s="17" t="s">
        <v>613</v>
      </c>
      <c r="AD88" s="17" t="s">
        <v>612</v>
      </c>
      <c r="AG88" t="s">
        <v>517</v>
      </c>
      <c r="AH88" s="17" t="s">
        <v>322</v>
      </c>
      <c r="AI88" s="17" t="s">
        <v>322</v>
      </c>
      <c r="AJ88" s="17" t="s">
        <v>166</v>
      </c>
      <c r="AK88" s="17" t="s">
        <v>322</v>
      </c>
      <c r="AL88" s="17" t="s">
        <v>322</v>
      </c>
      <c r="AV88" s="15" t="s">
        <v>517</v>
      </c>
      <c r="AW88" s="17" t="s">
        <v>605</v>
      </c>
      <c r="AX88" s="17" t="s">
        <v>606</v>
      </c>
      <c r="AY88" s="17" t="s">
        <v>605</v>
      </c>
      <c r="AZ88" s="17" t="s">
        <v>612</v>
      </c>
      <c r="BA88" s="17" t="s">
        <v>613</v>
      </c>
      <c r="BD88" t="s">
        <v>517</v>
      </c>
      <c r="BE88" s="17" t="s">
        <v>322</v>
      </c>
      <c r="BF88" s="17" t="s">
        <v>322</v>
      </c>
      <c r="BG88" s="17" t="s">
        <v>166</v>
      </c>
      <c r="BH88" s="17" t="s">
        <v>322</v>
      </c>
      <c r="BI88" s="17" t="s">
        <v>322</v>
      </c>
    </row>
    <row r="89" spans="2:61" x14ac:dyDescent="0.3">
      <c r="B89" s="15" t="s">
        <v>514</v>
      </c>
      <c r="C89" s="17" t="s">
        <v>322</v>
      </c>
      <c r="D89" s="17" t="s">
        <v>612</v>
      </c>
      <c r="E89" s="17" t="s">
        <v>602</v>
      </c>
      <c r="F89" s="17" t="s">
        <v>613</v>
      </c>
      <c r="G89" s="17" t="s">
        <v>612</v>
      </c>
      <c r="J89" t="s">
        <v>326</v>
      </c>
      <c r="K89" s="17" t="s">
        <v>322</v>
      </c>
      <c r="L89" s="17" t="s">
        <v>322</v>
      </c>
      <c r="M89" s="17" t="s">
        <v>166</v>
      </c>
      <c r="N89" s="17" t="s">
        <v>322</v>
      </c>
      <c r="O89" s="17" t="s">
        <v>322</v>
      </c>
      <c r="Y89" s="15" t="s">
        <v>326</v>
      </c>
      <c r="Z89" s="17" t="s">
        <v>605</v>
      </c>
      <c r="AA89" s="17" t="s">
        <v>606</v>
      </c>
      <c r="AB89" s="17" t="s">
        <v>605</v>
      </c>
      <c r="AC89" s="17" t="s">
        <v>606</v>
      </c>
      <c r="AD89" s="17" t="s">
        <v>602</v>
      </c>
      <c r="AG89" t="s">
        <v>326</v>
      </c>
      <c r="AH89" s="17" t="s">
        <v>322</v>
      </c>
      <c r="AI89" s="17" t="s">
        <v>322</v>
      </c>
      <c r="AJ89" s="17" t="s">
        <v>166</v>
      </c>
      <c r="AK89" s="17" t="s">
        <v>322</v>
      </c>
      <c r="AL89" s="17" t="s">
        <v>322</v>
      </c>
      <c r="AV89" s="15" t="s">
        <v>326</v>
      </c>
      <c r="AW89" s="17" t="s">
        <v>605</v>
      </c>
      <c r="AX89" s="17" t="s">
        <v>606</v>
      </c>
      <c r="AY89" s="17" t="s">
        <v>605</v>
      </c>
      <c r="AZ89" s="17" t="s">
        <v>606</v>
      </c>
      <c r="BA89" s="17" t="s">
        <v>602</v>
      </c>
      <c r="BD89" t="s">
        <v>326</v>
      </c>
      <c r="BE89" s="17" t="s">
        <v>322</v>
      </c>
      <c r="BF89" s="17" t="s">
        <v>322</v>
      </c>
      <c r="BG89" s="17" t="s">
        <v>166</v>
      </c>
      <c r="BH89" s="17" t="s">
        <v>322</v>
      </c>
      <c r="BI89" s="17" t="s">
        <v>322</v>
      </c>
    </row>
    <row r="90" spans="2:61" x14ac:dyDescent="0.3">
      <c r="B90" s="15" t="s">
        <v>517</v>
      </c>
      <c r="C90" s="17" t="s">
        <v>605</v>
      </c>
      <c r="D90" s="17" t="s">
        <v>606</v>
      </c>
      <c r="E90" s="17" t="s">
        <v>605</v>
      </c>
      <c r="F90" s="17" t="s">
        <v>613</v>
      </c>
      <c r="G90" s="17" t="s">
        <v>612</v>
      </c>
      <c r="J90" t="s">
        <v>543</v>
      </c>
      <c r="K90" s="17" t="s">
        <v>322</v>
      </c>
      <c r="L90" s="17" t="s">
        <v>276</v>
      </c>
      <c r="M90" s="17" t="s">
        <v>322</v>
      </c>
      <c r="N90" s="17" t="s">
        <v>322</v>
      </c>
      <c r="O90" s="17" t="s">
        <v>322</v>
      </c>
      <c r="Y90" s="15" t="s">
        <v>328</v>
      </c>
      <c r="Z90" s="17" t="s">
        <v>609</v>
      </c>
      <c r="AA90" s="17" t="s">
        <v>603</v>
      </c>
      <c r="AB90" s="17" t="s">
        <v>609</v>
      </c>
      <c r="AC90" s="17" t="s">
        <v>606</v>
      </c>
      <c r="AD90" s="17" t="s">
        <v>602</v>
      </c>
      <c r="AG90" t="s">
        <v>543</v>
      </c>
      <c r="AH90" s="17" t="s">
        <v>322</v>
      </c>
      <c r="AI90" s="17" t="s">
        <v>276</v>
      </c>
      <c r="AJ90" s="17" t="s">
        <v>322</v>
      </c>
      <c r="AK90" s="17" t="s">
        <v>322</v>
      </c>
      <c r="AL90" s="17" t="s">
        <v>322</v>
      </c>
      <c r="AV90" s="15" t="s">
        <v>328</v>
      </c>
      <c r="AW90" s="17" t="s">
        <v>609</v>
      </c>
      <c r="AX90" s="17" t="s">
        <v>603</v>
      </c>
      <c r="AY90" s="17" t="s">
        <v>609</v>
      </c>
      <c r="AZ90" s="17" t="s">
        <v>606</v>
      </c>
      <c r="BA90" s="17" t="s">
        <v>602</v>
      </c>
      <c r="BD90" t="s">
        <v>543</v>
      </c>
      <c r="BE90" s="17" t="s">
        <v>322</v>
      </c>
      <c r="BF90" s="17" t="s">
        <v>276</v>
      </c>
      <c r="BG90" s="17" t="s">
        <v>322</v>
      </c>
      <c r="BH90" s="17" t="s">
        <v>322</v>
      </c>
      <c r="BI90" s="17" t="s">
        <v>322</v>
      </c>
    </row>
    <row r="91" spans="2:61" x14ac:dyDescent="0.3">
      <c r="B91" s="15" t="s">
        <v>326</v>
      </c>
      <c r="C91" s="17" t="s">
        <v>605</v>
      </c>
      <c r="D91" s="17" t="s">
        <v>606</v>
      </c>
      <c r="E91" s="17" t="s">
        <v>605</v>
      </c>
      <c r="F91" s="17" t="s">
        <v>606</v>
      </c>
      <c r="G91" s="17" t="s">
        <v>602</v>
      </c>
      <c r="J91" t="s">
        <v>573</v>
      </c>
      <c r="K91" s="17" t="s">
        <v>322</v>
      </c>
      <c r="L91" s="17" t="s">
        <v>276</v>
      </c>
      <c r="M91" s="17" t="s">
        <v>322</v>
      </c>
      <c r="N91" s="17" t="s">
        <v>322</v>
      </c>
      <c r="O91" s="17" t="s">
        <v>276</v>
      </c>
      <c r="Y91" s="15" t="s">
        <v>350</v>
      </c>
      <c r="Z91" s="17" t="s">
        <v>609</v>
      </c>
      <c r="AA91" s="17" t="s">
        <v>603</v>
      </c>
      <c r="AB91" s="17" t="s">
        <v>609</v>
      </c>
      <c r="AC91" s="17" t="s">
        <v>606</v>
      </c>
      <c r="AD91" s="17" t="s">
        <v>602</v>
      </c>
      <c r="AG91" t="s">
        <v>573</v>
      </c>
      <c r="AH91" s="17" t="s">
        <v>322</v>
      </c>
      <c r="AI91" s="17" t="s">
        <v>276</v>
      </c>
      <c r="AJ91" s="17" t="s">
        <v>322</v>
      </c>
      <c r="AK91" s="17" t="s">
        <v>322</v>
      </c>
      <c r="AL91" s="17" t="s">
        <v>276</v>
      </c>
      <c r="AV91" s="15" t="s">
        <v>350</v>
      </c>
      <c r="AW91" s="17" t="s">
        <v>609</v>
      </c>
      <c r="AX91" s="17" t="s">
        <v>603</v>
      </c>
      <c r="AY91" s="17" t="s">
        <v>609</v>
      </c>
      <c r="AZ91" s="17" t="s">
        <v>606</v>
      </c>
      <c r="BA91" s="17" t="s">
        <v>602</v>
      </c>
      <c r="BD91" t="s">
        <v>573</v>
      </c>
      <c r="BE91" s="17" t="s">
        <v>322</v>
      </c>
      <c r="BF91" s="17" t="s">
        <v>276</v>
      </c>
      <c r="BG91" s="17" t="s">
        <v>322</v>
      </c>
      <c r="BH91" s="17" t="s">
        <v>322</v>
      </c>
      <c r="BI91" s="17" t="s">
        <v>276</v>
      </c>
    </row>
    <row r="92" spans="2:61" x14ac:dyDescent="0.3">
      <c r="B92" s="15" t="s">
        <v>328</v>
      </c>
      <c r="C92" s="130" t="s">
        <v>605</v>
      </c>
      <c r="D92" s="17" t="s">
        <v>603</v>
      </c>
      <c r="E92" s="17" t="s">
        <v>609</v>
      </c>
      <c r="F92" s="17" t="s">
        <v>606</v>
      </c>
      <c r="G92" s="17" t="s">
        <v>602</v>
      </c>
      <c r="J92" t="s">
        <v>561</v>
      </c>
      <c r="K92" s="17" t="s">
        <v>322</v>
      </c>
      <c r="L92" s="17" t="s">
        <v>322</v>
      </c>
      <c r="M92" s="17" t="s">
        <v>322</v>
      </c>
      <c r="N92" s="17" t="s">
        <v>322</v>
      </c>
      <c r="O92" s="17" t="s">
        <v>276</v>
      </c>
      <c r="AG92" t="s">
        <v>561</v>
      </c>
      <c r="AH92" s="17" t="s">
        <v>322</v>
      </c>
      <c r="AI92" s="17" t="s">
        <v>322</v>
      </c>
      <c r="AJ92" s="17" t="s">
        <v>322</v>
      </c>
      <c r="AK92" s="17" t="s">
        <v>322</v>
      </c>
      <c r="AL92" s="17" t="s">
        <v>276</v>
      </c>
      <c r="BD92" t="s">
        <v>561</v>
      </c>
      <c r="BE92" s="17" t="s">
        <v>322</v>
      </c>
      <c r="BF92" s="17" t="s">
        <v>322</v>
      </c>
      <c r="BG92" s="17" t="s">
        <v>322</v>
      </c>
      <c r="BH92" s="17" t="s">
        <v>322</v>
      </c>
      <c r="BI92" s="17" t="s">
        <v>276</v>
      </c>
    </row>
    <row r="93" spans="2:61" x14ac:dyDescent="0.3">
      <c r="B93" s="15" t="s">
        <v>350</v>
      </c>
      <c r="C93" s="17" t="s">
        <v>609</v>
      </c>
      <c r="D93" s="17" t="s">
        <v>603</v>
      </c>
      <c r="E93" s="17" t="s">
        <v>609</v>
      </c>
      <c r="F93" s="17" t="s">
        <v>606</v>
      </c>
      <c r="G93" s="17" t="s">
        <v>602</v>
      </c>
      <c r="Y93" s="15" t="s">
        <v>614</v>
      </c>
      <c r="AV93" s="15" t="s">
        <v>614</v>
      </c>
    </row>
    <row r="94" spans="2:61" x14ac:dyDescent="0.3">
      <c r="B94" s="156" t="s">
        <v>776</v>
      </c>
      <c r="C94" s="130" t="s">
        <v>609</v>
      </c>
      <c r="D94" s="17" t="s">
        <v>322</v>
      </c>
      <c r="E94" s="17" t="s">
        <v>322</v>
      </c>
      <c r="F94" s="17" t="s">
        <v>322</v>
      </c>
      <c r="G94" s="17" t="s">
        <v>322</v>
      </c>
      <c r="J94" t="s">
        <v>615</v>
      </c>
      <c r="Z94" s="17" t="s">
        <v>315</v>
      </c>
      <c r="AA94" s="17" t="s">
        <v>316</v>
      </c>
      <c r="AB94" s="17" t="s">
        <v>317</v>
      </c>
      <c r="AC94" s="17" t="s">
        <v>318</v>
      </c>
      <c r="AD94" s="17" t="s">
        <v>319</v>
      </c>
      <c r="AG94" t="s">
        <v>615</v>
      </c>
      <c r="AW94" s="17" t="s">
        <v>315</v>
      </c>
      <c r="AX94" s="17" t="s">
        <v>316</v>
      </c>
      <c r="AY94" s="17" t="s">
        <v>317</v>
      </c>
      <c r="AZ94" s="17" t="s">
        <v>318</v>
      </c>
      <c r="BA94" s="17" t="s">
        <v>319</v>
      </c>
      <c r="BD94" t="s">
        <v>615</v>
      </c>
    </row>
    <row r="95" spans="2:61" x14ac:dyDescent="0.3">
      <c r="K95" s="17" t="s">
        <v>315</v>
      </c>
      <c r="L95" s="17" t="s">
        <v>316</v>
      </c>
      <c r="M95" s="17" t="s">
        <v>317</v>
      </c>
      <c r="N95" s="17" t="s">
        <v>318</v>
      </c>
      <c r="O95" s="17" t="s">
        <v>319</v>
      </c>
      <c r="Y95" s="15" t="s">
        <v>512</v>
      </c>
      <c r="Z95" s="17" t="s">
        <v>616</v>
      </c>
      <c r="AA95" s="17" t="s">
        <v>617</v>
      </c>
      <c r="AB95" s="17" t="s">
        <v>618</v>
      </c>
      <c r="AC95" s="17" t="s">
        <v>617</v>
      </c>
      <c r="AD95" s="17" t="s">
        <v>619</v>
      </c>
      <c r="AH95" s="17" t="s">
        <v>315</v>
      </c>
      <c r="AI95" s="17" t="s">
        <v>316</v>
      </c>
      <c r="AJ95" s="17" t="s">
        <v>317</v>
      </c>
      <c r="AK95" s="17" t="s">
        <v>318</v>
      </c>
      <c r="AL95" s="17" t="s">
        <v>319</v>
      </c>
      <c r="AV95" s="15" t="s">
        <v>512</v>
      </c>
      <c r="AW95" s="17" t="s">
        <v>616</v>
      </c>
      <c r="AX95" s="17" t="s">
        <v>618</v>
      </c>
      <c r="AY95" s="17" t="s">
        <v>620</v>
      </c>
      <c r="AZ95" s="17" t="s">
        <v>618</v>
      </c>
      <c r="BA95" s="17" t="s">
        <v>620</v>
      </c>
      <c r="BE95" s="17" t="s">
        <v>315</v>
      </c>
      <c r="BF95" s="17" t="s">
        <v>316</v>
      </c>
      <c r="BG95" s="17" t="s">
        <v>317</v>
      </c>
      <c r="BH95" s="17" t="s">
        <v>318</v>
      </c>
      <c r="BI95" s="17" t="s">
        <v>319</v>
      </c>
    </row>
    <row r="96" spans="2:61" x14ac:dyDescent="0.3">
      <c r="B96" s="15" t="s">
        <v>614</v>
      </c>
      <c r="J96" t="s">
        <v>517</v>
      </c>
      <c r="K96" s="17" t="s">
        <v>322</v>
      </c>
      <c r="L96" s="17" t="s">
        <v>75</v>
      </c>
      <c r="M96" s="17" t="s">
        <v>322</v>
      </c>
      <c r="N96" s="17" t="s">
        <v>75</v>
      </c>
      <c r="O96" s="17" t="s">
        <v>322</v>
      </c>
      <c r="Y96" s="15" t="s">
        <v>514</v>
      </c>
      <c r="Z96" s="17" t="s">
        <v>616</v>
      </c>
      <c r="AA96" s="17" t="s">
        <v>617</v>
      </c>
      <c r="AB96" s="17" t="s">
        <v>618</v>
      </c>
      <c r="AC96" s="17" t="s">
        <v>617</v>
      </c>
      <c r="AD96" s="17" t="s">
        <v>619</v>
      </c>
      <c r="AG96" t="s">
        <v>517</v>
      </c>
      <c r="AH96" s="17" t="s">
        <v>322</v>
      </c>
      <c r="AI96" s="17" t="s">
        <v>75</v>
      </c>
      <c r="AJ96" s="17" t="s">
        <v>322</v>
      </c>
      <c r="AK96" s="17" t="s">
        <v>75</v>
      </c>
      <c r="AL96" s="17" t="s">
        <v>322</v>
      </c>
      <c r="AV96" s="15" t="s">
        <v>514</v>
      </c>
      <c r="AW96" s="17" t="s">
        <v>616</v>
      </c>
      <c r="AX96" s="17" t="s">
        <v>618</v>
      </c>
      <c r="AY96" s="17" t="s">
        <v>620</v>
      </c>
      <c r="AZ96" s="17" t="s">
        <v>618</v>
      </c>
      <c r="BA96" s="17" t="s">
        <v>620</v>
      </c>
      <c r="BD96" t="s">
        <v>512</v>
      </c>
      <c r="BE96" s="17" t="s">
        <v>322</v>
      </c>
      <c r="BF96" s="17" t="s">
        <v>75</v>
      </c>
      <c r="BG96" s="17" t="s">
        <v>322</v>
      </c>
      <c r="BH96" s="17" t="s">
        <v>322</v>
      </c>
      <c r="BI96" s="17" t="s">
        <v>322</v>
      </c>
    </row>
    <row r="97" spans="2:61" x14ac:dyDescent="0.3">
      <c r="C97" s="17" t="s">
        <v>315</v>
      </c>
      <c r="D97" s="17" t="s">
        <v>316</v>
      </c>
      <c r="E97" s="17" t="s">
        <v>317</v>
      </c>
      <c r="F97" s="17" t="s">
        <v>318</v>
      </c>
      <c r="G97" s="17" t="s">
        <v>319</v>
      </c>
      <c r="J97" t="s">
        <v>326</v>
      </c>
      <c r="K97" s="17" t="s">
        <v>322</v>
      </c>
      <c r="L97" s="17" t="s">
        <v>75</v>
      </c>
      <c r="M97" s="17" t="s">
        <v>322</v>
      </c>
      <c r="N97" s="17" t="s">
        <v>75</v>
      </c>
      <c r="O97" s="17" t="s">
        <v>322</v>
      </c>
      <c r="Y97" s="15" t="s">
        <v>517</v>
      </c>
      <c r="Z97" s="17" t="s">
        <v>616</v>
      </c>
      <c r="AA97" s="17" t="s">
        <v>620</v>
      </c>
      <c r="AB97" s="17" t="s">
        <v>616</v>
      </c>
      <c r="AC97" s="17" t="s">
        <v>617</v>
      </c>
      <c r="AD97" s="17" t="s">
        <v>620</v>
      </c>
      <c r="AG97" t="s">
        <v>326</v>
      </c>
      <c r="AH97" s="17" t="s">
        <v>322</v>
      </c>
      <c r="AI97" s="17" t="s">
        <v>75</v>
      </c>
      <c r="AJ97" s="17" t="s">
        <v>322</v>
      </c>
      <c r="AK97" s="17" t="s">
        <v>75</v>
      </c>
      <c r="AL97" s="17" t="s">
        <v>322</v>
      </c>
      <c r="AV97" s="15" t="s">
        <v>517</v>
      </c>
      <c r="AW97" s="17" t="s">
        <v>616</v>
      </c>
      <c r="AX97" s="17" t="s">
        <v>621</v>
      </c>
      <c r="AY97" s="17" t="s">
        <v>616</v>
      </c>
      <c r="AZ97" s="17" t="s">
        <v>609</v>
      </c>
      <c r="BA97" s="17" t="s">
        <v>620</v>
      </c>
      <c r="BD97" t="s">
        <v>514</v>
      </c>
      <c r="BE97" s="17" t="s">
        <v>322</v>
      </c>
      <c r="BF97" s="17" t="s">
        <v>75</v>
      </c>
      <c r="BG97" s="17" t="s">
        <v>322</v>
      </c>
      <c r="BH97" s="17" t="s">
        <v>322</v>
      </c>
      <c r="BI97" s="17" t="s">
        <v>322</v>
      </c>
    </row>
    <row r="98" spans="2:61" x14ac:dyDescent="0.3">
      <c r="B98" s="15" t="s">
        <v>512</v>
      </c>
      <c r="C98" s="17" t="s">
        <v>616</v>
      </c>
      <c r="D98" s="17" t="s">
        <v>617</v>
      </c>
      <c r="E98" s="130" t="s">
        <v>616</v>
      </c>
      <c r="F98" s="17" t="s">
        <v>617</v>
      </c>
      <c r="G98" s="17" t="s">
        <v>619</v>
      </c>
      <c r="J98" t="s">
        <v>328</v>
      </c>
      <c r="K98" s="17" t="s">
        <v>322</v>
      </c>
      <c r="L98" s="17" t="s">
        <v>75</v>
      </c>
      <c r="M98" s="17" t="s">
        <v>322</v>
      </c>
      <c r="N98" s="17" t="s">
        <v>322</v>
      </c>
      <c r="O98" s="17" t="s">
        <v>322</v>
      </c>
      <c r="Y98" s="15" t="s">
        <v>326</v>
      </c>
      <c r="Z98" s="17" t="s">
        <v>619</v>
      </c>
      <c r="AA98" s="17" t="s">
        <v>620</v>
      </c>
      <c r="AB98" s="17" t="s">
        <v>616</v>
      </c>
      <c r="AC98" s="17" t="s">
        <v>609</v>
      </c>
      <c r="AD98" s="17" t="s">
        <v>620</v>
      </c>
      <c r="AG98" t="s">
        <v>328</v>
      </c>
      <c r="AH98" s="17" t="s">
        <v>322</v>
      </c>
      <c r="AI98" s="17" t="s">
        <v>75</v>
      </c>
      <c r="AJ98" s="17" t="s">
        <v>322</v>
      </c>
      <c r="AK98" s="17" t="s">
        <v>322</v>
      </c>
      <c r="AL98" s="17" t="s">
        <v>322</v>
      </c>
      <c r="AV98" s="15" t="s">
        <v>326</v>
      </c>
      <c r="AW98" s="17" t="s">
        <v>619</v>
      </c>
      <c r="AX98" s="17" t="s">
        <v>621</v>
      </c>
      <c r="AY98" s="17" t="s">
        <v>616</v>
      </c>
      <c r="AZ98" s="17" t="s">
        <v>609</v>
      </c>
      <c r="BA98" s="17" t="s">
        <v>619</v>
      </c>
      <c r="BD98" t="s">
        <v>517</v>
      </c>
      <c r="BE98" s="17" t="s">
        <v>322</v>
      </c>
      <c r="BF98" s="17" t="s">
        <v>322</v>
      </c>
      <c r="BG98" s="17" t="s">
        <v>322</v>
      </c>
      <c r="BH98" s="17" t="s">
        <v>75</v>
      </c>
      <c r="BI98" s="17" t="s">
        <v>322</v>
      </c>
    </row>
    <row r="99" spans="2:61" x14ac:dyDescent="0.3">
      <c r="B99" s="15" t="s">
        <v>514</v>
      </c>
      <c r="C99" s="17" t="s">
        <v>616</v>
      </c>
      <c r="D99" s="17" t="s">
        <v>617</v>
      </c>
      <c r="E99" s="130" t="s">
        <v>616</v>
      </c>
      <c r="F99" s="17" t="s">
        <v>617</v>
      </c>
      <c r="G99" s="17" t="s">
        <v>619</v>
      </c>
      <c r="Y99" s="15" t="s">
        <v>328</v>
      </c>
      <c r="Z99" s="17" t="s">
        <v>619</v>
      </c>
      <c r="AA99" s="17" t="s">
        <v>620</v>
      </c>
      <c r="AB99" s="17" t="s">
        <v>616</v>
      </c>
      <c r="AC99" s="17" t="s">
        <v>609</v>
      </c>
      <c r="AD99" s="17" t="s">
        <v>618</v>
      </c>
      <c r="AV99" s="15" t="s">
        <v>328</v>
      </c>
      <c r="AW99" s="17" t="s">
        <v>619</v>
      </c>
      <c r="AX99" s="17" t="s">
        <v>621</v>
      </c>
      <c r="AY99" s="17" t="s">
        <v>616</v>
      </c>
      <c r="AZ99" s="17" t="s">
        <v>621</v>
      </c>
      <c r="BA99" s="17" t="s">
        <v>619</v>
      </c>
      <c r="BD99" t="s">
        <v>326</v>
      </c>
      <c r="BE99" s="17" t="s">
        <v>322</v>
      </c>
      <c r="BF99" s="17" t="s">
        <v>322</v>
      </c>
      <c r="BG99" s="17" t="s">
        <v>322</v>
      </c>
      <c r="BH99" s="17" t="s">
        <v>75</v>
      </c>
      <c r="BI99" s="17" t="s">
        <v>322</v>
      </c>
    </row>
    <row r="100" spans="2:61" x14ac:dyDescent="0.3">
      <c r="B100" s="15" t="s">
        <v>517</v>
      </c>
      <c r="C100" s="17" t="s">
        <v>616</v>
      </c>
      <c r="D100" s="130" t="s">
        <v>626</v>
      </c>
      <c r="E100" s="130" t="s">
        <v>616</v>
      </c>
      <c r="F100" s="17" t="s">
        <v>617</v>
      </c>
      <c r="G100" s="130" t="s">
        <v>626</v>
      </c>
      <c r="J100" t="s">
        <v>623</v>
      </c>
      <c r="Y100" s="15" t="s">
        <v>350</v>
      </c>
      <c r="Z100" s="17" t="s">
        <v>619</v>
      </c>
      <c r="AA100" s="17" t="s">
        <v>609</v>
      </c>
      <c r="AB100" s="17" t="s">
        <v>622</v>
      </c>
      <c r="AC100" s="17" t="s">
        <v>322</v>
      </c>
      <c r="AD100" s="17" t="s">
        <v>618</v>
      </c>
      <c r="AG100" t="s">
        <v>623</v>
      </c>
      <c r="AV100" s="15" t="s">
        <v>350</v>
      </c>
      <c r="AW100" s="17" t="s">
        <v>619</v>
      </c>
      <c r="AX100" s="17" t="s">
        <v>609</v>
      </c>
      <c r="AY100" s="17" t="s">
        <v>322</v>
      </c>
      <c r="AZ100" s="17" t="s">
        <v>621</v>
      </c>
      <c r="BA100" s="17" t="s">
        <v>622</v>
      </c>
      <c r="BD100" t="s">
        <v>328</v>
      </c>
      <c r="BE100" s="17" t="s">
        <v>322</v>
      </c>
      <c r="BF100" s="17" t="s">
        <v>322</v>
      </c>
      <c r="BG100" s="17" t="s">
        <v>322</v>
      </c>
      <c r="BH100" s="17" t="s">
        <v>75</v>
      </c>
      <c r="BI100" s="17" t="s">
        <v>322</v>
      </c>
    </row>
    <row r="101" spans="2:61" x14ac:dyDescent="0.3">
      <c r="B101" s="15" t="s">
        <v>326</v>
      </c>
      <c r="C101" s="17" t="s">
        <v>619</v>
      </c>
      <c r="D101" s="130" t="s">
        <v>626</v>
      </c>
      <c r="E101" s="130" t="s">
        <v>618</v>
      </c>
      <c r="F101" s="17" t="s">
        <v>609</v>
      </c>
      <c r="G101" s="130" t="s">
        <v>626</v>
      </c>
      <c r="K101" s="17" t="s">
        <v>315</v>
      </c>
      <c r="L101" s="17" t="s">
        <v>316</v>
      </c>
      <c r="M101" s="17" t="s">
        <v>317</v>
      </c>
      <c r="N101" s="17" t="s">
        <v>318</v>
      </c>
      <c r="O101" s="17" t="s">
        <v>319</v>
      </c>
      <c r="AA101" s="130"/>
      <c r="AB101" s="130"/>
      <c r="AH101" s="17" t="s">
        <v>315</v>
      </c>
      <c r="AI101" s="17" t="s">
        <v>316</v>
      </c>
      <c r="AJ101" s="17" t="s">
        <v>317</v>
      </c>
      <c r="AK101" s="17" t="s">
        <v>318</v>
      </c>
      <c r="AL101" s="17" t="s">
        <v>319</v>
      </c>
    </row>
    <row r="102" spans="2:61" x14ac:dyDescent="0.3">
      <c r="B102" s="15" t="s">
        <v>328</v>
      </c>
      <c r="C102" s="17" t="s">
        <v>619</v>
      </c>
      <c r="D102" s="130" t="s">
        <v>626</v>
      </c>
      <c r="E102" s="130" t="s">
        <v>618</v>
      </c>
      <c r="F102" s="17" t="s">
        <v>609</v>
      </c>
      <c r="G102" s="130" t="s">
        <v>622</v>
      </c>
      <c r="J102" t="s">
        <v>514</v>
      </c>
      <c r="K102" s="17" t="s">
        <v>322</v>
      </c>
      <c r="L102" s="17" t="s">
        <v>104</v>
      </c>
      <c r="M102" s="17" t="s">
        <v>322</v>
      </c>
      <c r="N102" s="17" t="s">
        <v>322</v>
      </c>
      <c r="O102" s="17" t="s">
        <v>322</v>
      </c>
      <c r="Y102" s="15" t="s">
        <v>624</v>
      </c>
      <c r="AG102" t="s">
        <v>514</v>
      </c>
      <c r="AH102" s="17" t="s">
        <v>322</v>
      </c>
      <c r="AI102" s="17" t="s">
        <v>104</v>
      </c>
      <c r="AJ102" s="17" t="s">
        <v>322</v>
      </c>
      <c r="AK102" s="17" t="s">
        <v>322</v>
      </c>
      <c r="AL102" s="17" t="s">
        <v>322</v>
      </c>
      <c r="AV102" s="15" t="s">
        <v>624</v>
      </c>
      <c r="BD102" t="s">
        <v>623</v>
      </c>
    </row>
    <row r="103" spans="2:61" x14ac:dyDescent="0.3">
      <c r="B103" s="15" t="s">
        <v>350</v>
      </c>
      <c r="C103" s="17" t="s">
        <v>619</v>
      </c>
      <c r="D103" s="17" t="s">
        <v>609</v>
      </c>
      <c r="E103" s="17" t="s">
        <v>322</v>
      </c>
      <c r="F103" s="130" t="s">
        <v>618</v>
      </c>
      <c r="G103" s="130" t="s">
        <v>622</v>
      </c>
      <c r="J103" t="s">
        <v>517</v>
      </c>
      <c r="K103" s="17" t="s">
        <v>322</v>
      </c>
      <c r="L103" s="17" t="s">
        <v>104</v>
      </c>
      <c r="M103" s="17" t="s">
        <v>322</v>
      </c>
      <c r="N103" s="17" t="s">
        <v>104</v>
      </c>
      <c r="O103" s="17" t="s">
        <v>104</v>
      </c>
      <c r="Z103" s="17" t="s">
        <v>315</v>
      </c>
      <c r="AA103" s="17" t="s">
        <v>316</v>
      </c>
      <c r="AB103" s="17" t="s">
        <v>317</v>
      </c>
      <c r="AC103" s="17" t="s">
        <v>318</v>
      </c>
      <c r="AD103" s="17" t="s">
        <v>319</v>
      </c>
      <c r="AG103" t="s">
        <v>517</v>
      </c>
      <c r="AH103" s="17" t="s">
        <v>322</v>
      </c>
      <c r="AI103" s="17" t="s">
        <v>104</v>
      </c>
      <c r="AJ103" s="17" t="s">
        <v>322</v>
      </c>
      <c r="AK103" s="17" t="s">
        <v>104</v>
      </c>
      <c r="AL103" s="17" t="s">
        <v>104</v>
      </c>
      <c r="AW103" s="17" t="s">
        <v>315</v>
      </c>
      <c r="AX103" s="17" t="s">
        <v>316</v>
      </c>
      <c r="AY103" s="17" t="s">
        <v>317</v>
      </c>
      <c r="AZ103" s="17" t="s">
        <v>318</v>
      </c>
      <c r="BA103" s="17" t="s">
        <v>319</v>
      </c>
      <c r="BE103" s="17" t="s">
        <v>315</v>
      </c>
      <c r="BF103" s="17" t="s">
        <v>316</v>
      </c>
      <c r="BG103" s="17" t="s">
        <v>317</v>
      </c>
      <c r="BH103" s="17" t="s">
        <v>318</v>
      </c>
      <c r="BI103" s="17" t="s">
        <v>319</v>
      </c>
    </row>
    <row r="104" spans="2:61" x14ac:dyDescent="0.3">
      <c r="B104" s="156" t="s">
        <v>776</v>
      </c>
      <c r="C104" s="17" t="s">
        <v>322</v>
      </c>
      <c r="D104" s="130" t="s">
        <v>609</v>
      </c>
      <c r="E104" s="17" t="s">
        <v>322</v>
      </c>
      <c r="F104" s="130" t="s">
        <v>618</v>
      </c>
      <c r="G104" s="17" t="s">
        <v>322</v>
      </c>
      <c r="J104" t="s">
        <v>326</v>
      </c>
      <c r="K104" s="17" t="s">
        <v>322</v>
      </c>
      <c r="L104" s="17" t="s">
        <v>322</v>
      </c>
      <c r="M104" s="17" t="s">
        <v>322</v>
      </c>
      <c r="N104" s="17" t="s">
        <v>104</v>
      </c>
      <c r="O104" s="17" t="s">
        <v>104</v>
      </c>
      <c r="Y104" s="15" t="s">
        <v>512</v>
      </c>
      <c r="Z104" s="17" t="s">
        <v>625</v>
      </c>
      <c r="AA104" s="17" t="s">
        <v>626</v>
      </c>
      <c r="AB104" s="17" t="s">
        <v>627</v>
      </c>
      <c r="AC104" s="17" t="s">
        <v>626</v>
      </c>
      <c r="AD104" s="17" t="s">
        <v>618</v>
      </c>
      <c r="AG104" t="s">
        <v>326</v>
      </c>
      <c r="AH104" s="17" t="s">
        <v>322</v>
      </c>
      <c r="AI104" s="17" t="s">
        <v>322</v>
      </c>
      <c r="AJ104" s="17" t="s">
        <v>322</v>
      </c>
      <c r="AK104" s="17" t="s">
        <v>104</v>
      </c>
      <c r="AL104" s="17" t="s">
        <v>104</v>
      </c>
      <c r="AV104" s="15" t="s">
        <v>512</v>
      </c>
      <c r="AW104" s="17" t="s">
        <v>625</v>
      </c>
      <c r="AX104" s="17" t="s">
        <v>617</v>
      </c>
      <c r="AY104" s="17" t="s">
        <v>627</v>
      </c>
      <c r="AZ104" s="17" t="s">
        <v>617</v>
      </c>
      <c r="BA104" s="17" t="s">
        <v>322</v>
      </c>
      <c r="BD104" t="s">
        <v>514</v>
      </c>
      <c r="BE104" s="17" t="s">
        <v>322</v>
      </c>
      <c r="BF104" s="17" t="s">
        <v>104</v>
      </c>
      <c r="BG104" s="17" t="s">
        <v>104</v>
      </c>
      <c r="BH104" s="17" t="s">
        <v>322</v>
      </c>
      <c r="BI104" s="17" t="s">
        <v>322</v>
      </c>
    </row>
    <row r="105" spans="2:61" x14ac:dyDescent="0.3">
      <c r="J105" t="s">
        <v>573</v>
      </c>
      <c r="K105" s="17" t="s">
        <v>322</v>
      </c>
      <c r="L105" s="17" t="s">
        <v>104</v>
      </c>
      <c r="M105" s="17" t="s">
        <v>322</v>
      </c>
      <c r="N105" s="17" t="s">
        <v>322</v>
      </c>
      <c r="O105" s="17" t="s">
        <v>322</v>
      </c>
      <c r="Y105" s="15" t="s">
        <v>514</v>
      </c>
      <c r="Z105" s="17" t="s">
        <v>625</v>
      </c>
      <c r="AA105" s="17" t="s">
        <v>626</v>
      </c>
      <c r="AB105" s="17" t="s">
        <v>627</v>
      </c>
      <c r="AC105" s="17" t="s">
        <v>626</v>
      </c>
      <c r="AD105" s="17" t="s">
        <v>618</v>
      </c>
      <c r="AG105" t="s">
        <v>573</v>
      </c>
      <c r="AH105" s="17" t="s">
        <v>322</v>
      </c>
      <c r="AI105" s="17" t="s">
        <v>104</v>
      </c>
      <c r="AJ105" s="17" t="s">
        <v>322</v>
      </c>
      <c r="AK105" s="17" t="s">
        <v>322</v>
      </c>
      <c r="AL105" s="17" t="s">
        <v>322</v>
      </c>
      <c r="AV105" s="15" t="s">
        <v>514</v>
      </c>
      <c r="AW105" s="17" t="s">
        <v>625</v>
      </c>
      <c r="AX105" s="17" t="s">
        <v>617</v>
      </c>
      <c r="AY105" s="17" t="s">
        <v>627</v>
      </c>
      <c r="AZ105" s="17" t="s">
        <v>617</v>
      </c>
      <c r="BA105" s="17" t="s">
        <v>627</v>
      </c>
      <c r="BD105" t="s">
        <v>517</v>
      </c>
      <c r="BE105" s="17" t="s">
        <v>322</v>
      </c>
      <c r="BF105" s="17" t="s">
        <v>104</v>
      </c>
      <c r="BG105" s="17" t="s">
        <v>104</v>
      </c>
      <c r="BH105" s="17" t="s">
        <v>104</v>
      </c>
      <c r="BI105" s="17" t="s">
        <v>322</v>
      </c>
    </row>
    <row r="106" spans="2:61" x14ac:dyDescent="0.3">
      <c r="B106" s="15" t="s">
        <v>624</v>
      </c>
      <c r="D106" s="163"/>
      <c r="J106" t="s">
        <v>561</v>
      </c>
      <c r="K106" s="17" t="s">
        <v>322</v>
      </c>
      <c r="L106" s="17" t="s">
        <v>104</v>
      </c>
      <c r="M106" s="17" t="s">
        <v>322</v>
      </c>
      <c r="N106" s="17" t="s">
        <v>322</v>
      </c>
      <c r="O106" s="17" t="s">
        <v>322</v>
      </c>
      <c r="Y106" s="15" t="s">
        <v>517</v>
      </c>
      <c r="Z106" s="17" t="s">
        <v>625</v>
      </c>
      <c r="AA106" s="17" t="s">
        <v>609</v>
      </c>
      <c r="AB106" s="17" t="s">
        <v>625</v>
      </c>
      <c r="AC106" s="17" t="s">
        <v>626</v>
      </c>
      <c r="AD106" s="17" t="s">
        <v>627</v>
      </c>
      <c r="AG106" t="s">
        <v>561</v>
      </c>
      <c r="AH106" s="17" t="s">
        <v>322</v>
      </c>
      <c r="AI106" s="17" t="s">
        <v>104</v>
      </c>
      <c r="AJ106" s="17" t="s">
        <v>322</v>
      </c>
      <c r="AK106" s="17" t="s">
        <v>322</v>
      </c>
      <c r="AL106" s="17" t="s">
        <v>322</v>
      </c>
      <c r="AV106" s="15" t="s">
        <v>517</v>
      </c>
      <c r="AW106" s="17" t="s">
        <v>625</v>
      </c>
      <c r="AX106" s="17" t="s">
        <v>609</v>
      </c>
      <c r="AY106" s="17" t="s">
        <v>625</v>
      </c>
      <c r="AZ106" s="17" t="s">
        <v>617</v>
      </c>
      <c r="BA106" s="17" t="s">
        <v>627</v>
      </c>
      <c r="BD106" t="s">
        <v>326</v>
      </c>
      <c r="BE106" s="17" t="s">
        <v>322</v>
      </c>
      <c r="BF106" s="17" t="s">
        <v>322</v>
      </c>
      <c r="BG106" s="17" t="s">
        <v>322</v>
      </c>
      <c r="BH106" s="17" t="s">
        <v>104</v>
      </c>
      <c r="BI106" s="17" t="s">
        <v>322</v>
      </c>
    </row>
    <row r="107" spans="2:61" x14ac:dyDescent="0.3">
      <c r="C107" s="17" t="s">
        <v>315</v>
      </c>
      <c r="D107" s="17" t="s">
        <v>316</v>
      </c>
      <c r="E107" s="17" t="s">
        <v>317</v>
      </c>
      <c r="F107" s="17" t="s">
        <v>318</v>
      </c>
      <c r="G107" s="17" t="s">
        <v>319</v>
      </c>
      <c r="Y107" s="15" t="s">
        <v>326</v>
      </c>
      <c r="Z107" s="17" t="s">
        <v>621</v>
      </c>
      <c r="AA107" s="17" t="s">
        <v>609</v>
      </c>
      <c r="AB107" s="17" t="s">
        <v>625</v>
      </c>
      <c r="AC107" s="17" t="s">
        <v>621</v>
      </c>
      <c r="AD107" s="17" t="s">
        <v>627</v>
      </c>
      <c r="AV107" s="15" t="s">
        <v>326</v>
      </c>
      <c r="AW107" s="17" t="s">
        <v>626</v>
      </c>
      <c r="AX107" s="17" t="s">
        <v>609</v>
      </c>
      <c r="AY107" s="17" t="s">
        <v>625</v>
      </c>
      <c r="AZ107" s="17" t="s">
        <v>626</v>
      </c>
      <c r="BA107" s="17" t="s">
        <v>627</v>
      </c>
      <c r="BD107" t="s">
        <v>543</v>
      </c>
      <c r="BE107" s="17" t="s">
        <v>322</v>
      </c>
      <c r="BF107" s="17" t="s">
        <v>322</v>
      </c>
      <c r="BG107" s="17" t="s">
        <v>322</v>
      </c>
      <c r="BH107" s="17" t="s">
        <v>104</v>
      </c>
      <c r="BI107" s="17" t="s">
        <v>322</v>
      </c>
    </row>
    <row r="108" spans="2:61" x14ac:dyDescent="0.3">
      <c r="B108" s="15" t="s">
        <v>512</v>
      </c>
      <c r="C108" s="17" t="s">
        <v>625</v>
      </c>
      <c r="D108" s="130" t="s">
        <v>928</v>
      </c>
      <c r="E108" s="17" t="s">
        <v>627</v>
      </c>
      <c r="F108" s="130" t="s">
        <v>928</v>
      </c>
      <c r="G108" s="17" t="s">
        <v>618</v>
      </c>
      <c r="J108" t="s">
        <v>628</v>
      </c>
      <c r="Y108" s="15" t="s">
        <v>328</v>
      </c>
      <c r="Z108" s="17" t="s">
        <v>621</v>
      </c>
      <c r="AA108" s="17" t="s">
        <v>618</v>
      </c>
      <c r="AB108" s="17" t="s">
        <v>625</v>
      </c>
      <c r="AC108" s="17" t="s">
        <v>621</v>
      </c>
      <c r="AD108" s="17" t="s">
        <v>627</v>
      </c>
      <c r="AG108" t="s">
        <v>628</v>
      </c>
      <c r="AV108" s="15" t="s">
        <v>328</v>
      </c>
      <c r="AW108" s="17" t="s">
        <v>626</v>
      </c>
      <c r="AX108" s="17" t="s">
        <v>618</v>
      </c>
      <c r="AY108" s="17" t="s">
        <v>625</v>
      </c>
      <c r="AZ108" s="17" t="s">
        <v>626</v>
      </c>
      <c r="BA108" s="17" t="s">
        <v>618</v>
      </c>
      <c r="BD108" t="s">
        <v>573</v>
      </c>
      <c r="BE108" s="17" t="s">
        <v>322</v>
      </c>
      <c r="BF108" s="17" t="s">
        <v>322</v>
      </c>
      <c r="BG108" s="17" t="s">
        <v>322</v>
      </c>
      <c r="BH108" s="17" t="s">
        <v>104</v>
      </c>
      <c r="BI108" s="17" t="s">
        <v>322</v>
      </c>
    </row>
    <row r="109" spans="2:61" x14ac:dyDescent="0.3">
      <c r="B109" s="15" t="s">
        <v>514</v>
      </c>
      <c r="C109" s="17" t="s">
        <v>625</v>
      </c>
      <c r="D109" s="130" t="s">
        <v>928</v>
      </c>
      <c r="E109" s="17" t="s">
        <v>627</v>
      </c>
      <c r="F109" s="130" t="s">
        <v>928</v>
      </c>
      <c r="G109" s="17" t="s">
        <v>618</v>
      </c>
      <c r="K109" s="17" t="s">
        <v>315</v>
      </c>
      <c r="L109" s="17" t="s">
        <v>316</v>
      </c>
      <c r="M109" s="17" t="s">
        <v>317</v>
      </c>
      <c r="N109" s="17" t="s">
        <v>318</v>
      </c>
      <c r="O109" s="17" t="s">
        <v>319</v>
      </c>
      <c r="Y109" s="15" t="s">
        <v>350</v>
      </c>
      <c r="Z109" s="17" t="s">
        <v>621</v>
      </c>
      <c r="AA109" s="17" t="s">
        <v>618</v>
      </c>
      <c r="AB109" s="17" t="s">
        <v>322</v>
      </c>
      <c r="AC109" s="17" t="s">
        <v>609</v>
      </c>
      <c r="AD109" s="17" t="s">
        <v>622</v>
      </c>
      <c r="AH109" s="17" t="s">
        <v>315</v>
      </c>
      <c r="AI109" s="17" t="s">
        <v>316</v>
      </c>
      <c r="AJ109" s="17" t="s">
        <v>317</v>
      </c>
      <c r="AK109" s="17" t="s">
        <v>318</v>
      </c>
      <c r="AL109" s="17" t="s">
        <v>319</v>
      </c>
      <c r="AV109" s="15" t="s">
        <v>350</v>
      </c>
      <c r="AW109" s="17" t="s">
        <v>626</v>
      </c>
      <c r="AX109" s="17" t="s">
        <v>618</v>
      </c>
      <c r="AY109" s="17" t="s">
        <v>622</v>
      </c>
      <c r="AZ109" s="17" t="s">
        <v>609</v>
      </c>
      <c r="BA109" s="17" t="s">
        <v>618</v>
      </c>
    </row>
    <row r="110" spans="2:61" x14ac:dyDescent="0.3">
      <c r="B110" s="15" t="s">
        <v>517</v>
      </c>
      <c r="C110" s="17" t="s">
        <v>625</v>
      </c>
      <c r="D110" s="17" t="s">
        <v>609</v>
      </c>
      <c r="E110" s="17" t="s">
        <v>625</v>
      </c>
      <c r="F110" s="130" t="s">
        <v>928</v>
      </c>
      <c r="G110" s="17" t="s">
        <v>627</v>
      </c>
      <c r="J110" t="s">
        <v>573</v>
      </c>
      <c r="K110" s="17" t="s">
        <v>322</v>
      </c>
      <c r="L110" s="17" t="s">
        <v>322</v>
      </c>
      <c r="M110" s="17" t="s">
        <v>322</v>
      </c>
      <c r="N110" s="17" t="s">
        <v>322</v>
      </c>
      <c r="O110" s="17" t="s">
        <v>228</v>
      </c>
      <c r="AC110" s="130"/>
      <c r="AD110" s="130"/>
      <c r="AG110" t="s">
        <v>573</v>
      </c>
      <c r="AH110" s="17" t="s">
        <v>322</v>
      </c>
      <c r="AI110" s="17" t="s">
        <v>322</v>
      </c>
      <c r="AJ110" s="17" t="s">
        <v>322</v>
      </c>
      <c r="AK110" s="17" t="s">
        <v>322</v>
      </c>
      <c r="AL110" s="17" t="s">
        <v>228</v>
      </c>
      <c r="BD110" t="s">
        <v>628</v>
      </c>
    </row>
    <row r="111" spans="2:61" x14ac:dyDescent="0.3">
      <c r="B111" s="15" t="s">
        <v>326</v>
      </c>
      <c r="C111" s="17" t="s">
        <v>621</v>
      </c>
      <c r="D111" s="17" t="s">
        <v>609</v>
      </c>
      <c r="E111" s="17" t="s">
        <v>625</v>
      </c>
      <c r="F111" s="17" t="s">
        <v>621</v>
      </c>
      <c r="G111" s="17" t="s">
        <v>627</v>
      </c>
      <c r="J111" t="s">
        <v>561</v>
      </c>
      <c r="K111" s="17" t="s">
        <v>322</v>
      </c>
      <c r="L111" s="17" t="s">
        <v>322</v>
      </c>
      <c r="M111" s="17" t="s">
        <v>322</v>
      </c>
      <c r="N111" s="17" t="s">
        <v>322</v>
      </c>
      <c r="O111" s="17" t="s">
        <v>228</v>
      </c>
      <c r="Y111" s="15" t="s">
        <v>629</v>
      </c>
      <c r="AG111" t="s">
        <v>561</v>
      </c>
      <c r="AH111" s="17" t="s">
        <v>322</v>
      </c>
      <c r="AI111" s="17" t="s">
        <v>322</v>
      </c>
      <c r="AJ111" s="17" t="s">
        <v>322</v>
      </c>
      <c r="AK111" s="17" t="s">
        <v>322</v>
      </c>
      <c r="AL111" s="17" t="s">
        <v>228</v>
      </c>
      <c r="AV111" s="15" t="s">
        <v>629</v>
      </c>
      <c r="BE111" s="17" t="s">
        <v>315</v>
      </c>
      <c r="BF111" s="17" t="s">
        <v>316</v>
      </c>
      <c r="BG111" s="17" t="s">
        <v>317</v>
      </c>
      <c r="BH111" s="17" t="s">
        <v>318</v>
      </c>
      <c r="BI111" s="17" t="s">
        <v>319</v>
      </c>
    </row>
    <row r="112" spans="2:61" x14ac:dyDescent="0.3">
      <c r="B112" s="15" t="s">
        <v>328</v>
      </c>
      <c r="C112" s="17" t="s">
        <v>621</v>
      </c>
      <c r="D112" s="17" t="s">
        <v>618</v>
      </c>
      <c r="E112" s="17" t="s">
        <v>625</v>
      </c>
      <c r="F112" s="17" t="s">
        <v>621</v>
      </c>
      <c r="G112" s="17" t="s">
        <v>627</v>
      </c>
      <c r="J112" t="s">
        <v>551</v>
      </c>
      <c r="K112" s="17" t="s">
        <v>322</v>
      </c>
      <c r="L112" s="17" t="s">
        <v>322</v>
      </c>
      <c r="M112" s="17" t="s">
        <v>322</v>
      </c>
      <c r="N112" s="17" t="s">
        <v>322</v>
      </c>
      <c r="O112" s="17" t="s">
        <v>292</v>
      </c>
      <c r="Z112" s="17" t="s">
        <v>315</v>
      </c>
      <c r="AA112" s="17" t="s">
        <v>316</v>
      </c>
      <c r="AB112" s="17" t="s">
        <v>317</v>
      </c>
      <c r="AC112" s="17" t="s">
        <v>318</v>
      </c>
      <c r="AD112" s="17" t="s">
        <v>319</v>
      </c>
      <c r="AG112" t="s">
        <v>551</v>
      </c>
      <c r="AH112" s="17" t="s">
        <v>322</v>
      </c>
      <c r="AI112" s="17" t="s">
        <v>228</v>
      </c>
      <c r="AJ112" s="17" t="s">
        <v>322</v>
      </c>
      <c r="AK112" s="17" t="s">
        <v>322</v>
      </c>
      <c r="AL112" s="17" t="s">
        <v>292</v>
      </c>
      <c r="AW112" s="17" t="s">
        <v>315</v>
      </c>
      <c r="AX112" s="17" t="s">
        <v>316</v>
      </c>
      <c r="AY112" s="17" t="s">
        <v>317</v>
      </c>
      <c r="AZ112" s="17" t="s">
        <v>318</v>
      </c>
      <c r="BA112" s="17" t="s">
        <v>319</v>
      </c>
      <c r="BD112" t="s">
        <v>573</v>
      </c>
      <c r="BE112" s="17" t="s">
        <v>322</v>
      </c>
      <c r="BF112" s="17" t="s">
        <v>322</v>
      </c>
      <c r="BG112" s="17" t="s">
        <v>322</v>
      </c>
      <c r="BH112" s="17" t="s">
        <v>322</v>
      </c>
      <c r="BI112" s="17" t="s">
        <v>228</v>
      </c>
    </row>
    <row r="113" spans="2:61" x14ac:dyDescent="0.3">
      <c r="B113" s="15" t="s">
        <v>350</v>
      </c>
      <c r="C113" s="17" t="s">
        <v>621</v>
      </c>
      <c r="D113" s="17" t="s">
        <v>618</v>
      </c>
      <c r="E113" s="17" t="s">
        <v>622</v>
      </c>
      <c r="F113" s="17" t="s">
        <v>609</v>
      </c>
      <c r="G113" s="17" t="s">
        <v>322</v>
      </c>
      <c r="J113" t="s">
        <v>552</v>
      </c>
      <c r="K113" s="17" t="s">
        <v>322</v>
      </c>
      <c r="L113" s="17" t="s">
        <v>322</v>
      </c>
      <c r="M113" s="17" t="s">
        <v>322</v>
      </c>
      <c r="N113" s="130" t="s">
        <v>228</v>
      </c>
      <c r="O113" s="17" t="s">
        <v>292</v>
      </c>
      <c r="Y113" s="15" t="s">
        <v>512</v>
      </c>
      <c r="Z113" s="17" t="s">
        <v>625</v>
      </c>
      <c r="AA113" s="17" t="s">
        <v>626</v>
      </c>
      <c r="AB113" s="17" t="s">
        <v>603</v>
      </c>
      <c r="AC113" s="17" t="s">
        <v>626</v>
      </c>
      <c r="AD113" s="17" t="s">
        <v>630</v>
      </c>
      <c r="AG113" t="s">
        <v>552</v>
      </c>
      <c r="AH113" s="17" t="s">
        <v>322</v>
      </c>
      <c r="AI113" s="17" t="s">
        <v>228</v>
      </c>
      <c r="AJ113" s="17" t="s">
        <v>322</v>
      </c>
      <c r="AK113" s="17" t="s">
        <v>322</v>
      </c>
      <c r="AL113" s="17" t="s">
        <v>292</v>
      </c>
      <c r="AV113" s="15" t="s">
        <v>512</v>
      </c>
      <c r="AW113" s="17" t="s">
        <v>625</v>
      </c>
      <c r="AX113" s="17" t="s">
        <v>617</v>
      </c>
      <c r="AY113" s="17" t="s">
        <v>603</v>
      </c>
      <c r="AZ113" s="17" t="s">
        <v>617</v>
      </c>
      <c r="BA113" s="17" t="s">
        <v>630</v>
      </c>
      <c r="BD113" t="s">
        <v>561</v>
      </c>
      <c r="BE113" s="17" t="s">
        <v>322</v>
      </c>
      <c r="BF113" s="17" t="s">
        <v>322</v>
      </c>
      <c r="BG113" s="17" t="s">
        <v>322</v>
      </c>
      <c r="BH113" s="17" t="s">
        <v>322</v>
      </c>
      <c r="BI113" s="17" t="s">
        <v>228</v>
      </c>
    </row>
    <row r="114" spans="2:61" x14ac:dyDescent="0.3">
      <c r="B114" s="156" t="s">
        <v>776</v>
      </c>
      <c r="C114" s="17" t="s">
        <v>322</v>
      </c>
      <c r="D114" s="17" t="s">
        <v>322</v>
      </c>
      <c r="E114" s="130" t="s">
        <v>622</v>
      </c>
      <c r="F114" s="130" t="s">
        <v>609</v>
      </c>
      <c r="G114" s="17" t="s">
        <v>322</v>
      </c>
      <c r="J114" t="s">
        <v>554</v>
      </c>
      <c r="K114" s="17" t="s">
        <v>322</v>
      </c>
      <c r="L114" s="17" t="s">
        <v>322</v>
      </c>
      <c r="M114" s="17" t="s">
        <v>322</v>
      </c>
      <c r="N114" s="130" t="s">
        <v>228</v>
      </c>
      <c r="O114" s="17" t="s">
        <v>292</v>
      </c>
      <c r="Y114" s="15" t="s">
        <v>514</v>
      </c>
      <c r="Z114" s="17" t="s">
        <v>625</v>
      </c>
      <c r="AA114" s="17" t="s">
        <v>626</v>
      </c>
      <c r="AB114" s="17" t="s">
        <v>603</v>
      </c>
      <c r="AC114" s="17" t="s">
        <v>626</v>
      </c>
      <c r="AD114" s="17" t="s">
        <v>630</v>
      </c>
      <c r="AG114" t="s">
        <v>554</v>
      </c>
      <c r="AH114" s="17" t="s">
        <v>322</v>
      </c>
      <c r="AI114" s="17" t="s">
        <v>322</v>
      </c>
      <c r="AJ114" s="17" t="s">
        <v>322</v>
      </c>
      <c r="AK114" s="17" t="s">
        <v>322</v>
      </c>
      <c r="AL114" s="17" t="s">
        <v>292</v>
      </c>
      <c r="AV114" s="15" t="s">
        <v>514</v>
      </c>
      <c r="AW114" s="17" t="s">
        <v>625</v>
      </c>
      <c r="AX114" s="17" t="s">
        <v>617</v>
      </c>
      <c r="AY114" s="17" t="s">
        <v>603</v>
      </c>
      <c r="AZ114" s="17" t="s">
        <v>617</v>
      </c>
      <c r="BA114" s="17" t="s">
        <v>630</v>
      </c>
      <c r="BD114" t="s">
        <v>551</v>
      </c>
      <c r="BE114" s="17" t="s">
        <v>322</v>
      </c>
      <c r="BF114" s="17" t="s">
        <v>228</v>
      </c>
      <c r="BG114" s="17" t="s">
        <v>322</v>
      </c>
      <c r="BH114" s="17" t="s">
        <v>322</v>
      </c>
      <c r="BI114" s="17" t="s">
        <v>292</v>
      </c>
    </row>
    <row r="115" spans="2:61" x14ac:dyDescent="0.3">
      <c r="Y115" s="15" t="s">
        <v>517</v>
      </c>
      <c r="Z115" s="17" t="s">
        <v>625</v>
      </c>
      <c r="AA115" s="17" t="s">
        <v>609</v>
      </c>
      <c r="AB115" s="17" t="s">
        <v>625</v>
      </c>
      <c r="AC115" s="17" t="s">
        <v>626</v>
      </c>
      <c r="AD115" s="17" t="s">
        <v>630</v>
      </c>
      <c r="AV115" s="15" t="s">
        <v>517</v>
      </c>
      <c r="AW115" s="17" t="s">
        <v>625</v>
      </c>
      <c r="AX115" s="17" t="s">
        <v>609</v>
      </c>
      <c r="AY115" s="17" t="s">
        <v>625</v>
      </c>
      <c r="AZ115" s="17" t="s">
        <v>617</v>
      </c>
      <c r="BA115" s="17" t="s">
        <v>630</v>
      </c>
      <c r="BD115" t="s">
        <v>552</v>
      </c>
      <c r="BE115" s="17" t="s">
        <v>322</v>
      </c>
      <c r="BF115" s="17" t="s">
        <v>228</v>
      </c>
      <c r="BG115" s="17" t="s">
        <v>322</v>
      </c>
      <c r="BH115" s="17" t="s">
        <v>322</v>
      </c>
      <c r="BI115" s="17" t="s">
        <v>292</v>
      </c>
    </row>
    <row r="116" spans="2:61" x14ac:dyDescent="0.3">
      <c r="B116" s="15" t="s">
        <v>629</v>
      </c>
      <c r="J116" t="s">
        <v>631</v>
      </c>
      <c r="Y116" s="15" t="s">
        <v>326</v>
      </c>
      <c r="Z116" s="17" t="s">
        <v>621</v>
      </c>
      <c r="AA116" s="17" t="s">
        <v>609</v>
      </c>
      <c r="AB116" s="17" t="s">
        <v>625</v>
      </c>
      <c r="AC116" s="17" t="s">
        <v>621</v>
      </c>
      <c r="AD116" s="17" t="s">
        <v>608</v>
      </c>
      <c r="AG116" t="s">
        <v>631</v>
      </c>
      <c r="AV116" s="15" t="s">
        <v>326</v>
      </c>
      <c r="AW116" s="17" t="s">
        <v>626</v>
      </c>
      <c r="AX116" s="17" t="s">
        <v>609</v>
      </c>
      <c r="AY116" s="17" t="s">
        <v>625</v>
      </c>
      <c r="AZ116" s="17" t="s">
        <v>626</v>
      </c>
      <c r="BA116" s="17" t="s">
        <v>608</v>
      </c>
      <c r="BD116" t="s">
        <v>554</v>
      </c>
      <c r="BE116" s="17" t="s">
        <v>322</v>
      </c>
      <c r="BF116" s="17" t="s">
        <v>322</v>
      </c>
      <c r="BG116" s="17" t="s">
        <v>322</v>
      </c>
      <c r="BH116" s="17" t="s">
        <v>322</v>
      </c>
      <c r="BI116" s="17" t="s">
        <v>292</v>
      </c>
    </row>
    <row r="117" spans="2:61" x14ac:dyDescent="0.3">
      <c r="C117" s="17" t="s">
        <v>315</v>
      </c>
      <c r="D117" s="17" t="s">
        <v>316</v>
      </c>
      <c r="E117" s="17" t="s">
        <v>317</v>
      </c>
      <c r="F117" s="17" t="s">
        <v>318</v>
      </c>
      <c r="G117" s="17" t="s">
        <v>319</v>
      </c>
      <c r="K117" s="17" t="s">
        <v>315</v>
      </c>
      <c r="L117" s="17" t="s">
        <v>316</v>
      </c>
      <c r="M117" s="17" t="s">
        <v>317</v>
      </c>
      <c r="N117" s="17" t="s">
        <v>318</v>
      </c>
      <c r="O117" s="17" t="s">
        <v>319</v>
      </c>
      <c r="Y117" s="15" t="s">
        <v>328</v>
      </c>
      <c r="Z117" s="17" t="s">
        <v>621</v>
      </c>
      <c r="AA117" s="17" t="s">
        <v>608</v>
      </c>
      <c r="AB117" s="17" t="s">
        <v>625</v>
      </c>
      <c r="AC117" s="17" t="s">
        <v>621</v>
      </c>
      <c r="AD117" s="17" t="s">
        <v>608</v>
      </c>
      <c r="AH117" s="17" t="s">
        <v>315</v>
      </c>
      <c r="AI117" s="17" t="s">
        <v>316</v>
      </c>
      <c r="AJ117" s="17" t="s">
        <v>317</v>
      </c>
      <c r="AK117" s="17" t="s">
        <v>318</v>
      </c>
      <c r="AL117" s="17" t="s">
        <v>319</v>
      </c>
      <c r="AV117" s="15" t="s">
        <v>328</v>
      </c>
      <c r="AW117" s="17" t="s">
        <v>626</v>
      </c>
      <c r="AX117" s="17" t="s">
        <v>608</v>
      </c>
      <c r="AY117" s="17" t="s">
        <v>625</v>
      </c>
      <c r="AZ117" s="17" t="s">
        <v>626</v>
      </c>
      <c r="BA117" s="17" t="s">
        <v>608</v>
      </c>
    </row>
    <row r="118" spans="2:61" x14ac:dyDescent="0.3">
      <c r="B118" s="15" t="s">
        <v>512</v>
      </c>
      <c r="C118" s="17" t="s">
        <v>625</v>
      </c>
      <c r="D118" s="130" t="s">
        <v>928</v>
      </c>
      <c r="E118" s="17" t="s">
        <v>603</v>
      </c>
      <c r="F118" s="130" t="s">
        <v>928</v>
      </c>
      <c r="G118" s="17" t="s">
        <v>630</v>
      </c>
      <c r="J118" t="s">
        <v>561</v>
      </c>
      <c r="K118" s="17" t="s">
        <v>19</v>
      </c>
      <c r="L118" s="17" t="s">
        <v>322</v>
      </c>
      <c r="M118" s="17" t="s">
        <v>322</v>
      </c>
      <c r="N118" s="130" t="s">
        <v>19</v>
      </c>
      <c r="O118" s="17" t="s">
        <v>322</v>
      </c>
      <c r="Y118" s="15" t="s">
        <v>350</v>
      </c>
      <c r="Z118" s="17" t="s">
        <v>621</v>
      </c>
      <c r="AA118" s="17" t="s">
        <v>608</v>
      </c>
      <c r="AB118" s="17" t="s">
        <v>322</v>
      </c>
      <c r="AC118" s="17" t="s">
        <v>609</v>
      </c>
      <c r="AD118" s="17" t="s">
        <v>608</v>
      </c>
      <c r="AG118" t="s">
        <v>561</v>
      </c>
      <c r="AH118" s="17" t="s">
        <v>19</v>
      </c>
      <c r="AI118" s="17" t="s">
        <v>322</v>
      </c>
      <c r="AJ118" s="17" t="s">
        <v>322</v>
      </c>
      <c r="AK118" s="17" t="s">
        <v>19</v>
      </c>
      <c r="AL118" s="17" t="s">
        <v>322</v>
      </c>
      <c r="AV118" s="15" t="s">
        <v>350</v>
      </c>
      <c r="AW118" s="17" t="s">
        <v>626</v>
      </c>
      <c r="AX118" s="17" t="s">
        <v>608</v>
      </c>
      <c r="AY118" s="17" t="s">
        <v>322</v>
      </c>
      <c r="AZ118" s="17" t="s">
        <v>609</v>
      </c>
      <c r="BA118" s="17" t="s">
        <v>608</v>
      </c>
      <c r="BD118" t="s">
        <v>631</v>
      </c>
    </row>
    <row r="119" spans="2:61" x14ac:dyDescent="0.3">
      <c r="B119" s="15" t="s">
        <v>514</v>
      </c>
      <c r="C119" s="17" t="s">
        <v>625</v>
      </c>
      <c r="D119" s="130" t="s">
        <v>928</v>
      </c>
      <c r="E119" s="17" t="s">
        <v>603</v>
      </c>
      <c r="F119" s="130" t="s">
        <v>928</v>
      </c>
      <c r="G119" s="17" t="s">
        <v>630</v>
      </c>
      <c r="J119" t="s">
        <v>551</v>
      </c>
      <c r="K119" s="17" t="s">
        <v>19</v>
      </c>
      <c r="L119" s="17" t="s">
        <v>322</v>
      </c>
      <c r="M119" s="17" t="s">
        <v>322</v>
      </c>
      <c r="N119" s="130" t="s">
        <v>19</v>
      </c>
      <c r="O119" s="17" t="s">
        <v>322</v>
      </c>
      <c r="AC119" s="130"/>
      <c r="AG119" t="s">
        <v>551</v>
      </c>
      <c r="AH119" s="17" t="s">
        <v>19</v>
      </c>
      <c r="AI119" s="17" t="s">
        <v>322</v>
      </c>
      <c r="AJ119" s="17" t="s">
        <v>322</v>
      </c>
      <c r="AK119" s="17" t="s">
        <v>19</v>
      </c>
      <c r="AL119" s="17" t="s">
        <v>322</v>
      </c>
      <c r="BE119" s="17" t="s">
        <v>315</v>
      </c>
      <c r="BF119" s="17" t="s">
        <v>316</v>
      </c>
      <c r="BG119" s="17" t="s">
        <v>317</v>
      </c>
      <c r="BH119" s="17" t="s">
        <v>318</v>
      </c>
      <c r="BI119" s="17" t="s">
        <v>319</v>
      </c>
    </row>
    <row r="120" spans="2:61" x14ac:dyDescent="0.3">
      <c r="B120" s="15" t="s">
        <v>517</v>
      </c>
      <c r="C120" s="17" t="s">
        <v>625</v>
      </c>
      <c r="D120" s="17" t="s">
        <v>609</v>
      </c>
      <c r="E120" s="17" t="s">
        <v>625</v>
      </c>
      <c r="F120" s="130" t="s">
        <v>928</v>
      </c>
      <c r="G120" s="17" t="s">
        <v>630</v>
      </c>
      <c r="J120" t="s">
        <v>552</v>
      </c>
      <c r="K120" s="17" t="s">
        <v>19</v>
      </c>
      <c r="L120" s="17" t="s">
        <v>322</v>
      </c>
      <c r="M120" s="17" t="s">
        <v>322</v>
      </c>
      <c r="N120" s="17" t="s">
        <v>43</v>
      </c>
      <c r="O120" s="17" t="s">
        <v>322</v>
      </c>
      <c r="Y120" s="15" t="s">
        <v>632</v>
      </c>
      <c r="AG120" t="s">
        <v>552</v>
      </c>
      <c r="AH120" s="17" t="s">
        <v>19</v>
      </c>
      <c r="AI120" s="17" t="s">
        <v>322</v>
      </c>
      <c r="AJ120" s="17" t="s">
        <v>322</v>
      </c>
      <c r="AK120" s="17" t="s">
        <v>43</v>
      </c>
      <c r="AL120" s="17" t="s">
        <v>322</v>
      </c>
      <c r="AV120" s="15" t="s">
        <v>632</v>
      </c>
      <c r="BD120" t="s">
        <v>561</v>
      </c>
      <c r="BE120" s="17" t="s">
        <v>19</v>
      </c>
      <c r="BF120" s="17" t="s">
        <v>322</v>
      </c>
      <c r="BG120" s="17" t="s">
        <v>43</v>
      </c>
      <c r="BH120" s="17" t="s">
        <v>322</v>
      </c>
      <c r="BI120" s="17" t="s">
        <v>322</v>
      </c>
    </row>
    <row r="121" spans="2:61" x14ac:dyDescent="0.3">
      <c r="B121" s="15" t="s">
        <v>326</v>
      </c>
      <c r="C121" s="17" t="s">
        <v>621</v>
      </c>
      <c r="D121" s="17" t="s">
        <v>609</v>
      </c>
      <c r="E121" s="17" t="s">
        <v>625</v>
      </c>
      <c r="F121" s="17" t="s">
        <v>621</v>
      </c>
      <c r="G121" s="17" t="s">
        <v>608</v>
      </c>
      <c r="J121" t="s">
        <v>554</v>
      </c>
      <c r="K121" s="17" t="s">
        <v>43</v>
      </c>
      <c r="L121" s="17" t="s">
        <v>322</v>
      </c>
      <c r="M121" s="17" t="s">
        <v>322</v>
      </c>
      <c r="N121" s="17" t="s">
        <v>43</v>
      </c>
      <c r="O121" s="17" t="s">
        <v>322</v>
      </c>
      <c r="Z121" s="17" t="s">
        <v>315</v>
      </c>
      <c r="AA121" s="17" t="s">
        <v>316</v>
      </c>
      <c r="AB121" s="17" t="s">
        <v>317</v>
      </c>
      <c r="AC121" s="17" t="s">
        <v>318</v>
      </c>
      <c r="AD121" s="17" t="s">
        <v>319</v>
      </c>
      <c r="AG121" t="s">
        <v>554</v>
      </c>
      <c r="AH121" s="17" t="s">
        <v>43</v>
      </c>
      <c r="AI121" s="17" t="s">
        <v>322</v>
      </c>
      <c r="AJ121" s="17" t="s">
        <v>322</v>
      </c>
      <c r="AK121" s="17" t="s">
        <v>43</v>
      </c>
      <c r="AL121" s="17" t="s">
        <v>322</v>
      </c>
      <c r="AW121" s="17" t="s">
        <v>315</v>
      </c>
      <c r="AX121" s="17" t="s">
        <v>316</v>
      </c>
      <c r="AY121" s="17" t="s">
        <v>317</v>
      </c>
      <c r="AZ121" s="17" t="s">
        <v>318</v>
      </c>
      <c r="BA121" s="17" t="s">
        <v>319</v>
      </c>
      <c r="BD121" t="s">
        <v>551</v>
      </c>
      <c r="BE121" s="17" t="s">
        <v>19</v>
      </c>
      <c r="BF121" s="17" t="s">
        <v>322</v>
      </c>
      <c r="BG121" s="17" t="s">
        <v>43</v>
      </c>
      <c r="BH121" s="17" t="s">
        <v>322</v>
      </c>
      <c r="BI121" s="17" t="s">
        <v>322</v>
      </c>
    </row>
    <row r="122" spans="2:61" x14ac:dyDescent="0.3">
      <c r="B122" s="15" t="s">
        <v>328</v>
      </c>
      <c r="C122" s="17" t="s">
        <v>621</v>
      </c>
      <c r="D122" s="17" t="s">
        <v>608</v>
      </c>
      <c r="E122" s="17" t="s">
        <v>625</v>
      </c>
      <c r="F122" s="17" t="s">
        <v>621</v>
      </c>
      <c r="G122" s="17" t="s">
        <v>608</v>
      </c>
      <c r="J122" t="s">
        <v>586</v>
      </c>
      <c r="K122" s="17" t="s">
        <v>43</v>
      </c>
      <c r="L122" s="17" t="s">
        <v>322</v>
      </c>
      <c r="M122" s="17" t="s">
        <v>322</v>
      </c>
      <c r="N122" s="17" t="s">
        <v>43</v>
      </c>
      <c r="O122" s="17" t="s">
        <v>322</v>
      </c>
      <c r="Y122" s="15" t="s">
        <v>561</v>
      </c>
      <c r="Z122" s="17" t="s">
        <v>633</v>
      </c>
      <c r="AA122" s="17" t="s">
        <v>634</v>
      </c>
      <c r="AB122" s="17" t="s">
        <v>322</v>
      </c>
      <c r="AC122" s="17" t="s">
        <v>634</v>
      </c>
      <c r="AD122" s="17" t="s">
        <v>633</v>
      </c>
      <c r="AG122" t="s">
        <v>586</v>
      </c>
      <c r="AH122" s="17" t="s">
        <v>43</v>
      </c>
      <c r="AI122" s="17" t="s">
        <v>322</v>
      </c>
      <c r="AJ122" s="17" t="s">
        <v>322</v>
      </c>
      <c r="AK122" s="17" t="s">
        <v>43</v>
      </c>
      <c r="AL122" s="17" t="s">
        <v>322</v>
      </c>
      <c r="AV122" s="15" t="s">
        <v>561</v>
      </c>
      <c r="AW122" s="17" t="s">
        <v>635</v>
      </c>
      <c r="AX122" s="17" t="s">
        <v>634</v>
      </c>
      <c r="AY122" s="17" t="s">
        <v>636</v>
      </c>
      <c r="AZ122" s="17" t="s">
        <v>634</v>
      </c>
      <c r="BA122" s="17" t="s">
        <v>633</v>
      </c>
      <c r="BD122" t="s">
        <v>552</v>
      </c>
      <c r="BE122" s="17" t="s">
        <v>19</v>
      </c>
      <c r="BF122" s="17" t="s">
        <v>322</v>
      </c>
      <c r="BG122" s="17" t="s">
        <v>43</v>
      </c>
      <c r="BH122" s="17" t="s">
        <v>322</v>
      </c>
      <c r="BI122" s="17" t="s">
        <v>322</v>
      </c>
    </row>
    <row r="123" spans="2:61" x14ac:dyDescent="0.3">
      <c r="B123" s="15" t="s">
        <v>350</v>
      </c>
      <c r="C123" s="17" t="s">
        <v>621</v>
      </c>
      <c r="D123" s="17" t="s">
        <v>608</v>
      </c>
      <c r="E123" s="17" t="s">
        <v>322</v>
      </c>
      <c r="F123" s="17" t="s">
        <v>609</v>
      </c>
      <c r="G123" s="17" t="s">
        <v>608</v>
      </c>
      <c r="Y123" s="15" t="s">
        <v>551</v>
      </c>
      <c r="Z123" s="17" t="s">
        <v>633</v>
      </c>
      <c r="AA123" s="17" t="s">
        <v>634</v>
      </c>
      <c r="AB123" s="17" t="s">
        <v>637</v>
      </c>
      <c r="AC123" s="17" t="s">
        <v>634</v>
      </c>
      <c r="AD123" s="17" t="s">
        <v>633</v>
      </c>
      <c r="AV123" s="15" t="s">
        <v>551</v>
      </c>
      <c r="AW123" s="17" t="s">
        <v>633</v>
      </c>
      <c r="AX123" s="17" t="s">
        <v>634</v>
      </c>
      <c r="AY123" s="17" t="s">
        <v>636</v>
      </c>
      <c r="AZ123" s="17" t="s">
        <v>634</v>
      </c>
      <c r="BA123" s="17" t="s">
        <v>633</v>
      </c>
      <c r="BD123" t="s">
        <v>554</v>
      </c>
      <c r="BE123" s="17" t="s">
        <v>43</v>
      </c>
      <c r="BF123" s="17" t="s">
        <v>322</v>
      </c>
      <c r="BG123" s="17" t="s">
        <v>19</v>
      </c>
      <c r="BH123" s="17" t="s">
        <v>322</v>
      </c>
      <c r="BI123" s="17" t="s">
        <v>322</v>
      </c>
    </row>
    <row r="124" spans="2:61" x14ac:dyDescent="0.3">
      <c r="B124" s="156" t="s">
        <v>776</v>
      </c>
      <c r="C124" s="17" t="s">
        <v>322</v>
      </c>
      <c r="D124" s="17" t="s">
        <v>322</v>
      </c>
      <c r="E124" s="17" t="s">
        <v>322</v>
      </c>
      <c r="F124" s="130" t="s">
        <v>609</v>
      </c>
      <c r="G124" s="17" t="s">
        <v>322</v>
      </c>
      <c r="J124" t="s">
        <v>638</v>
      </c>
      <c r="Y124" s="15" t="s">
        <v>552</v>
      </c>
      <c r="Z124" s="17" t="s">
        <v>633</v>
      </c>
      <c r="AA124" s="17" t="s">
        <v>634</v>
      </c>
      <c r="AB124" s="17" t="s">
        <v>637</v>
      </c>
      <c r="AC124" s="17" t="s">
        <v>636</v>
      </c>
      <c r="AD124" s="17" t="s">
        <v>637</v>
      </c>
      <c r="AG124" t="s">
        <v>638</v>
      </c>
      <c r="AV124" s="15" t="s">
        <v>552</v>
      </c>
      <c r="AW124" s="17" t="s">
        <v>633</v>
      </c>
      <c r="AX124" s="17" t="s">
        <v>637</v>
      </c>
      <c r="AY124" s="17" t="s">
        <v>636</v>
      </c>
      <c r="AZ124" s="17" t="s">
        <v>634</v>
      </c>
      <c r="BA124" s="17" t="s">
        <v>633</v>
      </c>
      <c r="BD124" t="s">
        <v>586</v>
      </c>
      <c r="BE124" s="17" t="s">
        <v>43</v>
      </c>
      <c r="BF124" s="17" t="s">
        <v>322</v>
      </c>
      <c r="BG124" s="17" t="s">
        <v>19</v>
      </c>
      <c r="BH124" s="17" t="s">
        <v>322</v>
      </c>
      <c r="BI124" s="17" t="s">
        <v>322</v>
      </c>
    </row>
    <row r="125" spans="2:61" x14ac:dyDescent="0.3">
      <c r="K125" s="17" t="s">
        <v>315</v>
      </c>
      <c r="L125" s="17" t="s">
        <v>316</v>
      </c>
      <c r="M125" s="17" t="s">
        <v>317</v>
      </c>
      <c r="N125" s="17" t="s">
        <v>318</v>
      </c>
      <c r="O125" s="17" t="s">
        <v>319</v>
      </c>
      <c r="Y125" s="15" t="s">
        <v>554</v>
      </c>
      <c r="Z125" s="17" t="s">
        <v>636</v>
      </c>
      <c r="AA125" s="17" t="s">
        <v>639</v>
      </c>
      <c r="AB125" s="17" t="s">
        <v>637</v>
      </c>
      <c r="AC125" s="17" t="s">
        <v>636</v>
      </c>
      <c r="AD125" s="17" t="s">
        <v>637</v>
      </c>
      <c r="AH125" s="17" t="s">
        <v>315</v>
      </c>
      <c r="AI125" s="17" t="s">
        <v>316</v>
      </c>
      <c r="AJ125" s="17" t="s">
        <v>317</v>
      </c>
      <c r="AK125" s="17" t="s">
        <v>318</v>
      </c>
      <c r="AL125" s="17" t="s">
        <v>319</v>
      </c>
      <c r="AV125" s="15" t="s">
        <v>554</v>
      </c>
      <c r="AW125" s="17" t="s">
        <v>636</v>
      </c>
      <c r="AX125" s="17" t="s">
        <v>637</v>
      </c>
      <c r="AY125" s="17" t="s">
        <v>635</v>
      </c>
      <c r="AZ125" s="17" t="s">
        <v>322</v>
      </c>
      <c r="BA125" s="17" t="s">
        <v>637</v>
      </c>
    </row>
    <row r="126" spans="2:61" x14ac:dyDescent="0.3">
      <c r="B126" s="15" t="s">
        <v>632</v>
      </c>
      <c r="J126" t="s">
        <v>517</v>
      </c>
      <c r="K126" s="17" t="s">
        <v>322</v>
      </c>
      <c r="L126" s="17" t="s">
        <v>156</v>
      </c>
      <c r="M126" s="17" t="s">
        <v>322</v>
      </c>
      <c r="N126" s="17" t="s">
        <v>156</v>
      </c>
      <c r="O126" s="17" t="s">
        <v>322</v>
      </c>
      <c r="Y126" s="15" t="s">
        <v>586</v>
      </c>
      <c r="Z126" s="17" t="s">
        <v>636</v>
      </c>
      <c r="AA126" s="17" t="s">
        <v>639</v>
      </c>
      <c r="AB126" s="17" t="s">
        <v>322</v>
      </c>
      <c r="AC126" s="17" t="s">
        <v>636</v>
      </c>
      <c r="AD126" s="17" t="s">
        <v>639</v>
      </c>
      <c r="AG126" t="s">
        <v>517</v>
      </c>
      <c r="AH126" s="17" t="s">
        <v>322</v>
      </c>
      <c r="AI126" s="17" t="s">
        <v>156</v>
      </c>
      <c r="AJ126" s="17" t="s">
        <v>322</v>
      </c>
      <c r="AK126" s="17" t="s">
        <v>156</v>
      </c>
      <c r="AL126" s="17" t="s">
        <v>322</v>
      </c>
      <c r="AV126" s="15" t="s">
        <v>586</v>
      </c>
      <c r="AW126" s="17" t="s">
        <v>636</v>
      </c>
      <c r="AX126" s="17" t="s">
        <v>637</v>
      </c>
      <c r="AY126" s="17" t="s">
        <v>635</v>
      </c>
      <c r="AZ126" s="17" t="s">
        <v>322</v>
      </c>
      <c r="BA126" s="17" t="s">
        <v>637</v>
      </c>
      <c r="BD126" t="s">
        <v>638</v>
      </c>
    </row>
    <row r="127" spans="2:61" x14ac:dyDescent="0.3">
      <c r="C127" s="17" t="s">
        <v>315</v>
      </c>
      <c r="D127" s="17" t="s">
        <v>316</v>
      </c>
      <c r="E127" s="17" t="s">
        <v>317</v>
      </c>
      <c r="F127" s="17" t="s">
        <v>318</v>
      </c>
      <c r="G127" s="17" t="s">
        <v>319</v>
      </c>
      <c r="J127" t="s">
        <v>326</v>
      </c>
      <c r="K127" s="17" t="s">
        <v>322</v>
      </c>
      <c r="L127" s="17" t="s">
        <v>156</v>
      </c>
      <c r="M127" s="17" t="s">
        <v>322</v>
      </c>
      <c r="N127" s="17" t="s">
        <v>156</v>
      </c>
      <c r="O127" s="17" t="s">
        <v>322</v>
      </c>
      <c r="AG127" t="s">
        <v>326</v>
      </c>
      <c r="AH127" s="17" t="s">
        <v>322</v>
      </c>
      <c r="AI127" s="17" t="s">
        <v>156</v>
      </c>
      <c r="AJ127" s="17" t="s">
        <v>322</v>
      </c>
      <c r="AK127" s="17" t="s">
        <v>156</v>
      </c>
      <c r="AL127" s="17" t="s">
        <v>322</v>
      </c>
      <c r="BE127" s="17" t="s">
        <v>315</v>
      </c>
      <c r="BF127" s="17" t="s">
        <v>316</v>
      </c>
      <c r="BG127" s="17" t="s">
        <v>317</v>
      </c>
      <c r="BH127" s="17" t="s">
        <v>318</v>
      </c>
      <c r="BI127" s="17" t="s">
        <v>319</v>
      </c>
    </row>
    <row r="128" spans="2:61" x14ac:dyDescent="0.3">
      <c r="B128" s="15" t="s">
        <v>561</v>
      </c>
      <c r="C128" s="17" t="s">
        <v>633</v>
      </c>
      <c r="D128" s="17" t="s">
        <v>634</v>
      </c>
      <c r="E128" s="17" t="s">
        <v>322</v>
      </c>
      <c r="F128" s="17" t="s">
        <v>634</v>
      </c>
      <c r="G128" s="17" t="s">
        <v>633</v>
      </c>
      <c r="Y128" s="31" t="s">
        <v>505</v>
      </c>
      <c r="AV128" s="31" t="s">
        <v>505</v>
      </c>
      <c r="BD128" t="s">
        <v>326</v>
      </c>
      <c r="BE128" s="17" t="s">
        <v>322</v>
      </c>
      <c r="BF128" s="17" t="s">
        <v>322</v>
      </c>
      <c r="BG128" s="17" t="s">
        <v>322</v>
      </c>
      <c r="BH128" s="17" t="s">
        <v>156</v>
      </c>
      <c r="BI128" s="17" t="s">
        <v>322</v>
      </c>
    </row>
    <row r="129" spans="2:61" x14ac:dyDescent="0.3">
      <c r="B129" s="15" t="s">
        <v>551</v>
      </c>
      <c r="C129" s="17" t="s">
        <v>633</v>
      </c>
      <c r="D129" s="17" t="s">
        <v>634</v>
      </c>
      <c r="E129" s="17" t="s">
        <v>637</v>
      </c>
      <c r="F129" s="17" t="s">
        <v>634</v>
      </c>
      <c r="G129" s="17" t="s">
        <v>633</v>
      </c>
      <c r="J129" t="s">
        <v>641</v>
      </c>
      <c r="Y129" s="73" t="s">
        <v>640</v>
      </c>
      <c r="AG129" t="s">
        <v>641</v>
      </c>
      <c r="AV129" s="73" t="s">
        <v>640</v>
      </c>
      <c r="BD129" t="s">
        <v>328</v>
      </c>
      <c r="BE129" s="17" t="s">
        <v>322</v>
      </c>
      <c r="BF129" s="17" t="s">
        <v>156</v>
      </c>
      <c r="BG129" s="17" t="s">
        <v>322</v>
      </c>
      <c r="BH129" s="17" t="s">
        <v>156</v>
      </c>
      <c r="BI129" s="17" t="s">
        <v>322</v>
      </c>
    </row>
    <row r="130" spans="2:61" x14ac:dyDescent="0.3">
      <c r="B130" s="15" t="s">
        <v>552</v>
      </c>
      <c r="C130" s="17" t="s">
        <v>633</v>
      </c>
      <c r="D130" s="17" t="s">
        <v>634</v>
      </c>
      <c r="E130" s="17" t="s">
        <v>637</v>
      </c>
      <c r="F130" s="17" t="s">
        <v>636</v>
      </c>
      <c r="G130" s="17" t="s">
        <v>637</v>
      </c>
      <c r="K130" s="17" t="s">
        <v>315</v>
      </c>
      <c r="L130" s="17" t="s">
        <v>316</v>
      </c>
      <c r="M130" s="17" t="s">
        <v>317</v>
      </c>
      <c r="N130" s="17" t="s">
        <v>318</v>
      </c>
      <c r="O130" s="17" t="s">
        <v>319</v>
      </c>
      <c r="AH130" s="17" t="s">
        <v>315</v>
      </c>
      <c r="AI130" s="17" t="s">
        <v>316</v>
      </c>
      <c r="AJ130" s="17" t="s">
        <v>317</v>
      </c>
      <c r="AK130" s="17" t="s">
        <v>318</v>
      </c>
      <c r="AL130" s="17" t="s">
        <v>319</v>
      </c>
      <c r="BD130" t="s">
        <v>350</v>
      </c>
      <c r="BE130" s="17" t="s">
        <v>322</v>
      </c>
      <c r="BF130" s="17" t="s">
        <v>156</v>
      </c>
      <c r="BG130" s="17" t="s">
        <v>322</v>
      </c>
      <c r="BH130" s="17" t="s">
        <v>322</v>
      </c>
      <c r="BI130" s="17" t="s">
        <v>322</v>
      </c>
    </row>
    <row r="131" spans="2:61" x14ac:dyDescent="0.3">
      <c r="B131" s="15" t="s">
        <v>554</v>
      </c>
      <c r="C131" s="17" t="s">
        <v>636</v>
      </c>
      <c r="D131" s="17" t="s">
        <v>934</v>
      </c>
      <c r="E131" s="17" t="s">
        <v>637</v>
      </c>
      <c r="F131" s="17" t="s">
        <v>636</v>
      </c>
      <c r="G131" s="17" t="s">
        <v>637</v>
      </c>
      <c r="J131" t="s">
        <v>512</v>
      </c>
      <c r="K131" s="17" t="s">
        <v>322</v>
      </c>
      <c r="L131" s="17" t="s">
        <v>132</v>
      </c>
      <c r="M131" s="17" t="s">
        <v>132</v>
      </c>
      <c r="N131" s="17" t="s">
        <v>322</v>
      </c>
      <c r="O131" s="17" t="s">
        <v>132</v>
      </c>
      <c r="Y131" s="15" t="s">
        <v>642</v>
      </c>
      <c r="AG131" t="s">
        <v>512</v>
      </c>
      <c r="AH131" s="17" t="s">
        <v>322</v>
      </c>
      <c r="AI131" s="17" t="s">
        <v>132</v>
      </c>
      <c r="AJ131" s="17" t="s">
        <v>132</v>
      </c>
      <c r="AK131" s="17" t="s">
        <v>322</v>
      </c>
      <c r="AL131" s="17" t="s">
        <v>132</v>
      </c>
      <c r="AV131" s="15" t="s">
        <v>642</v>
      </c>
    </row>
    <row r="132" spans="2:61" x14ac:dyDescent="0.3">
      <c r="B132" s="15" t="s">
        <v>586</v>
      </c>
      <c r="C132" s="17" t="s">
        <v>636</v>
      </c>
      <c r="D132" s="17" t="s">
        <v>934</v>
      </c>
      <c r="E132" s="17" t="s">
        <v>322</v>
      </c>
      <c r="F132" s="17" t="s">
        <v>636</v>
      </c>
      <c r="G132" s="17" t="s">
        <v>934</v>
      </c>
      <c r="J132" t="s">
        <v>514</v>
      </c>
      <c r="K132" s="17" t="s">
        <v>322</v>
      </c>
      <c r="L132" s="17" t="s">
        <v>132</v>
      </c>
      <c r="M132" s="17" t="s">
        <v>132</v>
      </c>
      <c r="N132" s="17" t="s">
        <v>322</v>
      </c>
      <c r="O132" s="17" t="s">
        <v>132</v>
      </c>
      <c r="Z132" s="17" t="s">
        <v>315</v>
      </c>
      <c r="AA132" s="17" t="s">
        <v>316</v>
      </c>
      <c r="AB132" s="17" t="s">
        <v>317</v>
      </c>
      <c r="AC132" s="17" t="s">
        <v>318</v>
      </c>
      <c r="AD132" s="17" t="s">
        <v>319</v>
      </c>
      <c r="AG132" t="s">
        <v>514</v>
      </c>
      <c r="AH132" s="17" t="s">
        <v>322</v>
      </c>
      <c r="AI132" s="17" t="s">
        <v>132</v>
      </c>
      <c r="AJ132" s="17" t="s">
        <v>132</v>
      </c>
      <c r="AK132" s="17" t="s">
        <v>322</v>
      </c>
      <c r="AL132" s="17" t="s">
        <v>132</v>
      </c>
      <c r="AW132" s="17" t="s">
        <v>315</v>
      </c>
      <c r="AX132" s="17" t="s">
        <v>316</v>
      </c>
      <c r="AY132" s="17" t="s">
        <v>317</v>
      </c>
      <c r="AZ132" s="17" t="s">
        <v>318</v>
      </c>
      <c r="BA132" s="17" t="s">
        <v>319</v>
      </c>
      <c r="BD132" t="s">
        <v>641</v>
      </c>
    </row>
    <row r="133" spans="2:61" x14ac:dyDescent="0.3">
      <c r="J133" t="s">
        <v>517</v>
      </c>
      <c r="K133" s="17" t="s">
        <v>322</v>
      </c>
      <c r="L133" s="17" t="s">
        <v>322</v>
      </c>
      <c r="M133" s="17" t="s">
        <v>322</v>
      </c>
      <c r="N133" s="17" t="s">
        <v>322</v>
      </c>
      <c r="O133" s="17" t="s">
        <v>132</v>
      </c>
      <c r="Y133" s="15" t="s">
        <v>512</v>
      </c>
      <c r="Z133" s="17" t="s">
        <v>643</v>
      </c>
      <c r="AA133" s="17" t="s">
        <v>644</v>
      </c>
      <c r="AB133" s="17" t="s">
        <v>322</v>
      </c>
      <c r="AC133" s="17" t="s">
        <v>644</v>
      </c>
      <c r="AD133" s="17" t="s">
        <v>645</v>
      </c>
      <c r="AG133" t="s">
        <v>517</v>
      </c>
      <c r="AH133" s="17" t="s">
        <v>322</v>
      </c>
      <c r="AI133" s="17" t="s">
        <v>322</v>
      </c>
      <c r="AJ133" s="17" t="s">
        <v>322</v>
      </c>
      <c r="AK133" s="17" t="s">
        <v>322</v>
      </c>
      <c r="AL133" s="17" t="s">
        <v>132</v>
      </c>
      <c r="AV133" s="15" t="s">
        <v>512</v>
      </c>
      <c r="AW133" s="17" t="s">
        <v>643</v>
      </c>
      <c r="AX133" s="17" t="s">
        <v>644</v>
      </c>
      <c r="AY133" s="17" t="s">
        <v>322</v>
      </c>
      <c r="AZ133" s="17" t="s">
        <v>644</v>
      </c>
      <c r="BA133" s="17" t="s">
        <v>645</v>
      </c>
      <c r="BE133" s="17" t="s">
        <v>315</v>
      </c>
      <c r="BF133" s="17" t="s">
        <v>316</v>
      </c>
      <c r="BG133" s="17" t="s">
        <v>317</v>
      </c>
      <c r="BH133" s="17" t="s">
        <v>318</v>
      </c>
      <c r="BI133" s="17" t="s">
        <v>319</v>
      </c>
    </row>
    <row r="134" spans="2:61" x14ac:dyDescent="0.3">
      <c r="B134" s="31" t="s">
        <v>505</v>
      </c>
      <c r="J134" t="s">
        <v>326</v>
      </c>
      <c r="K134" s="17" t="s">
        <v>322</v>
      </c>
      <c r="L134" s="17" t="s">
        <v>322</v>
      </c>
      <c r="M134" s="17" t="s">
        <v>322</v>
      </c>
      <c r="N134" s="17" t="s">
        <v>322</v>
      </c>
      <c r="O134" s="17" t="s">
        <v>132</v>
      </c>
      <c r="Y134" s="15" t="s">
        <v>514</v>
      </c>
      <c r="Z134" s="17" t="s">
        <v>643</v>
      </c>
      <c r="AA134" s="17" t="s">
        <v>644</v>
      </c>
      <c r="AB134" s="17" t="s">
        <v>646</v>
      </c>
      <c r="AC134" s="17" t="s">
        <v>644</v>
      </c>
      <c r="AD134" s="17" t="s">
        <v>645</v>
      </c>
      <c r="AG134" t="s">
        <v>326</v>
      </c>
      <c r="AH134" s="17" t="s">
        <v>322</v>
      </c>
      <c r="AI134" s="17" t="s">
        <v>322</v>
      </c>
      <c r="AJ134" s="17" t="s">
        <v>322</v>
      </c>
      <c r="AK134" s="17" t="s">
        <v>322</v>
      </c>
      <c r="AL134" s="17" t="s">
        <v>132</v>
      </c>
      <c r="AV134" s="15" t="s">
        <v>514</v>
      </c>
      <c r="AW134" s="17" t="s">
        <v>643</v>
      </c>
      <c r="AX134" s="17" t="s">
        <v>644</v>
      </c>
      <c r="AY134" s="17" t="s">
        <v>646</v>
      </c>
      <c r="AZ134" s="17" t="s">
        <v>644</v>
      </c>
      <c r="BA134" s="17" t="s">
        <v>645</v>
      </c>
      <c r="BD134" t="s">
        <v>512</v>
      </c>
      <c r="BE134" s="17" t="s">
        <v>322</v>
      </c>
      <c r="BF134" s="17" t="s">
        <v>132</v>
      </c>
      <c r="BG134" s="17" t="s">
        <v>132</v>
      </c>
      <c r="BH134" s="17" t="s">
        <v>322</v>
      </c>
      <c r="BI134" s="17" t="s">
        <v>132</v>
      </c>
    </row>
    <row r="135" spans="2:61" x14ac:dyDescent="0.3">
      <c r="B135" s="73" t="s">
        <v>640</v>
      </c>
      <c r="J135" t="s">
        <v>328</v>
      </c>
      <c r="K135" s="17" t="s">
        <v>322</v>
      </c>
      <c r="L135" s="17" t="s">
        <v>322</v>
      </c>
      <c r="M135" s="17" t="s">
        <v>322</v>
      </c>
      <c r="N135" s="17" t="s">
        <v>322</v>
      </c>
      <c r="O135" s="17" t="s">
        <v>132</v>
      </c>
      <c r="Y135" s="15" t="s">
        <v>517</v>
      </c>
      <c r="Z135" s="17" t="s">
        <v>643</v>
      </c>
      <c r="AA135" s="17" t="s">
        <v>647</v>
      </c>
      <c r="AB135" s="17" t="s">
        <v>646</v>
      </c>
      <c r="AC135" s="17" t="s">
        <v>647</v>
      </c>
      <c r="AD135" s="17" t="s">
        <v>648</v>
      </c>
      <c r="AG135" t="s">
        <v>328</v>
      </c>
      <c r="AH135" s="17" t="s">
        <v>322</v>
      </c>
      <c r="AI135" s="17" t="s">
        <v>322</v>
      </c>
      <c r="AJ135" s="17" t="s">
        <v>322</v>
      </c>
      <c r="AK135" s="17" t="s">
        <v>322</v>
      </c>
      <c r="AL135" s="17" t="s">
        <v>132</v>
      </c>
      <c r="AV135" s="15" t="s">
        <v>517</v>
      </c>
      <c r="AW135" s="17" t="s">
        <v>643</v>
      </c>
      <c r="AX135" s="17" t="s">
        <v>649</v>
      </c>
      <c r="AY135" s="17" t="s">
        <v>646</v>
      </c>
      <c r="AZ135" s="17" t="s">
        <v>649</v>
      </c>
      <c r="BA135" s="17" t="s">
        <v>648</v>
      </c>
      <c r="BD135" t="s">
        <v>514</v>
      </c>
      <c r="BE135" s="17" t="s">
        <v>322</v>
      </c>
      <c r="BF135" s="17" t="s">
        <v>132</v>
      </c>
      <c r="BG135" s="17" t="s">
        <v>132</v>
      </c>
      <c r="BH135" s="17" t="s">
        <v>322</v>
      </c>
      <c r="BI135" s="17" t="s">
        <v>132</v>
      </c>
    </row>
    <row r="136" spans="2:61" x14ac:dyDescent="0.3">
      <c r="J136" t="s">
        <v>350</v>
      </c>
      <c r="K136" s="17" t="s">
        <v>322</v>
      </c>
      <c r="L136" s="17" t="s">
        <v>322</v>
      </c>
      <c r="M136" s="17" t="s">
        <v>322</v>
      </c>
      <c r="N136" s="17" t="s">
        <v>322</v>
      </c>
      <c r="O136" s="17" t="s">
        <v>132</v>
      </c>
      <c r="Y136" s="15" t="s">
        <v>326</v>
      </c>
      <c r="Z136" s="17" t="s">
        <v>643</v>
      </c>
      <c r="AA136" s="17" t="s">
        <v>647</v>
      </c>
      <c r="AB136" s="17" t="s">
        <v>646</v>
      </c>
      <c r="AC136" s="17" t="s">
        <v>647</v>
      </c>
      <c r="AD136" s="17" t="s">
        <v>648</v>
      </c>
      <c r="AG136" t="s">
        <v>350</v>
      </c>
      <c r="AH136" s="17" t="s">
        <v>322</v>
      </c>
      <c r="AI136" s="17" t="s">
        <v>322</v>
      </c>
      <c r="AJ136" s="17" t="s">
        <v>322</v>
      </c>
      <c r="AK136" s="17" t="s">
        <v>322</v>
      </c>
      <c r="AL136" s="17" t="s">
        <v>132</v>
      </c>
      <c r="AV136" s="15" t="s">
        <v>326</v>
      </c>
      <c r="AW136" s="17" t="s">
        <v>643</v>
      </c>
      <c r="AX136" s="17" t="s">
        <v>649</v>
      </c>
      <c r="AY136" s="17" t="s">
        <v>646</v>
      </c>
      <c r="AZ136" s="17" t="s">
        <v>647</v>
      </c>
      <c r="BA136" s="17" t="s">
        <v>648</v>
      </c>
      <c r="BD136" t="s">
        <v>517</v>
      </c>
      <c r="BE136" s="17" t="s">
        <v>322</v>
      </c>
      <c r="BF136" s="17" t="s">
        <v>322</v>
      </c>
      <c r="BG136" s="17" t="s">
        <v>322</v>
      </c>
      <c r="BH136" s="17" t="s">
        <v>322</v>
      </c>
      <c r="BI136" s="17" t="s">
        <v>132</v>
      </c>
    </row>
    <row r="137" spans="2:61" x14ac:dyDescent="0.3">
      <c r="B137" s="15" t="s">
        <v>642</v>
      </c>
      <c r="Y137" s="15" t="s">
        <v>328</v>
      </c>
      <c r="Z137" s="17" t="s">
        <v>643</v>
      </c>
      <c r="AA137" s="17" t="s">
        <v>649</v>
      </c>
      <c r="AB137" s="17" t="s">
        <v>648</v>
      </c>
      <c r="AC137" s="17" t="s">
        <v>649</v>
      </c>
      <c r="AD137" s="17" t="s">
        <v>648</v>
      </c>
      <c r="AV137" s="15" t="s">
        <v>328</v>
      </c>
      <c r="AW137" s="17" t="s">
        <v>643</v>
      </c>
      <c r="AX137" s="17" t="s">
        <v>647</v>
      </c>
      <c r="AY137" s="17" t="s">
        <v>648</v>
      </c>
      <c r="AZ137" s="17" t="s">
        <v>647</v>
      </c>
      <c r="BA137" s="17" t="s">
        <v>648</v>
      </c>
      <c r="BD137" t="s">
        <v>326</v>
      </c>
      <c r="BE137" s="17" t="s">
        <v>322</v>
      </c>
      <c r="BF137" s="17" t="s">
        <v>322</v>
      </c>
      <c r="BG137" s="17" t="s">
        <v>322</v>
      </c>
      <c r="BH137" s="17" t="s">
        <v>322</v>
      </c>
      <c r="BI137" s="17" t="s">
        <v>132</v>
      </c>
    </row>
    <row r="138" spans="2:61" x14ac:dyDescent="0.3">
      <c r="C138" s="17" t="s">
        <v>315</v>
      </c>
      <c r="D138" s="17" t="s">
        <v>316</v>
      </c>
      <c r="E138" s="17" t="s">
        <v>317</v>
      </c>
      <c r="F138" s="17" t="s">
        <v>318</v>
      </c>
      <c r="G138" s="17" t="s">
        <v>319</v>
      </c>
      <c r="J138" t="s">
        <v>650</v>
      </c>
      <c r="Y138" s="15" t="s">
        <v>350</v>
      </c>
      <c r="Z138" s="17" t="s">
        <v>643</v>
      </c>
      <c r="AA138" s="17" t="s">
        <v>649</v>
      </c>
      <c r="AB138" s="17" t="s">
        <v>648</v>
      </c>
      <c r="AC138" s="17" t="s">
        <v>322</v>
      </c>
      <c r="AD138" s="17" t="s">
        <v>322</v>
      </c>
      <c r="AG138" t="s">
        <v>650</v>
      </c>
      <c r="AV138" s="15" t="s">
        <v>350</v>
      </c>
      <c r="AW138" s="17" t="s">
        <v>643</v>
      </c>
      <c r="AX138" s="17" t="s">
        <v>647</v>
      </c>
      <c r="AY138" s="17" t="s">
        <v>648</v>
      </c>
      <c r="AZ138" s="17" t="s">
        <v>322</v>
      </c>
      <c r="BA138" s="17" t="s">
        <v>322</v>
      </c>
      <c r="BD138" t="s">
        <v>328</v>
      </c>
      <c r="BE138" s="17" t="s">
        <v>322</v>
      </c>
      <c r="BF138" s="17" t="s">
        <v>322</v>
      </c>
      <c r="BG138" s="17" t="s">
        <v>322</v>
      </c>
      <c r="BH138" s="17" t="s">
        <v>322</v>
      </c>
      <c r="BI138" s="17" t="s">
        <v>132</v>
      </c>
    </row>
    <row r="139" spans="2:61" x14ac:dyDescent="0.3">
      <c r="B139" s="15" t="s">
        <v>512</v>
      </c>
      <c r="C139" s="17" t="s">
        <v>643</v>
      </c>
      <c r="D139" s="17" t="s">
        <v>644</v>
      </c>
      <c r="E139" s="17" t="s">
        <v>322</v>
      </c>
      <c r="F139" s="17" t="s">
        <v>644</v>
      </c>
      <c r="G139" s="17" t="s">
        <v>645</v>
      </c>
      <c r="K139" s="17" t="s">
        <v>315</v>
      </c>
      <c r="L139" s="17" t="s">
        <v>316</v>
      </c>
      <c r="M139" s="17" t="s">
        <v>317</v>
      </c>
      <c r="N139" s="17" t="s">
        <v>318</v>
      </c>
      <c r="O139" s="17" t="s">
        <v>319</v>
      </c>
      <c r="AH139" s="17" t="s">
        <v>315</v>
      </c>
      <c r="AI139" s="17" t="s">
        <v>316</v>
      </c>
      <c r="AJ139" s="17" t="s">
        <v>317</v>
      </c>
      <c r="AK139" s="17" t="s">
        <v>318</v>
      </c>
      <c r="AL139" s="17" t="s">
        <v>319</v>
      </c>
      <c r="BD139" t="s">
        <v>350</v>
      </c>
      <c r="BE139" s="17" t="s">
        <v>322</v>
      </c>
      <c r="BF139" s="17" t="s">
        <v>322</v>
      </c>
      <c r="BG139" s="17" t="s">
        <v>322</v>
      </c>
      <c r="BH139" s="17" t="s">
        <v>322</v>
      </c>
      <c r="BI139" s="17" t="s">
        <v>132</v>
      </c>
    </row>
    <row r="140" spans="2:61" x14ac:dyDescent="0.3">
      <c r="B140" s="15" t="s">
        <v>514</v>
      </c>
      <c r="C140" s="17" t="s">
        <v>643</v>
      </c>
      <c r="D140" s="17" t="s">
        <v>644</v>
      </c>
      <c r="E140" s="17" t="s">
        <v>646</v>
      </c>
      <c r="F140" s="17" t="s">
        <v>644</v>
      </c>
      <c r="G140" s="17" t="s">
        <v>645</v>
      </c>
      <c r="J140" t="s">
        <v>561</v>
      </c>
      <c r="K140" s="17" t="s">
        <v>322</v>
      </c>
      <c r="L140" s="17" t="s">
        <v>322</v>
      </c>
      <c r="M140" s="130" t="s">
        <v>231</v>
      </c>
      <c r="N140" s="17" t="s">
        <v>322</v>
      </c>
      <c r="O140" s="17" t="s">
        <v>322</v>
      </c>
      <c r="Y140" s="15" t="s">
        <v>651</v>
      </c>
      <c r="AG140" t="s">
        <v>543</v>
      </c>
      <c r="AH140" s="17" t="s">
        <v>322</v>
      </c>
      <c r="AI140" s="17" t="s">
        <v>322</v>
      </c>
      <c r="AJ140" s="17" t="s">
        <v>231</v>
      </c>
      <c r="AK140" s="17" t="s">
        <v>322</v>
      </c>
      <c r="AL140" s="17" t="s">
        <v>322</v>
      </c>
      <c r="AV140" s="15" t="s">
        <v>651</v>
      </c>
    </row>
    <row r="141" spans="2:61" x14ac:dyDescent="0.3">
      <c r="B141" s="15" t="s">
        <v>517</v>
      </c>
      <c r="C141" s="17" t="s">
        <v>643</v>
      </c>
      <c r="D141" s="17" t="s">
        <v>647</v>
      </c>
      <c r="E141" s="17" t="s">
        <v>646</v>
      </c>
      <c r="F141" s="17" t="s">
        <v>647</v>
      </c>
      <c r="G141" s="17" t="s">
        <v>648</v>
      </c>
      <c r="J141" t="s">
        <v>551</v>
      </c>
      <c r="K141" s="17" t="s">
        <v>231</v>
      </c>
      <c r="L141" s="17" t="s">
        <v>322</v>
      </c>
      <c r="M141" s="130" t="s">
        <v>231</v>
      </c>
      <c r="N141" s="17" t="s">
        <v>322</v>
      </c>
      <c r="O141" s="17" t="s">
        <v>322</v>
      </c>
      <c r="Z141" s="17" t="s">
        <v>315</v>
      </c>
      <c r="AA141" s="17" t="s">
        <v>316</v>
      </c>
      <c r="AB141" s="17" t="s">
        <v>317</v>
      </c>
      <c r="AC141" s="17" t="s">
        <v>318</v>
      </c>
      <c r="AD141" s="17" t="s">
        <v>319</v>
      </c>
      <c r="AG141" t="s">
        <v>573</v>
      </c>
      <c r="AH141" s="17" t="s">
        <v>322</v>
      </c>
      <c r="AI141" s="17" t="s">
        <v>322</v>
      </c>
      <c r="AJ141" s="17" t="s">
        <v>231</v>
      </c>
      <c r="AK141" s="17" t="s">
        <v>322</v>
      </c>
      <c r="AL141" s="17" t="s">
        <v>322</v>
      </c>
      <c r="AW141" s="17" t="s">
        <v>315</v>
      </c>
      <c r="AX141" s="17" t="s">
        <v>316</v>
      </c>
      <c r="AY141" s="17" t="s">
        <v>317</v>
      </c>
      <c r="AZ141" s="17" t="s">
        <v>318</v>
      </c>
      <c r="BA141" s="17" t="s">
        <v>319</v>
      </c>
      <c r="BD141" t="s">
        <v>650</v>
      </c>
    </row>
    <row r="142" spans="2:61" x14ac:dyDescent="0.3">
      <c r="B142" s="15" t="s">
        <v>326</v>
      </c>
      <c r="C142" s="17" t="s">
        <v>643</v>
      </c>
      <c r="D142" s="17" t="s">
        <v>647</v>
      </c>
      <c r="E142" s="17" t="s">
        <v>646</v>
      </c>
      <c r="F142" s="17" t="s">
        <v>647</v>
      </c>
      <c r="G142" s="17" t="s">
        <v>648</v>
      </c>
      <c r="J142" t="s">
        <v>552</v>
      </c>
      <c r="K142" s="17" t="s">
        <v>231</v>
      </c>
      <c r="L142" s="17" t="s">
        <v>322</v>
      </c>
      <c r="M142" s="17" t="s">
        <v>37</v>
      </c>
      <c r="N142" s="17" t="s">
        <v>322</v>
      </c>
      <c r="O142" s="17" t="s">
        <v>322</v>
      </c>
      <c r="Y142" s="15" t="s">
        <v>512</v>
      </c>
      <c r="Z142" s="17" t="s">
        <v>322</v>
      </c>
      <c r="AA142" s="17" t="s">
        <v>644</v>
      </c>
      <c r="AB142" s="17" t="s">
        <v>652</v>
      </c>
      <c r="AC142" s="17" t="s">
        <v>644</v>
      </c>
      <c r="AD142" s="17" t="s">
        <v>652</v>
      </c>
      <c r="AG142" t="s">
        <v>551</v>
      </c>
      <c r="AH142" s="17" t="s">
        <v>231</v>
      </c>
      <c r="AI142" s="17" t="s">
        <v>322</v>
      </c>
      <c r="AJ142" s="17" t="s">
        <v>322</v>
      </c>
      <c r="AK142" s="17" t="s">
        <v>322</v>
      </c>
      <c r="AL142" s="17" t="s">
        <v>322</v>
      </c>
      <c r="AV142" s="15" t="s">
        <v>512</v>
      </c>
      <c r="AW142" s="17" t="s">
        <v>322</v>
      </c>
      <c r="AX142" s="17" t="s">
        <v>644</v>
      </c>
      <c r="AY142" s="17" t="s">
        <v>652</v>
      </c>
      <c r="AZ142" s="17" t="s">
        <v>644</v>
      </c>
      <c r="BA142" s="17" t="s">
        <v>652</v>
      </c>
      <c r="BE142" s="17" t="s">
        <v>315</v>
      </c>
      <c r="BF142" s="17" t="s">
        <v>316</v>
      </c>
      <c r="BG142" s="17" t="s">
        <v>317</v>
      </c>
      <c r="BH142" s="17" t="s">
        <v>318</v>
      </c>
      <c r="BI142" s="17" t="s">
        <v>319</v>
      </c>
    </row>
    <row r="143" spans="2:61" x14ac:dyDescent="0.3">
      <c r="B143" s="15" t="s">
        <v>328</v>
      </c>
      <c r="C143" s="17" t="s">
        <v>643</v>
      </c>
      <c r="D143" s="17" t="s">
        <v>649</v>
      </c>
      <c r="E143" s="17" t="s">
        <v>648</v>
      </c>
      <c r="F143" s="17" t="s">
        <v>649</v>
      </c>
      <c r="G143" s="17" t="s">
        <v>648</v>
      </c>
      <c r="J143" t="s">
        <v>554</v>
      </c>
      <c r="K143" s="17" t="s">
        <v>322</v>
      </c>
      <c r="L143" s="17" t="s">
        <v>322</v>
      </c>
      <c r="M143" s="17" t="s">
        <v>37</v>
      </c>
      <c r="N143" s="17" t="s">
        <v>322</v>
      </c>
      <c r="O143" s="17" t="s">
        <v>322</v>
      </c>
      <c r="Y143" s="15" t="s">
        <v>514</v>
      </c>
      <c r="Z143" s="17" t="s">
        <v>653</v>
      </c>
      <c r="AA143" s="17" t="s">
        <v>644</v>
      </c>
      <c r="AB143" s="17" t="s">
        <v>652</v>
      </c>
      <c r="AC143" s="17" t="s">
        <v>644</v>
      </c>
      <c r="AD143" s="17" t="s">
        <v>652</v>
      </c>
      <c r="AG143" t="s">
        <v>552</v>
      </c>
      <c r="AH143" s="17" t="s">
        <v>231</v>
      </c>
      <c r="AI143" s="17" t="s">
        <v>322</v>
      </c>
      <c r="AJ143" s="17" t="s">
        <v>37</v>
      </c>
      <c r="AK143" s="17" t="s">
        <v>322</v>
      </c>
      <c r="AL143" s="17" t="s">
        <v>322</v>
      </c>
      <c r="AV143" s="15" t="s">
        <v>514</v>
      </c>
      <c r="AW143" s="17" t="s">
        <v>653</v>
      </c>
      <c r="AX143" s="17" t="s">
        <v>644</v>
      </c>
      <c r="AY143" s="17" t="s">
        <v>652</v>
      </c>
      <c r="AZ143" s="17" t="s">
        <v>644</v>
      </c>
      <c r="BA143" s="17" t="s">
        <v>652</v>
      </c>
      <c r="BD143" t="s">
        <v>543</v>
      </c>
      <c r="BE143" s="17" t="s">
        <v>322</v>
      </c>
      <c r="BF143" s="17" t="s">
        <v>322</v>
      </c>
      <c r="BG143" s="17" t="s">
        <v>231</v>
      </c>
      <c r="BH143" s="17" t="s">
        <v>322</v>
      </c>
      <c r="BI143" s="17" t="s">
        <v>322</v>
      </c>
    </row>
    <row r="144" spans="2:61" x14ac:dyDescent="0.3">
      <c r="B144" s="15" t="s">
        <v>350</v>
      </c>
      <c r="C144" s="17" t="s">
        <v>643</v>
      </c>
      <c r="D144" s="17" t="s">
        <v>649</v>
      </c>
      <c r="E144" s="17" t="s">
        <v>648</v>
      </c>
      <c r="F144" s="17" t="s">
        <v>322</v>
      </c>
      <c r="G144" s="17" t="s">
        <v>322</v>
      </c>
      <c r="M144" s="130"/>
      <c r="Y144" s="15" t="s">
        <v>517</v>
      </c>
      <c r="Z144" s="17" t="s">
        <v>653</v>
      </c>
      <c r="AA144" s="17" t="s">
        <v>647</v>
      </c>
      <c r="AB144" s="17" t="s">
        <v>652</v>
      </c>
      <c r="AC144" s="17" t="s">
        <v>647</v>
      </c>
      <c r="AD144" s="17" t="s">
        <v>652</v>
      </c>
      <c r="AG144" t="s">
        <v>554</v>
      </c>
      <c r="AH144" s="17" t="s">
        <v>322</v>
      </c>
      <c r="AI144" s="17" t="s">
        <v>322</v>
      </c>
      <c r="AJ144" s="17" t="s">
        <v>37</v>
      </c>
      <c r="AK144" s="17" t="s">
        <v>322</v>
      </c>
      <c r="AL144" s="17" t="s">
        <v>322</v>
      </c>
      <c r="AV144" s="15" t="s">
        <v>517</v>
      </c>
      <c r="AW144" s="17" t="s">
        <v>653</v>
      </c>
      <c r="AX144" s="17" t="s">
        <v>649</v>
      </c>
      <c r="AY144" s="17" t="s">
        <v>652</v>
      </c>
      <c r="AZ144" s="17" t="s">
        <v>649</v>
      </c>
      <c r="BA144" s="17" t="s">
        <v>652</v>
      </c>
      <c r="BD144" t="s">
        <v>573</v>
      </c>
      <c r="BE144" s="17" t="s">
        <v>322</v>
      </c>
      <c r="BF144" s="17" t="s">
        <v>322</v>
      </c>
      <c r="BG144" s="17" t="s">
        <v>231</v>
      </c>
      <c r="BH144" s="17" t="s">
        <v>322</v>
      </c>
      <c r="BI144" s="17" t="s">
        <v>322</v>
      </c>
    </row>
    <row r="145" spans="2:61" x14ac:dyDescent="0.3">
      <c r="J145" t="s">
        <v>655</v>
      </c>
      <c r="Y145" s="15" t="s">
        <v>326</v>
      </c>
      <c r="Z145" s="17" t="s">
        <v>654</v>
      </c>
      <c r="AA145" s="17" t="s">
        <v>647</v>
      </c>
      <c r="AB145" s="17" t="s">
        <v>653</v>
      </c>
      <c r="AC145" s="17" t="s">
        <v>647</v>
      </c>
      <c r="AD145" s="17" t="s">
        <v>654</v>
      </c>
      <c r="AG145" t="s">
        <v>586</v>
      </c>
      <c r="AH145" s="17" t="s">
        <v>322</v>
      </c>
      <c r="AI145" s="17" t="s">
        <v>322</v>
      </c>
      <c r="AJ145" s="17" t="s">
        <v>37</v>
      </c>
      <c r="AK145" s="17" t="s">
        <v>322</v>
      </c>
      <c r="AL145" s="17" t="s">
        <v>322</v>
      </c>
      <c r="AV145" s="15" t="s">
        <v>326</v>
      </c>
      <c r="AW145" s="17" t="s">
        <v>654</v>
      </c>
      <c r="AX145" s="17" t="s">
        <v>649</v>
      </c>
      <c r="AY145" s="17" t="s">
        <v>653</v>
      </c>
      <c r="AZ145" s="17" t="s">
        <v>647</v>
      </c>
      <c r="BA145" s="17" t="s">
        <v>654</v>
      </c>
      <c r="BD145" t="s">
        <v>551</v>
      </c>
      <c r="BE145" s="17" t="s">
        <v>231</v>
      </c>
      <c r="BF145" s="17" t="s">
        <v>322</v>
      </c>
      <c r="BG145" s="17" t="s">
        <v>322</v>
      </c>
      <c r="BH145" s="17" t="s">
        <v>322</v>
      </c>
      <c r="BI145" s="17" t="s">
        <v>322</v>
      </c>
    </row>
    <row r="146" spans="2:61" x14ac:dyDescent="0.3">
      <c r="B146" s="15" t="s">
        <v>651</v>
      </c>
      <c r="K146" s="17" t="s">
        <v>315</v>
      </c>
      <c r="L146" s="17" t="s">
        <v>316</v>
      </c>
      <c r="M146" s="17" t="s">
        <v>317</v>
      </c>
      <c r="N146" s="17" t="s">
        <v>318</v>
      </c>
      <c r="O146" s="17" t="s">
        <v>319</v>
      </c>
      <c r="Y146" s="15" t="s">
        <v>328</v>
      </c>
      <c r="Z146" s="17" t="s">
        <v>654</v>
      </c>
      <c r="AA146" s="17" t="s">
        <v>649</v>
      </c>
      <c r="AB146" s="17" t="s">
        <v>653</v>
      </c>
      <c r="AC146" s="17" t="s">
        <v>649</v>
      </c>
      <c r="AD146" s="17" t="s">
        <v>654</v>
      </c>
      <c r="AV146" s="15" t="s">
        <v>328</v>
      </c>
      <c r="AW146" s="17" t="s">
        <v>654</v>
      </c>
      <c r="AX146" s="17" t="s">
        <v>647</v>
      </c>
      <c r="AY146" s="17" t="s">
        <v>653</v>
      </c>
      <c r="AZ146" s="17" t="s">
        <v>647</v>
      </c>
      <c r="BA146" s="17" t="s">
        <v>654</v>
      </c>
      <c r="BD146" t="s">
        <v>552</v>
      </c>
      <c r="BE146" s="17" t="s">
        <v>231</v>
      </c>
      <c r="BF146" s="17" t="s">
        <v>322</v>
      </c>
      <c r="BG146" s="17" t="s">
        <v>37</v>
      </c>
      <c r="BH146" s="17" t="s">
        <v>322</v>
      </c>
      <c r="BI146" s="17" t="s">
        <v>322</v>
      </c>
    </row>
    <row r="147" spans="2:61" x14ac:dyDescent="0.3">
      <c r="C147" s="17" t="s">
        <v>315</v>
      </c>
      <c r="D147" s="17" t="s">
        <v>316</v>
      </c>
      <c r="E147" s="17" t="s">
        <v>317</v>
      </c>
      <c r="F147" s="17" t="s">
        <v>318</v>
      </c>
      <c r="G147" s="17" t="s">
        <v>319</v>
      </c>
      <c r="J147" t="s">
        <v>539</v>
      </c>
      <c r="K147" s="17" t="s">
        <v>322</v>
      </c>
      <c r="L147" s="17" t="s">
        <v>235</v>
      </c>
      <c r="M147" s="17" t="s">
        <v>322</v>
      </c>
      <c r="N147" s="17" t="s">
        <v>265</v>
      </c>
      <c r="O147" s="17" t="s">
        <v>322</v>
      </c>
      <c r="Y147" s="15" t="s">
        <v>350</v>
      </c>
      <c r="Z147" s="17" t="s">
        <v>654</v>
      </c>
      <c r="AA147" s="17" t="s">
        <v>649</v>
      </c>
      <c r="AB147" s="17" t="s">
        <v>322</v>
      </c>
      <c r="AC147" s="17" t="s">
        <v>322</v>
      </c>
      <c r="AD147" s="17" t="s">
        <v>654</v>
      </c>
      <c r="AG147" t="s">
        <v>655</v>
      </c>
      <c r="AV147" s="15" t="s">
        <v>350</v>
      </c>
      <c r="AW147" s="17" t="s">
        <v>654</v>
      </c>
      <c r="AX147" s="17" t="s">
        <v>647</v>
      </c>
      <c r="AY147" s="17" t="s">
        <v>322</v>
      </c>
      <c r="AZ147" s="17" t="s">
        <v>322</v>
      </c>
      <c r="BA147" s="17" t="s">
        <v>654</v>
      </c>
      <c r="BD147" t="s">
        <v>554</v>
      </c>
      <c r="BE147" s="17" t="s">
        <v>322</v>
      </c>
      <c r="BF147" s="17" t="s">
        <v>322</v>
      </c>
      <c r="BG147" s="17" t="s">
        <v>37</v>
      </c>
      <c r="BH147" s="17" t="s">
        <v>322</v>
      </c>
      <c r="BI147" s="17" t="s">
        <v>322</v>
      </c>
    </row>
    <row r="148" spans="2:61" x14ac:dyDescent="0.3">
      <c r="B148" s="15" t="s">
        <v>512</v>
      </c>
      <c r="C148" s="17" t="s">
        <v>322</v>
      </c>
      <c r="D148" s="17" t="s">
        <v>644</v>
      </c>
      <c r="E148" s="17" t="s">
        <v>652</v>
      </c>
      <c r="F148" s="17" t="s">
        <v>644</v>
      </c>
      <c r="G148" s="17" t="s">
        <v>652</v>
      </c>
      <c r="J148" t="s">
        <v>543</v>
      </c>
      <c r="K148" s="17" t="s">
        <v>322</v>
      </c>
      <c r="L148" s="17" t="s">
        <v>235</v>
      </c>
      <c r="M148" s="17" t="s">
        <v>322</v>
      </c>
      <c r="N148" s="17" t="s">
        <v>265</v>
      </c>
      <c r="O148" s="17" t="s">
        <v>322</v>
      </c>
      <c r="AH148" s="17" t="s">
        <v>315</v>
      </c>
      <c r="AI148" s="17" t="s">
        <v>316</v>
      </c>
      <c r="AJ148" s="17" t="s">
        <v>317</v>
      </c>
      <c r="AK148" s="17" t="s">
        <v>318</v>
      </c>
      <c r="AL148" s="17" t="s">
        <v>319</v>
      </c>
      <c r="BD148" t="s">
        <v>586</v>
      </c>
      <c r="BE148" s="17" t="s">
        <v>322</v>
      </c>
      <c r="BF148" s="17" t="s">
        <v>322</v>
      </c>
      <c r="BG148" s="17" t="s">
        <v>37</v>
      </c>
      <c r="BH148" s="17" t="s">
        <v>322</v>
      </c>
      <c r="BI148" s="17" t="s">
        <v>322</v>
      </c>
    </row>
    <row r="149" spans="2:61" x14ac:dyDescent="0.3">
      <c r="B149" s="15" t="s">
        <v>514</v>
      </c>
      <c r="C149" s="17" t="s">
        <v>653</v>
      </c>
      <c r="D149" s="17" t="s">
        <v>644</v>
      </c>
      <c r="E149" s="17" t="s">
        <v>652</v>
      </c>
      <c r="F149" s="17" t="s">
        <v>644</v>
      </c>
      <c r="G149" s="17" t="s">
        <v>652</v>
      </c>
      <c r="J149" t="s">
        <v>573</v>
      </c>
      <c r="K149" s="17" t="s">
        <v>322</v>
      </c>
      <c r="L149" s="17" t="s">
        <v>235</v>
      </c>
      <c r="M149" s="17" t="s">
        <v>322</v>
      </c>
      <c r="N149" s="17" t="s">
        <v>265</v>
      </c>
      <c r="O149" s="17" t="s">
        <v>322</v>
      </c>
      <c r="Y149" s="15" t="s">
        <v>656</v>
      </c>
      <c r="AG149" t="s">
        <v>539</v>
      </c>
      <c r="AH149" s="17" t="s">
        <v>322</v>
      </c>
      <c r="AI149" s="17" t="s">
        <v>235</v>
      </c>
      <c r="AJ149" s="17" t="s">
        <v>322</v>
      </c>
      <c r="AK149" s="17" t="s">
        <v>265</v>
      </c>
      <c r="AL149" s="17" t="s">
        <v>322</v>
      </c>
      <c r="AV149" s="15" t="s">
        <v>656</v>
      </c>
    </row>
    <row r="150" spans="2:61" x14ac:dyDescent="0.3">
      <c r="B150" s="15" t="s">
        <v>517</v>
      </c>
      <c r="C150" s="17" t="s">
        <v>653</v>
      </c>
      <c r="D150" s="17" t="s">
        <v>647</v>
      </c>
      <c r="E150" s="17" t="s">
        <v>652</v>
      </c>
      <c r="F150" s="17" t="s">
        <v>647</v>
      </c>
      <c r="G150" s="17" t="s">
        <v>652</v>
      </c>
      <c r="J150" t="s">
        <v>561</v>
      </c>
      <c r="K150" s="17" t="s">
        <v>322</v>
      </c>
      <c r="L150" s="17" t="s">
        <v>235</v>
      </c>
      <c r="M150" s="17" t="s">
        <v>322</v>
      </c>
      <c r="N150" s="17" t="s">
        <v>265</v>
      </c>
      <c r="O150" s="17" t="s">
        <v>322</v>
      </c>
      <c r="Z150" s="17" t="s">
        <v>315</v>
      </c>
      <c r="AA150" s="17" t="s">
        <v>316</v>
      </c>
      <c r="AB150" s="17" t="s">
        <v>317</v>
      </c>
      <c r="AC150" s="17" t="s">
        <v>318</v>
      </c>
      <c r="AD150" s="17" t="s">
        <v>319</v>
      </c>
      <c r="AG150" t="s">
        <v>543</v>
      </c>
      <c r="AH150" s="17" t="s">
        <v>322</v>
      </c>
      <c r="AI150" s="17" t="s">
        <v>235</v>
      </c>
      <c r="AJ150" s="17" t="s">
        <v>322</v>
      </c>
      <c r="AK150" s="17" t="s">
        <v>265</v>
      </c>
      <c r="AL150" s="17" t="s">
        <v>322</v>
      </c>
      <c r="AW150" s="17" t="s">
        <v>315</v>
      </c>
      <c r="AX150" s="17" t="s">
        <v>316</v>
      </c>
      <c r="AY150" s="17" t="s">
        <v>317</v>
      </c>
      <c r="AZ150" s="17" t="s">
        <v>318</v>
      </c>
      <c r="BA150" s="17" t="s">
        <v>319</v>
      </c>
      <c r="BD150" t="s">
        <v>655</v>
      </c>
    </row>
    <row r="151" spans="2:61" x14ac:dyDescent="0.3">
      <c r="B151" s="15" t="s">
        <v>326</v>
      </c>
      <c r="C151" s="17" t="s">
        <v>654</v>
      </c>
      <c r="D151" s="17" t="s">
        <v>647</v>
      </c>
      <c r="E151" s="17" t="s">
        <v>653</v>
      </c>
      <c r="F151" s="17" t="s">
        <v>647</v>
      </c>
      <c r="G151" s="17" t="s">
        <v>654</v>
      </c>
      <c r="Y151" s="15" t="s">
        <v>512</v>
      </c>
      <c r="Z151" s="17" t="s">
        <v>649</v>
      </c>
      <c r="AA151" s="17" t="s">
        <v>657</v>
      </c>
      <c r="AB151" s="17" t="s">
        <v>658</v>
      </c>
      <c r="AC151" s="17" t="s">
        <v>659</v>
      </c>
      <c r="AD151" s="17" t="s">
        <v>657</v>
      </c>
      <c r="AG151" t="s">
        <v>573</v>
      </c>
      <c r="AH151" s="17" t="s">
        <v>322</v>
      </c>
      <c r="AI151" s="17" t="s">
        <v>235</v>
      </c>
      <c r="AJ151" s="17" t="s">
        <v>322</v>
      </c>
      <c r="AK151" s="17" t="s">
        <v>265</v>
      </c>
      <c r="AL151" s="17" t="s">
        <v>322</v>
      </c>
      <c r="AV151" s="15" t="s">
        <v>512</v>
      </c>
      <c r="AW151" s="17" t="s">
        <v>659</v>
      </c>
      <c r="AX151" s="17" t="s">
        <v>657</v>
      </c>
      <c r="AY151" s="17" t="s">
        <v>658</v>
      </c>
      <c r="AZ151" s="17" t="s">
        <v>657</v>
      </c>
      <c r="BA151" s="17" t="s">
        <v>322</v>
      </c>
      <c r="BE151" s="17" t="s">
        <v>315</v>
      </c>
      <c r="BF151" s="17" t="s">
        <v>316</v>
      </c>
      <c r="BG151" s="17" t="s">
        <v>317</v>
      </c>
      <c r="BH151" s="17" t="s">
        <v>318</v>
      </c>
      <c r="BI151" s="17" t="s">
        <v>319</v>
      </c>
    </row>
    <row r="152" spans="2:61" x14ac:dyDescent="0.3">
      <c r="B152" s="15" t="s">
        <v>328</v>
      </c>
      <c r="C152" s="17" t="s">
        <v>654</v>
      </c>
      <c r="D152" s="17" t="s">
        <v>649</v>
      </c>
      <c r="E152" s="17" t="s">
        <v>653</v>
      </c>
      <c r="F152" s="17" t="s">
        <v>649</v>
      </c>
      <c r="G152" s="17" t="s">
        <v>654</v>
      </c>
      <c r="J152" t="s">
        <v>661</v>
      </c>
      <c r="Y152" s="15" t="s">
        <v>514</v>
      </c>
      <c r="Z152" s="17" t="s">
        <v>658</v>
      </c>
      <c r="AA152" s="17" t="s">
        <v>657</v>
      </c>
      <c r="AB152" s="17" t="s">
        <v>658</v>
      </c>
      <c r="AC152" s="17" t="s">
        <v>659</v>
      </c>
      <c r="AD152" s="17" t="s">
        <v>657</v>
      </c>
      <c r="AG152" t="s">
        <v>561</v>
      </c>
      <c r="AH152" s="17" t="s">
        <v>322</v>
      </c>
      <c r="AI152" s="17" t="s">
        <v>235</v>
      </c>
      <c r="AJ152" s="17" t="s">
        <v>322</v>
      </c>
      <c r="AK152" s="17" t="s">
        <v>265</v>
      </c>
      <c r="AL152" s="17" t="s">
        <v>322</v>
      </c>
      <c r="AV152" s="15" t="s">
        <v>514</v>
      </c>
      <c r="AW152" s="17" t="s">
        <v>659</v>
      </c>
      <c r="AX152" s="17" t="s">
        <v>657</v>
      </c>
      <c r="AY152" s="17" t="s">
        <v>658</v>
      </c>
      <c r="AZ152" s="17" t="s">
        <v>657</v>
      </c>
      <c r="BA152" s="17" t="s">
        <v>658</v>
      </c>
      <c r="BD152" t="s">
        <v>539</v>
      </c>
      <c r="BE152" s="17" t="s">
        <v>322</v>
      </c>
      <c r="BF152" s="17" t="s">
        <v>235</v>
      </c>
      <c r="BG152" s="17" t="s">
        <v>322</v>
      </c>
      <c r="BH152" s="17" t="s">
        <v>265</v>
      </c>
      <c r="BI152" s="17" t="s">
        <v>322</v>
      </c>
    </row>
    <row r="153" spans="2:61" x14ac:dyDescent="0.3">
      <c r="B153" s="15" t="s">
        <v>350</v>
      </c>
      <c r="C153" s="17" t="s">
        <v>654</v>
      </c>
      <c r="D153" s="17" t="s">
        <v>649</v>
      </c>
      <c r="E153" s="17" t="s">
        <v>322</v>
      </c>
      <c r="F153" s="17" t="s">
        <v>322</v>
      </c>
      <c r="G153" s="17" t="s">
        <v>654</v>
      </c>
      <c r="K153" s="17" t="s">
        <v>315</v>
      </c>
      <c r="L153" s="17" t="s">
        <v>316</v>
      </c>
      <c r="M153" s="17" t="s">
        <v>317</v>
      </c>
      <c r="N153" s="17" t="s">
        <v>318</v>
      </c>
      <c r="O153" s="17" t="s">
        <v>319</v>
      </c>
      <c r="Y153" s="15" t="s">
        <v>517</v>
      </c>
      <c r="Z153" s="17" t="s">
        <v>658</v>
      </c>
      <c r="AA153" s="17" t="s">
        <v>660</v>
      </c>
      <c r="AB153" s="17" t="s">
        <v>649</v>
      </c>
      <c r="AC153" s="17" t="s">
        <v>659</v>
      </c>
      <c r="AD153" s="17" t="s">
        <v>657</v>
      </c>
      <c r="AV153" s="15" t="s">
        <v>517</v>
      </c>
      <c r="AW153" s="17" t="s">
        <v>659</v>
      </c>
      <c r="AX153" s="17" t="s">
        <v>660</v>
      </c>
      <c r="AY153" s="17" t="s">
        <v>659</v>
      </c>
      <c r="AZ153" s="17" t="s">
        <v>657</v>
      </c>
      <c r="BA153" s="17" t="s">
        <v>658</v>
      </c>
      <c r="BD153" t="s">
        <v>543</v>
      </c>
      <c r="BE153" s="17" t="s">
        <v>322</v>
      </c>
      <c r="BF153" s="17" t="s">
        <v>235</v>
      </c>
      <c r="BG153" s="17" t="s">
        <v>322</v>
      </c>
      <c r="BH153" s="17" t="s">
        <v>265</v>
      </c>
      <c r="BI153" s="17" t="s">
        <v>322</v>
      </c>
    </row>
    <row r="154" spans="2:61" x14ac:dyDescent="0.3">
      <c r="J154" t="s">
        <v>573</v>
      </c>
      <c r="K154" s="17" t="s">
        <v>322</v>
      </c>
      <c r="L154" s="17" t="s">
        <v>322</v>
      </c>
      <c r="M154" s="17" t="s">
        <v>322</v>
      </c>
      <c r="N154" s="17" t="s">
        <v>322</v>
      </c>
      <c r="O154" s="17" t="s">
        <v>274</v>
      </c>
      <c r="Y154" s="15" t="s">
        <v>326</v>
      </c>
      <c r="Z154" s="17" t="s">
        <v>654</v>
      </c>
      <c r="AA154" s="17" t="s">
        <v>660</v>
      </c>
      <c r="AB154" s="17" t="s">
        <v>649</v>
      </c>
      <c r="AC154" s="17" t="s">
        <v>660</v>
      </c>
      <c r="AD154" s="17" t="s">
        <v>654</v>
      </c>
      <c r="AG154" t="s">
        <v>661</v>
      </c>
      <c r="AV154" s="15" t="s">
        <v>326</v>
      </c>
      <c r="AW154" s="17" t="s">
        <v>654</v>
      </c>
      <c r="AX154" s="17" t="s">
        <v>660</v>
      </c>
      <c r="AY154" s="17" t="s">
        <v>659</v>
      </c>
      <c r="AZ154" s="17" t="s">
        <v>660</v>
      </c>
      <c r="BA154" s="17" t="s">
        <v>654</v>
      </c>
      <c r="BD154" t="s">
        <v>573</v>
      </c>
      <c r="BE154" s="17" t="s">
        <v>322</v>
      </c>
      <c r="BF154" s="17" t="s">
        <v>235</v>
      </c>
      <c r="BG154" s="17" t="s">
        <v>322</v>
      </c>
      <c r="BH154" s="17" t="s">
        <v>265</v>
      </c>
      <c r="BI154" s="17" t="s">
        <v>322</v>
      </c>
    </row>
    <row r="155" spans="2:61" x14ac:dyDescent="0.3">
      <c r="B155" s="15" t="s">
        <v>656</v>
      </c>
      <c r="J155" t="s">
        <v>561</v>
      </c>
      <c r="K155" s="17" t="s">
        <v>322</v>
      </c>
      <c r="L155" s="17" t="s">
        <v>322</v>
      </c>
      <c r="M155" s="17" t="s">
        <v>322</v>
      </c>
      <c r="N155" s="17" t="s">
        <v>322</v>
      </c>
      <c r="O155" s="17" t="s">
        <v>274</v>
      </c>
      <c r="Y155" s="15" t="s">
        <v>328</v>
      </c>
      <c r="Z155" s="17" t="s">
        <v>654</v>
      </c>
      <c r="AA155" s="17" t="s">
        <v>659</v>
      </c>
      <c r="AB155" s="17" t="s">
        <v>322</v>
      </c>
      <c r="AC155" s="17" t="s">
        <v>660</v>
      </c>
      <c r="AD155" s="17" t="s">
        <v>654</v>
      </c>
      <c r="AH155" s="17" t="s">
        <v>315</v>
      </c>
      <c r="AI155" s="17" t="s">
        <v>316</v>
      </c>
      <c r="AJ155" s="17" t="s">
        <v>317</v>
      </c>
      <c r="AK155" s="17" t="s">
        <v>318</v>
      </c>
      <c r="AL155" s="17" t="s">
        <v>319</v>
      </c>
      <c r="AV155" s="15" t="s">
        <v>328</v>
      </c>
      <c r="AW155" s="17" t="s">
        <v>654</v>
      </c>
      <c r="AX155" s="17" t="s">
        <v>649</v>
      </c>
      <c r="AY155" s="17" t="s">
        <v>322</v>
      </c>
      <c r="AZ155" s="17" t="s">
        <v>660</v>
      </c>
      <c r="BA155" s="17" t="s">
        <v>654</v>
      </c>
      <c r="BD155" t="s">
        <v>561</v>
      </c>
      <c r="BE155" s="17" t="s">
        <v>322</v>
      </c>
      <c r="BF155" s="17" t="s">
        <v>235</v>
      </c>
      <c r="BG155" s="17" t="s">
        <v>322</v>
      </c>
      <c r="BH155" s="17" t="s">
        <v>265</v>
      </c>
      <c r="BI155" s="17" t="s">
        <v>322</v>
      </c>
    </row>
    <row r="156" spans="2:61" x14ac:dyDescent="0.3">
      <c r="C156" s="17" t="s">
        <v>315</v>
      </c>
      <c r="D156" s="17" t="s">
        <v>316</v>
      </c>
      <c r="E156" s="17" t="s">
        <v>317</v>
      </c>
      <c r="F156" s="17" t="s">
        <v>318</v>
      </c>
      <c r="G156" s="17" t="s">
        <v>319</v>
      </c>
      <c r="J156" t="s">
        <v>551</v>
      </c>
      <c r="K156" s="17" t="s">
        <v>274</v>
      </c>
      <c r="L156" s="17" t="s">
        <v>322</v>
      </c>
      <c r="M156" s="17" t="s">
        <v>322</v>
      </c>
      <c r="N156" s="17" t="s">
        <v>322</v>
      </c>
      <c r="O156" s="17" t="s">
        <v>322</v>
      </c>
      <c r="Y156" s="15" t="s">
        <v>350</v>
      </c>
      <c r="Z156" s="17" t="s">
        <v>654</v>
      </c>
      <c r="AA156" s="17" t="s">
        <v>659</v>
      </c>
      <c r="AB156" s="17" t="s">
        <v>322</v>
      </c>
      <c r="AC156" s="17" t="s">
        <v>322</v>
      </c>
      <c r="AD156" s="17" t="s">
        <v>654</v>
      </c>
      <c r="AG156" t="s">
        <v>573</v>
      </c>
      <c r="AH156" s="17" t="s">
        <v>322</v>
      </c>
      <c r="AI156" s="17" t="s">
        <v>322</v>
      </c>
      <c r="AJ156" s="17" t="s">
        <v>322</v>
      </c>
      <c r="AK156" s="17" t="s">
        <v>322</v>
      </c>
      <c r="AL156" s="17" t="s">
        <v>274</v>
      </c>
      <c r="AV156" s="15" t="s">
        <v>350</v>
      </c>
      <c r="AW156" s="17" t="s">
        <v>654</v>
      </c>
      <c r="AX156" s="17" t="s">
        <v>649</v>
      </c>
      <c r="AY156" s="17" t="s">
        <v>322</v>
      </c>
      <c r="AZ156" s="17" t="s">
        <v>649</v>
      </c>
      <c r="BA156" s="17" t="s">
        <v>654</v>
      </c>
    </row>
    <row r="157" spans="2:61" x14ac:dyDescent="0.3">
      <c r="B157" s="15" t="s">
        <v>512</v>
      </c>
      <c r="C157" s="17" t="s">
        <v>322</v>
      </c>
      <c r="D157" s="17" t="s">
        <v>657</v>
      </c>
      <c r="E157" s="17" t="s">
        <v>658</v>
      </c>
      <c r="F157" s="17" t="s">
        <v>659</v>
      </c>
      <c r="G157" s="17" t="s">
        <v>657</v>
      </c>
      <c r="J157" t="s">
        <v>552</v>
      </c>
      <c r="K157" s="17" t="s">
        <v>274</v>
      </c>
      <c r="L157" s="17" t="s">
        <v>322</v>
      </c>
      <c r="M157" s="17" t="s">
        <v>322</v>
      </c>
      <c r="N157" s="17" t="s">
        <v>322</v>
      </c>
      <c r="O157" s="17" t="s">
        <v>322</v>
      </c>
      <c r="AG157" t="s">
        <v>561</v>
      </c>
      <c r="AH157" s="17" t="s">
        <v>322</v>
      </c>
      <c r="AI157" s="17" t="s">
        <v>322</v>
      </c>
      <c r="AJ157" s="17" t="s">
        <v>322</v>
      </c>
      <c r="AK157" s="17" t="s">
        <v>322</v>
      </c>
      <c r="AL157" s="17" t="s">
        <v>274</v>
      </c>
      <c r="BD157" t="s">
        <v>661</v>
      </c>
    </row>
    <row r="158" spans="2:61" x14ac:dyDescent="0.3">
      <c r="B158" s="15" t="s">
        <v>514</v>
      </c>
      <c r="C158" s="17" t="s">
        <v>658</v>
      </c>
      <c r="D158" s="17" t="s">
        <v>657</v>
      </c>
      <c r="E158" s="17" t="s">
        <v>658</v>
      </c>
      <c r="F158" s="17" t="s">
        <v>659</v>
      </c>
      <c r="G158" s="17" t="s">
        <v>657</v>
      </c>
      <c r="Y158" s="15" t="s">
        <v>662</v>
      </c>
      <c r="AG158" t="s">
        <v>551</v>
      </c>
      <c r="AH158" s="17" t="s">
        <v>274</v>
      </c>
      <c r="AI158" s="17" t="s">
        <v>322</v>
      </c>
      <c r="AJ158" s="17" t="s">
        <v>322</v>
      </c>
      <c r="AK158" s="17" t="s">
        <v>322</v>
      </c>
      <c r="AL158" s="17" t="s">
        <v>322</v>
      </c>
      <c r="AV158" s="15" t="s">
        <v>662</v>
      </c>
      <c r="BE158" s="17" t="s">
        <v>315</v>
      </c>
      <c r="BF158" s="17" t="s">
        <v>316</v>
      </c>
      <c r="BG158" s="17" t="s">
        <v>317</v>
      </c>
      <c r="BH158" s="17" t="s">
        <v>318</v>
      </c>
      <c r="BI158" s="17" t="s">
        <v>319</v>
      </c>
    </row>
    <row r="159" spans="2:61" x14ac:dyDescent="0.3">
      <c r="B159" s="15" t="s">
        <v>517</v>
      </c>
      <c r="C159" s="17" t="s">
        <v>658</v>
      </c>
      <c r="D159" s="17" t="s">
        <v>660</v>
      </c>
      <c r="E159" s="17" t="s">
        <v>649</v>
      </c>
      <c r="F159" s="17" t="s">
        <v>659</v>
      </c>
      <c r="G159" s="17" t="s">
        <v>657</v>
      </c>
      <c r="J159" t="s">
        <v>666</v>
      </c>
      <c r="Z159" s="17" t="s">
        <v>315</v>
      </c>
      <c r="AA159" s="17" t="s">
        <v>316</v>
      </c>
      <c r="AB159" s="17" t="s">
        <v>317</v>
      </c>
      <c r="AC159" s="17" t="s">
        <v>318</v>
      </c>
      <c r="AD159" s="17" t="s">
        <v>319</v>
      </c>
      <c r="AG159" t="s">
        <v>552</v>
      </c>
      <c r="AH159" s="17" t="s">
        <v>274</v>
      </c>
      <c r="AI159" s="17" t="s">
        <v>322</v>
      </c>
      <c r="AJ159" s="17" t="s">
        <v>322</v>
      </c>
      <c r="AK159" s="17" t="s">
        <v>322</v>
      </c>
      <c r="AL159" s="17" t="s">
        <v>322</v>
      </c>
      <c r="AW159" s="17" t="s">
        <v>315</v>
      </c>
      <c r="AX159" s="17" t="s">
        <v>316</v>
      </c>
      <c r="AY159" s="17" t="s">
        <v>317</v>
      </c>
      <c r="AZ159" s="17" t="s">
        <v>318</v>
      </c>
      <c r="BA159" s="17" t="s">
        <v>319</v>
      </c>
      <c r="BD159" t="s">
        <v>573</v>
      </c>
      <c r="BE159" s="17" t="s">
        <v>322</v>
      </c>
      <c r="BF159" s="17" t="s">
        <v>322</v>
      </c>
      <c r="BG159" s="17" t="s">
        <v>322</v>
      </c>
      <c r="BH159" s="17" t="s">
        <v>322</v>
      </c>
      <c r="BI159" s="17" t="s">
        <v>274</v>
      </c>
    </row>
    <row r="160" spans="2:61" x14ac:dyDescent="0.3">
      <c r="B160" s="15" t="s">
        <v>326</v>
      </c>
      <c r="C160" s="17" t="s">
        <v>654</v>
      </c>
      <c r="D160" s="17" t="s">
        <v>660</v>
      </c>
      <c r="E160" s="17" t="s">
        <v>649</v>
      </c>
      <c r="F160" s="17" t="s">
        <v>660</v>
      </c>
      <c r="G160" s="17" t="s">
        <v>654</v>
      </c>
      <c r="K160" s="17" t="s">
        <v>315</v>
      </c>
      <c r="L160" s="17" t="s">
        <v>316</v>
      </c>
      <c r="M160" s="17" t="s">
        <v>317</v>
      </c>
      <c r="N160" s="17" t="s">
        <v>318</v>
      </c>
      <c r="O160" s="17" t="s">
        <v>319</v>
      </c>
      <c r="Y160" s="15" t="s">
        <v>512</v>
      </c>
      <c r="Z160" s="17" t="s">
        <v>663</v>
      </c>
      <c r="AA160" s="17" t="s">
        <v>649</v>
      </c>
      <c r="AB160" s="130" t="s">
        <v>322</v>
      </c>
      <c r="AC160" s="17" t="s">
        <v>663</v>
      </c>
      <c r="AD160" s="17" t="s">
        <v>664</v>
      </c>
      <c r="AV160" s="15" t="s">
        <v>512</v>
      </c>
      <c r="AW160" s="17" t="s">
        <v>663</v>
      </c>
      <c r="AX160" s="17" t="s">
        <v>665</v>
      </c>
      <c r="AY160" s="17" t="s">
        <v>649</v>
      </c>
      <c r="AZ160" s="17" t="s">
        <v>663</v>
      </c>
      <c r="BA160" s="17" t="s">
        <v>664</v>
      </c>
      <c r="BD160" t="s">
        <v>561</v>
      </c>
      <c r="BE160" s="17" t="s">
        <v>322</v>
      </c>
      <c r="BF160" s="17" t="s">
        <v>322</v>
      </c>
      <c r="BG160" s="17" t="s">
        <v>322</v>
      </c>
      <c r="BH160" s="17" t="s">
        <v>322</v>
      </c>
      <c r="BI160" s="17" t="s">
        <v>274</v>
      </c>
    </row>
    <row r="161" spans="2:61" x14ac:dyDescent="0.3">
      <c r="B161" s="15" t="s">
        <v>328</v>
      </c>
      <c r="C161" s="17" t="s">
        <v>654</v>
      </c>
      <c r="D161" s="17" t="s">
        <v>659</v>
      </c>
      <c r="E161" s="17" t="s">
        <v>322</v>
      </c>
      <c r="F161" s="17" t="s">
        <v>660</v>
      </c>
      <c r="G161" s="17" t="s">
        <v>654</v>
      </c>
      <c r="J161" t="s">
        <v>517</v>
      </c>
      <c r="K161" s="17" t="s">
        <v>322</v>
      </c>
      <c r="L161" s="17" t="s">
        <v>156</v>
      </c>
      <c r="M161" s="17" t="s">
        <v>322</v>
      </c>
      <c r="N161" s="17" t="s">
        <v>322</v>
      </c>
      <c r="O161" s="17" t="s">
        <v>322</v>
      </c>
      <c r="Y161" s="15" t="s">
        <v>514</v>
      </c>
      <c r="Z161" s="17" t="s">
        <v>663</v>
      </c>
      <c r="AA161" s="17" t="s">
        <v>649</v>
      </c>
      <c r="AB161" s="130" t="s">
        <v>322</v>
      </c>
      <c r="AC161" s="17" t="s">
        <v>663</v>
      </c>
      <c r="AD161" s="17" t="s">
        <v>664</v>
      </c>
      <c r="AG161" t="s">
        <v>666</v>
      </c>
      <c r="AV161" s="15" t="s">
        <v>514</v>
      </c>
      <c r="AW161" s="17" t="s">
        <v>663</v>
      </c>
      <c r="AX161" s="17" t="s">
        <v>665</v>
      </c>
      <c r="AY161" s="17" t="s">
        <v>649</v>
      </c>
      <c r="AZ161" s="17" t="s">
        <v>663</v>
      </c>
      <c r="BA161" s="17" t="s">
        <v>664</v>
      </c>
      <c r="BD161" t="s">
        <v>551</v>
      </c>
      <c r="BE161" s="17" t="s">
        <v>274</v>
      </c>
      <c r="BF161" s="17" t="s">
        <v>322</v>
      </c>
      <c r="BG161" s="17" t="s">
        <v>322</v>
      </c>
      <c r="BH161" s="17" t="s">
        <v>322</v>
      </c>
      <c r="BI161" s="17" t="s">
        <v>322</v>
      </c>
    </row>
    <row r="162" spans="2:61" x14ac:dyDescent="0.3">
      <c r="B162" s="15" t="s">
        <v>350</v>
      </c>
      <c r="C162" s="17" t="s">
        <v>654</v>
      </c>
      <c r="D162" s="17" t="s">
        <v>659</v>
      </c>
      <c r="E162" s="17" t="s">
        <v>322</v>
      </c>
      <c r="F162" s="130" t="s">
        <v>649</v>
      </c>
      <c r="G162" s="17" t="s">
        <v>654</v>
      </c>
      <c r="J162" t="s">
        <v>326</v>
      </c>
      <c r="K162" s="17" t="s">
        <v>322</v>
      </c>
      <c r="L162" s="17" t="s">
        <v>156</v>
      </c>
      <c r="M162" s="17" t="s">
        <v>322</v>
      </c>
      <c r="N162" s="17" t="s">
        <v>156</v>
      </c>
      <c r="O162" s="17" t="s">
        <v>322</v>
      </c>
      <c r="Y162" s="15" t="s">
        <v>517</v>
      </c>
      <c r="Z162" s="17" t="s">
        <v>664</v>
      </c>
      <c r="AA162" s="17" t="s">
        <v>665</v>
      </c>
      <c r="AB162" s="17" t="s">
        <v>667</v>
      </c>
      <c r="AC162" s="17" t="s">
        <v>665</v>
      </c>
      <c r="AD162" s="17" t="s">
        <v>649</v>
      </c>
      <c r="AH162" s="17" t="s">
        <v>315</v>
      </c>
      <c r="AI162" s="17" t="s">
        <v>316</v>
      </c>
      <c r="AJ162" s="17" t="s">
        <v>317</v>
      </c>
      <c r="AK162" s="17" t="s">
        <v>318</v>
      </c>
      <c r="AL162" s="17" t="s">
        <v>319</v>
      </c>
      <c r="AV162" s="15" t="s">
        <v>517</v>
      </c>
      <c r="AW162" s="17" t="s">
        <v>668</v>
      </c>
      <c r="AX162" s="17" t="s">
        <v>667</v>
      </c>
      <c r="AY162" s="17" t="s">
        <v>668</v>
      </c>
      <c r="AZ162" s="17" t="s">
        <v>665</v>
      </c>
      <c r="BA162" s="17" t="s">
        <v>649</v>
      </c>
      <c r="BD162" t="s">
        <v>552</v>
      </c>
      <c r="BE162" s="17" t="s">
        <v>274</v>
      </c>
      <c r="BF162" s="17" t="s">
        <v>322</v>
      </c>
      <c r="BG162" s="17" t="s">
        <v>322</v>
      </c>
      <c r="BH162" s="17" t="s">
        <v>322</v>
      </c>
      <c r="BI162" s="17" t="s">
        <v>322</v>
      </c>
    </row>
    <row r="163" spans="2:61" x14ac:dyDescent="0.3">
      <c r="J163" t="s">
        <v>328</v>
      </c>
      <c r="K163" s="17" t="s">
        <v>322</v>
      </c>
      <c r="L163" s="17" t="s">
        <v>322</v>
      </c>
      <c r="M163" s="17" t="s">
        <v>322</v>
      </c>
      <c r="N163" s="17" t="s">
        <v>156</v>
      </c>
      <c r="O163" s="17" t="s">
        <v>322</v>
      </c>
      <c r="Y163" s="15" t="s">
        <v>326</v>
      </c>
      <c r="Z163" s="17" t="s">
        <v>664</v>
      </c>
      <c r="AA163" s="17" t="s">
        <v>665</v>
      </c>
      <c r="AB163" s="17" t="s">
        <v>667</v>
      </c>
      <c r="AC163" s="17" t="s">
        <v>665</v>
      </c>
      <c r="AD163" s="17" t="s">
        <v>667</v>
      </c>
      <c r="AG163" t="s">
        <v>517</v>
      </c>
      <c r="AH163" s="17" t="s">
        <v>322</v>
      </c>
      <c r="AI163" s="17" t="s">
        <v>156</v>
      </c>
      <c r="AJ163" s="17" t="s">
        <v>322</v>
      </c>
      <c r="AK163" s="17" t="s">
        <v>322</v>
      </c>
      <c r="AL163" s="17" t="s">
        <v>322</v>
      </c>
      <c r="AV163" s="15" t="s">
        <v>326</v>
      </c>
      <c r="AW163" s="17" t="s">
        <v>668</v>
      </c>
      <c r="AX163" s="17" t="s">
        <v>667</v>
      </c>
      <c r="AY163" s="17" t="s">
        <v>668</v>
      </c>
      <c r="AZ163" s="17" t="s">
        <v>665</v>
      </c>
      <c r="BA163" s="17" t="s">
        <v>667</v>
      </c>
    </row>
    <row r="164" spans="2:61" x14ac:dyDescent="0.3">
      <c r="B164" s="15" t="s">
        <v>662</v>
      </c>
      <c r="J164" t="s">
        <v>539</v>
      </c>
      <c r="K164" s="17" t="s">
        <v>322</v>
      </c>
      <c r="L164" s="17" t="s">
        <v>269</v>
      </c>
      <c r="M164" s="17" t="s">
        <v>322</v>
      </c>
      <c r="N164" s="17" t="s">
        <v>269</v>
      </c>
      <c r="O164" s="17" t="s">
        <v>322</v>
      </c>
      <c r="Y164" s="15" t="s">
        <v>328</v>
      </c>
      <c r="Z164" s="17" t="s">
        <v>668</v>
      </c>
      <c r="AA164" s="17" t="s">
        <v>665</v>
      </c>
      <c r="AB164" s="17" t="s">
        <v>667</v>
      </c>
      <c r="AC164" s="17" t="s">
        <v>668</v>
      </c>
      <c r="AD164" s="17" t="s">
        <v>667</v>
      </c>
      <c r="AG164" t="s">
        <v>326</v>
      </c>
      <c r="AH164" s="17" t="s">
        <v>322</v>
      </c>
      <c r="AI164" s="17" t="s">
        <v>156</v>
      </c>
      <c r="AJ164" s="17" t="s">
        <v>322</v>
      </c>
      <c r="AK164" s="17" t="s">
        <v>156</v>
      </c>
      <c r="AL164" s="17" t="s">
        <v>322</v>
      </c>
      <c r="AV164" s="15" t="s">
        <v>328</v>
      </c>
      <c r="AW164" s="17" t="s">
        <v>664</v>
      </c>
      <c r="AX164" s="17" t="s">
        <v>667</v>
      </c>
      <c r="AY164" s="17" t="s">
        <v>322</v>
      </c>
      <c r="AZ164" s="17" t="s">
        <v>665</v>
      </c>
      <c r="BA164" s="17" t="s">
        <v>667</v>
      </c>
      <c r="BD164" t="s">
        <v>666</v>
      </c>
    </row>
    <row r="165" spans="2:61" x14ac:dyDescent="0.3">
      <c r="C165" s="17" t="s">
        <v>315</v>
      </c>
      <c r="D165" s="17" t="s">
        <v>316</v>
      </c>
      <c r="E165" s="17" t="s">
        <v>317</v>
      </c>
      <c r="F165" s="17" t="s">
        <v>318</v>
      </c>
      <c r="G165" s="17" t="s">
        <v>319</v>
      </c>
      <c r="J165" t="s">
        <v>543</v>
      </c>
      <c r="K165" s="17" t="s">
        <v>322</v>
      </c>
      <c r="L165" s="17" t="s">
        <v>269</v>
      </c>
      <c r="M165" s="17" t="s">
        <v>322</v>
      </c>
      <c r="N165" s="17" t="s">
        <v>269</v>
      </c>
      <c r="O165" s="17" t="s">
        <v>322</v>
      </c>
      <c r="Y165" s="15" t="s">
        <v>350</v>
      </c>
      <c r="Z165" s="17" t="s">
        <v>668</v>
      </c>
      <c r="AA165" s="17" t="s">
        <v>322</v>
      </c>
      <c r="AB165" s="17" t="s">
        <v>322</v>
      </c>
      <c r="AC165" s="17" t="s">
        <v>668</v>
      </c>
      <c r="AD165" s="17" t="s">
        <v>322</v>
      </c>
      <c r="AG165" t="s">
        <v>328</v>
      </c>
      <c r="AH165" s="17" t="s">
        <v>322</v>
      </c>
      <c r="AI165" s="17" t="s">
        <v>322</v>
      </c>
      <c r="AJ165" s="17" t="s">
        <v>322</v>
      </c>
      <c r="AK165" s="17" t="s">
        <v>156</v>
      </c>
      <c r="AL165" s="17" t="s">
        <v>322</v>
      </c>
      <c r="AV165" s="15" t="s">
        <v>350</v>
      </c>
      <c r="AW165" s="17" t="s">
        <v>664</v>
      </c>
      <c r="AX165" s="17" t="s">
        <v>322</v>
      </c>
      <c r="AY165" s="17" t="s">
        <v>322</v>
      </c>
      <c r="AZ165" s="17" t="s">
        <v>322</v>
      </c>
      <c r="BA165" s="17" t="s">
        <v>322</v>
      </c>
      <c r="BE165" s="17" t="s">
        <v>315</v>
      </c>
      <c r="BF165" s="17" t="s">
        <v>316</v>
      </c>
      <c r="BG165" s="17" t="s">
        <v>317</v>
      </c>
      <c r="BH165" s="17" t="s">
        <v>318</v>
      </c>
      <c r="BI165" s="17" t="s">
        <v>319</v>
      </c>
    </row>
    <row r="166" spans="2:61" x14ac:dyDescent="0.3">
      <c r="B166" s="15" t="s">
        <v>512</v>
      </c>
      <c r="C166" s="17" t="s">
        <v>663</v>
      </c>
      <c r="D166" s="17" t="s">
        <v>649</v>
      </c>
      <c r="E166" s="130" t="s">
        <v>322</v>
      </c>
      <c r="F166" s="17" t="s">
        <v>663</v>
      </c>
      <c r="G166" s="17" t="s">
        <v>322</v>
      </c>
      <c r="AG166" t="s">
        <v>539</v>
      </c>
      <c r="AH166" s="17" t="s">
        <v>322</v>
      </c>
      <c r="AI166" s="17" t="s">
        <v>269</v>
      </c>
      <c r="AJ166" s="17" t="s">
        <v>322</v>
      </c>
      <c r="AK166" s="17" t="s">
        <v>269</v>
      </c>
      <c r="AL166" s="17" t="s">
        <v>322</v>
      </c>
      <c r="BD166" t="s">
        <v>517</v>
      </c>
      <c r="BE166" s="17" t="s">
        <v>322</v>
      </c>
      <c r="BF166" s="17" t="s">
        <v>156</v>
      </c>
      <c r="BG166" s="17" t="s">
        <v>322</v>
      </c>
      <c r="BH166" s="17" t="s">
        <v>322</v>
      </c>
      <c r="BI166" s="17" t="s">
        <v>322</v>
      </c>
    </row>
    <row r="167" spans="2:61" x14ac:dyDescent="0.3">
      <c r="B167" s="15" t="s">
        <v>514</v>
      </c>
      <c r="C167" s="17" t="s">
        <v>663</v>
      </c>
      <c r="D167" s="17" t="s">
        <v>649</v>
      </c>
      <c r="E167" s="130" t="s">
        <v>649</v>
      </c>
      <c r="F167" s="17" t="s">
        <v>663</v>
      </c>
      <c r="G167" s="17" t="s">
        <v>664</v>
      </c>
      <c r="J167" t="s">
        <v>671</v>
      </c>
      <c r="Y167" s="15" t="s">
        <v>669</v>
      </c>
      <c r="AG167" t="s">
        <v>543</v>
      </c>
      <c r="AH167" s="17" t="s">
        <v>322</v>
      </c>
      <c r="AI167" s="17" t="s">
        <v>269</v>
      </c>
      <c r="AJ167" s="17" t="s">
        <v>322</v>
      </c>
      <c r="AK167" s="17" t="s">
        <v>269</v>
      </c>
      <c r="AL167" s="17" t="s">
        <v>322</v>
      </c>
      <c r="AV167" s="15" t="s">
        <v>669</v>
      </c>
      <c r="BD167" t="s">
        <v>326</v>
      </c>
      <c r="BE167" s="17" t="s">
        <v>322</v>
      </c>
      <c r="BF167" s="17" t="s">
        <v>156</v>
      </c>
      <c r="BG167" s="17" t="s">
        <v>322</v>
      </c>
      <c r="BH167" s="17" t="s">
        <v>156</v>
      </c>
      <c r="BI167" s="17" t="s">
        <v>322</v>
      </c>
    </row>
    <row r="168" spans="2:61" x14ac:dyDescent="0.3">
      <c r="B168" s="15" t="s">
        <v>517</v>
      </c>
      <c r="C168" s="17" t="s">
        <v>664</v>
      </c>
      <c r="D168" s="17" t="s">
        <v>665</v>
      </c>
      <c r="E168" s="17" t="s">
        <v>667</v>
      </c>
      <c r="F168" s="17" t="s">
        <v>665</v>
      </c>
      <c r="G168" s="130" t="s">
        <v>664</v>
      </c>
      <c r="K168" s="17" t="s">
        <v>315</v>
      </c>
      <c r="L168" s="17" t="s">
        <v>316</v>
      </c>
      <c r="M168" s="17" t="s">
        <v>317</v>
      </c>
      <c r="N168" s="17" t="s">
        <v>318</v>
      </c>
      <c r="O168" s="17" t="s">
        <v>319</v>
      </c>
      <c r="Z168" s="17" t="s">
        <v>315</v>
      </c>
      <c r="AA168" s="17" t="s">
        <v>316</v>
      </c>
      <c r="AB168" s="17" t="s">
        <v>317</v>
      </c>
      <c r="AC168" s="17" t="s">
        <v>318</v>
      </c>
      <c r="AD168" s="17" t="s">
        <v>319</v>
      </c>
      <c r="AW168" s="17" t="s">
        <v>315</v>
      </c>
      <c r="AX168" s="17" t="s">
        <v>316</v>
      </c>
      <c r="AY168" s="17" t="s">
        <v>317</v>
      </c>
      <c r="AZ168" s="17" t="s">
        <v>318</v>
      </c>
      <c r="BA168" s="17" t="s">
        <v>319</v>
      </c>
      <c r="BD168" t="s">
        <v>328</v>
      </c>
      <c r="BE168" s="17" t="s">
        <v>322</v>
      </c>
      <c r="BF168" s="17" t="s">
        <v>322</v>
      </c>
      <c r="BG168" s="17" t="s">
        <v>322</v>
      </c>
      <c r="BH168" s="17" t="s">
        <v>156</v>
      </c>
      <c r="BI168" s="17" t="s">
        <v>322</v>
      </c>
    </row>
    <row r="169" spans="2:61" x14ac:dyDescent="0.3">
      <c r="B169" s="15" t="s">
        <v>326</v>
      </c>
      <c r="C169" s="17" t="s">
        <v>664</v>
      </c>
      <c r="D169" s="17" t="s">
        <v>665</v>
      </c>
      <c r="E169" s="17" t="s">
        <v>667</v>
      </c>
      <c r="F169" s="17" t="s">
        <v>665</v>
      </c>
      <c r="G169" s="17" t="s">
        <v>667</v>
      </c>
      <c r="J169" t="s">
        <v>326</v>
      </c>
      <c r="K169" s="17" t="s">
        <v>137</v>
      </c>
      <c r="L169" s="17" t="s">
        <v>322</v>
      </c>
      <c r="M169" s="17" t="s">
        <v>322</v>
      </c>
      <c r="N169" s="17" t="s">
        <v>137</v>
      </c>
      <c r="O169" s="17" t="s">
        <v>322</v>
      </c>
      <c r="Y169" s="15" t="s">
        <v>512</v>
      </c>
      <c r="Z169" s="17" t="s">
        <v>649</v>
      </c>
      <c r="AA169" s="17" t="s">
        <v>670</v>
      </c>
      <c r="AB169" s="17" t="s">
        <v>658</v>
      </c>
      <c r="AC169" s="17" t="s">
        <v>659</v>
      </c>
      <c r="AD169" s="17" t="s">
        <v>670</v>
      </c>
      <c r="AG169" t="s">
        <v>671</v>
      </c>
      <c r="AV169" s="15" t="s">
        <v>512</v>
      </c>
      <c r="AW169" s="17" t="s">
        <v>659</v>
      </c>
      <c r="AX169" s="17" t="s">
        <v>670</v>
      </c>
      <c r="AY169" s="17" t="s">
        <v>658</v>
      </c>
      <c r="AZ169" s="17" t="s">
        <v>670</v>
      </c>
      <c r="BA169" s="17" t="s">
        <v>322</v>
      </c>
      <c r="BD169" t="s">
        <v>539</v>
      </c>
      <c r="BE169" s="17" t="s">
        <v>322</v>
      </c>
      <c r="BF169" s="17" t="s">
        <v>269</v>
      </c>
      <c r="BG169" s="17" t="s">
        <v>322</v>
      </c>
      <c r="BH169" s="17" t="s">
        <v>269</v>
      </c>
      <c r="BI169" s="17" t="s">
        <v>322</v>
      </c>
    </row>
    <row r="170" spans="2:61" x14ac:dyDescent="0.3">
      <c r="B170" s="15" t="s">
        <v>328</v>
      </c>
      <c r="C170" s="17" t="s">
        <v>668</v>
      </c>
      <c r="D170" s="17" t="s">
        <v>665</v>
      </c>
      <c r="E170" s="17" t="s">
        <v>667</v>
      </c>
      <c r="F170" s="17" t="s">
        <v>668</v>
      </c>
      <c r="G170" s="17" t="s">
        <v>667</v>
      </c>
      <c r="J170" t="s">
        <v>328</v>
      </c>
      <c r="K170" s="17" t="s">
        <v>137</v>
      </c>
      <c r="L170" s="17" t="s">
        <v>322</v>
      </c>
      <c r="M170" s="17" t="s">
        <v>322</v>
      </c>
      <c r="N170" s="17" t="s">
        <v>137</v>
      </c>
      <c r="O170" s="17" t="s">
        <v>322</v>
      </c>
      <c r="Y170" s="15" t="s">
        <v>514</v>
      </c>
      <c r="Z170" s="17" t="s">
        <v>658</v>
      </c>
      <c r="AA170" s="17" t="s">
        <v>670</v>
      </c>
      <c r="AB170" s="17" t="s">
        <v>658</v>
      </c>
      <c r="AC170" s="17" t="s">
        <v>659</v>
      </c>
      <c r="AD170" s="17" t="s">
        <v>670</v>
      </c>
      <c r="AH170" s="17" t="s">
        <v>315</v>
      </c>
      <c r="AI170" s="17" t="s">
        <v>316</v>
      </c>
      <c r="AJ170" s="17" t="s">
        <v>317</v>
      </c>
      <c r="AK170" s="17" t="s">
        <v>318</v>
      </c>
      <c r="AL170" s="17" t="s">
        <v>319</v>
      </c>
      <c r="AV170" s="15" t="s">
        <v>514</v>
      </c>
      <c r="AW170" s="17" t="s">
        <v>659</v>
      </c>
      <c r="AX170" s="17" t="s">
        <v>670</v>
      </c>
      <c r="AY170" s="17" t="s">
        <v>658</v>
      </c>
      <c r="AZ170" s="17" t="s">
        <v>670</v>
      </c>
      <c r="BA170" s="17" t="s">
        <v>658</v>
      </c>
      <c r="BD170" t="s">
        <v>543</v>
      </c>
      <c r="BE170" s="17" t="s">
        <v>322</v>
      </c>
      <c r="BF170" s="17" t="s">
        <v>269</v>
      </c>
      <c r="BG170" s="17" t="s">
        <v>322</v>
      </c>
      <c r="BH170" s="17" t="s">
        <v>269</v>
      </c>
      <c r="BI170" s="17" t="s">
        <v>322</v>
      </c>
    </row>
    <row r="171" spans="2:61" x14ac:dyDescent="0.3">
      <c r="B171" s="15" t="s">
        <v>350</v>
      </c>
      <c r="C171" s="17" t="s">
        <v>668</v>
      </c>
      <c r="D171" s="17" t="s">
        <v>322</v>
      </c>
      <c r="E171" s="17" t="s">
        <v>322</v>
      </c>
      <c r="F171" s="17" t="s">
        <v>668</v>
      </c>
      <c r="G171" s="17" t="s">
        <v>322</v>
      </c>
      <c r="J171" t="s">
        <v>350</v>
      </c>
      <c r="K171" s="17" t="s">
        <v>137</v>
      </c>
      <c r="L171" s="17" t="s">
        <v>322</v>
      </c>
      <c r="M171" s="17" t="s">
        <v>322</v>
      </c>
      <c r="N171" s="17" t="s">
        <v>322</v>
      </c>
      <c r="O171" s="17" t="s">
        <v>322</v>
      </c>
      <c r="Y171" s="15" t="s">
        <v>517</v>
      </c>
      <c r="Z171" s="17" t="s">
        <v>658</v>
      </c>
      <c r="AA171" s="17" t="s">
        <v>660</v>
      </c>
      <c r="AB171" s="17" t="s">
        <v>649</v>
      </c>
      <c r="AC171" s="17" t="s">
        <v>659</v>
      </c>
      <c r="AD171" s="17" t="s">
        <v>670</v>
      </c>
      <c r="AG171" t="s">
        <v>326</v>
      </c>
      <c r="AH171" s="17" t="s">
        <v>137</v>
      </c>
      <c r="AI171" s="17" t="s">
        <v>322</v>
      </c>
      <c r="AJ171" s="17" t="s">
        <v>322</v>
      </c>
      <c r="AK171" s="17" t="s">
        <v>137</v>
      </c>
      <c r="AL171" s="17" t="s">
        <v>322</v>
      </c>
      <c r="AV171" s="15" t="s">
        <v>517</v>
      </c>
      <c r="AW171" s="17" t="s">
        <v>659</v>
      </c>
      <c r="AX171" s="17" t="s">
        <v>660</v>
      </c>
      <c r="AY171" s="17" t="s">
        <v>659</v>
      </c>
      <c r="AZ171" s="17" t="s">
        <v>670</v>
      </c>
      <c r="BA171" s="17" t="s">
        <v>658</v>
      </c>
    </row>
    <row r="172" spans="2:61" x14ac:dyDescent="0.3">
      <c r="J172" t="s">
        <v>573</v>
      </c>
      <c r="K172" s="130" t="s">
        <v>268</v>
      </c>
      <c r="L172" s="17" t="s">
        <v>322</v>
      </c>
      <c r="M172" s="17" t="s">
        <v>322</v>
      </c>
      <c r="N172" s="17" t="s">
        <v>322</v>
      </c>
      <c r="O172" s="17" t="s">
        <v>322</v>
      </c>
      <c r="Y172" s="15" t="s">
        <v>326</v>
      </c>
      <c r="Z172" s="17" t="s">
        <v>672</v>
      </c>
      <c r="AA172" s="17" t="s">
        <v>660</v>
      </c>
      <c r="AB172" s="17" t="s">
        <v>649</v>
      </c>
      <c r="AC172" s="17" t="s">
        <v>660</v>
      </c>
      <c r="AD172" s="130" t="s">
        <v>322</v>
      </c>
      <c r="AG172" t="s">
        <v>328</v>
      </c>
      <c r="AH172" s="17" t="s">
        <v>137</v>
      </c>
      <c r="AI172" s="17" t="s">
        <v>322</v>
      </c>
      <c r="AJ172" s="17" t="s">
        <v>322</v>
      </c>
      <c r="AK172" s="17" t="s">
        <v>137</v>
      </c>
      <c r="AL172" s="17" t="s">
        <v>322</v>
      </c>
      <c r="AV172" s="15" t="s">
        <v>326</v>
      </c>
      <c r="AW172" s="17" t="s">
        <v>672</v>
      </c>
      <c r="AX172" s="17" t="s">
        <v>660</v>
      </c>
      <c r="AY172" s="17" t="s">
        <v>659</v>
      </c>
      <c r="AZ172" s="17" t="s">
        <v>660</v>
      </c>
      <c r="BA172" s="17" t="s">
        <v>672</v>
      </c>
      <c r="BD172" t="s">
        <v>671</v>
      </c>
    </row>
    <row r="173" spans="2:61" x14ac:dyDescent="0.3">
      <c r="B173" s="15" t="s">
        <v>669</v>
      </c>
      <c r="J173" t="s">
        <v>561</v>
      </c>
      <c r="K173" s="130" t="s">
        <v>268</v>
      </c>
      <c r="L173" s="17" t="s">
        <v>52</v>
      </c>
      <c r="M173" s="17" t="s">
        <v>268</v>
      </c>
      <c r="N173" s="17" t="s">
        <v>52</v>
      </c>
      <c r="O173" s="17" t="s">
        <v>322</v>
      </c>
      <c r="Y173" s="15" t="s">
        <v>328</v>
      </c>
      <c r="Z173" s="17" t="s">
        <v>672</v>
      </c>
      <c r="AA173" s="17" t="s">
        <v>659</v>
      </c>
      <c r="AB173" s="17" t="s">
        <v>672</v>
      </c>
      <c r="AC173" s="17" t="s">
        <v>660</v>
      </c>
      <c r="AD173" s="130" t="s">
        <v>322</v>
      </c>
      <c r="AG173" t="s">
        <v>350</v>
      </c>
      <c r="AH173" s="17" t="s">
        <v>137</v>
      </c>
      <c r="AI173" s="17" t="s">
        <v>322</v>
      </c>
      <c r="AJ173" s="17" t="s">
        <v>322</v>
      </c>
      <c r="AK173" s="17" t="s">
        <v>322</v>
      </c>
      <c r="AL173" s="17" t="s">
        <v>322</v>
      </c>
      <c r="AV173" s="15" t="s">
        <v>328</v>
      </c>
      <c r="AW173" s="17" t="s">
        <v>672</v>
      </c>
      <c r="AX173" s="17" t="s">
        <v>649</v>
      </c>
      <c r="AY173" s="17" t="s">
        <v>322</v>
      </c>
      <c r="AZ173" s="17" t="s">
        <v>660</v>
      </c>
      <c r="BA173" s="17" t="s">
        <v>672</v>
      </c>
      <c r="BE173" s="17" t="s">
        <v>315</v>
      </c>
      <c r="BF173" s="17" t="s">
        <v>316</v>
      </c>
      <c r="BG173" s="17" t="s">
        <v>317</v>
      </c>
      <c r="BH173" s="17" t="s">
        <v>318</v>
      </c>
      <c r="BI173" s="17" t="s">
        <v>319</v>
      </c>
    </row>
    <row r="174" spans="2:61" x14ac:dyDescent="0.3">
      <c r="C174" s="17" t="s">
        <v>315</v>
      </c>
      <c r="D174" s="17" t="s">
        <v>316</v>
      </c>
      <c r="E174" s="17" t="s">
        <v>317</v>
      </c>
      <c r="F174" s="17" t="s">
        <v>318</v>
      </c>
      <c r="G174" s="17" t="s">
        <v>319</v>
      </c>
      <c r="J174" t="s">
        <v>551</v>
      </c>
      <c r="K174" s="17" t="s">
        <v>322</v>
      </c>
      <c r="L174" s="17" t="s">
        <v>52</v>
      </c>
      <c r="M174" s="17" t="s">
        <v>268</v>
      </c>
      <c r="N174" s="17" t="s">
        <v>52</v>
      </c>
      <c r="O174" s="17" t="s">
        <v>322</v>
      </c>
      <c r="Y174" s="15" t="s">
        <v>350</v>
      </c>
      <c r="Z174" s="17" t="s">
        <v>322</v>
      </c>
      <c r="AA174" s="17" t="s">
        <v>659</v>
      </c>
      <c r="AB174" s="17" t="s">
        <v>672</v>
      </c>
      <c r="AC174" s="17" t="s">
        <v>322</v>
      </c>
      <c r="AD174" s="17" t="s">
        <v>322</v>
      </c>
      <c r="AG174" t="s">
        <v>561</v>
      </c>
      <c r="AH174" s="17" t="s">
        <v>322</v>
      </c>
      <c r="AI174" s="17" t="s">
        <v>52</v>
      </c>
      <c r="AJ174" s="17" t="s">
        <v>268</v>
      </c>
      <c r="AK174" s="17" t="s">
        <v>52</v>
      </c>
      <c r="AL174" s="17" t="s">
        <v>322</v>
      </c>
      <c r="AV174" s="15" t="s">
        <v>350</v>
      </c>
      <c r="AW174" s="17" t="s">
        <v>322</v>
      </c>
      <c r="AX174" s="17" t="s">
        <v>649</v>
      </c>
      <c r="AY174" s="17" t="s">
        <v>322</v>
      </c>
      <c r="AZ174" s="17" t="s">
        <v>649</v>
      </c>
      <c r="BA174" s="17" t="s">
        <v>322</v>
      </c>
      <c r="BD174" t="s">
        <v>517</v>
      </c>
      <c r="BE174" s="17" t="s">
        <v>322</v>
      </c>
      <c r="BF174" s="17" t="s">
        <v>137</v>
      </c>
      <c r="BG174" s="17" t="s">
        <v>322</v>
      </c>
      <c r="BH174" s="17" t="s">
        <v>322</v>
      </c>
      <c r="BI174" s="17" t="s">
        <v>322</v>
      </c>
    </row>
    <row r="175" spans="2:61" x14ac:dyDescent="0.3">
      <c r="B175" s="15" t="s">
        <v>512</v>
      </c>
      <c r="C175" s="17" t="s">
        <v>322</v>
      </c>
      <c r="D175" s="17" t="s">
        <v>670</v>
      </c>
      <c r="E175" s="17" t="s">
        <v>658</v>
      </c>
      <c r="F175" s="17" t="s">
        <v>659</v>
      </c>
      <c r="G175" s="17" t="s">
        <v>670</v>
      </c>
      <c r="J175" t="s">
        <v>552</v>
      </c>
      <c r="K175" s="17" t="s">
        <v>322</v>
      </c>
      <c r="L175" s="17" t="s">
        <v>52</v>
      </c>
      <c r="M175" s="17" t="s">
        <v>268</v>
      </c>
      <c r="N175" s="17" t="s">
        <v>322</v>
      </c>
      <c r="O175" s="17" t="s">
        <v>322</v>
      </c>
      <c r="AG175" t="s">
        <v>551</v>
      </c>
      <c r="AH175" s="17" t="s">
        <v>322</v>
      </c>
      <c r="AI175" s="17" t="s">
        <v>52</v>
      </c>
      <c r="AJ175" s="17" t="s">
        <v>268</v>
      </c>
      <c r="AK175" s="17" t="s">
        <v>52</v>
      </c>
      <c r="AL175" s="17" t="s">
        <v>268</v>
      </c>
      <c r="BD175" t="s">
        <v>326</v>
      </c>
      <c r="BE175" s="17" t="s">
        <v>322</v>
      </c>
      <c r="BF175" s="17" t="s">
        <v>137</v>
      </c>
      <c r="BG175" s="17" t="s">
        <v>322</v>
      </c>
      <c r="BH175" s="17" t="s">
        <v>322</v>
      </c>
      <c r="BI175" s="17" t="s">
        <v>322</v>
      </c>
    </row>
    <row r="176" spans="2:61" x14ac:dyDescent="0.3">
      <c r="B176" s="15" t="s">
        <v>514</v>
      </c>
      <c r="C176" s="17" t="s">
        <v>658</v>
      </c>
      <c r="D176" s="17" t="s">
        <v>670</v>
      </c>
      <c r="E176" s="17" t="s">
        <v>658</v>
      </c>
      <c r="F176" s="17" t="s">
        <v>659</v>
      </c>
      <c r="G176" s="17" t="s">
        <v>670</v>
      </c>
      <c r="Y176" s="15" t="s">
        <v>673</v>
      </c>
      <c r="AG176" t="s">
        <v>552</v>
      </c>
      <c r="AH176" s="17" t="s">
        <v>322</v>
      </c>
      <c r="AI176" s="17" t="s">
        <v>52</v>
      </c>
      <c r="AJ176" s="17" t="s">
        <v>268</v>
      </c>
      <c r="AK176" s="17" t="s">
        <v>322</v>
      </c>
      <c r="AL176" s="17" t="s">
        <v>268</v>
      </c>
      <c r="AV176" s="15" t="s">
        <v>673</v>
      </c>
      <c r="BD176" t="s">
        <v>328</v>
      </c>
      <c r="BE176" s="17" t="s">
        <v>322</v>
      </c>
      <c r="BF176" s="17" t="s">
        <v>137</v>
      </c>
      <c r="BG176" s="17" t="s">
        <v>322</v>
      </c>
      <c r="BH176" s="17" t="s">
        <v>137</v>
      </c>
      <c r="BI176" s="17" t="s">
        <v>322</v>
      </c>
    </row>
    <row r="177" spans="2:61" x14ac:dyDescent="0.3">
      <c r="B177" s="15" t="s">
        <v>517</v>
      </c>
      <c r="C177" s="17" t="s">
        <v>658</v>
      </c>
      <c r="D177" s="17" t="s">
        <v>660</v>
      </c>
      <c r="E177" s="17" t="s">
        <v>649</v>
      </c>
      <c r="F177" s="17" t="s">
        <v>659</v>
      </c>
      <c r="G177" s="17" t="s">
        <v>670</v>
      </c>
      <c r="J177" t="s">
        <v>678</v>
      </c>
      <c r="Z177" s="17" t="s">
        <v>315</v>
      </c>
      <c r="AA177" s="17" t="s">
        <v>316</v>
      </c>
      <c r="AB177" s="17" t="s">
        <v>317</v>
      </c>
      <c r="AC177" s="17" t="s">
        <v>318</v>
      </c>
      <c r="AD177" s="17" t="s">
        <v>319</v>
      </c>
      <c r="AW177" s="17" t="s">
        <v>315</v>
      </c>
      <c r="AX177" s="17" t="s">
        <v>316</v>
      </c>
      <c r="AY177" s="17" t="s">
        <v>317</v>
      </c>
      <c r="AZ177" s="17" t="s">
        <v>318</v>
      </c>
      <c r="BA177" s="17" t="s">
        <v>319</v>
      </c>
      <c r="BD177" t="s">
        <v>350</v>
      </c>
      <c r="BE177" s="17" t="s">
        <v>322</v>
      </c>
      <c r="BF177" s="17" t="s">
        <v>322</v>
      </c>
      <c r="BG177" s="17" t="s">
        <v>322</v>
      </c>
      <c r="BH177" s="17" t="s">
        <v>137</v>
      </c>
      <c r="BI177" s="17" t="s">
        <v>322</v>
      </c>
    </row>
    <row r="178" spans="2:61" x14ac:dyDescent="0.3">
      <c r="B178" s="15" t="s">
        <v>326</v>
      </c>
      <c r="C178" s="17" t="s">
        <v>672</v>
      </c>
      <c r="D178" s="17" t="s">
        <v>660</v>
      </c>
      <c r="E178" s="17" t="s">
        <v>649</v>
      </c>
      <c r="F178" s="17" t="s">
        <v>660</v>
      </c>
      <c r="G178" s="17" t="s">
        <v>322</v>
      </c>
      <c r="K178" s="17" t="s">
        <v>315</v>
      </c>
      <c r="L178" s="17" t="s">
        <v>316</v>
      </c>
      <c r="M178" s="17" t="s">
        <v>317</v>
      </c>
      <c r="N178" s="17" t="s">
        <v>318</v>
      </c>
      <c r="O178" s="17" t="s">
        <v>319</v>
      </c>
      <c r="Y178" s="15" t="s">
        <v>561</v>
      </c>
      <c r="Z178" s="17" t="s">
        <v>674</v>
      </c>
      <c r="AA178" s="17" t="s">
        <v>675</v>
      </c>
      <c r="AB178" s="17" t="s">
        <v>675</v>
      </c>
      <c r="AC178" s="17" t="s">
        <v>676</v>
      </c>
      <c r="AD178" s="17" t="s">
        <v>677</v>
      </c>
      <c r="AG178" t="s">
        <v>678</v>
      </c>
      <c r="AV178" s="15" t="s">
        <v>561</v>
      </c>
      <c r="AW178" s="17" t="s">
        <v>674</v>
      </c>
      <c r="AX178" s="17" t="s">
        <v>675</v>
      </c>
      <c r="AY178" s="17" t="s">
        <v>675</v>
      </c>
      <c r="AZ178" s="17" t="s">
        <v>676</v>
      </c>
      <c r="BA178" s="17" t="s">
        <v>677</v>
      </c>
      <c r="BD178" t="s">
        <v>561</v>
      </c>
      <c r="BE178" s="17" t="s">
        <v>322</v>
      </c>
      <c r="BF178" s="17" t="s">
        <v>52</v>
      </c>
      <c r="BG178" s="17" t="s">
        <v>268</v>
      </c>
      <c r="BH178" s="17" t="s">
        <v>52</v>
      </c>
      <c r="BI178" s="17" t="s">
        <v>322</v>
      </c>
    </row>
    <row r="179" spans="2:61" x14ac:dyDescent="0.3">
      <c r="B179" s="15" t="s">
        <v>328</v>
      </c>
      <c r="C179" s="17" t="s">
        <v>672</v>
      </c>
      <c r="D179" s="17" t="s">
        <v>659</v>
      </c>
      <c r="E179" s="17" t="s">
        <v>672</v>
      </c>
      <c r="F179" s="17" t="s">
        <v>660</v>
      </c>
      <c r="G179" s="17" t="s">
        <v>322</v>
      </c>
      <c r="J179" t="s">
        <v>573</v>
      </c>
      <c r="K179" s="17" t="s">
        <v>322</v>
      </c>
      <c r="L179" s="17" t="s">
        <v>226</v>
      </c>
      <c r="M179" s="17" t="s">
        <v>322</v>
      </c>
      <c r="N179" s="17" t="s">
        <v>322</v>
      </c>
      <c r="O179" s="17" t="s">
        <v>322</v>
      </c>
      <c r="Y179" s="15" t="s">
        <v>551</v>
      </c>
      <c r="Z179" s="17" t="s">
        <v>674</v>
      </c>
      <c r="AA179" s="17" t="s">
        <v>677</v>
      </c>
      <c r="AB179" s="17" t="s">
        <v>675</v>
      </c>
      <c r="AC179" s="17" t="s">
        <v>676</v>
      </c>
      <c r="AD179" s="17" t="s">
        <v>677</v>
      </c>
      <c r="AH179" s="17" t="s">
        <v>315</v>
      </c>
      <c r="AI179" s="17" t="s">
        <v>316</v>
      </c>
      <c r="AJ179" s="17" t="s">
        <v>317</v>
      </c>
      <c r="AK179" s="17" t="s">
        <v>318</v>
      </c>
      <c r="AL179" s="17" t="s">
        <v>319</v>
      </c>
      <c r="AV179" s="15" t="s">
        <v>551</v>
      </c>
      <c r="AW179" s="17" t="s">
        <v>674</v>
      </c>
      <c r="AX179" s="17" t="s">
        <v>677</v>
      </c>
      <c r="AY179" s="17" t="s">
        <v>675</v>
      </c>
      <c r="AZ179" s="17" t="s">
        <v>676</v>
      </c>
      <c r="BA179" s="17" t="s">
        <v>677</v>
      </c>
      <c r="BD179" t="s">
        <v>551</v>
      </c>
      <c r="BE179" s="17" t="s">
        <v>322</v>
      </c>
      <c r="BF179" s="17" t="s">
        <v>52</v>
      </c>
      <c r="BG179" s="17" t="s">
        <v>268</v>
      </c>
      <c r="BH179" s="17" t="s">
        <v>52</v>
      </c>
      <c r="BI179" s="17" t="s">
        <v>268</v>
      </c>
    </row>
    <row r="180" spans="2:61" x14ac:dyDescent="0.3">
      <c r="B180" s="15" t="s">
        <v>350</v>
      </c>
      <c r="C180" s="17" t="s">
        <v>322</v>
      </c>
      <c r="D180" s="17" t="s">
        <v>659</v>
      </c>
      <c r="E180" s="17" t="s">
        <v>672</v>
      </c>
      <c r="F180" s="130" t="s">
        <v>649</v>
      </c>
      <c r="G180" s="17" t="s">
        <v>322</v>
      </c>
      <c r="J180" t="s">
        <v>561</v>
      </c>
      <c r="K180" s="17" t="s">
        <v>322</v>
      </c>
      <c r="L180" s="17" t="s">
        <v>226</v>
      </c>
      <c r="M180" s="17" t="s">
        <v>322</v>
      </c>
      <c r="N180" s="17" t="s">
        <v>322</v>
      </c>
      <c r="O180" s="17" t="s">
        <v>322</v>
      </c>
      <c r="Y180" s="15" t="s">
        <v>552</v>
      </c>
      <c r="Z180" s="17" t="s">
        <v>679</v>
      </c>
      <c r="AA180" s="17" t="s">
        <v>677</v>
      </c>
      <c r="AB180" s="17" t="s">
        <v>680</v>
      </c>
      <c r="AC180" s="17" t="s">
        <v>679</v>
      </c>
      <c r="AD180" s="17" t="s">
        <v>681</v>
      </c>
      <c r="AG180" t="s">
        <v>573</v>
      </c>
      <c r="AH180" s="17" t="s">
        <v>322</v>
      </c>
      <c r="AI180" s="17" t="s">
        <v>226</v>
      </c>
      <c r="AJ180" s="17" t="s">
        <v>322</v>
      </c>
      <c r="AK180" s="17" t="s">
        <v>322</v>
      </c>
      <c r="AL180" s="17" t="s">
        <v>322</v>
      </c>
      <c r="AV180" s="15" t="s">
        <v>552</v>
      </c>
      <c r="AW180" s="17" t="s">
        <v>679</v>
      </c>
      <c r="AX180" s="17" t="s">
        <v>677</v>
      </c>
      <c r="AY180" s="17" t="s">
        <v>680</v>
      </c>
      <c r="AZ180" s="17" t="s">
        <v>679</v>
      </c>
      <c r="BA180" s="17" t="s">
        <v>681</v>
      </c>
      <c r="BD180" t="s">
        <v>552</v>
      </c>
      <c r="BE180" s="17" t="s">
        <v>322</v>
      </c>
      <c r="BF180" s="17" t="s">
        <v>322</v>
      </c>
      <c r="BG180" s="17" t="s">
        <v>268</v>
      </c>
      <c r="BH180" s="17" t="s">
        <v>52</v>
      </c>
      <c r="BI180" s="17" t="s">
        <v>268</v>
      </c>
    </row>
    <row r="181" spans="2:61" x14ac:dyDescent="0.3">
      <c r="J181" t="s">
        <v>551</v>
      </c>
      <c r="K181" s="17" t="s">
        <v>322</v>
      </c>
      <c r="L181" s="17" t="s">
        <v>226</v>
      </c>
      <c r="M181" s="17" t="s">
        <v>322</v>
      </c>
      <c r="N181" s="17" t="s">
        <v>322</v>
      </c>
      <c r="O181" s="17" t="s">
        <v>322</v>
      </c>
      <c r="Y181" s="15" t="s">
        <v>554</v>
      </c>
      <c r="Z181" s="17" t="s">
        <v>679</v>
      </c>
      <c r="AA181" s="17" t="s">
        <v>682</v>
      </c>
      <c r="AB181" s="17" t="s">
        <v>680</v>
      </c>
      <c r="AC181" s="17" t="s">
        <v>679</v>
      </c>
      <c r="AD181" s="17" t="s">
        <v>681</v>
      </c>
      <c r="AG181" t="s">
        <v>561</v>
      </c>
      <c r="AH181" s="17" t="s">
        <v>322</v>
      </c>
      <c r="AI181" s="17" t="s">
        <v>226</v>
      </c>
      <c r="AJ181" s="17" t="s">
        <v>322</v>
      </c>
      <c r="AK181" s="17" t="s">
        <v>322</v>
      </c>
      <c r="AL181" s="17" t="s">
        <v>322</v>
      </c>
      <c r="AV181" s="15" t="s">
        <v>554</v>
      </c>
      <c r="AW181" s="17" t="s">
        <v>679</v>
      </c>
      <c r="AX181" s="17" t="s">
        <v>682</v>
      </c>
      <c r="AY181" s="17" t="s">
        <v>680</v>
      </c>
      <c r="AZ181" s="17" t="s">
        <v>679</v>
      </c>
      <c r="BA181" s="17" t="s">
        <v>681</v>
      </c>
    </row>
    <row r="182" spans="2:61" x14ac:dyDescent="0.3">
      <c r="B182" s="15" t="s">
        <v>673</v>
      </c>
      <c r="J182" t="s">
        <v>552</v>
      </c>
      <c r="K182" s="17" t="s">
        <v>322</v>
      </c>
      <c r="L182" s="17" t="s">
        <v>226</v>
      </c>
      <c r="M182" s="17" t="s">
        <v>322</v>
      </c>
      <c r="N182" s="17" t="s">
        <v>322</v>
      </c>
      <c r="O182" s="17" t="s">
        <v>322</v>
      </c>
      <c r="Y182" s="15" t="s">
        <v>586</v>
      </c>
      <c r="Z182" s="17" t="s">
        <v>322</v>
      </c>
      <c r="AA182" s="17" t="s">
        <v>682</v>
      </c>
      <c r="AB182" s="17" t="s">
        <v>680</v>
      </c>
      <c r="AC182" s="17" t="s">
        <v>322</v>
      </c>
      <c r="AD182" s="17" t="s">
        <v>322</v>
      </c>
      <c r="AG182" t="s">
        <v>551</v>
      </c>
      <c r="AH182" s="17" t="s">
        <v>322</v>
      </c>
      <c r="AI182" s="17" t="s">
        <v>226</v>
      </c>
      <c r="AJ182" s="17" t="s">
        <v>322</v>
      </c>
      <c r="AK182" s="17" t="s">
        <v>322</v>
      </c>
      <c r="AL182" s="17" t="s">
        <v>322</v>
      </c>
      <c r="AV182" s="15" t="s">
        <v>586</v>
      </c>
      <c r="AW182" s="17" t="s">
        <v>322</v>
      </c>
      <c r="AX182" s="17" t="s">
        <v>682</v>
      </c>
      <c r="AY182" s="17" t="s">
        <v>680</v>
      </c>
      <c r="AZ182" s="17" t="s">
        <v>322</v>
      </c>
      <c r="BA182" s="17" t="s">
        <v>322</v>
      </c>
      <c r="BD182" t="s">
        <v>678</v>
      </c>
    </row>
    <row r="183" spans="2:61" x14ac:dyDescent="0.3">
      <c r="C183" s="17" t="s">
        <v>315</v>
      </c>
      <c r="D183" s="17" t="s">
        <v>316</v>
      </c>
      <c r="E183" s="17" t="s">
        <v>317</v>
      </c>
      <c r="F183" s="17" t="s">
        <v>318</v>
      </c>
      <c r="G183" s="17" t="s">
        <v>319</v>
      </c>
      <c r="AG183" t="s">
        <v>552</v>
      </c>
      <c r="AH183" s="17" t="s">
        <v>322</v>
      </c>
      <c r="AI183" s="17" t="s">
        <v>226</v>
      </c>
      <c r="AJ183" s="17" t="s">
        <v>322</v>
      </c>
      <c r="AK183" s="17" t="s">
        <v>322</v>
      </c>
      <c r="AL183" s="17" t="s">
        <v>322</v>
      </c>
      <c r="BE183" s="17" t="s">
        <v>315</v>
      </c>
      <c r="BF183" s="17" t="s">
        <v>316</v>
      </c>
      <c r="BG183" s="17" t="s">
        <v>317</v>
      </c>
      <c r="BH183" s="17" t="s">
        <v>318</v>
      </c>
      <c r="BI183" s="17" t="s">
        <v>319</v>
      </c>
    </row>
    <row r="184" spans="2:61" x14ac:dyDescent="0.3">
      <c r="B184" s="15" t="s">
        <v>561</v>
      </c>
      <c r="C184" s="17" t="s">
        <v>674</v>
      </c>
      <c r="D184" s="17" t="s">
        <v>675</v>
      </c>
      <c r="E184" s="17" t="s">
        <v>675</v>
      </c>
      <c r="F184" s="17" t="s">
        <v>676</v>
      </c>
      <c r="G184" s="17" t="s">
        <v>677</v>
      </c>
      <c r="J184" t="s">
        <v>684</v>
      </c>
      <c r="Y184" s="31" t="s">
        <v>505</v>
      </c>
      <c r="AV184" s="31" t="s">
        <v>505</v>
      </c>
      <c r="BD184" t="s">
        <v>573</v>
      </c>
      <c r="BE184" s="17" t="s">
        <v>322</v>
      </c>
      <c r="BF184" s="17" t="s">
        <v>226</v>
      </c>
      <c r="BG184" s="17" t="s">
        <v>322</v>
      </c>
      <c r="BH184" s="17" t="s">
        <v>322</v>
      </c>
      <c r="BI184" s="17" t="s">
        <v>322</v>
      </c>
    </row>
    <row r="185" spans="2:61" x14ac:dyDescent="0.3">
      <c r="B185" s="15" t="s">
        <v>551</v>
      </c>
      <c r="C185" s="17" t="s">
        <v>674</v>
      </c>
      <c r="D185" s="17" t="s">
        <v>677</v>
      </c>
      <c r="E185" s="17" t="s">
        <v>675</v>
      </c>
      <c r="F185" s="17" t="s">
        <v>676</v>
      </c>
      <c r="G185" s="17" t="s">
        <v>677</v>
      </c>
      <c r="K185" s="17" t="s">
        <v>315</v>
      </c>
      <c r="L185" s="17" t="s">
        <v>316</v>
      </c>
      <c r="M185" s="17" t="s">
        <v>317</v>
      </c>
      <c r="N185" s="17" t="s">
        <v>318</v>
      </c>
      <c r="O185" s="17" t="s">
        <v>319</v>
      </c>
      <c r="Y185" s="73" t="s">
        <v>683</v>
      </c>
      <c r="AG185" t="s">
        <v>684</v>
      </c>
      <c r="AV185" s="73" t="s">
        <v>683</v>
      </c>
      <c r="BD185" t="s">
        <v>561</v>
      </c>
      <c r="BE185" s="17" t="s">
        <v>322</v>
      </c>
      <c r="BF185" s="17" t="s">
        <v>226</v>
      </c>
      <c r="BG185" s="17" t="s">
        <v>322</v>
      </c>
      <c r="BH185" s="17" t="s">
        <v>322</v>
      </c>
      <c r="BI185" s="17" t="s">
        <v>322</v>
      </c>
    </row>
    <row r="186" spans="2:61" x14ac:dyDescent="0.3">
      <c r="B186" s="15" t="s">
        <v>552</v>
      </c>
      <c r="C186" s="17" t="s">
        <v>679</v>
      </c>
      <c r="D186" s="17" t="s">
        <v>677</v>
      </c>
      <c r="E186" s="17" t="s">
        <v>680</v>
      </c>
      <c r="F186" s="17" t="s">
        <v>679</v>
      </c>
      <c r="G186" s="17" t="s">
        <v>681</v>
      </c>
      <c r="J186" t="s">
        <v>517</v>
      </c>
      <c r="K186" s="17" t="s">
        <v>322</v>
      </c>
      <c r="L186" s="17" t="s">
        <v>322</v>
      </c>
      <c r="M186" s="17" t="s">
        <v>322</v>
      </c>
      <c r="N186" s="17" t="s">
        <v>322</v>
      </c>
      <c r="O186" s="17" t="s">
        <v>91</v>
      </c>
      <c r="AH186" s="17" t="s">
        <v>315</v>
      </c>
      <c r="AI186" s="17" t="s">
        <v>316</v>
      </c>
      <c r="AJ186" s="17" t="s">
        <v>317</v>
      </c>
      <c r="AK186" s="17" t="s">
        <v>318</v>
      </c>
      <c r="AL186" s="17" t="s">
        <v>319</v>
      </c>
      <c r="BD186" t="s">
        <v>551</v>
      </c>
      <c r="BE186" s="17" t="s">
        <v>322</v>
      </c>
      <c r="BF186" s="17" t="s">
        <v>226</v>
      </c>
      <c r="BG186" s="17" t="s">
        <v>322</v>
      </c>
      <c r="BH186" s="17" t="s">
        <v>322</v>
      </c>
      <c r="BI186" s="17" t="s">
        <v>322</v>
      </c>
    </row>
    <row r="187" spans="2:61" x14ac:dyDescent="0.3">
      <c r="B187" s="15" t="s">
        <v>554</v>
      </c>
      <c r="C187" s="17" t="s">
        <v>679</v>
      </c>
      <c r="D187" s="17" t="s">
        <v>682</v>
      </c>
      <c r="E187" s="17" t="s">
        <v>680</v>
      </c>
      <c r="F187" s="17" t="s">
        <v>679</v>
      </c>
      <c r="G187" s="17" t="s">
        <v>681</v>
      </c>
      <c r="J187" t="s">
        <v>326</v>
      </c>
      <c r="K187" s="17" t="s">
        <v>322</v>
      </c>
      <c r="L187" s="17" t="s">
        <v>322</v>
      </c>
      <c r="M187" s="17" t="s">
        <v>91</v>
      </c>
      <c r="N187" s="17" t="s">
        <v>322</v>
      </c>
      <c r="O187" s="17" t="s">
        <v>91</v>
      </c>
      <c r="Y187" s="15" t="s">
        <v>685</v>
      </c>
      <c r="AG187" t="s">
        <v>517</v>
      </c>
      <c r="AH187" s="17" t="s">
        <v>322</v>
      </c>
      <c r="AI187" s="17" t="s">
        <v>322</v>
      </c>
      <c r="AJ187" s="17" t="s">
        <v>322</v>
      </c>
      <c r="AK187" s="17" t="s">
        <v>322</v>
      </c>
      <c r="AL187" s="17" t="s">
        <v>91</v>
      </c>
      <c r="AV187" s="15" t="s">
        <v>685</v>
      </c>
      <c r="BD187" t="s">
        <v>552</v>
      </c>
      <c r="BE187" s="17" t="s">
        <v>322</v>
      </c>
      <c r="BF187" s="17" t="s">
        <v>226</v>
      </c>
      <c r="BG187" s="17" t="s">
        <v>322</v>
      </c>
      <c r="BH187" s="17" t="s">
        <v>322</v>
      </c>
      <c r="BI187" s="17" t="s">
        <v>322</v>
      </c>
    </row>
    <row r="188" spans="2:61" x14ac:dyDescent="0.3">
      <c r="B188" s="15" t="s">
        <v>586</v>
      </c>
      <c r="C188" s="17" t="s">
        <v>322</v>
      </c>
      <c r="D188" s="17" t="s">
        <v>682</v>
      </c>
      <c r="E188" s="130" t="s">
        <v>322</v>
      </c>
      <c r="F188" s="17" t="s">
        <v>322</v>
      </c>
      <c r="G188" s="17" t="s">
        <v>322</v>
      </c>
      <c r="J188" t="s">
        <v>328</v>
      </c>
      <c r="K188" s="17" t="s">
        <v>322</v>
      </c>
      <c r="L188" s="17" t="s">
        <v>322</v>
      </c>
      <c r="M188" s="17" t="s">
        <v>91</v>
      </c>
      <c r="N188" s="17" t="s">
        <v>322</v>
      </c>
      <c r="O188" s="17" t="s">
        <v>322</v>
      </c>
      <c r="Z188" s="17" t="s">
        <v>315</v>
      </c>
      <c r="AA188" s="17" t="s">
        <v>316</v>
      </c>
      <c r="AB188" s="17" t="s">
        <v>317</v>
      </c>
      <c r="AC188" s="17" t="s">
        <v>318</v>
      </c>
      <c r="AD188" s="17" t="s">
        <v>319</v>
      </c>
      <c r="AG188" t="s">
        <v>326</v>
      </c>
      <c r="AH188" s="17" t="s">
        <v>322</v>
      </c>
      <c r="AI188" s="17" t="s">
        <v>322</v>
      </c>
      <c r="AJ188" s="17" t="s">
        <v>91</v>
      </c>
      <c r="AK188" s="17" t="s">
        <v>322</v>
      </c>
      <c r="AL188" s="17" t="s">
        <v>91</v>
      </c>
      <c r="AW188" s="17" t="s">
        <v>315</v>
      </c>
      <c r="AX188" s="17" t="s">
        <v>316</v>
      </c>
      <c r="AY188" s="17" t="s">
        <v>317</v>
      </c>
      <c r="AZ188" s="17" t="s">
        <v>318</v>
      </c>
      <c r="BA188" s="17" t="s">
        <v>319</v>
      </c>
    </row>
    <row r="189" spans="2:61" x14ac:dyDescent="0.3">
      <c r="J189" t="s">
        <v>350</v>
      </c>
      <c r="K189" s="17" t="s">
        <v>322</v>
      </c>
      <c r="L189" s="17" t="s">
        <v>322</v>
      </c>
      <c r="M189" s="17" t="s">
        <v>91</v>
      </c>
      <c r="N189" s="17" t="s">
        <v>322</v>
      </c>
      <c r="O189" s="17" t="s">
        <v>322</v>
      </c>
      <c r="Y189" s="15" t="s">
        <v>539</v>
      </c>
      <c r="Z189" s="17" t="s">
        <v>686</v>
      </c>
      <c r="AA189" s="17" t="s">
        <v>322</v>
      </c>
      <c r="AB189" s="17" t="s">
        <v>687</v>
      </c>
      <c r="AC189" s="17" t="s">
        <v>686</v>
      </c>
      <c r="AD189" s="17" t="s">
        <v>322</v>
      </c>
      <c r="AG189" t="s">
        <v>328</v>
      </c>
      <c r="AH189" s="17" t="s">
        <v>322</v>
      </c>
      <c r="AI189" s="17" t="s">
        <v>322</v>
      </c>
      <c r="AJ189" s="17" t="s">
        <v>91</v>
      </c>
      <c r="AK189" s="17" t="s">
        <v>322</v>
      </c>
      <c r="AL189" s="17" t="s">
        <v>322</v>
      </c>
      <c r="AV189" s="15" t="s">
        <v>539</v>
      </c>
      <c r="AW189" s="17" t="s">
        <v>322</v>
      </c>
      <c r="AX189" s="17" t="s">
        <v>322</v>
      </c>
      <c r="AY189" s="17" t="s">
        <v>687</v>
      </c>
      <c r="AZ189" s="17" t="s">
        <v>686</v>
      </c>
      <c r="BA189" s="17" t="s">
        <v>686</v>
      </c>
      <c r="BD189" t="s">
        <v>684</v>
      </c>
    </row>
    <row r="190" spans="2:61" x14ac:dyDescent="0.3">
      <c r="B190" s="31" t="s">
        <v>505</v>
      </c>
      <c r="J190" s="32" t="s">
        <v>573</v>
      </c>
      <c r="K190" s="17" t="s">
        <v>322</v>
      </c>
      <c r="L190" s="17" t="s">
        <v>322</v>
      </c>
      <c r="M190" s="17" t="s">
        <v>322</v>
      </c>
      <c r="N190" s="17" t="s">
        <v>322</v>
      </c>
      <c r="O190" s="130" t="s">
        <v>16</v>
      </c>
      <c r="Y190" s="15" t="s">
        <v>543</v>
      </c>
      <c r="Z190" s="17" t="s">
        <v>686</v>
      </c>
      <c r="AA190" s="17" t="s">
        <v>688</v>
      </c>
      <c r="AB190" s="17" t="s">
        <v>687</v>
      </c>
      <c r="AC190" s="17" t="s">
        <v>686</v>
      </c>
      <c r="AD190" s="17" t="s">
        <v>322</v>
      </c>
      <c r="AG190" t="s">
        <v>350</v>
      </c>
      <c r="AH190" s="17" t="s">
        <v>322</v>
      </c>
      <c r="AI190" s="17" t="s">
        <v>322</v>
      </c>
      <c r="AJ190" s="17" t="s">
        <v>91</v>
      </c>
      <c r="AK190" s="17" t="s">
        <v>322</v>
      </c>
      <c r="AL190" s="17" t="s">
        <v>322</v>
      </c>
      <c r="AV190" s="15" t="s">
        <v>543</v>
      </c>
      <c r="AW190" s="17" t="s">
        <v>322</v>
      </c>
      <c r="AX190" s="17" t="s">
        <v>688</v>
      </c>
      <c r="AY190" s="17" t="s">
        <v>687</v>
      </c>
      <c r="AZ190" s="17" t="s">
        <v>686</v>
      </c>
      <c r="BA190" s="17" t="s">
        <v>686</v>
      </c>
      <c r="BE190" s="17" t="s">
        <v>315</v>
      </c>
      <c r="BF190" s="17" t="s">
        <v>316</v>
      </c>
      <c r="BG190" s="17" t="s">
        <v>317</v>
      </c>
      <c r="BH190" s="17" t="s">
        <v>318</v>
      </c>
      <c r="BI190" s="17" t="s">
        <v>319</v>
      </c>
    </row>
    <row r="191" spans="2:61" x14ac:dyDescent="0.3">
      <c r="B191" s="73" t="s">
        <v>683</v>
      </c>
      <c r="J191" t="s">
        <v>561</v>
      </c>
      <c r="K191" s="17" t="s">
        <v>322</v>
      </c>
      <c r="L191" s="17" t="s">
        <v>322</v>
      </c>
      <c r="M191" s="17" t="s">
        <v>16</v>
      </c>
      <c r="N191" s="17" t="s">
        <v>322</v>
      </c>
      <c r="O191" s="17" t="s">
        <v>16</v>
      </c>
      <c r="Y191" s="15" t="s">
        <v>573</v>
      </c>
      <c r="Z191" s="17" t="s">
        <v>689</v>
      </c>
      <c r="AA191" s="17" t="s">
        <v>688</v>
      </c>
      <c r="AB191" s="17" t="s">
        <v>689</v>
      </c>
      <c r="AC191" s="17" t="s">
        <v>690</v>
      </c>
      <c r="AD191" s="17" t="s">
        <v>691</v>
      </c>
      <c r="AG191" t="s">
        <v>561</v>
      </c>
      <c r="AH191" s="17" t="s">
        <v>322</v>
      </c>
      <c r="AI191" s="17" t="s">
        <v>322</v>
      </c>
      <c r="AJ191" s="17" t="s">
        <v>16</v>
      </c>
      <c r="AK191" s="17" t="s">
        <v>322</v>
      </c>
      <c r="AL191" s="17" t="s">
        <v>16</v>
      </c>
      <c r="AV191" s="15" t="s">
        <v>573</v>
      </c>
      <c r="AW191" s="17" t="s">
        <v>689</v>
      </c>
      <c r="AX191" s="17" t="s">
        <v>688</v>
      </c>
      <c r="AY191" s="17" t="s">
        <v>689</v>
      </c>
      <c r="AZ191" s="17" t="s">
        <v>690</v>
      </c>
      <c r="BA191" s="17" t="s">
        <v>691</v>
      </c>
      <c r="BD191" t="s">
        <v>517</v>
      </c>
      <c r="BE191" s="17" t="s">
        <v>322</v>
      </c>
      <c r="BF191" s="17" t="s">
        <v>322</v>
      </c>
      <c r="BG191" s="17" t="s">
        <v>322</v>
      </c>
      <c r="BH191" s="17" t="s">
        <v>322</v>
      </c>
      <c r="BI191" s="17" t="s">
        <v>91</v>
      </c>
    </row>
    <row r="192" spans="2:61" x14ac:dyDescent="0.3">
      <c r="J192" t="s">
        <v>551</v>
      </c>
      <c r="K192" s="17" t="s">
        <v>322</v>
      </c>
      <c r="L192" s="17" t="s">
        <v>322</v>
      </c>
      <c r="M192" s="17" t="s">
        <v>16</v>
      </c>
      <c r="N192" s="17" t="s">
        <v>322</v>
      </c>
      <c r="O192" s="17" t="s">
        <v>16</v>
      </c>
      <c r="Y192" s="15" t="s">
        <v>561</v>
      </c>
      <c r="Z192" s="17" t="s">
        <v>689</v>
      </c>
      <c r="AA192" s="17" t="s">
        <v>692</v>
      </c>
      <c r="AB192" s="17" t="s">
        <v>689</v>
      </c>
      <c r="AC192" s="17" t="s">
        <v>690</v>
      </c>
      <c r="AD192" s="17" t="s">
        <v>691</v>
      </c>
      <c r="AG192" t="s">
        <v>551</v>
      </c>
      <c r="AH192" s="17" t="s">
        <v>322</v>
      </c>
      <c r="AI192" s="17" t="s">
        <v>322</v>
      </c>
      <c r="AJ192" s="17" t="s">
        <v>16</v>
      </c>
      <c r="AK192" s="17" t="s">
        <v>322</v>
      </c>
      <c r="AL192" s="17" t="s">
        <v>16</v>
      </c>
      <c r="AV192" s="15" t="s">
        <v>561</v>
      </c>
      <c r="AW192" s="17" t="s">
        <v>689</v>
      </c>
      <c r="AX192" s="17" t="s">
        <v>692</v>
      </c>
      <c r="AY192" s="17" t="s">
        <v>689</v>
      </c>
      <c r="AZ192" s="17" t="s">
        <v>690</v>
      </c>
      <c r="BA192" s="17" t="s">
        <v>691</v>
      </c>
      <c r="BD192" t="s">
        <v>326</v>
      </c>
      <c r="BE192" s="17" t="s">
        <v>322</v>
      </c>
      <c r="BF192" s="17" t="s">
        <v>322</v>
      </c>
      <c r="BG192" s="17" t="s">
        <v>91</v>
      </c>
      <c r="BH192" s="17" t="s">
        <v>322</v>
      </c>
      <c r="BI192" s="17" t="s">
        <v>91</v>
      </c>
    </row>
    <row r="193" spans="2:61" x14ac:dyDescent="0.3">
      <c r="B193" s="15" t="s">
        <v>685</v>
      </c>
      <c r="J193" t="s">
        <v>552</v>
      </c>
      <c r="K193" s="17" t="s">
        <v>322</v>
      </c>
      <c r="L193" s="17" t="s">
        <v>322</v>
      </c>
      <c r="M193" s="17" t="s">
        <v>16</v>
      </c>
      <c r="N193" s="17" t="s">
        <v>322</v>
      </c>
      <c r="O193" s="17" t="s">
        <v>322</v>
      </c>
      <c r="Y193" s="15" t="s">
        <v>551</v>
      </c>
      <c r="Z193" s="17" t="s">
        <v>693</v>
      </c>
      <c r="AA193" s="17" t="s">
        <v>692</v>
      </c>
      <c r="AB193" s="17" t="s">
        <v>694</v>
      </c>
      <c r="AC193" s="17" t="s">
        <v>690</v>
      </c>
      <c r="AD193" s="17" t="s">
        <v>694</v>
      </c>
      <c r="AG193" t="s">
        <v>552</v>
      </c>
      <c r="AH193" s="17" t="s">
        <v>322</v>
      </c>
      <c r="AI193" s="17" t="s">
        <v>322</v>
      </c>
      <c r="AJ193" s="17" t="s">
        <v>16</v>
      </c>
      <c r="AK193" s="17" t="s">
        <v>322</v>
      </c>
      <c r="AL193" s="17" t="s">
        <v>16</v>
      </c>
      <c r="AV193" s="15" t="s">
        <v>551</v>
      </c>
      <c r="AW193" s="17" t="s">
        <v>693</v>
      </c>
      <c r="AX193" s="17" t="s">
        <v>692</v>
      </c>
      <c r="AY193" s="17" t="s">
        <v>694</v>
      </c>
      <c r="AZ193" s="17" t="s">
        <v>690</v>
      </c>
      <c r="BA193" s="17" t="s">
        <v>694</v>
      </c>
      <c r="BD193" t="s">
        <v>328</v>
      </c>
      <c r="BE193" s="17" t="s">
        <v>322</v>
      </c>
      <c r="BF193" s="17" t="s">
        <v>322</v>
      </c>
      <c r="BG193" s="17" t="s">
        <v>91</v>
      </c>
      <c r="BH193" s="17" t="s">
        <v>322</v>
      </c>
      <c r="BI193" s="17" t="s">
        <v>322</v>
      </c>
    </row>
    <row r="194" spans="2:61" x14ac:dyDescent="0.3">
      <c r="C194" s="17" t="s">
        <v>315</v>
      </c>
      <c r="D194" s="17" t="s">
        <v>316</v>
      </c>
      <c r="E194" s="17" t="s">
        <v>317</v>
      </c>
      <c r="F194" s="17" t="s">
        <v>318</v>
      </c>
      <c r="G194" s="17" t="s">
        <v>319</v>
      </c>
      <c r="Y194" s="15" t="s">
        <v>552</v>
      </c>
      <c r="Z194" s="17" t="s">
        <v>695</v>
      </c>
      <c r="AA194" s="17" t="s">
        <v>692</v>
      </c>
      <c r="AB194" s="17" t="s">
        <v>694</v>
      </c>
      <c r="AC194" s="17" t="s">
        <v>696</v>
      </c>
      <c r="AD194" s="17" t="s">
        <v>694</v>
      </c>
      <c r="AV194" s="15" t="s">
        <v>552</v>
      </c>
      <c r="AW194" s="17" t="s">
        <v>695</v>
      </c>
      <c r="AX194" s="17" t="s">
        <v>692</v>
      </c>
      <c r="AY194" s="17" t="s">
        <v>694</v>
      </c>
      <c r="AZ194" s="17" t="s">
        <v>696</v>
      </c>
      <c r="BA194" s="17" t="s">
        <v>694</v>
      </c>
      <c r="BD194" t="s">
        <v>350</v>
      </c>
      <c r="BE194" s="17" t="s">
        <v>322</v>
      </c>
      <c r="BF194" s="17" t="s">
        <v>322</v>
      </c>
      <c r="BG194" s="17" t="s">
        <v>91</v>
      </c>
      <c r="BH194" s="17" t="s">
        <v>322</v>
      </c>
      <c r="BI194" s="17" t="s">
        <v>322</v>
      </c>
    </row>
    <row r="195" spans="2:61" x14ac:dyDescent="0.3">
      <c r="B195" s="15" t="s">
        <v>539</v>
      </c>
      <c r="C195" s="17" t="s">
        <v>322</v>
      </c>
      <c r="D195" s="130" t="s">
        <v>686</v>
      </c>
      <c r="E195" s="17" t="s">
        <v>687</v>
      </c>
      <c r="F195" s="17" t="s">
        <v>686</v>
      </c>
      <c r="G195" s="17" t="s">
        <v>322</v>
      </c>
      <c r="J195" t="s">
        <v>699</v>
      </c>
      <c r="Y195" s="15" t="s">
        <v>554</v>
      </c>
      <c r="Z195" s="17" t="s">
        <v>696</v>
      </c>
      <c r="AA195" s="17" t="s">
        <v>697</v>
      </c>
      <c r="AB195" s="17" t="s">
        <v>698</v>
      </c>
      <c r="AC195" s="17" t="s">
        <v>696</v>
      </c>
      <c r="AD195" s="17" t="s">
        <v>322</v>
      </c>
      <c r="AG195" t="s">
        <v>699</v>
      </c>
      <c r="AV195" s="15" t="s">
        <v>554</v>
      </c>
      <c r="AW195" s="17" t="s">
        <v>696</v>
      </c>
      <c r="AX195" s="17" t="s">
        <v>697</v>
      </c>
      <c r="AY195" s="17" t="s">
        <v>698</v>
      </c>
      <c r="AZ195" s="17" t="s">
        <v>696</v>
      </c>
      <c r="BA195" s="17" t="s">
        <v>322</v>
      </c>
      <c r="BD195" t="s">
        <v>561</v>
      </c>
      <c r="BE195" s="17" t="s">
        <v>322</v>
      </c>
      <c r="BF195" s="17" t="s">
        <v>322</v>
      </c>
      <c r="BG195" s="17" t="s">
        <v>16</v>
      </c>
      <c r="BH195" s="17" t="s">
        <v>322</v>
      </c>
      <c r="BI195" s="17" t="s">
        <v>16</v>
      </c>
    </row>
    <row r="196" spans="2:61" x14ac:dyDescent="0.3">
      <c r="B196" s="15" t="s">
        <v>543</v>
      </c>
      <c r="C196" s="17" t="s">
        <v>322</v>
      </c>
      <c r="D196" s="17" t="s">
        <v>951</v>
      </c>
      <c r="E196" s="17" t="s">
        <v>687</v>
      </c>
      <c r="F196" s="17" t="s">
        <v>686</v>
      </c>
      <c r="G196" s="130" t="s">
        <v>688</v>
      </c>
      <c r="K196" s="17" t="s">
        <v>315</v>
      </c>
      <c r="L196" s="17" t="s">
        <v>316</v>
      </c>
      <c r="M196" s="17" t="s">
        <v>317</v>
      </c>
      <c r="N196" s="17" t="s">
        <v>318</v>
      </c>
      <c r="O196" s="17" t="s">
        <v>319</v>
      </c>
      <c r="AB196" s="130"/>
      <c r="AH196" s="17" t="s">
        <v>315</v>
      </c>
      <c r="AI196" s="17" t="s">
        <v>316</v>
      </c>
      <c r="AJ196" s="17" t="s">
        <v>317</v>
      </c>
      <c r="AK196" s="17" t="s">
        <v>318</v>
      </c>
      <c r="AL196" s="17" t="s">
        <v>319</v>
      </c>
      <c r="BD196" t="s">
        <v>551</v>
      </c>
      <c r="BE196" s="17" t="s">
        <v>322</v>
      </c>
      <c r="BF196" s="17" t="s">
        <v>322</v>
      </c>
      <c r="BG196" s="17" t="s">
        <v>16</v>
      </c>
      <c r="BH196" s="17" t="s">
        <v>322</v>
      </c>
      <c r="BI196" s="17" t="s">
        <v>16</v>
      </c>
    </row>
    <row r="197" spans="2:61" x14ac:dyDescent="0.3">
      <c r="B197" s="15" t="s">
        <v>573</v>
      </c>
      <c r="C197" s="17" t="s">
        <v>689</v>
      </c>
      <c r="D197" s="17" t="s">
        <v>688</v>
      </c>
      <c r="E197" s="17" t="s">
        <v>689</v>
      </c>
      <c r="F197" s="17" t="s">
        <v>690</v>
      </c>
      <c r="G197" s="17" t="s">
        <v>691</v>
      </c>
      <c r="J197" t="s">
        <v>539</v>
      </c>
      <c r="K197" s="17" t="s">
        <v>322</v>
      </c>
      <c r="L197" s="130" t="s">
        <v>272</v>
      </c>
      <c r="M197" s="17" t="s">
        <v>322</v>
      </c>
      <c r="N197" s="17" t="s">
        <v>272</v>
      </c>
      <c r="O197" s="17" t="s">
        <v>322</v>
      </c>
      <c r="Y197" s="15" t="s">
        <v>700</v>
      </c>
      <c r="AG197" t="s">
        <v>539</v>
      </c>
      <c r="AH197" s="17" t="s">
        <v>272</v>
      </c>
      <c r="AI197" s="17" t="s">
        <v>322</v>
      </c>
      <c r="AJ197" s="17" t="s">
        <v>322</v>
      </c>
      <c r="AK197" s="17" t="s">
        <v>272</v>
      </c>
      <c r="AL197" s="17" t="s">
        <v>280</v>
      </c>
      <c r="AV197" s="15" t="s">
        <v>700</v>
      </c>
      <c r="BD197" t="s">
        <v>552</v>
      </c>
      <c r="BE197" s="17" t="s">
        <v>322</v>
      </c>
      <c r="BF197" s="17" t="s">
        <v>322</v>
      </c>
      <c r="BG197" s="17" t="s">
        <v>16</v>
      </c>
      <c r="BH197" s="17" t="s">
        <v>322</v>
      </c>
      <c r="BI197" s="17" t="s">
        <v>16</v>
      </c>
    </row>
    <row r="198" spans="2:61" x14ac:dyDescent="0.3">
      <c r="B198" s="15" t="s">
        <v>561</v>
      </c>
      <c r="C198" s="17" t="s">
        <v>689</v>
      </c>
      <c r="D198" s="17" t="s">
        <v>692</v>
      </c>
      <c r="E198" s="17" t="s">
        <v>689</v>
      </c>
      <c r="F198" s="17" t="s">
        <v>690</v>
      </c>
      <c r="G198" s="17" t="s">
        <v>693</v>
      </c>
      <c r="J198" t="s">
        <v>543</v>
      </c>
      <c r="K198" s="17" t="s">
        <v>322</v>
      </c>
      <c r="L198" s="130" t="s">
        <v>272</v>
      </c>
      <c r="M198" s="17" t="s">
        <v>280</v>
      </c>
      <c r="N198" s="17" t="s">
        <v>272</v>
      </c>
      <c r="O198" s="17" t="s">
        <v>322</v>
      </c>
      <c r="Z198" s="17" t="s">
        <v>315</v>
      </c>
      <c r="AA198" s="17" t="s">
        <v>316</v>
      </c>
      <c r="AB198" s="17" t="s">
        <v>317</v>
      </c>
      <c r="AC198" s="17" t="s">
        <v>318</v>
      </c>
      <c r="AD198" s="17" t="s">
        <v>319</v>
      </c>
      <c r="AG198" t="s">
        <v>543</v>
      </c>
      <c r="AH198" s="17" t="s">
        <v>272</v>
      </c>
      <c r="AI198" s="17" t="s">
        <v>322</v>
      </c>
      <c r="AJ198" s="17" t="s">
        <v>280</v>
      </c>
      <c r="AK198" s="17" t="s">
        <v>272</v>
      </c>
      <c r="AL198" s="17" t="s">
        <v>280</v>
      </c>
      <c r="AW198" s="17" t="s">
        <v>315</v>
      </c>
      <c r="AX198" s="17" t="s">
        <v>316</v>
      </c>
      <c r="AY198" s="17" t="s">
        <v>317</v>
      </c>
      <c r="AZ198" s="17" t="s">
        <v>318</v>
      </c>
      <c r="BA198" s="17" t="s">
        <v>319</v>
      </c>
    </row>
    <row r="199" spans="2:61" x14ac:dyDescent="0.3">
      <c r="B199" s="15" t="s">
        <v>551</v>
      </c>
      <c r="C199" s="17" t="s">
        <v>693</v>
      </c>
      <c r="D199" s="17" t="s">
        <v>692</v>
      </c>
      <c r="E199" s="17" t="s">
        <v>694</v>
      </c>
      <c r="F199" s="17" t="s">
        <v>690</v>
      </c>
      <c r="G199" s="17" t="s">
        <v>694</v>
      </c>
      <c r="J199" t="s">
        <v>573</v>
      </c>
      <c r="K199" s="17" t="s">
        <v>322</v>
      </c>
      <c r="L199" s="130" t="s">
        <v>280</v>
      </c>
      <c r="M199" s="17" t="s">
        <v>280</v>
      </c>
      <c r="N199" s="17" t="s">
        <v>322</v>
      </c>
      <c r="O199" s="17" t="s">
        <v>322</v>
      </c>
      <c r="Y199" s="15" t="s">
        <v>539</v>
      </c>
      <c r="Z199" s="17" t="s">
        <v>701</v>
      </c>
      <c r="AA199" s="17" t="s">
        <v>702</v>
      </c>
      <c r="AB199" s="17" t="s">
        <v>687</v>
      </c>
      <c r="AC199" s="17" t="s">
        <v>702</v>
      </c>
      <c r="AD199" s="17" t="s">
        <v>701</v>
      </c>
      <c r="AG199" t="s">
        <v>573</v>
      </c>
      <c r="AH199" s="17" t="s">
        <v>322</v>
      </c>
      <c r="AI199" s="17" t="s">
        <v>322</v>
      </c>
      <c r="AJ199" s="17" t="s">
        <v>280</v>
      </c>
      <c r="AK199" s="17" t="s">
        <v>322</v>
      </c>
      <c r="AL199" s="17" t="s">
        <v>322</v>
      </c>
      <c r="AV199" s="15" t="s">
        <v>539</v>
      </c>
      <c r="AW199" s="17" t="s">
        <v>701</v>
      </c>
      <c r="AX199" s="17" t="s">
        <v>702</v>
      </c>
      <c r="AY199" s="17" t="s">
        <v>687</v>
      </c>
      <c r="AZ199" s="17" t="s">
        <v>702</v>
      </c>
      <c r="BA199" s="17" t="s">
        <v>701</v>
      </c>
      <c r="BD199" t="s">
        <v>699</v>
      </c>
    </row>
    <row r="200" spans="2:61" x14ac:dyDescent="0.3">
      <c r="B200" s="15" t="s">
        <v>552</v>
      </c>
      <c r="C200" s="17" t="s">
        <v>695</v>
      </c>
      <c r="D200" s="17" t="s">
        <v>692</v>
      </c>
      <c r="E200" s="17" t="s">
        <v>694</v>
      </c>
      <c r="F200" s="17" t="s">
        <v>696</v>
      </c>
      <c r="G200" s="17" t="s">
        <v>694</v>
      </c>
      <c r="J200" t="s">
        <v>561</v>
      </c>
      <c r="K200" s="17" t="s">
        <v>322</v>
      </c>
      <c r="L200" s="130" t="s">
        <v>280</v>
      </c>
      <c r="M200" s="17" t="s">
        <v>322</v>
      </c>
      <c r="N200" s="17" t="s">
        <v>322</v>
      </c>
      <c r="O200" s="17" t="s">
        <v>322</v>
      </c>
      <c r="Y200" s="15" t="s">
        <v>543</v>
      </c>
      <c r="Z200" s="17" t="s">
        <v>701</v>
      </c>
      <c r="AA200" s="17" t="s">
        <v>702</v>
      </c>
      <c r="AB200" s="17" t="s">
        <v>687</v>
      </c>
      <c r="AC200" s="17" t="s">
        <v>702</v>
      </c>
      <c r="AD200" s="17" t="s">
        <v>701</v>
      </c>
      <c r="AV200" s="15" t="s">
        <v>543</v>
      </c>
      <c r="AW200" s="17" t="s">
        <v>701</v>
      </c>
      <c r="AX200" s="17" t="s">
        <v>702</v>
      </c>
      <c r="AY200" s="17" t="s">
        <v>687</v>
      </c>
      <c r="AZ200" s="17" t="s">
        <v>702</v>
      </c>
      <c r="BA200" s="17" t="s">
        <v>701</v>
      </c>
      <c r="BE200" s="17" t="s">
        <v>315</v>
      </c>
      <c r="BF200" s="17" t="s">
        <v>316</v>
      </c>
      <c r="BG200" s="17" t="s">
        <v>317</v>
      </c>
      <c r="BH200" s="17" t="s">
        <v>318</v>
      </c>
      <c r="BI200" s="17" t="s">
        <v>319</v>
      </c>
    </row>
    <row r="201" spans="2:61" x14ac:dyDescent="0.3">
      <c r="B201" s="15" t="s">
        <v>554</v>
      </c>
      <c r="C201" s="17" t="s">
        <v>696</v>
      </c>
      <c r="D201" s="17" t="s">
        <v>697</v>
      </c>
      <c r="E201" s="17" t="s">
        <v>698</v>
      </c>
      <c r="F201" s="17" t="s">
        <v>696</v>
      </c>
      <c r="G201" s="17" t="s">
        <v>322</v>
      </c>
      <c r="Y201" s="15" t="s">
        <v>573</v>
      </c>
      <c r="Z201" s="17" t="s">
        <v>689</v>
      </c>
      <c r="AA201" s="17" t="s">
        <v>703</v>
      </c>
      <c r="AB201" s="17" t="s">
        <v>689</v>
      </c>
      <c r="AC201" s="17" t="s">
        <v>322</v>
      </c>
      <c r="AD201" s="17" t="s">
        <v>701</v>
      </c>
      <c r="AG201" t="s">
        <v>704</v>
      </c>
      <c r="AV201" s="15" t="s">
        <v>573</v>
      </c>
      <c r="AW201" s="17" t="s">
        <v>689</v>
      </c>
      <c r="AX201" s="17" t="s">
        <v>703</v>
      </c>
      <c r="AY201" s="17" t="s">
        <v>689</v>
      </c>
      <c r="AZ201" s="17" t="s">
        <v>322</v>
      </c>
      <c r="BA201" s="17" t="s">
        <v>701</v>
      </c>
      <c r="BD201" t="s">
        <v>539</v>
      </c>
      <c r="BE201" s="17" t="s">
        <v>280</v>
      </c>
      <c r="BF201" s="17" t="s">
        <v>322</v>
      </c>
      <c r="BG201" s="17" t="s">
        <v>280</v>
      </c>
      <c r="BH201" s="17" t="s">
        <v>272</v>
      </c>
      <c r="BI201" s="17" t="s">
        <v>272</v>
      </c>
    </row>
    <row r="202" spans="2:61" x14ac:dyDescent="0.3">
      <c r="B202" s="156" t="s">
        <v>586</v>
      </c>
      <c r="C202" s="17" t="s">
        <v>322</v>
      </c>
      <c r="D202" s="17" t="s">
        <v>322</v>
      </c>
      <c r="E202" s="130" t="s">
        <v>698</v>
      </c>
      <c r="F202" s="17" t="s">
        <v>322</v>
      </c>
      <c r="G202" s="17" t="s">
        <v>322</v>
      </c>
      <c r="J202" t="s">
        <v>704</v>
      </c>
      <c r="Y202" s="15" t="s">
        <v>561</v>
      </c>
      <c r="Z202" s="17" t="s">
        <v>689</v>
      </c>
      <c r="AA202" s="17" t="s">
        <v>703</v>
      </c>
      <c r="AB202" s="17" t="s">
        <v>689</v>
      </c>
      <c r="AC202" s="17" t="s">
        <v>705</v>
      </c>
      <c r="AD202" s="17" t="s">
        <v>322</v>
      </c>
      <c r="AH202" s="17" t="s">
        <v>315</v>
      </c>
      <c r="AI202" s="17" t="s">
        <v>316</v>
      </c>
      <c r="AJ202" s="17" t="s">
        <v>317</v>
      </c>
      <c r="AK202" s="17" t="s">
        <v>318</v>
      </c>
      <c r="AL202" s="17" t="s">
        <v>319</v>
      </c>
      <c r="AV202" s="15" t="s">
        <v>561</v>
      </c>
      <c r="AW202" s="17" t="s">
        <v>689</v>
      </c>
      <c r="AX202" s="17" t="s">
        <v>703</v>
      </c>
      <c r="AY202" s="17" t="s">
        <v>689</v>
      </c>
      <c r="AZ202" s="17" t="s">
        <v>705</v>
      </c>
      <c r="BA202" s="17" t="s">
        <v>322</v>
      </c>
      <c r="BD202" t="s">
        <v>543</v>
      </c>
      <c r="BE202" s="17" t="s">
        <v>280</v>
      </c>
      <c r="BF202" s="17" t="s">
        <v>322</v>
      </c>
      <c r="BG202" s="17" t="s">
        <v>280</v>
      </c>
      <c r="BH202" s="17" t="s">
        <v>272</v>
      </c>
      <c r="BI202" s="17" t="s">
        <v>272</v>
      </c>
    </row>
    <row r="203" spans="2:61" x14ac:dyDescent="0.3">
      <c r="K203" s="17" t="s">
        <v>315</v>
      </c>
      <c r="L203" s="17" t="s">
        <v>316</v>
      </c>
      <c r="M203" s="17" t="s">
        <v>317</v>
      </c>
      <c r="N203" s="17" t="s">
        <v>318</v>
      </c>
      <c r="O203" s="17" t="s">
        <v>319</v>
      </c>
      <c r="Y203" s="15" t="s">
        <v>551</v>
      </c>
      <c r="Z203" s="17" t="s">
        <v>706</v>
      </c>
      <c r="AA203" s="17" t="s">
        <v>703</v>
      </c>
      <c r="AB203" s="17" t="s">
        <v>705</v>
      </c>
      <c r="AC203" s="17" t="s">
        <v>705</v>
      </c>
      <c r="AD203" s="17" t="s">
        <v>707</v>
      </c>
      <c r="AG203" t="s">
        <v>512</v>
      </c>
      <c r="AH203" s="17" t="s">
        <v>173</v>
      </c>
      <c r="AI203" s="17" t="s">
        <v>322</v>
      </c>
      <c r="AJ203" s="17" t="s">
        <v>322</v>
      </c>
      <c r="AK203" s="17" t="s">
        <v>322</v>
      </c>
      <c r="AL203" s="17" t="s">
        <v>322</v>
      </c>
      <c r="AV203" s="15" t="s">
        <v>551</v>
      </c>
      <c r="AW203" s="17" t="s">
        <v>706</v>
      </c>
      <c r="AX203" s="17" t="s">
        <v>703</v>
      </c>
      <c r="AY203" s="17" t="s">
        <v>705</v>
      </c>
      <c r="AZ203" s="17" t="s">
        <v>705</v>
      </c>
      <c r="BA203" s="17" t="s">
        <v>707</v>
      </c>
    </row>
    <row r="204" spans="2:61" x14ac:dyDescent="0.3">
      <c r="B204" s="15" t="s">
        <v>700</v>
      </c>
      <c r="J204" t="s">
        <v>512</v>
      </c>
      <c r="K204" s="17" t="s">
        <v>173</v>
      </c>
      <c r="L204" s="17" t="s">
        <v>322</v>
      </c>
      <c r="M204" s="17" t="s">
        <v>322</v>
      </c>
      <c r="N204" s="17" t="s">
        <v>322</v>
      </c>
      <c r="O204" s="17" t="s">
        <v>322</v>
      </c>
      <c r="Y204" s="15" t="s">
        <v>552</v>
      </c>
      <c r="Z204" s="17" t="s">
        <v>706</v>
      </c>
      <c r="AA204" s="17" t="s">
        <v>703</v>
      </c>
      <c r="AB204" s="17" t="s">
        <v>708</v>
      </c>
      <c r="AC204" s="17" t="s">
        <v>706</v>
      </c>
      <c r="AD204" s="17" t="s">
        <v>707</v>
      </c>
      <c r="AG204" t="s">
        <v>514</v>
      </c>
      <c r="AH204" s="17" t="s">
        <v>173</v>
      </c>
      <c r="AI204" s="17" t="s">
        <v>322</v>
      </c>
      <c r="AJ204" s="17" t="s">
        <v>322</v>
      </c>
      <c r="AK204" s="17" t="s">
        <v>322</v>
      </c>
      <c r="AL204" s="17" t="s">
        <v>322</v>
      </c>
      <c r="AV204" s="15" t="s">
        <v>552</v>
      </c>
      <c r="AW204" s="17" t="s">
        <v>706</v>
      </c>
      <c r="AX204" s="17" t="s">
        <v>703</v>
      </c>
      <c r="AY204" s="17" t="s">
        <v>708</v>
      </c>
      <c r="AZ204" s="17" t="s">
        <v>706</v>
      </c>
      <c r="BA204" s="17" t="s">
        <v>707</v>
      </c>
      <c r="BD204" t="s">
        <v>704</v>
      </c>
    </row>
    <row r="205" spans="2:61" x14ac:dyDescent="0.3">
      <c r="C205" s="17" t="s">
        <v>315</v>
      </c>
      <c r="D205" s="17" t="s">
        <v>316</v>
      </c>
      <c r="E205" s="17" t="s">
        <v>317</v>
      </c>
      <c r="F205" s="17" t="s">
        <v>318</v>
      </c>
      <c r="G205" s="17" t="s">
        <v>319</v>
      </c>
      <c r="J205" t="s">
        <v>514</v>
      </c>
      <c r="K205" s="17" t="s">
        <v>173</v>
      </c>
      <c r="L205" s="17" t="s">
        <v>322</v>
      </c>
      <c r="M205" s="17" t="s">
        <v>322</v>
      </c>
      <c r="N205" s="17" t="s">
        <v>322</v>
      </c>
      <c r="O205" s="17" t="s">
        <v>322</v>
      </c>
      <c r="Y205" s="15" t="s">
        <v>554</v>
      </c>
      <c r="Z205" s="17" t="s">
        <v>706</v>
      </c>
      <c r="AA205" s="17" t="s">
        <v>697</v>
      </c>
      <c r="AB205" s="17" t="s">
        <v>707</v>
      </c>
      <c r="AC205" s="17" t="s">
        <v>706</v>
      </c>
      <c r="AD205" s="17" t="s">
        <v>707</v>
      </c>
      <c r="AG205" t="s">
        <v>517</v>
      </c>
      <c r="AH205" s="17" t="s">
        <v>173</v>
      </c>
      <c r="AI205" s="17" t="s">
        <v>322</v>
      </c>
      <c r="AJ205" s="17" t="s">
        <v>322</v>
      </c>
      <c r="AK205" s="17" t="s">
        <v>322</v>
      </c>
      <c r="AL205" s="17" t="s">
        <v>322</v>
      </c>
      <c r="AV205" s="15" t="s">
        <v>554</v>
      </c>
      <c r="AW205" s="17" t="s">
        <v>706</v>
      </c>
      <c r="AX205" s="17" t="s">
        <v>697</v>
      </c>
      <c r="AY205" s="17" t="s">
        <v>707</v>
      </c>
      <c r="AZ205" s="17" t="s">
        <v>706</v>
      </c>
      <c r="BA205" s="17" t="s">
        <v>707</v>
      </c>
      <c r="BE205" s="17" t="s">
        <v>315</v>
      </c>
      <c r="BF205" s="17" t="s">
        <v>316</v>
      </c>
      <c r="BG205" s="17" t="s">
        <v>317</v>
      </c>
      <c r="BH205" s="17" t="s">
        <v>318</v>
      </c>
      <c r="BI205" s="17" t="s">
        <v>319</v>
      </c>
    </row>
    <row r="206" spans="2:61" x14ac:dyDescent="0.3">
      <c r="B206" s="15" t="s">
        <v>539</v>
      </c>
      <c r="C206" s="17" t="s">
        <v>701</v>
      </c>
      <c r="D206" s="17" t="s">
        <v>702</v>
      </c>
      <c r="E206" s="17" t="s">
        <v>687</v>
      </c>
      <c r="F206" s="17" t="s">
        <v>702</v>
      </c>
      <c r="G206" s="17" t="s">
        <v>701</v>
      </c>
      <c r="J206" t="s">
        <v>517</v>
      </c>
      <c r="K206" s="17" t="s">
        <v>173</v>
      </c>
      <c r="L206" s="17" t="s">
        <v>322</v>
      </c>
      <c r="M206" s="17" t="s">
        <v>322</v>
      </c>
      <c r="N206" s="17" t="s">
        <v>322</v>
      </c>
      <c r="O206" s="17" t="s">
        <v>322</v>
      </c>
      <c r="AG206" t="s">
        <v>326</v>
      </c>
      <c r="AH206" s="17" t="s">
        <v>173</v>
      </c>
      <c r="AI206" s="17" t="s">
        <v>322</v>
      </c>
      <c r="AJ206" s="17" t="s">
        <v>322</v>
      </c>
      <c r="AK206" s="17" t="s">
        <v>322</v>
      </c>
      <c r="AL206" s="17" t="s">
        <v>322</v>
      </c>
      <c r="BD206" t="s">
        <v>512</v>
      </c>
      <c r="BE206" s="17" t="s">
        <v>173</v>
      </c>
      <c r="BF206" s="17" t="s">
        <v>322</v>
      </c>
      <c r="BG206" s="17" t="s">
        <v>322</v>
      </c>
      <c r="BH206" s="17" t="s">
        <v>322</v>
      </c>
      <c r="BI206" s="17" t="s">
        <v>322</v>
      </c>
    </row>
    <row r="207" spans="2:61" x14ac:dyDescent="0.3">
      <c r="B207" s="15" t="s">
        <v>543</v>
      </c>
      <c r="C207" s="17" t="s">
        <v>701</v>
      </c>
      <c r="D207" s="17" t="s">
        <v>702</v>
      </c>
      <c r="E207" s="17" t="s">
        <v>687</v>
      </c>
      <c r="F207" s="17" t="s">
        <v>702</v>
      </c>
      <c r="G207" s="17" t="s">
        <v>701</v>
      </c>
      <c r="J207" t="s">
        <v>326</v>
      </c>
      <c r="K207" s="17" t="s">
        <v>173</v>
      </c>
      <c r="L207" s="17" t="s">
        <v>322</v>
      </c>
      <c r="M207" s="17" t="s">
        <v>322</v>
      </c>
      <c r="N207" s="17" t="s">
        <v>322</v>
      </c>
      <c r="O207" s="17" t="s">
        <v>322</v>
      </c>
      <c r="Y207" s="15" t="s">
        <v>709</v>
      </c>
      <c r="AG207" t="s">
        <v>328</v>
      </c>
      <c r="AH207" s="17" t="s">
        <v>173</v>
      </c>
      <c r="AI207" s="17" t="s">
        <v>322</v>
      </c>
      <c r="AJ207" s="17" t="s">
        <v>322</v>
      </c>
      <c r="AK207" s="17" t="s">
        <v>322</v>
      </c>
      <c r="AL207" s="17" t="s">
        <v>322</v>
      </c>
      <c r="AV207" s="15" t="s">
        <v>709</v>
      </c>
      <c r="BD207" t="s">
        <v>514</v>
      </c>
      <c r="BE207" s="17" t="s">
        <v>173</v>
      </c>
      <c r="BF207" s="17" t="s">
        <v>322</v>
      </c>
      <c r="BG207" s="17" t="s">
        <v>322</v>
      </c>
      <c r="BH207" s="17" t="s">
        <v>322</v>
      </c>
      <c r="BI207" s="17" t="s">
        <v>322</v>
      </c>
    </row>
    <row r="208" spans="2:61" x14ac:dyDescent="0.3">
      <c r="B208" s="15" t="s">
        <v>573</v>
      </c>
      <c r="C208" s="17" t="s">
        <v>689</v>
      </c>
      <c r="D208" s="17" t="s">
        <v>703</v>
      </c>
      <c r="E208" s="17" t="s">
        <v>689</v>
      </c>
      <c r="F208" s="17" t="s">
        <v>322</v>
      </c>
      <c r="G208" s="17" t="s">
        <v>701</v>
      </c>
      <c r="J208" t="s">
        <v>328</v>
      </c>
      <c r="K208" s="17" t="s">
        <v>173</v>
      </c>
      <c r="L208" s="17" t="s">
        <v>322</v>
      </c>
      <c r="M208" s="17" t="s">
        <v>322</v>
      </c>
      <c r="N208" s="17" t="s">
        <v>322</v>
      </c>
      <c r="O208" s="17" t="s">
        <v>322</v>
      </c>
      <c r="Z208" s="17" t="s">
        <v>315</v>
      </c>
      <c r="AA208" s="17" t="s">
        <v>316</v>
      </c>
      <c r="AB208" s="17" t="s">
        <v>317</v>
      </c>
      <c r="AC208" s="17" t="s">
        <v>318</v>
      </c>
      <c r="AD208" s="17" t="s">
        <v>319</v>
      </c>
      <c r="AG208" t="s">
        <v>350</v>
      </c>
      <c r="AH208" s="17" t="s">
        <v>173</v>
      </c>
      <c r="AI208" s="17" t="s">
        <v>322</v>
      </c>
      <c r="AJ208" s="17" t="s">
        <v>322</v>
      </c>
      <c r="AK208" s="17" t="s">
        <v>322</v>
      </c>
      <c r="AL208" s="17" t="s">
        <v>322</v>
      </c>
      <c r="AW208" s="17" t="s">
        <v>315</v>
      </c>
      <c r="AX208" s="17" t="s">
        <v>316</v>
      </c>
      <c r="AY208" s="17" t="s">
        <v>317</v>
      </c>
      <c r="AZ208" s="17" t="s">
        <v>318</v>
      </c>
      <c r="BA208" s="17" t="s">
        <v>319</v>
      </c>
      <c r="BD208" t="s">
        <v>517</v>
      </c>
      <c r="BE208" s="17" t="s">
        <v>173</v>
      </c>
      <c r="BF208" s="17" t="s">
        <v>322</v>
      </c>
      <c r="BG208" s="17" t="s">
        <v>322</v>
      </c>
      <c r="BH208" s="17" t="s">
        <v>322</v>
      </c>
      <c r="BI208" s="17" t="s">
        <v>322</v>
      </c>
    </row>
    <row r="209" spans="2:61" x14ac:dyDescent="0.3">
      <c r="B209" s="15" t="s">
        <v>561</v>
      </c>
      <c r="C209" s="17" t="s">
        <v>689</v>
      </c>
      <c r="D209" s="17" t="s">
        <v>703</v>
      </c>
      <c r="E209" s="17" t="s">
        <v>689</v>
      </c>
      <c r="F209" s="17" t="s">
        <v>705</v>
      </c>
      <c r="G209" s="17" t="s">
        <v>322</v>
      </c>
      <c r="J209" t="s">
        <v>350</v>
      </c>
      <c r="K209" s="17" t="s">
        <v>173</v>
      </c>
      <c r="L209" s="17" t="s">
        <v>322</v>
      </c>
      <c r="M209" s="17" t="s">
        <v>322</v>
      </c>
      <c r="N209" s="17" t="s">
        <v>322</v>
      </c>
      <c r="O209" s="17" t="s">
        <v>322</v>
      </c>
      <c r="Y209" s="15" t="s">
        <v>539</v>
      </c>
      <c r="Z209" s="17" t="s">
        <v>322</v>
      </c>
      <c r="AA209" s="17" t="s">
        <v>710</v>
      </c>
      <c r="AB209" s="17" t="s">
        <v>322</v>
      </c>
      <c r="AC209" s="17" t="s">
        <v>322</v>
      </c>
      <c r="AD209" s="17" t="s">
        <v>697</v>
      </c>
      <c r="AV209" s="15" t="s">
        <v>539</v>
      </c>
      <c r="AW209" s="17" t="s">
        <v>322</v>
      </c>
      <c r="AX209" s="17" t="s">
        <v>710</v>
      </c>
      <c r="AY209" s="17" t="s">
        <v>322</v>
      </c>
      <c r="AZ209" s="17" t="s">
        <v>322</v>
      </c>
      <c r="BA209" s="17" t="s">
        <v>697</v>
      </c>
      <c r="BD209" t="s">
        <v>326</v>
      </c>
      <c r="BE209" s="17" t="s">
        <v>173</v>
      </c>
      <c r="BF209" s="17" t="s">
        <v>322</v>
      </c>
      <c r="BG209" s="17" t="s">
        <v>322</v>
      </c>
      <c r="BH209" s="17" t="s">
        <v>322</v>
      </c>
      <c r="BI209" s="17" t="s">
        <v>322</v>
      </c>
    </row>
    <row r="210" spans="2:61" x14ac:dyDescent="0.3">
      <c r="B210" s="15" t="s">
        <v>551</v>
      </c>
      <c r="C210" s="17" t="s">
        <v>706</v>
      </c>
      <c r="D210" s="17" t="s">
        <v>703</v>
      </c>
      <c r="E210" s="17" t="s">
        <v>705</v>
      </c>
      <c r="F210" s="17" t="s">
        <v>705</v>
      </c>
      <c r="G210" s="17" t="s">
        <v>707</v>
      </c>
      <c r="Y210" s="15" t="s">
        <v>543</v>
      </c>
      <c r="Z210" s="17" t="s">
        <v>322</v>
      </c>
      <c r="AA210" s="17" t="s">
        <v>710</v>
      </c>
      <c r="AB210" s="17" t="s">
        <v>322</v>
      </c>
      <c r="AC210" s="17" t="s">
        <v>322</v>
      </c>
      <c r="AD210" s="17" t="s">
        <v>697</v>
      </c>
      <c r="AG210" t="s">
        <v>711</v>
      </c>
      <c r="AV210" s="15" t="s">
        <v>543</v>
      </c>
      <c r="AW210" s="17" t="s">
        <v>322</v>
      </c>
      <c r="AX210" s="17" t="s">
        <v>710</v>
      </c>
      <c r="AY210" s="17" t="s">
        <v>322</v>
      </c>
      <c r="AZ210" s="17" t="s">
        <v>322</v>
      </c>
      <c r="BA210" s="17" t="s">
        <v>697</v>
      </c>
      <c r="BD210" t="s">
        <v>328</v>
      </c>
      <c r="BE210" s="17" t="s">
        <v>173</v>
      </c>
      <c r="BF210" s="17" t="s">
        <v>322</v>
      </c>
      <c r="BG210" s="17" t="s">
        <v>322</v>
      </c>
      <c r="BH210" s="17" t="s">
        <v>322</v>
      </c>
      <c r="BI210" s="17" t="s">
        <v>322</v>
      </c>
    </row>
    <row r="211" spans="2:61" x14ac:dyDescent="0.3">
      <c r="B211" s="15" t="s">
        <v>552</v>
      </c>
      <c r="C211" s="17" t="s">
        <v>706</v>
      </c>
      <c r="D211" s="17" t="s">
        <v>703</v>
      </c>
      <c r="E211" s="17" t="s">
        <v>708</v>
      </c>
      <c r="F211" s="17" t="s">
        <v>706</v>
      </c>
      <c r="G211" s="17" t="s">
        <v>707</v>
      </c>
      <c r="J211" t="s">
        <v>711</v>
      </c>
      <c r="Y211" s="15" t="s">
        <v>573</v>
      </c>
      <c r="Z211" s="17" t="s">
        <v>689</v>
      </c>
      <c r="AA211" s="17" t="s">
        <v>710</v>
      </c>
      <c r="AB211" s="17" t="s">
        <v>689</v>
      </c>
      <c r="AC211" s="17" t="s">
        <v>322</v>
      </c>
      <c r="AD211" s="17" t="s">
        <v>712</v>
      </c>
      <c r="AH211" s="17" t="s">
        <v>315</v>
      </c>
      <c r="AI211" s="17" t="s">
        <v>316</v>
      </c>
      <c r="AJ211" s="17" t="s">
        <v>317</v>
      </c>
      <c r="AK211" s="17" t="s">
        <v>318</v>
      </c>
      <c r="AL211" s="17" t="s">
        <v>319</v>
      </c>
      <c r="AV211" s="15" t="s">
        <v>573</v>
      </c>
      <c r="AW211" s="17" t="s">
        <v>689</v>
      </c>
      <c r="AX211" s="17" t="s">
        <v>710</v>
      </c>
      <c r="AY211" s="17" t="s">
        <v>689</v>
      </c>
      <c r="AZ211" s="17" t="s">
        <v>322</v>
      </c>
      <c r="BA211" s="17" t="s">
        <v>712</v>
      </c>
      <c r="BD211" t="s">
        <v>350</v>
      </c>
      <c r="BE211" s="17" t="s">
        <v>173</v>
      </c>
      <c r="BF211" s="17" t="s">
        <v>322</v>
      </c>
      <c r="BG211" s="17" t="s">
        <v>322</v>
      </c>
      <c r="BH211" s="17" t="s">
        <v>322</v>
      </c>
      <c r="BI211" s="17" t="s">
        <v>322</v>
      </c>
    </row>
    <row r="212" spans="2:61" x14ac:dyDescent="0.3">
      <c r="B212" s="15" t="s">
        <v>554</v>
      </c>
      <c r="C212" s="17" t="s">
        <v>706</v>
      </c>
      <c r="D212" s="17" t="s">
        <v>697</v>
      </c>
      <c r="E212" s="17" t="s">
        <v>707</v>
      </c>
      <c r="F212" s="17" t="s">
        <v>706</v>
      </c>
      <c r="G212" s="17" t="s">
        <v>707</v>
      </c>
      <c r="K212" s="17" t="s">
        <v>315</v>
      </c>
      <c r="L212" s="17" t="s">
        <v>316</v>
      </c>
      <c r="M212" s="17" t="s">
        <v>317</v>
      </c>
      <c r="N212" s="17" t="s">
        <v>318</v>
      </c>
      <c r="O212" s="17" t="s">
        <v>319</v>
      </c>
      <c r="Y212" s="15" t="s">
        <v>561</v>
      </c>
      <c r="Z212" s="17" t="s">
        <v>689</v>
      </c>
      <c r="AA212" s="17" t="s">
        <v>710</v>
      </c>
      <c r="AB212" s="17" t="s">
        <v>689</v>
      </c>
      <c r="AC212" s="17" t="s">
        <v>322</v>
      </c>
      <c r="AD212" s="17" t="s">
        <v>712</v>
      </c>
      <c r="AG212" t="s">
        <v>573</v>
      </c>
      <c r="AH212" s="17" t="s">
        <v>206</v>
      </c>
      <c r="AI212" s="17" t="s">
        <v>322</v>
      </c>
      <c r="AJ212" s="17" t="s">
        <v>206</v>
      </c>
      <c r="AK212" s="17" t="s">
        <v>206</v>
      </c>
      <c r="AL212" s="17" t="s">
        <v>322</v>
      </c>
      <c r="AV212" s="15" t="s">
        <v>561</v>
      </c>
      <c r="AW212" s="17" t="s">
        <v>689</v>
      </c>
      <c r="AX212" s="17" t="s">
        <v>710</v>
      </c>
      <c r="AY212" s="17" t="s">
        <v>689</v>
      </c>
      <c r="AZ212" s="17" t="s">
        <v>322</v>
      </c>
      <c r="BA212" s="17" t="s">
        <v>712</v>
      </c>
    </row>
    <row r="213" spans="2:61" x14ac:dyDescent="0.3">
      <c r="J213" t="s">
        <v>573</v>
      </c>
      <c r="K213" s="17" t="s">
        <v>206</v>
      </c>
      <c r="L213" s="17" t="s">
        <v>322</v>
      </c>
      <c r="M213" s="17" t="s">
        <v>206</v>
      </c>
      <c r="N213" s="17" t="s">
        <v>206</v>
      </c>
      <c r="O213" s="17" t="s">
        <v>322</v>
      </c>
      <c r="Y213" s="15" t="s">
        <v>551</v>
      </c>
      <c r="Z213" s="17" t="s">
        <v>713</v>
      </c>
      <c r="AA213" s="17" t="s">
        <v>712</v>
      </c>
      <c r="AB213" s="17" t="s">
        <v>714</v>
      </c>
      <c r="AC213" s="17" t="s">
        <v>697</v>
      </c>
      <c r="AD213" s="17" t="s">
        <v>714</v>
      </c>
      <c r="AG213" t="s">
        <v>561</v>
      </c>
      <c r="AH213" s="17" t="s">
        <v>206</v>
      </c>
      <c r="AI213" s="17" t="s">
        <v>322</v>
      </c>
      <c r="AJ213" s="17" t="s">
        <v>206</v>
      </c>
      <c r="AK213" s="17" t="s">
        <v>206</v>
      </c>
      <c r="AL213" s="17" t="s">
        <v>322</v>
      </c>
      <c r="AV213" s="15" t="s">
        <v>551</v>
      </c>
      <c r="AW213" s="17" t="s">
        <v>713</v>
      </c>
      <c r="AX213" s="17" t="s">
        <v>712</v>
      </c>
      <c r="AY213" s="17" t="s">
        <v>714</v>
      </c>
      <c r="AZ213" s="17" t="s">
        <v>697</v>
      </c>
      <c r="BA213" s="17" t="s">
        <v>714</v>
      </c>
      <c r="BD213" t="s">
        <v>711</v>
      </c>
    </row>
    <row r="214" spans="2:61" x14ac:dyDescent="0.3">
      <c r="B214" s="15" t="s">
        <v>709</v>
      </c>
      <c r="J214" t="s">
        <v>561</v>
      </c>
      <c r="K214" s="17" t="s">
        <v>206</v>
      </c>
      <c r="L214" s="17" t="s">
        <v>322</v>
      </c>
      <c r="M214" s="17" t="s">
        <v>206</v>
      </c>
      <c r="N214" s="17" t="s">
        <v>206</v>
      </c>
      <c r="O214" s="17" t="s">
        <v>322</v>
      </c>
      <c r="Y214" s="15" t="s">
        <v>552</v>
      </c>
      <c r="Z214" s="17" t="s">
        <v>713</v>
      </c>
      <c r="AA214" s="17" t="s">
        <v>712</v>
      </c>
      <c r="AB214" s="17" t="s">
        <v>714</v>
      </c>
      <c r="AC214" s="17" t="s">
        <v>713</v>
      </c>
      <c r="AD214" s="17" t="s">
        <v>714</v>
      </c>
      <c r="AV214" s="15" t="s">
        <v>552</v>
      </c>
      <c r="AW214" s="17" t="s">
        <v>713</v>
      </c>
      <c r="AX214" s="17" t="s">
        <v>712</v>
      </c>
      <c r="AY214" s="17" t="s">
        <v>714</v>
      </c>
      <c r="AZ214" s="17" t="s">
        <v>713</v>
      </c>
      <c r="BA214" s="17" t="s">
        <v>714</v>
      </c>
      <c r="BE214" s="17" t="s">
        <v>315</v>
      </c>
      <c r="BF214" s="17" t="s">
        <v>316</v>
      </c>
      <c r="BG214" s="17" t="s">
        <v>317</v>
      </c>
      <c r="BH214" s="17" t="s">
        <v>318</v>
      </c>
      <c r="BI214" s="17" t="s">
        <v>319</v>
      </c>
    </row>
    <row r="215" spans="2:61" x14ac:dyDescent="0.3">
      <c r="C215" s="17" t="s">
        <v>315</v>
      </c>
      <c r="D215" s="17" t="s">
        <v>316</v>
      </c>
      <c r="E215" s="17" t="s">
        <v>317</v>
      </c>
      <c r="F215" s="17" t="s">
        <v>318</v>
      </c>
      <c r="G215" s="17" t="s">
        <v>319</v>
      </c>
      <c r="Y215" s="15" t="s">
        <v>554</v>
      </c>
      <c r="Z215" s="17" t="s">
        <v>713</v>
      </c>
      <c r="AA215" s="17" t="s">
        <v>322</v>
      </c>
      <c r="AB215" s="17" t="s">
        <v>322</v>
      </c>
      <c r="AC215" s="17" t="s">
        <v>713</v>
      </c>
      <c r="AD215" s="17" t="s">
        <v>714</v>
      </c>
      <c r="AG215" t="s">
        <v>715</v>
      </c>
      <c r="AV215" s="15" t="s">
        <v>554</v>
      </c>
      <c r="AW215" s="17" t="s">
        <v>713</v>
      </c>
      <c r="AX215" s="17" t="s">
        <v>322</v>
      </c>
      <c r="AY215" s="17" t="s">
        <v>714</v>
      </c>
      <c r="AZ215" s="17" t="s">
        <v>713</v>
      </c>
      <c r="BA215" s="17" t="s">
        <v>322</v>
      </c>
      <c r="BD215" t="s">
        <v>573</v>
      </c>
      <c r="BE215" s="17" t="s">
        <v>206</v>
      </c>
      <c r="BF215" s="17" t="s">
        <v>322</v>
      </c>
      <c r="BG215" s="17" t="s">
        <v>206</v>
      </c>
      <c r="BH215" s="17" t="s">
        <v>206</v>
      </c>
      <c r="BI215" s="17" t="s">
        <v>322</v>
      </c>
    </row>
    <row r="216" spans="2:61" x14ac:dyDescent="0.3">
      <c r="B216" s="15" t="s">
        <v>539</v>
      </c>
      <c r="C216" s="17" t="s">
        <v>322</v>
      </c>
      <c r="D216" s="17" t="s">
        <v>710</v>
      </c>
      <c r="E216" s="130" t="s">
        <v>687</v>
      </c>
      <c r="F216" s="17" t="s">
        <v>322</v>
      </c>
      <c r="G216" s="17" t="s">
        <v>322</v>
      </c>
      <c r="J216" t="s">
        <v>715</v>
      </c>
      <c r="AH216" s="17" t="s">
        <v>315</v>
      </c>
      <c r="AI216" s="17" t="s">
        <v>316</v>
      </c>
      <c r="AJ216" s="17" t="s">
        <v>317</v>
      </c>
      <c r="AK216" s="17" t="s">
        <v>318</v>
      </c>
      <c r="AL216" s="17" t="s">
        <v>319</v>
      </c>
      <c r="BD216" t="s">
        <v>561</v>
      </c>
      <c r="BE216" s="17" t="s">
        <v>206</v>
      </c>
      <c r="BF216" s="17" t="s">
        <v>322</v>
      </c>
      <c r="BG216" s="17" t="s">
        <v>206</v>
      </c>
      <c r="BH216" s="17" t="s">
        <v>206</v>
      </c>
      <c r="BI216" s="17" t="s">
        <v>322</v>
      </c>
    </row>
    <row r="217" spans="2:61" x14ac:dyDescent="0.3">
      <c r="B217" s="15" t="s">
        <v>543</v>
      </c>
      <c r="C217" s="17" t="s">
        <v>322</v>
      </c>
      <c r="D217" s="17" t="s">
        <v>710</v>
      </c>
      <c r="E217" s="130" t="s">
        <v>687</v>
      </c>
      <c r="F217" s="17" t="s">
        <v>322</v>
      </c>
      <c r="G217" s="17" t="s">
        <v>322</v>
      </c>
      <c r="K217" s="17" t="s">
        <v>315</v>
      </c>
      <c r="L217" s="17" t="s">
        <v>316</v>
      </c>
      <c r="M217" s="17" t="s">
        <v>317</v>
      </c>
      <c r="N217" s="17" t="s">
        <v>318</v>
      </c>
      <c r="O217" s="17" t="s">
        <v>319</v>
      </c>
      <c r="Y217" s="15" t="s">
        <v>716</v>
      </c>
      <c r="AG217" t="s">
        <v>512</v>
      </c>
      <c r="AH217" s="17" t="s">
        <v>322</v>
      </c>
      <c r="AI217" s="17" t="s">
        <v>322</v>
      </c>
      <c r="AJ217" s="17" t="s">
        <v>322</v>
      </c>
      <c r="AK217" s="17" t="s">
        <v>138</v>
      </c>
      <c r="AL217" s="17" t="s">
        <v>322</v>
      </c>
      <c r="AV217" s="15" t="s">
        <v>716</v>
      </c>
    </row>
    <row r="218" spans="2:61" x14ac:dyDescent="0.3">
      <c r="B218" s="15" t="s">
        <v>573</v>
      </c>
      <c r="C218" s="17" t="s">
        <v>689</v>
      </c>
      <c r="D218" s="17" t="s">
        <v>710</v>
      </c>
      <c r="E218" s="17" t="s">
        <v>689</v>
      </c>
      <c r="F218" s="17" t="s">
        <v>322</v>
      </c>
      <c r="G218" s="130" t="s">
        <v>713</v>
      </c>
      <c r="J218" t="s">
        <v>512</v>
      </c>
      <c r="K218" s="17" t="s">
        <v>322</v>
      </c>
      <c r="L218" s="17" t="s">
        <v>322</v>
      </c>
      <c r="M218" s="17" t="s">
        <v>322</v>
      </c>
      <c r="N218" s="17" t="s">
        <v>138</v>
      </c>
      <c r="O218" s="17" t="s">
        <v>322</v>
      </c>
      <c r="Z218" s="17" t="s">
        <v>315</v>
      </c>
      <c r="AA218" s="17" t="s">
        <v>316</v>
      </c>
      <c r="AB218" s="17" t="s">
        <v>317</v>
      </c>
      <c r="AC218" s="17" t="s">
        <v>318</v>
      </c>
      <c r="AD218" s="17" t="s">
        <v>319</v>
      </c>
      <c r="AG218" t="s">
        <v>514</v>
      </c>
      <c r="AH218" s="17" t="s">
        <v>322</v>
      </c>
      <c r="AI218" s="17" t="s">
        <v>322</v>
      </c>
      <c r="AJ218" s="17" t="s">
        <v>322</v>
      </c>
      <c r="AK218" s="17" t="s">
        <v>138</v>
      </c>
      <c r="AL218" s="17" t="s">
        <v>322</v>
      </c>
      <c r="AW218" s="17" t="s">
        <v>315</v>
      </c>
      <c r="AX218" s="17" t="s">
        <v>316</v>
      </c>
      <c r="AY218" s="17" t="s">
        <v>317</v>
      </c>
      <c r="AZ218" s="17" t="s">
        <v>318</v>
      </c>
      <c r="BA218" s="17" t="s">
        <v>319</v>
      </c>
      <c r="BD218" t="s">
        <v>715</v>
      </c>
    </row>
    <row r="219" spans="2:61" x14ac:dyDescent="0.3">
      <c r="B219" s="15" t="s">
        <v>561</v>
      </c>
      <c r="C219" s="17" t="s">
        <v>689</v>
      </c>
      <c r="D219" s="17" t="s">
        <v>710</v>
      </c>
      <c r="E219" s="17" t="s">
        <v>689</v>
      </c>
      <c r="F219" s="17" t="s">
        <v>322</v>
      </c>
      <c r="G219" s="130" t="s">
        <v>713</v>
      </c>
      <c r="J219" t="s">
        <v>514</v>
      </c>
      <c r="K219" s="17" t="s">
        <v>322</v>
      </c>
      <c r="L219" s="17" t="s">
        <v>322</v>
      </c>
      <c r="M219" s="17" t="s">
        <v>322</v>
      </c>
      <c r="N219" s="17" t="s">
        <v>138</v>
      </c>
      <c r="O219" s="17" t="s">
        <v>322</v>
      </c>
      <c r="Y219" s="15" t="s">
        <v>539</v>
      </c>
      <c r="Z219" s="17" t="s">
        <v>717</v>
      </c>
      <c r="AA219" s="17" t="s">
        <v>710</v>
      </c>
      <c r="AB219" s="17" t="s">
        <v>322</v>
      </c>
      <c r="AC219" s="17" t="s">
        <v>717</v>
      </c>
      <c r="AD219" s="17" t="s">
        <v>697</v>
      </c>
      <c r="AG219" t="s">
        <v>517</v>
      </c>
      <c r="AH219" s="17" t="s">
        <v>322</v>
      </c>
      <c r="AI219" s="17" t="s">
        <v>322</v>
      </c>
      <c r="AJ219" s="17" t="s">
        <v>322</v>
      </c>
      <c r="AK219" s="17" t="s">
        <v>138</v>
      </c>
      <c r="AL219" s="17" t="s">
        <v>322</v>
      </c>
      <c r="AV219" s="15" t="s">
        <v>539</v>
      </c>
      <c r="AW219" s="17" t="s">
        <v>717</v>
      </c>
      <c r="AX219" s="17" t="s">
        <v>710</v>
      </c>
      <c r="AY219" s="17" t="s">
        <v>322</v>
      </c>
      <c r="AZ219" s="17" t="s">
        <v>322</v>
      </c>
      <c r="BA219" s="17" t="s">
        <v>697</v>
      </c>
      <c r="BE219" s="17" t="s">
        <v>315</v>
      </c>
      <c r="BF219" s="17" t="s">
        <v>316</v>
      </c>
      <c r="BG219" s="17" t="s">
        <v>317</v>
      </c>
      <c r="BH219" s="17" t="s">
        <v>318</v>
      </c>
      <c r="BI219" s="17" t="s">
        <v>319</v>
      </c>
    </row>
    <row r="220" spans="2:61" x14ac:dyDescent="0.3">
      <c r="B220" s="15" t="s">
        <v>551</v>
      </c>
      <c r="C220" s="17" t="s">
        <v>713</v>
      </c>
      <c r="D220" s="17" t="s">
        <v>719</v>
      </c>
      <c r="E220" s="17" t="s">
        <v>714</v>
      </c>
      <c r="F220" s="130" t="s">
        <v>719</v>
      </c>
      <c r="G220" s="17" t="s">
        <v>714</v>
      </c>
      <c r="J220" t="s">
        <v>517</v>
      </c>
      <c r="K220" s="17" t="s">
        <v>322</v>
      </c>
      <c r="L220" s="17" t="s">
        <v>322</v>
      </c>
      <c r="M220" s="17" t="s">
        <v>322</v>
      </c>
      <c r="N220" s="17" t="s">
        <v>138</v>
      </c>
      <c r="O220" s="17" t="s">
        <v>322</v>
      </c>
      <c r="Y220" s="15" t="s">
        <v>543</v>
      </c>
      <c r="Z220" s="17" t="s">
        <v>717</v>
      </c>
      <c r="AA220" s="17" t="s">
        <v>710</v>
      </c>
      <c r="AB220" s="17" t="s">
        <v>718</v>
      </c>
      <c r="AC220" s="17" t="s">
        <v>717</v>
      </c>
      <c r="AD220" s="17" t="s">
        <v>697</v>
      </c>
      <c r="AV220" s="15" t="s">
        <v>543</v>
      </c>
      <c r="AW220" s="17" t="s">
        <v>717</v>
      </c>
      <c r="AX220" s="17" t="s">
        <v>710</v>
      </c>
      <c r="AY220" s="17" t="s">
        <v>718</v>
      </c>
      <c r="AZ220" s="17" t="s">
        <v>322</v>
      </c>
      <c r="BA220" s="17" t="s">
        <v>697</v>
      </c>
      <c r="BD220" t="s">
        <v>512</v>
      </c>
      <c r="BE220" s="17" t="s">
        <v>322</v>
      </c>
      <c r="BF220" s="17" t="s">
        <v>322</v>
      </c>
      <c r="BG220" s="17" t="s">
        <v>322</v>
      </c>
      <c r="BH220" s="17" t="s">
        <v>138</v>
      </c>
      <c r="BI220" s="17" t="s">
        <v>322</v>
      </c>
    </row>
    <row r="221" spans="2:61" x14ac:dyDescent="0.3">
      <c r="B221" s="15" t="s">
        <v>552</v>
      </c>
      <c r="C221" s="17" t="s">
        <v>713</v>
      </c>
      <c r="D221" s="17" t="s">
        <v>719</v>
      </c>
      <c r="E221" s="17" t="s">
        <v>714</v>
      </c>
      <c r="F221" s="130" t="s">
        <v>719</v>
      </c>
      <c r="G221" s="17" t="s">
        <v>714</v>
      </c>
      <c r="Y221" s="15" t="s">
        <v>573</v>
      </c>
      <c r="Z221" s="17" t="s">
        <v>689</v>
      </c>
      <c r="AA221" s="17" t="s">
        <v>710</v>
      </c>
      <c r="AB221" s="17" t="s">
        <v>718</v>
      </c>
      <c r="AC221" s="17" t="s">
        <v>689</v>
      </c>
      <c r="AD221" s="17" t="s">
        <v>719</v>
      </c>
      <c r="AG221" t="s">
        <v>720</v>
      </c>
      <c r="AV221" s="15" t="s">
        <v>573</v>
      </c>
      <c r="AW221" s="17" t="s">
        <v>689</v>
      </c>
      <c r="AX221" s="17" t="s">
        <v>710</v>
      </c>
      <c r="AY221" s="17" t="s">
        <v>718</v>
      </c>
      <c r="AZ221" s="17" t="s">
        <v>689</v>
      </c>
      <c r="BA221" s="17" t="s">
        <v>719</v>
      </c>
      <c r="BD221" t="s">
        <v>514</v>
      </c>
      <c r="BE221" s="17" t="s">
        <v>322</v>
      </c>
      <c r="BF221" s="17" t="s">
        <v>322</v>
      </c>
      <c r="BG221" s="17" t="s">
        <v>322</v>
      </c>
      <c r="BH221" s="17" t="s">
        <v>138</v>
      </c>
      <c r="BI221" s="17" t="s">
        <v>322</v>
      </c>
    </row>
    <row r="222" spans="2:61" x14ac:dyDescent="0.3">
      <c r="B222" s="15" t="s">
        <v>554</v>
      </c>
      <c r="C222" s="17" t="s">
        <v>713</v>
      </c>
      <c r="D222" s="130" t="s">
        <v>697</v>
      </c>
      <c r="E222" s="130" t="s">
        <v>714</v>
      </c>
      <c r="F222" s="17" t="s">
        <v>322</v>
      </c>
      <c r="G222" s="17" t="s">
        <v>322</v>
      </c>
      <c r="J222" t="s">
        <v>720</v>
      </c>
      <c r="Y222" s="15" t="s">
        <v>561</v>
      </c>
      <c r="Z222" s="17" t="s">
        <v>689</v>
      </c>
      <c r="AA222" s="17" t="s">
        <v>710</v>
      </c>
      <c r="AB222" s="17" t="s">
        <v>719</v>
      </c>
      <c r="AC222" s="17" t="s">
        <v>689</v>
      </c>
      <c r="AD222" s="17" t="s">
        <v>719</v>
      </c>
      <c r="AH222" s="17" t="s">
        <v>315</v>
      </c>
      <c r="AI222" s="17" t="s">
        <v>316</v>
      </c>
      <c r="AJ222" s="17" t="s">
        <v>317</v>
      </c>
      <c r="AK222" s="17" t="s">
        <v>318</v>
      </c>
      <c r="AL222" s="17" t="s">
        <v>319</v>
      </c>
      <c r="AV222" s="15" t="s">
        <v>561</v>
      </c>
      <c r="AW222" s="17" t="s">
        <v>689</v>
      </c>
      <c r="AX222" s="17" t="s">
        <v>710</v>
      </c>
      <c r="AY222" s="17" t="s">
        <v>719</v>
      </c>
      <c r="AZ222" s="17" t="s">
        <v>689</v>
      </c>
      <c r="BA222" s="17" t="s">
        <v>719</v>
      </c>
      <c r="BD222" t="s">
        <v>517</v>
      </c>
      <c r="BE222" s="17" t="s">
        <v>322</v>
      </c>
      <c r="BF222" s="17" t="s">
        <v>322</v>
      </c>
      <c r="BG222" s="17" t="s">
        <v>322</v>
      </c>
      <c r="BH222" s="17" t="s">
        <v>138</v>
      </c>
      <c r="BI222" s="17" t="s">
        <v>322</v>
      </c>
    </row>
    <row r="223" spans="2:61" x14ac:dyDescent="0.3">
      <c r="K223" s="17" t="s">
        <v>315</v>
      </c>
      <c r="L223" s="17" t="s">
        <v>316</v>
      </c>
      <c r="M223" s="17" t="s">
        <v>317</v>
      </c>
      <c r="N223" s="17" t="s">
        <v>318</v>
      </c>
      <c r="O223" s="17" t="s">
        <v>319</v>
      </c>
      <c r="Y223" s="15" t="s">
        <v>551</v>
      </c>
      <c r="Z223" s="17" t="s">
        <v>718</v>
      </c>
      <c r="AA223" s="17" t="s">
        <v>682</v>
      </c>
      <c r="AB223" s="17" t="s">
        <v>719</v>
      </c>
      <c r="AC223" s="17" t="s">
        <v>697</v>
      </c>
      <c r="AD223" s="17" t="s">
        <v>322</v>
      </c>
      <c r="AG223" t="s">
        <v>551</v>
      </c>
      <c r="AH223" s="17" t="s">
        <v>322</v>
      </c>
      <c r="AI223" s="17" t="s">
        <v>322</v>
      </c>
      <c r="AJ223" s="17" t="s">
        <v>322</v>
      </c>
      <c r="AK223" s="17" t="s">
        <v>322</v>
      </c>
      <c r="AL223" s="17" t="s">
        <v>219</v>
      </c>
      <c r="AV223" s="15" t="s">
        <v>551</v>
      </c>
      <c r="AW223" s="17" t="s">
        <v>718</v>
      </c>
      <c r="AX223" s="17" t="s">
        <v>682</v>
      </c>
      <c r="AY223" s="17" t="s">
        <v>719</v>
      </c>
      <c r="AZ223" s="17" t="s">
        <v>697</v>
      </c>
      <c r="BA223" s="17" t="s">
        <v>717</v>
      </c>
    </row>
    <row r="224" spans="2:61" x14ac:dyDescent="0.3">
      <c r="B224" s="154" t="s">
        <v>716</v>
      </c>
      <c r="C224" s="151"/>
      <c r="D224" s="151"/>
      <c r="E224" s="151"/>
      <c r="F224" s="151"/>
      <c r="G224" s="151"/>
      <c r="J224" t="s">
        <v>551</v>
      </c>
      <c r="K224" s="17" t="s">
        <v>322</v>
      </c>
      <c r="L224" s="17" t="s">
        <v>322</v>
      </c>
      <c r="M224" s="17" t="s">
        <v>322</v>
      </c>
      <c r="N224" s="17" t="s">
        <v>322</v>
      </c>
      <c r="O224" s="17" t="s">
        <v>219</v>
      </c>
      <c r="Y224" s="15" t="s">
        <v>552</v>
      </c>
      <c r="Z224" s="17" t="s">
        <v>718</v>
      </c>
      <c r="AA224" s="17" t="s">
        <v>682</v>
      </c>
      <c r="AB224" s="17" t="s">
        <v>322</v>
      </c>
      <c r="AC224" s="17" t="s">
        <v>322</v>
      </c>
      <c r="AD224" s="17" t="s">
        <v>322</v>
      </c>
      <c r="AG224" t="s">
        <v>552</v>
      </c>
      <c r="AH224" s="17" t="s">
        <v>322</v>
      </c>
      <c r="AI224" s="17" t="s">
        <v>322</v>
      </c>
      <c r="AJ224" s="17" t="s">
        <v>219</v>
      </c>
      <c r="AK224" s="17" t="s">
        <v>322</v>
      </c>
      <c r="AL224" s="17" t="s">
        <v>219</v>
      </c>
      <c r="AV224" s="15" t="s">
        <v>552</v>
      </c>
      <c r="AW224" s="17" t="s">
        <v>718</v>
      </c>
      <c r="AX224" s="17" t="s">
        <v>682</v>
      </c>
      <c r="AY224" s="17" t="s">
        <v>322</v>
      </c>
      <c r="AZ224" s="17" t="s">
        <v>322</v>
      </c>
      <c r="BA224" s="17" t="s">
        <v>717</v>
      </c>
      <c r="BD224" t="s">
        <v>720</v>
      </c>
    </row>
    <row r="225" spans="2:61" x14ac:dyDescent="0.3">
      <c r="B225" s="154"/>
      <c r="C225" s="151" t="s">
        <v>315</v>
      </c>
      <c r="D225" s="151" t="s">
        <v>316</v>
      </c>
      <c r="E225" s="151" t="s">
        <v>317</v>
      </c>
      <c r="F225" s="151" t="s">
        <v>318</v>
      </c>
      <c r="G225" s="151" t="s">
        <v>319</v>
      </c>
      <c r="J225" t="s">
        <v>552</v>
      </c>
      <c r="K225" s="17" t="s">
        <v>322</v>
      </c>
      <c r="L225" s="17" t="s">
        <v>322</v>
      </c>
      <c r="M225" s="17" t="s">
        <v>219</v>
      </c>
      <c r="N225" s="17" t="s">
        <v>322</v>
      </c>
      <c r="O225" s="17" t="s">
        <v>219</v>
      </c>
      <c r="Y225" s="15" t="s">
        <v>554</v>
      </c>
      <c r="Z225" s="17" t="s">
        <v>322</v>
      </c>
      <c r="AA225" s="17" t="s">
        <v>322</v>
      </c>
      <c r="AB225" s="17" t="s">
        <v>322</v>
      </c>
      <c r="AC225" s="17" t="s">
        <v>322</v>
      </c>
      <c r="AD225" s="17" t="s">
        <v>322</v>
      </c>
      <c r="AG225" t="s">
        <v>554</v>
      </c>
      <c r="AH225" s="17" t="s">
        <v>322</v>
      </c>
      <c r="AI225" s="17" t="s">
        <v>322</v>
      </c>
      <c r="AJ225" s="17" t="s">
        <v>219</v>
      </c>
      <c r="AK225" s="17" t="s">
        <v>322</v>
      </c>
      <c r="AL225" s="17" t="s">
        <v>219</v>
      </c>
      <c r="AV225" s="15" t="s">
        <v>554</v>
      </c>
      <c r="AW225" s="17" t="s">
        <v>322</v>
      </c>
      <c r="AX225" s="17" t="s">
        <v>322</v>
      </c>
      <c r="AY225" s="17" t="s">
        <v>322</v>
      </c>
      <c r="AZ225" s="17" t="s">
        <v>322</v>
      </c>
      <c r="BA225" s="17" t="s">
        <v>322</v>
      </c>
      <c r="BE225" s="17" t="s">
        <v>315</v>
      </c>
      <c r="BF225" s="17" t="s">
        <v>316</v>
      </c>
      <c r="BG225" s="17" t="s">
        <v>317</v>
      </c>
      <c r="BH225" s="17" t="s">
        <v>318</v>
      </c>
      <c r="BI225" s="17" t="s">
        <v>319</v>
      </c>
    </row>
    <row r="226" spans="2:61" x14ac:dyDescent="0.3">
      <c r="B226" s="154" t="s">
        <v>539</v>
      </c>
      <c r="C226" s="151" t="s">
        <v>322</v>
      </c>
      <c r="D226" s="151" t="s">
        <v>710</v>
      </c>
      <c r="E226" s="151" t="s">
        <v>322</v>
      </c>
      <c r="F226" s="151" t="s">
        <v>322</v>
      </c>
      <c r="G226" s="151" t="s">
        <v>697</v>
      </c>
      <c r="J226" t="s">
        <v>554</v>
      </c>
      <c r="K226" s="17" t="s">
        <v>322</v>
      </c>
      <c r="L226" s="17" t="s">
        <v>322</v>
      </c>
      <c r="M226" s="17" t="s">
        <v>219</v>
      </c>
      <c r="N226" s="17" t="s">
        <v>322</v>
      </c>
      <c r="O226" s="17" t="s">
        <v>219</v>
      </c>
      <c r="BD226" t="s">
        <v>551</v>
      </c>
      <c r="BE226" s="17" t="s">
        <v>322</v>
      </c>
      <c r="BF226" s="17" t="s">
        <v>322</v>
      </c>
      <c r="BG226" s="17" t="s">
        <v>322</v>
      </c>
      <c r="BH226" s="17" t="s">
        <v>322</v>
      </c>
      <c r="BI226" s="17" t="s">
        <v>219</v>
      </c>
    </row>
    <row r="227" spans="2:61" x14ac:dyDescent="0.3">
      <c r="B227" s="154" t="s">
        <v>543</v>
      </c>
      <c r="C227" s="151" t="s">
        <v>322</v>
      </c>
      <c r="D227" s="151" t="s">
        <v>710</v>
      </c>
      <c r="E227" s="151" t="s">
        <v>322</v>
      </c>
      <c r="F227" s="151" t="s">
        <v>322</v>
      </c>
      <c r="G227" s="151" t="s">
        <v>697</v>
      </c>
      <c r="Y227" s="15" t="s">
        <v>721</v>
      </c>
      <c r="AG227" t="s">
        <v>722</v>
      </c>
      <c r="AV227" s="15" t="s">
        <v>721</v>
      </c>
      <c r="BD227" t="s">
        <v>552</v>
      </c>
      <c r="BE227" s="17" t="s">
        <v>322</v>
      </c>
      <c r="BF227" s="17" t="s">
        <v>322</v>
      </c>
      <c r="BG227" s="17" t="s">
        <v>219</v>
      </c>
      <c r="BH227" s="17" t="s">
        <v>322</v>
      </c>
      <c r="BI227" s="17" t="s">
        <v>219</v>
      </c>
    </row>
    <row r="228" spans="2:61" x14ac:dyDescent="0.3">
      <c r="B228" s="154" t="s">
        <v>573</v>
      </c>
      <c r="C228" s="151" t="s">
        <v>689</v>
      </c>
      <c r="D228" s="151" t="s">
        <v>710</v>
      </c>
      <c r="E228" s="151" t="s">
        <v>322</v>
      </c>
      <c r="F228" s="151" t="s">
        <v>689</v>
      </c>
      <c r="G228" s="151" t="s">
        <v>712</v>
      </c>
      <c r="J228" t="s">
        <v>722</v>
      </c>
      <c r="Z228" s="17" t="s">
        <v>315</v>
      </c>
      <c r="AA228" s="17" t="s">
        <v>316</v>
      </c>
      <c r="AB228" s="17" t="s">
        <v>317</v>
      </c>
      <c r="AC228" s="17" t="s">
        <v>318</v>
      </c>
      <c r="AD228" s="17" t="s">
        <v>319</v>
      </c>
      <c r="AH228" s="17" t="s">
        <v>315</v>
      </c>
      <c r="AI228" s="17" t="s">
        <v>316</v>
      </c>
      <c r="AJ228" s="17" t="s">
        <v>317</v>
      </c>
      <c r="AK228" s="17" t="s">
        <v>318</v>
      </c>
      <c r="AL228" s="17" t="s">
        <v>319</v>
      </c>
      <c r="AW228" s="17" t="s">
        <v>315</v>
      </c>
      <c r="AX228" s="17" t="s">
        <v>316</v>
      </c>
      <c r="AY228" s="17" t="s">
        <v>317</v>
      </c>
      <c r="AZ228" s="17" t="s">
        <v>318</v>
      </c>
      <c r="BA228" s="17" t="s">
        <v>319</v>
      </c>
      <c r="BD228" t="s">
        <v>554</v>
      </c>
      <c r="BE228" s="17" t="s">
        <v>322</v>
      </c>
      <c r="BF228" s="17" t="s">
        <v>322</v>
      </c>
      <c r="BG228" s="17" t="s">
        <v>219</v>
      </c>
      <c r="BH228" s="17" t="s">
        <v>322</v>
      </c>
      <c r="BI228" s="17" t="s">
        <v>219</v>
      </c>
    </row>
    <row r="229" spans="2:61" x14ac:dyDescent="0.3">
      <c r="B229" s="154" t="s">
        <v>561</v>
      </c>
      <c r="C229" s="151" t="s">
        <v>689</v>
      </c>
      <c r="D229" s="151" t="s">
        <v>710</v>
      </c>
      <c r="E229" s="130" t="s">
        <v>718</v>
      </c>
      <c r="F229" s="151" t="s">
        <v>689</v>
      </c>
      <c r="G229" s="151" t="s">
        <v>712</v>
      </c>
      <c r="K229" s="17" t="s">
        <v>315</v>
      </c>
      <c r="L229" s="17" t="s">
        <v>316</v>
      </c>
      <c r="M229" s="17" t="s">
        <v>317</v>
      </c>
      <c r="N229" s="17" t="s">
        <v>318</v>
      </c>
      <c r="O229" s="17" t="s">
        <v>319</v>
      </c>
      <c r="Y229" s="15" t="s">
        <v>539</v>
      </c>
      <c r="Z229" s="17" t="s">
        <v>717</v>
      </c>
      <c r="AA229" s="17" t="s">
        <v>710</v>
      </c>
      <c r="AB229" s="17" t="s">
        <v>322</v>
      </c>
      <c r="AC229" s="17" t="s">
        <v>717</v>
      </c>
      <c r="AD229" s="17" t="s">
        <v>697</v>
      </c>
      <c r="AG229" t="s">
        <v>543</v>
      </c>
      <c r="AH229" s="17" t="s">
        <v>322</v>
      </c>
      <c r="AI229" s="17" t="s">
        <v>281</v>
      </c>
      <c r="AJ229" s="17" t="s">
        <v>322</v>
      </c>
      <c r="AK229" s="17" t="s">
        <v>322</v>
      </c>
      <c r="AL229" s="17" t="s">
        <v>322</v>
      </c>
      <c r="AV229" s="15" t="s">
        <v>539</v>
      </c>
      <c r="AW229" s="17" t="s">
        <v>717</v>
      </c>
      <c r="AX229" s="17" t="s">
        <v>710</v>
      </c>
      <c r="AY229" s="17" t="s">
        <v>322</v>
      </c>
      <c r="AZ229" s="17" t="s">
        <v>322</v>
      </c>
      <c r="BA229" s="17" t="s">
        <v>697</v>
      </c>
    </row>
    <row r="230" spans="2:61" x14ac:dyDescent="0.3">
      <c r="B230" s="154" t="s">
        <v>551</v>
      </c>
      <c r="C230" s="151" t="s">
        <v>718</v>
      </c>
      <c r="D230" s="151" t="s">
        <v>682</v>
      </c>
      <c r="E230" s="130" t="s">
        <v>718</v>
      </c>
      <c r="F230" s="151" t="s">
        <v>697</v>
      </c>
      <c r="G230" s="130" t="s">
        <v>925</v>
      </c>
      <c r="J230" t="s">
        <v>573</v>
      </c>
      <c r="K230" s="17" t="s">
        <v>322</v>
      </c>
      <c r="L230" s="17" t="s">
        <v>281</v>
      </c>
      <c r="M230" s="17" t="s">
        <v>322</v>
      </c>
      <c r="N230" s="17" t="s">
        <v>322</v>
      </c>
      <c r="O230" s="17" t="s">
        <v>322</v>
      </c>
      <c r="Y230" s="15" t="s">
        <v>543</v>
      </c>
      <c r="Z230" s="17" t="s">
        <v>717</v>
      </c>
      <c r="AA230" s="17" t="s">
        <v>710</v>
      </c>
      <c r="AB230" s="17" t="s">
        <v>718</v>
      </c>
      <c r="AC230" s="17" t="s">
        <v>717</v>
      </c>
      <c r="AD230" s="17" t="s">
        <v>697</v>
      </c>
      <c r="AG230" t="s">
        <v>573</v>
      </c>
      <c r="AH230" s="17" t="s">
        <v>322</v>
      </c>
      <c r="AI230" s="17" t="s">
        <v>281</v>
      </c>
      <c r="AJ230" s="17" t="s">
        <v>322</v>
      </c>
      <c r="AK230" s="17" t="s">
        <v>322</v>
      </c>
      <c r="AL230" s="17" t="s">
        <v>322</v>
      </c>
      <c r="AV230" s="15" t="s">
        <v>543</v>
      </c>
      <c r="AW230" s="17" t="s">
        <v>717</v>
      </c>
      <c r="AX230" s="17" t="s">
        <v>710</v>
      </c>
      <c r="AY230" s="17" t="s">
        <v>718</v>
      </c>
      <c r="AZ230" s="17" t="s">
        <v>322</v>
      </c>
      <c r="BA230" s="17" t="s">
        <v>697</v>
      </c>
      <c r="BD230" t="s">
        <v>722</v>
      </c>
    </row>
    <row r="231" spans="2:61" x14ac:dyDescent="0.3">
      <c r="B231" s="154" t="s">
        <v>552</v>
      </c>
      <c r="C231" s="151" t="s">
        <v>718</v>
      </c>
      <c r="D231" s="151" t="s">
        <v>682</v>
      </c>
      <c r="E231" s="151" t="s">
        <v>322</v>
      </c>
      <c r="F231" s="130" t="s">
        <v>712</v>
      </c>
      <c r="G231" s="130" t="s">
        <v>925</v>
      </c>
      <c r="J231" t="s">
        <v>561</v>
      </c>
      <c r="K231" s="17" t="s">
        <v>322</v>
      </c>
      <c r="L231" s="17" t="s">
        <v>281</v>
      </c>
      <c r="M231" s="17" t="s">
        <v>322</v>
      </c>
      <c r="N231" s="17" t="s">
        <v>322</v>
      </c>
      <c r="O231" s="17" t="s">
        <v>322</v>
      </c>
      <c r="Y231" s="15" t="s">
        <v>573</v>
      </c>
      <c r="Z231" s="17" t="s">
        <v>689</v>
      </c>
      <c r="AA231" s="17" t="s">
        <v>710</v>
      </c>
      <c r="AB231" s="17" t="s">
        <v>718</v>
      </c>
      <c r="AC231" s="17" t="s">
        <v>689</v>
      </c>
      <c r="AD231" s="17" t="s">
        <v>719</v>
      </c>
      <c r="AG231" t="s">
        <v>561</v>
      </c>
      <c r="AH231" s="17" t="s">
        <v>322</v>
      </c>
      <c r="AI231" s="17" t="s">
        <v>281</v>
      </c>
      <c r="AJ231" s="17" t="s">
        <v>322</v>
      </c>
      <c r="AK231" s="17" t="s">
        <v>322</v>
      </c>
      <c r="AL231" s="17" t="s">
        <v>322</v>
      </c>
      <c r="AV231" s="15" t="s">
        <v>573</v>
      </c>
      <c r="AW231" s="17" t="s">
        <v>689</v>
      </c>
      <c r="AX231" s="17" t="s">
        <v>710</v>
      </c>
      <c r="AY231" s="17" t="s">
        <v>718</v>
      </c>
      <c r="AZ231" s="17" t="s">
        <v>689</v>
      </c>
      <c r="BA231" s="17" t="s">
        <v>719</v>
      </c>
      <c r="BE231" s="17" t="s">
        <v>315</v>
      </c>
      <c r="BF231" s="17" t="s">
        <v>316</v>
      </c>
      <c r="BG231" s="17" t="s">
        <v>317</v>
      </c>
      <c r="BH231" s="17" t="s">
        <v>318</v>
      </c>
      <c r="BI231" s="17" t="s">
        <v>319</v>
      </c>
    </row>
    <row r="232" spans="2:61" x14ac:dyDescent="0.3">
      <c r="B232" s="154" t="s">
        <v>554</v>
      </c>
      <c r="C232" s="151" t="s">
        <v>322</v>
      </c>
      <c r="D232" s="151" t="s">
        <v>322</v>
      </c>
      <c r="E232" s="151" t="s">
        <v>322</v>
      </c>
      <c r="F232" s="130" t="s">
        <v>712</v>
      </c>
      <c r="G232" s="151" t="s">
        <v>322</v>
      </c>
      <c r="Y232" s="15" t="s">
        <v>561</v>
      </c>
      <c r="Z232" s="17" t="s">
        <v>689</v>
      </c>
      <c r="AA232" s="17" t="s">
        <v>710</v>
      </c>
      <c r="AB232" s="17" t="s">
        <v>719</v>
      </c>
      <c r="AC232" s="17" t="s">
        <v>689</v>
      </c>
      <c r="AD232" s="17" t="s">
        <v>719</v>
      </c>
      <c r="AV232" s="15" t="s">
        <v>561</v>
      </c>
      <c r="AW232" s="17" t="s">
        <v>689</v>
      </c>
      <c r="AX232" s="17" t="s">
        <v>710</v>
      </c>
      <c r="AY232" s="17" t="s">
        <v>719</v>
      </c>
      <c r="AZ232" s="17" t="s">
        <v>689</v>
      </c>
      <c r="BA232" s="17" t="s">
        <v>719</v>
      </c>
      <c r="BD232" t="s">
        <v>543</v>
      </c>
      <c r="BE232" s="17" t="s">
        <v>322</v>
      </c>
      <c r="BF232" s="17" t="s">
        <v>281</v>
      </c>
      <c r="BG232" s="17" t="s">
        <v>322</v>
      </c>
      <c r="BH232" s="17" t="s">
        <v>322</v>
      </c>
      <c r="BI232" s="17" t="s">
        <v>322</v>
      </c>
    </row>
    <row r="233" spans="2:61" x14ac:dyDescent="0.3">
      <c r="J233" t="s">
        <v>723</v>
      </c>
      <c r="Y233" s="15" t="s">
        <v>551</v>
      </c>
      <c r="Z233" s="17" t="s">
        <v>718</v>
      </c>
      <c r="AA233" s="17" t="s">
        <v>682</v>
      </c>
      <c r="AB233" s="17" t="s">
        <v>719</v>
      </c>
      <c r="AC233" s="17" t="s">
        <v>697</v>
      </c>
      <c r="AD233" s="17" t="s">
        <v>322</v>
      </c>
      <c r="AG233" t="s">
        <v>723</v>
      </c>
      <c r="AV233" s="15" t="s">
        <v>551</v>
      </c>
      <c r="AW233" s="17" t="s">
        <v>718</v>
      </c>
      <c r="AX233" s="17" t="s">
        <v>682</v>
      </c>
      <c r="AY233" s="17" t="s">
        <v>719</v>
      </c>
      <c r="AZ233" s="17" t="s">
        <v>697</v>
      </c>
      <c r="BA233" s="17" t="s">
        <v>717</v>
      </c>
      <c r="BD233" t="s">
        <v>573</v>
      </c>
      <c r="BE233" s="17" t="s">
        <v>322</v>
      </c>
      <c r="BF233" s="17" t="s">
        <v>281</v>
      </c>
      <c r="BG233" s="17" t="s">
        <v>322</v>
      </c>
      <c r="BH233" s="17" t="s">
        <v>322</v>
      </c>
      <c r="BI233" s="17" t="s">
        <v>322</v>
      </c>
    </row>
    <row r="234" spans="2:61" x14ac:dyDescent="0.3">
      <c r="B234" s="154" t="s">
        <v>721</v>
      </c>
      <c r="C234" s="151"/>
      <c r="D234" s="151"/>
      <c r="E234" s="151"/>
      <c r="F234" s="151"/>
      <c r="G234" s="151"/>
      <c r="K234" s="17" t="s">
        <v>315</v>
      </c>
      <c r="L234" s="17" t="s">
        <v>316</v>
      </c>
      <c r="M234" s="17" t="s">
        <v>317</v>
      </c>
      <c r="N234" s="17" t="s">
        <v>318</v>
      </c>
      <c r="O234" s="17" t="s">
        <v>319</v>
      </c>
      <c r="Y234" s="15" t="s">
        <v>552</v>
      </c>
      <c r="Z234" s="17" t="s">
        <v>718</v>
      </c>
      <c r="AA234" s="17" t="s">
        <v>682</v>
      </c>
      <c r="AB234" s="17" t="s">
        <v>322</v>
      </c>
      <c r="AC234" s="17" t="s">
        <v>322</v>
      </c>
      <c r="AD234" s="17" t="s">
        <v>322</v>
      </c>
      <c r="AH234" s="17" t="s">
        <v>315</v>
      </c>
      <c r="AI234" s="17" t="s">
        <v>316</v>
      </c>
      <c r="AJ234" s="17" t="s">
        <v>317</v>
      </c>
      <c r="AK234" s="17" t="s">
        <v>318</v>
      </c>
      <c r="AL234" s="17" t="s">
        <v>319</v>
      </c>
      <c r="AV234" s="15" t="s">
        <v>552</v>
      </c>
      <c r="AW234" s="17" t="s">
        <v>718</v>
      </c>
      <c r="AX234" s="17" t="s">
        <v>682</v>
      </c>
      <c r="AY234" s="17" t="s">
        <v>322</v>
      </c>
      <c r="AZ234" s="17" t="s">
        <v>322</v>
      </c>
      <c r="BA234" s="17" t="s">
        <v>717</v>
      </c>
      <c r="BD234" t="s">
        <v>561</v>
      </c>
      <c r="BE234" s="17" t="s">
        <v>322</v>
      </c>
      <c r="BF234" s="17" t="s">
        <v>281</v>
      </c>
      <c r="BG234" s="17" t="s">
        <v>322</v>
      </c>
      <c r="BH234" s="17" t="s">
        <v>322</v>
      </c>
      <c r="BI234" s="17" t="s">
        <v>322</v>
      </c>
    </row>
    <row r="235" spans="2:61" x14ac:dyDescent="0.3">
      <c r="B235" s="154"/>
      <c r="C235" s="151" t="s">
        <v>315</v>
      </c>
      <c r="D235" s="151" t="s">
        <v>316</v>
      </c>
      <c r="E235" s="151" t="s">
        <v>317</v>
      </c>
      <c r="F235" s="151" t="s">
        <v>318</v>
      </c>
      <c r="G235" s="151" t="s">
        <v>319</v>
      </c>
      <c r="J235" t="s">
        <v>517</v>
      </c>
      <c r="K235" s="17" t="s">
        <v>322</v>
      </c>
      <c r="L235" s="130" t="s">
        <v>50</v>
      </c>
      <c r="M235" s="17" t="s">
        <v>322</v>
      </c>
      <c r="N235" s="17" t="s">
        <v>322</v>
      </c>
      <c r="O235" s="130" t="s">
        <v>50</v>
      </c>
      <c r="Y235" s="15" t="s">
        <v>554</v>
      </c>
      <c r="Z235" s="17" t="s">
        <v>322</v>
      </c>
      <c r="AA235" s="17" t="s">
        <v>322</v>
      </c>
      <c r="AB235" s="17" t="s">
        <v>322</v>
      </c>
      <c r="AC235" s="17" t="s">
        <v>322</v>
      </c>
      <c r="AD235" s="17" t="s">
        <v>322</v>
      </c>
      <c r="AG235" t="s">
        <v>512</v>
      </c>
      <c r="AH235" s="17" t="s">
        <v>322</v>
      </c>
      <c r="AI235" s="17" t="s">
        <v>50</v>
      </c>
      <c r="AJ235" s="17" t="s">
        <v>322</v>
      </c>
      <c r="AK235" s="17" t="s">
        <v>50</v>
      </c>
      <c r="AL235" s="17" t="s">
        <v>322</v>
      </c>
      <c r="AV235" s="15" t="s">
        <v>554</v>
      </c>
      <c r="AW235" s="17" t="s">
        <v>322</v>
      </c>
      <c r="AX235" s="17" t="s">
        <v>322</v>
      </c>
      <c r="AY235" s="17" t="s">
        <v>322</v>
      </c>
      <c r="AZ235" s="17" t="s">
        <v>322</v>
      </c>
      <c r="BA235" s="17" t="s">
        <v>322</v>
      </c>
    </row>
    <row r="236" spans="2:61" x14ac:dyDescent="0.3">
      <c r="B236" s="154" t="s">
        <v>539</v>
      </c>
      <c r="C236" s="151" t="s">
        <v>322</v>
      </c>
      <c r="D236" s="151" t="s">
        <v>710</v>
      </c>
      <c r="E236" s="151" t="s">
        <v>322</v>
      </c>
      <c r="F236" s="151" t="s">
        <v>322</v>
      </c>
      <c r="G236" s="151" t="s">
        <v>697</v>
      </c>
      <c r="J236" t="s">
        <v>326</v>
      </c>
      <c r="K236" s="17" t="s">
        <v>322</v>
      </c>
      <c r="L236" s="130" t="s">
        <v>50</v>
      </c>
      <c r="M236" s="17" t="s">
        <v>322</v>
      </c>
      <c r="N236" s="17" t="s">
        <v>322</v>
      </c>
      <c r="O236" s="130" t="s">
        <v>50</v>
      </c>
      <c r="AG236" t="s">
        <v>514</v>
      </c>
      <c r="AH236" s="17" t="s">
        <v>322</v>
      </c>
      <c r="AI236" s="17" t="s">
        <v>50</v>
      </c>
      <c r="AJ236" s="17" t="s">
        <v>322</v>
      </c>
      <c r="AK236" s="17" t="s">
        <v>50</v>
      </c>
      <c r="AL236" s="17" t="s">
        <v>322</v>
      </c>
      <c r="BD236" t="s">
        <v>723</v>
      </c>
    </row>
    <row r="237" spans="2:61" x14ac:dyDescent="0.3">
      <c r="B237" s="154" t="s">
        <v>543</v>
      </c>
      <c r="C237" s="151" t="s">
        <v>322</v>
      </c>
      <c r="D237" s="151" t="s">
        <v>710</v>
      </c>
      <c r="E237" s="151" t="s">
        <v>322</v>
      </c>
      <c r="F237" s="151" t="s">
        <v>322</v>
      </c>
      <c r="G237" s="151" t="s">
        <v>697</v>
      </c>
      <c r="J237" t="s">
        <v>328</v>
      </c>
      <c r="K237" s="17" t="s">
        <v>322</v>
      </c>
      <c r="L237" s="130" t="s">
        <v>50</v>
      </c>
      <c r="M237" s="17" t="s">
        <v>322</v>
      </c>
      <c r="N237" s="17" t="s">
        <v>322</v>
      </c>
      <c r="O237" s="17" t="s">
        <v>322</v>
      </c>
      <c r="Y237" s="15" t="s">
        <v>724</v>
      </c>
      <c r="AG237" t="s">
        <v>517</v>
      </c>
      <c r="AH237" s="17" t="s">
        <v>322</v>
      </c>
      <c r="AI237" s="17" t="s">
        <v>322</v>
      </c>
      <c r="AJ237" s="17" t="s">
        <v>322</v>
      </c>
      <c r="AK237" s="17" t="s">
        <v>50</v>
      </c>
      <c r="AL237" s="17" t="s">
        <v>322</v>
      </c>
      <c r="AV237" s="15" t="s">
        <v>724</v>
      </c>
      <c r="BE237" s="17" t="s">
        <v>315</v>
      </c>
      <c r="BF237" s="17" t="s">
        <v>316</v>
      </c>
      <c r="BG237" s="17" t="s">
        <v>317</v>
      </c>
      <c r="BH237" s="17" t="s">
        <v>318</v>
      </c>
      <c r="BI237" s="17" t="s">
        <v>319</v>
      </c>
    </row>
    <row r="238" spans="2:61" x14ac:dyDescent="0.3">
      <c r="B238" s="154" t="s">
        <v>573</v>
      </c>
      <c r="C238" s="151" t="s">
        <v>689</v>
      </c>
      <c r="D238" s="151" t="s">
        <v>710</v>
      </c>
      <c r="E238" s="151" t="s">
        <v>322</v>
      </c>
      <c r="F238" s="151" t="s">
        <v>689</v>
      </c>
      <c r="G238" s="151" t="s">
        <v>712</v>
      </c>
      <c r="Z238" s="17" t="s">
        <v>315</v>
      </c>
      <c r="AA238" s="17" t="s">
        <v>316</v>
      </c>
      <c r="AB238" s="17" t="s">
        <v>317</v>
      </c>
      <c r="AC238" s="17" t="s">
        <v>318</v>
      </c>
      <c r="AD238" s="17" t="s">
        <v>319</v>
      </c>
      <c r="AW238" s="17" t="s">
        <v>315</v>
      </c>
      <c r="AX238" s="17" t="s">
        <v>316</v>
      </c>
      <c r="AY238" s="17" t="s">
        <v>317</v>
      </c>
      <c r="AZ238" s="17" t="s">
        <v>318</v>
      </c>
      <c r="BA238" s="17" t="s">
        <v>319</v>
      </c>
      <c r="BD238" t="s">
        <v>326</v>
      </c>
      <c r="BE238" s="17" t="s">
        <v>50</v>
      </c>
      <c r="BF238" s="17" t="s">
        <v>322</v>
      </c>
      <c r="BG238" s="17" t="s">
        <v>322</v>
      </c>
      <c r="BH238" s="17" t="s">
        <v>50</v>
      </c>
      <c r="BI238" s="17" t="s">
        <v>322</v>
      </c>
    </row>
    <row r="239" spans="2:61" x14ac:dyDescent="0.3">
      <c r="B239" s="154" t="s">
        <v>561</v>
      </c>
      <c r="C239" s="151" t="s">
        <v>689</v>
      </c>
      <c r="D239" s="151" t="s">
        <v>710</v>
      </c>
      <c r="E239" s="130" t="s">
        <v>718</v>
      </c>
      <c r="F239" s="151" t="s">
        <v>689</v>
      </c>
      <c r="G239" s="151" t="s">
        <v>712</v>
      </c>
      <c r="J239" t="s">
        <v>727</v>
      </c>
      <c r="Y239" s="15" t="s">
        <v>561</v>
      </c>
      <c r="Z239" s="17" t="s">
        <v>322</v>
      </c>
      <c r="AA239" s="17" t="s">
        <v>725</v>
      </c>
      <c r="AB239" s="17" t="s">
        <v>726</v>
      </c>
      <c r="AC239" s="17" t="s">
        <v>725</v>
      </c>
      <c r="AD239" s="17" t="s">
        <v>322</v>
      </c>
      <c r="AG239" t="s">
        <v>727</v>
      </c>
      <c r="AV239" s="15" t="s">
        <v>561</v>
      </c>
      <c r="AW239" s="17" t="s">
        <v>322</v>
      </c>
      <c r="AX239" s="17" t="s">
        <v>725</v>
      </c>
      <c r="AY239" s="17" t="s">
        <v>726</v>
      </c>
      <c r="AZ239" s="17" t="s">
        <v>725</v>
      </c>
      <c r="BA239" s="17" t="s">
        <v>322</v>
      </c>
      <c r="BD239" t="s">
        <v>328</v>
      </c>
      <c r="BE239" s="17" t="s">
        <v>50</v>
      </c>
      <c r="BF239" s="17" t="s">
        <v>322</v>
      </c>
      <c r="BG239" s="17" t="s">
        <v>322</v>
      </c>
      <c r="BH239" s="17" t="s">
        <v>50</v>
      </c>
      <c r="BI239" s="17" t="s">
        <v>322</v>
      </c>
    </row>
    <row r="240" spans="2:61" x14ac:dyDescent="0.3">
      <c r="B240" s="154" t="s">
        <v>551</v>
      </c>
      <c r="C240" s="151" t="s">
        <v>718</v>
      </c>
      <c r="D240" s="151" t="s">
        <v>682</v>
      </c>
      <c r="E240" s="130" t="s">
        <v>718</v>
      </c>
      <c r="F240" s="151" t="s">
        <v>697</v>
      </c>
      <c r="G240" s="151" t="s">
        <v>322</v>
      </c>
      <c r="K240" s="17" t="s">
        <v>315</v>
      </c>
      <c r="L240" s="17" t="s">
        <v>316</v>
      </c>
      <c r="M240" s="17" t="s">
        <v>317</v>
      </c>
      <c r="N240" s="17" t="s">
        <v>318</v>
      </c>
      <c r="O240" s="17" t="s">
        <v>319</v>
      </c>
      <c r="Y240" s="15" t="s">
        <v>551</v>
      </c>
      <c r="Z240" s="17" t="s">
        <v>728</v>
      </c>
      <c r="AA240" s="17" t="s">
        <v>725</v>
      </c>
      <c r="AB240" s="17" t="s">
        <v>726</v>
      </c>
      <c r="AC240" s="17" t="s">
        <v>725</v>
      </c>
      <c r="AD240" s="17" t="s">
        <v>729</v>
      </c>
      <c r="AH240" s="17" t="s">
        <v>315</v>
      </c>
      <c r="AI240" s="17" t="s">
        <v>316</v>
      </c>
      <c r="AJ240" s="17" t="s">
        <v>317</v>
      </c>
      <c r="AK240" s="17" t="s">
        <v>318</v>
      </c>
      <c r="AL240" s="17" t="s">
        <v>319</v>
      </c>
      <c r="AV240" s="15" t="s">
        <v>551</v>
      </c>
      <c r="AW240" s="17" t="s">
        <v>728</v>
      </c>
      <c r="AX240" s="17" t="s">
        <v>725</v>
      </c>
      <c r="AY240" s="17" t="s">
        <v>726</v>
      </c>
      <c r="AZ240" s="17" t="s">
        <v>725</v>
      </c>
      <c r="BA240" s="17" t="s">
        <v>729</v>
      </c>
      <c r="BD240" t="s">
        <v>350</v>
      </c>
      <c r="BE240" s="17" t="s">
        <v>50</v>
      </c>
      <c r="BF240" s="17" t="s">
        <v>322</v>
      </c>
      <c r="BG240" s="17" t="s">
        <v>322</v>
      </c>
      <c r="BH240" s="17" t="s">
        <v>322</v>
      </c>
      <c r="BI240" s="17" t="s">
        <v>322</v>
      </c>
    </row>
    <row r="241" spans="2:61" x14ac:dyDescent="0.3">
      <c r="B241" s="154" t="s">
        <v>552</v>
      </c>
      <c r="C241" s="151" t="s">
        <v>718</v>
      </c>
      <c r="D241" s="151" t="s">
        <v>682</v>
      </c>
      <c r="E241" s="130" t="s">
        <v>925</v>
      </c>
      <c r="F241" s="130" t="s">
        <v>712</v>
      </c>
      <c r="G241" s="151" t="s">
        <v>322</v>
      </c>
      <c r="J241" t="s">
        <v>517</v>
      </c>
      <c r="K241" s="17" t="s">
        <v>322</v>
      </c>
      <c r="L241" s="17" t="s">
        <v>127</v>
      </c>
      <c r="M241" s="17" t="s">
        <v>322</v>
      </c>
      <c r="N241" s="17" t="s">
        <v>322</v>
      </c>
      <c r="O241" s="17" t="s">
        <v>322</v>
      </c>
      <c r="Y241" s="15" t="s">
        <v>552</v>
      </c>
      <c r="Z241" s="17" t="s">
        <v>728</v>
      </c>
      <c r="AA241" s="17" t="s">
        <v>730</v>
      </c>
      <c r="AB241" s="17" t="s">
        <v>731</v>
      </c>
      <c r="AC241" s="17" t="s">
        <v>728</v>
      </c>
      <c r="AD241" s="17" t="s">
        <v>732</v>
      </c>
      <c r="AG241" t="s">
        <v>517</v>
      </c>
      <c r="AH241" s="17" t="s">
        <v>322</v>
      </c>
      <c r="AI241" s="17" t="s">
        <v>127</v>
      </c>
      <c r="AJ241" s="17" t="s">
        <v>322</v>
      </c>
      <c r="AK241" s="17" t="s">
        <v>322</v>
      </c>
      <c r="AL241" s="17" t="s">
        <v>322</v>
      </c>
      <c r="AV241" s="15" t="s">
        <v>552</v>
      </c>
      <c r="AW241" s="17" t="s">
        <v>728</v>
      </c>
      <c r="AX241" s="17" t="s">
        <v>730</v>
      </c>
      <c r="AY241" s="17" t="s">
        <v>731</v>
      </c>
      <c r="AZ241" s="17" t="s">
        <v>728</v>
      </c>
      <c r="BA241" s="17" t="s">
        <v>732</v>
      </c>
    </row>
    <row r="242" spans="2:61" x14ac:dyDescent="0.3">
      <c r="B242" s="154" t="s">
        <v>554</v>
      </c>
      <c r="C242" s="151" t="s">
        <v>322</v>
      </c>
      <c r="D242" s="151" t="s">
        <v>322</v>
      </c>
      <c r="E242" s="130" t="s">
        <v>925</v>
      </c>
      <c r="F242" s="130" t="s">
        <v>712</v>
      </c>
      <c r="G242" s="151" t="s">
        <v>322</v>
      </c>
      <c r="J242" t="s">
        <v>326</v>
      </c>
      <c r="K242" s="17" t="s">
        <v>177</v>
      </c>
      <c r="L242" s="17" t="s">
        <v>127</v>
      </c>
      <c r="M242" s="17" t="s">
        <v>322</v>
      </c>
      <c r="N242" s="17" t="s">
        <v>127</v>
      </c>
      <c r="O242" s="17" t="s">
        <v>177</v>
      </c>
      <c r="Y242" s="15" t="s">
        <v>554</v>
      </c>
      <c r="Z242" s="17" t="s">
        <v>733</v>
      </c>
      <c r="AA242" s="17" t="s">
        <v>730</v>
      </c>
      <c r="AB242" s="17" t="s">
        <v>734</v>
      </c>
      <c r="AC242" s="17" t="s">
        <v>728</v>
      </c>
      <c r="AD242" s="17" t="s">
        <v>735</v>
      </c>
      <c r="AG242" t="s">
        <v>326</v>
      </c>
      <c r="AH242" s="17" t="s">
        <v>177</v>
      </c>
      <c r="AI242" s="17" t="s">
        <v>127</v>
      </c>
      <c r="AJ242" s="17" t="s">
        <v>322</v>
      </c>
      <c r="AK242" s="17" t="s">
        <v>127</v>
      </c>
      <c r="AL242" s="17" t="s">
        <v>177</v>
      </c>
      <c r="AV242" s="15" t="s">
        <v>554</v>
      </c>
      <c r="AW242" s="17" t="s">
        <v>733</v>
      </c>
      <c r="AX242" s="17" t="s">
        <v>730</v>
      </c>
      <c r="AY242" s="17" t="s">
        <v>734</v>
      </c>
      <c r="AZ242" s="17" t="s">
        <v>728</v>
      </c>
      <c r="BA242" s="17" t="s">
        <v>735</v>
      </c>
      <c r="BD242" t="s">
        <v>727</v>
      </c>
    </row>
    <row r="243" spans="2:61" x14ac:dyDescent="0.3">
      <c r="E243" s="151"/>
      <c r="F243" s="151"/>
      <c r="G243" s="151"/>
      <c r="J243" t="s">
        <v>328</v>
      </c>
      <c r="K243" s="17" t="s">
        <v>177</v>
      </c>
      <c r="L243" s="17" t="s">
        <v>322</v>
      </c>
      <c r="M243" s="17" t="s">
        <v>322</v>
      </c>
      <c r="N243" s="17" t="s">
        <v>127</v>
      </c>
      <c r="O243" s="17" t="s">
        <v>177</v>
      </c>
      <c r="Y243" s="15" t="s">
        <v>586</v>
      </c>
      <c r="Z243" s="17" t="s">
        <v>733</v>
      </c>
      <c r="AA243" s="17" t="s">
        <v>730</v>
      </c>
      <c r="AB243" s="130" t="s">
        <v>733</v>
      </c>
      <c r="AC243" s="17" t="s">
        <v>728</v>
      </c>
      <c r="AD243" s="17" t="s">
        <v>322</v>
      </c>
      <c r="AG243" t="s">
        <v>328</v>
      </c>
      <c r="AH243" s="17" t="s">
        <v>177</v>
      </c>
      <c r="AI243" s="17" t="s">
        <v>322</v>
      </c>
      <c r="AJ243" s="17" t="s">
        <v>322</v>
      </c>
      <c r="AK243" s="17" t="s">
        <v>127</v>
      </c>
      <c r="AL243" s="17" t="s">
        <v>177</v>
      </c>
      <c r="AV243" s="15" t="s">
        <v>586</v>
      </c>
      <c r="AW243" s="17" t="s">
        <v>733</v>
      </c>
      <c r="AX243" s="17" t="s">
        <v>730</v>
      </c>
      <c r="AY243" s="17" t="s">
        <v>322</v>
      </c>
      <c r="AZ243" s="17" t="s">
        <v>728</v>
      </c>
      <c r="BA243" s="17" t="s">
        <v>733</v>
      </c>
      <c r="BE243" s="17" t="s">
        <v>315</v>
      </c>
      <c r="BF243" s="17" t="s">
        <v>316</v>
      </c>
      <c r="BG243" s="17" t="s">
        <v>317</v>
      </c>
      <c r="BH243" s="17" t="s">
        <v>318</v>
      </c>
      <c r="BI243" s="17" t="s">
        <v>319</v>
      </c>
    </row>
    <row r="244" spans="2:61" x14ac:dyDescent="0.3">
      <c r="B244" s="15" t="s">
        <v>724</v>
      </c>
      <c r="J244" t="s">
        <v>350</v>
      </c>
      <c r="K244" s="17" t="s">
        <v>177</v>
      </c>
      <c r="L244" s="17" t="s">
        <v>322</v>
      </c>
      <c r="M244" s="17" t="s">
        <v>322</v>
      </c>
      <c r="N244" s="17" t="s">
        <v>127</v>
      </c>
      <c r="O244" s="17" t="s">
        <v>177</v>
      </c>
      <c r="AG244" t="s">
        <v>350</v>
      </c>
      <c r="AH244" s="17" t="s">
        <v>177</v>
      </c>
      <c r="AI244" s="17" t="s">
        <v>322</v>
      </c>
      <c r="AJ244" s="17" t="s">
        <v>322</v>
      </c>
      <c r="AK244" s="17" t="s">
        <v>127</v>
      </c>
      <c r="AL244" s="17" t="s">
        <v>177</v>
      </c>
      <c r="BD244" t="s">
        <v>517</v>
      </c>
      <c r="BE244" s="17" t="s">
        <v>322</v>
      </c>
      <c r="BF244" s="17" t="s">
        <v>127</v>
      </c>
      <c r="BG244" s="17" t="s">
        <v>322</v>
      </c>
      <c r="BH244" s="17" t="s">
        <v>322</v>
      </c>
      <c r="BI244" s="17" t="s">
        <v>322</v>
      </c>
    </row>
    <row r="245" spans="2:61" x14ac:dyDescent="0.3">
      <c r="C245" s="17" t="s">
        <v>315</v>
      </c>
      <c r="D245" s="17" t="s">
        <v>316</v>
      </c>
      <c r="E245" s="17" t="s">
        <v>317</v>
      </c>
      <c r="F245" s="17" t="s">
        <v>318</v>
      </c>
      <c r="G245" s="17" t="s">
        <v>319</v>
      </c>
      <c r="Y245" s="31" t="s">
        <v>505</v>
      </c>
      <c r="AV245" s="31" t="s">
        <v>505</v>
      </c>
      <c r="BD245" t="s">
        <v>326</v>
      </c>
      <c r="BE245" s="17" t="s">
        <v>177</v>
      </c>
      <c r="BF245" s="17" t="s">
        <v>127</v>
      </c>
      <c r="BG245" s="17" t="s">
        <v>322</v>
      </c>
      <c r="BH245" s="17" t="s">
        <v>127</v>
      </c>
      <c r="BI245" s="17" t="s">
        <v>177</v>
      </c>
    </row>
    <row r="246" spans="2:61" x14ac:dyDescent="0.3">
      <c r="B246" s="15" t="s">
        <v>573</v>
      </c>
      <c r="C246" s="130" t="s">
        <v>942</v>
      </c>
      <c r="D246" s="17" t="s">
        <v>322</v>
      </c>
      <c r="E246" s="17" t="s">
        <v>322</v>
      </c>
      <c r="F246" s="17" t="s">
        <v>322</v>
      </c>
      <c r="G246" s="17" t="s">
        <v>322</v>
      </c>
      <c r="J246" t="s">
        <v>737</v>
      </c>
      <c r="Y246" s="73" t="s">
        <v>736</v>
      </c>
      <c r="AG246" t="s">
        <v>737</v>
      </c>
      <c r="AV246" s="73" t="s">
        <v>736</v>
      </c>
      <c r="BD246" t="s">
        <v>328</v>
      </c>
      <c r="BE246" s="17" t="s">
        <v>177</v>
      </c>
      <c r="BF246" s="17" t="s">
        <v>322</v>
      </c>
      <c r="BG246" s="17" t="s">
        <v>322</v>
      </c>
      <c r="BH246" s="17" t="s">
        <v>127</v>
      </c>
      <c r="BI246" s="17" t="s">
        <v>177</v>
      </c>
    </row>
    <row r="247" spans="2:61" x14ac:dyDescent="0.3">
      <c r="B247" s="15" t="s">
        <v>561</v>
      </c>
      <c r="C247" s="130" t="s">
        <v>942</v>
      </c>
      <c r="D247" s="17" t="s">
        <v>725</v>
      </c>
      <c r="E247" s="17" t="s">
        <v>726</v>
      </c>
      <c r="F247" s="17" t="s">
        <v>725</v>
      </c>
      <c r="G247" s="130" t="s">
        <v>733</v>
      </c>
      <c r="K247" s="17" t="s">
        <v>315</v>
      </c>
      <c r="L247" s="17" t="s">
        <v>316</v>
      </c>
      <c r="M247" s="17" t="s">
        <v>317</v>
      </c>
      <c r="N247" s="17" t="s">
        <v>318</v>
      </c>
      <c r="O247" s="17" t="s">
        <v>319</v>
      </c>
      <c r="AH247" s="17" t="s">
        <v>315</v>
      </c>
      <c r="AI247" s="17" t="s">
        <v>316</v>
      </c>
      <c r="AJ247" s="17" t="s">
        <v>317</v>
      </c>
      <c r="AK247" s="17" t="s">
        <v>318</v>
      </c>
      <c r="AL247" s="17" t="s">
        <v>319</v>
      </c>
      <c r="BD247" t="s">
        <v>350</v>
      </c>
      <c r="BE247" s="17" t="s">
        <v>177</v>
      </c>
      <c r="BF247" s="17" t="s">
        <v>322</v>
      </c>
      <c r="BG247" s="17" t="s">
        <v>322</v>
      </c>
      <c r="BH247" s="17" t="s">
        <v>127</v>
      </c>
      <c r="BI247" s="17" t="s">
        <v>177</v>
      </c>
    </row>
    <row r="248" spans="2:61" x14ac:dyDescent="0.3">
      <c r="B248" s="15" t="s">
        <v>551</v>
      </c>
      <c r="C248" s="17" t="s">
        <v>728</v>
      </c>
      <c r="D248" s="17" t="s">
        <v>725</v>
      </c>
      <c r="E248" s="17" t="s">
        <v>726</v>
      </c>
      <c r="F248" s="17" t="s">
        <v>725</v>
      </c>
      <c r="G248" s="17" t="s">
        <v>940</v>
      </c>
      <c r="J248" t="s">
        <v>512</v>
      </c>
      <c r="K248" s="17" t="s">
        <v>322</v>
      </c>
      <c r="L248" s="17" t="s">
        <v>322</v>
      </c>
      <c r="M248" s="17" t="s">
        <v>188</v>
      </c>
      <c r="N248" s="17" t="s">
        <v>322</v>
      </c>
      <c r="O248" s="17" t="s">
        <v>322</v>
      </c>
      <c r="Y248" s="15" t="s">
        <v>738</v>
      </c>
      <c r="AG248" t="s">
        <v>512</v>
      </c>
      <c r="AH248" s="17" t="s">
        <v>322</v>
      </c>
      <c r="AI248" s="17" t="s">
        <v>322</v>
      </c>
      <c r="AJ248" s="17" t="s">
        <v>188</v>
      </c>
      <c r="AK248" s="17" t="s">
        <v>322</v>
      </c>
      <c r="AL248" s="17" t="s">
        <v>322</v>
      </c>
      <c r="AV248" s="15" t="s">
        <v>738</v>
      </c>
    </row>
    <row r="249" spans="2:61" x14ac:dyDescent="0.3">
      <c r="B249" s="15" t="s">
        <v>552</v>
      </c>
      <c r="C249" s="17" t="s">
        <v>728</v>
      </c>
      <c r="D249" s="17" t="s">
        <v>730</v>
      </c>
      <c r="E249" s="17" t="s">
        <v>731</v>
      </c>
      <c r="F249" s="17" t="s">
        <v>728</v>
      </c>
      <c r="G249" s="17" t="s">
        <v>735</v>
      </c>
      <c r="J249" t="s">
        <v>514</v>
      </c>
      <c r="K249" s="17" t="s">
        <v>188</v>
      </c>
      <c r="L249" s="17" t="s">
        <v>322</v>
      </c>
      <c r="M249" s="17" t="s">
        <v>188</v>
      </c>
      <c r="N249" s="17" t="s">
        <v>322</v>
      </c>
      <c r="O249" s="17" t="s">
        <v>322</v>
      </c>
      <c r="Z249" s="17" t="s">
        <v>315</v>
      </c>
      <c r="AA249" s="17" t="s">
        <v>316</v>
      </c>
      <c r="AB249" s="17" t="s">
        <v>317</v>
      </c>
      <c r="AC249" s="17" t="s">
        <v>318</v>
      </c>
      <c r="AD249" s="17" t="s">
        <v>319</v>
      </c>
      <c r="AG249" t="s">
        <v>514</v>
      </c>
      <c r="AH249" s="17" t="s">
        <v>188</v>
      </c>
      <c r="AI249" s="17" t="s">
        <v>322</v>
      </c>
      <c r="AJ249" s="17" t="s">
        <v>188</v>
      </c>
      <c r="AK249" s="17" t="s">
        <v>322</v>
      </c>
      <c r="AL249" s="17" t="s">
        <v>322</v>
      </c>
      <c r="AW249" s="17" t="s">
        <v>315</v>
      </c>
      <c r="AX249" s="17" t="s">
        <v>316</v>
      </c>
      <c r="AY249" s="17" t="s">
        <v>317</v>
      </c>
      <c r="AZ249" s="17" t="s">
        <v>318</v>
      </c>
      <c r="BA249" s="17" t="s">
        <v>319</v>
      </c>
      <c r="BD249" t="s">
        <v>737</v>
      </c>
    </row>
    <row r="250" spans="2:61" x14ac:dyDescent="0.3">
      <c r="B250" s="15" t="s">
        <v>554</v>
      </c>
      <c r="C250" s="17" t="s">
        <v>733</v>
      </c>
      <c r="D250" s="17" t="s">
        <v>730</v>
      </c>
      <c r="E250" s="17" t="s">
        <v>734</v>
      </c>
      <c r="F250" s="17" t="s">
        <v>728</v>
      </c>
      <c r="G250" s="17" t="s">
        <v>735</v>
      </c>
      <c r="J250" t="s">
        <v>517</v>
      </c>
      <c r="K250" s="17" t="s">
        <v>188</v>
      </c>
      <c r="L250" s="17" t="s">
        <v>322</v>
      </c>
      <c r="M250" s="17" t="s">
        <v>322</v>
      </c>
      <c r="N250" s="17" t="s">
        <v>322</v>
      </c>
      <c r="O250" s="17" t="s">
        <v>322</v>
      </c>
      <c r="Y250" s="15" t="s">
        <v>539</v>
      </c>
      <c r="Z250" s="17" t="s">
        <v>322</v>
      </c>
      <c r="AA250" s="17" t="s">
        <v>322</v>
      </c>
      <c r="AB250" s="17" t="s">
        <v>739</v>
      </c>
      <c r="AC250" s="17" t="s">
        <v>740</v>
      </c>
      <c r="AD250" s="17" t="s">
        <v>741</v>
      </c>
      <c r="AG250" t="s">
        <v>517</v>
      </c>
      <c r="AH250" s="17" t="s">
        <v>188</v>
      </c>
      <c r="AI250" s="17" t="s">
        <v>322</v>
      </c>
      <c r="AJ250" s="17" t="s">
        <v>322</v>
      </c>
      <c r="AK250" s="17" t="s">
        <v>322</v>
      </c>
      <c r="AL250" s="17" t="s">
        <v>322</v>
      </c>
      <c r="AV250" s="15" t="s">
        <v>539</v>
      </c>
      <c r="AW250" s="17" t="s">
        <v>741</v>
      </c>
      <c r="AX250" s="17" t="s">
        <v>322</v>
      </c>
      <c r="AY250" s="17" t="s">
        <v>742</v>
      </c>
      <c r="AZ250" s="17" t="s">
        <v>740</v>
      </c>
      <c r="BA250" s="17" t="s">
        <v>322</v>
      </c>
      <c r="BE250" s="17" t="s">
        <v>315</v>
      </c>
      <c r="BF250" s="17" t="s">
        <v>316</v>
      </c>
      <c r="BG250" s="17" t="s">
        <v>317</v>
      </c>
      <c r="BH250" s="17" t="s">
        <v>318</v>
      </c>
      <c r="BI250" s="17" t="s">
        <v>319</v>
      </c>
    </row>
    <row r="251" spans="2:61" x14ac:dyDescent="0.3">
      <c r="B251" s="15" t="s">
        <v>586</v>
      </c>
      <c r="C251" s="17" t="s">
        <v>733</v>
      </c>
      <c r="D251" s="17" t="s">
        <v>730</v>
      </c>
      <c r="E251" s="17" t="s">
        <v>322</v>
      </c>
      <c r="F251" s="17" t="s">
        <v>728</v>
      </c>
      <c r="G251" s="17" t="s">
        <v>322</v>
      </c>
      <c r="J251" t="s">
        <v>551</v>
      </c>
      <c r="K251" s="17" t="s">
        <v>322</v>
      </c>
      <c r="L251" s="17" t="s">
        <v>322</v>
      </c>
      <c r="M251" s="17" t="s">
        <v>322</v>
      </c>
      <c r="N251" s="17" t="s">
        <v>322</v>
      </c>
      <c r="O251" s="130" t="s">
        <v>232</v>
      </c>
      <c r="Y251" s="15" t="s">
        <v>543</v>
      </c>
      <c r="Z251" s="17" t="s">
        <v>322</v>
      </c>
      <c r="AA251" s="17" t="s">
        <v>743</v>
      </c>
      <c r="AB251" s="17" t="s">
        <v>742</v>
      </c>
      <c r="AC251" s="17" t="s">
        <v>740</v>
      </c>
      <c r="AD251" s="17" t="s">
        <v>741</v>
      </c>
      <c r="AV251" s="15" t="s">
        <v>543</v>
      </c>
      <c r="AW251" s="17" t="s">
        <v>741</v>
      </c>
      <c r="AX251" s="17" t="s">
        <v>743</v>
      </c>
      <c r="AY251" s="17" t="s">
        <v>742</v>
      </c>
      <c r="AZ251" s="17" t="s">
        <v>740</v>
      </c>
      <c r="BA251" s="17" t="s">
        <v>322</v>
      </c>
      <c r="BD251" t="s">
        <v>512</v>
      </c>
      <c r="BE251" s="17" t="s">
        <v>322</v>
      </c>
      <c r="BF251" s="17" t="s">
        <v>322</v>
      </c>
      <c r="BG251" s="17" t="s">
        <v>188</v>
      </c>
      <c r="BH251" s="17" t="s">
        <v>322</v>
      </c>
      <c r="BI251" s="17" t="s">
        <v>322</v>
      </c>
    </row>
    <row r="252" spans="2:61" x14ac:dyDescent="0.3">
      <c r="J252" t="s">
        <v>552</v>
      </c>
      <c r="K252" s="17" t="s">
        <v>322</v>
      </c>
      <c r="L252" s="17" t="s">
        <v>322</v>
      </c>
      <c r="M252" s="130" t="s">
        <v>232</v>
      </c>
      <c r="N252" s="17" t="s">
        <v>322</v>
      </c>
      <c r="O252" s="130" t="s">
        <v>232</v>
      </c>
      <c r="Y252" s="15" t="s">
        <v>573</v>
      </c>
      <c r="Z252" s="17" t="s">
        <v>744</v>
      </c>
      <c r="AA252" s="17" t="s">
        <v>745</v>
      </c>
      <c r="AB252" s="17" t="s">
        <v>742</v>
      </c>
      <c r="AC252" s="17" t="s">
        <v>740</v>
      </c>
      <c r="AD252" s="17" t="s">
        <v>691</v>
      </c>
      <c r="AG252" t="s">
        <v>746</v>
      </c>
      <c r="AV252" s="15" t="s">
        <v>573</v>
      </c>
      <c r="AW252" s="17" t="s">
        <v>744</v>
      </c>
      <c r="AX252" s="17" t="s">
        <v>745</v>
      </c>
      <c r="AY252" s="17" t="s">
        <v>739</v>
      </c>
      <c r="AZ252" s="17" t="s">
        <v>740</v>
      </c>
      <c r="BA252" s="17" t="s">
        <v>691</v>
      </c>
      <c r="BD252" t="s">
        <v>514</v>
      </c>
      <c r="BE252" s="17" t="s">
        <v>322</v>
      </c>
      <c r="BF252" s="17" t="s">
        <v>322</v>
      </c>
      <c r="BG252" s="17" t="s">
        <v>188</v>
      </c>
      <c r="BH252" s="17" t="s">
        <v>322</v>
      </c>
      <c r="BI252" s="17" t="s">
        <v>188</v>
      </c>
    </row>
    <row r="253" spans="2:61" x14ac:dyDescent="0.3">
      <c r="B253" s="31" t="s">
        <v>505</v>
      </c>
      <c r="J253" t="s">
        <v>554</v>
      </c>
      <c r="K253" s="17" t="s">
        <v>322</v>
      </c>
      <c r="L253" s="17" t="s">
        <v>322</v>
      </c>
      <c r="M253" s="130" t="s">
        <v>232</v>
      </c>
      <c r="N253" s="17" t="s">
        <v>322</v>
      </c>
      <c r="O253" s="17" t="s">
        <v>322</v>
      </c>
      <c r="Y253" s="15" t="s">
        <v>561</v>
      </c>
      <c r="Z253" s="17" t="s">
        <v>744</v>
      </c>
      <c r="AA253" s="17" t="s">
        <v>747</v>
      </c>
      <c r="AB253" s="17" t="s">
        <v>748</v>
      </c>
      <c r="AC253" s="17" t="s">
        <v>744</v>
      </c>
      <c r="AD253" s="17" t="s">
        <v>691</v>
      </c>
      <c r="AH253" s="17" t="s">
        <v>315</v>
      </c>
      <c r="AI253" s="17" t="s">
        <v>316</v>
      </c>
      <c r="AJ253" s="17" t="s">
        <v>317</v>
      </c>
      <c r="AK253" s="17" t="s">
        <v>318</v>
      </c>
      <c r="AL253" s="17" t="s">
        <v>319</v>
      </c>
      <c r="AV253" s="15" t="s">
        <v>561</v>
      </c>
      <c r="AW253" s="17" t="s">
        <v>744</v>
      </c>
      <c r="AX253" s="17" t="s">
        <v>747</v>
      </c>
      <c r="AY253" s="17" t="s">
        <v>748</v>
      </c>
      <c r="AZ253" s="17" t="s">
        <v>744</v>
      </c>
      <c r="BA253" s="17" t="s">
        <v>691</v>
      </c>
      <c r="BD253" t="s">
        <v>517</v>
      </c>
      <c r="BE253" s="17" t="s">
        <v>322</v>
      </c>
      <c r="BF253" s="17" t="s">
        <v>322</v>
      </c>
      <c r="BG253" s="17" t="s">
        <v>322</v>
      </c>
      <c r="BH253" s="17" t="s">
        <v>322</v>
      </c>
      <c r="BI253" s="17" t="s">
        <v>188</v>
      </c>
    </row>
    <row r="254" spans="2:61" x14ac:dyDescent="0.3">
      <c r="B254" s="73" t="s">
        <v>736</v>
      </c>
      <c r="Y254" s="15" t="s">
        <v>551</v>
      </c>
      <c r="Z254" s="17" t="s">
        <v>693</v>
      </c>
      <c r="AA254" s="17" t="s">
        <v>748</v>
      </c>
      <c r="AB254" s="17" t="s">
        <v>748</v>
      </c>
      <c r="AC254" s="17" t="s">
        <v>744</v>
      </c>
      <c r="AD254" s="17" t="s">
        <v>749</v>
      </c>
      <c r="AG254" t="s">
        <v>517</v>
      </c>
      <c r="AH254" s="17" t="s">
        <v>322</v>
      </c>
      <c r="AI254" s="17" t="s">
        <v>322</v>
      </c>
      <c r="AJ254" s="17" t="s">
        <v>322</v>
      </c>
      <c r="AK254" s="17" t="s">
        <v>81</v>
      </c>
      <c r="AL254" s="17" t="s">
        <v>322</v>
      </c>
      <c r="AV254" s="15" t="s">
        <v>551</v>
      </c>
      <c r="AW254" s="17" t="s">
        <v>693</v>
      </c>
      <c r="AX254" s="17" t="s">
        <v>748</v>
      </c>
      <c r="AY254" s="17" t="s">
        <v>748</v>
      </c>
      <c r="AZ254" s="17" t="s">
        <v>744</v>
      </c>
      <c r="BA254" s="17" t="s">
        <v>749</v>
      </c>
    </row>
    <row r="255" spans="2:61" x14ac:dyDescent="0.3">
      <c r="J255" t="s">
        <v>746</v>
      </c>
      <c r="Y255" s="15" t="s">
        <v>552</v>
      </c>
      <c r="Z255" s="17" t="s">
        <v>695</v>
      </c>
      <c r="AA255" s="17" t="s">
        <v>748</v>
      </c>
      <c r="AB255" s="17" t="s">
        <v>749</v>
      </c>
      <c r="AC255" s="17" t="s">
        <v>696</v>
      </c>
      <c r="AD255" s="17" t="s">
        <v>749</v>
      </c>
      <c r="AG255" t="s">
        <v>326</v>
      </c>
      <c r="AH255" s="17" t="s">
        <v>322</v>
      </c>
      <c r="AI255" s="17" t="s">
        <v>81</v>
      </c>
      <c r="AJ255" s="17" t="s">
        <v>322</v>
      </c>
      <c r="AK255" s="17" t="s">
        <v>81</v>
      </c>
      <c r="AL255" s="17" t="s">
        <v>322</v>
      </c>
      <c r="AV255" s="15" t="s">
        <v>552</v>
      </c>
      <c r="AW255" s="17" t="s">
        <v>695</v>
      </c>
      <c r="AX255" s="17" t="s">
        <v>748</v>
      </c>
      <c r="AY255" s="17" t="s">
        <v>749</v>
      </c>
      <c r="AZ255" s="17" t="s">
        <v>696</v>
      </c>
      <c r="BA255" s="17" t="s">
        <v>749</v>
      </c>
      <c r="BD255" t="s">
        <v>746</v>
      </c>
    </row>
    <row r="256" spans="2:61" x14ac:dyDescent="0.3">
      <c r="B256" s="15" t="s">
        <v>738</v>
      </c>
      <c r="K256" s="17" t="s">
        <v>315</v>
      </c>
      <c r="L256" s="17" t="s">
        <v>316</v>
      </c>
      <c r="M256" s="17" t="s">
        <v>317</v>
      </c>
      <c r="N256" s="17" t="s">
        <v>318</v>
      </c>
      <c r="O256" s="17" t="s">
        <v>319</v>
      </c>
      <c r="Y256" s="15" t="s">
        <v>554</v>
      </c>
      <c r="Z256" s="17" t="s">
        <v>696</v>
      </c>
      <c r="AA256" s="17" t="s">
        <v>322</v>
      </c>
      <c r="AB256" s="17" t="s">
        <v>749</v>
      </c>
      <c r="AC256" s="17" t="s">
        <v>696</v>
      </c>
      <c r="AD256" s="17" t="s">
        <v>749</v>
      </c>
      <c r="AG256" t="s">
        <v>328</v>
      </c>
      <c r="AH256" s="17" t="s">
        <v>322</v>
      </c>
      <c r="AI256" s="17" t="s">
        <v>81</v>
      </c>
      <c r="AJ256" s="17" t="s">
        <v>322</v>
      </c>
      <c r="AK256" s="17" t="s">
        <v>322</v>
      </c>
      <c r="AL256" s="17" t="s">
        <v>322</v>
      </c>
      <c r="AV256" s="15" t="s">
        <v>554</v>
      </c>
      <c r="AW256" s="17" t="s">
        <v>696</v>
      </c>
      <c r="AX256" s="17" t="s">
        <v>322</v>
      </c>
      <c r="AY256" s="17" t="s">
        <v>749</v>
      </c>
      <c r="AZ256" s="17" t="s">
        <v>696</v>
      </c>
      <c r="BA256" s="17" t="s">
        <v>749</v>
      </c>
      <c r="BE256" s="17" t="s">
        <v>315</v>
      </c>
      <c r="BF256" s="17" t="s">
        <v>316</v>
      </c>
      <c r="BG256" s="17" t="s">
        <v>317</v>
      </c>
      <c r="BH256" s="17" t="s">
        <v>318</v>
      </c>
      <c r="BI256" s="17" t="s">
        <v>319</v>
      </c>
    </row>
    <row r="257" spans="2:61" x14ac:dyDescent="0.3">
      <c r="C257" s="17" t="s">
        <v>315</v>
      </c>
      <c r="D257" s="17" t="s">
        <v>316</v>
      </c>
      <c r="E257" s="17" t="s">
        <v>317</v>
      </c>
      <c r="F257" s="17" t="s">
        <v>318</v>
      </c>
      <c r="G257" s="17" t="s">
        <v>319</v>
      </c>
      <c r="J257" t="s">
        <v>517</v>
      </c>
      <c r="K257" s="17" t="s">
        <v>322</v>
      </c>
      <c r="L257" s="17" t="s">
        <v>322</v>
      </c>
      <c r="M257" s="17" t="s">
        <v>322</v>
      </c>
      <c r="N257" s="17" t="s">
        <v>81</v>
      </c>
      <c r="O257" s="17" t="s">
        <v>322</v>
      </c>
      <c r="AG257" t="s">
        <v>350</v>
      </c>
      <c r="AH257" s="17" t="s">
        <v>322</v>
      </c>
      <c r="AI257" s="17" t="s">
        <v>81</v>
      </c>
      <c r="AJ257" s="17" t="s">
        <v>322</v>
      </c>
      <c r="AK257" s="17" t="s">
        <v>322</v>
      </c>
      <c r="AL257" s="17" t="s">
        <v>322</v>
      </c>
      <c r="BD257" t="s">
        <v>517</v>
      </c>
      <c r="BE257" s="17" t="s">
        <v>322</v>
      </c>
      <c r="BF257" s="17" t="s">
        <v>322</v>
      </c>
      <c r="BG257" s="17" t="s">
        <v>322</v>
      </c>
      <c r="BH257" s="17" t="s">
        <v>81</v>
      </c>
      <c r="BI257" s="17" t="s">
        <v>322</v>
      </c>
    </row>
    <row r="258" spans="2:61" x14ac:dyDescent="0.3">
      <c r="B258" s="15" t="s">
        <v>539</v>
      </c>
      <c r="C258" s="17" t="s">
        <v>322</v>
      </c>
      <c r="D258" s="17" t="s">
        <v>322</v>
      </c>
      <c r="E258" s="17" t="s">
        <v>739</v>
      </c>
      <c r="F258" s="17" t="s">
        <v>740</v>
      </c>
      <c r="G258" s="17" t="s">
        <v>322</v>
      </c>
      <c r="J258" t="s">
        <v>326</v>
      </c>
      <c r="K258" s="17" t="s">
        <v>322</v>
      </c>
      <c r="L258" s="17" t="s">
        <v>81</v>
      </c>
      <c r="M258" s="17" t="s">
        <v>322</v>
      </c>
      <c r="N258" s="17" t="s">
        <v>81</v>
      </c>
      <c r="O258" s="17" t="s">
        <v>322</v>
      </c>
      <c r="Y258" s="15" t="s">
        <v>750</v>
      </c>
      <c r="AG258" t="s">
        <v>536</v>
      </c>
      <c r="AH258" s="17" t="s">
        <v>322</v>
      </c>
      <c r="AI258" s="17" t="s">
        <v>108</v>
      </c>
      <c r="AJ258" s="17" t="s">
        <v>322</v>
      </c>
      <c r="AK258" s="17" t="s">
        <v>108</v>
      </c>
      <c r="AL258" s="17" t="s">
        <v>322</v>
      </c>
      <c r="AV258" s="15" t="s">
        <v>750</v>
      </c>
      <c r="BD258" t="s">
        <v>326</v>
      </c>
      <c r="BE258" s="17" t="s">
        <v>322</v>
      </c>
      <c r="BF258" s="17" t="s">
        <v>81</v>
      </c>
      <c r="BG258" s="17" t="s">
        <v>322</v>
      </c>
      <c r="BH258" s="17" t="s">
        <v>81</v>
      </c>
      <c r="BI258" s="17" t="s">
        <v>322</v>
      </c>
    </row>
    <row r="259" spans="2:61" x14ac:dyDescent="0.3">
      <c r="B259" s="15" t="s">
        <v>543</v>
      </c>
      <c r="C259" s="17" t="s">
        <v>322</v>
      </c>
      <c r="D259" s="17" t="s">
        <v>688</v>
      </c>
      <c r="E259" s="17" t="s">
        <v>742</v>
      </c>
      <c r="F259" s="17" t="s">
        <v>740</v>
      </c>
      <c r="G259" s="130" t="s">
        <v>688</v>
      </c>
      <c r="J259" t="s">
        <v>328</v>
      </c>
      <c r="K259" s="17" t="s">
        <v>322</v>
      </c>
      <c r="L259" s="17" t="s">
        <v>81</v>
      </c>
      <c r="M259" s="17" t="s">
        <v>322</v>
      </c>
      <c r="N259" s="17" t="s">
        <v>322</v>
      </c>
      <c r="O259" s="17" t="s">
        <v>322</v>
      </c>
      <c r="Z259" s="17" t="s">
        <v>315</v>
      </c>
      <c r="AA259" s="17" t="s">
        <v>316</v>
      </c>
      <c r="AB259" s="17" t="s">
        <v>317</v>
      </c>
      <c r="AC259" s="17" t="s">
        <v>318</v>
      </c>
      <c r="AD259" s="17" t="s">
        <v>319</v>
      </c>
      <c r="AG259" t="s">
        <v>539</v>
      </c>
      <c r="AH259" s="17" t="s">
        <v>322</v>
      </c>
      <c r="AI259" s="17" t="s">
        <v>108</v>
      </c>
      <c r="AJ259" s="17" t="s">
        <v>322</v>
      </c>
      <c r="AK259" s="17" t="s">
        <v>108</v>
      </c>
      <c r="AL259" s="17" t="s">
        <v>322</v>
      </c>
      <c r="AW259" s="17" t="s">
        <v>315</v>
      </c>
      <c r="AX259" s="17" t="s">
        <v>316</v>
      </c>
      <c r="AY259" s="17" t="s">
        <v>317</v>
      </c>
      <c r="AZ259" s="17" t="s">
        <v>318</v>
      </c>
      <c r="BA259" s="17" t="s">
        <v>319</v>
      </c>
      <c r="BD259" t="s">
        <v>328</v>
      </c>
      <c r="BE259" s="17" t="s">
        <v>322</v>
      </c>
      <c r="BF259" s="17" t="s">
        <v>81</v>
      </c>
      <c r="BG259" s="17" t="s">
        <v>322</v>
      </c>
      <c r="BH259" s="17" t="s">
        <v>322</v>
      </c>
      <c r="BI259" s="17" t="s">
        <v>322</v>
      </c>
    </row>
    <row r="260" spans="2:61" x14ac:dyDescent="0.3">
      <c r="B260" s="15" t="s">
        <v>573</v>
      </c>
      <c r="C260" s="17" t="s">
        <v>744</v>
      </c>
      <c r="D260" s="17" t="s">
        <v>952</v>
      </c>
      <c r="E260" s="17" t="s">
        <v>742</v>
      </c>
      <c r="F260" s="17" t="s">
        <v>740</v>
      </c>
      <c r="G260" s="17" t="s">
        <v>691</v>
      </c>
      <c r="J260" t="s">
        <v>350</v>
      </c>
      <c r="K260" s="17" t="s">
        <v>322</v>
      </c>
      <c r="L260" s="17" t="s">
        <v>81</v>
      </c>
      <c r="M260" s="17" t="s">
        <v>322</v>
      </c>
      <c r="N260" s="17" t="s">
        <v>322</v>
      </c>
      <c r="O260" s="17" t="s">
        <v>322</v>
      </c>
      <c r="Y260" s="15" t="s">
        <v>539</v>
      </c>
      <c r="Z260" s="17" t="s">
        <v>751</v>
      </c>
      <c r="AA260" s="17" t="s">
        <v>752</v>
      </c>
      <c r="AB260" s="17" t="s">
        <v>753</v>
      </c>
      <c r="AC260" s="17" t="s">
        <v>740</v>
      </c>
      <c r="AD260" s="17" t="s">
        <v>751</v>
      </c>
      <c r="AG260" t="s">
        <v>543</v>
      </c>
      <c r="AH260" s="17" t="s">
        <v>322</v>
      </c>
      <c r="AI260" s="17" t="s">
        <v>111</v>
      </c>
      <c r="AJ260" s="17" t="s">
        <v>322</v>
      </c>
      <c r="AK260" s="17" t="s">
        <v>108</v>
      </c>
      <c r="AL260" s="17" t="s">
        <v>322</v>
      </c>
      <c r="AV260" s="15" t="s">
        <v>539</v>
      </c>
      <c r="AW260" s="17" t="s">
        <v>751</v>
      </c>
      <c r="AX260" s="17" t="s">
        <v>752</v>
      </c>
      <c r="AY260" s="17" t="s">
        <v>739</v>
      </c>
      <c r="AZ260" s="17" t="s">
        <v>740</v>
      </c>
      <c r="BA260" s="17" t="s">
        <v>751</v>
      </c>
      <c r="BD260" t="s">
        <v>350</v>
      </c>
      <c r="BE260" s="17" t="s">
        <v>322</v>
      </c>
      <c r="BF260" s="17" t="s">
        <v>81</v>
      </c>
      <c r="BG260" s="17" t="s">
        <v>322</v>
      </c>
      <c r="BH260" s="17" t="s">
        <v>322</v>
      </c>
      <c r="BI260" s="17" t="s">
        <v>322</v>
      </c>
    </row>
    <row r="261" spans="2:61" x14ac:dyDescent="0.3">
      <c r="B261" s="15" t="s">
        <v>561</v>
      </c>
      <c r="C261" s="17" t="s">
        <v>744</v>
      </c>
      <c r="D261" s="17" t="s">
        <v>953</v>
      </c>
      <c r="E261" s="17" t="s">
        <v>748</v>
      </c>
      <c r="F261" s="17" t="s">
        <v>744</v>
      </c>
      <c r="G261" s="17" t="s">
        <v>693</v>
      </c>
      <c r="J261" t="s">
        <v>536</v>
      </c>
      <c r="K261" s="17" t="s">
        <v>322</v>
      </c>
      <c r="L261" s="17" t="s">
        <v>108</v>
      </c>
      <c r="M261" s="17" t="s">
        <v>322</v>
      </c>
      <c r="N261" s="17" t="s">
        <v>108</v>
      </c>
      <c r="O261" s="17" t="s">
        <v>322</v>
      </c>
      <c r="Y261" s="15" t="s">
        <v>543</v>
      </c>
      <c r="Z261" s="17" t="s">
        <v>751</v>
      </c>
      <c r="AA261" s="17" t="s">
        <v>754</v>
      </c>
      <c r="AB261" s="17" t="s">
        <v>753</v>
      </c>
      <c r="AC261" s="17" t="s">
        <v>740</v>
      </c>
      <c r="AD261" s="17" t="s">
        <v>751</v>
      </c>
      <c r="AG261" t="s">
        <v>573</v>
      </c>
      <c r="AH261" s="17" t="s">
        <v>322</v>
      </c>
      <c r="AI261" s="17" t="s">
        <v>111</v>
      </c>
      <c r="AJ261" s="17" t="s">
        <v>322</v>
      </c>
      <c r="AK261" s="17" t="s">
        <v>322</v>
      </c>
      <c r="AL261" s="17" t="s">
        <v>322</v>
      </c>
      <c r="AV261" s="15" t="s">
        <v>543</v>
      </c>
      <c r="AW261" s="17" t="s">
        <v>751</v>
      </c>
      <c r="AX261" s="17" t="s">
        <v>754</v>
      </c>
      <c r="AY261" s="17" t="s">
        <v>739</v>
      </c>
      <c r="AZ261" s="17" t="s">
        <v>740</v>
      </c>
      <c r="BA261" s="17" t="s">
        <v>751</v>
      </c>
      <c r="BD261" t="s">
        <v>536</v>
      </c>
      <c r="BE261" s="17" t="s">
        <v>322</v>
      </c>
      <c r="BF261" s="17" t="s">
        <v>108</v>
      </c>
      <c r="BG261" s="17" t="s">
        <v>322</v>
      </c>
      <c r="BH261" s="17" t="s">
        <v>108</v>
      </c>
      <c r="BI261" s="17" t="s">
        <v>322</v>
      </c>
    </row>
    <row r="262" spans="2:61" x14ac:dyDescent="0.3">
      <c r="B262" s="15" t="s">
        <v>551</v>
      </c>
      <c r="C262" s="17" t="s">
        <v>693</v>
      </c>
      <c r="D262" s="17" t="s">
        <v>748</v>
      </c>
      <c r="E262" s="17" t="s">
        <v>748</v>
      </c>
      <c r="F262" s="17" t="s">
        <v>744</v>
      </c>
      <c r="G262" s="17" t="s">
        <v>749</v>
      </c>
      <c r="J262" t="s">
        <v>539</v>
      </c>
      <c r="K262" s="17" t="s">
        <v>322</v>
      </c>
      <c r="L262" s="17" t="s">
        <v>108</v>
      </c>
      <c r="M262" s="17" t="s">
        <v>322</v>
      </c>
      <c r="N262" s="17" t="s">
        <v>108</v>
      </c>
      <c r="O262" s="17" t="s">
        <v>322</v>
      </c>
      <c r="V262" s="17"/>
      <c r="Y262" s="15" t="s">
        <v>573</v>
      </c>
      <c r="Z262" s="17" t="s">
        <v>751</v>
      </c>
      <c r="AA262" s="17" t="s">
        <v>747</v>
      </c>
      <c r="AB262" s="17" t="s">
        <v>739</v>
      </c>
      <c r="AC262" s="17" t="s">
        <v>740</v>
      </c>
      <c r="AD262" s="17" t="s">
        <v>755</v>
      </c>
      <c r="AV262" s="15" t="s">
        <v>573</v>
      </c>
      <c r="AW262" s="17" t="s">
        <v>751</v>
      </c>
      <c r="AX262" s="17" t="s">
        <v>747</v>
      </c>
      <c r="AY262" s="17" t="s">
        <v>739</v>
      </c>
      <c r="AZ262" s="17" t="s">
        <v>740</v>
      </c>
      <c r="BA262" s="17" t="s">
        <v>755</v>
      </c>
      <c r="BD262" t="s">
        <v>539</v>
      </c>
      <c r="BE262" s="17" t="s">
        <v>322</v>
      </c>
      <c r="BF262" s="17" t="s">
        <v>108</v>
      </c>
      <c r="BG262" s="17" t="s">
        <v>322</v>
      </c>
      <c r="BH262" s="17" t="s">
        <v>108</v>
      </c>
      <c r="BI262" s="17" t="s">
        <v>322</v>
      </c>
    </row>
    <row r="263" spans="2:61" x14ac:dyDescent="0.3">
      <c r="B263" s="15" t="s">
        <v>552</v>
      </c>
      <c r="C263" s="17" t="s">
        <v>695</v>
      </c>
      <c r="D263" s="17" t="s">
        <v>748</v>
      </c>
      <c r="E263" s="17" t="s">
        <v>749</v>
      </c>
      <c r="F263" s="17" t="s">
        <v>696</v>
      </c>
      <c r="G263" s="17" t="s">
        <v>749</v>
      </c>
      <c r="J263" t="s">
        <v>543</v>
      </c>
      <c r="K263" s="17" t="s">
        <v>322</v>
      </c>
      <c r="L263" s="130" t="s">
        <v>108</v>
      </c>
      <c r="M263" s="17" t="s">
        <v>322</v>
      </c>
      <c r="N263" s="130" t="s">
        <v>111</v>
      </c>
      <c r="O263" s="17" t="s">
        <v>322</v>
      </c>
      <c r="Y263" s="15" t="s">
        <v>561</v>
      </c>
      <c r="Z263" s="17" t="s">
        <v>756</v>
      </c>
      <c r="AA263" s="17" t="s">
        <v>747</v>
      </c>
      <c r="AB263" s="17" t="s">
        <v>755</v>
      </c>
      <c r="AC263" s="17" t="s">
        <v>756</v>
      </c>
      <c r="AD263" s="17" t="s">
        <v>755</v>
      </c>
      <c r="AG263" t="s">
        <v>757</v>
      </c>
      <c r="AV263" s="15" t="s">
        <v>561</v>
      </c>
      <c r="AW263" s="17" t="s">
        <v>756</v>
      </c>
      <c r="AX263" s="17" t="s">
        <v>747</v>
      </c>
      <c r="AY263" s="17" t="s">
        <v>755</v>
      </c>
      <c r="AZ263" s="17" t="s">
        <v>756</v>
      </c>
      <c r="BA263" s="17" t="s">
        <v>755</v>
      </c>
      <c r="BD263" t="s">
        <v>543</v>
      </c>
      <c r="BE263" s="17" t="s">
        <v>322</v>
      </c>
      <c r="BF263" s="17" t="s">
        <v>111</v>
      </c>
      <c r="BG263" s="17" t="s">
        <v>322</v>
      </c>
      <c r="BH263" s="17" t="s">
        <v>108</v>
      </c>
      <c r="BI263" s="17" t="s">
        <v>322</v>
      </c>
    </row>
    <row r="264" spans="2:61" x14ac:dyDescent="0.3">
      <c r="B264" s="15" t="s">
        <v>554</v>
      </c>
      <c r="C264" s="17" t="s">
        <v>696</v>
      </c>
      <c r="D264" s="17" t="s">
        <v>322</v>
      </c>
      <c r="E264" s="17" t="s">
        <v>749</v>
      </c>
      <c r="F264" s="17" t="s">
        <v>696</v>
      </c>
      <c r="G264" s="17" t="s">
        <v>749</v>
      </c>
      <c r="J264" t="s">
        <v>573</v>
      </c>
      <c r="K264" s="17" t="s">
        <v>322</v>
      </c>
      <c r="L264" s="17" t="s">
        <v>322</v>
      </c>
      <c r="M264" s="17" t="s">
        <v>322</v>
      </c>
      <c r="N264" s="130" t="s">
        <v>111</v>
      </c>
      <c r="O264" s="17" t="s">
        <v>322</v>
      </c>
      <c r="Y264" s="15" t="s">
        <v>551</v>
      </c>
      <c r="Z264" s="17" t="s">
        <v>756</v>
      </c>
      <c r="AA264" s="17" t="s">
        <v>758</v>
      </c>
      <c r="AB264" s="17" t="s">
        <v>755</v>
      </c>
      <c r="AC264" s="17" t="s">
        <v>756</v>
      </c>
      <c r="AD264" s="17" t="s">
        <v>707</v>
      </c>
      <c r="AH264" s="17" t="s">
        <v>315</v>
      </c>
      <c r="AI264" s="17" t="s">
        <v>316</v>
      </c>
      <c r="AJ264" s="17" t="s">
        <v>317</v>
      </c>
      <c r="AK264" s="17" t="s">
        <v>318</v>
      </c>
      <c r="AL264" s="17" t="s">
        <v>319</v>
      </c>
      <c r="AV264" s="15" t="s">
        <v>551</v>
      </c>
      <c r="AW264" s="17" t="s">
        <v>756</v>
      </c>
      <c r="AX264" s="17" t="s">
        <v>758</v>
      </c>
      <c r="AY264" s="17" t="s">
        <v>755</v>
      </c>
      <c r="AZ264" s="17" t="s">
        <v>756</v>
      </c>
      <c r="BA264" s="17" t="s">
        <v>707</v>
      </c>
      <c r="BD264" t="s">
        <v>573</v>
      </c>
      <c r="BE264" s="17" t="s">
        <v>322</v>
      </c>
      <c r="BF264" s="17" t="s">
        <v>111</v>
      </c>
      <c r="BG264" s="17" t="s">
        <v>322</v>
      </c>
      <c r="BH264" s="17" t="s">
        <v>322</v>
      </c>
      <c r="BI264" s="17" t="s">
        <v>322</v>
      </c>
    </row>
    <row r="265" spans="2:61" x14ac:dyDescent="0.3">
      <c r="Y265" s="15" t="s">
        <v>552</v>
      </c>
      <c r="Z265" s="17" t="s">
        <v>322</v>
      </c>
      <c r="AA265" s="17" t="s">
        <v>758</v>
      </c>
      <c r="AB265" s="17" t="s">
        <v>707</v>
      </c>
      <c r="AC265" s="17" t="s">
        <v>756</v>
      </c>
      <c r="AD265" s="17" t="s">
        <v>707</v>
      </c>
      <c r="AG265" t="s">
        <v>573</v>
      </c>
      <c r="AH265" s="17" t="s">
        <v>246</v>
      </c>
      <c r="AI265" s="17" t="s">
        <v>322</v>
      </c>
      <c r="AJ265" s="17" t="s">
        <v>322</v>
      </c>
      <c r="AK265" s="17" t="s">
        <v>322</v>
      </c>
      <c r="AL265" s="17" t="s">
        <v>322</v>
      </c>
      <c r="AV265" s="15" t="s">
        <v>552</v>
      </c>
      <c r="AW265" s="17" t="s">
        <v>752</v>
      </c>
      <c r="AX265" s="17" t="s">
        <v>758</v>
      </c>
      <c r="AY265" s="17" t="s">
        <v>707</v>
      </c>
      <c r="AZ265" s="17" t="s">
        <v>756</v>
      </c>
      <c r="BA265" s="17" t="s">
        <v>707</v>
      </c>
    </row>
    <row r="266" spans="2:61" x14ac:dyDescent="0.3">
      <c r="B266" s="15" t="s">
        <v>750</v>
      </c>
      <c r="J266" t="s">
        <v>757</v>
      </c>
      <c r="Y266" s="15" t="s">
        <v>554</v>
      </c>
      <c r="Z266" s="17" t="s">
        <v>322</v>
      </c>
      <c r="AA266" s="17" t="s">
        <v>758</v>
      </c>
      <c r="AB266" s="17" t="s">
        <v>707</v>
      </c>
      <c r="AC266" s="17" t="s">
        <v>322</v>
      </c>
      <c r="AD266" s="17" t="s">
        <v>707</v>
      </c>
      <c r="AG266" t="s">
        <v>561</v>
      </c>
      <c r="AH266" s="17" t="s">
        <v>246</v>
      </c>
      <c r="AI266" s="17" t="s">
        <v>322</v>
      </c>
      <c r="AJ266" s="17" t="s">
        <v>322</v>
      </c>
      <c r="AK266" s="17" t="s">
        <v>246</v>
      </c>
      <c r="AL266" s="17" t="s">
        <v>322</v>
      </c>
      <c r="AV266" s="15" t="s">
        <v>554</v>
      </c>
      <c r="AW266" s="17" t="s">
        <v>752</v>
      </c>
      <c r="AX266" s="17" t="s">
        <v>758</v>
      </c>
      <c r="AY266" s="17" t="s">
        <v>707</v>
      </c>
      <c r="AZ266" s="17" t="s">
        <v>322</v>
      </c>
      <c r="BA266" s="17" t="s">
        <v>707</v>
      </c>
      <c r="BD266" t="s">
        <v>757</v>
      </c>
    </row>
    <row r="267" spans="2:61" x14ac:dyDescent="0.3">
      <c r="C267" s="17" t="s">
        <v>315</v>
      </c>
      <c r="D267" s="17" t="s">
        <v>316</v>
      </c>
      <c r="E267" s="17" t="s">
        <v>317</v>
      </c>
      <c r="F267" s="17" t="s">
        <v>318</v>
      </c>
      <c r="G267" s="17" t="s">
        <v>319</v>
      </c>
      <c r="K267" s="17" t="s">
        <v>315</v>
      </c>
      <c r="L267" s="17" t="s">
        <v>316</v>
      </c>
      <c r="M267" s="17" t="s">
        <v>317</v>
      </c>
      <c r="N267" s="17" t="s">
        <v>318</v>
      </c>
      <c r="O267" s="17" t="s">
        <v>319</v>
      </c>
      <c r="AG267" t="s">
        <v>551</v>
      </c>
      <c r="AH267" s="17" t="s">
        <v>322</v>
      </c>
      <c r="AI267" s="17" t="s">
        <v>322</v>
      </c>
      <c r="AJ267" s="17" t="s">
        <v>322</v>
      </c>
      <c r="AK267" s="17" t="s">
        <v>246</v>
      </c>
      <c r="AL267" s="17" t="s">
        <v>322</v>
      </c>
      <c r="BE267" s="17" t="s">
        <v>315</v>
      </c>
      <c r="BF267" s="17" t="s">
        <v>316</v>
      </c>
      <c r="BG267" s="17" t="s">
        <v>317</v>
      </c>
      <c r="BH267" s="17" t="s">
        <v>318</v>
      </c>
      <c r="BI267" s="17" t="s">
        <v>319</v>
      </c>
    </row>
    <row r="268" spans="2:61" x14ac:dyDescent="0.3">
      <c r="B268" s="15" t="s">
        <v>539</v>
      </c>
      <c r="C268" s="17" t="s">
        <v>751</v>
      </c>
      <c r="D268" s="17" t="s">
        <v>322</v>
      </c>
      <c r="E268" s="17" t="s">
        <v>739</v>
      </c>
      <c r="F268" s="17" t="s">
        <v>740</v>
      </c>
      <c r="G268" s="17" t="s">
        <v>751</v>
      </c>
      <c r="J268" t="s">
        <v>573</v>
      </c>
      <c r="K268" s="17" t="s">
        <v>246</v>
      </c>
      <c r="L268" s="17" t="s">
        <v>322</v>
      </c>
      <c r="M268" s="17" t="s">
        <v>322</v>
      </c>
      <c r="N268" s="17" t="s">
        <v>322</v>
      </c>
      <c r="O268" s="17" t="s">
        <v>322</v>
      </c>
      <c r="Y268" s="15" t="s">
        <v>759</v>
      </c>
      <c r="AV268" s="15" t="s">
        <v>759</v>
      </c>
      <c r="BD268" t="s">
        <v>573</v>
      </c>
      <c r="BE268" s="17" t="s">
        <v>246</v>
      </c>
      <c r="BF268" s="17" t="s">
        <v>322</v>
      </c>
      <c r="BG268" s="17" t="s">
        <v>322</v>
      </c>
      <c r="BH268" s="17" t="s">
        <v>322</v>
      </c>
      <c r="BI268" s="17" t="s">
        <v>322</v>
      </c>
    </row>
    <row r="269" spans="2:61" x14ac:dyDescent="0.3">
      <c r="B269" s="15" t="s">
        <v>543</v>
      </c>
      <c r="C269" s="17" t="s">
        <v>751</v>
      </c>
      <c r="D269" s="17" t="s">
        <v>322</v>
      </c>
      <c r="E269" s="17" t="s">
        <v>739</v>
      </c>
      <c r="F269" s="17" t="s">
        <v>740</v>
      </c>
      <c r="G269" s="17" t="s">
        <v>751</v>
      </c>
      <c r="J269" t="s">
        <v>561</v>
      </c>
      <c r="K269" s="17" t="s">
        <v>246</v>
      </c>
      <c r="L269" s="17" t="s">
        <v>322</v>
      </c>
      <c r="M269" s="17" t="s">
        <v>322</v>
      </c>
      <c r="N269" s="17" t="s">
        <v>246</v>
      </c>
      <c r="O269" s="17" t="s">
        <v>322</v>
      </c>
      <c r="Z269" s="17" t="s">
        <v>315</v>
      </c>
      <c r="AA269" s="17" t="s">
        <v>316</v>
      </c>
      <c r="AB269" s="17" t="s">
        <v>317</v>
      </c>
      <c r="AC269" s="17" t="s">
        <v>318</v>
      </c>
      <c r="AD269" s="17" t="s">
        <v>319</v>
      </c>
      <c r="AG269" t="s">
        <v>760</v>
      </c>
      <c r="AW269" s="17" t="s">
        <v>315</v>
      </c>
      <c r="AX269" s="17" t="s">
        <v>316</v>
      </c>
      <c r="AY269" s="17" t="s">
        <v>317</v>
      </c>
      <c r="AZ269" s="17" t="s">
        <v>318</v>
      </c>
      <c r="BA269" s="17" t="s">
        <v>319</v>
      </c>
      <c r="BD269" t="s">
        <v>561</v>
      </c>
      <c r="BE269" s="17" t="s">
        <v>246</v>
      </c>
      <c r="BF269" s="17" t="s">
        <v>322</v>
      </c>
      <c r="BG269" s="17" t="s">
        <v>322</v>
      </c>
      <c r="BH269" s="17" t="s">
        <v>246</v>
      </c>
      <c r="BI269" s="17" t="s">
        <v>322</v>
      </c>
    </row>
    <row r="270" spans="2:61" x14ac:dyDescent="0.3">
      <c r="B270" s="15" t="s">
        <v>573</v>
      </c>
      <c r="C270" s="17" t="s">
        <v>751</v>
      </c>
      <c r="D270" s="17" t="s">
        <v>950</v>
      </c>
      <c r="E270" s="17" t="s">
        <v>739</v>
      </c>
      <c r="F270" s="17" t="s">
        <v>740</v>
      </c>
      <c r="G270" s="17" t="s">
        <v>755</v>
      </c>
      <c r="J270" t="s">
        <v>551</v>
      </c>
      <c r="K270" s="17" t="s">
        <v>322</v>
      </c>
      <c r="L270" s="17" t="s">
        <v>322</v>
      </c>
      <c r="M270" s="17" t="s">
        <v>322</v>
      </c>
      <c r="N270" s="17" t="s">
        <v>246</v>
      </c>
      <c r="O270" s="17" t="s">
        <v>322</v>
      </c>
      <c r="Y270" s="15" t="s">
        <v>539</v>
      </c>
      <c r="Z270" s="17" t="s">
        <v>717</v>
      </c>
      <c r="AA270" s="17" t="s">
        <v>717</v>
      </c>
      <c r="AB270" s="17" t="s">
        <v>761</v>
      </c>
      <c r="AC270" s="17" t="s">
        <v>762</v>
      </c>
      <c r="AD270" s="17" t="s">
        <v>763</v>
      </c>
      <c r="AH270" s="17" t="s">
        <v>315</v>
      </c>
      <c r="AI270" s="17" t="s">
        <v>316</v>
      </c>
      <c r="AJ270" s="17" t="s">
        <v>317</v>
      </c>
      <c r="AK270" s="17" t="s">
        <v>318</v>
      </c>
      <c r="AL270" s="17" t="s">
        <v>319</v>
      </c>
      <c r="AV270" s="15" t="s">
        <v>539</v>
      </c>
      <c r="AW270" s="17" t="s">
        <v>717</v>
      </c>
      <c r="AX270" s="17" t="s">
        <v>717</v>
      </c>
      <c r="AY270" s="17" t="s">
        <v>761</v>
      </c>
      <c r="AZ270" s="17" t="s">
        <v>762</v>
      </c>
      <c r="BA270" s="17" t="s">
        <v>763</v>
      </c>
      <c r="BD270" t="s">
        <v>551</v>
      </c>
      <c r="BE270" s="17" t="s">
        <v>322</v>
      </c>
      <c r="BF270" s="17" t="s">
        <v>322</v>
      </c>
      <c r="BG270" s="17" t="s">
        <v>322</v>
      </c>
      <c r="BH270" s="17" t="s">
        <v>246</v>
      </c>
      <c r="BI270" s="17" t="s">
        <v>322</v>
      </c>
    </row>
    <row r="271" spans="2:61" x14ac:dyDescent="0.3">
      <c r="B271" s="15" t="s">
        <v>561</v>
      </c>
      <c r="C271" s="17" t="s">
        <v>756</v>
      </c>
      <c r="D271" s="17" t="s">
        <v>950</v>
      </c>
      <c r="E271" s="17" t="s">
        <v>755</v>
      </c>
      <c r="F271" s="17" t="s">
        <v>756</v>
      </c>
      <c r="G271" s="17" t="s">
        <v>755</v>
      </c>
      <c r="Y271" s="15" t="s">
        <v>543</v>
      </c>
      <c r="Z271" s="17" t="s">
        <v>717</v>
      </c>
      <c r="AA271" s="17" t="s">
        <v>764</v>
      </c>
      <c r="AB271" s="17" t="s">
        <v>761</v>
      </c>
      <c r="AC271" s="17" t="s">
        <v>762</v>
      </c>
      <c r="AD271" s="17" t="s">
        <v>763</v>
      </c>
      <c r="AG271" t="s">
        <v>512</v>
      </c>
      <c r="AH271" s="17" t="s">
        <v>322</v>
      </c>
      <c r="AI271" s="17" t="s">
        <v>164</v>
      </c>
      <c r="AJ271" s="17" t="s">
        <v>322</v>
      </c>
      <c r="AK271" s="17" t="s">
        <v>164</v>
      </c>
      <c r="AL271" s="17" t="s">
        <v>322</v>
      </c>
      <c r="AV271" s="15" t="s">
        <v>543</v>
      </c>
      <c r="AW271" s="17" t="s">
        <v>717</v>
      </c>
      <c r="AX271" s="17" t="s">
        <v>764</v>
      </c>
      <c r="AY271" s="17" t="s">
        <v>761</v>
      </c>
      <c r="AZ271" s="17" t="s">
        <v>762</v>
      </c>
      <c r="BA271" s="17" t="s">
        <v>763</v>
      </c>
    </row>
    <row r="272" spans="2:61" x14ac:dyDescent="0.3">
      <c r="B272" s="15" t="s">
        <v>551</v>
      </c>
      <c r="C272" s="17" t="s">
        <v>756</v>
      </c>
      <c r="D272" s="17" t="s">
        <v>758</v>
      </c>
      <c r="E272" s="17" t="s">
        <v>755</v>
      </c>
      <c r="F272" s="17" t="s">
        <v>756</v>
      </c>
      <c r="G272" s="17" t="s">
        <v>707</v>
      </c>
      <c r="J272" t="s">
        <v>760</v>
      </c>
      <c r="Y272" s="15" t="s">
        <v>573</v>
      </c>
      <c r="Z272" s="17" t="s">
        <v>765</v>
      </c>
      <c r="AA272" s="17" t="s">
        <v>747</v>
      </c>
      <c r="AB272" s="17" t="s">
        <v>766</v>
      </c>
      <c r="AC272" s="17" t="s">
        <v>762</v>
      </c>
      <c r="AD272" s="17" t="s">
        <v>322</v>
      </c>
      <c r="AG272" t="s">
        <v>514</v>
      </c>
      <c r="AH272" s="17" t="s">
        <v>322</v>
      </c>
      <c r="AI272" s="17" t="s">
        <v>164</v>
      </c>
      <c r="AJ272" s="17" t="s">
        <v>322</v>
      </c>
      <c r="AK272" s="17" t="s">
        <v>164</v>
      </c>
      <c r="AL272" s="17" t="s">
        <v>322</v>
      </c>
      <c r="AV272" s="15" t="s">
        <v>573</v>
      </c>
      <c r="AW272" s="17" t="s">
        <v>765</v>
      </c>
      <c r="AX272" s="17" t="s">
        <v>747</v>
      </c>
      <c r="AY272" s="17" t="s">
        <v>766</v>
      </c>
      <c r="AZ272" s="17" t="s">
        <v>762</v>
      </c>
      <c r="BA272" s="17" t="s">
        <v>322</v>
      </c>
      <c r="BD272" t="s">
        <v>760</v>
      </c>
    </row>
    <row r="273" spans="2:61" x14ac:dyDescent="0.3">
      <c r="B273" s="15" t="s">
        <v>552</v>
      </c>
      <c r="C273" s="130" t="s">
        <v>752</v>
      </c>
      <c r="D273" s="17" t="s">
        <v>758</v>
      </c>
      <c r="E273" s="17" t="s">
        <v>707</v>
      </c>
      <c r="F273" s="17" t="s">
        <v>756</v>
      </c>
      <c r="G273" s="17" t="s">
        <v>707</v>
      </c>
      <c r="K273" s="17" t="s">
        <v>315</v>
      </c>
      <c r="L273" s="17" t="s">
        <v>316</v>
      </c>
      <c r="M273" s="17" t="s">
        <v>317</v>
      </c>
      <c r="N273" s="17" t="s">
        <v>318</v>
      </c>
      <c r="O273" s="17" t="s">
        <v>319</v>
      </c>
      <c r="Y273" s="15" t="s">
        <v>561</v>
      </c>
      <c r="Z273" s="17" t="s">
        <v>765</v>
      </c>
      <c r="AA273" s="17" t="s">
        <v>747</v>
      </c>
      <c r="AB273" s="17" t="s">
        <v>767</v>
      </c>
      <c r="AC273" s="17" t="s">
        <v>762</v>
      </c>
      <c r="AD273" s="17" t="s">
        <v>322</v>
      </c>
      <c r="AV273" s="15" t="s">
        <v>561</v>
      </c>
      <c r="AW273" s="17" t="s">
        <v>765</v>
      </c>
      <c r="AX273" s="17" t="s">
        <v>747</v>
      </c>
      <c r="AY273" s="17" t="s">
        <v>767</v>
      </c>
      <c r="AZ273" s="17" t="s">
        <v>762</v>
      </c>
      <c r="BA273" s="17" t="s">
        <v>322</v>
      </c>
      <c r="BE273" s="17" t="s">
        <v>315</v>
      </c>
      <c r="BF273" s="17" t="s">
        <v>316</v>
      </c>
      <c r="BG273" s="17" t="s">
        <v>317</v>
      </c>
      <c r="BH273" s="17" t="s">
        <v>318</v>
      </c>
      <c r="BI273" s="17" t="s">
        <v>319</v>
      </c>
    </row>
    <row r="274" spans="2:61" x14ac:dyDescent="0.3">
      <c r="B274" s="15" t="s">
        <v>554</v>
      </c>
      <c r="C274" s="130" t="s">
        <v>752</v>
      </c>
      <c r="D274" s="17" t="s">
        <v>758</v>
      </c>
      <c r="E274" s="17" t="s">
        <v>707</v>
      </c>
      <c r="F274" s="17" t="s">
        <v>322</v>
      </c>
      <c r="G274" s="17" t="s">
        <v>707</v>
      </c>
      <c r="J274" t="s">
        <v>512</v>
      </c>
      <c r="K274" s="17" t="s">
        <v>322</v>
      </c>
      <c r="L274" s="17" t="s">
        <v>164</v>
      </c>
      <c r="M274" s="17" t="s">
        <v>322</v>
      </c>
      <c r="N274" s="17" t="s">
        <v>164</v>
      </c>
      <c r="O274" s="17" t="s">
        <v>322</v>
      </c>
      <c r="Y274" s="15" t="s">
        <v>551</v>
      </c>
      <c r="Z274" s="17" t="s">
        <v>768</v>
      </c>
      <c r="AA274" s="17" t="s">
        <v>322</v>
      </c>
      <c r="AB274" s="17" t="s">
        <v>767</v>
      </c>
      <c r="AC274" s="17" t="s">
        <v>765</v>
      </c>
      <c r="AD274" s="17" t="s">
        <v>729</v>
      </c>
      <c r="AG274" t="s">
        <v>769</v>
      </c>
      <c r="AV274" s="15" t="s">
        <v>551</v>
      </c>
      <c r="AW274" s="17" t="s">
        <v>768</v>
      </c>
      <c r="AX274" s="17" t="s">
        <v>322</v>
      </c>
      <c r="AY274" s="17" t="s">
        <v>767</v>
      </c>
      <c r="AZ274" s="17" t="s">
        <v>765</v>
      </c>
      <c r="BA274" s="17" t="s">
        <v>729</v>
      </c>
      <c r="BD274" t="s">
        <v>512</v>
      </c>
      <c r="BE274" s="17" t="s">
        <v>322</v>
      </c>
      <c r="BF274" s="17" t="s">
        <v>164</v>
      </c>
      <c r="BG274" s="17" t="s">
        <v>322</v>
      </c>
      <c r="BH274" s="17" t="s">
        <v>164</v>
      </c>
      <c r="BI274" s="17" t="s">
        <v>322</v>
      </c>
    </row>
    <row r="275" spans="2:61" x14ac:dyDescent="0.3">
      <c r="J275" t="s">
        <v>514</v>
      </c>
      <c r="K275" s="17" t="s">
        <v>322</v>
      </c>
      <c r="L275" s="17" t="s">
        <v>164</v>
      </c>
      <c r="M275" s="17" t="s">
        <v>322</v>
      </c>
      <c r="N275" s="17" t="s">
        <v>164</v>
      </c>
      <c r="O275" s="17" t="s">
        <v>322</v>
      </c>
      <c r="Y275" s="15" t="s">
        <v>552</v>
      </c>
      <c r="Z275" s="17" t="s">
        <v>768</v>
      </c>
      <c r="AA275" s="17" t="s">
        <v>322</v>
      </c>
      <c r="AB275" s="17" t="s">
        <v>731</v>
      </c>
      <c r="AC275" s="17" t="s">
        <v>765</v>
      </c>
      <c r="AD275" s="17" t="s">
        <v>732</v>
      </c>
      <c r="AH275" s="17" t="s">
        <v>315</v>
      </c>
      <c r="AI275" s="17" t="s">
        <v>316</v>
      </c>
      <c r="AJ275" s="17" t="s">
        <v>317</v>
      </c>
      <c r="AK275" s="17" t="s">
        <v>318</v>
      </c>
      <c r="AL275" s="17" t="s">
        <v>319</v>
      </c>
      <c r="AV275" s="15" t="s">
        <v>552</v>
      </c>
      <c r="AW275" s="17" t="s">
        <v>768</v>
      </c>
      <c r="AX275" s="17" t="s">
        <v>322</v>
      </c>
      <c r="AY275" s="17" t="s">
        <v>731</v>
      </c>
      <c r="AZ275" s="17" t="s">
        <v>765</v>
      </c>
      <c r="BA275" s="17" t="s">
        <v>732</v>
      </c>
      <c r="BD275" t="s">
        <v>514</v>
      </c>
      <c r="BE275" s="17" t="s">
        <v>322</v>
      </c>
      <c r="BF275" s="17" t="s">
        <v>164</v>
      </c>
      <c r="BG275" s="17" t="s">
        <v>322</v>
      </c>
      <c r="BH275" s="17" t="s">
        <v>164</v>
      </c>
      <c r="BI275" s="17" t="s">
        <v>322</v>
      </c>
    </row>
    <row r="276" spans="2:61" x14ac:dyDescent="0.3">
      <c r="B276" s="15" t="s">
        <v>759</v>
      </c>
      <c r="Y276" s="15" t="s">
        <v>554</v>
      </c>
      <c r="Z276" s="17" t="s">
        <v>768</v>
      </c>
      <c r="AA276" s="17" t="s">
        <v>682</v>
      </c>
      <c r="AB276" s="17" t="s">
        <v>734</v>
      </c>
      <c r="AC276" s="17" t="s">
        <v>322</v>
      </c>
      <c r="AD276" s="17" t="s">
        <v>735</v>
      </c>
      <c r="AG276" t="s">
        <v>573</v>
      </c>
      <c r="AH276" s="17" t="s">
        <v>322</v>
      </c>
      <c r="AI276" s="17" t="s">
        <v>322</v>
      </c>
      <c r="AJ276" s="17" t="s">
        <v>322</v>
      </c>
      <c r="AK276" s="17" t="s">
        <v>322</v>
      </c>
      <c r="AL276" s="17" t="s">
        <v>228</v>
      </c>
      <c r="AV276" s="15" t="s">
        <v>554</v>
      </c>
      <c r="AW276" s="17" t="s">
        <v>768</v>
      </c>
      <c r="AX276" s="17" t="s">
        <v>682</v>
      </c>
      <c r="AY276" s="17" t="s">
        <v>734</v>
      </c>
      <c r="AZ276" s="17" t="s">
        <v>322</v>
      </c>
      <c r="BA276" s="17" t="s">
        <v>735</v>
      </c>
    </row>
    <row r="277" spans="2:61" x14ac:dyDescent="0.3">
      <c r="C277" s="17" t="s">
        <v>315</v>
      </c>
      <c r="D277" s="17" t="s">
        <v>316</v>
      </c>
      <c r="E277" s="17" t="s">
        <v>317</v>
      </c>
      <c r="F277" s="17" t="s">
        <v>318</v>
      </c>
      <c r="G277" s="17" t="s">
        <v>319</v>
      </c>
      <c r="J277" t="s">
        <v>769</v>
      </c>
      <c r="AA277" s="130"/>
      <c r="AG277" t="s">
        <v>561</v>
      </c>
      <c r="AH277" s="17" t="s">
        <v>322</v>
      </c>
      <c r="AI277" s="17" t="s">
        <v>322</v>
      </c>
      <c r="AJ277" s="17" t="s">
        <v>228</v>
      </c>
      <c r="AK277" s="17" t="s">
        <v>322</v>
      </c>
      <c r="AL277" s="17" t="s">
        <v>228</v>
      </c>
      <c r="BD277" t="s">
        <v>769</v>
      </c>
    </row>
    <row r="278" spans="2:61" x14ac:dyDescent="0.3">
      <c r="B278" s="15" t="s">
        <v>539</v>
      </c>
      <c r="C278" s="17" t="s">
        <v>322</v>
      </c>
      <c r="D278" s="17" t="s">
        <v>322</v>
      </c>
      <c r="E278" s="17" t="s">
        <v>761</v>
      </c>
      <c r="F278" s="17" t="s">
        <v>762</v>
      </c>
      <c r="G278" s="17" t="s">
        <v>763</v>
      </c>
      <c r="K278" s="17" t="s">
        <v>315</v>
      </c>
      <c r="L278" s="17" t="s">
        <v>316</v>
      </c>
      <c r="M278" s="17" t="s">
        <v>317</v>
      </c>
      <c r="N278" s="17" t="s">
        <v>318</v>
      </c>
      <c r="O278" s="17" t="s">
        <v>319</v>
      </c>
      <c r="Y278" s="15" t="s">
        <v>770</v>
      </c>
      <c r="AG278" t="s">
        <v>551</v>
      </c>
      <c r="AH278" s="17" t="s">
        <v>322</v>
      </c>
      <c r="AI278" s="17" t="s">
        <v>322</v>
      </c>
      <c r="AJ278" s="17" t="s">
        <v>228</v>
      </c>
      <c r="AK278" s="17" t="s">
        <v>322</v>
      </c>
      <c r="AL278" s="17" t="s">
        <v>322</v>
      </c>
      <c r="AV278" s="15" t="s">
        <v>770</v>
      </c>
      <c r="BE278" s="17" t="s">
        <v>315</v>
      </c>
      <c r="BF278" s="17" t="s">
        <v>316</v>
      </c>
      <c r="BG278" s="17" t="s">
        <v>317</v>
      </c>
      <c r="BH278" s="17" t="s">
        <v>318</v>
      </c>
      <c r="BI278" s="17" t="s">
        <v>319</v>
      </c>
    </row>
    <row r="279" spans="2:61" x14ac:dyDescent="0.3">
      <c r="B279" s="15" t="s">
        <v>543</v>
      </c>
      <c r="C279" s="17" t="s">
        <v>322</v>
      </c>
      <c r="D279" s="17" t="s">
        <v>322</v>
      </c>
      <c r="E279" s="17" t="s">
        <v>761</v>
      </c>
      <c r="F279" s="17" t="s">
        <v>762</v>
      </c>
      <c r="G279" s="17" t="s">
        <v>763</v>
      </c>
      <c r="J279" t="s">
        <v>551</v>
      </c>
      <c r="K279" s="17" t="s">
        <v>322</v>
      </c>
      <c r="L279" s="130" t="s">
        <v>228</v>
      </c>
      <c r="M279" s="17" t="s">
        <v>322</v>
      </c>
      <c r="N279" s="130" t="s">
        <v>228</v>
      </c>
      <c r="O279" s="17" t="s">
        <v>322</v>
      </c>
      <c r="Z279" s="17" t="s">
        <v>315</v>
      </c>
      <c r="AA279" s="17" t="s">
        <v>316</v>
      </c>
      <c r="AB279" s="17" t="s">
        <v>317</v>
      </c>
      <c r="AC279" s="17" t="s">
        <v>318</v>
      </c>
      <c r="AD279" s="17" t="s">
        <v>319</v>
      </c>
      <c r="AW279" s="17" t="s">
        <v>315</v>
      </c>
      <c r="AX279" s="17" t="s">
        <v>316</v>
      </c>
      <c r="AY279" s="17" t="s">
        <v>317</v>
      </c>
      <c r="AZ279" s="17" t="s">
        <v>318</v>
      </c>
      <c r="BA279" s="17" t="s">
        <v>319</v>
      </c>
      <c r="BD279" t="s">
        <v>573</v>
      </c>
      <c r="BE279" s="17" t="s">
        <v>322</v>
      </c>
      <c r="BF279" s="17" t="s">
        <v>322</v>
      </c>
      <c r="BG279" s="17" t="s">
        <v>322</v>
      </c>
      <c r="BH279" s="17" t="s">
        <v>322</v>
      </c>
      <c r="BI279" s="17" t="s">
        <v>228</v>
      </c>
    </row>
    <row r="280" spans="2:61" x14ac:dyDescent="0.3">
      <c r="B280" s="15" t="s">
        <v>573</v>
      </c>
      <c r="C280" s="130" t="s">
        <v>942</v>
      </c>
      <c r="D280" s="17" t="s">
        <v>747</v>
      </c>
      <c r="E280" s="17" t="s">
        <v>766</v>
      </c>
      <c r="F280" s="17" t="s">
        <v>762</v>
      </c>
      <c r="G280" s="17" t="s">
        <v>322</v>
      </c>
      <c r="J280" t="s">
        <v>552</v>
      </c>
      <c r="K280" s="17" t="s">
        <v>322</v>
      </c>
      <c r="L280" s="130" t="s">
        <v>228</v>
      </c>
      <c r="M280" s="17" t="s">
        <v>322</v>
      </c>
      <c r="N280" s="130" t="s">
        <v>228</v>
      </c>
      <c r="O280" s="17" t="s">
        <v>322</v>
      </c>
      <c r="Y280" s="15" t="s">
        <v>539</v>
      </c>
      <c r="Z280" s="17" t="s">
        <v>717</v>
      </c>
      <c r="AA280" s="17" t="s">
        <v>717</v>
      </c>
      <c r="AB280" s="17" t="s">
        <v>761</v>
      </c>
      <c r="AC280" s="17" t="s">
        <v>762</v>
      </c>
      <c r="AD280" s="17" t="s">
        <v>763</v>
      </c>
      <c r="AG280" t="s">
        <v>771</v>
      </c>
      <c r="AV280" s="15" t="s">
        <v>539</v>
      </c>
      <c r="AW280" s="17" t="s">
        <v>717</v>
      </c>
      <c r="AX280" s="17" t="s">
        <v>717</v>
      </c>
      <c r="AY280" s="17" t="s">
        <v>761</v>
      </c>
      <c r="AZ280" s="17" t="s">
        <v>762</v>
      </c>
      <c r="BA280" s="17" t="s">
        <v>763</v>
      </c>
      <c r="BD280" t="s">
        <v>561</v>
      </c>
      <c r="BE280" s="17" t="s">
        <v>322</v>
      </c>
      <c r="BF280" s="17" t="s">
        <v>322</v>
      </c>
      <c r="BG280" s="17" t="s">
        <v>228</v>
      </c>
      <c r="BH280" s="17" t="s">
        <v>322</v>
      </c>
      <c r="BI280" s="17" t="s">
        <v>228</v>
      </c>
    </row>
    <row r="281" spans="2:61" x14ac:dyDescent="0.3">
      <c r="B281" s="15" t="s">
        <v>561</v>
      </c>
      <c r="C281" s="130" t="s">
        <v>942</v>
      </c>
      <c r="D281" s="17" t="s">
        <v>747</v>
      </c>
      <c r="E281" s="17" t="s">
        <v>767</v>
      </c>
      <c r="F281" s="17" t="s">
        <v>762</v>
      </c>
      <c r="G281" s="17" t="s">
        <v>322</v>
      </c>
      <c r="Y281" s="15" t="s">
        <v>543</v>
      </c>
      <c r="Z281" s="17" t="s">
        <v>717</v>
      </c>
      <c r="AA281" s="17" t="s">
        <v>764</v>
      </c>
      <c r="AB281" s="17" t="s">
        <v>761</v>
      </c>
      <c r="AC281" s="17" t="s">
        <v>762</v>
      </c>
      <c r="AD281" s="17" t="s">
        <v>763</v>
      </c>
      <c r="AH281" s="17" t="s">
        <v>315</v>
      </c>
      <c r="AI281" s="17" t="s">
        <v>316</v>
      </c>
      <c r="AJ281" s="17" t="s">
        <v>317</v>
      </c>
      <c r="AK281" s="17" t="s">
        <v>318</v>
      </c>
      <c r="AL281" s="17" t="s">
        <v>319</v>
      </c>
      <c r="AV281" s="15" t="s">
        <v>543</v>
      </c>
      <c r="AW281" s="17" t="s">
        <v>717</v>
      </c>
      <c r="AX281" s="17" t="s">
        <v>764</v>
      </c>
      <c r="AY281" s="17" t="s">
        <v>761</v>
      </c>
      <c r="AZ281" s="17" t="s">
        <v>762</v>
      </c>
      <c r="BA281" s="17" t="s">
        <v>763</v>
      </c>
      <c r="BD281" t="s">
        <v>551</v>
      </c>
      <c r="BE281" s="17" t="s">
        <v>322</v>
      </c>
      <c r="BF281" s="17" t="s">
        <v>322</v>
      </c>
      <c r="BG281" s="17" t="s">
        <v>228</v>
      </c>
      <c r="BH281" s="17" t="s">
        <v>322</v>
      </c>
      <c r="BI281" s="17" t="s">
        <v>322</v>
      </c>
    </row>
    <row r="282" spans="2:61" x14ac:dyDescent="0.3">
      <c r="B282" s="15" t="s">
        <v>551</v>
      </c>
      <c r="C282" s="17" t="s">
        <v>768</v>
      </c>
      <c r="D282" s="130" t="s">
        <v>765</v>
      </c>
      <c r="E282" s="17" t="s">
        <v>767</v>
      </c>
      <c r="F282" s="17" t="s">
        <v>765</v>
      </c>
      <c r="G282" s="17" t="s">
        <v>940</v>
      </c>
      <c r="J282" t="s">
        <v>771</v>
      </c>
      <c r="Y282" s="15" t="s">
        <v>573</v>
      </c>
      <c r="Z282" s="17" t="s">
        <v>322</v>
      </c>
      <c r="AA282" s="17" t="s">
        <v>747</v>
      </c>
      <c r="AB282" s="17" t="s">
        <v>766</v>
      </c>
      <c r="AC282" s="17" t="s">
        <v>762</v>
      </c>
      <c r="AD282" s="17" t="s">
        <v>712</v>
      </c>
      <c r="AG282" t="s">
        <v>561</v>
      </c>
      <c r="AH282" s="17" t="s">
        <v>322</v>
      </c>
      <c r="AI282" s="17" t="s">
        <v>322</v>
      </c>
      <c r="AJ282" s="17" t="s">
        <v>284</v>
      </c>
      <c r="AK282" s="17" t="s">
        <v>322</v>
      </c>
      <c r="AL282" s="17" t="s">
        <v>322</v>
      </c>
      <c r="AV282" s="15" t="s">
        <v>573</v>
      </c>
      <c r="AW282" s="17" t="s">
        <v>322</v>
      </c>
      <c r="AX282" s="17" t="s">
        <v>747</v>
      </c>
      <c r="AY282" s="17" t="s">
        <v>766</v>
      </c>
      <c r="AZ282" s="17" t="s">
        <v>762</v>
      </c>
      <c r="BA282" s="17" t="s">
        <v>712</v>
      </c>
    </row>
    <row r="283" spans="2:61" x14ac:dyDescent="0.3">
      <c r="B283" s="15" t="s">
        <v>552</v>
      </c>
      <c r="C283" s="17" t="s">
        <v>768</v>
      </c>
      <c r="D283" s="130" t="s">
        <v>765</v>
      </c>
      <c r="E283" s="17" t="s">
        <v>956</v>
      </c>
      <c r="F283" s="17" t="s">
        <v>765</v>
      </c>
      <c r="G283" s="17" t="s">
        <v>735</v>
      </c>
      <c r="K283" s="17" t="s">
        <v>315</v>
      </c>
      <c r="L283" s="17" t="s">
        <v>316</v>
      </c>
      <c r="M283" s="17" t="s">
        <v>317</v>
      </c>
      <c r="N283" s="17" t="s">
        <v>318</v>
      </c>
      <c r="O283" s="17" t="s">
        <v>319</v>
      </c>
      <c r="Y283" s="15" t="s">
        <v>561</v>
      </c>
      <c r="Z283" s="17" t="s">
        <v>322</v>
      </c>
      <c r="AA283" s="17" t="s">
        <v>747</v>
      </c>
      <c r="AB283" s="17" t="s">
        <v>767</v>
      </c>
      <c r="AC283" s="17" t="s">
        <v>762</v>
      </c>
      <c r="AD283" s="17" t="s">
        <v>712</v>
      </c>
      <c r="AG283" t="s">
        <v>551</v>
      </c>
      <c r="AH283" s="17" t="s">
        <v>322</v>
      </c>
      <c r="AI283" s="17" t="s">
        <v>322</v>
      </c>
      <c r="AJ283" s="17" t="s">
        <v>284</v>
      </c>
      <c r="AK283" s="17" t="s">
        <v>322</v>
      </c>
      <c r="AL283" s="17" t="s">
        <v>322</v>
      </c>
      <c r="AV283" s="15" t="s">
        <v>561</v>
      </c>
      <c r="AW283" s="17" t="s">
        <v>322</v>
      </c>
      <c r="AX283" s="17" t="s">
        <v>747</v>
      </c>
      <c r="AY283" s="17" t="s">
        <v>767</v>
      </c>
      <c r="AZ283" s="17" t="s">
        <v>762</v>
      </c>
      <c r="BA283" s="17" t="s">
        <v>712</v>
      </c>
      <c r="BD283" t="s">
        <v>771</v>
      </c>
    </row>
    <row r="284" spans="2:61" x14ac:dyDescent="0.3">
      <c r="B284" s="15" t="s">
        <v>554</v>
      </c>
      <c r="C284" s="17" t="s">
        <v>768</v>
      </c>
      <c r="D284" s="17" t="s">
        <v>682</v>
      </c>
      <c r="E284" s="17" t="s">
        <v>955</v>
      </c>
      <c r="F284" s="17" t="s">
        <v>322</v>
      </c>
      <c r="G284" s="17" t="s">
        <v>735</v>
      </c>
      <c r="J284" t="s">
        <v>561</v>
      </c>
      <c r="K284" s="17" t="s">
        <v>322</v>
      </c>
      <c r="L284" s="17" t="s">
        <v>322</v>
      </c>
      <c r="M284" s="17" t="s">
        <v>284</v>
      </c>
      <c r="N284" s="17" t="s">
        <v>322</v>
      </c>
      <c r="O284" s="17" t="s">
        <v>322</v>
      </c>
      <c r="Y284" s="15" t="s">
        <v>551</v>
      </c>
      <c r="Z284" s="17" t="s">
        <v>768</v>
      </c>
      <c r="AA284" s="17" t="s">
        <v>712</v>
      </c>
      <c r="AB284" s="17" t="s">
        <v>767</v>
      </c>
      <c r="AC284" s="17" t="s">
        <v>322</v>
      </c>
      <c r="AD284" s="17" t="s">
        <v>729</v>
      </c>
      <c r="AG284" t="s">
        <v>552</v>
      </c>
      <c r="AH284" s="17" t="s">
        <v>322</v>
      </c>
      <c r="AI284" s="17" t="s">
        <v>322</v>
      </c>
      <c r="AJ284" s="17" t="s">
        <v>284</v>
      </c>
      <c r="AK284" s="17" t="s">
        <v>322</v>
      </c>
      <c r="AL284" s="17" t="s">
        <v>322</v>
      </c>
      <c r="AV284" s="15" t="s">
        <v>551</v>
      </c>
      <c r="AW284" s="17" t="s">
        <v>768</v>
      </c>
      <c r="AX284" s="17" t="s">
        <v>712</v>
      </c>
      <c r="AY284" s="17" t="s">
        <v>767</v>
      </c>
      <c r="AZ284" s="17" t="s">
        <v>322</v>
      </c>
      <c r="BA284" s="17" t="s">
        <v>729</v>
      </c>
      <c r="BE284" s="17" t="s">
        <v>315</v>
      </c>
      <c r="BF284" s="17" t="s">
        <v>316</v>
      </c>
      <c r="BG284" s="17" t="s">
        <v>317</v>
      </c>
      <c r="BH284" s="17" t="s">
        <v>318</v>
      </c>
      <c r="BI284" s="17" t="s">
        <v>319</v>
      </c>
    </row>
    <row r="285" spans="2:61" x14ac:dyDescent="0.3">
      <c r="B285" s="156" t="s">
        <v>586</v>
      </c>
      <c r="C285" s="17" t="s">
        <v>322</v>
      </c>
      <c r="D285" s="130" t="s">
        <v>682</v>
      </c>
      <c r="E285" s="17" t="s">
        <v>322</v>
      </c>
      <c r="F285" s="17" t="s">
        <v>322</v>
      </c>
      <c r="G285" s="17" t="s">
        <v>322</v>
      </c>
      <c r="J285" t="s">
        <v>551</v>
      </c>
      <c r="K285" s="17" t="s">
        <v>322</v>
      </c>
      <c r="L285" s="17" t="s">
        <v>322</v>
      </c>
      <c r="M285" s="17" t="s">
        <v>284</v>
      </c>
      <c r="N285" s="17" t="s">
        <v>322</v>
      </c>
      <c r="O285" s="17" t="s">
        <v>322</v>
      </c>
      <c r="Y285" s="15" t="s">
        <v>552</v>
      </c>
      <c r="Z285" s="17" t="s">
        <v>768</v>
      </c>
      <c r="AA285" s="17" t="s">
        <v>712</v>
      </c>
      <c r="AB285" s="17" t="s">
        <v>731</v>
      </c>
      <c r="AC285" s="17" t="s">
        <v>322</v>
      </c>
      <c r="AD285" s="17" t="s">
        <v>732</v>
      </c>
      <c r="AG285" t="s">
        <v>554</v>
      </c>
      <c r="AH285" s="17" t="s">
        <v>322</v>
      </c>
      <c r="AI285" s="17" t="s">
        <v>322</v>
      </c>
      <c r="AJ285" s="17" t="s">
        <v>284</v>
      </c>
      <c r="AK285" s="17" t="s">
        <v>322</v>
      </c>
      <c r="AL285" s="17" t="s">
        <v>322</v>
      </c>
      <c r="AV285" s="15" t="s">
        <v>552</v>
      </c>
      <c r="AW285" s="17" t="s">
        <v>768</v>
      </c>
      <c r="AX285" s="17" t="s">
        <v>712</v>
      </c>
      <c r="AY285" s="17" t="s">
        <v>731</v>
      </c>
      <c r="AZ285" s="17" t="s">
        <v>322</v>
      </c>
      <c r="BA285" s="17" t="s">
        <v>732</v>
      </c>
      <c r="BD285" t="s">
        <v>561</v>
      </c>
      <c r="BE285" s="17" t="s">
        <v>322</v>
      </c>
      <c r="BF285" s="17" t="s">
        <v>322</v>
      </c>
      <c r="BG285" s="17" t="s">
        <v>284</v>
      </c>
      <c r="BH285" s="17" t="s">
        <v>322</v>
      </c>
      <c r="BI285" s="17" t="s">
        <v>322</v>
      </c>
    </row>
    <row r="286" spans="2:61" x14ac:dyDescent="0.3">
      <c r="J286" t="s">
        <v>552</v>
      </c>
      <c r="K286" s="17" t="s">
        <v>322</v>
      </c>
      <c r="L286" s="17" t="s">
        <v>322</v>
      </c>
      <c r="M286" s="17" t="s">
        <v>284</v>
      </c>
      <c r="N286" s="17" t="s">
        <v>322</v>
      </c>
      <c r="O286" s="17" t="s">
        <v>322</v>
      </c>
      <c r="Y286" s="15" t="s">
        <v>554</v>
      </c>
      <c r="Z286" s="17" t="s">
        <v>768</v>
      </c>
      <c r="AA286" s="17" t="s">
        <v>682</v>
      </c>
      <c r="AB286" s="17" t="s">
        <v>734</v>
      </c>
      <c r="AC286" s="17" t="s">
        <v>322</v>
      </c>
      <c r="AD286" s="17" t="s">
        <v>735</v>
      </c>
      <c r="AV286" s="15" t="s">
        <v>554</v>
      </c>
      <c r="AW286" s="17" t="s">
        <v>768</v>
      </c>
      <c r="AX286" s="17" t="s">
        <v>682</v>
      </c>
      <c r="AY286" s="17" t="s">
        <v>734</v>
      </c>
      <c r="AZ286" s="17" t="s">
        <v>322</v>
      </c>
      <c r="BA286" s="17" t="s">
        <v>735</v>
      </c>
      <c r="BD286" t="s">
        <v>551</v>
      </c>
      <c r="BE286" s="17" t="s">
        <v>322</v>
      </c>
      <c r="BF286" s="17" t="s">
        <v>322</v>
      </c>
      <c r="BG286" s="17" t="s">
        <v>284</v>
      </c>
      <c r="BH286" s="17" t="s">
        <v>322</v>
      </c>
      <c r="BI286" s="17" t="s">
        <v>322</v>
      </c>
    </row>
    <row r="287" spans="2:61" x14ac:dyDescent="0.3">
      <c r="B287" s="15" t="s">
        <v>770</v>
      </c>
      <c r="J287" t="s">
        <v>554</v>
      </c>
      <c r="K287" s="17" t="s">
        <v>322</v>
      </c>
      <c r="L287" s="17" t="s">
        <v>322</v>
      </c>
      <c r="M287" s="17" t="s">
        <v>284</v>
      </c>
      <c r="N287" s="17" t="s">
        <v>322</v>
      </c>
      <c r="O287" s="17" t="s">
        <v>322</v>
      </c>
      <c r="AA287" s="130"/>
      <c r="AG287" t="s">
        <v>772</v>
      </c>
      <c r="BD287" t="s">
        <v>552</v>
      </c>
      <c r="BE287" s="17" t="s">
        <v>322</v>
      </c>
      <c r="BF287" s="17" t="s">
        <v>322</v>
      </c>
      <c r="BG287" s="17" t="s">
        <v>284</v>
      </c>
      <c r="BH287" s="17" t="s">
        <v>322</v>
      </c>
      <c r="BI287" s="17" t="s">
        <v>322</v>
      </c>
    </row>
    <row r="288" spans="2:61" x14ac:dyDescent="0.3">
      <c r="C288" s="17" t="s">
        <v>315</v>
      </c>
      <c r="D288" s="17" t="s">
        <v>316</v>
      </c>
      <c r="E288" s="17" t="s">
        <v>317</v>
      </c>
      <c r="F288" s="17" t="s">
        <v>318</v>
      </c>
      <c r="G288" s="17" t="s">
        <v>319</v>
      </c>
      <c r="AH288" s="17" t="s">
        <v>315</v>
      </c>
      <c r="AI288" s="17" t="s">
        <v>316</v>
      </c>
      <c r="AJ288" s="17" t="s">
        <v>317</v>
      </c>
      <c r="AK288" s="17" t="s">
        <v>318</v>
      </c>
      <c r="AL288" s="17" t="s">
        <v>319</v>
      </c>
      <c r="BD288" t="s">
        <v>554</v>
      </c>
      <c r="BE288" s="17" t="s">
        <v>322</v>
      </c>
      <c r="BF288" s="17" t="s">
        <v>322</v>
      </c>
      <c r="BG288" s="17" t="s">
        <v>284</v>
      </c>
      <c r="BH288" s="17" t="s">
        <v>322</v>
      </c>
      <c r="BI288" s="17" t="s">
        <v>322</v>
      </c>
    </row>
    <row r="289" spans="2:61" x14ac:dyDescent="0.3">
      <c r="B289" s="15" t="s">
        <v>539</v>
      </c>
      <c r="C289" s="17" t="s">
        <v>322</v>
      </c>
      <c r="D289" s="17" t="s">
        <v>322</v>
      </c>
      <c r="E289" s="17" t="s">
        <v>761</v>
      </c>
      <c r="F289" s="17" t="s">
        <v>762</v>
      </c>
      <c r="G289" s="17" t="s">
        <v>763</v>
      </c>
      <c r="J289" t="s">
        <v>772</v>
      </c>
      <c r="AG289" t="s">
        <v>551</v>
      </c>
      <c r="AH289" s="17" t="s">
        <v>322</v>
      </c>
      <c r="AI289" s="17" t="s">
        <v>322</v>
      </c>
      <c r="AJ289" s="17" t="s">
        <v>322</v>
      </c>
      <c r="AK289" s="17" t="s">
        <v>322</v>
      </c>
      <c r="AL289" s="17" t="s">
        <v>254</v>
      </c>
    </row>
    <row r="290" spans="2:61" x14ac:dyDescent="0.3">
      <c r="B290" s="15" t="s">
        <v>543</v>
      </c>
      <c r="C290" s="17" t="s">
        <v>322</v>
      </c>
      <c r="D290" s="17" t="s">
        <v>322</v>
      </c>
      <c r="E290" s="17" t="s">
        <v>761</v>
      </c>
      <c r="F290" s="17" t="s">
        <v>762</v>
      </c>
      <c r="G290" s="17" t="s">
        <v>763</v>
      </c>
      <c r="K290" s="17" t="s">
        <v>315</v>
      </c>
      <c r="L290" s="17" t="s">
        <v>316</v>
      </c>
      <c r="M290" s="17" t="s">
        <v>317</v>
      </c>
      <c r="N290" s="17" t="s">
        <v>318</v>
      </c>
      <c r="O290" s="17" t="s">
        <v>319</v>
      </c>
      <c r="AG290" t="s">
        <v>552</v>
      </c>
      <c r="AH290" s="17" t="s">
        <v>322</v>
      </c>
      <c r="AI290" s="17" t="s">
        <v>322</v>
      </c>
      <c r="AJ290" s="17" t="s">
        <v>254</v>
      </c>
      <c r="AK290" s="17" t="s">
        <v>322</v>
      </c>
      <c r="AL290" s="17" t="s">
        <v>254</v>
      </c>
      <c r="BD290" t="s">
        <v>772</v>
      </c>
    </row>
    <row r="291" spans="2:61" x14ac:dyDescent="0.3">
      <c r="B291" s="15" t="s">
        <v>573</v>
      </c>
      <c r="C291" s="130" t="s">
        <v>941</v>
      </c>
      <c r="D291" s="17" t="s">
        <v>747</v>
      </c>
      <c r="E291" s="17" t="s">
        <v>937</v>
      </c>
      <c r="F291" s="17" t="s">
        <v>762</v>
      </c>
      <c r="G291" s="130" t="s">
        <v>322</v>
      </c>
      <c r="J291" t="s">
        <v>551</v>
      </c>
      <c r="K291" s="17" t="s">
        <v>322</v>
      </c>
      <c r="L291" s="17" t="s">
        <v>322</v>
      </c>
      <c r="M291" s="17" t="s">
        <v>322</v>
      </c>
      <c r="N291" s="17" t="s">
        <v>322</v>
      </c>
      <c r="O291" s="17" t="s">
        <v>254</v>
      </c>
      <c r="AG291" t="s">
        <v>554</v>
      </c>
      <c r="AH291" s="17" t="s">
        <v>322</v>
      </c>
      <c r="AI291" s="17" t="s">
        <v>322</v>
      </c>
      <c r="AJ291" s="17" t="s">
        <v>254</v>
      </c>
      <c r="AK291" s="17" t="s">
        <v>322</v>
      </c>
      <c r="AL291" s="17" t="s">
        <v>254</v>
      </c>
      <c r="BE291" s="17" t="s">
        <v>315</v>
      </c>
      <c r="BF291" s="17" t="s">
        <v>316</v>
      </c>
      <c r="BG291" s="17" t="s">
        <v>317</v>
      </c>
      <c r="BH291" s="17" t="s">
        <v>318</v>
      </c>
      <c r="BI291" s="17" t="s">
        <v>319</v>
      </c>
    </row>
    <row r="292" spans="2:61" x14ac:dyDescent="0.3">
      <c r="B292" s="15" t="s">
        <v>561</v>
      </c>
      <c r="C292" s="130" t="s">
        <v>941</v>
      </c>
      <c r="D292" s="17" t="s">
        <v>747</v>
      </c>
      <c r="E292" s="17" t="s">
        <v>938</v>
      </c>
      <c r="F292" s="17" t="s">
        <v>762</v>
      </c>
      <c r="G292" s="130" t="s">
        <v>322</v>
      </c>
      <c r="J292" t="s">
        <v>552</v>
      </c>
      <c r="K292" s="17" t="s">
        <v>322</v>
      </c>
      <c r="L292" s="17" t="s">
        <v>322</v>
      </c>
      <c r="M292" s="17" t="s">
        <v>254</v>
      </c>
      <c r="N292" s="17" t="s">
        <v>322</v>
      </c>
      <c r="O292" s="17" t="s">
        <v>254</v>
      </c>
      <c r="BD292" t="s">
        <v>551</v>
      </c>
      <c r="BE292" s="17" t="s">
        <v>322</v>
      </c>
      <c r="BF292" s="17" t="s">
        <v>322</v>
      </c>
      <c r="BG292" s="17" t="s">
        <v>322</v>
      </c>
      <c r="BH292" s="17" t="s">
        <v>322</v>
      </c>
      <c r="BI292" s="17" t="s">
        <v>254</v>
      </c>
    </row>
    <row r="293" spans="2:61" x14ac:dyDescent="0.3">
      <c r="B293" s="15" t="s">
        <v>551</v>
      </c>
      <c r="C293" s="17" t="s">
        <v>768</v>
      </c>
      <c r="D293" s="17" t="s">
        <v>719</v>
      </c>
      <c r="E293" s="17" t="s">
        <v>767</v>
      </c>
      <c r="F293" s="130" t="s">
        <v>719</v>
      </c>
      <c r="G293" s="17" t="s">
        <v>940</v>
      </c>
      <c r="J293" t="s">
        <v>554</v>
      </c>
      <c r="K293" s="17" t="s">
        <v>322</v>
      </c>
      <c r="L293" s="17" t="s">
        <v>322</v>
      </c>
      <c r="M293" s="17" t="s">
        <v>254</v>
      </c>
      <c r="N293" s="17" t="s">
        <v>322</v>
      </c>
      <c r="O293" s="17" t="s">
        <v>254</v>
      </c>
      <c r="AG293" t="s">
        <v>773</v>
      </c>
      <c r="BD293" t="s">
        <v>552</v>
      </c>
      <c r="BE293" s="17" t="s">
        <v>322</v>
      </c>
      <c r="BF293" s="17" t="s">
        <v>322</v>
      </c>
      <c r="BG293" s="17" t="s">
        <v>254</v>
      </c>
      <c r="BH293" s="17" t="s">
        <v>322</v>
      </c>
      <c r="BI293" s="17" t="s">
        <v>254</v>
      </c>
    </row>
    <row r="294" spans="2:61" x14ac:dyDescent="0.3">
      <c r="B294" s="15" t="s">
        <v>552</v>
      </c>
      <c r="C294" s="17" t="s">
        <v>768</v>
      </c>
      <c r="D294" s="17" t="s">
        <v>719</v>
      </c>
      <c r="E294" s="17" t="s">
        <v>956</v>
      </c>
      <c r="F294" s="130" t="s">
        <v>719</v>
      </c>
      <c r="G294" s="17" t="s">
        <v>735</v>
      </c>
      <c r="AH294" s="17" t="s">
        <v>315</v>
      </c>
      <c r="AI294" s="17" t="s">
        <v>316</v>
      </c>
      <c r="AJ294" s="17" t="s">
        <v>317</v>
      </c>
      <c r="AK294" s="17" t="s">
        <v>318</v>
      </c>
      <c r="AL294" s="17" t="s">
        <v>319</v>
      </c>
      <c r="BD294" t="s">
        <v>554</v>
      </c>
      <c r="BE294" s="17" t="s">
        <v>322</v>
      </c>
      <c r="BF294" s="17" t="s">
        <v>322</v>
      </c>
      <c r="BG294" s="17" t="s">
        <v>254</v>
      </c>
      <c r="BH294" s="17" t="s">
        <v>322</v>
      </c>
      <c r="BI294" s="17" t="s">
        <v>254</v>
      </c>
    </row>
    <row r="295" spans="2:61" x14ac:dyDescent="0.3">
      <c r="B295" s="15" t="s">
        <v>554</v>
      </c>
      <c r="C295" s="17" t="s">
        <v>768</v>
      </c>
      <c r="D295" s="17" t="s">
        <v>682</v>
      </c>
      <c r="E295" s="17" t="s">
        <v>955</v>
      </c>
      <c r="F295" s="17" t="s">
        <v>322</v>
      </c>
      <c r="G295" s="17" t="s">
        <v>735</v>
      </c>
      <c r="J295" t="s">
        <v>773</v>
      </c>
      <c r="AG295" t="s">
        <v>517</v>
      </c>
      <c r="AH295" s="17" t="s">
        <v>322</v>
      </c>
      <c r="AI295" s="17" t="s">
        <v>322</v>
      </c>
      <c r="AJ295" s="17" t="s">
        <v>183</v>
      </c>
      <c r="AK295" s="17" t="s">
        <v>322</v>
      </c>
      <c r="AL295" s="17" t="s">
        <v>322</v>
      </c>
    </row>
    <row r="296" spans="2:61" x14ac:dyDescent="0.3">
      <c r="B296" s="156" t="s">
        <v>586</v>
      </c>
      <c r="C296" s="17" t="s">
        <v>322</v>
      </c>
      <c r="D296" s="130" t="s">
        <v>682</v>
      </c>
      <c r="E296" s="17" t="s">
        <v>322</v>
      </c>
      <c r="F296" s="17" t="s">
        <v>322</v>
      </c>
      <c r="G296" s="17" t="s">
        <v>322</v>
      </c>
      <c r="K296" s="17" t="s">
        <v>315</v>
      </c>
      <c r="L296" s="17" t="s">
        <v>316</v>
      </c>
      <c r="M296" s="17" t="s">
        <v>317</v>
      </c>
      <c r="N296" s="17" t="s">
        <v>318</v>
      </c>
      <c r="O296" s="17" t="s">
        <v>319</v>
      </c>
      <c r="AG296" t="s">
        <v>326</v>
      </c>
      <c r="AH296" s="17" t="s">
        <v>322</v>
      </c>
      <c r="AI296" s="17" t="s">
        <v>322</v>
      </c>
      <c r="AJ296" s="17" t="s">
        <v>183</v>
      </c>
      <c r="AK296" s="17" t="s">
        <v>322</v>
      </c>
      <c r="AL296" s="17" t="s">
        <v>183</v>
      </c>
      <c r="BD296" t="s">
        <v>773</v>
      </c>
    </row>
    <row r="297" spans="2:61" x14ac:dyDescent="0.3">
      <c r="J297" t="s">
        <v>517</v>
      </c>
      <c r="K297" s="17" t="s">
        <v>322</v>
      </c>
      <c r="L297" s="17" t="s">
        <v>322</v>
      </c>
      <c r="M297" s="17" t="s">
        <v>183</v>
      </c>
      <c r="N297" s="17" t="s">
        <v>322</v>
      </c>
      <c r="O297" s="17" t="s">
        <v>322</v>
      </c>
      <c r="AG297" t="s">
        <v>328</v>
      </c>
      <c r="AH297" s="17" t="s">
        <v>322</v>
      </c>
      <c r="AI297" s="17" t="s">
        <v>322</v>
      </c>
      <c r="AJ297" s="17" t="s">
        <v>183</v>
      </c>
      <c r="AK297" s="17" t="s">
        <v>322</v>
      </c>
      <c r="AL297" s="17" t="s">
        <v>183</v>
      </c>
      <c r="BE297" s="17" t="s">
        <v>315</v>
      </c>
      <c r="BF297" s="17" t="s">
        <v>316</v>
      </c>
      <c r="BG297" s="17" t="s">
        <v>317</v>
      </c>
      <c r="BH297" s="17" t="s">
        <v>318</v>
      </c>
      <c r="BI297" s="17" t="s">
        <v>319</v>
      </c>
    </row>
    <row r="298" spans="2:61" x14ac:dyDescent="0.3">
      <c r="J298" t="s">
        <v>326</v>
      </c>
      <c r="K298" s="17" t="s">
        <v>322</v>
      </c>
      <c r="L298" s="17" t="s">
        <v>322</v>
      </c>
      <c r="M298" s="17" t="s">
        <v>183</v>
      </c>
      <c r="N298" s="17" t="s">
        <v>322</v>
      </c>
      <c r="O298" s="17" t="s">
        <v>183</v>
      </c>
      <c r="BD298" t="s">
        <v>517</v>
      </c>
      <c r="BE298" s="17" t="s">
        <v>322</v>
      </c>
      <c r="BF298" s="17" t="s">
        <v>183</v>
      </c>
      <c r="BG298" s="17" t="s">
        <v>322</v>
      </c>
      <c r="BH298" s="17" t="s">
        <v>322</v>
      </c>
      <c r="BI298" s="17" t="s">
        <v>322</v>
      </c>
    </row>
    <row r="299" spans="2:61" x14ac:dyDescent="0.3">
      <c r="J299" t="s">
        <v>328</v>
      </c>
      <c r="K299" s="17" t="s">
        <v>322</v>
      </c>
      <c r="L299" s="17" t="s">
        <v>322</v>
      </c>
      <c r="M299" s="17" t="s">
        <v>183</v>
      </c>
      <c r="N299" s="17" t="s">
        <v>322</v>
      </c>
      <c r="O299" s="17" t="s">
        <v>183</v>
      </c>
      <c r="AG299" t="s">
        <v>774</v>
      </c>
      <c r="BD299" t="s">
        <v>326</v>
      </c>
      <c r="BE299" s="17" t="s">
        <v>322</v>
      </c>
      <c r="BF299" s="17" t="s">
        <v>183</v>
      </c>
      <c r="BG299" s="17" t="s">
        <v>322</v>
      </c>
      <c r="BH299" s="17" t="s">
        <v>322</v>
      </c>
      <c r="BI299" s="17" t="s">
        <v>183</v>
      </c>
    </row>
    <row r="300" spans="2:61" x14ac:dyDescent="0.3">
      <c r="AH300" s="17" t="s">
        <v>315</v>
      </c>
      <c r="AI300" s="17" t="s">
        <v>316</v>
      </c>
      <c r="AJ300" s="17" t="s">
        <v>317</v>
      </c>
      <c r="AK300" s="17" t="s">
        <v>318</v>
      </c>
      <c r="AL300" s="17" t="s">
        <v>319</v>
      </c>
      <c r="BD300" t="s">
        <v>328</v>
      </c>
      <c r="BE300" s="17" t="s">
        <v>322</v>
      </c>
      <c r="BF300" s="17" t="s">
        <v>183</v>
      </c>
      <c r="BG300" s="17" t="s">
        <v>322</v>
      </c>
      <c r="BH300" s="17" t="s">
        <v>322</v>
      </c>
      <c r="BI300" s="17" t="s">
        <v>183</v>
      </c>
    </row>
    <row r="301" spans="2:61" x14ac:dyDescent="0.3">
      <c r="J301" t="s">
        <v>774</v>
      </c>
      <c r="AG301" t="s">
        <v>512</v>
      </c>
      <c r="AH301" s="17" t="s">
        <v>322</v>
      </c>
      <c r="AI301" s="17" t="s">
        <v>191</v>
      </c>
      <c r="AJ301" s="17" t="s">
        <v>322</v>
      </c>
      <c r="AK301" s="17" t="s">
        <v>322</v>
      </c>
      <c r="AL301" s="17" t="s">
        <v>191</v>
      </c>
    </row>
    <row r="302" spans="2:61" x14ac:dyDescent="0.3">
      <c r="K302" s="17" t="s">
        <v>315</v>
      </c>
      <c r="L302" s="17" t="s">
        <v>316</v>
      </c>
      <c r="M302" s="17" t="s">
        <v>317</v>
      </c>
      <c r="N302" s="17" t="s">
        <v>318</v>
      </c>
      <c r="O302" s="17" t="s">
        <v>319</v>
      </c>
      <c r="AG302" t="s">
        <v>514</v>
      </c>
      <c r="AH302" s="17" t="s">
        <v>322</v>
      </c>
      <c r="AI302" s="17" t="s">
        <v>191</v>
      </c>
      <c r="AJ302" s="17" t="s">
        <v>322</v>
      </c>
      <c r="AK302" s="17" t="s">
        <v>322</v>
      </c>
      <c r="AL302" s="17" t="s">
        <v>191</v>
      </c>
      <c r="BD302" t="s">
        <v>774</v>
      </c>
    </row>
    <row r="303" spans="2:61" x14ac:dyDescent="0.3">
      <c r="J303" t="s">
        <v>512</v>
      </c>
      <c r="K303" s="17" t="s">
        <v>322</v>
      </c>
      <c r="L303" s="17" t="s">
        <v>191</v>
      </c>
      <c r="M303" s="17" t="s">
        <v>322</v>
      </c>
      <c r="N303" s="17" t="s">
        <v>322</v>
      </c>
      <c r="O303" s="17" t="s">
        <v>191</v>
      </c>
      <c r="AG303" t="s">
        <v>517</v>
      </c>
      <c r="AH303" s="17" t="s">
        <v>322</v>
      </c>
      <c r="AI303" s="17" t="s">
        <v>322</v>
      </c>
      <c r="AJ303" s="17" t="s">
        <v>322</v>
      </c>
      <c r="AK303" s="17" t="s">
        <v>322</v>
      </c>
      <c r="AL303" s="17" t="s">
        <v>191</v>
      </c>
      <c r="BE303" s="17" t="s">
        <v>315</v>
      </c>
      <c r="BF303" s="17" t="s">
        <v>316</v>
      </c>
      <c r="BG303" s="17" t="s">
        <v>317</v>
      </c>
      <c r="BH303" s="17" t="s">
        <v>318</v>
      </c>
      <c r="BI303" s="17" t="s">
        <v>319</v>
      </c>
    </row>
    <row r="304" spans="2:61" x14ac:dyDescent="0.3">
      <c r="J304" t="s">
        <v>514</v>
      </c>
      <c r="K304" s="17" t="s">
        <v>322</v>
      </c>
      <c r="L304" s="17" t="s">
        <v>191</v>
      </c>
      <c r="M304" s="17" t="s">
        <v>322</v>
      </c>
      <c r="N304" s="17" t="s">
        <v>322</v>
      </c>
      <c r="O304" s="17" t="s">
        <v>191</v>
      </c>
      <c r="AG304" t="s">
        <v>551</v>
      </c>
      <c r="AH304" s="17" t="s">
        <v>322</v>
      </c>
      <c r="AI304" s="17" t="s">
        <v>322</v>
      </c>
      <c r="AJ304" s="17" t="s">
        <v>46</v>
      </c>
      <c r="AK304" s="17" t="s">
        <v>322</v>
      </c>
      <c r="AL304" s="17" t="s">
        <v>322</v>
      </c>
      <c r="BD304" t="s">
        <v>512</v>
      </c>
      <c r="BE304" s="17" t="s">
        <v>322</v>
      </c>
      <c r="BF304" s="17" t="s">
        <v>191</v>
      </c>
      <c r="BG304" s="17" t="s">
        <v>322</v>
      </c>
      <c r="BH304" s="17" t="s">
        <v>191</v>
      </c>
      <c r="BI304" s="17" t="s">
        <v>322</v>
      </c>
    </row>
    <row r="305" spans="10:61" x14ac:dyDescent="0.3">
      <c r="J305" t="s">
        <v>517</v>
      </c>
      <c r="K305" s="17" t="s">
        <v>322</v>
      </c>
      <c r="L305" s="17" t="s">
        <v>322</v>
      </c>
      <c r="M305" s="17" t="s">
        <v>322</v>
      </c>
      <c r="N305" s="17" t="s">
        <v>322</v>
      </c>
      <c r="O305" s="17" t="s">
        <v>191</v>
      </c>
      <c r="AG305" t="s">
        <v>552</v>
      </c>
      <c r="AH305" s="17" t="s">
        <v>322</v>
      </c>
      <c r="AI305" s="17" t="s">
        <v>322</v>
      </c>
      <c r="AJ305" s="17" t="s">
        <v>46</v>
      </c>
      <c r="AK305" s="17" t="s">
        <v>322</v>
      </c>
      <c r="AL305" s="17" t="s">
        <v>46</v>
      </c>
      <c r="BD305" t="s">
        <v>514</v>
      </c>
      <c r="BE305" s="17" t="s">
        <v>322</v>
      </c>
      <c r="BF305" s="17" t="s">
        <v>191</v>
      </c>
      <c r="BG305" s="17" t="s">
        <v>322</v>
      </c>
      <c r="BH305" s="17" t="s">
        <v>191</v>
      </c>
      <c r="BI305" s="17" t="s">
        <v>322</v>
      </c>
    </row>
    <row r="306" spans="10:61" x14ac:dyDescent="0.3">
      <c r="J306" t="s">
        <v>551</v>
      </c>
      <c r="K306" s="17" t="s">
        <v>322</v>
      </c>
      <c r="L306" s="17" t="s">
        <v>322</v>
      </c>
      <c r="M306" s="17" t="s">
        <v>46</v>
      </c>
      <c r="N306" s="17" t="s">
        <v>322</v>
      </c>
      <c r="O306" s="17" t="s">
        <v>322</v>
      </c>
      <c r="AG306" t="s">
        <v>554</v>
      </c>
      <c r="AH306" s="17" t="s">
        <v>322</v>
      </c>
      <c r="AI306" s="17" t="s">
        <v>322</v>
      </c>
      <c r="AJ306" s="17" t="s">
        <v>46</v>
      </c>
      <c r="AK306" s="17" t="s">
        <v>322</v>
      </c>
      <c r="AL306" s="17" t="s">
        <v>46</v>
      </c>
      <c r="BD306" t="s">
        <v>517</v>
      </c>
      <c r="BE306" s="17" t="s">
        <v>322</v>
      </c>
      <c r="BF306" s="17" t="s">
        <v>322</v>
      </c>
      <c r="BG306" s="17" t="s">
        <v>322</v>
      </c>
      <c r="BH306" s="17" t="s">
        <v>191</v>
      </c>
      <c r="BI306" s="17" t="s">
        <v>322</v>
      </c>
    </row>
    <row r="307" spans="10:61" x14ac:dyDescent="0.3">
      <c r="J307" t="s">
        <v>552</v>
      </c>
      <c r="K307" s="17" t="s">
        <v>322</v>
      </c>
      <c r="L307" s="17" t="s">
        <v>322</v>
      </c>
      <c r="M307" s="17" t="s">
        <v>46</v>
      </c>
      <c r="N307" s="17" t="s">
        <v>322</v>
      </c>
      <c r="O307" s="17" t="s">
        <v>46</v>
      </c>
      <c r="BD307" t="s">
        <v>552</v>
      </c>
      <c r="BE307" s="17" t="s">
        <v>322</v>
      </c>
      <c r="BF307" s="17" t="s">
        <v>46</v>
      </c>
      <c r="BG307" s="17" t="s">
        <v>322</v>
      </c>
      <c r="BH307" s="17" t="s">
        <v>322</v>
      </c>
      <c r="BI307" s="17" t="s">
        <v>322</v>
      </c>
    </row>
    <row r="308" spans="10:61" x14ac:dyDescent="0.3">
      <c r="J308" t="s">
        <v>554</v>
      </c>
      <c r="K308" s="17" t="s">
        <v>322</v>
      </c>
      <c r="L308" s="17" t="s">
        <v>322</v>
      </c>
      <c r="M308" s="17" t="s">
        <v>46</v>
      </c>
      <c r="N308" s="17" t="s">
        <v>322</v>
      </c>
      <c r="O308" s="17" t="s">
        <v>46</v>
      </c>
      <c r="AG308" t="s">
        <v>775</v>
      </c>
      <c r="BD308" t="s">
        <v>554</v>
      </c>
      <c r="BE308" s="17" t="s">
        <v>322</v>
      </c>
      <c r="BF308" s="17" t="s">
        <v>46</v>
      </c>
      <c r="BG308" s="17" t="s">
        <v>322</v>
      </c>
      <c r="BH308" s="17" t="s">
        <v>322</v>
      </c>
      <c r="BI308" s="17" t="s">
        <v>46</v>
      </c>
    </row>
    <row r="309" spans="10:61" x14ac:dyDescent="0.3">
      <c r="AH309" s="17" t="s">
        <v>315</v>
      </c>
      <c r="AI309" s="17" t="s">
        <v>316</v>
      </c>
      <c r="AJ309" s="17" t="s">
        <v>317</v>
      </c>
      <c r="AK309" s="17" t="s">
        <v>318</v>
      </c>
      <c r="AL309" s="17" t="s">
        <v>319</v>
      </c>
      <c r="BD309" t="s">
        <v>586</v>
      </c>
      <c r="BE309" s="17" t="s">
        <v>322</v>
      </c>
      <c r="BF309" s="17" t="s">
        <v>46</v>
      </c>
      <c r="BG309" s="17" t="s">
        <v>322</v>
      </c>
      <c r="BH309" s="17" t="s">
        <v>322</v>
      </c>
      <c r="BI309" s="17" t="s">
        <v>46</v>
      </c>
    </row>
    <row r="310" spans="10:61" x14ac:dyDescent="0.3">
      <c r="J310" t="s">
        <v>775</v>
      </c>
      <c r="AG310" t="s">
        <v>517</v>
      </c>
      <c r="AH310" s="17" t="s">
        <v>322</v>
      </c>
      <c r="AI310" s="17" t="s">
        <v>126</v>
      </c>
      <c r="AJ310" s="17" t="s">
        <v>322</v>
      </c>
      <c r="AK310" s="17" t="s">
        <v>322</v>
      </c>
      <c r="AL310" s="17" t="s">
        <v>322</v>
      </c>
    </row>
    <row r="311" spans="10:61" x14ac:dyDescent="0.3">
      <c r="K311" s="17" t="s">
        <v>315</v>
      </c>
      <c r="L311" s="17" t="s">
        <v>316</v>
      </c>
      <c r="M311" s="17" t="s">
        <v>317</v>
      </c>
      <c r="N311" s="17" t="s">
        <v>318</v>
      </c>
      <c r="O311" s="17" t="s">
        <v>319</v>
      </c>
      <c r="AG311" t="s">
        <v>326</v>
      </c>
      <c r="AH311" s="17" t="s">
        <v>322</v>
      </c>
      <c r="AI311" s="17" t="s">
        <v>126</v>
      </c>
      <c r="AJ311" s="17" t="s">
        <v>322</v>
      </c>
      <c r="AK311" s="17" t="s">
        <v>126</v>
      </c>
      <c r="AL311" s="17" t="s">
        <v>322</v>
      </c>
      <c r="BD311" t="s">
        <v>775</v>
      </c>
    </row>
    <row r="312" spans="10:61" x14ac:dyDescent="0.3">
      <c r="J312" t="s">
        <v>517</v>
      </c>
      <c r="K312" s="17" t="s">
        <v>322</v>
      </c>
      <c r="L312" s="17" t="s">
        <v>126</v>
      </c>
      <c r="M312" s="17" t="s">
        <v>322</v>
      </c>
      <c r="N312" s="17" t="s">
        <v>322</v>
      </c>
      <c r="O312" s="17" t="s">
        <v>322</v>
      </c>
      <c r="AG312" t="s">
        <v>328</v>
      </c>
      <c r="AH312" s="17" t="s">
        <v>126</v>
      </c>
      <c r="AI312" s="17" t="s">
        <v>322</v>
      </c>
      <c r="AJ312" s="17" t="s">
        <v>126</v>
      </c>
      <c r="AK312" s="17" t="s">
        <v>126</v>
      </c>
      <c r="AL312" s="17" t="s">
        <v>322</v>
      </c>
      <c r="BE312" s="17" t="s">
        <v>315</v>
      </c>
      <c r="BF312" s="17" t="s">
        <v>316</v>
      </c>
      <c r="BG312" s="17" t="s">
        <v>317</v>
      </c>
      <c r="BH312" s="17" t="s">
        <v>318</v>
      </c>
      <c r="BI312" s="17" t="s">
        <v>319</v>
      </c>
    </row>
    <row r="313" spans="10:61" x14ac:dyDescent="0.3">
      <c r="J313" t="s">
        <v>326</v>
      </c>
      <c r="K313" s="17" t="s">
        <v>322</v>
      </c>
      <c r="L313" s="17" t="s">
        <v>126</v>
      </c>
      <c r="M313" s="17" t="s">
        <v>322</v>
      </c>
      <c r="N313" s="17" t="s">
        <v>126</v>
      </c>
      <c r="O313" s="17" t="s">
        <v>322</v>
      </c>
      <c r="AG313" t="s">
        <v>350</v>
      </c>
      <c r="AH313" s="17" t="s">
        <v>126</v>
      </c>
      <c r="AI313" s="17" t="s">
        <v>126</v>
      </c>
      <c r="AJ313" s="17" t="s">
        <v>126</v>
      </c>
      <c r="AK313" s="17" t="s">
        <v>126</v>
      </c>
      <c r="AL313" s="17" t="s">
        <v>322</v>
      </c>
      <c r="BD313" t="s">
        <v>517</v>
      </c>
      <c r="BE313" s="17" t="s">
        <v>322</v>
      </c>
      <c r="BF313" s="17" t="s">
        <v>126</v>
      </c>
      <c r="BG313" s="17" t="s">
        <v>322</v>
      </c>
      <c r="BH313" s="17" t="s">
        <v>126</v>
      </c>
      <c r="BI313" s="17" t="s">
        <v>322</v>
      </c>
    </row>
    <row r="314" spans="10:61" x14ac:dyDescent="0.3">
      <c r="J314" t="s">
        <v>328</v>
      </c>
      <c r="K314" s="17" t="s">
        <v>322</v>
      </c>
      <c r="L314" s="17" t="s">
        <v>322</v>
      </c>
      <c r="M314" s="17" t="s">
        <v>126</v>
      </c>
      <c r="N314" s="17" t="s">
        <v>126</v>
      </c>
      <c r="O314" s="17" t="s">
        <v>322</v>
      </c>
      <c r="AG314" s="32" t="s">
        <v>776</v>
      </c>
      <c r="AI314" s="130" t="s">
        <v>126</v>
      </c>
      <c r="AK314" s="130" t="s">
        <v>126</v>
      </c>
      <c r="BD314" t="s">
        <v>326</v>
      </c>
      <c r="BE314" s="17" t="s">
        <v>322</v>
      </c>
      <c r="BF314" s="17" t="s">
        <v>126</v>
      </c>
      <c r="BG314" s="17" t="s">
        <v>322</v>
      </c>
      <c r="BH314" s="17" t="s">
        <v>126</v>
      </c>
      <c r="BI314" s="17" t="s">
        <v>322</v>
      </c>
    </row>
    <row r="315" spans="10:61" x14ac:dyDescent="0.3">
      <c r="J315" t="s">
        <v>350</v>
      </c>
      <c r="K315" s="130" t="s">
        <v>126</v>
      </c>
      <c r="L315" s="17" t="s">
        <v>126</v>
      </c>
      <c r="M315" s="17" t="s">
        <v>126</v>
      </c>
      <c r="N315" s="17" t="s">
        <v>126</v>
      </c>
      <c r="O315" s="17" t="s">
        <v>322</v>
      </c>
      <c r="BD315" t="s">
        <v>328</v>
      </c>
      <c r="BE315" s="17" t="s">
        <v>126</v>
      </c>
      <c r="BF315" s="17" t="s">
        <v>322</v>
      </c>
      <c r="BG315" s="17" t="s">
        <v>126</v>
      </c>
      <c r="BH315" s="17" t="s">
        <v>322</v>
      </c>
      <c r="BI315" s="17" t="s">
        <v>322</v>
      </c>
    </row>
    <row r="316" spans="10:61" x14ac:dyDescent="0.3">
      <c r="J316" s="32" t="s">
        <v>776</v>
      </c>
      <c r="K316" s="130" t="s">
        <v>126</v>
      </c>
      <c r="L316" s="130" t="s">
        <v>126</v>
      </c>
      <c r="M316" s="17" t="s">
        <v>322</v>
      </c>
      <c r="N316" s="130" t="s">
        <v>126</v>
      </c>
      <c r="O316" s="17" t="s">
        <v>322</v>
      </c>
      <c r="AG316" t="s">
        <v>777</v>
      </c>
      <c r="BD316" t="s">
        <v>350</v>
      </c>
      <c r="BE316" s="17" t="s">
        <v>126</v>
      </c>
      <c r="BF316" s="17" t="s">
        <v>126</v>
      </c>
      <c r="BG316" s="17" t="s">
        <v>126</v>
      </c>
      <c r="BH316" s="17" t="s">
        <v>126</v>
      </c>
      <c r="BI316" s="17" t="s">
        <v>322</v>
      </c>
    </row>
    <row r="317" spans="10:61" x14ac:dyDescent="0.3">
      <c r="AH317" s="17" t="s">
        <v>315</v>
      </c>
      <c r="AI317" s="17" t="s">
        <v>316</v>
      </c>
      <c r="AJ317" s="17" t="s">
        <v>317</v>
      </c>
      <c r="AK317" s="17" t="s">
        <v>318</v>
      </c>
      <c r="AL317" s="17" t="s">
        <v>319</v>
      </c>
    </row>
    <row r="318" spans="10:61" x14ac:dyDescent="0.3">
      <c r="J318" t="s">
        <v>777</v>
      </c>
      <c r="AG318" t="s">
        <v>512</v>
      </c>
      <c r="AH318" s="17" t="s">
        <v>322</v>
      </c>
      <c r="AI318" s="17" t="s">
        <v>322</v>
      </c>
      <c r="AJ318" s="17" t="s">
        <v>322</v>
      </c>
      <c r="AK318" s="17" t="s">
        <v>183</v>
      </c>
      <c r="AL318" s="17" t="s">
        <v>322</v>
      </c>
      <c r="BD318" t="s">
        <v>777</v>
      </c>
    </row>
    <row r="319" spans="10:61" x14ac:dyDescent="0.3">
      <c r="K319" s="17" t="s">
        <v>315</v>
      </c>
      <c r="L319" s="17" t="s">
        <v>316</v>
      </c>
      <c r="M319" s="17" t="s">
        <v>317</v>
      </c>
      <c r="N319" s="17" t="s">
        <v>318</v>
      </c>
      <c r="O319" s="17" t="s">
        <v>319</v>
      </c>
      <c r="AG319" t="s">
        <v>514</v>
      </c>
      <c r="AH319" s="17" t="s">
        <v>322</v>
      </c>
      <c r="AI319" s="17" t="s">
        <v>322</v>
      </c>
      <c r="AJ319" s="17" t="s">
        <v>322</v>
      </c>
      <c r="AK319" s="17" t="s">
        <v>183</v>
      </c>
      <c r="AL319" s="17" t="s">
        <v>322</v>
      </c>
      <c r="BE319" s="17" t="s">
        <v>315</v>
      </c>
      <c r="BF319" s="17" t="s">
        <v>316</v>
      </c>
      <c r="BG319" s="17" t="s">
        <v>317</v>
      </c>
      <c r="BH319" s="17" t="s">
        <v>318</v>
      </c>
      <c r="BI319" s="17" t="s">
        <v>319</v>
      </c>
    </row>
    <row r="320" spans="10:61" x14ac:dyDescent="0.3">
      <c r="J320" t="s">
        <v>512</v>
      </c>
      <c r="K320" s="17" t="s">
        <v>322</v>
      </c>
      <c r="L320" s="17" t="s">
        <v>322</v>
      </c>
      <c r="M320" s="17" t="s">
        <v>322</v>
      </c>
      <c r="N320" s="17" t="s">
        <v>183</v>
      </c>
      <c r="O320" s="17" t="s">
        <v>322</v>
      </c>
      <c r="AG320" t="s">
        <v>517</v>
      </c>
      <c r="AH320" s="17" t="s">
        <v>322</v>
      </c>
      <c r="AI320" s="17" t="s">
        <v>322</v>
      </c>
      <c r="AJ320" s="17" t="s">
        <v>322</v>
      </c>
      <c r="AK320" s="17" t="s">
        <v>183</v>
      </c>
      <c r="AL320" s="17" t="s">
        <v>322</v>
      </c>
      <c r="BD320" t="s">
        <v>512</v>
      </c>
      <c r="BE320" s="17" t="s">
        <v>183</v>
      </c>
      <c r="BF320" s="17" t="s">
        <v>322</v>
      </c>
      <c r="BG320" s="17" t="s">
        <v>322</v>
      </c>
      <c r="BH320" s="17" t="s">
        <v>322</v>
      </c>
      <c r="BI320" s="17" t="s">
        <v>322</v>
      </c>
    </row>
    <row r="321" spans="10:61" x14ac:dyDescent="0.3">
      <c r="J321" t="s">
        <v>514</v>
      </c>
      <c r="K321" s="17" t="s">
        <v>322</v>
      </c>
      <c r="L321" s="17" t="s">
        <v>322</v>
      </c>
      <c r="M321" s="17" t="s">
        <v>322</v>
      </c>
      <c r="N321" s="17" t="s">
        <v>183</v>
      </c>
      <c r="O321" s="17" t="s">
        <v>322</v>
      </c>
      <c r="AG321" t="s">
        <v>328</v>
      </c>
      <c r="AH321" s="17" t="s">
        <v>322</v>
      </c>
      <c r="AI321" s="17" t="s">
        <v>183</v>
      </c>
      <c r="AJ321" s="17" t="s">
        <v>322</v>
      </c>
      <c r="AK321" s="17" t="s">
        <v>322</v>
      </c>
      <c r="AL321" s="17" t="s">
        <v>322</v>
      </c>
      <c r="BD321" t="s">
        <v>514</v>
      </c>
      <c r="BE321" s="17" t="s">
        <v>183</v>
      </c>
      <c r="BF321" s="17" t="s">
        <v>322</v>
      </c>
      <c r="BG321" s="17" t="s">
        <v>322</v>
      </c>
      <c r="BH321" s="17" t="s">
        <v>322</v>
      </c>
      <c r="BI321" s="17" t="s">
        <v>322</v>
      </c>
    </row>
    <row r="322" spans="10:61" x14ac:dyDescent="0.3">
      <c r="J322" t="s">
        <v>517</v>
      </c>
      <c r="K322" s="17" t="s">
        <v>322</v>
      </c>
      <c r="L322" s="17" t="s">
        <v>322</v>
      </c>
      <c r="M322" s="17" t="s">
        <v>322</v>
      </c>
      <c r="N322" s="17" t="s">
        <v>183</v>
      </c>
      <c r="O322" s="17" t="s">
        <v>322</v>
      </c>
      <c r="AG322" t="s">
        <v>350</v>
      </c>
      <c r="AH322" s="17" t="s">
        <v>322</v>
      </c>
      <c r="AI322" s="17" t="s">
        <v>183</v>
      </c>
      <c r="AJ322" s="17" t="s">
        <v>322</v>
      </c>
      <c r="AK322" s="17" t="s">
        <v>322</v>
      </c>
      <c r="AL322" s="17" t="s">
        <v>322</v>
      </c>
      <c r="BD322" t="s">
        <v>517</v>
      </c>
      <c r="BE322" s="17" t="s">
        <v>183</v>
      </c>
      <c r="BF322" s="17" t="s">
        <v>322</v>
      </c>
      <c r="BG322" s="17" t="s">
        <v>183</v>
      </c>
      <c r="BH322" s="17" t="s">
        <v>322</v>
      </c>
      <c r="BI322" s="17" t="s">
        <v>322</v>
      </c>
    </row>
    <row r="323" spans="10:61" x14ac:dyDescent="0.3">
      <c r="J323" t="s">
        <v>328</v>
      </c>
      <c r="K323" s="17" t="s">
        <v>322</v>
      </c>
      <c r="L323" s="17" t="s">
        <v>183</v>
      </c>
      <c r="M323" s="17" t="s">
        <v>322</v>
      </c>
      <c r="N323" s="17" t="s">
        <v>322</v>
      </c>
      <c r="O323" s="17" t="s">
        <v>322</v>
      </c>
      <c r="BD323" t="s">
        <v>326</v>
      </c>
      <c r="BE323" s="17" t="s">
        <v>322</v>
      </c>
      <c r="BF323" s="17" t="s">
        <v>322</v>
      </c>
      <c r="BG323" s="17" t="s">
        <v>183</v>
      </c>
      <c r="BH323" s="17" t="s">
        <v>322</v>
      </c>
      <c r="BI323" s="17" t="s">
        <v>322</v>
      </c>
    </row>
    <row r="324" spans="10:61" x14ac:dyDescent="0.3">
      <c r="J324" t="s">
        <v>350</v>
      </c>
      <c r="K324" s="17" t="s">
        <v>322</v>
      </c>
      <c r="L324" s="17" t="s">
        <v>183</v>
      </c>
      <c r="M324" s="17" t="s">
        <v>322</v>
      </c>
      <c r="N324" s="17" t="s">
        <v>322</v>
      </c>
      <c r="O324" s="17" t="s">
        <v>322</v>
      </c>
      <c r="AG324" t="s">
        <v>778</v>
      </c>
    </row>
    <row r="325" spans="10:61" x14ac:dyDescent="0.3">
      <c r="AH325" s="17" t="s">
        <v>315</v>
      </c>
      <c r="AI325" s="17" t="s">
        <v>316</v>
      </c>
      <c r="AJ325" s="17" t="s">
        <v>317</v>
      </c>
      <c r="AK325" s="17" t="s">
        <v>318</v>
      </c>
      <c r="AL325" s="17" t="s">
        <v>319</v>
      </c>
      <c r="BD325" t="s">
        <v>778</v>
      </c>
    </row>
    <row r="326" spans="10:61" x14ac:dyDescent="0.3">
      <c r="J326" t="s">
        <v>778</v>
      </c>
      <c r="AG326" t="s">
        <v>561</v>
      </c>
      <c r="AH326" s="17" t="s">
        <v>258</v>
      </c>
      <c r="AI326" s="17" t="s">
        <v>322</v>
      </c>
      <c r="AJ326" s="17" t="s">
        <v>322</v>
      </c>
      <c r="AK326" s="17" t="s">
        <v>258</v>
      </c>
      <c r="AL326" s="17" t="s">
        <v>322</v>
      </c>
      <c r="BE326" s="17" t="s">
        <v>315</v>
      </c>
      <c r="BF326" s="17" t="s">
        <v>316</v>
      </c>
      <c r="BG326" s="17" t="s">
        <v>317</v>
      </c>
      <c r="BH326" s="17" t="s">
        <v>318</v>
      </c>
      <c r="BI326" s="17" t="s">
        <v>319</v>
      </c>
    </row>
    <row r="327" spans="10:61" x14ac:dyDescent="0.3">
      <c r="K327" s="17" t="s">
        <v>315</v>
      </c>
      <c r="L327" s="17" t="s">
        <v>316</v>
      </c>
      <c r="M327" s="17" t="s">
        <v>317</v>
      </c>
      <c r="N327" s="17" t="s">
        <v>318</v>
      </c>
      <c r="O327" s="17" t="s">
        <v>319</v>
      </c>
      <c r="AG327" t="s">
        <v>551</v>
      </c>
      <c r="AH327" s="17" t="s">
        <v>258</v>
      </c>
      <c r="AI327" s="17" t="s">
        <v>322</v>
      </c>
      <c r="AJ327" s="17" t="s">
        <v>322</v>
      </c>
      <c r="AK327" s="17" t="s">
        <v>258</v>
      </c>
      <c r="AL327" s="17" t="s">
        <v>322</v>
      </c>
      <c r="BD327" t="s">
        <v>561</v>
      </c>
      <c r="BE327" s="17" t="s">
        <v>258</v>
      </c>
      <c r="BF327" s="17" t="s">
        <v>322</v>
      </c>
      <c r="BG327" s="17" t="s">
        <v>322</v>
      </c>
      <c r="BH327" s="17" t="s">
        <v>258</v>
      </c>
      <c r="BI327" s="17" t="s">
        <v>322</v>
      </c>
    </row>
    <row r="328" spans="10:61" x14ac:dyDescent="0.3">
      <c r="J328" t="s">
        <v>561</v>
      </c>
      <c r="K328" s="17" t="s">
        <v>258</v>
      </c>
      <c r="L328" s="17" t="s">
        <v>322</v>
      </c>
      <c r="M328" s="17" t="s">
        <v>322</v>
      </c>
      <c r="N328" s="17" t="s">
        <v>258</v>
      </c>
      <c r="O328" s="17" t="s">
        <v>322</v>
      </c>
      <c r="AG328" t="s">
        <v>552</v>
      </c>
      <c r="AH328" s="17" t="s">
        <v>322</v>
      </c>
      <c r="AI328" s="17" t="s">
        <v>322</v>
      </c>
      <c r="AJ328" s="17" t="s">
        <v>322</v>
      </c>
      <c r="AK328" s="17" t="s">
        <v>258</v>
      </c>
      <c r="AL328" s="17" t="s">
        <v>322</v>
      </c>
      <c r="BD328" t="s">
        <v>551</v>
      </c>
      <c r="BE328" s="17" t="s">
        <v>258</v>
      </c>
      <c r="BF328" s="17" t="s">
        <v>322</v>
      </c>
      <c r="BG328" s="17" t="s">
        <v>322</v>
      </c>
      <c r="BH328" s="17" t="s">
        <v>258</v>
      </c>
      <c r="BI328" s="17" t="s">
        <v>322</v>
      </c>
    </row>
    <row r="329" spans="10:61" x14ac:dyDescent="0.3">
      <c r="J329" t="s">
        <v>551</v>
      </c>
      <c r="K329" s="17" t="s">
        <v>258</v>
      </c>
      <c r="L329" s="17" t="s">
        <v>322</v>
      </c>
      <c r="M329" s="17" t="s">
        <v>322</v>
      </c>
      <c r="N329" s="17" t="s">
        <v>258</v>
      </c>
      <c r="O329" s="17" t="s">
        <v>322</v>
      </c>
      <c r="BD329" t="s">
        <v>552</v>
      </c>
      <c r="BE329" s="17" t="s">
        <v>322</v>
      </c>
      <c r="BF329" s="17" t="s">
        <v>322</v>
      </c>
      <c r="BG329" s="17" t="s">
        <v>322</v>
      </c>
      <c r="BH329" s="17" t="s">
        <v>258</v>
      </c>
      <c r="BI329" s="17" t="s">
        <v>322</v>
      </c>
    </row>
    <row r="330" spans="10:61" x14ac:dyDescent="0.3">
      <c r="J330" t="s">
        <v>552</v>
      </c>
      <c r="K330" s="17" t="s">
        <v>322</v>
      </c>
      <c r="L330" s="17" t="s">
        <v>322</v>
      </c>
      <c r="M330" s="17" t="s">
        <v>322</v>
      </c>
      <c r="N330" s="17" t="s">
        <v>258</v>
      </c>
      <c r="O330" s="17" t="s">
        <v>322</v>
      </c>
      <c r="AG330" t="s">
        <v>779</v>
      </c>
    </row>
    <row r="331" spans="10:61" x14ac:dyDescent="0.3">
      <c r="AH331" s="17" t="s">
        <v>315</v>
      </c>
      <c r="AI331" s="17" t="s">
        <v>316</v>
      </c>
      <c r="AJ331" s="17" t="s">
        <v>317</v>
      </c>
      <c r="AK331" s="17" t="s">
        <v>318</v>
      </c>
      <c r="AL331" s="17" t="s">
        <v>319</v>
      </c>
      <c r="BD331" t="s">
        <v>779</v>
      </c>
    </row>
    <row r="332" spans="10:61" x14ac:dyDescent="0.3">
      <c r="J332" t="s">
        <v>779</v>
      </c>
      <c r="AG332" t="s">
        <v>539</v>
      </c>
      <c r="AH332" s="17" t="s">
        <v>322</v>
      </c>
      <c r="AI332" s="17" t="s">
        <v>322</v>
      </c>
      <c r="AJ332" s="17" t="s">
        <v>322</v>
      </c>
      <c r="AK332" s="17" t="s">
        <v>322</v>
      </c>
      <c r="AL332" s="17" t="s">
        <v>59</v>
      </c>
      <c r="BE332" s="17" t="s">
        <v>315</v>
      </c>
      <c r="BF332" s="17" t="s">
        <v>316</v>
      </c>
      <c r="BG332" s="17" t="s">
        <v>317</v>
      </c>
      <c r="BH332" s="17" t="s">
        <v>318</v>
      </c>
      <c r="BI332" s="17" t="s">
        <v>319</v>
      </c>
    </row>
    <row r="333" spans="10:61" x14ac:dyDescent="0.3">
      <c r="K333" s="17" t="s">
        <v>315</v>
      </c>
      <c r="L333" s="17" t="s">
        <v>316</v>
      </c>
      <c r="M333" s="17" t="s">
        <v>317</v>
      </c>
      <c r="N333" s="17" t="s">
        <v>318</v>
      </c>
      <c r="O333" s="17" t="s">
        <v>319</v>
      </c>
      <c r="AG333" t="s">
        <v>543</v>
      </c>
      <c r="AH333" s="17" t="s">
        <v>322</v>
      </c>
      <c r="AI333" s="17" t="s">
        <v>322</v>
      </c>
      <c r="AJ333" s="17" t="s">
        <v>322</v>
      </c>
      <c r="AK333" s="17" t="s">
        <v>322</v>
      </c>
      <c r="AL333" s="17" t="s">
        <v>59</v>
      </c>
      <c r="BD333" t="s">
        <v>539</v>
      </c>
      <c r="BE333" s="17" t="s">
        <v>322</v>
      </c>
      <c r="BF333" s="17" t="s">
        <v>322</v>
      </c>
      <c r="BG333" s="17" t="s">
        <v>322</v>
      </c>
      <c r="BH333" s="17" t="s">
        <v>322</v>
      </c>
      <c r="BI333" s="17" t="s">
        <v>59</v>
      </c>
    </row>
    <row r="334" spans="10:61" x14ac:dyDescent="0.3">
      <c r="J334" t="s">
        <v>539</v>
      </c>
      <c r="K334" s="17" t="s">
        <v>322</v>
      </c>
      <c r="L334" s="17" t="s">
        <v>322</v>
      </c>
      <c r="M334" s="17" t="s">
        <v>322</v>
      </c>
      <c r="N334" s="17" t="s">
        <v>322</v>
      </c>
      <c r="O334" s="17" t="s">
        <v>59</v>
      </c>
      <c r="AG334" t="s">
        <v>551</v>
      </c>
      <c r="AH334" s="17" t="s">
        <v>322</v>
      </c>
      <c r="AI334" s="17" t="s">
        <v>322</v>
      </c>
      <c r="AJ334" s="17" t="s">
        <v>322</v>
      </c>
      <c r="AK334" s="17" t="s">
        <v>59</v>
      </c>
      <c r="AL334" s="17" t="s">
        <v>322</v>
      </c>
      <c r="BD334" t="s">
        <v>543</v>
      </c>
      <c r="BE334" s="17" t="s">
        <v>322</v>
      </c>
      <c r="BF334" s="17" t="s">
        <v>322</v>
      </c>
      <c r="BG334" s="17" t="s">
        <v>322</v>
      </c>
      <c r="BH334" s="17" t="s">
        <v>322</v>
      </c>
      <c r="BI334" s="17" t="s">
        <v>59</v>
      </c>
    </row>
    <row r="335" spans="10:61" x14ac:dyDescent="0.3">
      <c r="J335" t="s">
        <v>543</v>
      </c>
      <c r="K335" s="17" t="s">
        <v>322</v>
      </c>
      <c r="L335" s="17" t="s">
        <v>322</v>
      </c>
      <c r="M335" s="17" t="s">
        <v>322</v>
      </c>
      <c r="N335" s="17" t="s">
        <v>322</v>
      </c>
      <c r="O335" s="17" t="s">
        <v>59</v>
      </c>
      <c r="AG335" t="s">
        <v>554</v>
      </c>
      <c r="AH335" s="17" t="s">
        <v>79</v>
      </c>
      <c r="AI335" s="17" t="s">
        <v>59</v>
      </c>
      <c r="AJ335" s="17" t="s">
        <v>322</v>
      </c>
      <c r="AK335" s="17" t="s">
        <v>322</v>
      </c>
      <c r="AL335" s="17" t="s">
        <v>322</v>
      </c>
      <c r="BD335" t="s">
        <v>561</v>
      </c>
      <c r="BE335" s="17" t="s">
        <v>54</v>
      </c>
      <c r="BF335" s="17" t="s">
        <v>322</v>
      </c>
      <c r="BG335" s="17" t="s">
        <v>322</v>
      </c>
      <c r="BH335" s="17" t="s">
        <v>322</v>
      </c>
      <c r="BI335" s="17" t="s">
        <v>322</v>
      </c>
    </row>
    <row r="336" spans="10:61" x14ac:dyDescent="0.3">
      <c r="J336" t="s">
        <v>561</v>
      </c>
      <c r="K336" s="17" t="s">
        <v>322</v>
      </c>
      <c r="L336" s="17" t="s">
        <v>322</v>
      </c>
      <c r="M336" s="17" t="s">
        <v>322</v>
      </c>
      <c r="N336" s="17" t="s">
        <v>322</v>
      </c>
      <c r="O336" s="130" t="s">
        <v>79</v>
      </c>
      <c r="AG336" t="s">
        <v>586</v>
      </c>
      <c r="AH336" s="17" t="s">
        <v>79</v>
      </c>
      <c r="AI336" s="17" t="s">
        <v>322</v>
      </c>
      <c r="AJ336" s="17" t="s">
        <v>79</v>
      </c>
      <c r="AK336" s="17" t="s">
        <v>322</v>
      </c>
      <c r="AL336" s="17" t="s">
        <v>322</v>
      </c>
      <c r="BD336" t="s">
        <v>551</v>
      </c>
      <c r="BE336" s="17" t="s">
        <v>322</v>
      </c>
      <c r="BF336" s="17" t="s">
        <v>322</v>
      </c>
      <c r="BG336" s="17" t="s">
        <v>322</v>
      </c>
      <c r="BH336" s="17" t="s">
        <v>59</v>
      </c>
      <c r="BI336" s="17" t="s">
        <v>322</v>
      </c>
    </row>
    <row r="337" spans="10:61" x14ac:dyDescent="0.3">
      <c r="J337" t="s">
        <v>551</v>
      </c>
      <c r="K337" s="17" t="s">
        <v>322</v>
      </c>
      <c r="L337" s="17" t="s">
        <v>322</v>
      </c>
      <c r="M337" s="17" t="s">
        <v>322</v>
      </c>
      <c r="N337" s="17" t="s">
        <v>59</v>
      </c>
      <c r="O337" s="17" t="s">
        <v>322</v>
      </c>
      <c r="BD337" t="s">
        <v>554</v>
      </c>
      <c r="BE337" s="17" t="s">
        <v>79</v>
      </c>
      <c r="BF337" s="17" t="s">
        <v>59</v>
      </c>
      <c r="BG337" s="17" t="s">
        <v>54</v>
      </c>
      <c r="BH337" s="17" t="s">
        <v>322</v>
      </c>
      <c r="BI337" s="17" t="s">
        <v>322</v>
      </c>
    </row>
    <row r="338" spans="10:61" x14ac:dyDescent="0.3">
      <c r="J338" t="s">
        <v>554</v>
      </c>
      <c r="K338" s="17" t="s">
        <v>79</v>
      </c>
      <c r="L338" s="17" t="s">
        <v>59</v>
      </c>
      <c r="M338" s="17" t="s">
        <v>322</v>
      </c>
      <c r="N338" s="17" t="s">
        <v>322</v>
      </c>
      <c r="O338" s="17" t="s">
        <v>322</v>
      </c>
      <c r="AG338" t="s">
        <v>780</v>
      </c>
      <c r="BD338" t="s">
        <v>586</v>
      </c>
      <c r="BE338" s="17" t="s">
        <v>79</v>
      </c>
      <c r="BF338" s="17" t="s">
        <v>322</v>
      </c>
      <c r="BG338" s="17" t="s">
        <v>54</v>
      </c>
      <c r="BH338" s="17" t="s">
        <v>322</v>
      </c>
      <c r="BI338" s="17" t="s">
        <v>79</v>
      </c>
    </row>
    <row r="339" spans="10:61" x14ac:dyDescent="0.3">
      <c r="J339" t="s">
        <v>586</v>
      </c>
      <c r="K339" s="17" t="s">
        <v>79</v>
      </c>
      <c r="L339" s="17" t="s">
        <v>322</v>
      </c>
      <c r="M339" s="17" t="s">
        <v>322</v>
      </c>
      <c r="N339" s="17" t="s">
        <v>322</v>
      </c>
      <c r="O339" s="17" t="s">
        <v>322</v>
      </c>
      <c r="AH339" s="17" t="s">
        <v>315</v>
      </c>
      <c r="AI339" s="17" t="s">
        <v>316</v>
      </c>
      <c r="AJ339" s="17" t="s">
        <v>317</v>
      </c>
      <c r="AK339" s="17" t="s">
        <v>318</v>
      </c>
      <c r="AL339" s="17" t="s">
        <v>319</v>
      </c>
    </row>
    <row r="340" spans="10:61" x14ac:dyDescent="0.3">
      <c r="AG340" t="s">
        <v>512</v>
      </c>
      <c r="AH340" s="17" t="s">
        <v>79</v>
      </c>
      <c r="AI340" s="17" t="s">
        <v>79</v>
      </c>
      <c r="AJ340" s="17" t="s">
        <v>322</v>
      </c>
      <c r="AK340" s="17" t="s">
        <v>322</v>
      </c>
      <c r="AL340" s="17" t="s">
        <v>322</v>
      </c>
      <c r="BD340" t="s">
        <v>780</v>
      </c>
    </row>
    <row r="341" spans="10:61" x14ac:dyDescent="0.3">
      <c r="J341" t="s">
        <v>780</v>
      </c>
      <c r="AG341" t="s">
        <v>514</v>
      </c>
      <c r="AH341" s="17" t="s">
        <v>322</v>
      </c>
      <c r="AI341" s="17" t="s">
        <v>79</v>
      </c>
      <c r="AJ341" s="17" t="s">
        <v>322</v>
      </c>
      <c r="AK341" s="17" t="s">
        <v>322</v>
      </c>
      <c r="AL341" s="17" t="s">
        <v>322</v>
      </c>
      <c r="BE341" s="17" t="s">
        <v>315</v>
      </c>
      <c r="BF341" s="17" t="s">
        <v>316</v>
      </c>
      <c r="BG341" s="17" t="s">
        <v>317</v>
      </c>
      <c r="BH341" s="17" t="s">
        <v>318</v>
      </c>
      <c r="BI341" s="17" t="s">
        <v>319</v>
      </c>
    </row>
    <row r="342" spans="10:61" x14ac:dyDescent="0.3">
      <c r="K342" s="17" t="s">
        <v>315</v>
      </c>
      <c r="L342" s="17" t="s">
        <v>316</v>
      </c>
      <c r="M342" s="17" t="s">
        <v>317</v>
      </c>
      <c r="N342" s="17" t="s">
        <v>318</v>
      </c>
      <c r="O342" s="17" t="s">
        <v>319</v>
      </c>
      <c r="AG342" t="s">
        <v>517</v>
      </c>
      <c r="AH342" s="17" t="s">
        <v>322</v>
      </c>
      <c r="AI342" s="17" t="s">
        <v>322</v>
      </c>
      <c r="AJ342" s="17" t="s">
        <v>79</v>
      </c>
      <c r="AK342" s="17" t="s">
        <v>322</v>
      </c>
      <c r="AL342" s="17" t="s">
        <v>79</v>
      </c>
      <c r="BD342" t="s">
        <v>512</v>
      </c>
      <c r="BE342" s="17" t="s">
        <v>322</v>
      </c>
      <c r="BF342" s="17" t="s">
        <v>322</v>
      </c>
      <c r="BG342" s="17" t="s">
        <v>79</v>
      </c>
      <c r="BH342" s="17" t="s">
        <v>322</v>
      </c>
      <c r="BI342" s="17" t="s">
        <v>322</v>
      </c>
    </row>
    <row r="343" spans="10:61" x14ac:dyDescent="0.3">
      <c r="J343" t="s">
        <v>512</v>
      </c>
      <c r="K343" s="17" t="s">
        <v>322</v>
      </c>
      <c r="L343" s="17" t="s">
        <v>79</v>
      </c>
      <c r="M343" s="17" t="s">
        <v>322</v>
      </c>
      <c r="N343" s="17" t="s">
        <v>322</v>
      </c>
      <c r="O343" s="17" t="s">
        <v>322</v>
      </c>
      <c r="AG343" t="s">
        <v>326</v>
      </c>
      <c r="AH343" s="17" t="s">
        <v>322</v>
      </c>
      <c r="AI343" s="17" t="s">
        <v>322</v>
      </c>
      <c r="AJ343" s="17" t="s">
        <v>79</v>
      </c>
      <c r="AK343" s="17" t="s">
        <v>322</v>
      </c>
      <c r="AL343" s="17" t="s">
        <v>322</v>
      </c>
      <c r="BD343" t="s">
        <v>514</v>
      </c>
      <c r="BE343" s="17" t="s">
        <v>322</v>
      </c>
      <c r="BF343" s="17" t="s">
        <v>322</v>
      </c>
      <c r="BG343" s="17" t="s">
        <v>79</v>
      </c>
      <c r="BH343" s="17" t="s">
        <v>322</v>
      </c>
      <c r="BI343" s="17" t="s">
        <v>322</v>
      </c>
    </row>
    <row r="344" spans="10:61" x14ac:dyDescent="0.3">
      <c r="J344" t="s">
        <v>514</v>
      </c>
      <c r="K344" s="17" t="s">
        <v>322</v>
      </c>
      <c r="L344" s="17" t="s">
        <v>79</v>
      </c>
      <c r="M344" s="130" t="s">
        <v>79</v>
      </c>
      <c r="N344" s="17" t="s">
        <v>322</v>
      </c>
      <c r="O344" s="17" t="s">
        <v>322</v>
      </c>
      <c r="AG344" t="s">
        <v>328</v>
      </c>
      <c r="AH344" s="17" t="s">
        <v>322</v>
      </c>
      <c r="AI344" s="17" t="s">
        <v>79</v>
      </c>
      <c r="AJ344" s="17" t="s">
        <v>322</v>
      </c>
      <c r="AK344" s="17" t="s">
        <v>79</v>
      </c>
      <c r="AL344" s="17" t="s">
        <v>322</v>
      </c>
      <c r="BD344" t="s">
        <v>517</v>
      </c>
      <c r="BE344" s="17" t="s">
        <v>322</v>
      </c>
      <c r="BF344" s="17" t="s">
        <v>79</v>
      </c>
      <c r="BG344" s="17" t="s">
        <v>322</v>
      </c>
      <c r="BH344" s="17" t="s">
        <v>79</v>
      </c>
      <c r="BI344" s="17" t="s">
        <v>79</v>
      </c>
    </row>
    <row r="345" spans="10:61" x14ac:dyDescent="0.3">
      <c r="J345" t="s">
        <v>517</v>
      </c>
      <c r="K345" s="17" t="s">
        <v>322</v>
      </c>
      <c r="L345" s="17" t="s">
        <v>322</v>
      </c>
      <c r="M345" s="17" t="s">
        <v>79</v>
      </c>
      <c r="N345" s="17" t="s">
        <v>322</v>
      </c>
      <c r="O345" s="17" t="s">
        <v>322</v>
      </c>
      <c r="AG345" t="s">
        <v>350</v>
      </c>
      <c r="AH345" s="17" t="s">
        <v>322</v>
      </c>
      <c r="AI345" s="17" t="s">
        <v>79</v>
      </c>
      <c r="AJ345" s="17" t="s">
        <v>322</v>
      </c>
      <c r="AK345" s="17" t="s">
        <v>322</v>
      </c>
      <c r="AL345" s="17" t="s">
        <v>322</v>
      </c>
      <c r="BD345" t="s">
        <v>326</v>
      </c>
      <c r="BE345" s="17" t="s">
        <v>322</v>
      </c>
      <c r="BF345" s="17" t="s">
        <v>79</v>
      </c>
      <c r="BG345" s="17" t="s">
        <v>322</v>
      </c>
      <c r="BH345" s="17" t="s">
        <v>322</v>
      </c>
      <c r="BI345" s="17" t="s">
        <v>322</v>
      </c>
    </row>
    <row r="346" spans="10:61" x14ac:dyDescent="0.3">
      <c r="J346" t="s">
        <v>326</v>
      </c>
      <c r="K346" s="17" t="s">
        <v>322</v>
      </c>
      <c r="L346" s="17" t="s">
        <v>322</v>
      </c>
      <c r="M346" s="17" t="s">
        <v>79</v>
      </c>
      <c r="N346" s="17" t="s">
        <v>322</v>
      </c>
      <c r="O346" s="17" t="s">
        <v>322</v>
      </c>
      <c r="AG346" t="s">
        <v>554</v>
      </c>
      <c r="AH346" s="17" t="s">
        <v>322</v>
      </c>
      <c r="AI346" s="17" t="s">
        <v>54</v>
      </c>
      <c r="AJ346" s="17" t="s">
        <v>322</v>
      </c>
      <c r="AK346" s="17" t="s">
        <v>322</v>
      </c>
      <c r="AL346" s="17" t="s">
        <v>322</v>
      </c>
      <c r="BD346" t="s">
        <v>328</v>
      </c>
      <c r="BE346" s="17" t="s">
        <v>322</v>
      </c>
      <c r="BF346" s="17" t="s">
        <v>79</v>
      </c>
      <c r="BG346" s="17" t="s">
        <v>322</v>
      </c>
      <c r="BH346" s="17" t="s">
        <v>322</v>
      </c>
      <c r="BI346" s="17" t="s">
        <v>322</v>
      </c>
    </row>
    <row r="347" spans="10:61" x14ac:dyDescent="0.3">
      <c r="J347" t="s">
        <v>328</v>
      </c>
      <c r="K347" s="17" t="s">
        <v>322</v>
      </c>
      <c r="L347" s="17" t="s">
        <v>79</v>
      </c>
      <c r="M347" s="17" t="s">
        <v>322</v>
      </c>
      <c r="N347" s="17" t="s">
        <v>79</v>
      </c>
      <c r="O347" s="17" t="s">
        <v>322</v>
      </c>
      <c r="AG347" t="s">
        <v>586</v>
      </c>
      <c r="AH347" s="17" t="s">
        <v>322</v>
      </c>
      <c r="AI347" s="17" t="s">
        <v>54</v>
      </c>
      <c r="AJ347" s="17" t="s">
        <v>322</v>
      </c>
      <c r="AK347" s="17" t="s">
        <v>322</v>
      </c>
      <c r="AL347" s="17" t="s">
        <v>54</v>
      </c>
      <c r="BD347" t="s">
        <v>350</v>
      </c>
      <c r="BE347" s="17" t="s">
        <v>322</v>
      </c>
      <c r="BF347" s="17" t="s">
        <v>79</v>
      </c>
      <c r="BG347" s="17" t="s">
        <v>322</v>
      </c>
      <c r="BH347" s="17" t="s">
        <v>79</v>
      </c>
      <c r="BI347" s="17" t="s">
        <v>322</v>
      </c>
    </row>
    <row r="348" spans="10:61" x14ac:dyDescent="0.3">
      <c r="J348" t="s">
        <v>350</v>
      </c>
      <c r="K348" s="17" t="s">
        <v>322</v>
      </c>
      <c r="L348" s="17" t="s">
        <v>79</v>
      </c>
      <c r="M348" s="17" t="s">
        <v>322</v>
      </c>
      <c r="N348" s="130" t="s">
        <v>79</v>
      </c>
      <c r="O348" s="17" t="s">
        <v>322</v>
      </c>
    </row>
    <row r="349" spans="10:61" x14ac:dyDescent="0.3">
      <c r="AG349" t="s">
        <v>781</v>
      </c>
      <c r="BD349" t="s">
        <v>781</v>
      </c>
    </row>
    <row r="350" spans="10:61" x14ac:dyDescent="0.3">
      <c r="J350" t="s">
        <v>781</v>
      </c>
      <c r="AH350" s="17" t="s">
        <v>315</v>
      </c>
      <c r="AI350" s="17" t="s">
        <v>316</v>
      </c>
      <c r="AJ350" s="17" t="s">
        <v>317</v>
      </c>
      <c r="AK350" s="17" t="s">
        <v>318</v>
      </c>
      <c r="AL350" s="17" t="s">
        <v>319</v>
      </c>
      <c r="BE350" s="17" t="s">
        <v>315</v>
      </c>
      <c r="BF350" s="17" t="s">
        <v>316</v>
      </c>
      <c r="BG350" s="17" t="s">
        <v>317</v>
      </c>
      <c r="BH350" s="17" t="s">
        <v>318</v>
      </c>
      <c r="BI350" s="17" t="s">
        <v>319</v>
      </c>
    </row>
    <row r="351" spans="10:61" x14ac:dyDescent="0.3">
      <c r="K351" s="17" t="s">
        <v>315</v>
      </c>
      <c r="L351" s="17" t="s">
        <v>316</v>
      </c>
      <c r="M351" s="17" t="s">
        <v>317</v>
      </c>
      <c r="N351" s="17" t="s">
        <v>318</v>
      </c>
      <c r="O351" s="17" t="s">
        <v>319</v>
      </c>
      <c r="AG351" t="s">
        <v>539</v>
      </c>
      <c r="AH351" s="17" t="s">
        <v>322</v>
      </c>
      <c r="AI351" s="17" t="s">
        <v>322</v>
      </c>
      <c r="AJ351" s="17" t="s">
        <v>59</v>
      </c>
      <c r="AK351" s="17" t="s">
        <v>322</v>
      </c>
      <c r="AL351" s="17" t="s">
        <v>322</v>
      </c>
      <c r="BD351" t="s">
        <v>539</v>
      </c>
      <c r="BE351" s="17" t="s">
        <v>322</v>
      </c>
      <c r="BF351" s="17" t="s">
        <v>322</v>
      </c>
      <c r="BG351" s="17" t="s">
        <v>59</v>
      </c>
      <c r="BH351" s="17" t="s">
        <v>322</v>
      </c>
      <c r="BI351" s="17" t="s">
        <v>322</v>
      </c>
    </row>
    <row r="352" spans="10:61" x14ac:dyDescent="0.3">
      <c r="J352" t="s">
        <v>539</v>
      </c>
      <c r="K352" s="17" t="s">
        <v>322</v>
      </c>
      <c r="L352" s="17" t="s">
        <v>322</v>
      </c>
      <c r="M352" s="17" t="s">
        <v>59</v>
      </c>
      <c r="N352" s="17" t="s">
        <v>322</v>
      </c>
      <c r="O352" s="17" t="s">
        <v>322</v>
      </c>
      <c r="AG352" t="s">
        <v>543</v>
      </c>
      <c r="AH352" s="17" t="s">
        <v>322</v>
      </c>
      <c r="AI352" s="17" t="s">
        <v>322</v>
      </c>
      <c r="AJ352" s="17" t="s">
        <v>59</v>
      </c>
      <c r="AK352" s="17" t="s">
        <v>322</v>
      </c>
      <c r="AL352" s="17" t="s">
        <v>322</v>
      </c>
      <c r="BD352" t="s">
        <v>543</v>
      </c>
      <c r="BE352" s="17" t="s">
        <v>322</v>
      </c>
      <c r="BF352" s="17" t="s">
        <v>322</v>
      </c>
      <c r="BG352" s="17" t="s">
        <v>59</v>
      </c>
      <c r="BH352" s="17" t="s">
        <v>322</v>
      </c>
      <c r="BI352" s="17" t="s">
        <v>322</v>
      </c>
    </row>
    <row r="353" spans="7:61" x14ac:dyDescent="0.3">
      <c r="J353" t="s">
        <v>543</v>
      </c>
      <c r="K353" s="17" t="s">
        <v>322</v>
      </c>
      <c r="L353" s="17" t="s">
        <v>322</v>
      </c>
      <c r="M353" s="17" t="s">
        <v>59</v>
      </c>
      <c r="N353" s="17" t="s">
        <v>322</v>
      </c>
      <c r="O353" s="17" t="s">
        <v>322</v>
      </c>
    </row>
    <row r="354" spans="7:61" x14ac:dyDescent="0.3">
      <c r="AG354" t="s">
        <v>782</v>
      </c>
      <c r="BD354" t="s">
        <v>782</v>
      </c>
    </row>
    <row r="355" spans="7:61" x14ac:dyDescent="0.3">
      <c r="J355" t="s">
        <v>782</v>
      </c>
      <c r="AH355" s="17" t="s">
        <v>315</v>
      </c>
      <c r="AI355" s="17" t="s">
        <v>316</v>
      </c>
      <c r="AJ355" s="17" t="s">
        <v>317</v>
      </c>
      <c r="AK355" s="17" t="s">
        <v>318</v>
      </c>
      <c r="AL355" s="17" t="s">
        <v>319</v>
      </c>
      <c r="BE355" s="17" t="s">
        <v>315</v>
      </c>
      <c r="BF355" s="17" t="s">
        <v>316</v>
      </c>
      <c r="BG355" s="17" t="s">
        <v>317</v>
      </c>
      <c r="BH355" s="17" t="s">
        <v>318</v>
      </c>
      <c r="BI355" s="17" t="s">
        <v>319</v>
      </c>
    </row>
    <row r="356" spans="7:61" x14ac:dyDescent="0.3">
      <c r="K356" s="17" t="s">
        <v>315</v>
      </c>
      <c r="L356" s="17" t="s">
        <v>316</v>
      </c>
      <c r="M356" s="17" t="s">
        <v>317</v>
      </c>
      <c r="N356" s="17" t="s">
        <v>318</v>
      </c>
      <c r="O356" s="17" t="s">
        <v>319</v>
      </c>
      <c r="AG356" t="s">
        <v>561</v>
      </c>
      <c r="AH356" s="17" t="s">
        <v>36</v>
      </c>
      <c r="AI356" s="17" t="s">
        <v>322</v>
      </c>
      <c r="AJ356" s="17" t="s">
        <v>322</v>
      </c>
      <c r="AK356" s="17" t="s">
        <v>322</v>
      </c>
      <c r="AL356" s="17" t="s">
        <v>322</v>
      </c>
      <c r="BD356" t="s">
        <v>561</v>
      </c>
      <c r="BE356" s="17" t="s">
        <v>36</v>
      </c>
      <c r="BF356" s="17" t="s">
        <v>322</v>
      </c>
      <c r="BG356" s="17" t="s">
        <v>322</v>
      </c>
      <c r="BH356" s="17" t="s">
        <v>322</v>
      </c>
      <c r="BI356" s="17" t="s">
        <v>322</v>
      </c>
    </row>
    <row r="357" spans="7:61" x14ac:dyDescent="0.3">
      <c r="J357" t="s">
        <v>561</v>
      </c>
      <c r="K357" s="17" t="s">
        <v>36</v>
      </c>
      <c r="L357" s="17" t="s">
        <v>322</v>
      </c>
      <c r="M357" s="17" t="s">
        <v>322</v>
      </c>
      <c r="N357" s="17" t="s">
        <v>322</v>
      </c>
      <c r="O357" s="17" t="s">
        <v>322</v>
      </c>
      <c r="AG357" t="s">
        <v>551</v>
      </c>
      <c r="AH357" s="17" t="s">
        <v>36</v>
      </c>
      <c r="AI357" s="17" t="s">
        <v>322</v>
      </c>
      <c r="AJ357" s="17" t="s">
        <v>322</v>
      </c>
      <c r="AK357" s="17" t="s">
        <v>322</v>
      </c>
      <c r="AL357" s="17" t="s">
        <v>322</v>
      </c>
      <c r="BD357" t="s">
        <v>551</v>
      </c>
      <c r="BE357" s="17" t="s">
        <v>36</v>
      </c>
      <c r="BF357" s="17" t="s">
        <v>322</v>
      </c>
      <c r="BG357" s="17" t="s">
        <v>322</v>
      </c>
      <c r="BH357" s="17" t="s">
        <v>322</v>
      </c>
      <c r="BI357" s="17" t="s">
        <v>322</v>
      </c>
    </row>
    <row r="358" spans="7:61" x14ac:dyDescent="0.3">
      <c r="G358" s="130"/>
      <c r="J358" t="s">
        <v>551</v>
      </c>
      <c r="K358" s="17" t="s">
        <v>36</v>
      </c>
      <c r="L358" s="17" t="s">
        <v>322</v>
      </c>
      <c r="M358" s="17" t="s">
        <v>322</v>
      </c>
      <c r="N358" s="17" t="s">
        <v>322</v>
      </c>
      <c r="O358" s="17" t="s">
        <v>322</v>
      </c>
    </row>
    <row r="359" spans="7:61" x14ac:dyDescent="0.3">
      <c r="AG359" t="s">
        <v>783</v>
      </c>
      <c r="BD359" t="s">
        <v>783</v>
      </c>
    </row>
    <row r="360" spans="7:61" x14ac:dyDescent="0.3">
      <c r="J360" t="s">
        <v>783</v>
      </c>
      <c r="AH360" s="17" t="s">
        <v>315</v>
      </c>
      <c r="AI360" s="17" t="s">
        <v>316</v>
      </c>
      <c r="AJ360" s="17" t="s">
        <v>317</v>
      </c>
      <c r="AK360" s="17" t="s">
        <v>318</v>
      </c>
      <c r="AL360" s="17" t="s">
        <v>319</v>
      </c>
      <c r="BE360" s="17" t="s">
        <v>315</v>
      </c>
      <c r="BF360" s="17" t="s">
        <v>316</v>
      </c>
      <c r="BG360" s="17" t="s">
        <v>317</v>
      </c>
      <c r="BH360" s="17" t="s">
        <v>318</v>
      </c>
      <c r="BI360" s="17" t="s">
        <v>319</v>
      </c>
    </row>
    <row r="361" spans="7:61" x14ac:dyDescent="0.3">
      <c r="K361" s="17" t="s">
        <v>315</v>
      </c>
      <c r="L361" s="17" t="s">
        <v>316</v>
      </c>
      <c r="M361" s="17" t="s">
        <v>317</v>
      </c>
      <c r="N361" s="17" t="s">
        <v>318</v>
      </c>
      <c r="O361" s="17" t="s">
        <v>319</v>
      </c>
      <c r="AG361" t="s">
        <v>512</v>
      </c>
      <c r="AH361" s="17" t="s">
        <v>322</v>
      </c>
      <c r="AI361" s="17" t="s">
        <v>118</v>
      </c>
      <c r="AJ361" s="17" t="s">
        <v>322</v>
      </c>
      <c r="AK361" s="17" t="s">
        <v>322</v>
      </c>
      <c r="AL361" s="17" t="s">
        <v>118</v>
      </c>
      <c r="BD361" t="s">
        <v>512</v>
      </c>
      <c r="BE361" s="17" t="s">
        <v>322</v>
      </c>
      <c r="BF361" s="17" t="s">
        <v>118</v>
      </c>
      <c r="BG361" s="17" t="s">
        <v>322</v>
      </c>
      <c r="BH361" s="17" t="s">
        <v>118</v>
      </c>
      <c r="BI361" s="17" t="s">
        <v>322</v>
      </c>
    </row>
    <row r="362" spans="7:61" x14ac:dyDescent="0.3">
      <c r="J362" t="s">
        <v>512</v>
      </c>
      <c r="K362" s="17" t="s">
        <v>322</v>
      </c>
      <c r="L362" s="17" t="s">
        <v>118</v>
      </c>
      <c r="M362" s="17" t="s">
        <v>322</v>
      </c>
      <c r="N362" s="17" t="s">
        <v>322</v>
      </c>
      <c r="O362" s="17" t="s">
        <v>118</v>
      </c>
      <c r="AG362" t="s">
        <v>514</v>
      </c>
      <c r="AH362" s="17" t="s">
        <v>322</v>
      </c>
      <c r="AI362" s="17" t="s">
        <v>118</v>
      </c>
      <c r="AJ362" s="17" t="s">
        <v>322</v>
      </c>
      <c r="AK362" s="17" t="s">
        <v>322</v>
      </c>
      <c r="AL362" s="17" t="s">
        <v>118</v>
      </c>
      <c r="BD362" t="s">
        <v>514</v>
      </c>
      <c r="BE362" s="17" t="s">
        <v>322</v>
      </c>
      <c r="BF362" s="17" t="s">
        <v>118</v>
      </c>
      <c r="BG362" s="17" t="s">
        <v>322</v>
      </c>
      <c r="BH362" s="17" t="s">
        <v>118</v>
      </c>
      <c r="BI362" s="17" t="s">
        <v>322</v>
      </c>
    </row>
    <row r="363" spans="7:61" x14ac:dyDescent="0.3">
      <c r="J363" t="s">
        <v>514</v>
      </c>
      <c r="K363" s="17" t="s">
        <v>322</v>
      </c>
      <c r="L363" s="17" t="s">
        <v>118</v>
      </c>
      <c r="M363" s="17" t="s">
        <v>322</v>
      </c>
      <c r="N363" s="17" t="s">
        <v>322</v>
      </c>
      <c r="O363" s="17" t="s">
        <v>118</v>
      </c>
      <c r="AG363" t="s">
        <v>517</v>
      </c>
      <c r="AH363" s="17" t="s">
        <v>322</v>
      </c>
      <c r="AI363" s="17" t="s">
        <v>322</v>
      </c>
      <c r="AJ363" s="17" t="s">
        <v>322</v>
      </c>
      <c r="AK363" s="17" t="s">
        <v>322</v>
      </c>
      <c r="AL363" s="17" t="s">
        <v>118</v>
      </c>
      <c r="BD363" t="s">
        <v>517</v>
      </c>
      <c r="BE363" s="17" t="s">
        <v>322</v>
      </c>
      <c r="BF363" s="17" t="s">
        <v>322</v>
      </c>
      <c r="BG363" s="17" t="s">
        <v>322</v>
      </c>
      <c r="BH363" s="17" t="s">
        <v>118</v>
      </c>
      <c r="BI363" s="17" t="s">
        <v>322</v>
      </c>
    </row>
    <row r="364" spans="7:61" x14ac:dyDescent="0.3">
      <c r="J364" t="s">
        <v>517</v>
      </c>
      <c r="K364" s="17" t="s">
        <v>322</v>
      </c>
      <c r="L364" s="17" t="s">
        <v>322</v>
      </c>
      <c r="M364" s="17" t="s">
        <v>322</v>
      </c>
      <c r="N364" s="17" t="s">
        <v>322</v>
      </c>
      <c r="O364" s="17" t="s">
        <v>118</v>
      </c>
      <c r="AG364" t="s">
        <v>536</v>
      </c>
      <c r="AH364" s="17" t="s">
        <v>81</v>
      </c>
      <c r="AI364" s="17" t="s">
        <v>322</v>
      </c>
      <c r="AJ364" s="17" t="s">
        <v>322</v>
      </c>
      <c r="AK364" s="17" t="s">
        <v>81</v>
      </c>
      <c r="AL364" s="17" t="s">
        <v>322</v>
      </c>
      <c r="BD364" t="s">
        <v>536</v>
      </c>
      <c r="BE364" s="17" t="s">
        <v>322</v>
      </c>
      <c r="BF364" s="17" t="s">
        <v>81</v>
      </c>
      <c r="BG364" s="17" t="s">
        <v>322</v>
      </c>
      <c r="BH364" s="17" t="s">
        <v>81</v>
      </c>
      <c r="BI364" s="17" t="s">
        <v>322</v>
      </c>
    </row>
    <row r="365" spans="7:61" x14ac:dyDescent="0.3">
      <c r="J365" t="s">
        <v>536</v>
      </c>
      <c r="K365" s="17" t="s">
        <v>322</v>
      </c>
      <c r="L365" s="17" t="s">
        <v>322</v>
      </c>
      <c r="M365" s="17" t="s">
        <v>322</v>
      </c>
      <c r="N365" s="17" t="s">
        <v>81</v>
      </c>
      <c r="O365" s="17" t="s">
        <v>322</v>
      </c>
      <c r="AG365" t="s">
        <v>539</v>
      </c>
      <c r="AH365" s="17" t="s">
        <v>81</v>
      </c>
      <c r="AI365" s="17" t="s">
        <v>322</v>
      </c>
      <c r="AJ365" s="17" t="s">
        <v>322</v>
      </c>
      <c r="AK365" s="17" t="s">
        <v>81</v>
      </c>
      <c r="AL365" s="17" t="s">
        <v>322</v>
      </c>
      <c r="BD365" t="s">
        <v>539</v>
      </c>
      <c r="BE365" s="17" t="s">
        <v>322</v>
      </c>
      <c r="BF365" s="17" t="s">
        <v>81</v>
      </c>
      <c r="BG365" s="17" t="s">
        <v>322</v>
      </c>
      <c r="BH365" s="17" t="s">
        <v>81</v>
      </c>
      <c r="BI365" s="17" t="s">
        <v>322</v>
      </c>
    </row>
    <row r="366" spans="7:61" x14ac:dyDescent="0.3">
      <c r="J366" t="s">
        <v>539</v>
      </c>
      <c r="K366" s="17" t="s">
        <v>81</v>
      </c>
      <c r="L366" s="17" t="s">
        <v>322</v>
      </c>
      <c r="M366" s="17" t="s">
        <v>322</v>
      </c>
      <c r="N366" s="17" t="s">
        <v>81</v>
      </c>
      <c r="O366" s="17" t="s">
        <v>322</v>
      </c>
      <c r="AG366" t="s">
        <v>543</v>
      </c>
      <c r="AH366" s="17" t="s">
        <v>322</v>
      </c>
      <c r="AI366" s="17" t="s">
        <v>322</v>
      </c>
      <c r="AJ366" s="17" t="s">
        <v>322</v>
      </c>
      <c r="AK366" s="17" t="s">
        <v>81</v>
      </c>
      <c r="AL366" s="17" t="s">
        <v>322</v>
      </c>
      <c r="BD366" t="s">
        <v>543</v>
      </c>
      <c r="BE366" s="17" t="s">
        <v>322</v>
      </c>
      <c r="BF366" s="17" t="s">
        <v>81</v>
      </c>
      <c r="BG366" s="17" t="s">
        <v>322</v>
      </c>
      <c r="BH366" s="17" t="s">
        <v>322</v>
      </c>
      <c r="BI366" s="17" t="s">
        <v>322</v>
      </c>
    </row>
    <row r="367" spans="7:61" x14ac:dyDescent="0.3">
      <c r="J367" t="s">
        <v>543</v>
      </c>
      <c r="K367" s="130" t="s">
        <v>81</v>
      </c>
      <c r="L367" s="17" t="s">
        <v>322</v>
      </c>
      <c r="M367" s="17" t="s">
        <v>322</v>
      </c>
      <c r="N367" s="17" t="s">
        <v>322</v>
      </c>
      <c r="O367" s="17" t="s">
        <v>322</v>
      </c>
    </row>
    <row r="368" spans="7:61" x14ac:dyDescent="0.3">
      <c r="J368" t="s">
        <v>573</v>
      </c>
      <c r="K368" s="130" t="s">
        <v>81</v>
      </c>
      <c r="L368" s="17" t="s">
        <v>322</v>
      </c>
      <c r="M368" s="17" t="s">
        <v>322</v>
      </c>
      <c r="N368" s="17" t="s">
        <v>322</v>
      </c>
      <c r="O368" s="17" t="s">
        <v>322</v>
      </c>
      <c r="AG368" t="s">
        <v>784</v>
      </c>
      <c r="BD368" t="s">
        <v>784</v>
      </c>
    </row>
    <row r="369" spans="10:61" x14ac:dyDescent="0.3">
      <c r="AH369" s="17" t="s">
        <v>315</v>
      </c>
      <c r="AI369" s="17" t="s">
        <v>316</v>
      </c>
      <c r="AJ369" s="17" t="s">
        <v>317</v>
      </c>
      <c r="AK369" s="17" t="s">
        <v>318</v>
      </c>
      <c r="AL369" s="17" t="s">
        <v>319</v>
      </c>
      <c r="BE369" s="17" t="s">
        <v>315</v>
      </c>
      <c r="BF369" s="17" t="s">
        <v>316</v>
      </c>
      <c r="BG369" s="17" t="s">
        <v>317</v>
      </c>
      <c r="BH369" s="17" t="s">
        <v>318</v>
      </c>
      <c r="BI369" s="17" t="s">
        <v>319</v>
      </c>
    </row>
    <row r="370" spans="10:61" x14ac:dyDescent="0.3">
      <c r="J370" t="s">
        <v>784</v>
      </c>
      <c r="AG370" t="s">
        <v>512</v>
      </c>
      <c r="AH370" s="17" t="s">
        <v>322</v>
      </c>
      <c r="AI370" s="17" t="s">
        <v>322</v>
      </c>
      <c r="AJ370" s="17" t="s">
        <v>322</v>
      </c>
      <c r="AK370" s="17" t="s">
        <v>322</v>
      </c>
      <c r="AL370" s="17" t="s">
        <v>188</v>
      </c>
      <c r="BD370" t="s">
        <v>512</v>
      </c>
      <c r="BE370" s="17" t="s">
        <v>322</v>
      </c>
      <c r="BF370" s="17" t="s">
        <v>322</v>
      </c>
      <c r="BG370" s="17" t="s">
        <v>322</v>
      </c>
      <c r="BH370" s="17" t="s">
        <v>322</v>
      </c>
      <c r="BI370" s="17" t="s">
        <v>188</v>
      </c>
    </row>
    <row r="371" spans="10:61" x14ac:dyDescent="0.3">
      <c r="K371" s="17" t="s">
        <v>315</v>
      </c>
      <c r="L371" s="17" t="s">
        <v>316</v>
      </c>
      <c r="M371" s="17" t="s">
        <v>317</v>
      </c>
      <c r="N371" s="17" t="s">
        <v>318</v>
      </c>
      <c r="O371" s="17" t="s">
        <v>319</v>
      </c>
      <c r="AG371" t="s">
        <v>514</v>
      </c>
      <c r="AH371" s="17" t="s">
        <v>322</v>
      </c>
      <c r="AI371" s="17" t="s">
        <v>322</v>
      </c>
      <c r="AJ371" s="17" t="s">
        <v>322</v>
      </c>
      <c r="AK371" s="17" t="s">
        <v>322</v>
      </c>
      <c r="AL371" s="17" t="s">
        <v>188</v>
      </c>
      <c r="BD371" t="s">
        <v>514</v>
      </c>
      <c r="BE371" s="17" t="s">
        <v>322</v>
      </c>
      <c r="BF371" s="17" t="s">
        <v>322</v>
      </c>
      <c r="BG371" s="17" t="s">
        <v>322</v>
      </c>
      <c r="BH371" s="17" t="s">
        <v>322</v>
      </c>
      <c r="BI371" s="17" t="s">
        <v>188</v>
      </c>
    </row>
    <row r="372" spans="10:61" x14ac:dyDescent="0.3">
      <c r="J372" t="s">
        <v>514</v>
      </c>
      <c r="K372" s="17" t="s">
        <v>322</v>
      </c>
      <c r="L372" s="17" t="s">
        <v>322</v>
      </c>
      <c r="M372" s="17" t="s">
        <v>322</v>
      </c>
      <c r="N372" s="17" t="s">
        <v>322</v>
      </c>
      <c r="O372" s="17" t="s">
        <v>188</v>
      </c>
      <c r="AG372" t="s">
        <v>517</v>
      </c>
      <c r="AH372" s="17" t="s">
        <v>188</v>
      </c>
      <c r="AI372" s="17" t="s">
        <v>322</v>
      </c>
      <c r="AJ372" s="17" t="s">
        <v>322</v>
      </c>
      <c r="AK372" s="17" t="s">
        <v>322</v>
      </c>
      <c r="AL372" s="17" t="s">
        <v>322</v>
      </c>
      <c r="BD372" t="s">
        <v>328</v>
      </c>
      <c r="BE372" s="17" t="s">
        <v>188</v>
      </c>
      <c r="BF372" s="17" t="s">
        <v>322</v>
      </c>
      <c r="BG372" s="17" t="s">
        <v>322</v>
      </c>
      <c r="BH372" s="17" t="s">
        <v>322</v>
      </c>
      <c r="BI372" s="17" t="s">
        <v>322</v>
      </c>
    </row>
    <row r="373" spans="10:61" x14ac:dyDescent="0.3">
      <c r="J373" t="s">
        <v>517</v>
      </c>
      <c r="K373" s="17" t="s">
        <v>188</v>
      </c>
      <c r="L373" s="17" t="s">
        <v>322</v>
      </c>
      <c r="M373" s="17" t="s">
        <v>322</v>
      </c>
      <c r="N373" s="17" t="s">
        <v>322</v>
      </c>
      <c r="O373" s="130" t="s">
        <v>188</v>
      </c>
      <c r="AG373" t="s">
        <v>326</v>
      </c>
      <c r="AH373" s="17" t="s">
        <v>188</v>
      </c>
      <c r="AI373" s="17" t="s">
        <v>322</v>
      </c>
      <c r="AJ373" s="17" t="s">
        <v>322</v>
      </c>
      <c r="AK373" s="17" t="s">
        <v>322</v>
      </c>
      <c r="AL373" s="17" t="s">
        <v>322</v>
      </c>
      <c r="BD373" t="s">
        <v>350</v>
      </c>
      <c r="BE373" s="17" t="s">
        <v>188</v>
      </c>
      <c r="BF373" s="17" t="s">
        <v>322</v>
      </c>
      <c r="BG373" s="17" t="s">
        <v>322</v>
      </c>
      <c r="BH373" s="17" t="s">
        <v>322</v>
      </c>
      <c r="BI373" s="17" t="s">
        <v>322</v>
      </c>
    </row>
    <row r="374" spans="10:61" x14ac:dyDescent="0.3">
      <c r="J374" t="s">
        <v>326</v>
      </c>
      <c r="K374" s="17" t="s">
        <v>188</v>
      </c>
      <c r="L374" s="17" t="s">
        <v>322</v>
      </c>
      <c r="M374" s="17" t="s">
        <v>322</v>
      </c>
      <c r="N374" s="17" t="s">
        <v>322</v>
      </c>
      <c r="O374" s="17" t="s">
        <v>322</v>
      </c>
      <c r="AG374" t="s">
        <v>551</v>
      </c>
      <c r="AH374" s="17" t="s">
        <v>322</v>
      </c>
      <c r="AI374" s="17" t="s">
        <v>322</v>
      </c>
      <c r="AJ374" s="17" t="s">
        <v>322</v>
      </c>
      <c r="AK374" s="17" t="s">
        <v>322</v>
      </c>
      <c r="AL374" s="17" t="s">
        <v>267</v>
      </c>
      <c r="BD374" t="s">
        <v>551</v>
      </c>
      <c r="BE374" s="17" t="s">
        <v>322</v>
      </c>
      <c r="BF374" s="17" t="s">
        <v>322</v>
      </c>
      <c r="BG374" s="17" t="s">
        <v>322</v>
      </c>
      <c r="BH374" s="17" t="s">
        <v>322</v>
      </c>
      <c r="BI374" s="17" t="s">
        <v>267</v>
      </c>
    </row>
    <row r="375" spans="10:61" x14ac:dyDescent="0.3">
      <c r="J375" t="s">
        <v>551</v>
      </c>
      <c r="K375" s="17" t="s">
        <v>322</v>
      </c>
      <c r="L375" s="17" t="s">
        <v>322</v>
      </c>
      <c r="M375" s="17" t="s">
        <v>322</v>
      </c>
      <c r="N375" s="17" t="s">
        <v>322</v>
      </c>
      <c r="O375" s="17" t="s">
        <v>267</v>
      </c>
      <c r="AG375" t="s">
        <v>552</v>
      </c>
      <c r="AH375" s="17" t="s">
        <v>322</v>
      </c>
      <c r="AI375" s="17" t="s">
        <v>322</v>
      </c>
      <c r="AJ375" s="17" t="s">
        <v>322</v>
      </c>
      <c r="AK375" s="17" t="s">
        <v>322</v>
      </c>
      <c r="AL375" s="17" t="s">
        <v>267</v>
      </c>
      <c r="BD375" t="s">
        <v>552</v>
      </c>
      <c r="BE375" s="17" t="s">
        <v>322</v>
      </c>
      <c r="BF375" s="17" t="s">
        <v>322</v>
      </c>
      <c r="BG375" s="17" t="s">
        <v>322</v>
      </c>
      <c r="BH375" s="17" t="s">
        <v>322</v>
      </c>
      <c r="BI375" s="17" t="s">
        <v>267</v>
      </c>
    </row>
    <row r="376" spans="10:61" x14ac:dyDescent="0.3">
      <c r="J376" t="s">
        <v>552</v>
      </c>
      <c r="K376" s="17" t="s">
        <v>322</v>
      </c>
      <c r="L376" s="17" t="s">
        <v>322</v>
      </c>
      <c r="M376" s="17" t="s">
        <v>322</v>
      </c>
      <c r="N376" s="17" t="s">
        <v>322</v>
      </c>
      <c r="O376" s="17" t="s">
        <v>267</v>
      </c>
      <c r="AG376" t="s">
        <v>554</v>
      </c>
      <c r="AH376" s="17" t="s">
        <v>322</v>
      </c>
      <c r="AI376" s="17" t="s">
        <v>322</v>
      </c>
      <c r="AJ376" s="17" t="s">
        <v>322</v>
      </c>
      <c r="AK376" s="17" t="s">
        <v>322</v>
      </c>
      <c r="AL376" s="17" t="s">
        <v>267</v>
      </c>
      <c r="BD376" t="s">
        <v>554</v>
      </c>
      <c r="BE376" s="17" t="s">
        <v>322</v>
      </c>
      <c r="BF376" s="17" t="s">
        <v>322</v>
      </c>
      <c r="BG376" s="17" t="s">
        <v>322</v>
      </c>
      <c r="BH376" s="17" t="s">
        <v>322</v>
      </c>
      <c r="BI376" s="17" t="s">
        <v>267</v>
      </c>
    </row>
    <row r="377" spans="10:61" x14ac:dyDescent="0.3">
      <c r="J377" t="s">
        <v>554</v>
      </c>
      <c r="K377" s="17" t="s">
        <v>322</v>
      </c>
      <c r="L377" s="17" t="s">
        <v>322</v>
      </c>
      <c r="M377" s="17" t="s">
        <v>322</v>
      </c>
      <c r="N377" s="17" t="s">
        <v>322</v>
      </c>
      <c r="O377" s="17" t="s">
        <v>267</v>
      </c>
    </row>
    <row r="378" spans="10:61" x14ac:dyDescent="0.3">
      <c r="AG378" t="s">
        <v>785</v>
      </c>
      <c r="BD378" t="s">
        <v>785</v>
      </c>
    </row>
    <row r="379" spans="10:61" x14ac:dyDescent="0.3">
      <c r="J379" t="s">
        <v>786</v>
      </c>
      <c r="AH379" s="17" t="s">
        <v>315</v>
      </c>
      <c r="AI379" s="17" t="s">
        <v>316</v>
      </c>
      <c r="AJ379" s="17" t="s">
        <v>317</v>
      </c>
      <c r="AK379" s="17" t="s">
        <v>318</v>
      </c>
      <c r="AL379" s="17" t="s">
        <v>319</v>
      </c>
      <c r="BE379" s="17" t="s">
        <v>315</v>
      </c>
      <c r="BF379" s="17" t="s">
        <v>316</v>
      </c>
      <c r="BG379" s="17" t="s">
        <v>317</v>
      </c>
      <c r="BH379" s="17" t="s">
        <v>318</v>
      </c>
      <c r="BI379" s="17" t="s">
        <v>319</v>
      </c>
    </row>
    <row r="380" spans="10:61" x14ac:dyDescent="0.3">
      <c r="K380" s="17" t="s">
        <v>315</v>
      </c>
      <c r="L380" s="17" t="s">
        <v>316</v>
      </c>
      <c r="M380" s="17" t="s">
        <v>317</v>
      </c>
      <c r="N380" s="17" t="s">
        <v>318</v>
      </c>
      <c r="O380" s="17" t="s">
        <v>319</v>
      </c>
      <c r="AG380" t="s">
        <v>512</v>
      </c>
      <c r="AH380" s="17" t="s">
        <v>322</v>
      </c>
      <c r="AI380" s="17" t="s">
        <v>322</v>
      </c>
      <c r="AJ380" s="17" t="s">
        <v>322</v>
      </c>
      <c r="AK380" s="17" t="s">
        <v>322</v>
      </c>
      <c r="AL380" s="17" t="s">
        <v>93</v>
      </c>
      <c r="BD380" t="s">
        <v>512</v>
      </c>
      <c r="BE380" s="17" t="s">
        <v>322</v>
      </c>
      <c r="BF380" s="17" t="s">
        <v>322</v>
      </c>
      <c r="BG380" s="17" t="s">
        <v>322</v>
      </c>
      <c r="BH380" s="17" t="s">
        <v>322</v>
      </c>
      <c r="BI380" s="17" t="s">
        <v>93</v>
      </c>
    </row>
    <row r="381" spans="10:61" x14ac:dyDescent="0.3">
      <c r="J381" t="s">
        <v>552</v>
      </c>
      <c r="K381" s="17" t="s">
        <v>322</v>
      </c>
      <c r="L381" s="17" t="s">
        <v>322</v>
      </c>
      <c r="M381" s="17" t="s">
        <v>322</v>
      </c>
      <c r="N381" s="17" t="s">
        <v>322</v>
      </c>
      <c r="O381" s="17" t="s">
        <v>37</v>
      </c>
      <c r="AG381" t="s">
        <v>514</v>
      </c>
      <c r="AH381" s="17" t="s">
        <v>322</v>
      </c>
      <c r="AI381" s="17" t="s">
        <v>322</v>
      </c>
      <c r="AJ381" s="17" t="s">
        <v>322</v>
      </c>
      <c r="AK381" s="17" t="s">
        <v>322</v>
      </c>
      <c r="AL381" s="17" t="s">
        <v>93</v>
      </c>
      <c r="BD381" t="s">
        <v>514</v>
      </c>
      <c r="BE381" s="17" t="s">
        <v>322</v>
      </c>
      <c r="BF381" s="17" t="s">
        <v>322</v>
      </c>
      <c r="BG381" s="17" t="s">
        <v>322</v>
      </c>
      <c r="BH381" s="17" t="s">
        <v>322</v>
      </c>
      <c r="BI381" s="17" t="s">
        <v>93</v>
      </c>
    </row>
    <row r="382" spans="10:61" x14ac:dyDescent="0.3">
      <c r="J382" t="s">
        <v>554</v>
      </c>
      <c r="K382" s="17" t="s">
        <v>322</v>
      </c>
      <c r="L382" s="17" t="s">
        <v>322</v>
      </c>
      <c r="M382" s="17" t="s">
        <v>322</v>
      </c>
      <c r="N382" s="17" t="s">
        <v>322</v>
      </c>
      <c r="O382" s="17" t="s">
        <v>37</v>
      </c>
      <c r="AG382" t="s">
        <v>517</v>
      </c>
      <c r="AH382" s="17" t="s">
        <v>322</v>
      </c>
      <c r="AI382" s="17" t="s">
        <v>322</v>
      </c>
      <c r="AJ382" s="17" t="s">
        <v>322</v>
      </c>
      <c r="AK382" s="17" t="s">
        <v>322</v>
      </c>
      <c r="AL382" s="17" t="s">
        <v>93</v>
      </c>
      <c r="BD382" t="s">
        <v>517</v>
      </c>
      <c r="BE382" s="17" t="s">
        <v>322</v>
      </c>
      <c r="BF382" s="17" t="s">
        <v>322</v>
      </c>
      <c r="BG382" s="17" t="s">
        <v>322</v>
      </c>
      <c r="BH382" s="17" t="s">
        <v>322</v>
      </c>
      <c r="BI382" s="17" t="s">
        <v>93</v>
      </c>
    </row>
    <row r="383" spans="10:61" x14ac:dyDescent="0.3">
      <c r="AG383" t="s">
        <v>326</v>
      </c>
      <c r="AH383" s="17" t="s">
        <v>322</v>
      </c>
      <c r="AI383" s="17" t="s">
        <v>322</v>
      </c>
      <c r="AJ383" s="17" t="s">
        <v>322</v>
      </c>
      <c r="AK383" s="17" t="s">
        <v>322</v>
      </c>
      <c r="AL383" s="17" t="s">
        <v>93</v>
      </c>
      <c r="BD383" t="s">
        <v>326</v>
      </c>
      <c r="BE383" s="17" t="s">
        <v>322</v>
      </c>
      <c r="BF383" s="17" t="s">
        <v>322</v>
      </c>
      <c r="BG383" s="17" t="s">
        <v>322</v>
      </c>
      <c r="BH383" s="17" t="s">
        <v>322</v>
      </c>
      <c r="BI383" s="17" t="s">
        <v>93</v>
      </c>
    </row>
    <row r="384" spans="10:61" x14ac:dyDescent="0.3">
      <c r="J384" t="s">
        <v>787</v>
      </c>
      <c r="AG384" t="s">
        <v>328</v>
      </c>
      <c r="AH384" s="17" t="s">
        <v>322</v>
      </c>
      <c r="AI384" s="17" t="s">
        <v>322</v>
      </c>
      <c r="AJ384" s="17" t="s">
        <v>322</v>
      </c>
      <c r="AK384" s="17" t="s">
        <v>322</v>
      </c>
      <c r="AL384" s="17" t="s">
        <v>93</v>
      </c>
      <c r="BD384" t="s">
        <v>328</v>
      </c>
      <c r="BE384" s="17" t="s">
        <v>322</v>
      </c>
      <c r="BF384" s="17" t="s">
        <v>322</v>
      </c>
      <c r="BG384" s="17" t="s">
        <v>322</v>
      </c>
      <c r="BH384" s="17" t="s">
        <v>322</v>
      </c>
      <c r="BI384" s="17" t="s">
        <v>93</v>
      </c>
    </row>
    <row r="385" spans="10:61" x14ac:dyDescent="0.3">
      <c r="K385" s="17" t="s">
        <v>315</v>
      </c>
      <c r="L385" s="17" t="s">
        <v>316</v>
      </c>
      <c r="M385" s="17" t="s">
        <v>317</v>
      </c>
      <c r="N385" s="17" t="s">
        <v>318</v>
      </c>
      <c r="O385" s="17" t="s">
        <v>319</v>
      </c>
      <c r="AG385" t="s">
        <v>350</v>
      </c>
      <c r="AH385" s="17" t="s">
        <v>322</v>
      </c>
      <c r="AI385" s="17" t="s">
        <v>322</v>
      </c>
      <c r="AJ385" s="17" t="s">
        <v>322</v>
      </c>
      <c r="AK385" s="17" t="s">
        <v>322</v>
      </c>
      <c r="AL385" s="17" t="s">
        <v>93</v>
      </c>
      <c r="BD385" t="s">
        <v>350</v>
      </c>
      <c r="BE385" s="17" t="s">
        <v>322</v>
      </c>
      <c r="BF385" s="17" t="s">
        <v>322</v>
      </c>
      <c r="BG385" s="17" t="s">
        <v>322</v>
      </c>
      <c r="BH385" s="17" t="s">
        <v>322</v>
      </c>
      <c r="BI385" s="17" t="s">
        <v>93</v>
      </c>
    </row>
    <row r="386" spans="10:61" x14ac:dyDescent="0.3">
      <c r="J386" t="s">
        <v>512</v>
      </c>
      <c r="K386" s="17" t="s">
        <v>72</v>
      </c>
      <c r="L386" s="17" t="s">
        <v>322</v>
      </c>
      <c r="M386" s="17" t="s">
        <v>322</v>
      </c>
      <c r="N386" s="17" t="s">
        <v>72</v>
      </c>
      <c r="O386" s="17" t="s">
        <v>322</v>
      </c>
      <c r="AG386" t="s">
        <v>536</v>
      </c>
      <c r="AH386" s="17" t="s">
        <v>322</v>
      </c>
      <c r="AI386" s="17" t="s">
        <v>322</v>
      </c>
      <c r="AJ386" s="17" t="s">
        <v>322</v>
      </c>
      <c r="AK386" s="17" t="s">
        <v>322</v>
      </c>
      <c r="AL386" s="17" t="s">
        <v>93</v>
      </c>
      <c r="BD386" t="s">
        <v>536</v>
      </c>
      <c r="BE386" s="17" t="s">
        <v>322</v>
      </c>
      <c r="BF386" s="17" t="s">
        <v>322</v>
      </c>
      <c r="BG386" s="17" t="s">
        <v>322</v>
      </c>
      <c r="BH386" s="17" t="s">
        <v>322</v>
      </c>
      <c r="BI386" s="17" t="s">
        <v>93</v>
      </c>
    </row>
    <row r="387" spans="10:61" x14ac:dyDescent="0.3">
      <c r="J387" t="s">
        <v>514</v>
      </c>
      <c r="K387" s="17" t="s">
        <v>72</v>
      </c>
      <c r="L387" s="17" t="s">
        <v>322</v>
      </c>
      <c r="M387" s="17" t="s">
        <v>322</v>
      </c>
      <c r="N387" s="17" t="s">
        <v>72</v>
      </c>
      <c r="O387" s="17" t="s">
        <v>322</v>
      </c>
      <c r="AG387" t="s">
        <v>539</v>
      </c>
      <c r="AH387" s="17" t="s">
        <v>322</v>
      </c>
      <c r="AI387" s="17" t="s">
        <v>322</v>
      </c>
      <c r="AJ387" s="17" t="s">
        <v>322</v>
      </c>
      <c r="AK387" s="17" t="s">
        <v>322</v>
      </c>
      <c r="AL387" s="17" t="s">
        <v>93</v>
      </c>
      <c r="BD387" t="s">
        <v>539</v>
      </c>
      <c r="BE387" s="17" t="s">
        <v>322</v>
      </c>
      <c r="BF387" s="17" t="s">
        <v>322</v>
      </c>
      <c r="BG387" s="17" t="s">
        <v>322</v>
      </c>
      <c r="BH387" s="17" t="s">
        <v>322</v>
      </c>
      <c r="BI387" s="17" t="s">
        <v>93</v>
      </c>
    </row>
    <row r="389" spans="10:61" x14ac:dyDescent="0.3">
      <c r="J389" t="s">
        <v>788</v>
      </c>
      <c r="AG389" t="s">
        <v>786</v>
      </c>
      <c r="BD389" t="s">
        <v>786</v>
      </c>
    </row>
    <row r="390" spans="10:61" x14ac:dyDescent="0.3">
      <c r="K390" s="17" t="s">
        <v>315</v>
      </c>
      <c r="L390" s="17" t="s">
        <v>316</v>
      </c>
      <c r="M390" s="17" t="s">
        <v>317</v>
      </c>
      <c r="N390" s="17" t="s">
        <v>318</v>
      </c>
      <c r="O390" s="17" t="s">
        <v>319</v>
      </c>
      <c r="AH390" s="17" t="s">
        <v>315</v>
      </c>
      <c r="AI390" s="17" t="s">
        <v>316</v>
      </c>
      <c r="AJ390" s="17" t="s">
        <v>317</v>
      </c>
      <c r="AK390" s="17" t="s">
        <v>318</v>
      </c>
      <c r="AL390" s="17" t="s">
        <v>319</v>
      </c>
      <c r="BE390" s="17" t="s">
        <v>315</v>
      </c>
      <c r="BF390" s="17" t="s">
        <v>316</v>
      </c>
      <c r="BG390" s="17" t="s">
        <v>317</v>
      </c>
      <c r="BH390" s="17" t="s">
        <v>318</v>
      </c>
      <c r="BI390" s="17" t="s">
        <v>319</v>
      </c>
    </row>
    <row r="391" spans="10:61" x14ac:dyDescent="0.3">
      <c r="J391" t="s">
        <v>512</v>
      </c>
      <c r="K391" s="17" t="s">
        <v>322</v>
      </c>
      <c r="L391" s="17" t="s">
        <v>322</v>
      </c>
      <c r="M391" s="17" t="s">
        <v>322</v>
      </c>
      <c r="N391" s="17" t="s">
        <v>322</v>
      </c>
      <c r="O391" s="17" t="s">
        <v>129</v>
      </c>
      <c r="AG391" t="s">
        <v>552</v>
      </c>
      <c r="AH391" s="17" t="s">
        <v>322</v>
      </c>
      <c r="AI391" s="17" t="s">
        <v>322</v>
      </c>
      <c r="AJ391" s="17" t="s">
        <v>322</v>
      </c>
      <c r="AK391" s="17" t="s">
        <v>322</v>
      </c>
      <c r="AL391" s="17" t="s">
        <v>37</v>
      </c>
      <c r="BD391" t="s">
        <v>552</v>
      </c>
      <c r="BE391" s="17" t="s">
        <v>322</v>
      </c>
      <c r="BF391" s="17" t="s">
        <v>322</v>
      </c>
      <c r="BG391" s="17" t="s">
        <v>322</v>
      </c>
      <c r="BH391" s="17" t="s">
        <v>322</v>
      </c>
      <c r="BI391" s="17" t="s">
        <v>37</v>
      </c>
    </row>
    <row r="392" spans="10:61" x14ac:dyDescent="0.3">
      <c r="J392" t="s">
        <v>514</v>
      </c>
      <c r="K392" s="17" t="s">
        <v>322</v>
      </c>
      <c r="L392" s="17" t="s">
        <v>322</v>
      </c>
      <c r="M392" s="17" t="s">
        <v>322</v>
      </c>
      <c r="N392" s="17" t="s">
        <v>322</v>
      </c>
      <c r="O392" s="17" t="s">
        <v>129</v>
      </c>
      <c r="AG392" t="s">
        <v>554</v>
      </c>
      <c r="AH392" s="17" t="s">
        <v>322</v>
      </c>
      <c r="AI392" s="17" t="s">
        <v>322</v>
      </c>
      <c r="AJ392" s="17" t="s">
        <v>322</v>
      </c>
      <c r="AK392" s="17" t="s">
        <v>322</v>
      </c>
      <c r="AL392" s="17" t="s">
        <v>37</v>
      </c>
      <c r="BD392" t="s">
        <v>554</v>
      </c>
      <c r="BE392" s="17" t="s">
        <v>322</v>
      </c>
      <c r="BF392" s="17" t="s">
        <v>322</v>
      </c>
      <c r="BG392" s="17" t="s">
        <v>322</v>
      </c>
      <c r="BH392" s="17" t="s">
        <v>322</v>
      </c>
      <c r="BI392" s="17" t="s">
        <v>37</v>
      </c>
    </row>
    <row r="393" spans="10:61" x14ac:dyDescent="0.3">
      <c r="J393" t="s">
        <v>326</v>
      </c>
      <c r="K393" s="17" t="s">
        <v>129</v>
      </c>
      <c r="L393" s="17" t="s">
        <v>322</v>
      </c>
      <c r="M393" s="17" t="s">
        <v>322</v>
      </c>
      <c r="N393" s="17" t="s">
        <v>322</v>
      </c>
      <c r="O393" s="17" t="s">
        <v>322</v>
      </c>
    </row>
    <row r="394" spans="10:61" x14ac:dyDescent="0.3">
      <c r="J394" t="s">
        <v>328</v>
      </c>
      <c r="K394" s="17" t="s">
        <v>129</v>
      </c>
      <c r="L394" s="17" t="s">
        <v>322</v>
      </c>
      <c r="M394" s="17" t="s">
        <v>322</v>
      </c>
      <c r="N394" s="17" t="s">
        <v>322</v>
      </c>
      <c r="O394" s="130" t="s">
        <v>131</v>
      </c>
      <c r="AG394" t="s">
        <v>787</v>
      </c>
      <c r="BD394" t="s">
        <v>787</v>
      </c>
    </row>
    <row r="395" spans="10:61" x14ac:dyDescent="0.3">
      <c r="J395" t="s">
        <v>350</v>
      </c>
      <c r="K395" s="17" t="s">
        <v>129</v>
      </c>
      <c r="L395" s="17" t="s">
        <v>322</v>
      </c>
      <c r="M395" s="17" t="s">
        <v>131</v>
      </c>
      <c r="N395" s="17" t="s">
        <v>322</v>
      </c>
      <c r="O395" s="17" t="s">
        <v>131</v>
      </c>
      <c r="AH395" s="17" t="s">
        <v>315</v>
      </c>
      <c r="AI395" s="17" t="s">
        <v>316</v>
      </c>
      <c r="AJ395" s="17" t="s">
        <v>317</v>
      </c>
      <c r="AK395" s="17" t="s">
        <v>318</v>
      </c>
      <c r="AL395" s="17" t="s">
        <v>319</v>
      </c>
      <c r="BE395" s="17" t="s">
        <v>315</v>
      </c>
      <c r="BF395" s="17" t="s">
        <v>316</v>
      </c>
      <c r="BG395" s="17" t="s">
        <v>317</v>
      </c>
      <c r="BH395" s="17" t="s">
        <v>318</v>
      </c>
      <c r="BI395" s="17" t="s">
        <v>319</v>
      </c>
    </row>
    <row r="396" spans="10:61" x14ac:dyDescent="0.3">
      <c r="J396" s="32" t="s">
        <v>776</v>
      </c>
      <c r="K396" s="130" t="s">
        <v>322</v>
      </c>
      <c r="L396" s="130" t="s">
        <v>322</v>
      </c>
      <c r="M396" s="130" t="s">
        <v>131</v>
      </c>
      <c r="N396" s="130" t="s">
        <v>322</v>
      </c>
      <c r="O396" s="17" t="s">
        <v>322</v>
      </c>
      <c r="AG396" t="s">
        <v>512</v>
      </c>
      <c r="AH396" s="17" t="s">
        <v>72</v>
      </c>
      <c r="AI396" s="17" t="s">
        <v>322</v>
      </c>
      <c r="AJ396" s="17" t="s">
        <v>322</v>
      </c>
      <c r="AK396" s="17" t="s">
        <v>72</v>
      </c>
      <c r="AL396" s="17" t="s">
        <v>322</v>
      </c>
      <c r="BD396" t="s">
        <v>512</v>
      </c>
      <c r="BE396" s="17" t="s">
        <v>72</v>
      </c>
      <c r="BF396" s="17" t="s">
        <v>322</v>
      </c>
      <c r="BG396" s="17" t="s">
        <v>322</v>
      </c>
      <c r="BH396" s="17" t="s">
        <v>72</v>
      </c>
      <c r="BI396" s="17" t="s">
        <v>322</v>
      </c>
    </row>
    <row r="397" spans="10:61" x14ac:dyDescent="0.3">
      <c r="J397" t="s">
        <v>536</v>
      </c>
      <c r="K397" s="17" t="s">
        <v>112</v>
      </c>
      <c r="L397" s="17" t="s">
        <v>322</v>
      </c>
      <c r="M397" s="17" t="s">
        <v>112</v>
      </c>
      <c r="N397" s="17" t="s">
        <v>322</v>
      </c>
      <c r="O397" s="17" t="s">
        <v>113</v>
      </c>
      <c r="AG397" t="s">
        <v>514</v>
      </c>
      <c r="AH397" s="17" t="s">
        <v>72</v>
      </c>
      <c r="AI397" s="17" t="s">
        <v>322</v>
      </c>
      <c r="AJ397" s="17" t="s">
        <v>322</v>
      </c>
      <c r="AK397" s="17" t="s">
        <v>72</v>
      </c>
      <c r="AL397" s="17" t="s">
        <v>322</v>
      </c>
      <c r="BD397" t="s">
        <v>514</v>
      </c>
      <c r="BE397" s="17" t="s">
        <v>72</v>
      </c>
      <c r="BF397" s="17" t="s">
        <v>322</v>
      </c>
      <c r="BG397" s="17" t="s">
        <v>322</v>
      </c>
      <c r="BH397" s="17" t="s">
        <v>72</v>
      </c>
      <c r="BI397" s="17" t="s">
        <v>322</v>
      </c>
    </row>
    <row r="398" spans="10:61" x14ac:dyDescent="0.3">
      <c r="J398" t="s">
        <v>539</v>
      </c>
      <c r="K398" s="17" t="s">
        <v>112</v>
      </c>
      <c r="L398" s="17" t="s">
        <v>322</v>
      </c>
      <c r="M398" s="17" t="s">
        <v>112</v>
      </c>
      <c r="N398" s="17" t="s">
        <v>322</v>
      </c>
      <c r="O398" s="17" t="s">
        <v>113</v>
      </c>
    </row>
    <row r="399" spans="10:61" x14ac:dyDescent="0.3">
      <c r="J399" t="s">
        <v>543</v>
      </c>
      <c r="K399" s="17" t="s">
        <v>112</v>
      </c>
      <c r="L399" s="17" t="s">
        <v>322</v>
      </c>
      <c r="M399" s="17" t="s">
        <v>322</v>
      </c>
      <c r="N399" s="17" t="s">
        <v>322</v>
      </c>
      <c r="O399" s="17" t="s">
        <v>322</v>
      </c>
      <c r="AG399" t="s">
        <v>788</v>
      </c>
      <c r="BD399" t="s">
        <v>788</v>
      </c>
    </row>
    <row r="400" spans="10:61" x14ac:dyDescent="0.3">
      <c r="AH400" s="17" t="s">
        <v>315</v>
      </c>
      <c r="AI400" s="17" t="s">
        <v>316</v>
      </c>
      <c r="AJ400" s="17" t="s">
        <v>317</v>
      </c>
      <c r="AK400" s="17" t="s">
        <v>318</v>
      </c>
      <c r="AL400" s="17" t="s">
        <v>319</v>
      </c>
      <c r="BE400" s="17" t="s">
        <v>315</v>
      </c>
      <c r="BF400" s="17" t="s">
        <v>316</v>
      </c>
      <c r="BG400" s="17" t="s">
        <v>317</v>
      </c>
      <c r="BH400" s="17" t="s">
        <v>318</v>
      </c>
      <c r="BI400" s="17" t="s">
        <v>319</v>
      </c>
    </row>
    <row r="401" spans="9:61" x14ac:dyDescent="0.3">
      <c r="J401" t="s">
        <v>789</v>
      </c>
      <c r="AG401" t="s">
        <v>512</v>
      </c>
      <c r="AH401" s="17" t="s">
        <v>322</v>
      </c>
      <c r="AI401" s="17" t="s">
        <v>322</v>
      </c>
      <c r="AJ401" s="17" t="s">
        <v>322</v>
      </c>
      <c r="AK401" s="17" t="s">
        <v>322</v>
      </c>
      <c r="AL401" s="17" t="s">
        <v>129</v>
      </c>
      <c r="BD401" t="s">
        <v>326</v>
      </c>
      <c r="BE401" s="17" t="s">
        <v>129</v>
      </c>
      <c r="BF401" s="17" t="s">
        <v>322</v>
      </c>
      <c r="BG401" s="17" t="s">
        <v>322</v>
      </c>
      <c r="BH401" s="17" t="s">
        <v>322</v>
      </c>
      <c r="BI401" s="17" t="s">
        <v>129</v>
      </c>
    </row>
    <row r="402" spans="9:61" x14ac:dyDescent="0.3">
      <c r="K402" s="17" t="s">
        <v>315</v>
      </c>
      <c r="L402" s="17" t="s">
        <v>316</v>
      </c>
      <c r="M402" s="17" t="s">
        <v>317</v>
      </c>
      <c r="N402" s="17" t="s">
        <v>318</v>
      </c>
      <c r="O402" s="17" t="s">
        <v>319</v>
      </c>
      <c r="AG402" t="s">
        <v>514</v>
      </c>
      <c r="AH402" s="17" t="s">
        <v>322</v>
      </c>
      <c r="AI402" s="17" t="s">
        <v>322</v>
      </c>
      <c r="AJ402" s="17" t="s">
        <v>322</v>
      </c>
      <c r="AK402" s="17" t="s">
        <v>322</v>
      </c>
      <c r="AL402" s="17" t="s">
        <v>129</v>
      </c>
      <c r="BD402" t="s">
        <v>328</v>
      </c>
      <c r="BE402" s="17" t="s">
        <v>129</v>
      </c>
      <c r="BF402" s="17" t="s">
        <v>322</v>
      </c>
      <c r="BG402" s="17" t="s">
        <v>322</v>
      </c>
      <c r="BH402" s="17" t="s">
        <v>322</v>
      </c>
      <c r="BI402" s="17" t="s">
        <v>129</v>
      </c>
    </row>
    <row r="403" spans="9:61" x14ac:dyDescent="0.3">
      <c r="J403" t="s">
        <v>551</v>
      </c>
      <c r="K403" s="17" t="s">
        <v>322</v>
      </c>
      <c r="L403" s="17" t="s">
        <v>45</v>
      </c>
      <c r="M403" s="17" t="s">
        <v>322</v>
      </c>
      <c r="N403" s="17" t="s">
        <v>322</v>
      </c>
      <c r="O403" s="17" t="s">
        <v>322</v>
      </c>
      <c r="AG403" t="s">
        <v>326</v>
      </c>
      <c r="AH403" s="17" t="s">
        <v>129</v>
      </c>
      <c r="AI403" s="17" t="s">
        <v>322</v>
      </c>
      <c r="AJ403" s="17" t="s">
        <v>322</v>
      </c>
      <c r="AK403" s="17" t="s">
        <v>322</v>
      </c>
      <c r="AL403" s="17" t="s">
        <v>322</v>
      </c>
      <c r="BD403" t="s">
        <v>350</v>
      </c>
      <c r="BE403" s="17" t="s">
        <v>129</v>
      </c>
      <c r="BF403" s="17" t="s">
        <v>322</v>
      </c>
      <c r="BG403" s="17" t="s">
        <v>131</v>
      </c>
      <c r="BH403" s="17" t="s">
        <v>322</v>
      </c>
      <c r="BI403" s="17" t="s">
        <v>131</v>
      </c>
    </row>
    <row r="404" spans="9:61" x14ac:dyDescent="0.3">
      <c r="J404" t="s">
        <v>552</v>
      </c>
      <c r="K404" s="17" t="s">
        <v>322</v>
      </c>
      <c r="L404" s="17" t="s">
        <v>45</v>
      </c>
      <c r="M404" s="17" t="s">
        <v>322</v>
      </c>
      <c r="N404" s="17" t="s">
        <v>322</v>
      </c>
      <c r="O404" s="17" t="s">
        <v>322</v>
      </c>
      <c r="AG404" t="s">
        <v>328</v>
      </c>
      <c r="AH404" s="17" t="s">
        <v>129</v>
      </c>
      <c r="AI404" s="17" t="s">
        <v>322</v>
      </c>
      <c r="AJ404" s="17" t="s">
        <v>322</v>
      </c>
      <c r="AK404" s="17" t="s">
        <v>322</v>
      </c>
      <c r="AL404" s="17" t="s">
        <v>322</v>
      </c>
      <c r="BD404" t="s">
        <v>536</v>
      </c>
      <c r="BE404" s="17" t="s">
        <v>112</v>
      </c>
      <c r="BF404" s="17" t="s">
        <v>322</v>
      </c>
      <c r="BG404" s="17" t="s">
        <v>112</v>
      </c>
      <c r="BH404" s="17" t="s">
        <v>322</v>
      </c>
      <c r="BI404" s="17" t="s">
        <v>113</v>
      </c>
    </row>
    <row r="405" spans="9:61" x14ac:dyDescent="0.3">
      <c r="J405" t="s">
        <v>554</v>
      </c>
      <c r="K405" s="17" t="s">
        <v>322</v>
      </c>
      <c r="L405" s="17" t="s">
        <v>45</v>
      </c>
      <c r="M405" s="17" t="s">
        <v>322</v>
      </c>
      <c r="N405" s="17" t="s">
        <v>322</v>
      </c>
      <c r="O405" s="17" t="s">
        <v>322</v>
      </c>
      <c r="AG405" t="s">
        <v>350</v>
      </c>
      <c r="AH405" s="17" t="s">
        <v>129</v>
      </c>
      <c r="AI405" s="17" t="s">
        <v>322</v>
      </c>
      <c r="AJ405" s="17" t="s">
        <v>131</v>
      </c>
      <c r="AK405" s="17" t="s">
        <v>322</v>
      </c>
      <c r="AL405" s="17" t="s">
        <v>131</v>
      </c>
      <c r="BD405" t="s">
        <v>539</v>
      </c>
      <c r="BE405" s="17" t="s">
        <v>112</v>
      </c>
      <c r="BF405" s="17" t="s">
        <v>322</v>
      </c>
      <c r="BG405" s="17" t="s">
        <v>112</v>
      </c>
      <c r="BH405" s="17" t="s">
        <v>322</v>
      </c>
      <c r="BI405" s="17" t="s">
        <v>113</v>
      </c>
    </row>
    <row r="406" spans="9:61" x14ac:dyDescent="0.3">
      <c r="J406" t="s">
        <v>586</v>
      </c>
      <c r="K406" s="17" t="s">
        <v>322</v>
      </c>
      <c r="L406" s="17" t="s">
        <v>45</v>
      </c>
      <c r="M406" s="17" t="s">
        <v>322</v>
      </c>
      <c r="N406" s="17" t="s">
        <v>322</v>
      </c>
      <c r="O406" s="17" t="s">
        <v>322</v>
      </c>
      <c r="AG406" s="32" t="s">
        <v>776</v>
      </c>
      <c r="AH406" s="130" t="s">
        <v>322</v>
      </c>
      <c r="AI406" s="130" t="s">
        <v>322</v>
      </c>
      <c r="AJ406" s="130" t="s">
        <v>131</v>
      </c>
      <c r="AK406" s="130" t="s">
        <v>322</v>
      </c>
      <c r="AL406" s="130" t="s">
        <v>131</v>
      </c>
      <c r="BD406" t="s">
        <v>543</v>
      </c>
      <c r="BE406" s="17" t="s">
        <v>322</v>
      </c>
      <c r="BF406" s="17" t="s">
        <v>322</v>
      </c>
      <c r="BG406" s="17" t="s">
        <v>112</v>
      </c>
      <c r="BH406" s="17" t="s">
        <v>322</v>
      </c>
      <c r="BI406" s="17" t="s">
        <v>322</v>
      </c>
    </row>
    <row r="407" spans="9:61" x14ac:dyDescent="0.3">
      <c r="AG407" t="s">
        <v>536</v>
      </c>
      <c r="AH407" s="17" t="s">
        <v>112</v>
      </c>
      <c r="AI407" s="17" t="s">
        <v>322</v>
      </c>
      <c r="AJ407" s="17" t="s">
        <v>112</v>
      </c>
      <c r="AK407" s="17" t="s">
        <v>322</v>
      </c>
      <c r="AL407" s="17" t="s">
        <v>113</v>
      </c>
    </row>
    <row r="408" spans="9:61" x14ac:dyDescent="0.3">
      <c r="I408" s="130"/>
      <c r="J408" t="s">
        <v>790</v>
      </c>
      <c r="AD408" s="130"/>
      <c r="AF408" s="130"/>
      <c r="AG408" t="s">
        <v>539</v>
      </c>
      <c r="AH408" s="17" t="s">
        <v>112</v>
      </c>
      <c r="AI408" s="17" t="s">
        <v>322</v>
      </c>
      <c r="AJ408" s="17" t="s">
        <v>112</v>
      </c>
      <c r="AK408" s="17" t="s">
        <v>322</v>
      </c>
      <c r="AL408" s="17" t="s">
        <v>113</v>
      </c>
      <c r="BD408" t="s">
        <v>789</v>
      </c>
    </row>
    <row r="409" spans="9:61" x14ac:dyDescent="0.3">
      <c r="K409" s="17" t="s">
        <v>315</v>
      </c>
      <c r="L409" s="17" t="s">
        <v>316</v>
      </c>
      <c r="M409" s="17" t="s">
        <v>317</v>
      </c>
      <c r="N409" s="17" t="s">
        <v>318</v>
      </c>
      <c r="O409" s="17" t="s">
        <v>319</v>
      </c>
      <c r="AG409" t="s">
        <v>543</v>
      </c>
      <c r="AH409" s="17" t="s">
        <v>112</v>
      </c>
      <c r="AI409" s="17" t="s">
        <v>322</v>
      </c>
      <c r="AJ409" s="17" t="s">
        <v>322</v>
      </c>
      <c r="AK409" s="17" t="s">
        <v>322</v>
      </c>
      <c r="AL409" s="17" t="s">
        <v>322</v>
      </c>
      <c r="BE409" s="17" t="s">
        <v>315</v>
      </c>
      <c r="BF409" s="17" t="s">
        <v>316</v>
      </c>
      <c r="BG409" s="17" t="s">
        <v>317</v>
      </c>
      <c r="BH409" s="17" t="s">
        <v>318</v>
      </c>
      <c r="BI409" s="17" t="s">
        <v>319</v>
      </c>
    </row>
    <row r="410" spans="9:61" x14ac:dyDescent="0.3">
      <c r="J410" t="s">
        <v>573</v>
      </c>
      <c r="K410" s="17" t="s">
        <v>246</v>
      </c>
      <c r="L410" s="17" t="s">
        <v>322</v>
      </c>
      <c r="M410" s="17" t="s">
        <v>322</v>
      </c>
      <c r="N410" s="17" t="s">
        <v>322</v>
      </c>
      <c r="O410" s="17" t="s">
        <v>322</v>
      </c>
    </row>
    <row r="411" spans="9:61" x14ac:dyDescent="0.3">
      <c r="J411" t="s">
        <v>561</v>
      </c>
      <c r="K411" s="17" t="s">
        <v>246</v>
      </c>
      <c r="L411" s="17" t="s">
        <v>213</v>
      </c>
      <c r="M411" s="17" t="s">
        <v>322</v>
      </c>
      <c r="N411" s="17" t="s">
        <v>246</v>
      </c>
      <c r="O411" s="17" t="s">
        <v>322</v>
      </c>
      <c r="AG411" t="s">
        <v>789</v>
      </c>
      <c r="BD411" t="s">
        <v>551</v>
      </c>
      <c r="BE411" s="17" t="s">
        <v>322</v>
      </c>
      <c r="BF411" s="17" t="s">
        <v>45</v>
      </c>
      <c r="BG411" s="17" t="s">
        <v>322</v>
      </c>
      <c r="BH411" s="17" t="s">
        <v>322</v>
      </c>
      <c r="BI411" s="17" t="s">
        <v>322</v>
      </c>
    </row>
    <row r="412" spans="9:61" x14ac:dyDescent="0.3">
      <c r="J412" t="s">
        <v>551</v>
      </c>
      <c r="K412" s="17" t="s">
        <v>322</v>
      </c>
      <c r="L412" s="17" t="s">
        <v>213</v>
      </c>
      <c r="M412" s="17" t="s">
        <v>322</v>
      </c>
      <c r="N412" s="17" t="s">
        <v>246</v>
      </c>
      <c r="O412" s="17" t="s">
        <v>322</v>
      </c>
      <c r="AH412" s="17" t="s">
        <v>315</v>
      </c>
      <c r="AI412" s="17" t="s">
        <v>316</v>
      </c>
      <c r="AJ412" s="17" t="s">
        <v>317</v>
      </c>
      <c r="AK412" s="17" t="s">
        <v>318</v>
      </c>
      <c r="AL412" s="17" t="s">
        <v>319</v>
      </c>
      <c r="BD412" t="s">
        <v>552</v>
      </c>
      <c r="BE412" s="17" t="s">
        <v>322</v>
      </c>
      <c r="BF412" s="17" t="s">
        <v>45</v>
      </c>
      <c r="BG412" s="17" t="s">
        <v>322</v>
      </c>
      <c r="BH412" s="17" t="s">
        <v>322</v>
      </c>
      <c r="BI412" s="17" t="s">
        <v>322</v>
      </c>
    </row>
    <row r="413" spans="9:61" x14ac:dyDescent="0.3">
      <c r="J413" t="s">
        <v>552</v>
      </c>
      <c r="K413" s="17" t="s">
        <v>322</v>
      </c>
      <c r="L413" s="17" t="s">
        <v>213</v>
      </c>
      <c r="M413" s="17" t="s">
        <v>322</v>
      </c>
      <c r="N413" s="17" t="s">
        <v>322</v>
      </c>
      <c r="O413" s="17" t="s">
        <v>322</v>
      </c>
      <c r="AG413" t="s">
        <v>551</v>
      </c>
      <c r="AH413" s="17" t="s">
        <v>322</v>
      </c>
      <c r="AI413" s="17" t="s">
        <v>45</v>
      </c>
      <c r="AJ413" s="17" t="s">
        <v>322</v>
      </c>
      <c r="AK413" s="17" t="s">
        <v>322</v>
      </c>
      <c r="AL413" s="17" t="s">
        <v>322</v>
      </c>
      <c r="BD413" t="s">
        <v>554</v>
      </c>
      <c r="BE413" s="17" t="s">
        <v>322</v>
      </c>
      <c r="BF413" s="17" t="s">
        <v>45</v>
      </c>
      <c r="BG413" s="17" t="s">
        <v>322</v>
      </c>
      <c r="BH413" s="17" t="s">
        <v>322</v>
      </c>
      <c r="BI413" s="17" t="s">
        <v>322</v>
      </c>
    </row>
    <row r="414" spans="9:61" x14ac:dyDescent="0.3">
      <c r="AG414" t="s">
        <v>552</v>
      </c>
      <c r="AH414" s="17" t="s">
        <v>322</v>
      </c>
      <c r="AI414" s="17" t="s">
        <v>45</v>
      </c>
      <c r="AJ414" s="17" t="s">
        <v>322</v>
      </c>
      <c r="AK414" s="17" t="s">
        <v>322</v>
      </c>
      <c r="AL414" s="17" t="s">
        <v>322</v>
      </c>
      <c r="BD414" t="s">
        <v>586</v>
      </c>
      <c r="BE414" s="17" t="s">
        <v>322</v>
      </c>
      <c r="BF414" s="17" t="s">
        <v>45</v>
      </c>
      <c r="BG414" s="17" t="s">
        <v>322</v>
      </c>
      <c r="BH414" s="17" t="s">
        <v>322</v>
      </c>
      <c r="BI414" s="17" t="s">
        <v>322</v>
      </c>
    </row>
    <row r="415" spans="9:61" x14ac:dyDescent="0.3">
      <c r="J415" t="s">
        <v>791</v>
      </c>
      <c r="AG415" t="s">
        <v>554</v>
      </c>
      <c r="AH415" s="17" t="s">
        <v>322</v>
      </c>
      <c r="AI415" s="17" t="s">
        <v>45</v>
      </c>
      <c r="AJ415" s="17" t="s">
        <v>322</v>
      </c>
      <c r="AK415" s="17" t="s">
        <v>322</v>
      </c>
      <c r="AL415" s="17" t="s">
        <v>322</v>
      </c>
    </row>
    <row r="416" spans="9:61" x14ac:dyDescent="0.3">
      <c r="K416" s="17" t="s">
        <v>315</v>
      </c>
      <c r="L416" s="17" t="s">
        <v>316</v>
      </c>
      <c r="M416" s="17" t="s">
        <v>317</v>
      </c>
      <c r="N416" s="17" t="s">
        <v>318</v>
      </c>
      <c r="O416" s="17" t="s">
        <v>319</v>
      </c>
      <c r="AG416" t="s">
        <v>586</v>
      </c>
      <c r="AH416" s="17" t="s">
        <v>322</v>
      </c>
      <c r="AI416" s="17" t="s">
        <v>45</v>
      </c>
      <c r="AJ416" s="17" t="s">
        <v>322</v>
      </c>
      <c r="AK416" s="17" t="s">
        <v>322</v>
      </c>
      <c r="AL416" s="17" t="s">
        <v>322</v>
      </c>
      <c r="BD416" t="s">
        <v>790</v>
      </c>
    </row>
    <row r="417" spans="10:61" x14ac:dyDescent="0.3">
      <c r="J417" t="s">
        <v>573</v>
      </c>
      <c r="K417" s="17" t="s">
        <v>322</v>
      </c>
      <c r="L417" s="17" t="s">
        <v>322</v>
      </c>
      <c r="M417" s="17" t="s">
        <v>322</v>
      </c>
      <c r="N417" s="17" t="s">
        <v>322</v>
      </c>
      <c r="O417" s="17" t="s">
        <v>256</v>
      </c>
      <c r="BE417" s="17" t="s">
        <v>315</v>
      </c>
      <c r="BF417" s="17" t="s">
        <v>316</v>
      </c>
      <c r="BG417" s="17" t="s">
        <v>317</v>
      </c>
      <c r="BH417" s="17" t="s">
        <v>318</v>
      </c>
      <c r="BI417" s="17" t="s">
        <v>319</v>
      </c>
    </row>
    <row r="418" spans="10:61" x14ac:dyDescent="0.3">
      <c r="J418" t="s">
        <v>561</v>
      </c>
      <c r="K418" s="17" t="s">
        <v>322</v>
      </c>
      <c r="L418" s="17" t="s">
        <v>322</v>
      </c>
      <c r="M418" s="17" t="s">
        <v>256</v>
      </c>
      <c r="N418" s="17" t="s">
        <v>322</v>
      </c>
      <c r="O418" s="17" t="s">
        <v>256</v>
      </c>
      <c r="AG418" t="s">
        <v>790</v>
      </c>
      <c r="BD418" t="s">
        <v>573</v>
      </c>
      <c r="BE418" s="17" t="s">
        <v>246</v>
      </c>
      <c r="BF418" s="17" t="s">
        <v>322</v>
      </c>
      <c r="BG418" s="17" t="s">
        <v>322</v>
      </c>
      <c r="BH418" s="17" t="s">
        <v>322</v>
      </c>
      <c r="BI418" s="17" t="s">
        <v>322</v>
      </c>
    </row>
    <row r="419" spans="10:61" x14ac:dyDescent="0.3">
      <c r="J419" t="s">
        <v>551</v>
      </c>
      <c r="K419" s="17" t="s">
        <v>322</v>
      </c>
      <c r="L419" s="17" t="s">
        <v>322</v>
      </c>
      <c r="M419" s="17" t="s">
        <v>256</v>
      </c>
      <c r="N419" s="17" t="s">
        <v>322</v>
      </c>
      <c r="O419" s="17" t="s">
        <v>322</v>
      </c>
      <c r="AH419" s="17" t="s">
        <v>315</v>
      </c>
      <c r="AI419" s="17" t="s">
        <v>316</v>
      </c>
      <c r="AJ419" s="17" t="s">
        <v>317</v>
      </c>
      <c r="AK419" s="17" t="s">
        <v>318</v>
      </c>
      <c r="AL419" s="17" t="s">
        <v>319</v>
      </c>
      <c r="BD419" t="s">
        <v>561</v>
      </c>
      <c r="BE419" s="17" t="s">
        <v>246</v>
      </c>
      <c r="BF419" s="17" t="s">
        <v>213</v>
      </c>
      <c r="BG419" s="17" t="s">
        <v>322</v>
      </c>
      <c r="BH419" s="17" t="s">
        <v>246</v>
      </c>
      <c r="BI419" s="17" t="s">
        <v>322</v>
      </c>
    </row>
    <row r="420" spans="10:61" x14ac:dyDescent="0.3">
      <c r="AG420" t="s">
        <v>573</v>
      </c>
      <c r="AH420" s="17" t="s">
        <v>246</v>
      </c>
      <c r="AI420" s="17" t="s">
        <v>322</v>
      </c>
      <c r="AJ420" s="17" t="s">
        <v>322</v>
      </c>
      <c r="AK420" s="17" t="s">
        <v>322</v>
      </c>
      <c r="AL420" s="17" t="s">
        <v>322</v>
      </c>
      <c r="BD420" t="s">
        <v>551</v>
      </c>
      <c r="BE420" s="17" t="s">
        <v>322</v>
      </c>
      <c r="BF420" s="17" t="s">
        <v>213</v>
      </c>
      <c r="BG420" s="17" t="s">
        <v>322</v>
      </c>
      <c r="BH420" s="17" t="s">
        <v>246</v>
      </c>
      <c r="BI420" s="17" t="s">
        <v>322</v>
      </c>
    </row>
    <row r="421" spans="10:61" x14ac:dyDescent="0.3">
      <c r="J421" t="s">
        <v>792</v>
      </c>
      <c r="AG421" t="s">
        <v>561</v>
      </c>
      <c r="AH421" s="17" t="s">
        <v>246</v>
      </c>
      <c r="AI421" s="17" t="s">
        <v>213</v>
      </c>
      <c r="AJ421" s="17" t="s">
        <v>322</v>
      </c>
      <c r="AK421" s="17" t="s">
        <v>246</v>
      </c>
      <c r="AL421" s="17" t="s">
        <v>322</v>
      </c>
      <c r="BD421" t="s">
        <v>552</v>
      </c>
      <c r="BE421" s="17" t="s">
        <v>322</v>
      </c>
      <c r="BF421" s="17" t="s">
        <v>213</v>
      </c>
      <c r="BG421" s="17" t="s">
        <v>322</v>
      </c>
      <c r="BH421" s="17" t="s">
        <v>322</v>
      </c>
      <c r="BI421" s="17" t="s">
        <v>322</v>
      </c>
    </row>
    <row r="422" spans="10:61" x14ac:dyDescent="0.3">
      <c r="K422" s="17" t="s">
        <v>315</v>
      </c>
      <c r="L422" s="17" t="s">
        <v>316</v>
      </c>
      <c r="M422" s="17" t="s">
        <v>317</v>
      </c>
      <c r="N422" s="17" t="s">
        <v>318</v>
      </c>
      <c r="O422" s="17" t="s">
        <v>319</v>
      </c>
      <c r="AG422" t="s">
        <v>551</v>
      </c>
      <c r="AH422" s="17" t="s">
        <v>322</v>
      </c>
      <c r="AI422" s="17" t="s">
        <v>213</v>
      </c>
      <c r="AJ422" s="17" t="s">
        <v>322</v>
      </c>
      <c r="AK422" s="17" t="s">
        <v>246</v>
      </c>
      <c r="AL422" s="17" t="s">
        <v>322</v>
      </c>
    </row>
    <row r="423" spans="10:61" x14ac:dyDescent="0.3">
      <c r="J423" t="s">
        <v>551</v>
      </c>
      <c r="K423" s="17" t="s">
        <v>322</v>
      </c>
      <c r="L423" s="17" t="s">
        <v>322</v>
      </c>
      <c r="M423" s="17" t="s">
        <v>199</v>
      </c>
      <c r="N423" s="17" t="s">
        <v>322</v>
      </c>
      <c r="O423" s="17" t="s">
        <v>199</v>
      </c>
      <c r="AG423" t="s">
        <v>552</v>
      </c>
      <c r="AH423" s="17" t="s">
        <v>322</v>
      </c>
      <c r="AI423" s="17" t="s">
        <v>213</v>
      </c>
      <c r="AJ423" s="17" t="s">
        <v>322</v>
      </c>
      <c r="AK423" s="17" t="s">
        <v>322</v>
      </c>
      <c r="AL423" s="17" t="s">
        <v>322</v>
      </c>
      <c r="BD423" t="s">
        <v>791</v>
      </c>
    </row>
    <row r="424" spans="10:61" x14ac:dyDescent="0.3">
      <c r="J424" t="s">
        <v>552</v>
      </c>
      <c r="K424" s="17" t="s">
        <v>322</v>
      </c>
      <c r="L424" s="17" t="s">
        <v>322</v>
      </c>
      <c r="M424" s="17" t="s">
        <v>199</v>
      </c>
      <c r="N424" s="17" t="s">
        <v>322</v>
      </c>
      <c r="O424" s="17" t="s">
        <v>199</v>
      </c>
      <c r="BE424" s="17" t="s">
        <v>315</v>
      </c>
      <c r="BF424" s="17" t="s">
        <v>316</v>
      </c>
      <c r="BG424" s="17" t="s">
        <v>317</v>
      </c>
      <c r="BH424" s="17" t="s">
        <v>318</v>
      </c>
      <c r="BI424" s="17" t="s">
        <v>319</v>
      </c>
    </row>
    <row r="425" spans="10:61" x14ac:dyDescent="0.3">
      <c r="J425" t="s">
        <v>554</v>
      </c>
      <c r="K425" s="17" t="s">
        <v>322</v>
      </c>
      <c r="L425" s="17" t="s">
        <v>322</v>
      </c>
      <c r="M425" s="17" t="s">
        <v>202</v>
      </c>
      <c r="N425" s="17" t="s">
        <v>322</v>
      </c>
      <c r="O425" s="17" t="s">
        <v>322</v>
      </c>
      <c r="AG425" t="s">
        <v>791</v>
      </c>
      <c r="BD425" t="s">
        <v>573</v>
      </c>
      <c r="BE425" s="17" t="s">
        <v>322</v>
      </c>
      <c r="BF425" s="17" t="s">
        <v>322</v>
      </c>
      <c r="BG425" s="17" t="s">
        <v>322</v>
      </c>
      <c r="BH425" s="17" t="s">
        <v>322</v>
      </c>
      <c r="BI425" s="17" t="s">
        <v>256</v>
      </c>
    </row>
    <row r="426" spans="10:61" x14ac:dyDescent="0.3">
      <c r="J426" s="32" t="s">
        <v>586</v>
      </c>
      <c r="K426" s="130" t="s">
        <v>322</v>
      </c>
      <c r="L426" s="130" t="s">
        <v>322</v>
      </c>
      <c r="M426" s="130" t="s">
        <v>202</v>
      </c>
      <c r="N426" s="130" t="s">
        <v>322</v>
      </c>
      <c r="O426" s="130" t="s">
        <v>322</v>
      </c>
      <c r="AH426" s="17" t="s">
        <v>315</v>
      </c>
      <c r="AI426" s="17" t="s">
        <v>316</v>
      </c>
      <c r="AJ426" s="17" t="s">
        <v>317</v>
      </c>
      <c r="AK426" s="17" t="s">
        <v>318</v>
      </c>
      <c r="AL426" s="17" t="s">
        <v>319</v>
      </c>
      <c r="BD426" t="s">
        <v>561</v>
      </c>
      <c r="BE426" s="17" t="s">
        <v>322</v>
      </c>
      <c r="BF426" s="17" t="s">
        <v>322</v>
      </c>
      <c r="BG426" s="17" t="s">
        <v>256</v>
      </c>
      <c r="BH426" s="17" t="s">
        <v>322</v>
      </c>
      <c r="BI426" s="17" t="s">
        <v>256</v>
      </c>
    </row>
    <row r="427" spans="10:61" x14ac:dyDescent="0.3">
      <c r="AG427" t="s">
        <v>573</v>
      </c>
      <c r="AH427" s="17" t="s">
        <v>322</v>
      </c>
      <c r="AI427" s="17" t="s">
        <v>322</v>
      </c>
      <c r="AJ427" s="17" t="s">
        <v>322</v>
      </c>
      <c r="AK427" s="17" t="s">
        <v>322</v>
      </c>
      <c r="AL427" s="17" t="s">
        <v>256</v>
      </c>
      <c r="BD427" t="s">
        <v>551</v>
      </c>
      <c r="BE427" s="17" t="s">
        <v>322</v>
      </c>
      <c r="BF427" s="17" t="s">
        <v>322</v>
      </c>
      <c r="BG427" s="17" t="s">
        <v>256</v>
      </c>
      <c r="BH427" s="17" t="s">
        <v>322</v>
      </c>
      <c r="BI427" s="17" t="s">
        <v>322</v>
      </c>
    </row>
    <row r="428" spans="10:61" x14ac:dyDescent="0.3">
      <c r="J428" t="s">
        <v>793</v>
      </c>
      <c r="AG428" t="s">
        <v>561</v>
      </c>
      <c r="AH428" s="17" t="s">
        <v>322</v>
      </c>
      <c r="AI428" s="17" t="s">
        <v>322</v>
      </c>
      <c r="AJ428" s="17" t="s">
        <v>256</v>
      </c>
      <c r="AK428" s="17" t="s">
        <v>322</v>
      </c>
      <c r="AL428" s="17" t="s">
        <v>256</v>
      </c>
    </row>
    <row r="429" spans="10:61" x14ac:dyDescent="0.3">
      <c r="K429" s="17" t="s">
        <v>315</v>
      </c>
      <c r="L429" s="17" t="s">
        <v>316</v>
      </c>
      <c r="M429" s="17" t="s">
        <v>317</v>
      </c>
      <c r="N429" s="17" t="s">
        <v>318</v>
      </c>
      <c r="O429" s="17" t="s">
        <v>319</v>
      </c>
      <c r="AG429" t="s">
        <v>551</v>
      </c>
      <c r="AH429" s="17" t="s">
        <v>322</v>
      </c>
      <c r="AI429" s="17" t="s">
        <v>322</v>
      </c>
      <c r="AJ429" s="17" t="s">
        <v>256</v>
      </c>
      <c r="AK429" s="17" t="s">
        <v>322</v>
      </c>
      <c r="AL429" s="17" t="s">
        <v>322</v>
      </c>
      <c r="BD429" t="s">
        <v>792</v>
      </c>
    </row>
    <row r="430" spans="10:61" x14ac:dyDescent="0.3">
      <c r="J430" t="s">
        <v>552</v>
      </c>
      <c r="K430" s="17" t="s">
        <v>32</v>
      </c>
      <c r="L430" s="17" t="s">
        <v>322</v>
      </c>
      <c r="M430" s="17" t="s">
        <v>322</v>
      </c>
      <c r="N430" s="17" t="s">
        <v>32</v>
      </c>
      <c r="O430" s="17" t="s">
        <v>322</v>
      </c>
      <c r="BE430" s="17" t="s">
        <v>315</v>
      </c>
      <c r="BF430" s="17" t="s">
        <v>316</v>
      </c>
      <c r="BG430" s="17" t="s">
        <v>317</v>
      </c>
      <c r="BH430" s="17" t="s">
        <v>318</v>
      </c>
      <c r="BI430" s="17" t="s">
        <v>319</v>
      </c>
    </row>
    <row r="431" spans="10:61" x14ac:dyDescent="0.3">
      <c r="J431" t="s">
        <v>554</v>
      </c>
      <c r="K431" s="17" t="s">
        <v>32</v>
      </c>
      <c r="L431" s="17" t="s">
        <v>322</v>
      </c>
      <c r="M431" s="17" t="s">
        <v>322</v>
      </c>
      <c r="N431" s="17" t="s">
        <v>32</v>
      </c>
      <c r="O431" s="17" t="s">
        <v>322</v>
      </c>
      <c r="AG431" t="s">
        <v>792</v>
      </c>
      <c r="BD431" t="s">
        <v>551</v>
      </c>
      <c r="BE431" s="17" t="s">
        <v>322</v>
      </c>
      <c r="BF431" s="17" t="s">
        <v>322</v>
      </c>
      <c r="BG431" s="17" t="s">
        <v>199</v>
      </c>
      <c r="BH431" s="17" t="s">
        <v>322</v>
      </c>
      <c r="BI431" s="17" t="s">
        <v>199</v>
      </c>
    </row>
    <row r="432" spans="10:61" x14ac:dyDescent="0.3">
      <c r="AH432" s="17" t="s">
        <v>315</v>
      </c>
      <c r="AI432" s="17" t="s">
        <v>316</v>
      </c>
      <c r="AJ432" s="17" t="s">
        <v>317</v>
      </c>
      <c r="AK432" s="17" t="s">
        <v>318</v>
      </c>
      <c r="AL432" s="17" t="s">
        <v>319</v>
      </c>
      <c r="BD432" t="s">
        <v>552</v>
      </c>
      <c r="BE432" s="17" t="s">
        <v>322</v>
      </c>
      <c r="BF432" s="17" t="s">
        <v>322</v>
      </c>
      <c r="BG432" s="17" t="s">
        <v>199</v>
      </c>
      <c r="BH432" s="17" t="s">
        <v>322</v>
      </c>
      <c r="BI432" s="17" t="s">
        <v>199</v>
      </c>
    </row>
    <row r="433" spans="10:61" x14ac:dyDescent="0.3">
      <c r="J433" t="s">
        <v>794</v>
      </c>
      <c r="AG433" t="s">
        <v>551</v>
      </c>
      <c r="AH433" s="17" t="s">
        <v>322</v>
      </c>
      <c r="AI433" s="17" t="s">
        <v>322</v>
      </c>
      <c r="AJ433" s="17" t="s">
        <v>199</v>
      </c>
      <c r="AK433" s="17" t="s">
        <v>322</v>
      </c>
      <c r="AL433" s="17" t="s">
        <v>199</v>
      </c>
      <c r="BD433" t="s">
        <v>554</v>
      </c>
      <c r="BE433" s="17" t="s">
        <v>322</v>
      </c>
      <c r="BF433" s="17" t="s">
        <v>322</v>
      </c>
      <c r="BG433" s="17" t="s">
        <v>202</v>
      </c>
      <c r="BH433" s="17" t="s">
        <v>322</v>
      </c>
      <c r="BI433" s="17" t="s">
        <v>322</v>
      </c>
    </row>
    <row r="434" spans="10:61" x14ac:dyDescent="0.3">
      <c r="K434" s="17" t="s">
        <v>315</v>
      </c>
      <c r="L434" s="17" t="s">
        <v>316</v>
      </c>
      <c r="M434" s="17" t="s">
        <v>317</v>
      </c>
      <c r="N434" s="17" t="s">
        <v>318</v>
      </c>
      <c r="O434" s="17" t="s">
        <v>319</v>
      </c>
      <c r="AG434" t="s">
        <v>552</v>
      </c>
      <c r="AH434" s="17" t="s">
        <v>322</v>
      </c>
      <c r="AI434" s="17" t="s">
        <v>322</v>
      </c>
      <c r="AJ434" s="17" t="s">
        <v>199</v>
      </c>
      <c r="AK434" s="17" t="s">
        <v>322</v>
      </c>
      <c r="AL434" s="17" t="s">
        <v>199</v>
      </c>
    </row>
    <row r="435" spans="10:61" x14ac:dyDescent="0.3">
      <c r="J435" t="s">
        <v>517</v>
      </c>
      <c r="K435" s="17" t="s">
        <v>130</v>
      </c>
      <c r="L435" s="17" t="s">
        <v>322</v>
      </c>
      <c r="M435" s="17" t="s">
        <v>130</v>
      </c>
      <c r="N435" s="17" t="s">
        <v>322</v>
      </c>
      <c r="O435" s="17" t="s">
        <v>322</v>
      </c>
      <c r="AG435" t="s">
        <v>554</v>
      </c>
      <c r="AH435" s="17" t="s">
        <v>322</v>
      </c>
      <c r="AI435" s="17" t="s">
        <v>322</v>
      </c>
      <c r="AJ435" s="17" t="s">
        <v>202</v>
      </c>
      <c r="AK435" s="17" t="s">
        <v>322</v>
      </c>
      <c r="AL435" s="17" t="s">
        <v>322</v>
      </c>
      <c r="BD435" t="s">
        <v>793</v>
      </c>
    </row>
    <row r="436" spans="10:61" x14ac:dyDescent="0.3">
      <c r="J436" t="s">
        <v>326</v>
      </c>
      <c r="K436" s="17" t="s">
        <v>130</v>
      </c>
      <c r="L436" s="17" t="s">
        <v>322</v>
      </c>
      <c r="M436" s="17" t="s">
        <v>130</v>
      </c>
      <c r="N436" s="17" t="s">
        <v>322</v>
      </c>
      <c r="O436" s="17" t="s">
        <v>322</v>
      </c>
      <c r="AG436" s="32" t="s">
        <v>586</v>
      </c>
      <c r="AH436" s="130" t="s">
        <v>322</v>
      </c>
      <c r="AI436" s="130" t="s">
        <v>322</v>
      </c>
      <c r="AJ436" s="130" t="s">
        <v>202</v>
      </c>
      <c r="AK436" s="130" t="s">
        <v>322</v>
      </c>
      <c r="AL436" s="130" t="s">
        <v>322</v>
      </c>
    </row>
    <row r="437" spans="10:61" x14ac:dyDescent="0.3">
      <c r="J437" t="s">
        <v>328</v>
      </c>
      <c r="K437" s="130" t="s">
        <v>130</v>
      </c>
      <c r="L437" s="17" t="s">
        <v>322</v>
      </c>
      <c r="M437" s="17" t="s">
        <v>322</v>
      </c>
      <c r="N437" s="17" t="s">
        <v>322</v>
      </c>
      <c r="O437" s="17" t="s">
        <v>322</v>
      </c>
      <c r="BE437" s="17" t="s">
        <v>315</v>
      </c>
      <c r="BF437" s="17" t="s">
        <v>316</v>
      </c>
      <c r="BG437" s="17" t="s">
        <v>317</v>
      </c>
      <c r="BH437" s="17" t="s">
        <v>318</v>
      </c>
      <c r="BI437" s="17" t="s">
        <v>319</v>
      </c>
    </row>
    <row r="438" spans="10:61" x14ac:dyDescent="0.3">
      <c r="J438" t="s">
        <v>543</v>
      </c>
      <c r="K438" s="17" t="s">
        <v>322</v>
      </c>
      <c r="L438" s="17" t="s">
        <v>322</v>
      </c>
      <c r="M438" s="17" t="s">
        <v>115</v>
      </c>
      <c r="N438" s="17" t="s">
        <v>322</v>
      </c>
      <c r="O438" s="17" t="s">
        <v>115</v>
      </c>
      <c r="AG438" t="s">
        <v>793</v>
      </c>
      <c r="BD438" t="s">
        <v>552</v>
      </c>
      <c r="BE438" s="17" t="s">
        <v>32</v>
      </c>
      <c r="BF438" s="17" t="s">
        <v>322</v>
      </c>
      <c r="BG438" s="17" t="s">
        <v>322</v>
      </c>
      <c r="BH438" s="17" t="s">
        <v>32</v>
      </c>
      <c r="BI438" s="17" t="s">
        <v>322</v>
      </c>
    </row>
    <row r="439" spans="10:61" x14ac:dyDescent="0.3">
      <c r="J439" t="s">
        <v>573</v>
      </c>
      <c r="K439" s="17" t="s">
        <v>322</v>
      </c>
      <c r="L439" s="17" t="s">
        <v>322</v>
      </c>
      <c r="M439" s="17" t="s">
        <v>115</v>
      </c>
      <c r="N439" s="17" t="s">
        <v>322</v>
      </c>
      <c r="O439" s="17" t="s">
        <v>115</v>
      </c>
      <c r="AH439" s="17" t="s">
        <v>315</v>
      </c>
      <c r="AI439" s="17" t="s">
        <v>316</v>
      </c>
      <c r="AJ439" s="17" t="s">
        <v>317</v>
      </c>
      <c r="AK439" s="17" t="s">
        <v>318</v>
      </c>
      <c r="AL439" s="17" t="s">
        <v>319</v>
      </c>
      <c r="BD439" t="s">
        <v>554</v>
      </c>
      <c r="BE439" s="17" t="s">
        <v>32</v>
      </c>
      <c r="BF439" s="17" t="s">
        <v>322</v>
      </c>
      <c r="BG439" s="17" t="s">
        <v>322</v>
      </c>
      <c r="BH439" s="17" t="s">
        <v>32</v>
      </c>
      <c r="BI439" s="17" t="s">
        <v>322</v>
      </c>
    </row>
    <row r="440" spans="10:61" x14ac:dyDescent="0.3">
      <c r="J440" t="s">
        <v>561</v>
      </c>
      <c r="K440" s="17" t="s">
        <v>322</v>
      </c>
      <c r="L440" s="17" t="s">
        <v>322</v>
      </c>
      <c r="M440" s="17" t="s">
        <v>115</v>
      </c>
      <c r="N440" s="17" t="s">
        <v>322</v>
      </c>
      <c r="O440" s="17" t="s">
        <v>322</v>
      </c>
      <c r="AG440" t="s">
        <v>552</v>
      </c>
      <c r="AH440" s="17" t="s">
        <v>32</v>
      </c>
      <c r="AI440" s="17" t="s">
        <v>322</v>
      </c>
      <c r="AJ440" s="17" t="s">
        <v>322</v>
      </c>
      <c r="AK440" s="17" t="s">
        <v>32</v>
      </c>
      <c r="AL440" s="17" t="s">
        <v>322</v>
      </c>
    </row>
    <row r="441" spans="10:61" x14ac:dyDescent="0.3">
      <c r="AG441" t="s">
        <v>554</v>
      </c>
      <c r="AH441" s="17" t="s">
        <v>32</v>
      </c>
      <c r="AI441" s="17" t="s">
        <v>322</v>
      </c>
      <c r="AJ441" s="17" t="s">
        <v>322</v>
      </c>
      <c r="AK441" s="17" t="s">
        <v>32</v>
      </c>
      <c r="AL441" s="17" t="s">
        <v>322</v>
      </c>
      <c r="BD441" t="s">
        <v>794</v>
      </c>
    </row>
    <row r="442" spans="10:61" x14ac:dyDescent="0.3">
      <c r="J442" t="s">
        <v>795</v>
      </c>
      <c r="BE442" s="17" t="s">
        <v>315</v>
      </c>
      <c r="BF442" s="17" t="s">
        <v>316</v>
      </c>
      <c r="BG442" s="17" t="s">
        <v>317</v>
      </c>
      <c r="BH442" s="17" t="s">
        <v>318</v>
      </c>
      <c r="BI442" s="17" t="s">
        <v>319</v>
      </c>
    </row>
    <row r="443" spans="10:61" x14ac:dyDescent="0.3">
      <c r="K443" s="17" t="s">
        <v>315</v>
      </c>
      <c r="L443" s="17" t="s">
        <v>316</v>
      </c>
      <c r="M443" s="17" t="s">
        <v>317</v>
      </c>
      <c r="N443" s="17" t="s">
        <v>318</v>
      </c>
      <c r="O443" s="17" t="s">
        <v>319</v>
      </c>
      <c r="AG443" t="s">
        <v>794</v>
      </c>
      <c r="BD443" t="s">
        <v>514</v>
      </c>
      <c r="BE443" s="17" t="s">
        <v>130</v>
      </c>
      <c r="BF443" s="17" t="s">
        <v>322</v>
      </c>
      <c r="BG443" s="17" t="s">
        <v>322</v>
      </c>
      <c r="BH443" s="17" t="s">
        <v>322</v>
      </c>
      <c r="BI443" s="17" t="s">
        <v>322</v>
      </c>
    </row>
    <row r="444" spans="10:61" x14ac:dyDescent="0.3">
      <c r="J444" t="s">
        <v>551</v>
      </c>
      <c r="K444" s="17" t="s">
        <v>322</v>
      </c>
      <c r="L444" s="130" t="s">
        <v>263</v>
      </c>
      <c r="M444" s="17" t="s">
        <v>322</v>
      </c>
      <c r="N444" s="17" t="s">
        <v>263</v>
      </c>
      <c r="O444" s="17" t="s">
        <v>322</v>
      </c>
      <c r="AH444" s="17" t="s">
        <v>315</v>
      </c>
      <c r="AI444" s="17" t="s">
        <v>316</v>
      </c>
      <c r="AJ444" s="17" t="s">
        <v>317</v>
      </c>
      <c r="AK444" s="17" t="s">
        <v>318</v>
      </c>
      <c r="AL444" s="17" t="s">
        <v>319</v>
      </c>
      <c r="BD444" t="s">
        <v>517</v>
      </c>
      <c r="BE444" s="17" t="s">
        <v>130</v>
      </c>
      <c r="BF444" s="17" t="s">
        <v>322</v>
      </c>
      <c r="BG444" s="17" t="s">
        <v>130</v>
      </c>
      <c r="BH444" s="17" t="s">
        <v>322</v>
      </c>
      <c r="BI444" s="17" t="s">
        <v>322</v>
      </c>
    </row>
    <row r="445" spans="10:61" x14ac:dyDescent="0.3">
      <c r="J445" t="s">
        <v>552</v>
      </c>
      <c r="K445" s="17" t="s">
        <v>322</v>
      </c>
      <c r="L445" s="130" t="s">
        <v>263</v>
      </c>
      <c r="M445" s="17" t="s">
        <v>322</v>
      </c>
      <c r="N445" s="17" t="s">
        <v>263</v>
      </c>
      <c r="O445" s="17" t="s">
        <v>322</v>
      </c>
      <c r="AG445" t="s">
        <v>514</v>
      </c>
      <c r="AH445" s="17" t="s">
        <v>130</v>
      </c>
      <c r="AI445" s="17" t="s">
        <v>322</v>
      </c>
      <c r="AJ445" s="17" t="s">
        <v>322</v>
      </c>
      <c r="AK445" s="17" t="s">
        <v>322</v>
      </c>
      <c r="AL445" s="17" t="s">
        <v>322</v>
      </c>
      <c r="BD445" t="s">
        <v>326</v>
      </c>
      <c r="BE445" s="17" t="s">
        <v>130</v>
      </c>
      <c r="BF445" s="17" t="s">
        <v>322</v>
      </c>
      <c r="BG445" s="17" t="s">
        <v>130</v>
      </c>
      <c r="BH445" s="17" t="s">
        <v>322</v>
      </c>
      <c r="BI445" s="17" t="s">
        <v>322</v>
      </c>
    </row>
    <row r="446" spans="10:61" x14ac:dyDescent="0.3">
      <c r="AG446" t="s">
        <v>517</v>
      </c>
      <c r="AH446" s="17" t="s">
        <v>130</v>
      </c>
      <c r="AI446" s="17" t="s">
        <v>322</v>
      </c>
      <c r="AJ446" s="17" t="s">
        <v>130</v>
      </c>
      <c r="AK446" s="17" t="s">
        <v>322</v>
      </c>
      <c r="AL446" s="17" t="s">
        <v>322</v>
      </c>
      <c r="BD446" t="s">
        <v>543</v>
      </c>
      <c r="BE446" s="17" t="s">
        <v>115</v>
      </c>
      <c r="BF446" s="17" t="s">
        <v>322</v>
      </c>
      <c r="BG446" s="17" t="s">
        <v>322</v>
      </c>
      <c r="BH446" s="17" t="s">
        <v>322</v>
      </c>
      <c r="BI446" s="17" t="s">
        <v>115</v>
      </c>
    </row>
    <row r="447" spans="10:61" x14ac:dyDescent="0.3">
      <c r="J447" t="s">
        <v>796</v>
      </c>
      <c r="AG447" t="s">
        <v>326</v>
      </c>
      <c r="AH447" s="17" t="s">
        <v>130</v>
      </c>
      <c r="AI447" s="17" t="s">
        <v>322</v>
      </c>
      <c r="AJ447" s="17" t="s">
        <v>130</v>
      </c>
      <c r="AK447" s="17" t="s">
        <v>322</v>
      </c>
      <c r="AL447" s="17" t="s">
        <v>322</v>
      </c>
      <c r="BD447" t="s">
        <v>573</v>
      </c>
      <c r="BE447" s="17" t="s">
        <v>115</v>
      </c>
      <c r="BF447" s="17" t="s">
        <v>322</v>
      </c>
      <c r="BG447" s="17" t="s">
        <v>322</v>
      </c>
      <c r="BH447" s="17" t="s">
        <v>322</v>
      </c>
      <c r="BI447" s="17" t="s">
        <v>115</v>
      </c>
    </row>
    <row r="448" spans="10:61" x14ac:dyDescent="0.3">
      <c r="K448" s="17" t="s">
        <v>315</v>
      </c>
      <c r="L448" s="17" t="s">
        <v>316</v>
      </c>
      <c r="M448" s="17" t="s">
        <v>317</v>
      </c>
      <c r="N448" s="17" t="s">
        <v>318</v>
      </c>
      <c r="O448" s="17" t="s">
        <v>319</v>
      </c>
      <c r="AG448" t="s">
        <v>543</v>
      </c>
      <c r="AH448" s="17" t="s">
        <v>322</v>
      </c>
      <c r="AI448" s="17" t="s">
        <v>322</v>
      </c>
      <c r="AJ448" s="17" t="s">
        <v>115</v>
      </c>
      <c r="AK448" s="17" t="s">
        <v>322</v>
      </c>
      <c r="AL448" s="17" t="s">
        <v>115</v>
      </c>
      <c r="BD448" t="s">
        <v>561</v>
      </c>
      <c r="BE448" s="17" t="s">
        <v>322</v>
      </c>
      <c r="BF448" s="17" t="s">
        <v>322</v>
      </c>
      <c r="BG448" s="17" t="s">
        <v>322</v>
      </c>
      <c r="BH448" s="17" t="s">
        <v>322</v>
      </c>
      <c r="BI448" s="17" t="s">
        <v>115</v>
      </c>
    </row>
    <row r="449" spans="10:61" x14ac:dyDescent="0.3">
      <c r="J449" t="s">
        <v>552</v>
      </c>
      <c r="K449" s="17" t="s">
        <v>322</v>
      </c>
      <c r="L449" s="17" t="s">
        <v>29</v>
      </c>
      <c r="M449" s="17" t="s">
        <v>322</v>
      </c>
      <c r="N449" s="17" t="s">
        <v>322</v>
      </c>
      <c r="O449" s="17" t="s">
        <v>322</v>
      </c>
      <c r="AG449" t="s">
        <v>573</v>
      </c>
      <c r="AH449" s="17" t="s">
        <v>322</v>
      </c>
      <c r="AI449" s="17" t="s">
        <v>322</v>
      </c>
      <c r="AJ449" s="17" t="s">
        <v>115</v>
      </c>
      <c r="AK449" s="17" t="s">
        <v>322</v>
      </c>
      <c r="AL449" s="17" t="s">
        <v>115</v>
      </c>
    </row>
    <row r="450" spans="10:61" x14ac:dyDescent="0.3">
      <c r="J450" t="s">
        <v>554</v>
      </c>
      <c r="K450" s="17" t="s">
        <v>322</v>
      </c>
      <c r="L450" s="17" t="s">
        <v>29</v>
      </c>
      <c r="M450" s="17" t="s">
        <v>322</v>
      </c>
      <c r="N450" s="17" t="s">
        <v>322</v>
      </c>
      <c r="O450" s="17" t="s">
        <v>322</v>
      </c>
      <c r="AG450" t="s">
        <v>561</v>
      </c>
      <c r="AH450" s="17" t="s">
        <v>322</v>
      </c>
      <c r="AI450" s="17" t="s">
        <v>322</v>
      </c>
      <c r="AJ450" s="17" t="s">
        <v>115</v>
      </c>
      <c r="AK450" s="17" t="s">
        <v>322</v>
      </c>
      <c r="AL450" s="17" t="s">
        <v>322</v>
      </c>
      <c r="BD450" t="s">
        <v>795</v>
      </c>
    </row>
    <row r="451" spans="10:61" x14ac:dyDescent="0.3">
      <c r="BE451" s="17" t="s">
        <v>315</v>
      </c>
      <c r="BF451" s="17" t="s">
        <v>316</v>
      </c>
      <c r="BG451" s="17" t="s">
        <v>317</v>
      </c>
      <c r="BH451" s="17" t="s">
        <v>318</v>
      </c>
      <c r="BI451" s="17" t="s">
        <v>319</v>
      </c>
    </row>
    <row r="452" spans="10:61" x14ac:dyDescent="0.3">
      <c r="J452" t="s">
        <v>797</v>
      </c>
      <c r="AG452" t="s">
        <v>795</v>
      </c>
      <c r="BD452" t="s">
        <v>573</v>
      </c>
      <c r="BE452" s="17" t="s">
        <v>263</v>
      </c>
      <c r="BF452" s="17" t="s">
        <v>322</v>
      </c>
      <c r="BG452" s="17" t="s">
        <v>322</v>
      </c>
      <c r="BH452" s="17" t="s">
        <v>322</v>
      </c>
      <c r="BI452" s="17" t="s">
        <v>322</v>
      </c>
    </row>
    <row r="453" spans="10:61" x14ac:dyDescent="0.3">
      <c r="K453" s="17" t="s">
        <v>315</v>
      </c>
      <c r="L453" s="17" t="s">
        <v>316</v>
      </c>
      <c r="M453" s="17" t="s">
        <v>317</v>
      </c>
      <c r="N453" s="17" t="s">
        <v>318</v>
      </c>
      <c r="O453" s="17" t="s">
        <v>319</v>
      </c>
      <c r="AH453" s="17" t="s">
        <v>315</v>
      </c>
      <c r="AI453" s="17" t="s">
        <v>316</v>
      </c>
      <c r="AJ453" s="17" t="s">
        <v>317</v>
      </c>
      <c r="AK453" s="17" t="s">
        <v>318</v>
      </c>
      <c r="AL453" s="17" t="s">
        <v>319</v>
      </c>
      <c r="BD453" t="s">
        <v>561</v>
      </c>
      <c r="BE453" s="17" t="s">
        <v>263</v>
      </c>
      <c r="BF453" s="17" t="s">
        <v>322</v>
      </c>
      <c r="BG453" s="17" t="s">
        <v>322</v>
      </c>
      <c r="BH453" s="17" t="s">
        <v>322</v>
      </c>
      <c r="BI453" s="17" t="s">
        <v>322</v>
      </c>
    </row>
    <row r="454" spans="10:61" x14ac:dyDescent="0.3">
      <c r="J454" t="s">
        <v>326</v>
      </c>
      <c r="K454" s="17" t="s">
        <v>322</v>
      </c>
      <c r="L454" s="17" t="s">
        <v>322</v>
      </c>
      <c r="M454" s="17" t="s">
        <v>81</v>
      </c>
      <c r="N454" s="17" t="s">
        <v>322</v>
      </c>
      <c r="O454" s="17" t="s">
        <v>322</v>
      </c>
      <c r="AG454" t="s">
        <v>573</v>
      </c>
      <c r="AH454" s="17" t="s">
        <v>263</v>
      </c>
      <c r="AI454" s="17" t="s">
        <v>322</v>
      </c>
      <c r="AJ454" s="17" t="s">
        <v>322</v>
      </c>
      <c r="AK454" s="17" t="s">
        <v>322</v>
      </c>
      <c r="AL454" s="17" t="s">
        <v>322</v>
      </c>
      <c r="BD454" t="s">
        <v>551</v>
      </c>
      <c r="BE454" s="17" t="s">
        <v>322</v>
      </c>
      <c r="BF454" s="17" t="s">
        <v>322</v>
      </c>
      <c r="BG454" s="17" t="s">
        <v>322</v>
      </c>
      <c r="BH454" s="17" t="s">
        <v>263</v>
      </c>
      <c r="BI454" s="17" t="s">
        <v>322</v>
      </c>
    </row>
    <row r="455" spans="10:61" x14ac:dyDescent="0.3">
      <c r="J455" t="s">
        <v>328</v>
      </c>
      <c r="K455" s="17" t="s">
        <v>81</v>
      </c>
      <c r="L455" s="17" t="s">
        <v>322</v>
      </c>
      <c r="M455" s="17" t="s">
        <v>81</v>
      </c>
      <c r="N455" s="17" t="s">
        <v>322</v>
      </c>
      <c r="O455" s="17" t="s">
        <v>322</v>
      </c>
      <c r="AG455" t="s">
        <v>561</v>
      </c>
      <c r="AH455" s="17" t="s">
        <v>263</v>
      </c>
      <c r="AI455" s="17" t="s">
        <v>322</v>
      </c>
      <c r="AJ455" s="17" t="s">
        <v>322</v>
      </c>
      <c r="AK455" s="17" t="s">
        <v>322</v>
      </c>
      <c r="AL455" s="17" t="s">
        <v>322</v>
      </c>
      <c r="BD455" t="s">
        <v>552</v>
      </c>
      <c r="BE455" s="17" t="s">
        <v>322</v>
      </c>
      <c r="BF455" s="17" t="s">
        <v>322</v>
      </c>
      <c r="BG455" s="17" t="s">
        <v>322</v>
      </c>
      <c r="BH455" s="17" t="s">
        <v>263</v>
      </c>
      <c r="BI455" s="17" t="s">
        <v>322</v>
      </c>
    </row>
    <row r="456" spans="10:61" x14ac:dyDescent="0.3">
      <c r="J456" t="s">
        <v>350</v>
      </c>
      <c r="K456" s="17" t="s">
        <v>81</v>
      </c>
      <c r="L456" s="17" t="s">
        <v>322</v>
      </c>
      <c r="M456" s="17" t="s">
        <v>81</v>
      </c>
      <c r="N456" s="17" t="s">
        <v>322</v>
      </c>
      <c r="O456" s="17" t="s">
        <v>322</v>
      </c>
      <c r="AG456" t="s">
        <v>551</v>
      </c>
      <c r="AH456" s="17" t="s">
        <v>322</v>
      </c>
      <c r="AI456" s="17" t="s">
        <v>322</v>
      </c>
      <c r="AJ456" s="17" t="s">
        <v>322</v>
      </c>
      <c r="AK456" s="17" t="s">
        <v>263</v>
      </c>
      <c r="AL456" s="17" t="s">
        <v>322</v>
      </c>
    </row>
    <row r="457" spans="10:61" x14ac:dyDescent="0.3">
      <c r="J457" t="s">
        <v>539</v>
      </c>
      <c r="K457" s="17" t="s">
        <v>322</v>
      </c>
      <c r="L457" s="17" t="s">
        <v>322</v>
      </c>
      <c r="M457" s="17" t="s">
        <v>266</v>
      </c>
      <c r="N457" s="17" t="s">
        <v>322</v>
      </c>
      <c r="O457" s="17" t="s">
        <v>266</v>
      </c>
      <c r="AG457" t="s">
        <v>552</v>
      </c>
      <c r="AH457" s="17" t="s">
        <v>322</v>
      </c>
      <c r="AI457" s="17" t="s">
        <v>322</v>
      </c>
      <c r="AJ457" s="17" t="s">
        <v>322</v>
      </c>
      <c r="AK457" s="17" t="s">
        <v>263</v>
      </c>
      <c r="AL457" s="17" t="s">
        <v>322</v>
      </c>
      <c r="BD457" t="s">
        <v>796</v>
      </c>
    </row>
    <row r="458" spans="10:61" x14ac:dyDescent="0.3">
      <c r="J458" t="s">
        <v>543</v>
      </c>
      <c r="K458" s="17" t="s">
        <v>322</v>
      </c>
      <c r="L458" s="17" t="s">
        <v>322</v>
      </c>
      <c r="M458" s="17" t="s">
        <v>266</v>
      </c>
      <c r="N458" s="17" t="s">
        <v>322</v>
      </c>
      <c r="O458" s="17" t="s">
        <v>266</v>
      </c>
      <c r="BE458" s="17" t="s">
        <v>315</v>
      </c>
      <c r="BF458" s="17" t="s">
        <v>316</v>
      </c>
      <c r="BG458" s="17" t="s">
        <v>317</v>
      </c>
      <c r="BH458" s="17" t="s">
        <v>318</v>
      </c>
      <c r="BI458" s="17" t="s">
        <v>319</v>
      </c>
    </row>
    <row r="459" spans="10:61" x14ac:dyDescent="0.3">
      <c r="AG459" t="s">
        <v>796</v>
      </c>
      <c r="BD459" t="s">
        <v>552</v>
      </c>
      <c r="BE459" s="17" t="s">
        <v>322</v>
      </c>
      <c r="BF459" s="17" t="s">
        <v>29</v>
      </c>
      <c r="BG459" s="17" t="s">
        <v>322</v>
      </c>
      <c r="BH459" s="17" t="s">
        <v>322</v>
      </c>
      <c r="BI459" s="17" t="s">
        <v>322</v>
      </c>
    </row>
    <row r="460" spans="10:61" x14ac:dyDescent="0.3">
      <c r="J460" t="s">
        <v>798</v>
      </c>
      <c r="AH460" s="17" t="s">
        <v>315</v>
      </c>
      <c r="AI460" s="17" t="s">
        <v>316</v>
      </c>
      <c r="AJ460" s="17" t="s">
        <v>317</v>
      </c>
      <c r="AK460" s="17" t="s">
        <v>318</v>
      </c>
      <c r="AL460" s="17" t="s">
        <v>319</v>
      </c>
      <c r="BD460" t="s">
        <v>554</v>
      </c>
      <c r="BE460" s="17" t="s">
        <v>322</v>
      </c>
      <c r="BF460" s="17" t="s">
        <v>29</v>
      </c>
      <c r="BG460" s="17" t="s">
        <v>322</v>
      </c>
      <c r="BH460" s="17" t="s">
        <v>322</v>
      </c>
      <c r="BI460" s="17" t="s">
        <v>322</v>
      </c>
    </row>
    <row r="461" spans="10:61" x14ac:dyDescent="0.3">
      <c r="K461" s="17" t="s">
        <v>315</v>
      </c>
      <c r="L461" s="17" t="s">
        <v>316</v>
      </c>
      <c r="M461" s="17" t="s">
        <v>317</v>
      </c>
      <c r="N461" s="17" t="s">
        <v>318</v>
      </c>
      <c r="O461" s="17" t="s">
        <v>319</v>
      </c>
      <c r="AG461" t="s">
        <v>552</v>
      </c>
      <c r="AH461" s="17" t="s">
        <v>322</v>
      </c>
      <c r="AI461" s="17" t="s">
        <v>29</v>
      </c>
      <c r="AJ461" s="17" t="s">
        <v>322</v>
      </c>
      <c r="AK461" s="17" t="s">
        <v>322</v>
      </c>
      <c r="AL461" s="17" t="s">
        <v>322</v>
      </c>
    </row>
    <row r="462" spans="10:61" x14ac:dyDescent="0.3">
      <c r="J462" t="s">
        <v>552</v>
      </c>
      <c r="K462" s="17" t="s">
        <v>322</v>
      </c>
      <c r="L462" s="17" t="s">
        <v>322</v>
      </c>
      <c r="M462" s="17" t="s">
        <v>286</v>
      </c>
      <c r="N462" s="17" t="s">
        <v>322</v>
      </c>
      <c r="O462" s="17" t="s">
        <v>322</v>
      </c>
      <c r="AG462" t="s">
        <v>554</v>
      </c>
      <c r="AH462" s="17" t="s">
        <v>322</v>
      </c>
      <c r="AI462" s="17" t="s">
        <v>29</v>
      </c>
      <c r="AJ462" s="17" t="s">
        <v>322</v>
      </c>
      <c r="AK462" s="17" t="s">
        <v>322</v>
      </c>
      <c r="AL462" s="17" t="s">
        <v>322</v>
      </c>
      <c r="BD462" t="s">
        <v>797</v>
      </c>
    </row>
    <row r="463" spans="10:61" x14ac:dyDescent="0.3">
      <c r="J463" t="s">
        <v>554</v>
      </c>
      <c r="K463" s="17" t="s">
        <v>322</v>
      </c>
      <c r="L463" s="17" t="s">
        <v>322</v>
      </c>
      <c r="M463" s="17" t="s">
        <v>286</v>
      </c>
      <c r="N463" s="17" t="s">
        <v>322</v>
      </c>
      <c r="O463" s="17" t="s">
        <v>322</v>
      </c>
      <c r="BE463" s="17" t="s">
        <v>315</v>
      </c>
      <c r="BF463" s="17" t="s">
        <v>316</v>
      </c>
      <c r="BG463" s="17" t="s">
        <v>317</v>
      </c>
      <c r="BH463" s="17" t="s">
        <v>318</v>
      </c>
      <c r="BI463" s="17" t="s">
        <v>319</v>
      </c>
    </row>
    <row r="464" spans="10:61" x14ac:dyDescent="0.3">
      <c r="AG464" t="s">
        <v>797</v>
      </c>
      <c r="BD464" t="s">
        <v>517</v>
      </c>
      <c r="BE464" s="17" t="s">
        <v>322</v>
      </c>
      <c r="BF464" s="17" t="s">
        <v>322</v>
      </c>
      <c r="BG464" s="17" t="s">
        <v>322</v>
      </c>
      <c r="BH464" s="17" t="s">
        <v>322</v>
      </c>
      <c r="BI464" s="17" t="s">
        <v>81</v>
      </c>
    </row>
    <row r="465" spans="2:61" x14ac:dyDescent="0.3">
      <c r="J465" t="s">
        <v>799</v>
      </c>
      <c r="AH465" s="17" t="s">
        <v>315</v>
      </c>
      <c r="AI465" s="17" t="s">
        <v>316</v>
      </c>
      <c r="AJ465" s="17" t="s">
        <v>317</v>
      </c>
      <c r="AK465" s="17" t="s">
        <v>318</v>
      </c>
      <c r="AL465" s="17" t="s">
        <v>319</v>
      </c>
      <c r="BD465" t="s">
        <v>326</v>
      </c>
      <c r="BE465" s="17" t="s">
        <v>91</v>
      </c>
      <c r="BF465" s="17" t="s">
        <v>322</v>
      </c>
      <c r="BG465" s="17" t="s">
        <v>81</v>
      </c>
      <c r="BH465" s="17" t="s">
        <v>322</v>
      </c>
      <c r="BI465" s="17" t="s">
        <v>81</v>
      </c>
    </row>
    <row r="466" spans="2:61" x14ac:dyDescent="0.3">
      <c r="K466" s="17" t="s">
        <v>315</v>
      </c>
      <c r="L466" s="17" t="s">
        <v>316</v>
      </c>
      <c r="M466" s="17" t="s">
        <v>317</v>
      </c>
      <c r="N466" s="17" t="s">
        <v>318</v>
      </c>
      <c r="O466" s="17" t="s">
        <v>319</v>
      </c>
      <c r="AG466" t="s">
        <v>326</v>
      </c>
      <c r="AH466" s="17" t="s">
        <v>322</v>
      </c>
      <c r="AI466" s="17" t="s">
        <v>322</v>
      </c>
      <c r="AJ466" s="17" t="s">
        <v>81</v>
      </c>
      <c r="AK466" s="17" t="s">
        <v>322</v>
      </c>
      <c r="AL466" s="17" t="s">
        <v>322</v>
      </c>
      <c r="BD466" t="s">
        <v>328</v>
      </c>
      <c r="BE466" s="17" t="s">
        <v>91</v>
      </c>
      <c r="BF466" s="17" t="s">
        <v>322</v>
      </c>
      <c r="BG466" s="17" t="s">
        <v>81</v>
      </c>
      <c r="BH466" s="17" t="s">
        <v>91</v>
      </c>
      <c r="BI466" s="17" t="s">
        <v>322</v>
      </c>
    </row>
    <row r="467" spans="2:61" x14ac:dyDescent="0.3">
      <c r="J467" t="s">
        <v>539</v>
      </c>
      <c r="K467" s="17" t="s">
        <v>217</v>
      </c>
      <c r="L467" s="17" t="s">
        <v>322</v>
      </c>
      <c r="M467" s="17" t="s">
        <v>322</v>
      </c>
      <c r="N467" s="17" t="s">
        <v>322</v>
      </c>
      <c r="O467" s="17" t="s">
        <v>217</v>
      </c>
      <c r="AG467" t="s">
        <v>328</v>
      </c>
      <c r="AH467" s="17" t="s">
        <v>81</v>
      </c>
      <c r="AI467" s="17" t="s">
        <v>322</v>
      </c>
      <c r="AJ467" s="17" t="s">
        <v>81</v>
      </c>
      <c r="AK467" s="17" t="s">
        <v>322</v>
      </c>
      <c r="AL467" s="17" t="s">
        <v>322</v>
      </c>
      <c r="BD467" t="s">
        <v>350</v>
      </c>
      <c r="BE467" s="17" t="s">
        <v>91</v>
      </c>
      <c r="BF467" s="17" t="s">
        <v>322</v>
      </c>
      <c r="BG467" s="17" t="s">
        <v>81</v>
      </c>
      <c r="BH467" s="17" t="s">
        <v>91</v>
      </c>
      <c r="BI467" s="17" t="s">
        <v>322</v>
      </c>
    </row>
    <row r="468" spans="2:61" x14ac:dyDescent="0.3">
      <c r="J468" t="s">
        <v>543</v>
      </c>
      <c r="K468" s="17" t="s">
        <v>217</v>
      </c>
      <c r="L468" s="17" t="s">
        <v>322</v>
      </c>
      <c r="M468" s="17" t="s">
        <v>322</v>
      </c>
      <c r="N468" s="17" t="s">
        <v>322</v>
      </c>
      <c r="O468" s="17" t="s">
        <v>217</v>
      </c>
      <c r="AG468" t="s">
        <v>350</v>
      </c>
      <c r="AH468" s="17" t="s">
        <v>81</v>
      </c>
      <c r="AI468" s="17" t="s">
        <v>322</v>
      </c>
      <c r="AJ468" s="17" t="s">
        <v>81</v>
      </c>
      <c r="AK468" s="17" t="s">
        <v>322</v>
      </c>
      <c r="AL468" s="17" t="s">
        <v>322</v>
      </c>
      <c r="BD468" t="s">
        <v>539</v>
      </c>
      <c r="BE468" s="17" t="s">
        <v>322</v>
      </c>
      <c r="BF468" s="17" t="s">
        <v>322</v>
      </c>
      <c r="BG468" s="17" t="s">
        <v>266</v>
      </c>
      <c r="BH468" s="17" t="s">
        <v>322</v>
      </c>
      <c r="BI468" s="17" t="s">
        <v>266</v>
      </c>
    </row>
    <row r="469" spans="2:61" x14ac:dyDescent="0.3">
      <c r="J469" t="s">
        <v>573</v>
      </c>
      <c r="K469" s="17" t="s">
        <v>322</v>
      </c>
      <c r="L469" s="17" t="s">
        <v>322</v>
      </c>
      <c r="M469" s="17" t="s">
        <v>322</v>
      </c>
      <c r="N469" s="17" t="s">
        <v>322</v>
      </c>
      <c r="O469" s="17" t="s">
        <v>217</v>
      </c>
      <c r="AG469" t="s">
        <v>539</v>
      </c>
      <c r="AH469" s="17" t="s">
        <v>322</v>
      </c>
      <c r="AI469" s="17" t="s">
        <v>322</v>
      </c>
      <c r="AJ469" s="17" t="s">
        <v>266</v>
      </c>
      <c r="AK469" s="17" t="s">
        <v>322</v>
      </c>
      <c r="AL469" s="17" t="s">
        <v>266</v>
      </c>
      <c r="BD469" t="s">
        <v>543</v>
      </c>
      <c r="BE469" s="17" t="s">
        <v>322</v>
      </c>
      <c r="BF469" s="17" t="s">
        <v>322</v>
      </c>
      <c r="BG469" s="17" t="s">
        <v>266</v>
      </c>
      <c r="BH469" s="17" t="s">
        <v>322</v>
      </c>
      <c r="BI469" s="17" t="s">
        <v>266</v>
      </c>
    </row>
    <row r="470" spans="2:61" x14ac:dyDescent="0.3">
      <c r="AG470" t="s">
        <v>543</v>
      </c>
      <c r="AH470" s="17" t="s">
        <v>322</v>
      </c>
      <c r="AI470" s="17" t="s">
        <v>322</v>
      </c>
      <c r="AJ470" s="17" t="s">
        <v>266</v>
      </c>
      <c r="AK470" s="17" t="s">
        <v>322</v>
      </c>
      <c r="AL470" s="17" t="s">
        <v>266</v>
      </c>
    </row>
    <row r="471" spans="2:61" x14ac:dyDescent="0.3">
      <c r="J471" t="s">
        <v>800</v>
      </c>
      <c r="BD471" t="s">
        <v>798</v>
      </c>
    </row>
    <row r="472" spans="2:61" x14ac:dyDescent="0.3">
      <c r="K472" s="17" t="s">
        <v>315</v>
      </c>
      <c r="L472" s="17" t="s">
        <v>316</v>
      </c>
      <c r="M472" s="17" t="s">
        <v>317</v>
      </c>
      <c r="N472" s="17" t="s">
        <v>318</v>
      </c>
      <c r="O472" s="17" t="s">
        <v>319</v>
      </c>
      <c r="AG472" t="s">
        <v>798</v>
      </c>
      <c r="BE472" s="17" t="s">
        <v>315</v>
      </c>
      <c r="BF472" s="17" t="s">
        <v>316</v>
      </c>
      <c r="BG472" s="17" t="s">
        <v>317</v>
      </c>
      <c r="BH472" s="17" t="s">
        <v>318</v>
      </c>
      <c r="BI472" s="17" t="s">
        <v>319</v>
      </c>
    </row>
    <row r="473" spans="2:61" x14ac:dyDescent="0.3">
      <c r="J473" t="s">
        <v>561</v>
      </c>
      <c r="K473" s="17" t="s">
        <v>322</v>
      </c>
      <c r="L473" s="17" t="s">
        <v>322</v>
      </c>
      <c r="M473" s="17" t="s">
        <v>322</v>
      </c>
      <c r="N473" s="17" t="s">
        <v>36</v>
      </c>
      <c r="O473" s="17" t="s">
        <v>322</v>
      </c>
      <c r="AH473" s="17" t="s">
        <v>315</v>
      </c>
      <c r="AI473" s="17" t="s">
        <v>316</v>
      </c>
      <c r="AJ473" s="17" t="s">
        <v>317</v>
      </c>
      <c r="AK473" s="17" t="s">
        <v>318</v>
      </c>
      <c r="AL473" s="17" t="s">
        <v>319</v>
      </c>
      <c r="BD473" t="s">
        <v>552</v>
      </c>
      <c r="BE473" s="17" t="s">
        <v>322</v>
      </c>
      <c r="BF473" s="17" t="s">
        <v>322</v>
      </c>
      <c r="BG473" s="17" t="s">
        <v>286</v>
      </c>
      <c r="BH473" s="17" t="s">
        <v>322</v>
      </c>
      <c r="BI473" s="17" t="s">
        <v>322</v>
      </c>
    </row>
    <row r="474" spans="2:61" x14ac:dyDescent="0.3">
      <c r="J474" t="s">
        <v>551</v>
      </c>
      <c r="K474" s="17" t="s">
        <v>322</v>
      </c>
      <c r="L474" s="17" t="s">
        <v>322</v>
      </c>
      <c r="M474" s="17" t="s">
        <v>322</v>
      </c>
      <c r="N474" s="17" t="s">
        <v>36</v>
      </c>
      <c r="O474" s="17" t="s">
        <v>322</v>
      </c>
      <c r="AG474" t="s">
        <v>552</v>
      </c>
      <c r="AH474" s="17" t="s">
        <v>322</v>
      </c>
      <c r="AI474" s="17" t="s">
        <v>322</v>
      </c>
      <c r="AJ474" s="17" t="s">
        <v>286</v>
      </c>
      <c r="AK474" s="17" t="s">
        <v>322</v>
      </c>
      <c r="AL474" s="17" t="s">
        <v>322</v>
      </c>
      <c r="BD474" t="s">
        <v>554</v>
      </c>
      <c r="BE474" s="17" t="s">
        <v>322</v>
      </c>
      <c r="BF474" s="17" t="s">
        <v>322</v>
      </c>
      <c r="BG474" s="17" t="s">
        <v>286</v>
      </c>
      <c r="BH474" s="17" t="s">
        <v>322</v>
      </c>
      <c r="BI474" s="17" t="s">
        <v>322</v>
      </c>
    </row>
    <row r="475" spans="2:61" x14ac:dyDescent="0.3">
      <c r="AG475" t="s">
        <v>554</v>
      </c>
      <c r="AH475" s="17" t="s">
        <v>322</v>
      </c>
      <c r="AI475" s="17" t="s">
        <v>322</v>
      </c>
      <c r="AJ475" s="17" t="s">
        <v>286</v>
      </c>
      <c r="AK475" s="17" t="s">
        <v>322</v>
      </c>
      <c r="AL475" s="17" t="s">
        <v>322</v>
      </c>
    </row>
    <row r="476" spans="2:61" x14ac:dyDescent="0.3">
      <c r="B476" s="149"/>
      <c r="J476" t="s">
        <v>801</v>
      </c>
      <c r="BD476" t="s">
        <v>799</v>
      </c>
    </row>
    <row r="477" spans="2:61" x14ac:dyDescent="0.3">
      <c r="K477" s="17" t="s">
        <v>315</v>
      </c>
      <c r="L477" s="17" t="s">
        <v>316</v>
      </c>
      <c r="M477" s="17" t="s">
        <v>317</v>
      </c>
      <c r="N477" s="17" t="s">
        <v>318</v>
      </c>
      <c r="O477" s="17" t="s">
        <v>319</v>
      </c>
      <c r="AG477" t="s">
        <v>799</v>
      </c>
      <c r="BE477" s="17" t="s">
        <v>315</v>
      </c>
      <c r="BF477" s="17" t="s">
        <v>316</v>
      </c>
      <c r="BG477" s="17" t="s">
        <v>317</v>
      </c>
      <c r="BH477" s="17" t="s">
        <v>318</v>
      </c>
      <c r="BI477" s="17" t="s">
        <v>319</v>
      </c>
    </row>
    <row r="478" spans="2:61" x14ac:dyDescent="0.3">
      <c r="J478" t="s">
        <v>561</v>
      </c>
      <c r="K478" s="17" t="s">
        <v>258</v>
      </c>
      <c r="L478" s="17" t="s">
        <v>322</v>
      </c>
      <c r="M478" s="17" t="s">
        <v>322</v>
      </c>
      <c r="N478" s="17" t="s">
        <v>258</v>
      </c>
      <c r="O478" s="17" t="s">
        <v>322</v>
      </c>
      <c r="AH478" s="17" t="s">
        <v>315</v>
      </c>
      <c r="AI478" s="17" t="s">
        <v>316</v>
      </c>
      <c r="AJ478" s="17" t="s">
        <v>317</v>
      </c>
      <c r="AK478" s="17" t="s">
        <v>318</v>
      </c>
      <c r="AL478" s="17" t="s">
        <v>319</v>
      </c>
      <c r="BD478" t="s">
        <v>539</v>
      </c>
      <c r="BE478" s="17" t="s">
        <v>217</v>
      </c>
      <c r="BF478" s="17" t="s">
        <v>322</v>
      </c>
      <c r="BG478" s="17" t="s">
        <v>322</v>
      </c>
      <c r="BH478" s="17" t="s">
        <v>322</v>
      </c>
      <c r="BI478" s="17" t="s">
        <v>217</v>
      </c>
    </row>
    <row r="479" spans="2:61" x14ac:dyDescent="0.3">
      <c r="J479" t="s">
        <v>551</v>
      </c>
      <c r="K479" s="17" t="s">
        <v>258</v>
      </c>
      <c r="L479" s="17" t="s">
        <v>322</v>
      </c>
      <c r="M479" s="17" t="s">
        <v>322</v>
      </c>
      <c r="N479" s="17" t="s">
        <v>258</v>
      </c>
      <c r="O479" s="17" t="s">
        <v>322</v>
      </c>
      <c r="AG479" t="s">
        <v>539</v>
      </c>
      <c r="AH479" s="17" t="s">
        <v>217</v>
      </c>
      <c r="AI479" s="17" t="s">
        <v>322</v>
      </c>
      <c r="AJ479" s="17" t="s">
        <v>322</v>
      </c>
      <c r="AK479" s="17" t="s">
        <v>322</v>
      </c>
      <c r="AL479" s="17" t="s">
        <v>217</v>
      </c>
      <c r="BD479" t="s">
        <v>543</v>
      </c>
      <c r="BE479" s="17" t="s">
        <v>217</v>
      </c>
      <c r="BF479" s="17" t="s">
        <v>322</v>
      </c>
      <c r="BG479" s="17" t="s">
        <v>322</v>
      </c>
      <c r="BH479" s="17" t="s">
        <v>322</v>
      </c>
      <c r="BI479" s="17" t="s">
        <v>217</v>
      </c>
    </row>
    <row r="480" spans="2:61" x14ac:dyDescent="0.3">
      <c r="J480" t="s">
        <v>552</v>
      </c>
      <c r="K480" s="17" t="s">
        <v>322</v>
      </c>
      <c r="L480" s="17" t="s">
        <v>322</v>
      </c>
      <c r="M480" s="17" t="s">
        <v>322</v>
      </c>
      <c r="N480" s="17" t="s">
        <v>258</v>
      </c>
      <c r="O480" s="17" t="s">
        <v>322</v>
      </c>
      <c r="AG480" t="s">
        <v>543</v>
      </c>
      <c r="AH480" s="17" t="s">
        <v>217</v>
      </c>
      <c r="AI480" s="17" t="s">
        <v>322</v>
      </c>
      <c r="AJ480" s="17" t="s">
        <v>322</v>
      </c>
      <c r="AK480" s="17" t="s">
        <v>322</v>
      </c>
      <c r="AL480" s="17" t="s">
        <v>217</v>
      </c>
      <c r="BD480" t="s">
        <v>573</v>
      </c>
      <c r="BE480" s="17" t="s">
        <v>322</v>
      </c>
      <c r="BF480" s="17" t="s">
        <v>322</v>
      </c>
      <c r="BG480" s="17" t="s">
        <v>322</v>
      </c>
      <c r="BH480" s="17" t="s">
        <v>322</v>
      </c>
      <c r="BI480" s="17" t="s">
        <v>217</v>
      </c>
    </row>
    <row r="481" spans="10:61" x14ac:dyDescent="0.3">
      <c r="AG481" t="s">
        <v>573</v>
      </c>
      <c r="AH481" s="17" t="s">
        <v>322</v>
      </c>
      <c r="AI481" s="17" t="s">
        <v>322</v>
      </c>
      <c r="AJ481" s="17" t="s">
        <v>322</v>
      </c>
      <c r="AK481" s="17" t="s">
        <v>322</v>
      </c>
      <c r="AL481" s="17" t="s">
        <v>217</v>
      </c>
    </row>
    <row r="482" spans="10:61" x14ac:dyDescent="0.3">
      <c r="J482" t="s">
        <v>802</v>
      </c>
      <c r="BD482" t="s">
        <v>800</v>
      </c>
    </row>
    <row r="483" spans="10:61" x14ac:dyDescent="0.3">
      <c r="K483" s="17" t="s">
        <v>315</v>
      </c>
      <c r="L483" s="17" t="s">
        <v>316</v>
      </c>
      <c r="M483" s="17" t="s">
        <v>317</v>
      </c>
      <c r="N483" s="17" t="s">
        <v>318</v>
      </c>
      <c r="O483" s="17" t="s">
        <v>319</v>
      </c>
      <c r="AG483" t="s">
        <v>800</v>
      </c>
      <c r="BE483" s="17" t="s">
        <v>315</v>
      </c>
      <c r="BF483" s="17" t="s">
        <v>316</v>
      </c>
      <c r="BG483" s="17" t="s">
        <v>317</v>
      </c>
      <c r="BH483" s="17" t="s">
        <v>318</v>
      </c>
      <c r="BI483" s="17" t="s">
        <v>319</v>
      </c>
    </row>
    <row r="484" spans="10:61" x14ac:dyDescent="0.3">
      <c r="J484" t="s">
        <v>539</v>
      </c>
      <c r="K484" s="17" t="s">
        <v>322</v>
      </c>
      <c r="L484" s="17" t="s">
        <v>322</v>
      </c>
      <c r="M484" s="17" t="s">
        <v>322</v>
      </c>
      <c r="N484" s="17" t="s">
        <v>248</v>
      </c>
      <c r="O484" s="17" t="s">
        <v>322</v>
      </c>
      <c r="AH484" s="17" t="s">
        <v>315</v>
      </c>
      <c r="AI484" s="17" t="s">
        <v>316</v>
      </c>
      <c r="AJ484" s="17" t="s">
        <v>317</v>
      </c>
      <c r="AK484" s="17" t="s">
        <v>318</v>
      </c>
      <c r="AL484" s="17" t="s">
        <v>319</v>
      </c>
      <c r="BD484" t="s">
        <v>561</v>
      </c>
      <c r="BE484" s="17" t="s">
        <v>322</v>
      </c>
      <c r="BF484" s="17" t="s">
        <v>322</v>
      </c>
      <c r="BG484" s="17" t="s">
        <v>322</v>
      </c>
      <c r="BH484" s="17" t="s">
        <v>36</v>
      </c>
      <c r="BI484" s="17" t="s">
        <v>322</v>
      </c>
    </row>
    <row r="485" spans="10:61" x14ac:dyDescent="0.3">
      <c r="J485" t="s">
        <v>543</v>
      </c>
      <c r="K485" s="17" t="s">
        <v>322</v>
      </c>
      <c r="L485" s="17" t="s">
        <v>322</v>
      </c>
      <c r="M485" s="17" t="s">
        <v>322</v>
      </c>
      <c r="N485" s="17" t="s">
        <v>248</v>
      </c>
      <c r="O485" s="17" t="s">
        <v>322</v>
      </c>
      <c r="AG485" t="s">
        <v>561</v>
      </c>
      <c r="AH485" s="17" t="s">
        <v>322</v>
      </c>
      <c r="AI485" s="17" t="s">
        <v>322</v>
      </c>
      <c r="AJ485" s="17" t="s">
        <v>322</v>
      </c>
      <c r="AK485" s="17" t="s">
        <v>36</v>
      </c>
      <c r="AL485" s="17" t="s">
        <v>322</v>
      </c>
      <c r="BD485" t="s">
        <v>551</v>
      </c>
      <c r="BE485" s="17" t="s">
        <v>322</v>
      </c>
      <c r="BF485" s="17" t="s">
        <v>322</v>
      </c>
      <c r="BG485" s="17" t="s">
        <v>322</v>
      </c>
      <c r="BH485" s="17" t="s">
        <v>36</v>
      </c>
      <c r="BI485" s="17" t="s">
        <v>322</v>
      </c>
    </row>
    <row r="486" spans="10:61" x14ac:dyDescent="0.3">
      <c r="J486" t="s">
        <v>573</v>
      </c>
      <c r="K486" s="17" t="s">
        <v>322</v>
      </c>
      <c r="L486" s="17" t="s">
        <v>322</v>
      </c>
      <c r="M486" s="17" t="s">
        <v>322</v>
      </c>
      <c r="N486" s="17" t="s">
        <v>248</v>
      </c>
      <c r="O486" s="17" t="s">
        <v>322</v>
      </c>
      <c r="AG486" t="s">
        <v>551</v>
      </c>
      <c r="AH486" s="17" t="s">
        <v>322</v>
      </c>
      <c r="AI486" s="17" t="s">
        <v>322</v>
      </c>
      <c r="AJ486" s="17" t="s">
        <v>322</v>
      </c>
      <c r="AK486" s="17" t="s">
        <v>36</v>
      </c>
      <c r="AL486" s="17" t="s">
        <v>322</v>
      </c>
    </row>
    <row r="487" spans="10:61" x14ac:dyDescent="0.3">
      <c r="BD487" t="s">
        <v>801</v>
      </c>
    </row>
    <row r="488" spans="10:61" x14ac:dyDescent="0.3">
      <c r="J488" t="s">
        <v>803</v>
      </c>
      <c r="AG488" t="s">
        <v>801</v>
      </c>
      <c r="BE488" s="17" t="s">
        <v>315</v>
      </c>
      <c r="BF488" s="17" t="s">
        <v>316</v>
      </c>
      <c r="BG488" s="17" t="s">
        <v>317</v>
      </c>
      <c r="BH488" s="17" t="s">
        <v>318</v>
      </c>
      <c r="BI488" s="17" t="s">
        <v>319</v>
      </c>
    </row>
    <row r="489" spans="10:61" x14ac:dyDescent="0.3">
      <c r="K489" s="17" t="s">
        <v>315</v>
      </c>
      <c r="L489" s="17" t="s">
        <v>316</v>
      </c>
      <c r="M489" s="17" t="s">
        <v>317</v>
      </c>
      <c r="N489" s="17" t="s">
        <v>318</v>
      </c>
      <c r="O489" s="17" t="s">
        <v>319</v>
      </c>
      <c r="AH489" s="17" t="s">
        <v>315</v>
      </c>
      <c r="AI489" s="17" t="s">
        <v>316</v>
      </c>
      <c r="AJ489" s="17" t="s">
        <v>317</v>
      </c>
      <c r="AK489" s="17" t="s">
        <v>318</v>
      </c>
      <c r="AL489" s="17" t="s">
        <v>319</v>
      </c>
      <c r="BD489" t="s">
        <v>561</v>
      </c>
      <c r="BE489" s="17" t="s">
        <v>258</v>
      </c>
      <c r="BF489" s="17" t="s">
        <v>322</v>
      </c>
      <c r="BG489" s="17" t="s">
        <v>322</v>
      </c>
      <c r="BH489" s="17" t="s">
        <v>258</v>
      </c>
      <c r="BI489" s="17" t="s">
        <v>322</v>
      </c>
    </row>
    <row r="490" spans="10:61" x14ac:dyDescent="0.3">
      <c r="J490" t="s">
        <v>512</v>
      </c>
      <c r="K490" s="17" t="s">
        <v>322</v>
      </c>
      <c r="L490" s="17" t="s">
        <v>75</v>
      </c>
      <c r="M490" s="17" t="s">
        <v>322</v>
      </c>
      <c r="N490" s="17" t="s">
        <v>322</v>
      </c>
      <c r="O490" s="17" t="s">
        <v>75</v>
      </c>
      <c r="AG490" t="s">
        <v>561</v>
      </c>
      <c r="AH490" s="17" t="s">
        <v>258</v>
      </c>
      <c r="AI490" s="17" t="s">
        <v>322</v>
      </c>
      <c r="AJ490" s="17" t="s">
        <v>322</v>
      </c>
      <c r="AK490" s="17" t="s">
        <v>258</v>
      </c>
      <c r="AL490" s="17" t="s">
        <v>322</v>
      </c>
      <c r="BD490" t="s">
        <v>551</v>
      </c>
      <c r="BE490" s="17" t="s">
        <v>258</v>
      </c>
      <c r="BF490" s="17" t="s">
        <v>322</v>
      </c>
      <c r="BG490" s="17" t="s">
        <v>322</v>
      </c>
      <c r="BH490" s="17" t="s">
        <v>258</v>
      </c>
      <c r="BI490" s="17" t="s">
        <v>322</v>
      </c>
    </row>
    <row r="491" spans="10:61" x14ac:dyDescent="0.3">
      <c r="J491" t="s">
        <v>514</v>
      </c>
      <c r="K491" s="17" t="s">
        <v>322</v>
      </c>
      <c r="L491" s="17" t="s">
        <v>75</v>
      </c>
      <c r="M491" s="17" t="s">
        <v>322</v>
      </c>
      <c r="N491" s="17" t="s">
        <v>322</v>
      </c>
      <c r="O491" s="17" t="s">
        <v>75</v>
      </c>
      <c r="AG491" t="s">
        <v>551</v>
      </c>
      <c r="AH491" s="17" t="s">
        <v>258</v>
      </c>
      <c r="AI491" s="17" t="s">
        <v>322</v>
      </c>
      <c r="AJ491" s="17" t="s">
        <v>322</v>
      </c>
      <c r="AK491" s="17" t="s">
        <v>258</v>
      </c>
      <c r="AL491" s="17" t="s">
        <v>322</v>
      </c>
      <c r="BD491" t="s">
        <v>552</v>
      </c>
      <c r="BE491" s="17" t="s">
        <v>322</v>
      </c>
      <c r="BF491" s="17" t="s">
        <v>322</v>
      </c>
      <c r="BG491" s="17" t="s">
        <v>322</v>
      </c>
      <c r="BH491" s="17" t="s">
        <v>258</v>
      </c>
      <c r="BI491" s="17" t="s">
        <v>322</v>
      </c>
    </row>
    <row r="492" spans="10:61" x14ac:dyDescent="0.3">
      <c r="J492" t="s">
        <v>517</v>
      </c>
      <c r="K492" s="17" t="s">
        <v>322</v>
      </c>
      <c r="L492" s="17" t="s">
        <v>322</v>
      </c>
      <c r="M492" s="17" t="s">
        <v>322</v>
      </c>
      <c r="N492" s="17" t="s">
        <v>322</v>
      </c>
      <c r="O492" s="17" t="s">
        <v>75</v>
      </c>
      <c r="AG492" t="s">
        <v>552</v>
      </c>
      <c r="AH492" s="17" t="s">
        <v>322</v>
      </c>
      <c r="AI492" s="17" t="s">
        <v>322</v>
      </c>
      <c r="AJ492" s="17" t="s">
        <v>322</v>
      </c>
      <c r="AK492" s="17" t="s">
        <v>258</v>
      </c>
      <c r="AL492" s="17" t="s">
        <v>322</v>
      </c>
    </row>
    <row r="493" spans="10:61" x14ac:dyDescent="0.3">
      <c r="BD493" t="s">
        <v>802</v>
      </c>
    </row>
    <row r="494" spans="10:61" x14ac:dyDescent="0.3">
      <c r="J494" t="s">
        <v>804</v>
      </c>
      <c r="AG494" t="s">
        <v>802</v>
      </c>
      <c r="BE494" s="17" t="s">
        <v>315</v>
      </c>
      <c r="BF494" s="17" t="s">
        <v>316</v>
      </c>
      <c r="BG494" s="17" t="s">
        <v>317</v>
      </c>
      <c r="BH494" s="17" t="s">
        <v>318</v>
      </c>
      <c r="BI494" s="17" t="s">
        <v>319</v>
      </c>
    </row>
    <row r="495" spans="10:61" x14ac:dyDescent="0.3">
      <c r="K495" s="17" t="s">
        <v>315</v>
      </c>
      <c r="L495" s="17" t="s">
        <v>316</v>
      </c>
      <c r="M495" s="17" t="s">
        <v>317</v>
      </c>
      <c r="N495" s="17" t="s">
        <v>318</v>
      </c>
      <c r="O495" s="17" t="s">
        <v>319</v>
      </c>
      <c r="AH495" s="17" t="s">
        <v>315</v>
      </c>
      <c r="AI495" s="17" t="s">
        <v>316</v>
      </c>
      <c r="AJ495" s="17" t="s">
        <v>317</v>
      </c>
      <c r="AK495" s="17" t="s">
        <v>318</v>
      </c>
      <c r="AL495" s="17" t="s">
        <v>319</v>
      </c>
      <c r="BD495" t="s">
        <v>539</v>
      </c>
      <c r="BE495" s="17" t="s">
        <v>322</v>
      </c>
      <c r="BF495" s="17" t="s">
        <v>322</v>
      </c>
      <c r="BG495" s="17" t="s">
        <v>322</v>
      </c>
      <c r="BH495" s="17" t="s">
        <v>248</v>
      </c>
      <c r="BI495" s="17" t="s">
        <v>322</v>
      </c>
    </row>
    <row r="496" spans="10:61" x14ac:dyDescent="0.3">
      <c r="J496" t="s">
        <v>552</v>
      </c>
      <c r="K496" s="17" t="s">
        <v>322</v>
      </c>
      <c r="L496" s="17" t="s">
        <v>322</v>
      </c>
      <c r="M496" s="17" t="s">
        <v>322</v>
      </c>
      <c r="N496" s="17" t="s">
        <v>322</v>
      </c>
      <c r="O496" s="17" t="s">
        <v>286</v>
      </c>
      <c r="AG496" t="s">
        <v>539</v>
      </c>
      <c r="AH496" s="17" t="s">
        <v>322</v>
      </c>
      <c r="AI496" s="17" t="s">
        <v>322</v>
      </c>
      <c r="AJ496" s="17" t="s">
        <v>322</v>
      </c>
      <c r="AK496" s="17" t="s">
        <v>248</v>
      </c>
      <c r="AL496" s="17" t="s">
        <v>322</v>
      </c>
      <c r="BD496" t="s">
        <v>543</v>
      </c>
      <c r="BE496" s="17" t="s">
        <v>322</v>
      </c>
      <c r="BF496" s="17" t="s">
        <v>322</v>
      </c>
      <c r="BG496" s="17" t="s">
        <v>322</v>
      </c>
      <c r="BH496" s="17" t="s">
        <v>248</v>
      </c>
      <c r="BI496" s="17" t="s">
        <v>322</v>
      </c>
    </row>
    <row r="497" spans="6:61" x14ac:dyDescent="0.3">
      <c r="J497" t="s">
        <v>554</v>
      </c>
      <c r="K497" s="17" t="s">
        <v>322</v>
      </c>
      <c r="L497" s="17" t="s">
        <v>322</v>
      </c>
      <c r="M497" s="17" t="s">
        <v>322</v>
      </c>
      <c r="N497" s="17" t="s">
        <v>322</v>
      </c>
      <c r="O497" s="17" t="s">
        <v>286</v>
      </c>
      <c r="AG497" t="s">
        <v>543</v>
      </c>
      <c r="AH497" s="17" t="s">
        <v>322</v>
      </c>
      <c r="AI497" s="17" t="s">
        <v>322</v>
      </c>
      <c r="AJ497" s="17" t="s">
        <v>322</v>
      </c>
      <c r="AK497" s="17" t="s">
        <v>248</v>
      </c>
      <c r="AL497" s="17" t="s">
        <v>322</v>
      </c>
      <c r="BD497" t="s">
        <v>573</v>
      </c>
      <c r="BE497" s="17" t="s">
        <v>322</v>
      </c>
      <c r="BF497" s="17" t="s">
        <v>322</v>
      </c>
      <c r="BG497" s="17" t="s">
        <v>322</v>
      </c>
      <c r="BH497" s="17" t="s">
        <v>248</v>
      </c>
      <c r="BI497" s="17" t="s">
        <v>322</v>
      </c>
    </row>
    <row r="498" spans="6:61" x14ac:dyDescent="0.3">
      <c r="AG498" t="s">
        <v>573</v>
      </c>
      <c r="AH498" s="17" t="s">
        <v>322</v>
      </c>
      <c r="AI498" s="17" t="s">
        <v>322</v>
      </c>
      <c r="AJ498" s="17" t="s">
        <v>322</v>
      </c>
      <c r="AK498" s="17" t="s">
        <v>248</v>
      </c>
      <c r="AL498" s="17" t="s">
        <v>322</v>
      </c>
    </row>
    <row r="499" spans="6:61" x14ac:dyDescent="0.3">
      <c r="J499" t="s">
        <v>805</v>
      </c>
      <c r="BD499" t="s">
        <v>803</v>
      </c>
    </row>
    <row r="500" spans="6:61" x14ac:dyDescent="0.3">
      <c r="K500" s="17" t="s">
        <v>315</v>
      </c>
      <c r="L500" s="17" t="s">
        <v>316</v>
      </c>
      <c r="M500" s="17" t="s">
        <v>317</v>
      </c>
      <c r="N500" s="17" t="s">
        <v>318</v>
      </c>
      <c r="O500" s="17" t="s">
        <v>319</v>
      </c>
      <c r="AG500" t="s">
        <v>803</v>
      </c>
      <c r="BE500" s="17" t="s">
        <v>315</v>
      </c>
      <c r="BF500" s="17" t="s">
        <v>316</v>
      </c>
      <c r="BG500" s="17" t="s">
        <v>317</v>
      </c>
      <c r="BH500" s="17" t="s">
        <v>318</v>
      </c>
      <c r="BI500" s="17" t="s">
        <v>319</v>
      </c>
    </row>
    <row r="501" spans="6:61" x14ac:dyDescent="0.3">
      <c r="J501" t="s">
        <v>512</v>
      </c>
      <c r="K501" s="17" t="s">
        <v>322</v>
      </c>
      <c r="L501" s="17" t="s">
        <v>191</v>
      </c>
      <c r="M501" s="17" t="s">
        <v>322</v>
      </c>
      <c r="N501" s="17" t="s">
        <v>322</v>
      </c>
      <c r="O501" s="17" t="s">
        <v>191</v>
      </c>
      <c r="AH501" s="17" t="s">
        <v>315</v>
      </c>
      <c r="AI501" s="17" t="s">
        <v>316</v>
      </c>
      <c r="AJ501" s="17" t="s">
        <v>317</v>
      </c>
      <c r="AK501" s="17" t="s">
        <v>318</v>
      </c>
      <c r="AL501" s="17" t="s">
        <v>319</v>
      </c>
      <c r="BD501" t="s">
        <v>512</v>
      </c>
      <c r="BE501" s="17" t="s">
        <v>322</v>
      </c>
      <c r="BF501" s="17" t="s">
        <v>75</v>
      </c>
      <c r="BG501" s="17" t="s">
        <v>322</v>
      </c>
      <c r="BH501" s="17" t="s">
        <v>75</v>
      </c>
      <c r="BI501" s="17" t="s">
        <v>322</v>
      </c>
    </row>
    <row r="502" spans="6:61" x14ac:dyDescent="0.3">
      <c r="J502" t="s">
        <v>514</v>
      </c>
      <c r="K502" s="17" t="s">
        <v>322</v>
      </c>
      <c r="L502" s="17" t="s">
        <v>191</v>
      </c>
      <c r="M502" s="17" t="s">
        <v>322</v>
      </c>
      <c r="N502" s="17" t="s">
        <v>322</v>
      </c>
      <c r="O502" s="17" t="s">
        <v>191</v>
      </c>
      <c r="AG502" t="s">
        <v>512</v>
      </c>
      <c r="AH502" s="17" t="s">
        <v>322</v>
      </c>
      <c r="AI502" s="17" t="s">
        <v>75</v>
      </c>
      <c r="AJ502" s="17" t="s">
        <v>322</v>
      </c>
      <c r="AK502" s="17" t="s">
        <v>322</v>
      </c>
      <c r="AL502" s="17" t="s">
        <v>75</v>
      </c>
      <c r="BD502" t="s">
        <v>514</v>
      </c>
      <c r="BE502" s="17" t="s">
        <v>322</v>
      </c>
      <c r="BF502" s="17" t="s">
        <v>75</v>
      </c>
      <c r="BG502" s="17" t="s">
        <v>322</v>
      </c>
      <c r="BH502" s="17" t="s">
        <v>75</v>
      </c>
      <c r="BI502" s="17" t="s">
        <v>322</v>
      </c>
    </row>
    <row r="503" spans="6:61" x14ac:dyDescent="0.3">
      <c r="F503" s="130"/>
      <c r="J503" t="s">
        <v>517</v>
      </c>
      <c r="K503" s="17" t="s">
        <v>322</v>
      </c>
      <c r="L503" s="17" t="s">
        <v>322</v>
      </c>
      <c r="M503" s="17" t="s">
        <v>322</v>
      </c>
      <c r="N503" s="17" t="s">
        <v>322</v>
      </c>
      <c r="O503" s="17" t="s">
        <v>191</v>
      </c>
      <c r="AG503" t="s">
        <v>514</v>
      </c>
      <c r="AH503" s="17" t="s">
        <v>322</v>
      </c>
      <c r="AI503" s="17" t="s">
        <v>75</v>
      </c>
      <c r="AJ503" s="17" t="s">
        <v>322</v>
      </c>
      <c r="AK503" s="17" t="s">
        <v>322</v>
      </c>
      <c r="AL503" s="17" t="s">
        <v>75</v>
      </c>
      <c r="BD503" t="s">
        <v>517</v>
      </c>
      <c r="BE503" s="17" t="s">
        <v>322</v>
      </c>
      <c r="BF503" s="17" t="s">
        <v>322</v>
      </c>
      <c r="BG503" s="17" t="s">
        <v>322</v>
      </c>
      <c r="BH503" s="17" t="s">
        <v>75</v>
      </c>
      <c r="BI503" s="17" t="s">
        <v>322</v>
      </c>
    </row>
    <row r="504" spans="6:61" x14ac:dyDescent="0.3">
      <c r="J504" t="s">
        <v>551</v>
      </c>
      <c r="K504" s="17" t="s">
        <v>322</v>
      </c>
      <c r="L504" s="17" t="s">
        <v>322</v>
      </c>
      <c r="M504" s="17" t="s">
        <v>46</v>
      </c>
      <c r="N504" s="17" t="s">
        <v>322</v>
      </c>
      <c r="O504" s="17" t="s">
        <v>322</v>
      </c>
      <c r="AG504" t="s">
        <v>517</v>
      </c>
      <c r="AH504" s="17" t="s">
        <v>322</v>
      </c>
      <c r="AI504" s="17" t="s">
        <v>322</v>
      </c>
      <c r="AJ504" s="17" t="s">
        <v>322</v>
      </c>
      <c r="AK504" s="17" t="s">
        <v>322</v>
      </c>
      <c r="AL504" s="17" t="s">
        <v>75</v>
      </c>
    </row>
    <row r="505" spans="6:61" x14ac:dyDescent="0.3">
      <c r="J505" t="s">
        <v>552</v>
      </c>
      <c r="K505" s="17" t="s">
        <v>322</v>
      </c>
      <c r="L505" s="17" t="s">
        <v>322</v>
      </c>
      <c r="M505" s="17" t="s">
        <v>46</v>
      </c>
      <c r="N505" s="17" t="s">
        <v>322</v>
      </c>
      <c r="O505" s="17" t="s">
        <v>46</v>
      </c>
      <c r="BD505" t="s">
        <v>804</v>
      </c>
    </row>
    <row r="506" spans="6:61" x14ac:dyDescent="0.3">
      <c r="J506" t="s">
        <v>554</v>
      </c>
      <c r="K506" s="17" t="s">
        <v>322</v>
      </c>
      <c r="L506" s="17" t="s">
        <v>322</v>
      </c>
      <c r="M506" s="17" t="s">
        <v>46</v>
      </c>
      <c r="N506" s="17" t="s">
        <v>322</v>
      </c>
      <c r="O506" s="17" t="s">
        <v>46</v>
      </c>
      <c r="AG506" t="s">
        <v>804</v>
      </c>
      <c r="BE506" s="17" t="s">
        <v>315</v>
      </c>
      <c r="BF506" s="17" t="s">
        <v>316</v>
      </c>
      <c r="BG506" s="17" t="s">
        <v>317</v>
      </c>
      <c r="BH506" s="17" t="s">
        <v>318</v>
      </c>
      <c r="BI506" s="17" t="s">
        <v>319</v>
      </c>
    </row>
    <row r="507" spans="6:61" x14ac:dyDescent="0.3">
      <c r="AH507" s="17" t="s">
        <v>315</v>
      </c>
      <c r="AI507" s="17" t="s">
        <v>316</v>
      </c>
      <c r="AJ507" s="17" t="s">
        <v>317</v>
      </c>
      <c r="AK507" s="17" t="s">
        <v>318</v>
      </c>
      <c r="AL507" s="17" t="s">
        <v>319</v>
      </c>
      <c r="BD507" t="s">
        <v>552</v>
      </c>
      <c r="BE507" s="17" t="s">
        <v>322</v>
      </c>
      <c r="BF507" s="17" t="s">
        <v>322</v>
      </c>
      <c r="BG507" s="17" t="s">
        <v>322</v>
      </c>
      <c r="BH507" s="17" t="s">
        <v>322</v>
      </c>
      <c r="BI507" s="17" t="s">
        <v>286</v>
      </c>
    </row>
    <row r="508" spans="6:61" x14ac:dyDescent="0.3">
      <c r="J508" t="s">
        <v>806</v>
      </c>
      <c r="AG508" t="s">
        <v>552</v>
      </c>
      <c r="AH508" s="17" t="s">
        <v>322</v>
      </c>
      <c r="AI508" s="17" t="s">
        <v>322</v>
      </c>
      <c r="AJ508" s="17" t="s">
        <v>322</v>
      </c>
      <c r="AK508" s="17" t="s">
        <v>322</v>
      </c>
      <c r="AL508" s="17" t="s">
        <v>286</v>
      </c>
      <c r="BD508" t="s">
        <v>554</v>
      </c>
      <c r="BE508" s="17" t="s">
        <v>322</v>
      </c>
      <c r="BF508" s="17" t="s">
        <v>322</v>
      </c>
      <c r="BG508" s="17" t="s">
        <v>322</v>
      </c>
      <c r="BH508" s="17" t="s">
        <v>322</v>
      </c>
      <c r="BI508" s="17" t="s">
        <v>286</v>
      </c>
    </row>
    <row r="509" spans="6:61" x14ac:dyDescent="0.3">
      <c r="K509" s="17" t="s">
        <v>315</v>
      </c>
      <c r="L509" s="17" t="s">
        <v>316</v>
      </c>
      <c r="M509" s="17" t="s">
        <v>317</v>
      </c>
      <c r="N509" s="17" t="s">
        <v>318</v>
      </c>
      <c r="O509" s="17" t="s">
        <v>319</v>
      </c>
      <c r="AG509" t="s">
        <v>554</v>
      </c>
      <c r="AH509" s="17" t="s">
        <v>322</v>
      </c>
      <c r="AI509" s="17" t="s">
        <v>322</v>
      </c>
      <c r="AJ509" s="17" t="s">
        <v>322</v>
      </c>
      <c r="AK509" s="17" t="s">
        <v>322</v>
      </c>
      <c r="AL509" s="17" t="s">
        <v>286</v>
      </c>
    </row>
    <row r="510" spans="6:61" x14ac:dyDescent="0.3">
      <c r="J510" t="s">
        <v>573</v>
      </c>
      <c r="K510" s="17" t="s">
        <v>322</v>
      </c>
      <c r="L510" s="17" t="s">
        <v>322</v>
      </c>
      <c r="M510" s="17" t="s">
        <v>322</v>
      </c>
      <c r="N510" s="17" t="s">
        <v>213</v>
      </c>
      <c r="O510" s="17" t="s">
        <v>322</v>
      </c>
      <c r="BD510" t="s">
        <v>805</v>
      </c>
    </row>
    <row r="511" spans="6:61" x14ac:dyDescent="0.3">
      <c r="J511" t="s">
        <v>561</v>
      </c>
      <c r="K511" s="17" t="s">
        <v>322</v>
      </c>
      <c r="L511" s="17" t="s">
        <v>322</v>
      </c>
      <c r="M511" s="17" t="s">
        <v>322</v>
      </c>
      <c r="N511" s="17" t="s">
        <v>213</v>
      </c>
      <c r="O511" s="17" t="s">
        <v>322</v>
      </c>
      <c r="AG511" t="s">
        <v>805</v>
      </c>
      <c r="BE511" s="17" t="s">
        <v>315</v>
      </c>
      <c r="BF511" s="17" t="s">
        <v>316</v>
      </c>
      <c r="BG511" s="17" t="s">
        <v>317</v>
      </c>
      <c r="BH511" s="17" t="s">
        <v>318</v>
      </c>
      <c r="BI511" s="17" t="s">
        <v>319</v>
      </c>
    </row>
    <row r="512" spans="6:61" x14ac:dyDescent="0.3">
      <c r="J512" t="s">
        <v>551</v>
      </c>
      <c r="K512" s="17" t="s">
        <v>322</v>
      </c>
      <c r="L512" s="17" t="s">
        <v>322</v>
      </c>
      <c r="M512" s="17" t="s">
        <v>322</v>
      </c>
      <c r="N512" s="17" t="s">
        <v>213</v>
      </c>
      <c r="O512" s="17" t="s">
        <v>322</v>
      </c>
      <c r="AH512" s="17" t="s">
        <v>315</v>
      </c>
      <c r="AI512" s="17" t="s">
        <v>316</v>
      </c>
      <c r="AJ512" s="17" t="s">
        <v>317</v>
      </c>
      <c r="AK512" s="17" t="s">
        <v>318</v>
      </c>
      <c r="AL512" s="17" t="s">
        <v>319</v>
      </c>
      <c r="BD512" t="s">
        <v>512</v>
      </c>
      <c r="BE512" s="17" t="s">
        <v>322</v>
      </c>
      <c r="BF512" s="17" t="s">
        <v>191</v>
      </c>
      <c r="BG512" s="17" t="s">
        <v>322</v>
      </c>
      <c r="BH512" s="17" t="s">
        <v>191</v>
      </c>
      <c r="BI512" s="17" t="s">
        <v>322</v>
      </c>
    </row>
    <row r="513" spans="6:61" x14ac:dyDescent="0.3">
      <c r="F513" s="130"/>
      <c r="AG513" t="s">
        <v>512</v>
      </c>
      <c r="AH513" s="17" t="s">
        <v>322</v>
      </c>
      <c r="AI513" s="17" t="s">
        <v>191</v>
      </c>
      <c r="AJ513" s="17" t="s">
        <v>322</v>
      </c>
      <c r="AK513" s="17" t="s">
        <v>322</v>
      </c>
      <c r="AL513" s="17" t="s">
        <v>191</v>
      </c>
      <c r="BD513" t="s">
        <v>514</v>
      </c>
      <c r="BE513" s="17" t="s">
        <v>322</v>
      </c>
      <c r="BF513" s="17" t="s">
        <v>191</v>
      </c>
      <c r="BG513" s="17" t="s">
        <v>322</v>
      </c>
      <c r="BH513" s="17" t="s">
        <v>191</v>
      </c>
      <c r="BI513" s="17" t="s">
        <v>322</v>
      </c>
    </row>
    <row r="514" spans="6:61" x14ac:dyDescent="0.3">
      <c r="J514" t="s">
        <v>807</v>
      </c>
      <c r="AG514" t="s">
        <v>514</v>
      </c>
      <c r="AH514" s="17" t="s">
        <v>322</v>
      </c>
      <c r="AI514" s="17" t="s">
        <v>191</v>
      </c>
      <c r="AJ514" s="17" t="s">
        <v>322</v>
      </c>
      <c r="AK514" s="17" t="s">
        <v>322</v>
      </c>
      <c r="AL514" s="17" t="s">
        <v>191</v>
      </c>
      <c r="BD514" t="s">
        <v>517</v>
      </c>
      <c r="BE514" s="17" t="s">
        <v>322</v>
      </c>
      <c r="BF514" s="17" t="s">
        <v>322</v>
      </c>
      <c r="BG514" s="17" t="s">
        <v>322</v>
      </c>
      <c r="BH514" s="17" t="s">
        <v>191</v>
      </c>
      <c r="BI514" s="17" t="s">
        <v>322</v>
      </c>
    </row>
    <row r="515" spans="6:61" x14ac:dyDescent="0.3">
      <c r="K515" s="17" t="s">
        <v>315</v>
      </c>
      <c r="L515" s="17" t="s">
        <v>316</v>
      </c>
      <c r="M515" s="17" t="s">
        <v>317</v>
      </c>
      <c r="N515" s="17" t="s">
        <v>318</v>
      </c>
      <c r="O515" s="17" t="s">
        <v>319</v>
      </c>
      <c r="AG515" t="s">
        <v>517</v>
      </c>
      <c r="AH515" s="17" t="s">
        <v>322</v>
      </c>
      <c r="AI515" s="17" t="s">
        <v>322</v>
      </c>
      <c r="AJ515" s="17" t="s">
        <v>322</v>
      </c>
      <c r="AK515" s="17" t="s">
        <v>322</v>
      </c>
      <c r="AL515" s="17" t="s">
        <v>191</v>
      </c>
      <c r="BD515" t="s">
        <v>552</v>
      </c>
      <c r="BE515" s="17" t="s">
        <v>322</v>
      </c>
      <c r="BF515" s="17" t="s">
        <v>46</v>
      </c>
      <c r="BG515" s="17" t="s">
        <v>322</v>
      </c>
      <c r="BH515" s="17" t="s">
        <v>322</v>
      </c>
      <c r="BI515" s="17" t="s">
        <v>322</v>
      </c>
    </row>
    <row r="516" spans="6:61" x14ac:dyDescent="0.3">
      <c r="J516" t="s">
        <v>512</v>
      </c>
      <c r="K516" s="17" t="s">
        <v>91</v>
      </c>
      <c r="L516" s="17" t="s">
        <v>322</v>
      </c>
      <c r="M516" s="17" t="s">
        <v>129</v>
      </c>
      <c r="N516" s="17" t="s">
        <v>322</v>
      </c>
      <c r="O516" s="17" t="s">
        <v>322</v>
      </c>
      <c r="AG516" t="s">
        <v>551</v>
      </c>
      <c r="AH516" s="17" t="s">
        <v>322</v>
      </c>
      <c r="AI516" s="17" t="s">
        <v>322</v>
      </c>
      <c r="AJ516" s="17" t="s">
        <v>46</v>
      </c>
      <c r="AK516" s="17" t="s">
        <v>322</v>
      </c>
      <c r="AL516" s="17" t="s">
        <v>322</v>
      </c>
      <c r="BD516" t="s">
        <v>554</v>
      </c>
      <c r="BE516" s="17" t="s">
        <v>322</v>
      </c>
      <c r="BF516" s="17" t="s">
        <v>46</v>
      </c>
      <c r="BG516" s="17" t="s">
        <v>322</v>
      </c>
      <c r="BH516" s="17" t="s">
        <v>322</v>
      </c>
      <c r="BI516" s="17" t="s">
        <v>46</v>
      </c>
    </row>
    <row r="517" spans="6:61" x14ac:dyDescent="0.3">
      <c r="J517" t="s">
        <v>514</v>
      </c>
      <c r="K517" s="17" t="s">
        <v>91</v>
      </c>
      <c r="L517" s="17" t="s">
        <v>322</v>
      </c>
      <c r="M517" s="17" t="s">
        <v>129</v>
      </c>
      <c r="N517" s="17" t="s">
        <v>322</v>
      </c>
      <c r="O517" s="17" t="s">
        <v>322</v>
      </c>
      <c r="AG517" t="s">
        <v>552</v>
      </c>
      <c r="AH517" s="17" t="s">
        <v>322</v>
      </c>
      <c r="AI517" s="17" t="s">
        <v>322</v>
      </c>
      <c r="AJ517" s="17" t="s">
        <v>46</v>
      </c>
      <c r="AK517" s="17" t="s">
        <v>322</v>
      </c>
      <c r="AL517" s="17" t="s">
        <v>46</v>
      </c>
      <c r="BD517" t="s">
        <v>586</v>
      </c>
      <c r="BE517" s="17" t="s">
        <v>322</v>
      </c>
      <c r="BF517" s="17" t="s">
        <v>46</v>
      </c>
      <c r="BG517" s="17" t="s">
        <v>322</v>
      </c>
      <c r="BH517" s="17" t="s">
        <v>322</v>
      </c>
      <c r="BI517" s="17" t="s">
        <v>46</v>
      </c>
    </row>
    <row r="518" spans="6:61" x14ac:dyDescent="0.3">
      <c r="J518" t="s">
        <v>517</v>
      </c>
      <c r="K518" s="17" t="s">
        <v>91</v>
      </c>
      <c r="L518" s="17" t="s">
        <v>322</v>
      </c>
      <c r="M518" s="17" t="s">
        <v>322</v>
      </c>
      <c r="N518" s="17" t="s">
        <v>322</v>
      </c>
      <c r="O518" s="17" t="s">
        <v>129</v>
      </c>
      <c r="AG518" t="s">
        <v>554</v>
      </c>
      <c r="AH518" s="17" t="s">
        <v>322</v>
      </c>
      <c r="AI518" s="17" t="s">
        <v>322</v>
      </c>
      <c r="AJ518" s="17" t="s">
        <v>46</v>
      </c>
      <c r="AK518" s="17" t="s">
        <v>322</v>
      </c>
      <c r="AL518" s="17" t="s">
        <v>46</v>
      </c>
    </row>
    <row r="519" spans="6:61" x14ac:dyDescent="0.3">
      <c r="J519" t="s">
        <v>326</v>
      </c>
      <c r="K519" s="17" t="s">
        <v>322</v>
      </c>
      <c r="L519" s="17" t="s">
        <v>322</v>
      </c>
      <c r="M519" s="17" t="s">
        <v>91</v>
      </c>
      <c r="N519" s="17" t="s">
        <v>322</v>
      </c>
      <c r="O519" s="17" t="s">
        <v>129</v>
      </c>
      <c r="BD519" t="s">
        <v>806</v>
      </c>
    </row>
    <row r="520" spans="6:61" x14ac:dyDescent="0.3">
      <c r="J520" t="s">
        <v>328</v>
      </c>
      <c r="K520" s="17" t="s">
        <v>322</v>
      </c>
      <c r="L520" s="17" t="s">
        <v>322</v>
      </c>
      <c r="M520" s="17" t="s">
        <v>91</v>
      </c>
      <c r="N520" s="17" t="s">
        <v>322</v>
      </c>
      <c r="O520" s="17" t="s">
        <v>129</v>
      </c>
      <c r="AG520" t="s">
        <v>806</v>
      </c>
      <c r="BE520" s="17" t="s">
        <v>315</v>
      </c>
      <c r="BF520" s="17" t="s">
        <v>316</v>
      </c>
      <c r="BG520" s="17" t="s">
        <v>317</v>
      </c>
      <c r="BH520" s="17" t="s">
        <v>318</v>
      </c>
      <c r="BI520" s="17" t="s">
        <v>319</v>
      </c>
    </row>
    <row r="521" spans="6:61" x14ac:dyDescent="0.3">
      <c r="AH521" s="17" t="s">
        <v>315</v>
      </c>
      <c r="AI521" s="17" t="s">
        <v>316</v>
      </c>
      <c r="AJ521" s="17" t="s">
        <v>317</v>
      </c>
      <c r="AK521" s="17" t="s">
        <v>318</v>
      </c>
      <c r="AL521" s="17" t="s">
        <v>319</v>
      </c>
      <c r="BD521" t="s">
        <v>573</v>
      </c>
      <c r="BE521" s="17" t="s">
        <v>322</v>
      </c>
      <c r="BF521" s="17" t="s">
        <v>322</v>
      </c>
      <c r="BG521" s="17" t="s">
        <v>322</v>
      </c>
      <c r="BH521" s="17" t="s">
        <v>213</v>
      </c>
      <c r="BI521" s="17" t="s">
        <v>322</v>
      </c>
    </row>
    <row r="522" spans="6:61" x14ac:dyDescent="0.3">
      <c r="J522" t="s">
        <v>808</v>
      </c>
      <c r="AG522" t="s">
        <v>573</v>
      </c>
      <c r="AH522" s="17" t="s">
        <v>322</v>
      </c>
      <c r="AI522" s="17" t="s">
        <v>322</v>
      </c>
      <c r="AJ522" s="17" t="s">
        <v>322</v>
      </c>
      <c r="AK522" s="17" t="s">
        <v>213</v>
      </c>
      <c r="AL522" s="17" t="s">
        <v>322</v>
      </c>
      <c r="BD522" t="s">
        <v>561</v>
      </c>
      <c r="BE522" s="17" t="s">
        <v>322</v>
      </c>
      <c r="BF522" s="17" t="s">
        <v>322</v>
      </c>
      <c r="BG522" s="17" t="s">
        <v>322</v>
      </c>
      <c r="BH522" s="17" t="s">
        <v>213</v>
      </c>
      <c r="BI522" s="17" t="s">
        <v>322</v>
      </c>
    </row>
    <row r="523" spans="6:61" x14ac:dyDescent="0.3">
      <c r="K523" s="17" t="s">
        <v>315</v>
      </c>
      <c r="L523" s="17" t="s">
        <v>316</v>
      </c>
      <c r="M523" s="17" t="s">
        <v>317</v>
      </c>
      <c r="N523" s="17" t="s">
        <v>318</v>
      </c>
      <c r="O523" s="17" t="s">
        <v>319</v>
      </c>
      <c r="AG523" t="s">
        <v>561</v>
      </c>
      <c r="AH523" s="17" t="s">
        <v>322</v>
      </c>
      <c r="AI523" s="17" t="s">
        <v>322</v>
      </c>
      <c r="AJ523" s="17" t="s">
        <v>322</v>
      </c>
      <c r="AK523" s="17" t="s">
        <v>213</v>
      </c>
      <c r="AL523" s="17" t="s">
        <v>322</v>
      </c>
      <c r="BD523" t="s">
        <v>551</v>
      </c>
      <c r="BE523" s="17" t="s">
        <v>322</v>
      </c>
      <c r="BF523" s="17" t="s">
        <v>322</v>
      </c>
      <c r="BG523" s="17" t="s">
        <v>322</v>
      </c>
      <c r="BH523" s="17" t="s">
        <v>213</v>
      </c>
      <c r="BI523" s="17" t="s">
        <v>322</v>
      </c>
    </row>
    <row r="524" spans="6:61" x14ac:dyDescent="0.3">
      <c r="J524" t="s">
        <v>517</v>
      </c>
      <c r="K524" s="17" t="s">
        <v>322</v>
      </c>
      <c r="L524" s="17" t="s">
        <v>322</v>
      </c>
      <c r="M524" s="17" t="s">
        <v>322</v>
      </c>
      <c r="N524" s="17" t="s">
        <v>322</v>
      </c>
      <c r="O524" s="17" t="s">
        <v>170</v>
      </c>
      <c r="AG524" t="s">
        <v>551</v>
      </c>
      <c r="AH524" s="17" t="s">
        <v>322</v>
      </c>
      <c r="AI524" s="17" t="s">
        <v>322</v>
      </c>
      <c r="AJ524" s="17" t="s">
        <v>322</v>
      </c>
      <c r="AK524" s="17" t="s">
        <v>213</v>
      </c>
      <c r="AL524" s="17" t="s">
        <v>322</v>
      </c>
    </row>
    <row r="525" spans="6:61" x14ac:dyDescent="0.3">
      <c r="J525" t="s">
        <v>326</v>
      </c>
      <c r="K525" s="17" t="s">
        <v>322</v>
      </c>
      <c r="L525" s="17" t="s">
        <v>322</v>
      </c>
      <c r="M525" s="17" t="s">
        <v>322</v>
      </c>
      <c r="N525" s="17" t="s">
        <v>322</v>
      </c>
      <c r="O525" s="17" t="s">
        <v>170</v>
      </c>
      <c r="BD525" t="s">
        <v>807</v>
      </c>
    </row>
    <row r="526" spans="6:61" x14ac:dyDescent="0.3">
      <c r="J526" t="s">
        <v>328</v>
      </c>
      <c r="K526" s="17" t="s">
        <v>322</v>
      </c>
      <c r="L526" s="17" t="s">
        <v>322</v>
      </c>
      <c r="M526" s="17" t="s">
        <v>170</v>
      </c>
      <c r="N526" s="17" t="s">
        <v>322</v>
      </c>
      <c r="O526" s="17" t="s">
        <v>170</v>
      </c>
      <c r="AG526" t="s">
        <v>807</v>
      </c>
      <c r="BE526" s="17" t="s">
        <v>315</v>
      </c>
      <c r="BF526" s="17" t="s">
        <v>316</v>
      </c>
      <c r="BG526" s="17" t="s">
        <v>317</v>
      </c>
      <c r="BH526" s="17" t="s">
        <v>318</v>
      </c>
      <c r="BI526" s="17" t="s">
        <v>319</v>
      </c>
    </row>
    <row r="527" spans="6:61" x14ac:dyDescent="0.3">
      <c r="J527" t="s">
        <v>350</v>
      </c>
      <c r="K527" s="17" t="s">
        <v>322</v>
      </c>
      <c r="L527" s="17" t="s">
        <v>322</v>
      </c>
      <c r="M527" s="17" t="s">
        <v>170</v>
      </c>
      <c r="N527" s="17" t="s">
        <v>322</v>
      </c>
      <c r="O527" s="17" t="s">
        <v>322</v>
      </c>
      <c r="AH527" s="17" t="s">
        <v>315</v>
      </c>
      <c r="AI527" s="17" t="s">
        <v>316</v>
      </c>
      <c r="AJ527" s="17" t="s">
        <v>317</v>
      </c>
      <c r="AK527" s="17" t="s">
        <v>318</v>
      </c>
      <c r="AL527" s="17" t="s">
        <v>319</v>
      </c>
      <c r="BD527" t="s">
        <v>512</v>
      </c>
      <c r="BE527" s="17" t="s">
        <v>322</v>
      </c>
      <c r="BF527" s="17" t="s">
        <v>322</v>
      </c>
      <c r="BG527" s="17" t="s">
        <v>129</v>
      </c>
      <c r="BH527" s="17" t="s">
        <v>322</v>
      </c>
      <c r="BI527" s="17" t="s">
        <v>322</v>
      </c>
    </row>
    <row r="528" spans="6:61" x14ac:dyDescent="0.3">
      <c r="AG528" t="s">
        <v>512</v>
      </c>
      <c r="AH528" s="17" t="s">
        <v>91</v>
      </c>
      <c r="AI528" s="17" t="s">
        <v>322</v>
      </c>
      <c r="AJ528" s="17" t="s">
        <v>129</v>
      </c>
      <c r="AK528" s="17" t="s">
        <v>322</v>
      </c>
      <c r="AL528" s="17" t="s">
        <v>322</v>
      </c>
      <c r="BD528" t="s">
        <v>514</v>
      </c>
      <c r="BE528" s="17" t="s">
        <v>322</v>
      </c>
      <c r="BF528" s="17" t="s">
        <v>322</v>
      </c>
      <c r="BG528" s="17" t="s">
        <v>129</v>
      </c>
      <c r="BH528" s="17" t="s">
        <v>322</v>
      </c>
      <c r="BI528" s="17" t="s">
        <v>129</v>
      </c>
    </row>
    <row r="529" spans="10:61" x14ac:dyDescent="0.3">
      <c r="J529" t="s">
        <v>809</v>
      </c>
      <c r="AG529" t="s">
        <v>514</v>
      </c>
      <c r="AH529" s="17" t="s">
        <v>91</v>
      </c>
      <c r="AI529" s="17" t="s">
        <v>322</v>
      </c>
      <c r="AJ529" s="17" t="s">
        <v>129</v>
      </c>
      <c r="AK529" s="17" t="s">
        <v>322</v>
      </c>
      <c r="AL529" s="17" t="s">
        <v>322</v>
      </c>
      <c r="BD529" t="s">
        <v>517</v>
      </c>
      <c r="BE529" s="17" t="s">
        <v>322</v>
      </c>
      <c r="BF529" s="17" t="s">
        <v>322</v>
      </c>
      <c r="BG529" s="17" t="s">
        <v>322</v>
      </c>
      <c r="BH529" s="17" t="s">
        <v>322</v>
      </c>
      <c r="BI529" s="17" t="s">
        <v>129</v>
      </c>
    </row>
    <row r="530" spans="10:61" x14ac:dyDescent="0.3">
      <c r="K530" s="17" t="s">
        <v>315</v>
      </c>
      <c r="L530" s="17" t="s">
        <v>316</v>
      </c>
      <c r="M530" s="17" t="s">
        <v>317</v>
      </c>
      <c r="N530" s="17" t="s">
        <v>318</v>
      </c>
      <c r="O530" s="17" t="s">
        <v>319</v>
      </c>
      <c r="AG530" t="s">
        <v>517</v>
      </c>
      <c r="AH530" s="17" t="s">
        <v>91</v>
      </c>
      <c r="AI530" s="17" t="s">
        <v>322</v>
      </c>
      <c r="AJ530" s="17" t="s">
        <v>322</v>
      </c>
      <c r="AK530" s="17" t="s">
        <v>322</v>
      </c>
      <c r="AL530" s="17" t="s">
        <v>129</v>
      </c>
      <c r="BD530" t="s">
        <v>326</v>
      </c>
      <c r="BE530" s="17" t="s">
        <v>322</v>
      </c>
      <c r="BF530" s="17" t="s">
        <v>322</v>
      </c>
      <c r="BG530" s="17" t="s">
        <v>322</v>
      </c>
      <c r="BH530" s="17" t="s">
        <v>322</v>
      </c>
      <c r="BI530" s="17" t="s">
        <v>129</v>
      </c>
    </row>
    <row r="531" spans="10:61" x14ac:dyDescent="0.3">
      <c r="J531" t="s">
        <v>554</v>
      </c>
      <c r="K531" s="17" t="s">
        <v>322</v>
      </c>
      <c r="L531" s="17" t="s">
        <v>322</v>
      </c>
      <c r="M531" s="17" t="s">
        <v>202</v>
      </c>
      <c r="N531" s="17" t="s">
        <v>322</v>
      </c>
      <c r="O531" s="17" t="s">
        <v>322</v>
      </c>
      <c r="AG531" t="s">
        <v>326</v>
      </c>
      <c r="AH531" s="17" t="s">
        <v>322</v>
      </c>
      <c r="AI531" s="17" t="s">
        <v>322</v>
      </c>
      <c r="AJ531" s="17" t="s">
        <v>91</v>
      </c>
      <c r="AK531" s="17" t="s">
        <v>322</v>
      </c>
      <c r="AL531" s="17" t="s">
        <v>129</v>
      </c>
    </row>
    <row r="532" spans="10:61" x14ac:dyDescent="0.3">
      <c r="J532" s="32" t="s">
        <v>586</v>
      </c>
      <c r="K532" s="130" t="s">
        <v>322</v>
      </c>
      <c r="L532" s="130" t="s">
        <v>322</v>
      </c>
      <c r="M532" s="130" t="s">
        <v>202</v>
      </c>
      <c r="N532" s="130" t="s">
        <v>322</v>
      </c>
      <c r="O532" s="130" t="s">
        <v>322</v>
      </c>
      <c r="AG532" t="s">
        <v>328</v>
      </c>
      <c r="AH532" s="17" t="s">
        <v>322</v>
      </c>
      <c r="AI532" s="17" t="s">
        <v>322</v>
      </c>
      <c r="AJ532" s="17" t="s">
        <v>91</v>
      </c>
      <c r="AK532" s="17" t="s">
        <v>322</v>
      </c>
      <c r="AL532" s="17" t="s">
        <v>129</v>
      </c>
      <c r="BD532" t="s">
        <v>808</v>
      </c>
    </row>
    <row r="533" spans="10:61" x14ac:dyDescent="0.3">
      <c r="J533" s="32"/>
      <c r="K533" s="130"/>
      <c r="L533" s="130"/>
      <c r="M533" s="130"/>
      <c r="N533" s="130"/>
      <c r="O533" s="130"/>
      <c r="BE533" s="17" t="s">
        <v>315</v>
      </c>
      <c r="BF533" s="17" t="s">
        <v>316</v>
      </c>
      <c r="BG533" s="17" t="s">
        <v>317</v>
      </c>
      <c r="BH533" s="17" t="s">
        <v>318</v>
      </c>
      <c r="BI533" s="17" t="s">
        <v>319</v>
      </c>
    </row>
    <row r="534" spans="10:61" x14ac:dyDescent="0.3">
      <c r="J534" t="s">
        <v>810</v>
      </c>
      <c r="AG534" t="s">
        <v>808</v>
      </c>
      <c r="BD534" t="s">
        <v>517</v>
      </c>
      <c r="BE534" s="17" t="s">
        <v>322</v>
      </c>
      <c r="BF534" s="17" t="s">
        <v>322</v>
      </c>
      <c r="BG534" s="17" t="s">
        <v>322</v>
      </c>
      <c r="BH534" s="17" t="s">
        <v>322</v>
      </c>
      <c r="BI534" s="17" t="s">
        <v>170</v>
      </c>
    </row>
    <row r="535" spans="10:61" x14ac:dyDescent="0.3">
      <c r="K535" s="17" t="s">
        <v>315</v>
      </c>
      <c r="L535" s="17" t="s">
        <v>316</v>
      </c>
      <c r="M535" s="17" t="s">
        <v>317</v>
      </c>
      <c r="N535" s="17" t="s">
        <v>318</v>
      </c>
      <c r="O535" s="17" t="s">
        <v>319</v>
      </c>
      <c r="AH535" s="17" t="s">
        <v>315</v>
      </c>
      <c r="AI535" s="17" t="s">
        <v>316</v>
      </c>
      <c r="AJ535" s="17" t="s">
        <v>317</v>
      </c>
      <c r="AK535" s="17" t="s">
        <v>318</v>
      </c>
      <c r="AL535" s="17" t="s">
        <v>319</v>
      </c>
      <c r="BD535" t="s">
        <v>326</v>
      </c>
      <c r="BE535" s="17" t="s">
        <v>322</v>
      </c>
      <c r="BF535" s="17" t="s">
        <v>322</v>
      </c>
      <c r="BG535" s="17" t="s">
        <v>322</v>
      </c>
      <c r="BH535" s="17" t="s">
        <v>322</v>
      </c>
      <c r="BI535" s="17" t="s">
        <v>170</v>
      </c>
    </row>
    <row r="536" spans="10:61" x14ac:dyDescent="0.3">
      <c r="J536" t="s">
        <v>512</v>
      </c>
      <c r="K536" s="17" t="s">
        <v>322</v>
      </c>
      <c r="L536" s="17" t="s">
        <v>322</v>
      </c>
      <c r="M536" s="17" t="s">
        <v>179</v>
      </c>
      <c r="N536" s="17" t="s">
        <v>322</v>
      </c>
      <c r="O536" s="17" t="s">
        <v>179</v>
      </c>
      <c r="AG536" t="s">
        <v>517</v>
      </c>
      <c r="AH536" s="17" t="s">
        <v>322</v>
      </c>
      <c r="AI536" s="17" t="s">
        <v>322</v>
      </c>
      <c r="AJ536" s="17" t="s">
        <v>322</v>
      </c>
      <c r="AK536" s="17" t="s">
        <v>322</v>
      </c>
      <c r="AL536" s="17" t="s">
        <v>170</v>
      </c>
      <c r="BD536" t="s">
        <v>328</v>
      </c>
      <c r="BE536" s="17" t="s">
        <v>322</v>
      </c>
      <c r="BF536" s="17" t="s">
        <v>322</v>
      </c>
      <c r="BG536" s="17" t="s">
        <v>170</v>
      </c>
      <c r="BH536" s="17" t="s">
        <v>322</v>
      </c>
      <c r="BI536" s="17" t="s">
        <v>170</v>
      </c>
    </row>
    <row r="537" spans="10:61" x14ac:dyDescent="0.3">
      <c r="J537" t="s">
        <v>514</v>
      </c>
      <c r="K537" s="17" t="s">
        <v>322</v>
      </c>
      <c r="L537" s="17" t="s">
        <v>322</v>
      </c>
      <c r="M537" s="17" t="s">
        <v>179</v>
      </c>
      <c r="N537" s="17" t="s">
        <v>322</v>
      </c>
      <c r="O537" s="17" t="s">
        <v>179</v>
      </c>
      <c r="AG537" t="s">
        <v>326</v>
      </c>
      <c r="AH537" s="17" t="s">
        <v>322</v>
      </c>
      <c r="AI537" s="17" t="s">
        <v>322</v>
      </c>
      <c r="AJ537" s="17" t="s">
        <v>322</v>
      </c>
      <c r="AK537" s="17" t="s">
        <v>322</v>
      </c>
      <c r="AL537" s="17" t="s">
        <v>170</v>
      </c>
      <c r="BD537" t="s">
        <v>350</v>
      </c>
      <c r="BE537" s="17" t="s">
        <v>322</v>
      </c>
      <c r="BF537" s="17" t="s">
        <v>322</v>
      </c>
      <c r="BG537" s="17" t="s">
        <v>170</v>
      </c>
      <c r="BH537" s="17" t="s">
        <v>322</v>
      </c>
      <c r="BI537" s="17" t="s">
        <v>322</v>
      </c>
    </row>
    <row r="538" spans="10:61" x14ac:dyDescent="0.3">
      <c r="J538" t="s">
        <v>517</v>
      </c>
      <c r="K538" s="17" t="s">
        <v>322</v>
      </c>
      <c r="L538" s="17" t="s">
        <v>322</v>
      </c>
      <c r="M538" s="17" t="s">
        <v>179</v>
      </c>
      <c r="N538" s="17" t="s">
        <v>322</v>
      </c>
      <c r="O538" s="17" t="s">
        <v>179</v>
      </c>
      <c r="AG538" t="s">
        <v>328</v>
      </c>
      <c r="AH538" s="17" t="s">
        <v>322</v>
      </c>
      <c r="AI538" s="17" t="s">
        <v>322</v>
      </c>
      <c r="AJ538" s="17" t="s">
        <v>170</v>
      </c>
      <c r="AK538" s="17" t="s">
        <v>322</v>
      </c>
      <c r="AL538" s="17" t="s">
        <v>170</v>
      </c>
    </row>
    <row r="539" spans="10:61" x14ac:dyDescent="0.3">
      <c r="AG539" t="s">
        <v>350</v>
      </c>
      <c r="AH539" s="17" t="s">
        <v>322</v>
      </c>
      <c r="AI539" s="17" t="s">
        <v>322</v>
      </c>
      <c r="AJ539" s="17" t="s">
        <v>170</v>
      </c>
      <c r="AK539" s="17" t="s">
        <v>322</v>
      </c>
      <c r="AL539" s="17" t="s">
        <v>322</v>
      </c>
      <c r="BD539" t="s">
        <v>809</v>
      </c>
    </row>
    <row r="540" spans="10:61" x14ac:dyDescent="0.3">
      <c r="J540" t="s">
        <v>811</v>
      </c>
      <c r="BE540" s="17" t="s">
        <v>315</v>
      </c>
      <c r="BF540" s="17" t="s">
        <v>316</v>
      </c>
      <c r="BG540" s="17" t="s">
        <v>317</v>
      </c>
      <c r="BH540" s="17" t="s">
        <v>318</v>
      </c>
      <c r="BI540" s="17" t="s">
        <v>319</v>
      </c>
    </row>
    <row r="541" spans="10:61" x14ac:dyDescent="0.3">
      <c r="K541" s="17" t="s">
        <v>315</v>
      </c>
      <c r="L541" s="17" t="s">
        <v>316</v>
      </c>
      <c r="M541" s="17" t="s">
        <v>317</v>
      </c>
      <c r="N541" s="17" t="s">
        <v>318</v>
      </c>
      <c r="O541" s="17" t="s">
        <v>319</v>
      </c>
      <c r="AG541" t="s">
        <v>809</v>
      </c>
      <c r="BD541" t="s">
        <v>554</v>
      </c>
      <c r="BE541" s="17" t="s">
        <v>322</v>
      </c>
      <c r="BF541" s="17" t="s">
        <v>322</v>
      </c>
      <c r="BG541" s="17" t="s">
        <v>202</v>
      </c>
      <c r="BH541" s="17" t="s">
        <v>322</v>
      </c>
      <c r="BI541" s="17" t="s">
        <v>322</v>
      </c>
    </row>
    <row r="542" spans="10:61" x14ac:dyDescent="0.3">
      <c r="J542" t="s">
        <v>551</v>
      </c>
      <c r="K542" s="17" t="s">
        <v>248</v>
      </c>
      <c r="L542" s="17" t="s">
        <v>322</v>
      </c>
      <c r="M542" s="17" t="s">
        <v>322</v>
      </c>
      <c r="N542" s="17" t="s">
        <v>322</v>
      </c>
      <c r="O542" s="17" t="s">
        <v>322</v>
      </c>
      <c r="AH542" s="17" t="s">
        <v>315</v>
      </c>
      <c r="AI542" s="17" t="s">
        <v>316</v>
      </c>
      <c r="AJ542" s="17" t="s">
        <v>317</v>
      </c>
      <c r="AK542" s="17" t="s">
        <v>318</v>
      </c>
      <c r="AL542" s="17" t="s">
        <v>319</v>
      </c>
    </row>
    <row r="543" spans="10:61" x14ac:dyDescent="0.3">
      <c r="J543" t="s">
        <v>552</v>
      </c>
      <c r="K543" s="17" t="s">
        <v>248</v>
      </c>
      <c r="L543" s="17" t="s">
        <v>322</v>
      </c>
      <c r="M543" s="17" t="s">
        <v>322</v>
      </c>
      <c r="N543" s="17" t="s">
        <v>322</v>
      </c>
      <c r="O543" s="17" t="s">
        <v>322</v>
      </c>
      <c r="AG543" t="s">
        <v>554</v>
      </c>
      <c r="AH543" s="17" t="s">
        <v>322</v>
      </c>
      <c r="AI543" s="17" t="s">
        <v>322</v>
      </c>
      <c r="AJ543" s="17" t="s">
        <v>202</v>
      </c>
      <c r="AK543" s="17" t="s">
        <v>322</v>
      </c>
      <c r="AL543" s="17" t="s">
        <v>322</v>
      </c>
      <c r="BD543" t="s">
        <v>810</v>
      </c>
    </row>
    <row r="544" spans="10:61" x14ac:dyDescent="0.3">
      <c r="J544" t="s">
        <v>554</v>
      </c>
      <c r="K544" s="17" t="s">
        <v>248</v>
      </c>
      <c r="L544" s="17" t="s">
        <v>322</v>
      </c>
      <c r="M544" s="17" t="s">
        <v>322</v>
      </c>
      <c r="N544" s="17" t="s">
        <v>322</v>
      </c>
      <c r="O544" s="17" t="s">
        <v>322</v>
      </c>
      <c r="AG544" s="32" t="s">
        <v>586</v>
      </c>
      <c r="AH544" s="130" t="s">
        <v>322</v>
      </c>
      <c r="AI544" s="130" t="s">
        <v>322</v>
      </c>
      <c r="AJ544" s="130" t="s">
        <v>202</v>
      </c>
      <c r="AK544" s="130" t="s">
        <v>322</v>
      </c>
      <c r="AL544" s="130" t="s">
        <v>322</v>
      </c>
      <c r="BE544" s="17" t="s">
        <v>315</v>
      </c>
      <c r="BF544" s="17" t="s">
        <v>316</v>
      </c>
      <c r="BG544" s="17" t="s">
        <v>317</v>
      </c>
      <c r="BH544" s="17" t="s">
        <v>318</v>
      </c>
      <c r="BI544" s="17" t="s">
        <v>319</v>
      </c>
    </row>
    <row r="545" spans="7:61" x14ac:dyDescent="0.3">
      <c r="AG545" s="32"/>
      <c r="AH545" s="130"/>
      <c r="AI545" s="130"/>
      <c r="AJ545" s="130"/>
      <c r="AK545" s="130"/>
      <c r="AL545" s="130"/>
    </row>
    <row r="546" spans="7:61" x14ac:dyDescent="0.3">
      <c r="G546" s="130"/>
      <c r="J546" t="s">
        <v>812</v>
      </c>
      <c r="AG546" t="s">
        <v>810</v>
      </c>
      <c r="BD546" t="s">
        <v>512</v>
      </c>
      <c r="BE546" s="17" t="s">
        <v>322</v>
      </c>
      <c r="BF546" s="17" t="s">
        <v>322</v>
      </c>
      <c r="BG546" s="17" t="s">
        <v>179</v>
      </c>
      <c r="BH546" s="17" t="s">
        <v>322</v>
      </c>
      <c r="BI546" s="17" t="s">
        <v>179</v>
      </c>
    </row>
    <row r="547" spans="7:61" x14ac:dyDescent="0.3">
      <c r="K547" s="17" t="s">
        <v>315</v>
      </c>
      <c r="L547" s="17" t="s">
        <v>316</v>
      </c>
      <c r="M547" s="17" t="s">
        <v>317</v>
      </c>
      <c r="N547" s="17" t="s">
        <v>318</v>
      </c>
      <c r="O547" s="17" t="s">
        <v>319</v>
      </c>
      <c r="AH547" s="17" t="s">
        <v>315</v>
      </c>
      <c r="AI547" s="17" t="s">
        <v>316</v>
      </c>
      <c r="AJ547" s="17" t="s">
        <v>317</v>
      </c>
      <c r="AK547" s="17" t="s">
        <v>318</v>
      </c>
      <c r="AL547" s="17" t="s">
        <v>319</v>
      </c>
      <c r="BD547" t="s">
        <v>514</v>
      </c>
      <c r="BE547" s="17" t="s">
        <v>322</v>
      </c>
      <c r="BF547" s="17" t="s">
        <v>322</v>
      </c>
      <c r="BG547" s="17" t="s">
        <v>179</v>
      </c>
      <c r="BH547" s="17" t="s">
        <v>322</v>
      </c>
      <c r="BI547" s="17" t="s">
        <v>179</v>
      </c>
    </row>
    <row r="548" spans="7:61" x14ac:dyDescent="0.3">
      <c r="J548" t="s">
        <v>561</v>
      </c>
      <c r="K548" s="17" t="s">
        <v>322</v>
      </c>
      <c r="L548" s="17" t="s">
        <v>322</v>
      </c>
      <c r="M548" s="17" t="s">
        <v>322</v>
      </c>
      <c r="N548" s="17" t="s">
        <v>270</v>
      </c>
      <c r="O548" s="17" t="s">
        <v>322</v>
      </c>
      <c r="AG548" t="s">
        <v>512</v>
      </c>
      <c r="AH548" s="17" t="s">
        <v>322</v>
      </c>
      <c r="AI548" s="17" t="s">
        <v>322</v>
      </c>
      <c r="AJ548" s="17" t="s">
        <v>179</v>
      </c>
      <c r="AK548" s="17" t="s">
        <v>322</v>
      </c>
      <c r="AL548" s="17" t="s">
        <v>179</v>
      </c>
      <c r="BD548" t="s">
        <v>517</v>
      </c>
      <c r="BE548" s="17" t="s">
        <v>322</v>
      </c>
      <c r="BF548" s="17" t="s">
        <v>322</v>
      </c>
      <c r="BG548" s="17" t="s">
        <v>179</v>
      </c>
      <c r="BH548" s="17" t="s">
        <v>322</v>
      </c>
      <c r="BI548" s="17" t="s">
        <v>179</v>
      </c>
    </row>
    <row r="549" spans="7:61" x14ac:dyDescent="0.3">
      <c r="J549" t="s">
        <v>551</v>
      </c>
      <c r="K549" s="17" t="s">
        <v>322</v>
      </c>
      <c r="L549" s="17" t="s">
        <v>322</v>
      </c>
      <c r="M549" s="17" t="s">
        <v>270</v>
      </c>
      <c r="N549" s="17" t="s">
        <v>270</v>
      </c>
      <c r="O549" s="17" t="s">
        <v>322</v>
      </c>
      <c r="AG549" t="s">
        <v>514</v>
      </c>
      <c r="AH549" s="17" t="s">
        <v>322</v>
      </c>
      <c r="AI549" s="17" t="s">
        <v>322</v>
      </c>
      <c r="AJ549" s="17" t="s">
        <v>179</v>
      </c>
      <c r="AK549" s="17" t="s">
        <v>322</v>
      </c>
      <c r="AL549" s="17" t="s">
        <v>179</v>
      </c>
    </row>
    <row r="550" spans="7:61" x14ac:dyDescent="0.3">
      <c r="J550" t="s">
        <v>552</v>
      </c>
      <c r="K550" s="17" t="s">
        <v>322</v>
      </c>
      <c r="L550" s="17" t="s">
        <v>322</v>
      </c>
      <c r="M550" s="17" t="s">
        <v>270</v>
      </c>
      <c r="N550" s="17" t="s">
        <v>322</v>
      </c>
      <c r="O550" s="17" t="s">
        <v>322</v>
      </c>
      <c r="AG550" t="s">
        <v>517</v>
      </c>
      <c r="AH550" s="17" t="s">
        <v>322</v>
      </c>
      <c r="AI550" s="17" t="s">
        <v>322</v>
      </c>
      <c r="AJ550" s="17" t="s">
        <v>179</v>
      </c>
      <c r="AK550" s="17" t="s">
        <v>322</v>
      </c>
      <c r="AL550" s="17" t="s">
        <v>179</v>
      </c>
      <c r="BD550" t="s">
        <v>811</v>
      </c>
    </row>
    <row r="551" spans="7:61" x14ac:dyDescent="0.3">
      <c r="BE551" s="17" t="s">
        <v>315</v>
      </c>
      <c r="BF551" s="17" t="s">
        <v>316</v>
      </c>
      <c r="BG551" s="17" t="s">
        <v>317</v>
      </c>
      <c r="BH551" s="17" t="s">
        <v>318</v>
      </c>
      <c r="BI551" s="17" t="s">
        <v>319</v>
      </c>
    </row>
    <row r="552" spans="7:61" x14ac:dyDescent="0.3">
      <c r="J552" t="s">
        <v>813</v>
      </c>
      <c r="AG552" t="s">
        <v>811</v>
      </c>
      <c r="BD552" t="s">
        <v>551</v>
      </c>
      <c r="BE552" s="17" t="s">
        <v>248</v>
      </c>
      <c r="BF552" s="17" t="s">
        <v>322</v>
      </c>
      <c r="BG552" s="17" t="s">
        <v>322</v>
      </c>
      <c r="BH552" s="17" t="s">
        <v>322</v>
      </c>
      <c r="BI552" s="17" t="s">
        <v>322</v>
      </c>
    </row>
    <row r="553" spans="7:61" x14ac:dyDescent="0.3">
      <c r="K553" s="17" t="s">
        <v>315</v>
      </c>
      <c r="L553" s="17" t="s">
        <v>316</v>
      </c>
      <c r="M553" s="17" t="s">
        <v>317</v>
      </c>
      <c r="N553" s="17" t="s">
        <v>318</v>
      </c>
      <c r="O553" s="17" t="s">
        <v>319</v>
      </c>
      <c r="AH553" s="17" t="s">
        <v>315</v>
      </c>
      <c r="AI553" s="17" t="s">
        <v>316</v>
      </c>
      <c r="AJ553" s="17" t="s">
        <v>317</v>
      </c>
      <c r="AK553" s="17" t="s">
        <v>318</v>
      </c>
      <c r="AL553" s="17" t="s">
        <v>319</v>
      </c>
      <c r="BD553" t="s">
        <v>552</v>
      </c>
      <c r="BE553" s="17" t="s">
        <v>248</v>
      </c>
      <c r="BF553" s="17" t="s">
        <v>322</v>
      </c>
      <c r="BG553" s="17" t="s">
        <v>322</v>
      </c>
      <c r="BH553" s="17" t="s">
        <v>322</v>
      </c>
      <c r="BI553" s="17" t="s">
        <v>322</v>
      </c>
    </row>
    <row r="554" spans="7:61" x14ac:dyDescent="0.3">
      <c r="G554" s="130"/>
      <c r="J554" t="s">
        <v>512</v>
      </c>
      <c r="K554" s="17" t="s">
        <v>322</v>
      </c>
      <c r="L554" s="17" t="s">
        <v>322</v>
      </c>
      <c r="M554" s="17" t="s">
        <v>122</v>
      </c>
      <c r="N554" s="17" t="s">
        <v>322</v>
      </c>
      <c r="O554" s="17" t="s">
        <v>322</v>
      </c>
      <c r="AG554" t="s">
        <v>551</v>
      </c>
      <c r="AH554" s="17" t="s">
        <v>248</v>
      </c>
      <c r="AI554" s="17" t="s">
        <v>322</v>
      </c>
      <c r="AJ554" s="17" t="s">
        <v>322</v>
      </c>
      <c r="AK554" s="17" t="s">
        <v>322</v>
      </c>
      <c r="AL554" s="17" t="s">
        <v>322</v>
      </c>
      <c r="BD554" t="s">
        <v>554</v>
      </c>
      <c r="BE554" s="17" t="s">
        <v>248</v>
      </c>
      <c r="BF554" s="17" t="s">
        <v>322</v>
      </c>
      <c r="BG554" s="17" t="s">
        <v>322</v>
      </c>
      <c r="BH554" s="17" t="s">
        <v>322</v>
      </c>
      <c r="BI554" s="17" t="s">
        <v>322</v>
      </c>
    </row>
    <row r="555" spans="7:61" x14ac:dyDescent="0.3">
      <c r="J555" t="s">
        <v>514</v>
      </c>
      <c r="K555" s="17" t="s">
        <v>322</v>
      </c>
      <c r="L555" s="17" t="s">
        <v>322</v>
      </c>
      <c r="M555" s="17" t="s">
        <v>122</v>
      </c>
      <c r="N555" s="17" t="s">
        <v>322</v>
      </c>
      <c r="O555" s="17" t="s">
        <v>322</v>
      </c>
      <c r="AG555" t="s">
        <v>552</v>
      </c>
      <c r="AH555" s="17" t="s">
        <v>248</v>
      </c>
      <c r="AI555" s="17" t="s">
        <v>322</v>
      </c>
      <c r="AJ555" s="17" t="s">
        <v>322</v>
      </c>
      <c r="AK555" s="17" t="s">
        <v>322</v>
      </c>
      <c r="AL555" s="17" t="s">
        <v>322</v>
      </c>
    </row>
    <row r="556" spans="7:61" x14ac:dyDescent="0.3">
      <c r="J556" t="s">
        <v>328</v>
      </c>
      <c r="K556" s="17" t="s">
        <v>322</v>
      </c>
      <c r="L556" s="17" t="s">
        <v>122</v>
      </c>
      <c r="M556" s="17" t="s">
        <v>322</v>
      </c>
      <c r="N556" s="17" t="s">
        <v>322</v>
      </c>
      <c r="O556" s="17" t="s">
        <v>322</v>
      </c>
      <c r="AG556" t="s">
        <v>554</v>
      </c>
      <c r="AH556" s="17" t="s">
        <v>248</v>
      </c>
      <c r="AI556" s="17" t="s">
        <v>322</v>
      </c>
      <c r="AJ556" s="17" t="s">
        <v>322</v>
      </c>
      <c r="AK556" s="17" t="s">
        <v>322</v>
      </c>
      <c r="AL556" s="17" t="s">
        <v>322</v>
      </c>
      <c r="BD556" t="s">
        <v>812</v>
      </c>
    </row>
    <row r="557" spans="7:61" x14ac:dyDescent="0.3">
      <c r="J557" t="s">
        <v>350</v>
      </c>
      <c r="K557" s="17" t="s">
        <v>322</v>
      </c>
      <c r="L557" s="17" t="s">
        <v>122</v>
      </c>
      <c r="M557" s="17" t="s">
        <v>322</v>
      </c>
      <c r="N557" s="17" t="s">
        <v>322</v>
      </c>
      <c r="O557" s="17" t="s">
        <v>322</v>
      </c>
      <c r="BE557" s="17" t="s">
        <v>315</v>
      </c>
      <c r="BF557" s="17" t="s">
        <v>316</v>
      </c>
      <c r="BG557" s="17" t="s">
        <v>317</v>
      </c>
      <c r="BH557" s="17" t="s">
        <v>318</v>
      </c>
      <c r="BI557" s="17" t="s">
        <v>319</v>
      </c>
    </row>
    <row r="558" spans="7:61" x14ac:dyDescent="0.3">
      <c r="AG558" t="s">
        <v>812</v>
      </c>
      <c r="BD558" t="s">
        <v>561</v>
      </c>
      <c r="BE558" s="17" t="s">
        <v>322</v>
      </c>
      <c r="BF558" s="17" t="s">
        <v>322</v>
      </c>
      <c r="BG558" s="17" t="s">
        <v>322</v>
      </c>
      <c r="BH558" s="17" t="s">
        <v>270</v>
      </c>
      <c r="BI558" s="17" t="s">
        <v>322</v>
      </c>
    </row>
    <row r="559" spans="7:61" x14ac:dyDescent="0.3">
      <c r="J559" t="s">
        <v>814</v>
      </c>
      <c r="AH559" s="17" t="s">
        <v>315</v>
      </c>
      <c r="AI559" s="17" t="s">
        <v>316</v>
      </c>
      <c r="AJ559" s="17" t="s">
        <v>317</v>
      </c>
      <c r="AK559" s="17" t="s">
        <v>318</v>
      </c>
      <c r="AL559" s="17" t="s">
        <v>319</v>
      </c>
      <c r="BD559" t="s">
        <v>551</v>
      </c>
      <c r="BE559" s="17" t="s">
        <v>322</v>
      </c>
      <c r="BF559" s="17" t="s">
        <v>322</v>
      </c>
      <c r="BG559" s="17" t="s">
        <v>270</v>
      </c>
      <c r="BH559" s="17" t="s">
        <v>270</v>
      </c>
      <c r="BI559" s="17" t="s">
        <v>322</v>
      </c>
    </row>
    <row r="560" spans="7:61" x14ac:dyDescent="0.3">
      <c r="K560" s="17" t="s">
        <v>315</v>
      </c>
      <c r="L560" s="17" t="s">
        <v>316</v>
      </c>
      <c r="M560" s="17" t="s">
        <v>317</v>
      </c>
      <c r="N560" s="17" t="s">
        <v>318</v>
      </c>
      <c r="O560" s="17" t="s">
        <v>319</v>
      </c>
      <c r="AG560" t="s">
        <v>561</v>
      </c>
      <c r="AH560" s="17" t="s">
        <v>322</v>
      </c>
      <c r="AI560" s="17" t="s">
        <v>322</v>
      </c>
      <c r="AJ560" s="17" t="s">
        <v>322</v>
      </c>
      <c r="AK560" s="17" t="s">
        <v>270</v>
      </c>
      <c r="AL560" s="17" t="s">
        <v>322</v>
      </c>
      <c r="BD560" t="s">
        <v>552</v>
      </c>
      <c r="BE560" s="17" t="s">
        <v>322</v>
      </c>
      <c r="BF560" s="17" t="s">
        <v>322</v>
      </c>
      <c r="BG560" s="17" t="s">
        <v>270</v>
      </c>
      <c r="BH560" s="17" t="s">
        <v>322</v>
      </c>
      <c r="BI560" s="17" t="s">
        <v>322</v>
      </c>
    </row>
    <row r="561" spans="10:61" x14ac:dyDescent="0.3">
      <c r="J561" t="s">
        <v>512</v>
      </c>
      <c r="K561" s="17" t="s">
        <v>173</v>
      </c>
      <c r="L561" s="17" t="s">
        <v>322</v>
      </c>
      <c r="M561" s="17" t="s">
        <v>322</v>
      </c>
      <c r="N561" s="17" t="s">
        <v>322</v>
      </c>
      <c r="O561" s="17" t="s">
        <v>322</v>
      </c>
      <c r="AG561" t="s">
        <v>551</v>
      </c>
      <c r="AH561" s="17" t="s">
        <v>322</v>
      </c>
      <c r="AI561" s="17" t="s">
        <v>322</v>
      </c>
      <c r="AJ561" s="17" t="s">
        <v>270</v>
      </c>
      <c r="AK561" s="17" t="s">
        <v>270</v>
      </c>
      <c r="AL561" s="17" t="s">
        <v>322</v>
      </c>
    </row>
    <row r="562" spans="10:61" x14ac:dyDescent="0.3">
      <c r="J562" t="s">
        <v>514</v>
      </c>
      <c r="K562" s="17" t="s">
        <v>173</v>
      </c>
      <c r="L562" s="17" t="s">
        <v>322</v>
      </c>
      <c r="M562" s="17" t="s">
        <v>322</v>
      </c>
      <c r="N562" s="17" t="s">
        <v>322</v>
      </c>
      <c r="O562" s="17" t="s">
        <v>322</v>
      </c>
      <c r="AG562" t="s">
        <v>552</v>
      </c>
      <c r="AH562" s="17" t="s">
        <v>322</v>
      </c>
      <c r="AI562" s="17" t="s">
        <v>322</v>
      </c>
      <c r="AJ562" s="17" t="s">
        <v>270</v>
      </c>
      <c r="AK562" s="17" t="s">
        <v>322</v>
      </c>
      <c r="AL562" s="17" t="s">
        <v>322</v>
      </c>
      <c r="BD562" t="s">
        <v>813</v>
      </c>
    </row>
    <row r="563" spans="10:61" x14ac:dyDescent="0.3">
      <c r="J563" t="s">
        <v>517</v>
      </c>
      <c r="K563" s="17" t="s">
        <v>173</v>
      </c>
      <c r="L563" s="17" t="s">
        <v>322</v>
      </c>
      <c r="M563" s="17" t="s">
        <v>322</v>
      </c>
      <c r="N563" s="17" t="s">
        <v>322</v>
      </c>
      <c r="O563" s="17" t="s">
        <v>322</v>
      </c>
      <c r="BE563" s="17" t="s">
        <v>315</v>
      </c>
      <c r="BF563" s="17" t="s">
        <v>316</v>
      </c>
      <c r="BG563" s="17" t="s">
        <v>317</v>
      </c>
      <c r="BH563" s="17" t="s">
        <v>318</v>
      </c>
      <c r="BI563" s="17" t="s">
        <v>319</v>
      </c>
    </row>
    <row r="564" spans="10:61" x14ac:dyDescent="0.3">
      <c r="J564" t="s">
        <v>326</v>
      </c>
      <c r="K564" s="17" t="s">
        <v>173</v>
      </c>
      <c r="L564" s="17" t="s">
        <v>322</v>
      </c>
      <c r="M564" s="17" t="s">
        <v>322</v>
      </c>
      <c r="N564" s="17" t="s">
        <v>322</v>
      </c>
      <c r="O564" s="17" t="s">
        <v>322</v>
      </c>
      <c r="AG564" t="s">
        <v>813</v>
      </c>
      <c r="BD564" t="s">
        <v>512</v>
      </c>
      <c r="BE564" s="17" t="s">
        <v>322</v>
      </c>
      <c r="BF564" s="17" t="s">
        <v>322</v>
      </c>
      <c r="BG564" s="17" t="s">
        <v>122</v>
      </c>
      <c r="BH564" s="17" t="s">
        <v>322</v>
      </c>
      <c r="BI564" s="17" t="s">
        <v>322</v>
      </c>
    </row>
    <row r="565" spans="10:61" x14ac:dyDescent="0.3">
      <c r="J565" t="s">
        <v>328</v>
      </c>
      <c r="K565" s="17" t="s">
        <v>173</v>
      </c>
      <c r="L565" s="17" t="s">
        <v>322</v>
      </c>
      <c r="M565" s="17" t="s">
        <v>322</v>
      </c>
      <c r="N565" s="17" t="s">
        <v>322</v>
      </c>
      <c r="O565" s="17" t="s">
        <v>322</v>
      </c>
      <c r="AH565" s="17" t="s">
        <v>315</v>
      </c>
      <c r="AI565" s="17" t="s">
        <v>316</v>
      </c>
      <c r="AJ565" s="17" t="s">
        <v>317</v>
      </c>
      <c r="AK565" s="17" t="s">
        <v>318</v>
      </c>
      <c r="AL565" s="17" t="s">
        <v>319</v>
      </c>
      <c r="BD565" t="s">
        <v>514</v>
      </c>
      <c r="BE565" s="17" t="s">
        <v>322</v>
      </c>
      <c r="BF565" s="17" t="s">
        <v>322</v>
      </c>
      <c r="BG565" s="17" t="s">
        <v>122</v>
      </c>
      <c r="BH565" s="17" t="s">
        <v>322</v>
      </c>
      <c r="BI565" s="17" t="s">
        <v>322</v>
      </c>
    </row>
    <row r="566" spans="10:61" x14ac:dyDescent="0.3">
      <c r="J566" t="s">
        <v>350</v>
      </c>
      <c r="K566" s="17" t="s">
        <v>173</v>
      </c>
      <c r="L566" s="17" t="s">
        <v>322</v>
      </c>
      <c r="M566" s="17" t="s">
        <v>322</v>
      </c>
      <c r="N566" s="17" t="s">
        <v>322</v>
      </c>
      <c r="O566" s="17" t="s">
        <v>322</v>
      </c>
      <c r="AG566" t="s">
        <v>512</v>
      </c>
      <c r="AH566" s="17" t="s">
        <v>322</v>
      </c>
      <c r="AI566" s="17" t="s">
        <v>322</v>
      </c>
      <c r="AJ566" s="17" t="s">
        <v>122</v>
      </c>
      <c r="AK566" s="17" t="s">
        <v>322</v>
      </c>
      <c r="AL566" s="17" t="s">
        <v>322</v>
      </c>
      <c r="BD566" t="s">
        <v>328</v>
      </c>
      <c r="BE566" s="17" t="s">
        <v>322</v>
      </c>
      <c r="BF566" s="17" t="s">
        <v>122</v>
      </c>
      <c r="BG566" s="17" t="s">
        <v>322</v>
      </c>
      <c r="BH566" s="17" t="s">
        <v>322</v>
      </c>
      <c r="BI566" s="17" t="s">
        <v>322</v>
      </c>
    </row>
    <row r="567" spans="10:61" x14ac:dyDescent="0.3">
      <c r="AG567" t="s">
        <v>514</v>
      </c>
      <c r="AH567" s="17" t="s">
        <v>322</v>
      </c>
      <c r="AI567" s="17" t="s">
        <v>322</v>
      </c>
      <c r="AJ567" s="17" t="s">
        <v>122</v>
      </c>
      <c r="AK567" s="17" t="s">
        <v>322</v>
      </c>
      <c r="AL567" s="17" t="s">
        <v>322</v>
      </c>
      <c r="BD567" t="s">
        <v>350</v>
      </c>
      <c r="BE567" s="17" t="s">
        <v>322</v>
      </c>
      <c r="BF567" s="17" t="s">
        <v>122</v>
      </c>
      <c r="BG567" s="17" t="s">
        <v>322</v>
      </c>
      <c r="BH567" s="17" t="s">
        <v>322</v>
      </c>
      <c r="BI567" s="17" t="s">
        <v>322</v>
      </c>
    </row>
    <row r="568" spans="10:61" x14ac:dyDescent="0.3">
      <c r="J568" t="s">
        <v>815</v>
      </c>
      <c r="AG568" t="s">
        <v>328</v>
      </c>
      <c r="AH568" s="17" t="s">
        <v>322</v>
      </c>
      <c r="AI568" s="17" t="s">
        <v>122</v>
      </c>
      <c r="AJ568" s="17" t="s">
        <v>322</v>
      </c>
      <c r="AK568" s="17" t="s">
        <v>322</v>
      </c>
      <c r="AL568" s="17" t="s">
        <v>322</v>
      </c>
    </row>
    <row r="569" spans="10:61" x14ac:dyDescent="0.3">
      <c r="K569" s="17" t="s">
        <v>315</v>
      </c>
      <c r="L569" s="17" t="s">
        <v>316</v>
      </c>
      <c r="M569" s="17" t="s">
        <v>317</v>
      </c>
      <c r="N569" s="17" t="s">
        <v>318</v>
      </c>
      <c r="O569" s="17" t="s">
        <v>319</v>
      </c>
      <c r="AG569" t="s">
        <v>350</v>
      </c>
      <c r="AH569" s="17" t="s">
        <v>322</v>
      </c>
      <c r="AI569" s="17" t="s">
        <v>122</v>
      </c>
      <c r="AJ569" s="17" t="s">
        <v>322</v>
      </c>
      <c r="AK569" s="17" t="s">
        <v>322</v>
      </c>
      <c r="AL569" s="17" t="s">
        <v>322</v>
      </c>
      <c r="BD569" t="s">
        <v>814</v>
      </c>
    </row>
    <row r="570" spans="10:61" x14ac:dyDescent="0.3">
      <c r="J570" t="s">
        <v>561</v>
      </c>
      <c r="K570" s="17" t="s">
        <v>50</v>
      </c>
      <c r="L570" s="17" t="s">
        <v>322</v>
      </c>
      <c r="M570" s="17" t="s">
        <v>322</v>
      </c>
      <c r="N570" s="17" t="s">
        <v>322</v>
      </c>
      <c r="O570" s="17" t="s">
        <v>50</v>
      </c>
      <c r="BE570" s="17" t="s">
        <v>315</v>
      </c>
      <c r="BF570" s="17" t="s">
        <v>316</v>
      </c>
      <c r="BG570" s="17" t="s">
        <v>317</v>
      </c>
      <c r="BH570" s="17" t="s">
        <v>318</v>
      </c>
      <c r="BI570" s="17" t="s">
        <v>319</v>
      </c>
    </row>
    <row r="571" spans="10:61" x14ac:dyDescent="0.3">
      <c r="J571" t="s">
        <v>551</v>
      </c>
      <c r="K571" s="17" t="s">
        <v>50</v>
      </c>
      <c r="L571" s="17" t="s">
        <v>322</v>
      </c>
      <c r="M571" s="17" t="s">
        <v>322</v>
      </c>
      <c r="N571" s="17" t="s">
        <v>322</v>
      </c>
      <c r="O571" s="17" t="s">
        <v>50</v>
      </c>
      <c r="AG571" t="s">
        <v>814</v>
      </c>
      <c r="BD571" t="s">
        <v>512</v>
      </c>
      <c r="BE571" s="17" t="s">
        <v>173</v>
      </c>
      <c r="BF571" s="17" t="s">
        <v>322</v>
      </c>
      <c r="BG571" s="17" t="s">
        <v>322</v>
      </c>
      <c r="BH571" s="17" t="s">
        <v>322</v>
      </c>
      <c r="BI571" s="17" t="s">
        <v>322</v>
      </c>
    </row>
    <row r="572" spans="10:61" x14ac:dyDescent="0.3">
      <c r="J572" t="s">
        <v>552</v>
      </c>
      <c r="K572" s="17" t="s">
        <v>50</v>
      </c>
      <c r="L572" s="17" t="s">
        <v>322</v>
      </c>
      <c r="M572" s="17" t="s">
        <v>322</v>
      </c>
      <c r="N572" s="17" t="s">
        <v>322</v>
      </c>
      <c r="O572" s="17" t="s">
        <v>322</v>
      </c>
      <c r="AH572" s="17" t="s">
        <v>315</v>
      </c>
      <c r="AI572" s="17" t="s">
        <v>316</v>
      </c>
      <c r="AJ572" s="17" t="s">
        <v>317</v>
      </c>
      <c r="AK572" s="17" t="s">
        <v>318</v>
      </c>
      <c r="AL572" s="17" t="s">
        <v>319</v>
      </c>
      <c r="BD572" t="s">
        <v>514</v>
      </c>
      <c r="BE572" s="17" t="s">
        <v>173</v>
      </c>
      <c r="BF572" s="17" t="s">
        <v>322</v>
      </c>
      <c r="BG572" s="17" t="s">
        <v>322</v>
      </c>
      <c r="BH572" s="17" t="s">
        <v>322</v>
      </c>
      <c r="BI572" s="17" t="s">
        <v>322</v>
      </c>
    </row>
    <row r="573" spans="10:61" x14ac:dyDescent="0.3">
      <c r="AG573" t="s">
        <v>512</v>
      </c>
      <c r="AH573" s="17" t="s">
        <v>173</v>
      </c>
      <c r="AI573" s="17" t="s">
        <v>322</v>
      </c>
      <c r="AJ573" s="17" t="s">
        <v>322</v>
      </c>
      <c r="AK573" s="17" t="s">
        <v>322</v>
      </c>
      <c r="AL573" s="17" t="s">
        <v>322</v>
      </c>
      <c r="BD573" t="s">
        <v>517</v>
      </c>
      <c r="BE573" s="17" t="s">
        <v>173</v>
      </c>
      <c r="BF573" s="17" t="s">
        <v>322</v>
      </c>
      <c r="BG573" s="17" t="s">
        <v>322</v>
      </c>
      <c r="BH573" s="17" t="s">
        <v>322</v>
      </c>
      <c r="BI573" s="17" t="s">
        <v>322</v>
      </c>
    </row>
    <row r="574" spans="10:61" x14ac:dyDescent="0.3">
      <c r="J574" t="s">
        <v>816</v>
      </c>
      <c r="AG574" t="s">
        <v>514</v>
      </c>
      <c r="AH574" s="17" t="s">
        <v>173</v>
      </c>
      <c r="AI574" s="17" t="s">
        <v>322</v>
      </c>
      <c r="AJ574" s="17" t="s">
        <v>322</v>
      </c>
      <c r="AK574" s="17" t="s">
        <v>322</v>
      </c>
      <c r="AL574" s="17" t="s">
        <v>322</v>
      </c>
      <c r="BD574" t="s">
        <v>326</v>
      </c>
      <c r="BE574" s="17" t="s">
        <v>173</v>
      </c>
      <c r="BF574" s="17" t="s">
        <v>322</v>
      </c>
      <c r="BG574" s="17" t="s">
        <v>322</v>
      </c>
      <c r="BH574" s="17" t="s">
        <v>322</v>
      </c>
      <c r="BI574" s="17" t="s">
        <v>322</v>
      </c>
    </row>
    <row r="575" spans="10:61" x14ac:dyDescent="0.3">
      <c r="K575" s="17" t="s">
        <v>315</v>
      </c>
      <c r="L575" s="17" t="s">
        <v>316</v>
      </c>
      <c r="M575" s="17" t="s">
        <v>317</v>
      </c>
      <c r="N575" s="17" t="s">
        <v>318</v>
      </c>
      <c r="O575" s="17" t="s">
        <v>319</v>
      </c>
      <c r="AG575" t="s">
        <v>517</v>
      </c>
      <c r="AH575" s="17" t="s">
        <v>173</v>
      </c>
      <c r="AI575" s="17" t="s">
        <v>322</v>
      </c>
      <c r="AJ575" s="17" t="s">
        <v>322</v>
      </c>
      <c r="AK575" s="17" t="s">
        <v>322</v>
      </c>
      <c r="AL575" s="17" t="s">
        <v>322</v>
      </c>
      <c r="BD575" t="s">
        <v>328</v>
      </c>
      <c r="BE575" s="17" t="s">
        <v>173</v>
      </c>
      <c r="BF575" s="17" t="s">
        <v>322</v>
      </c>
      <c r="BG575" s="17" t="s">
        <v>322</v>
      </c>
      <c r="BH575" s="17" t="s">
        <v>322</v>
      </c>
      <c r="BI575" s="17" t="s">
        <v>322</v>
      </c>
    </row>
    <row r="576" spans="10:61" x14ac:dyDescent="0.3">
      <c r="J576" t="s">
        <v>539</v>
      </c>
      <c r="K576" s="17" t="s">
        <v>322</v>
      </c>
      <c r="L576" s="17" t="s">
        <v>235</v>
      </c>
      <c r="M576" s="17" t="s">
        <v>322</v>
      </c>
      <c r="N576" s="17" t="s">
        <v>265</v>
      </c>
      <c r="O576" s="17" t="s">
        <v>322</v>
      </c>
      <c r="AG576" t="s">
        <v>326</v>
      </c>
      <c r="AH576" s="17" t="s">
        <v>173</v>
      </c>
      <c r="AI576" s="17" t="s">
        <v>322</v>
      </c>
      <c r="AJ576" s="17" t="s">
        <v>322</v>
      </c>
      <c r="AK576" s="17" t="s">
        <v>322</v>
      </c>
      <c r="AL576" s="17" t="s">
        <v>322</v>
      </c>
      <c r="BD576" t="s">
        <v>350</v>
      </c>
      <c r="BE576" s="17" t="s">
        <v>173</v>
      </c>
      <c r="BF576" s="17" t="s">
        <v>322</v>
      </c>
      <c r="BG576" s="17" t="s">
        <v>322</v>
      </c>
      <c r="BH576" s="17" t="s">
        <v>322</v>
      </c>
      <c r="BI576" s="17" t="s">
        <v>322</v>
      </c>
    </row>
    <row r="577" spans="10:61" x14ac:dyDescent="0.3">
      <c r="J577" t="s">
        <v>543</v>
      </c>
      <c r="K577" s="17" t="s">
        <v>322</v>
      </c>
      <c r="L577" s="17" t="s">
        <v>235</v>
      </c>
      <c r="M577" s="17" t="s">
        <v>322</v>
      </c>
      <c r="N577" s="17" t="s">
        <v>265</v>
      </c>
      <c r="O577" s="17" t="s">
        <v>322</v>
      </c>
      <c r="AG577" t="s">
        <v>328</v>
      </c>
      <c r="AH577" s="17" t="s">
        <v>173</v>
      </c>
      <c r="AI577" s="17" t="s">
        <v>322</v>
      </c>
      <c r="AJ577" s="17" t="s">
        <v>322</v>
      </c>
      <c r="AK577" s="17" t="s">
        <v>322</v>
      </c>
      <c r="AL577" s="17" t="s">
        <v>322</v>
      </c>
    </row>
    <row r="578" spans="10:61" x14ac:dyDescent="0.3">
      <c r="J578" t="s">
        <v>573</v>
      </c>
      <c r="K578" s="17" t="s">
        <v>322</v>
      </c>
      <c r="L578" s="17" t="s">
        <v>235</v>
      </c>
      <c r="M578" s="17" t="s">
        <v>322</v>
      </c>
      <c r="N578" s="17" t="s">
        <v>265</v>
      </c>
      <c r="O578" s="17" t="s">
        <v>322</v>
      </c>
      <c r="AG578" t="s">
        <v>350</v>
      </c>
      <c r="AH578" s="17" t="s">
        <v>173</v>
      </c>
      <c r="AI578" s="17" t="s">
        <v>322</v>
      </c>
      <c r="AJ578" s="17" t="s">
        <v>322</v>
      </c>
      <c r="AK578" s="17" t="s">
        <v>322</v>
      </c>
      <c r="AL578" s="17" t="s">
        <v>322</v>
      </c>
      <c r="BD578" t="s">
        <v>815</v>
      </c>
    </row>
    <row r="579" spans="10:61" x14ac:dyDescent="0.3">
      <c r="J579" t="s">
        <v>561</v>
      </c>
      <c r="K579" s="17" t="s">
        <v>322</v>
      </c>
      <c r="L579" s="17" t="s">
        <v>235</v>
      </c>
      <c r="M579" s="17" t="s">
        <v>322</v>
      </c>
      <c r="N579" s="17" t="s">
        <v>265</v>
      </c>
      <c r="O579" s="17" t="s">
        <v>322</v>
      </c>
      <c r="BE579" s="17" t="s">
        <v>315</v>
      </c>
      <c r="BF579" s="17" t="s">
        <v>316</v>
      </c>
      <c r="BG579" s="17" t="s">
        <v>317</v>
      </c>
      <c r="BH579" s="17" t="s">
        <v>318</v>
      </c>
      <c r="BI579" s="17" t="s">
        <v>319</v>
      </c>
    </row>
    <row r="580" spans="10:61" x14ac:dyDescent="0.3">
      <c r="AG580" t="s">
        <v>815</v>
      </c>
      <c r="BD580" t="s">
        <v>561</v>
      </c>
      <c r="BE580" s="17" t="s">
        <v>322</v>
      </c>
      <c r="BF580" s="17" t="s">
        <v>322</v>
      </c>
      <c r="BG580" s="17" t="s">
        <v>322</v>
      </c>
      <c r="BH580" s="17" t="s">
        <v>322</v>
      </c>
      <c r="BI580" s="17" t="s">
        <v>50</v>
      </c>
    </row>
    <row r="581" spans="10:61" x14ac:dyDescent="0.3">
      <c r="J581" t="s">
        <v>817</v>
      </c>
      <c r="AH581" s="17" t="s">
        <v>315</v>
      </c>
      <c r="AI581" s="17" t="s">
        <v>316</v>
      </c>
      <c r="AJ581" s="17" t="s">
        <v>317</v>
      </c>
      <c r="AK581" s="17" t="s">
        <v>318</v>
      </c>
      <c r="AL581" s="17" t="s">
        <v>319</v>
      </c>
      <c r="BD581" t="s">
        <v>551</v>
      </c>
      <c r="BE581" s="17" t="s">
        <v>50</v>
      </c>
      <c r="BF581" s="17" t="s">
        <v>322</v>
      </c>
      <c r="BG581" s="17" t="s">
        <v>322</v>
      </c>
      <c r="BH581" s="17" t="s">
        <v>322</v>
      </c>
      <c r="BI581" s="17" t="s">
        <v>50</v>
      </c>
    </row>
    <row r="582" spans="10:61" x14ac:dyDescent="0.3">
      <c r="K582" s="17" t="s">
        <v>315</v>
      </c>
      <c r="L582" s="17" t="s">
        <v>316</v>
      </c>
      <c r="M582" s="17" t="s">
        <v>317</v>
      </c>
      <c r="N582" s="17" t="s">
        <v>318</v>
      </c>
      <c r="O582" s="17" t="s">
        <v>319</v>
      </c>
      <c r="AG582" t="s">
        <v>561</v>
      </c>
      <c r="AH582" s="17" t="s">
        <v>50</v>
      </c>
      <c r="AI582" s="17" t="s">
        <v>322</v>
      </c>
      <c r="AJ582" s="17" t="s">
        <v>322</v>
      </c>
      <c r="AK582" s="17" t="s">
        <v>322</v>
      </c>
      <c r="AL582" s="17" t="s">
        <v>50</v>
      </c>
      <c r="BD582" t="s">
        <v>552</v>
      </c>
      <c r="BE582" s="17" t="s">
        <v>50</v>
      </c>
      <c r="BF582" s="17" t="s">
        <v>322</v>
      </c>
      <c r="BG582" s="17" t="s">
        <v>322</v>
      </c>
      <c r="BH582" s="17" t="s">
        <v>322</v>
      </c>
      <c r="BI582" s="17" t="s">
        <v>50</v>
      </c>
    </row>
    <row r="583" spans="10:61" x14ac:dyDescent="0.3">
      <c r="J583" t="s">
        <v>539</v>
      </c>
      <c r="K583" s="17" t="s">
        <v>261</v>
      </c>
      <c r="L583" s="17" t="s">
        <v>322</v>
      </c>
      <c r="M583" s="17" t="s">
        <v>322</v>
      </c>
      <c r="N583" s="17" t="s">
        <v>322</v>
      </c>
      <c r="O583" s="17" t="s">
        <v>261</v>
      </c>
      <c r="AG583" t="s">
        <v>551</v>
      </c>
      <c r="AH583" s="17" t="s">
        <v>50</v>
      </c>
      <c r="AI583" s="17" t="s">
        <v>322</v>
      </c>
      <c r="AJ583" s="17" t="s">
        <v>322</v>
      </c>
      <c r="AK583" s="17" t="s">
        <v>322</v>
      </c>
      <c r="AL583" s="17" t="s">
        <v>50</v>
      </c>
    </row>
    <row r="584" spans="10:61" x14ac:dyDescent="0.3">
      <c r="J584" t="s">
        <v>543</v>
      </c>
      <c r="K584" s="17" t="s">
        <v>261</v>
      </c>
      <c r="L584" s="17" t="s">
        <v>322</v>
      </c>
      <c r="M584" s="17" t="s">
        <v>322</v>
      </c>
      <c r="N584" s="17" t="s">
        <v>322</v>
      </c>
      <c r="O584" s="17" t="s">
        <v>261</v>
      </c>
      <c r="AG584" t="s">
        <v>552</v>
      </c>
      <c r="AH584" s="17" t="s">
        <v>50</v>
      </c>
      <c r="AI584" s="17" t="s">
        <v>322</v>
      </c>
      <c r="AJ584" s="17" t="s">
        <v>322</v>
      </c>
      <c r="AK584" s="17" t="s">
        <v>322</v>
      </c>
      <c r="AL584" s="17" t="s">
        <v>322</v>
      </c>
      <c r="BD584" t="s">
        <v>816</v>
      </c>
    </row>
    <row r="585" spans="10:61" x14ac:dyDescent="0.3">
      <c r="J585" t="s">
        <v>573</v>
      </c>
      <c r="K585" s="17" t="s">
        <v>261</v>
      </c>
      <c r="L585" s="17" t="s">
        <v>322</v>
      </c>
      <c r="M585" s="17" t="s">
        <v>322</v>
      </c>
      <c r="N585" s="17" t="s">
        <v>322</v>
      </c>
      <c r="O585" s="17" t="s">
        <v>322</v>
      </c>
      <c r="BE585" s="17" t="s">
        <v>315</v>
      </c>
      <c r="BF585" s="17" t="s">
        <v>316</v>
      </c>
      <c r="BG585" s="17" t="s">
        <v>317</v>
      </c>
      <c r="BH585" s="17" t="s">
        <v>318</v>
      </c>
      <c r="BI585" s="17" t="s">
        <v>319</v>
      </c>
    </row>
    <row r="586" spans="10:61" x14ac:dyDescent="0.3">
      <c r="AG586" t="s">
        <v>816</v>
      </c>
      <c r="BD586" t="s">
        <v>539</v>
      </c>
      <c r="BE586" s="17" t="s">
        <v>322</v>
      </c>
      <c r="BF586" s="17" t="s">
        <v>235</v>
      </c>
      <c r="BG586" s="17" t="s">
        <v>322</v>
      </c>
      <c r="BH586" s="17" t="s">
        <v>265</v>
      </c>
      <c r="BI586" s="17" t="s">
        <v>322</v>
      </c>
    </row>
    <row r="587" spans="10:61" x14ac:dyDescent="0.3">
      <c r="J587" t="s">
        <v>818</v>
      </c>
      <c r="AH587" s="17" t="s">
        <v>315</v>
      </c>
      <c r="AI587" s="17" t="s">
        <v>316</v>
      </c>
      <c r="AJ587" s="17" t="s">
        <v>317</v>
      </c>
      <c r="AK587" s="17" t="s">
        <v>318</v>
      </c>
      <c r="AL587" s="17" t="s">
        <v>319</v>
      </c>
      <c r="BD587" t="s">
        <v>543</v>
      </c>
      <c r="BE587" s="17" t="s">
        <v>322</v>
      </c>
      <c r="BF587" s="17" t="s">
        <v>235</v>
      </c>
      <c r="BG587" s="17" t="s">
        <v>322</v>
      </c>
      <c r="BH587" s="17" t="s">
        <v>265</v>
      </c>
      <c r="BI587" s="17" t="s">
        <v>322</v>
      </c>
    </row>
    <row r="588" spans="10:61" x14ac:dyDescent="0.3">
      <c r="K588" s="17" t="s">
        <v>315</v>
      </c>
      <c r="L588" s="17" t="s">
        <v>316</v>
      </c>
      <c r="M588" s="17" t="s">
        <v>317</v>
      </c>
      <c r="N588" s="17" t="s">
        <v>318</v>
      </c>
      <c r="O588" s="17" t="s">
        <v>319</v>
      </c>
      <c r="AG588" t="s">
        <v>539</v>
      </c>
      <c r="AH588" s="17" t="s">
        <v>322</v>
      </c>
      <c r="AI588" s="17" t="s">
        <v>235</v>
      </c>
      <c r="AJ588" s="17" t="s">
        <v>322</v>
      </c>
      <c r="AK588" s="17" t="s">
        <v>265</v>
      </c>
      <c r="AL588" s="17" t="s">
        <v>322</v>
      </c>
      <c r="BD588" t="s">
        <v>573</v>
      </c>
      <c r="BE588" s="17" t="s">
        <v>322</v>
      </c>
      <c r="BF588" s="17" t="s">
        <v>235</v>
      </c>
      <c r="BG588" s="17" t="s">
        <v>322</v>
      </c>
      <c r="BH588" s="17" t="s">
        <v>265</v>
      </c>
      <c r="BI588" s="17" t="s">
        <v>322</v>
      </c>
    </row>
    <row r="589" spans="10:61" x14ac:dyDescent="0.3">
      <c r="J589" t="s">
        <v>512</v>
      </c>
      <c r="K589" s="17" t="s">
        <v>94</v>
      </c>
      <c r="L589" s="17" t="s">
        <v>322</v>
      </c>
      <c r="M589" s="17" t="s">
        <v>94</v>
      </c>
      <c r="N589" s="17" t="s">
        <v>322</v>
      </c>
      <c r="O589" s="17" t="s">
        <v>322</v>
      </c>
      <c r="AG589" t="s">
        <v>543</v>
      </c>
      <c r="AH589" s="17" t="s">
        <v>322</v>
      </c>
      <c r="AI589" s="17" t="s">
        <v>235</v>
      </c>
      <c r="AJ589" s="17" t="s">
        <v>322</v>
      </c>
      <c r="AK589" s="17" t="s">
        <v>265</v>
      </c>
      <c r="AL589" s="17" t="s">
        <v>322</v>
      </c>
      <c r="BD589" t="s">
        <v>561</v>
      </c>
      <c r="BE589" s="17" t="s">
        <v>322</v>
      </c>
      <c r="BF589" s="17" t="s">
        <v>235</v>
      </c>
      <c r="BG589" s="17" t="s">
        <v>322</v>
      </c>
      <c r="BH589" s="17" t="s">
        <v>265</v>
      </c>
      <c r="BI589" s="17" t="s">
        <v>322</v>
      </c>
    </row>
    <row r="590" spans="10:61" x14ac:dyDescent="0.3">
      <c r="J590" t="s">
        <v>514</v>
      </c>
      <c r="K590" s="17" t="s">
        <v>94</v>
      </c>
      <c r="L590" s="17" t="s">
        <v>322</v>
      </c>
      <c r="M590" s="17" t="s">
        <v>94</v>
      </c>
      <c r="N590" s="17" t="s">
        <v>322</v>
      </c>
      <c r="O590" s="17" t="s">
        <v>322</v>
      </c>
      <c r="AG590" t="s">
        <v>573</v>
      </c>
      <c r="AH590" s="17" t="s">
        <v>322</v>
      </c>
      <c r="AI590" s="17" t="s">
        <v>235</v>
      </c>
      <c r="AJ590" s="17" t="s">
        <v>322</v>
      </c>
      <c r="AK590" s="17" t="s">
        <v>265</v>
      </c>
      <c r="AL590" s="17" t="s">
        <v>322</v>
      </c>
    </row>
    <row r="591" spans="10:61" x14ac:dyDescent="0.3">
      <c r="J591" t="s">
        <v>517</v>
      </c>
      <c r="K591" s="17" t="s">
        <v>322</v>
      </c>
      <c r="L591" s="17" t="s">
        <v>322</v>
      </c>
      <c r="M591" s="17" t="s">
        <v>94</v>
      </c>
      <c r="N591" s="17" t="s">
        <v>322</v>
      </c>
      <c r="O591" s="17" t="s">
        <v>322</v>
      </c>
      <c r="AG591" t="s">
        <v>561</v>
      </c>
      <c r="AH591" s="17" t="s">
        <v>322</v>
      </c>
      <c r="AI591" s="17" t="s">
        <v>235</v>
      </c>
      <c r="AJ591" s="17" t="s">
        <v>322</v>
      </c>
      <c r="AK591" s="17" t="s">
        <v>265</v>
      </c>
      <c r="AL591" s="17" t="s">
        <v>322</v>
      </c>
      <c r="BD591" t="s">
        <v>817</v>
      </c>
    </row>
    <row r="592" spans="10:61" x14ac:dyDescent="0.3">
      <c r="BE592" s="17" t="s">
        <v>315</v>
      </c>
      <c r="BF592" s="17" t="s">
        <v>316</v>
      </c>
      <c r="BG592" s="17" t="s">
        <v>317</v>
      </c>
      <c r="BH592" s="17" t="s">
        <v>318</v>
      </c>
      <c r="BI592" s="17" t="s">
        <v>319</v>
      </c>
    </row>
    <row r="593" spans="10:61" x14ac:dyDescent="0.3">
      <c r="J593" t="s">
        <v>819</v>
      </c>
      <c r="AG593" t="s">
        <v>817</v>
      </c>
      <c r="BD593" t="s">
        <v>539</v>
      </c>
      <c r="BE593" s="17" t="s">
        <v>261</v>
      </c>
      <c r="BF593" s="17" t="s">
        <v>322</v>
      </c>
      <c r="BG593" s="17" t="s">
        <v>322</v>
      </c>
      <c r="BH593" s="17" t="s">
        <v>322</v>
      </c>
      <c r="BI593" s="17" t="s">
        <v>261</v>
      </c>
    </row>
    <row r="594" spans="10:61" x14ac:dyDescent="0.3">
      <c r="K594" s="17" t="s">
        <v>315</v>
      </c>
      <c r="L594" s="17" t="s">
        <v>316</v>
      </c>
      <c r="M594" s="17" t="s">
        <v>317</v>
      </c>
      <c r="N594" s="17" t="s">
        <v>318</v>
      </c>
      <c r="O594" s="17" t="s">
        <v>319</v>
      </c>
      <c r="AH594" s="17" t="s">
        <v>315</v>
      </c>
      <c r="AI594" s="17" t="s">
        <v>316</v>
      </c>
      <c r="AJ594" s="17" t="s">
        <v>317</v>
      </c>
      <c r="AK594" s="17" t="s">
        <v>318</v>
      </c>
      <c r="AL594" s="17" t="s">
        <v>319</v>
      </c>
      <c r="BD594" t="s">
        <v>543</v>
      </c>
      <c r="BE594" s="17" t="s">
        <v>261</v>
      </c>
      <c r="BF594" s="17" t="s">
        <v>322</v>
      </c>
      <c r="BG594" s="17" t="s">
        <v>322</v>
      </c>
      <c r="BH594" s="17" t="s">
        <v>322</v>
      </c>
      <c r="BI594" s="17" t="s">
        <v>261</v>
      </c>
    </row>
    <row r="595" spans="10:61" x14ac:dyDescent="0.3">
      <c r="J595" t="s">
        <v>536</v>
      </c>
      <c r="K595" s="17" t="s">
        <v>322</v>
      </c>
      <c r="L595" s="17" t="s">
        <v>322</v>
      </c>
      <c r="M595" s="17" t="s">
        <v>94</v>
      </c>
      <c r="N595" s="17" t="s">
        <v>322</v>
      </c>
      <c r="O595" s="17" t="s">
        <v>322</v>
      </c>
      <c r="AG595" t="s">
        <v>539</v>
      </c>
      <c r="AH595" s="17" t="s">
        <v>261</v>
      </c>
      <c r="AI595" s="17" t="s">
        <v>322</v>
      </c>
      <c r="AJ595" s="17" t="s">
        <v>322</v>
      </c>
      <c r="AK595" s="17" t="s">
        <v>322</v>
      </c>
      <c r="AL595" s="17" t="s">
        <v>261</v>
      </c>
      <c r="BD595" t="s">
        <v>573</v>
      </c>
      <c r="BE595" s="17" t="s">
        <v>261</v>
      </c>
      <c r="BF595" s="17" t="s">
        <v>322</v>
      </c>
      <c r="BG595" s="17" t="s">
        <v>322</v>
      </c>
      <c r="BH595" s="17" t="s">
        <v>322</v>
      </c>
      <c r="BI595" s="17" t="s">
        <v>322</v>
      </c>
    </row>
    <row r="596" spans="10:61" x14ac:dyDescent="0.3">
      <c r="J596" t="s">
        <v>539</v>
      </c>
      <c r="K596" s="17" t="s">
        <v>322</v>
      </c>
      <c r="L596" s="17" t="s">
        <v>322</v>
      </c>
      <c r="M596" s="17" t="s">
        <v>94</v>
      </c>
      <c r="N596" s="17" t="s">
        <v>322</v>
      </c>
      <c r="O596" s="17" t="s">
        <v>322</v>
      </c>
      <c r="AG596" t="s">
        <v>543</v>
      </c>
      <c r="AH596" s="17" t="s">
        <v>261</v>
      </c>
      <c r="AI596" s="17" t="s">
        <v>322</v>
      </c>
      <c r="AJ596" s="17" t="s">
        <v>322</v>
      </c>
      <c r="AK596" s="17" t="s">
        <v>322</v>
      </c>
      <c r="AL596" s="17" t="s">
        <v>261</v>
      </c>
    </row>
    <row r="597" spans="10:61" x14ac:dyDescent="0.3">
      <c r="J597" t="s">
        <v>543</v>
      </c>
      <c r="K597" s="17" t="s">
        <v>322</v>
      </c>
      <c r="L597" s="17" t="s">
        <v>322</v>
      </c>
      <c r="M597" s="17" t="s">
        <v>94</v>
      </c>
      <c r="N597" s="130" t="s">
        <v>94</v>
      </c>
      <c r="O597" s="17" t="s">
        <v>322</v>
      </c>
      <c r="AG597" t="s">
        <v>573</v>
      </c>
      <c r="AH597" s="17" t="s">
        <v>261</v>
      </c>
      <c r="AI597" s="17" t="s">
        <v>322</v>
      </c>
      <c r="AJ597" s="17" t="s">
        <v>322</v>
      </c>
      <c r="AK597" s="17" t="s">
        <v>322</v>
      </c>
      <c r="AL597" s="17" t="s">
        <v>322</v>
      </c>
      <c r="BD597" t="s">
        <v>818</v>
      </c>
    </row>
    <row r="598" spans="10:61" x14ac:dyDescent="0.3">
      <c r="J598" t="s">
        <v>573</v>
      </c>
      <c r="K598" s="17" t="s">
        <v>322</v>
      </c>
      <c r="L598" s="17" t="s">
        <v>322</v>
      </c>
      <c r="M598" s="17" t="s">
        <v>322</v>
      </c>
      <c r="N598" s="130" t="s">
        <v>94</v>
      </c>
      <c r="O598" s="17" t="s">
        <v>322</v>
      </c>
      <c r="BE598" s="17" t="s">
        <v>315</v>
      </c>
      <c r="BF598" s="17" t="s">
        <v>316</v>
      </c>
      <c r="BG598" s="17" t="s">
        <v>317</v>
      </c>
      <c r="BH598" s="17" t="s">
        <v>318</v>
      </c>
      <c r="BI598" s="17" t="s">
        <v>319</v>
      </c>
    </row>
    <row r="599" spans="10:61" x14ac:dyDescent="0.3">
      <c r="AG599" t="s">
        <v>818</v>
      </c>
      <c r="BD599" t="s">
        <v>512</v>
      </c>
      <c r="BE599" s="17" t="s">
        <v>94</v>
      </c>
      <c r="BF599" s="17" t="s">
        <v>322</v>
      </c>
      <c r="BG599" s="17" t="s">
        <v>322</v>
      </c>
      <c r="BH599" s="17" t="s">
        <v>94</v>
      </c>
      <c r="BI599" s="17" t="s">
        <v>322</v>
      </c>
    </row>
    <row r="600" spans="10:61" x14ac:dyDescent="0.3">
      <c r="J600" t="s">
        <v>820</v>
      </c>
      <c r="AH600" s="17" t="s">
        <v>315</v>
      </c>
      <c r="AI600" s="17" t="s">
        <v>316</v>
      </c>
      <c r="AJ600" s="17" t="s">
        <v>317</v>
      </c>
      <c r="AK600" s="17" t="s">
        <v>318</v>
      </c>
      <c r="AL600" s="17" t="s">
        <v>319</v>
      </c>
      <c r="BD600" t="s">
        <v>514</v>
      </c>
      <c r="BE600" s="17" t="s">
        <v>94</v>
      </c>
      <c r="BF600" s="17" t="s">
        <v>322</v>
      </c>
      <c r="BG600" s="17" t="s">
        <v>322</v>
      </c>
      <c r="BH600" s="17" t="s">
        <v>94</v>
      </c>
      <c r="BI600" s="17" t="s">
        <v>322</v>
      </c>
    </row>
    <row r="601" spans="10:61" x14ac:dyDescent="0.3">
      <c r="K601" s="17" t="s">
        <v>315</v>
      </c>
      <c r="L601" s="17" t="s">
        <v>316</v>
      </c>
      <c r="M601" s="17" t="s">
        <v>317</v>
      </c>
      <c r="N601" s="17" t="s">
        <v>318</v>
      </c>
      <c r="O601" s="17" t="s">
        <v>319</v>
      </c>
      <c r="AG601" t="s">
        <v>512</v>
      </c>
      <c r="AH601" s="17" t="s">
        <v>94</v>
      </c>
      <c r="AI601" s="17" t="s">
        <v>322</v>
      </c>
      <c r="AJ601" s="17" t="s">
        <v>94</v>
      </c>
      <c r="AK601" s="17" t="s">
        <v>322</v>
      </c>
      <c r="AL601" s="17" t="s">
        <v>322</v>
      </c>
      <c r="BD601" t="s">
        <v>517</v>
      </c>
      <c r="BE601" s="17" t="s">
        <v>94</v>
      </c>
      <c r="BF601" s="17" t="s">
        <v>322</v>
      </c>
      <c r="BG601" s="17" t="s">
        <v>322</v>
      </c>
      <c r="BH601" s="17" t="s">
        <v>322</v>
      </c>
      <c r="BI601" s="17" t="s">
        <v>322</v>
      </c>
    </row>
    <row r="602" spans="10:61" x14ac:dyDescent="0.3">
      <c r="J602" t="s">
        <v>326</v>
      </c>
      <c r="K602" s="17" t="s">
        <v>94</v>
      </c>
      <c r="L602" s="17" t="s">
        <v>322</v>
      </c>
      <c r="M602" s="17" t="s">
        <v>322</v>
      </c>
      <c r="N602" s="17" t="s">
        <v>322</v>
      </c>
      <c r="O602" s="17" t="s">
        <v>322</v>
      </c>
      <c r="AG602" t="s">
        <v>514</v>
      </c>
      <c r="AH602" s="17" t="s">
        <v>94</v>
      </c>
      <c r="AI602" s="17" t="s">
        <v>322</v>
      </c>
      <c r="AJ602" s="17" t="s">
        <v>94</v>
      </c>
      <c r="AK602" s="17" t="s">
        <v>322</v>
      </c>
      <c r="AL602" s="17" t="s">
        <v>322</v>
      </c>
    </row>
    <row r="603" spans="10:61" x14ac:dyDescent="0.3">
      <c r="J603" t="s">
        <v>328</v>
      </c>
      <c r="K603" s="17" t="s">
        <v>94</v>
      </c>
      <c r="L603" s="17" t="s">
        <v>322</v>
      </c>
      <c r="M603" s="17" t="s">
        <v>322</v>
      </c>
      <c r="N603" s="17" t="s">
        <v>322</v>
      </c>
      <c r="O603" s="17" t="s">
        <v>94</v>
      </c>
      <c r="AG603" t="s">
        <v>517</v>
      </c>
      <c r="AH603" s="17" t="s">
        <v>322</v>
      </c>
      <c r="AI603" s="17" t="s">
        <v>322</v>
      </c>
      <c r="AJ603" s="17" t="s">
        <v>94</v>
      </c>
      <c r="AK603" s="17" t="s">
        <v>322</v>
      </c>
      <c r="AL603" s="17" t="s">
        <v>322</v>
      </c>
      <c r="BD603" t="s">
        <v>819</v>
      </c>
    </row>
    <row r="604" spans="10:61" x14ac:dyDescent="0.3">
      <c r="J604" t="s">
        <v>350</v>
      </c>
      <c r="K604" s="17" t="s">
        <v>94</v>
      </c>
      <c r="L604" s="17" t="s">
        <v>322</v>
      </c>
      <c r="M604" s="17" t="s">
        <v>322</v>
      </c>
      <c r="N604" s="17" t="s">
        <v>322</v>
      </c>
      <c r="O604" s="17" t="s">
        <v>94</v>
      </c>
      <c r="BE604" s="17" t="s">
        <v>315</v>
      </c>
      <c r="BF604" s="17" t="s">
        <v>316</v>
      </c>
      <c r="BG604" s="17" t="s">
        <v>317</v>
      </c>
      <c r="BH604" s="17" t="s">
        <v>318</v>
      </c>
      <c r="BI604" s="17" t="s">
        <v>319</v>
      </c>
    </row>
    <row r="605" spans="10:61" x14ac:dyDescent="0.3">
      <c r="AG605" t="s">
        <v>819</v>
      </c>
      <c r="BD605" t="s">
        <v>536</v>
      </c>
      <c r="BE605" s="17" t="s">
        <v>322</v>
      </c>
      <c r="BF605" s="17" t="s">
        <v>322</v>
      </c>
      <c r="BG605" s="17" t="s">
        <v>94</v>
      </c>
      <c r="BH605" s="17" t="s">
        <v>322</v>
      </c>
      <c r="BI605" s="17" t="s">
        <v>322</v>
      </c>
    </row>
    <row r="606" spans="10:61" x14ac:dyDescent="0.3">
      <c r="J606" t="s">
        <v>821</v>
      </c>
      <c r="AH606" s="17" t="s">
        <v>315</v>
      </c>
      <c r="AI606" s="17" t="s">
        <v>316</v>
      </c>
      <c r="AJ606" s="17" t="s">
        <v>317</v>
      </c>
      <c r="AK606" s="17" t="s">
        <v>318</v>
      </c>
      <c r="AL606" s="17" t="s">
        <v>319</v>
      </c>
      <c r="BD606" t="s">
        <v>539</v>
      </c>
      <c r="BE606" s="17" t="s">
        <v>322</v>
      </c>
      <c r="BF606" s="17" t="s">
        <v>322</v>
      </c>
      <c r="BG606" s="17" t="s">
        <v>94</v>
      </c>
      <c r="BH606" s="17" t="s">
        <v>322</v>
      </c>
      <c r="BI606" s="17" t="s">
        <v>322</v>
      </c>
    </row>
    <row r="607" spans="10:61" x14ac:dyDescent="0.3">
      <c r="K607" s="17" t="s">
        <v>315</v>
      </c>
      <c r="L607" s="17" t="s">
        <v>316</v>
      </c>
      <c r="M607" s="17" t="s">
        <v>317</v>
      </c>
      <c r="N607" s="17" t="s">
        <v>318</v>
      </c>
      <c r="O607" s="17" t="s">
        <v>319</v>
      </c>
      <c r="AG607" t="s">
        <v>536</v>
      </c>
      <c r="AH607" s="17" t="s">
        <v>322</v>
      </c>
      <c r="AI607" s="17" t="s">
        <v>322</v>
      </c>
      <c r="AJ607" s="17" t="s">
        <v>94</v>
      </c>
      <c r="AK607" s="17" t="s">
        <v>322</v>
      </c>
      <c r="AL607" s="17" t="s">
        <v>322</v>
      </c>
      <c r="BD607" t="s">
        <v>543</v>
      </c>
      <c r="BE607" s="17" t="s">
        <v>322</v>
      </c>
      <c r="BF607" s="17" t="s">
        <v>322</v>
      </c>
      <c r="BG607" s="17" t="s">
        <v>94</v>
      </c>
      <c r="BH607" s="17" t="s">
        <v>322</v>
      </c>
      <c r="BI607" s="17" t="s">
        <v>322</v>
      </c>
    </row>
    <row r="608" spans="10:61" x14ac:dyDescent="0.3">
      <c r="J608" t="s">
        <v>551</v>
      </c>
      <c r="K608" s="17" t="s">
        <v>75</v>
      </c>
      <c r="L608" s="17" t="s">
        <v>322</v>
      </c>
      <c r="M608" s="17" t="s">
        <v>322</v>
      </c>
      <c r="N608" s="17" t="s">
        <v>322</v>
      </c>
      <c r="O608" s="17" t="s">
        <v>322</v>
      </c>
      <c r="AG608" t="s">
        <v>539</v>
      </c>
      <c r="AH608" s="17" t="s">
        <v>322</v>
      </c>
      <c r="AI608" s="17" t="s">
        <v>322</v>
      </c>
      <c r="AJ608" s="17" t="s">
        <v>94</v>
      </c>
      <c r="AK608" s="17" t="s">
        <v>322</v>
      </c>
      <c r="AL608" s="17" t="s">
        <v>322</v>
      </c>
      <c r="BD608" t="s">
        <v>573</v>
      </c>
      <c r="BE608" s="17" t="s">
        <v>94</v>
      </c>
      <c r="BF608" s="17" t="s">
        <v>322</v>
      </c>
      <c r="BG608" s="17" t="s">
        <v>322</v>
      </c>
      <c r="BH608" s="17" t="s">
        <v>322</v>
      </c>
      <c r="BI608" s="17" t="s">
        <v>322</v>
      </c>
    </row>
    <row r="609" spans="10:61" x14ac:dyDescent="0.3">
      <c r="J609" t="s">
        <v>552</v>
      </c>
      <c r="K609" s="17" t="s">
        <v>75</v>
      </c>
      <c r="L609" s="17" t="s">
        <v>322</v>
      </c>
      <c r="M609" s="17" t="s">
        <v>322</v>
      </c>
      <c r="N609" s="17" t="s">
        <v>75</v>
      </c>
      <c r="O609" s="17" t="s">
        <v>322</v>
      </c>
      <c r="AG609" t="s">
        <v>543</v>
      </c>
      <c r="AH609" s="17" t="s">
        <v>94</v>
      </c>
      <c r="AI609" s="17" t="s">
        <v>322</v>
      </c>
      <c r="AJ609" s="17" t="s">
        <v>94</v>
      </c>
      <c r="AK609" s="17" t="s">
        <v>322</v>
      </c>
      <c r="AL609" s="17" t="s">
        <v>322</v>
      </c>
      <c r="BD609" t="s">
        <v>561</v>
      </c>
      <c r="BE609" s="17" t="s">
        <v>94</v>
      </c>
      <c r="BF609" s="17" t="s">
        <v>322</v>
      </c>
      <c r="BG609" s="17" t="s">
        <v>322</v>
      </c>
      <c r="BH609" s="17" t="s">
        <v>322</v>
      </c>
      <c r="BI609" s="17" t="s">
        <v>322</v>
      </c>
    </row>
    <row r="610" spans="10:61" x14ac:dyDescent="0.3">
      <c r="J610" t="s">
        <v>554</v>
      </c>
      <c r="K610" s="17" t="s">
        <v>39</v>
      </c>
      <c r="L610" s="17" t="s">
        <v>322</v>
      </c>
      <c r="M610" s="130" t="s">
        <v>39</v>
      </c>
      <c r="N610" s="17" t="s">
        <v>75</v>
      </c>
      <c r="O610" s="17" t="s">
        <v>322</v>
      </c>
      <c r="AG610" t="s">
        <v>573</v>
      </c>
      <c r="AH610" s="17" t="s">
        <v>94</v>
      </c>
      <c r="AI610" s="17" t="s">
        <v>322</v>
      </c>
      <c r="AJ610" s="17" t="s">
        <v>322</v>
      </c>
      <c r="AK610" s="17" t="s">
        <v>322</v>
      </c>
      <c r="AL610" s="17" t="s">
        <v>322</v>
      </c>
    </row>
    <row r="611" spans="10:61" x14ac:dyDescent="0.3">
      <c r="J611" t="s">
        <v>586</v>
      </c>
      <c r="K611" s="17" t="s">
        <v>39</v>
      </c>
      <c r="L611" s="17" t="s">
        <v>322</v>
      </c>
      <c r="M611" s="130" t="s">
        <v>39</v>
      </c>
      <c r="N611" s="17" t="s">
        <v>75</v>
      </c>
      <c r="O611" s="17" t="s">
        <v>322</v>
      </c>
      <c r="BD611" t="s">
        <v>820</v>
      </c>
    </row>
    <row r="612" spans="10:61" x14ac:dyDescent="0.3">
      <c r="AG612" t="s">
        <v>820</v>
      </c>
      <c r="BE612" s="17" t="s">
        <v>315</v>
      </c>
      <c r="BF612" s="17" t="s">
        <v>316</v>
      </c>
      <c r="BG612" s="17" t="s">
        <v>317</v>
      </c>
      <c r="BH612" s="17" t="s">
        <v>318</v>
      </c>
      <c r="BI612" s="17" t="s">
        <v>319</v>
      </c>
    </row>
    <row r="613" spans="10:61" x14ac:dyDescent="0.3">
      <c r="J613" t="s">
        <v>822</v>
      </c>
      <c r="AH613" s="17" t="s">
        <v>315</v>
      </c>
      <c r="AI613" s="17" t="s">
        <v>316</v>
      </c>
      <c r="AJ613" s="17" t="s">
        <v>317</v>
      </c>
      <c r="AK613" s="17" t="s">
        <v>318</v>
      </c>
      <c r="AL613" s="17" t="s">
        <v>319</v>
      </c>
      <c r="BD613" t="s">
        <v>326</v>
      </c>
      <c r="BE613" s="17" t="s">
        <v>322</v>
      </c>
      <c r="BF613" s="17" t="s">
        <v>322</v>
      </c>
      <c r="BG613" s="17" t="s">
        <v>94</v>
      </c>
      <c r="BH613" s="17" t="s">
        <v>322</v>
      </c>
      <c r="BI613" s="17" t="s">
        <v>322</v>
      </c>
    </row>
    <row r="614" spans="10:61" x14ac:dyDescent="0.3">
      <c r="K614" s="17" t="s">
        <v>315</v>
      </c>
      <c r="L614" s="17" t="s">
        <v>316</v>
      </c>
      <c r="M614" s="17" t="s">
        <v>317</v>
      </c>
      <c r="N614" s="17" t="s">
        <v>318</v>
      </c>
      <c r="O614" s="17" t="s">
        <v>319</v>
      </c>
      <c r="AG614" t="s">
        <v>326</v>
      </c>
      <c r="AH614" s="17" t="s">
        <v>94</v>
      </c>
      <c r="AI614" s="17" t="s">
        <v>322</v>
      </c>
      <c r="AJ614" s="17" t="s">
        <v>322</v>
      </c>
      <c r="AK614" s="17" t="s">
        <v>322</v>
      </c>
      <c r="AL614" s="17" t="s">
        <v>322</v>
      </c>
      <c r="BD614" t="s">
        <v>328</v>
      </c>
      <c r="BE614" s="17" t="s">
        <v>322</v>
      </c>
      <c r="BF614" s="17" t="s">
        <v>322</v>
      </c>
      <c r="BG614" s="17" t="s">
        <v>94</v>
      </c>
      <c r="BH614" s="17" t="s">
        <v>322</v>
      </c>
      <c r="BI614" s="17" t="s">
        <v>94</v>
      </c>
    </row>
    <row r="615" spans="10:61" x14ac:dyDescent="0.3">
      <c r="J615" t="s">
        <v>512</v>
      </c>
      <c r="K615" s="17" t="s">
        <v>322</v>
      </c>
      <c r="L615" s="17" t="s">
        <v>322</v>
      </c>
      <c r="M615" s="17" t="s">
        <v>322</v>
      </c>
      <c r="N615" s="17" t="s">
        <v>322</v>
      </c>
      <c r="O615" s="17" t="s">
        <v>134</v>
      </c>
      <c r="AG615" t="s">
        <v>328</v>
      </c>
      <c r="AH615" s="17" t="s">
        <v>94</v>
      </c>
      <c r="AI615" s="17" t="s">
        <v>322</v>
      </c>
      <c r="AJ615" s="17" t="s">
        <v>322</v>
      </c>
      <c r="AK615" s="17" t="s">
        <v>322</v>
      </c>
      <c r="AL615" s="17" t="s">
        <v>94</v>
      </c>
      <c r="BD615" t="s">
        <v>350</v>
      </c>
      <c r="BE615" s="17" t="s">
        <v>322</v>
      </c>
      <c r="BF615" s="17" t="s">
        <v>322</v>
      </c>
      <c r="BG615" s="17" t="s">
        <v>94</v>
      </c>
      <c r="BH615" s="17" t="s">
        <v>322</v>
      </c>
      <c r="BI615" s="17" t="s">
        <v>94</v>
      </c>
    </row>
    <row r="616" spans="10:61" x14ac:dyDescent="0.3">
      <c r="J616" t="s">
        <v>514</v>
      </c>
      <c r="K616" s="17" t="s">
        <v>322</v>
      </c>
      <c r="L616" s="17" t="s">
        <v>322</v>
      </c>
      <c r="M616" s="17" t="s">
        <v>322</v>
      </c>
      <c r="N616" s="17" t="s">
        <v>322</v>
      </c>
      <c r="O616" s="17" t="s">
        <v>134</v>
      </c>
      <c r="AG616" t="s">
        <v>350</v>
      </c>
      <c r="AH616" s="17" t="s">
        <v>94</v>
      </c>
      <c r="AI616" s="17" t="s">
        <v>322</v>
      </c>
      <c r="AJ616" s="17" t="s">
        <v>322</v>
      </c>
      <c r="AK616" s="17" t="s">
        <v>322</v>
      </c>
      <c r="AL616" s="17" t="s">
        <v>94</v>
      </c>
    </row>
    <row r="617" spans="10:61" x14ac:dyDescent="0.3">
      <c r="J617" t="s">
        <v>326</v>
      </c>
      <c r="K617" s="17" t="s">
        <v>322</v>
      </c>
      <c r="L617" s="17" t="s">
        <v>322</v>
      </c>
      <c r="M617" s="130" t="s">
        <v>134</v>
      </c>
      <c r="N617" s="17" t="s">
        <v>322</v>
      </c>
      <c r="O617" s="17" t="s">
        <v>322</v>
      </c>
      <c r="BD617" t="s">
        <v>821</v>
      </c>
    </row>
    <row r="618" spans="10:61" x14ac:dyDescent="0.3">
      <c r="J618" t="s">
        <v>328</v>
      </c>
      <c r="K618" s="17" t="s">
        <v>322</v>
      </c>
      <c r="L618" s="17" t="s">
        <v>134</v>
      </c>
      <c r="M618" s="130" t="s">
        <v>134</v>
      </c>
      <c r="N618" s="17" t="s">
        <v>322</v>
      </c>
      <c r="O618" s="17" t="s">
        <v>322</v>
      </c>
      <c r="AG618" t="s">
        <v>821</v>
      </c>
      <c r="BE618" s="17" t="s">
        <v>315</v>
      </c>
      <c r="BF618" s="17" t="s">
        <v>316</v>
      </c>
      <c r="BG618" s="17" t="s">
        <v>317</v>
      </c>
      <c r="BH618" s="17" t="s">
        <v>318</v>
      </c>
      <c r="BI618" s="17" t="s">
        <v>319</v>
      </c>
    </row>
    <row r="619" spans="10:61" x14ac:dyDescent="0.3">
      <c r="J619" t="s">
        <v>350</v>
      </c>
      <c r="K619" s="17" t="s">
        <v>322</v>
      </c>
      <c r="L619" s="17" t="s">
        <v>134</v>
      </c>
      <c r="M619" s="17" t="s">
        <v>322</v>
      </c>
      <c r="N619" s="130" t="s">
        <v>134</v>
      </c>
      <c r="O619" s="17" t="s">
        <v>322</v>
      </c>
      <c r="AH619" s="17" t="s">
        <v>315</v>
      </c>
      <c r="AI619" s="17" t="s">
        <v>316</v>
      </c>
      <c r="AJ619" s="17" t="s">
        <v>317</v>
      </c>
      <c r="AK619" s="17" t="s">
        <v>318</v>
      </c>
      <c r="AL619" s="17" t="s">
        <v>319</v>
      </c>
      <c r="BD619" t="s">
        <v>561</v>
      </c>
      <c r="BE619" s="17" t="s">
        <v>322</v>
      </c>
      <c r="BF619" s="17" t="s">
        <v>322</v>
      </c>
      <c r="BG619" s="17" t="s">
        <v>322</v>
      </c>
      <c r="BH619" s="17" t="s">
        <v>39</v>
      </c>
      <c r="BI619" s="17" t="s">
        <v>322</v>
      </c>
    </row>
    <row r="620" spans="10:61" x14ac:dyDescent="0.3">
      <c r="J620" s="32" t="s">
        <v>776</v>
      </c>
      <c r="K620" s="17" t="s">
        <v>322</v>
      </c>
      <c r="L620" s="17" t="s">
        <v>322</v>
      </c>
      <c r="M620" s="17" t="s">
        <v>322</v>
      </c>
      <c r="N620" s="130" t="s">
        <v>134</v>
      </c>
      <c r="O620" s="17" t="s">
        <v>322</v>
      </c>
      <c r="AG620" t="s">
        <v>551</v>
      </c>
      <c r="AH620" s="17" t="s">
        <v>75</v>
      </c>
      <c r="AI620" s="17" t="s">
        <v>322</v>
      </c>
      <c r="AJ620" s="17" t="s">
        <v>322</v>
      </c>
      <c r="AK620" s="17" t="s">
        <v>322</v>
      </c>
      <c r="AL620" s="17" t="s">
        <v>322</v>
      </c>
      <c r="BD620" t="s">
        <v>551</v>
      </c>
      <c r="BE620" s="17" t="s">
        <v>75</v>
      </c>
      <c r="BF620" s="17" t="s">
        <v>322</v>
      </c>
      <c r="BG620" s="17" t="s">
        <v>322</v>
      </c>
      <c r="BH620" s="17" t="s">
        <v>39</v>
      </c>
      <c r="BI620" s="17" t="s">
        <v>322</v>
      </c>
    </row>
    <row r="621" spans="10:61" x14ac:dyDescent="0.3">
      <c r="AG621" t="s">
        <v>552</v>
      </c>
      <c r="AH621" s="17" t="s">
        <v>75</v>
      </c>
      <c r="AI621" s="17" t="s">
        <v>322</v>
      </c>
      <c r="AJ621" s="17" t="s">
        <v>322</v>
      </c>
      <c r="AK621" s="17" t="s">
        <v>75</v>
      </c>
      <c r="AL621" s="17" t="s">
        <v>322</v>
      </c>
      <c r="BD621" t="s">
        <v>552</v>
      </c>
      <c r="BE621" s="17" t="s">
        <v>75</v>
      </c>
      <c r="BF621" s="17" t="s">
        <v>322</v>
      </c>
      <c r="BG621" s="17" t="s">
        <v>322</v>
      </c>
      <c r="BH621" s="17" t="s">
        <v>75</v>
      </c>
      <c r="BI621" s="17" t="s">
        <v>322</v>
      </c>
    </row>
    <row r="622" spans="10:61" x14ac:dyDescent="0.3">
      <c r="J622" t="s">
        <v>823</v>
      </c>
      <c r="AG622" t="s">
        <v>554</v>
      </c>
      <c r="AH622" s="17" t="s">
        <v>39</v>
      </c>
      <c r="AI622" s="17" t="s">
        <v>322</v>
      </c>
      <c r="AJ622" s="17" t="s">
        <v>39</v>
      </c>
      <c r="AK622" s="17" t="s">
        <v>75</v>
      </c>
      <c r="AL622" s="17" t="s">
        <v>322</v>
      </c>
      <c r="BD622" t="s">
        <v>554</v>
      </c>
      <c r="BE622" s="17" t="s">
        <v>39</v>
      </c>
      <c r="BF622" s="17" t="s">
        <v>322</v>
      </c>
      <c r="BG622" s="17" t="s">
        <v>322</v>
      </c>
      <c r="BH622" s="17" t="s">
        <v>75</v>
      </c>
      <c r="BI622" s="17" t="s">
        <v>322</v>
      </c>
    </row>
    <row r="623" spans="10:61" x14ac:dyDescent="0.3">
      <c r="K623" s="17" t="s">
        <v>315</v>
      </c>
      <c r="L623" s="17" t="s">
        <v>316</v>
      </c>
      <c r="M623" s="17" t="s">
        <v>317</v>
      </c>
      <c r="N623" s="17" t="s">
        <v>318</v>
      </c>
      <c r="O623" s="17" t="s">
        <v>319</v>
      </c>
      <c r="AG623" t="s">
        <v>586</v>
      </c>
      <c r="AH623" s="17" t="s">
        <v>39</v>
      </c>
      <c r="AI623" s="17" t="s">
        <v>322</v>
      </c>
      <c r="AJ623" s="17" t="s">
        <v>39</v>
      </c>
      <c r="AK623" s="17" t="s">
        <v>75</v>
      </c>
      <c r="AL623" s="17" t="s">
        <v>322</v>
      </c>
      <c r="BD623" t="s">
        <v>586</v>
      </c>
      <c r="BE623" s="17" t="s">
        <v>39</v>
      </c>
      <c r="BF623" s="17" t="s">
        <v>322</v>
      </c>
      <c r="BG623" s="17" t="s">
        <v>322</v>
      </c>
      <c r="BH623" s="17" t="s">
        <v>75</v>
      </c>
      <c r="BI623" s="17" t="s">
        <v>322</v>
      </c>
    </row>
    <row r="624" spans="10:61" x14ac:dyDescent="0.3">
      <c r="J624" t="s">
        <v>539</v>
      </c>
      <c r="K624" s="17" t="s">
        <v>322</v>
      </c>
      <c r="L624" s="17" t="s">
        <v>322</v>
      </c>
      <c r="M624" s="17" t="s">
        <v>293</v>
      </c>
      <c r="N624" s="17" t="s">
        <v>322</v>
      </c>
      <c r="O624" s="17" t="s">
        <v>322</v>
      </c>
    </row>
    <row r="625" spans="10:61" x14ac:dyDescent="0.3">
      <c r="J625" t="s">
        <v>543</v>
      </c>
      <c r="K625" s="17" t="s">
        <v>322</v>
      </c>
      <c r="L625" s="17" t="s">
        <v>322</v>
      </c>
      <c r="M625" s="17" t="s">
        <v>293</v>
      </c>
      <c r="N625" s="17" t="s">
        <v>322</v>
      </c>
      <c r="O625" s="17" t="s">
        <v>322</v>
      </c>
      <c r="AG625" t="s">
        <v>822</v>
      </c>
      <c r="BD625" t="s">
        <v>822</v>
      </c>
    </row>
    <row r="626" spans="10:61" x14ac:dyDescent="0.3">
      <c r="J626" t="s">
        <v>573</v>
      </c>
      <c r="K626" s="17" t="s">
        <v>322</v>
      </c>
      <c r="L626" s="17" t="s">
        <v>293</v>
      </c>
      <c r="M626" s="17" t="s">
        <v>293</v>
      </c>
      <c r="N626" s="17" t="s">
        <v>322</v>
      </c>
      <c r="O626" s="17" t="s">
        <v>322</v>
      </c>
      <c r="AH626" s="17" t="s">
        <v>315</v>
      </c>
      <c r="AI626" s="17" t="s">
        <v>316</v>
      </c>
      <c r="AJ626" s="17" t="s">
        <v>317</v>
      </c>
      <c r="AK626" s="17" t="s">
        <v>318</v>
      </c>
      <c r="AL626" s="17" t="s">
        <v>319</v>
      </c>
      <c r="BE626" s="17" t="s">
        <v>315</v>
      </c>
      <c r="BF626" s="17" t="s">
        <v>316</v>
      </c>
      <c r="BG626" s="17" t="s">
        <v>317</v>
      </c>
      <c r="BH626" s="17" t="s">
        <v>318</v>
      </c>
      <c r="BI626" s="17" t="s">
        <v>319</v>
      </c>
    </row>
    <row r="627" spans="10:61" x14ac:dyDescent="0.3">
      <c r="J627" t="s">
        <v>561</v>
      </c>
      <c r="K627" s="17" t="s">
        <v>322</v>
      </c>
      <c r="L627" s="17" t="s">
        <v>293</v>
      </c>
      <c r="M627" s="17" t="s">
        <v>322</v>
      </c>
      <c r="N627" s="17" t="s">
        <v>322</v>
      </c>
      <c r="O627" s="17" t="s">
        <v>322</v>
      </c>
      <c r="AG627" t="s">
        <v>512</v>
      </c>
      <c r="AH627" s="17" t="s">
        <v>322</v>
      </c>
      <c r="AI627" s="17" t="s">
        <v>322</v>
      </c>
      <c r="AJ627" s="17" t="s">
        <v>134</v>
      </c>
      <c r="AK627" s="17" t="s">
        <v>322</v>
      </c>
      <c r="AL627" s="17" t="s">
        <v>134</v>
      </c>
      <c r="BD627" t="s">
        <v>512</v>
      </c>
      <c r="BE627" s="17" t="s">
        <v>322</v>
      </c>
      <c r="BF627" s="17" t="s">
        <v>134</v>
      </c>
      <c r="BG627" s="17" t="s">
        <v>322</v>
      </c>
      <c r="BH627" s="17" t="s">
        <v>134</v>
      </c>
      <c r="BI627" s="17" t="s">
        <v>322</v>
      </c>
    </row>
    <row r="628" spans="10:61" x14ac:dyDescent="0.3">
      <c r="AG628" t="s">
        <v>514</v>
      </c>
      <c r="AH628" s="17" t="s">
        <v>322</v>
      </c>
      <c r="AI628" s="17" t="s">
        <v>322</v>
      </c>
      <c r="AJ628" s="17" t="s">
        <v>134</v>
      </c>
      <c r="AK628" s="17" t="s">
        <v>322</v>
      </c>
      <c r="AL628" s="17" t="s">
        <v>134</v>
      </c>
      <c r="BD628" t="s">
        <v>514</v>
      </c>
      <c r="BE628" s="17" t="s">
        <v>322</v>
      </c>
      <c r="BF628" s="17" t="s">
        <v>134</v>
      </c>
      <c r="BG628" s="17" t="s">
        <v>322</v>
      </c>
      <c r="BH628" s="17" t="s">
        <v>134</v>
      </c>
      <c r="BI628" s="17" t="s">
        <v>322</v>
      </c>
    </row>
    <row r="629" spans="10:61" x14ac:dyDescent="0.3">
      <c r="J629" t="s">
        <v>824</v>
      </c>
      <c r="AG629" t="s">
        <v>328</v>
      </c>
      <c r="AH629" s="17" t="s">
        <v>322</v>
      </c>
      <c r="AI629" s="17" t="s">
        <v>134</v>
      </c>
      <c r="AJ629" s="17" t="s">
        <v>322</v>
      </c>
      <c r="AK629" s="17" t="s">
        <v>322</v>
      </c>
      <c r="AL629" s="17" t="s">
        <v>134</v>
      </c>
      <c r="BD629" t="s">
        <v>328</v>
      </c>
      <c r="BE629" s="17" t="s">
        <v>322</v>
      </c>
      <c r="BF629" s="17" t="s">
        <v>134</v>
      </c>
      <c r="BG629" s="17" t="s">
        <v>322</v>
      </c>
      <c r="BH629" s="17" t="s">
        <v>322</v>
      </c>
      <c r="BI629" s="17" t="s">
        <v>134</v>
      </c>
    </row>
    <row r="630" spans="10:61" x14ac:dyDescent="0.3">
      <c r="K630" s="17" t="s">
        <v>315</v>
      </c>
      <c r="L630" s="17" t="s">
        <v>316</v>
      </c>
      <c r="M630" s="17" t="s">
        <v>317</v>
      </c>
      <c r="N630" s="17" t="s">
        <v>318</v>
      </c>
      <c r="O630" s="17" t="s">
        <v>319</v>
      </c>
      <c r="AG630" t="s">
        <v>350</v>
      </c>
      <c r="AH630" s="17" t="s">
        <v>322</v>
      </c>
      <c r="AI630" s="17" t="s">
        <v>134</v>
      </c>
      <c r="AJ630" s="17" t="s">
        <v>322</v>
      </c>
      <c r="AK630" s="17" t="s">
        <v>322</v>
      </c>
      <c r="AL630" s="17" t="s">
        <v>134</v>
      </c>
      <c r="BD630" t="s">
        <v>350</v>
      </c>
      <c r="BE630" s="17" t="s">
        <v>322</v>
      </c>
      <c r="BF630" s="17" t="s">
        <v>134</v>
      </c>
      <c r="BG630" s="17" t="s">
        <v>322</v>
      </c>
      <c r="BH630" s="17" t="s">
        <v>322</v>
      </c>
      <c r="BI630" s="17" t="s">
        <v>134</v>
      </c>
    </row>
    <row r="631" spans="10:61" x14ac:dyDescent="0.3">
      <c r="J631" t="s">
        <v>512</v>
      </c>
      <c r="K631" s="17" t="s">
        <v>322</v>
      </c>
      <c r="L631" s="17" t="s">
        <v>322</v>
      </c>
      <c r="M631" s="17" t="s">
        <v>322</v>
      </c>
      <c r="N631" s="17" t="s">
        <v>322</v>
      </c>
      <c r="O631" s="17" t="s">
        <v>89</v>
      </c>
    </row>
    <row r="632" spans="10:61" x14ac:dyDescent="0.3">
      <c r="J632" t="s">
        <v>514</v>
      </c>
      <c r="K632" s="17" t="s">
        <v>322</v>
      </c>
      <c r="L632" s="17" t="s">
        <v>322</v>
      </c>
      <c r="M632" s="17" t="s">
        <v>322</v>
      </c>
      <c r="N632" s="17" t="s">
        <v>322</v>
      </c>
      <c r="O632" s="17" t="s">
        <v>89</v>
      </c>
      <c r="AG632" t="s">
        <v>823</v>
      </c>
      <c r="BD632" t="s">
        <v>823</v>
      </c>
    </row>
    <row r="633" spans="10:61" x14ac:dyDescent="0.3">
      <c r="J633" t="s">
        <v>328</v>
      </c>
      <c r="K633" s="17" t="s">
        <v>322</v>
      </c>
      <c r="L633" s="17" t="s">
        <v>322</v>
      </c>
      <c r="M633" s="17" t="s">
        <v>322</v>
      </c>
      <c r="N633" s="17" t="s">
        <v>89</v>
      </c>
      <c r="O633" s="17" t="s">
        <v>89</v>
      </c>
      <c r="AH633" s="17" t="s">
        <v>315</v>
      </c>
      <c r="AI633" s="17" t="s">
        <v>316</v>
      </c>
      <c r="AJ633" s="17" t="s">
        <v>317</v>
      </c>
      <c r="AK633" s="17" t="s">
        <v>318</v>
      </c>
      <c r="AL633" s="17" t="s">
        <v>319</v>
      </c>
      <c r="BE633" s="17" t="s">
        <v>315</v>
      </c>
      <c r="BF633" s="17" t="s">
        <v>316</v>
      </c>
      <c r="BG633" s="17" t="s">
        <v>317</v>
      </c>
      <c r="BH633" s="17" t="s">
        <v>318</v>
      </c>
      <c r="BI633" s="17" t="s">
        <v>319</v>
      </c>
    </row>
    <row r="634" spans="10:61" x14ac:dyDescent="0.3">
      <c r="J634" t="s">
        <v>350</v>
      </c>
      <c r="K634" s="17" t="s">
        <v>322</v>
      </c>
      <c r="L634" s="17" t="s">
        <v>322</v>
      </c>
      <c r="M634" s="17" t="s">
        <v>322</v>
      </c>
      <c r="N634" s="17" t="s">
        <v>89</v>
      </c>
      <c r="O634" s="17" t="s">
        <v>89</v>
      </c>
      <c r="AG634" t="s">
        <v>539</v>
      </c>
      <c r="AH634" s="17" t="s">
        <v>322</v>
      </c>
      <c r="AI634" s="17" t="s">
        <v>322</v>
      </c>
      <c r="AJ634" s="17" t="s">
        <v>293</v>
      </c>
      <c r="AK634" s="17" t="s">
        <v>322</v>
      </c>
      <c r="AL634" s="17" t="s">
        <v>322</v>
      </c>
      <c r="BD634" t="s">
        <v>539</v>
      </c>
      <c r="BE634" s="17" t="s">
        <v>322</v>
      </c>
      <c r="BF634" s="17" t="s">
        <v>322</v>
      </c>
      <c r="BG634" s="17" t="s">
        <v>293</v>
      </c>
      <c r="BH634" s="17" t="s">
        <v>322</v>
      </c>
      <c r="BI634" s="17" t="s">
        <v>322</v>
      </c>
    </row>
    <row r="635" spans="10:61" x14ac:dyDescent="0.3">
      <c r="J635" t="s">
        <v>543</v>
      </c>
      <c r="K635" s="17" t="s">
        <v>322</v>
      </c>
      <c r="L635" s="17" t="s">
        <v>322</v>
      </c>
      <c r="M635" s="17" t="s">
        <v>322</v>
      </c>
      <c r="N635" s="17" t="s">
        <v>322</v>
      </c>
      <c r="O635" s="17" t="s">
        <v>89</v>
      </c>
      <c r="AG635" t="s">
        <v>543</v>
      </c>
      <c r="AH635" s="17" t="s">
        <v>322</v>
      </c>
      <c r="AI635" s="17" t="s">
        <v>322</v>
      </c>
      <c r="AJ635" s="17" t="s">
        <v>293</v>
      </c>
      <c r="AK635" s="17" t="s">
        <v>322</v>
      </c>
      <c r="AL635" s="17" t="s">
        <v>322</v>
      </c>
      <c r="BD635" t="s">
        <v>543</v>
      </c>
      <c r="BE635" s="17" t="s">
        <v>322</v>
      </c>
      <c r="BF635" s="17" t="s">
        <v>322</v>
      </c>
      <c r="BG635" s="17" t="s">
        <v>293</v>
      </c>
      <c r="BH635" s="17" t="s">
        <v>322</v>
      </c>
      <c r="BI635" s="17" t="s">
        <v>322</v>
      </c>
    </row>
    <row r="636" spans="10:61" x14ac:dyDescent="0.3">
      <c r="J636" t="s">
        <v>573</v>
      </c>
      <c r="K636" s="17" t="s">
        <v>322</v>
      </c>
      <c r="L636" s="17" t="s">
        <v>322</v>
      </c>
      <c r="M636" s="17" t="s">
        <v>322</v>
      </c>
      <c r="N636" s="17" t="s">
        <v>322</v>
      </c>
      <c r="O636" s="17" t="s">
        <v>89</v>
      </c>
      <c r="AG636" t="s">
        <v>573</v>
      </c>
      <c r="AH636" s="17" t="s">
        <v>322</v>
      </c>
      <c r="AI636" s="17" t="s">
        <v>293</v>
      </c>
      <c r="AJ636" s="17" t="s">
        <v>293</v>
      </c>
      <c r="AK636" s="17" t="s">
        <v>322</v>
      </c>
      <c r="AL636" s="17" t="s">
        <v>322</v>
      </c>
      <c r="BD636" t="s">
        <v>573</v>
      </c>
      <c r="BE636" s="17" t="s">
        <v>322</v>
      </c>
      <c r="BF636" s="17" t="s">
        <v>293</v>
      </c>
      <c r="BG636" s="17" t="s">
        <v>293</v>
      </c>
      <c r="BH636" s="17" t="s">
        <v>322</v>
      </c>
      <c r="BI636" s="17" t="s">
        <v>322</v>
      </c>
    </row>
    <row r="637" spans="10:61" x14ac:dyDescent="0.3">
      <c r="AG637" t="s">
        <v>561</v>
      </c>
      <c r="AH637" s="17" t="s">
        <v>322</v>
      </c>
      <c r="AI637" s="17" t="s">
        <v>293</v>
      </c>
      <c r="AJ637" s="17" t="s">
        <v>322</v>
      </c>
      <c r="AK637" s="17" t="s">
        <v>322</v>
      </c>
      <c r="AL637" s="17" t="s">
        <v>322</v>
      </c>
      <c r="BD637" t="s">
        <v>561</v>
      </c>
      <c r="BE637" s="17" t="s">
        <v>322</v>
      </c>
      <c r="BF637" s="17" t="s">
        <v>293</v>
      </c>
      <c r="BG637" s="17" t="s">
        <v>322</v>
      </c>
      <c r="BH637" s="17" t="s">
        <v>322</v>
      </c>
      <c r="BI637" s="17" t="s">
        <v>322</v>
      </c>
    </row>
    <row r="638" spans="10:61" x14ac:dyDescent="0.3">
      <c r="J638" t="s">
        <v>825</v>
      </c>
    </row>
    <row r="639" spans="10:61" x14ac:dyDescent="0.3">
      <c r="K639" s="17" t="s">
        <v>315</v>
      </c>
      <c r="L639" s="17" t="s">
        <v>316</v>
      </c>
      <c r="M639" s="17" t="s">
        <v>317</v>
      </c>
      <c r="N639" s="17" t="s">
        <v>318</v>
      </c>
      <c r="O639" s="17" t="s">
        <v>319</v>
      </c>
      <c r="AG639" t="s">
        <v>824</v>
      </c>
      <c r="BD639" t="s">
        <v>824</v>
      </c>
    </row>
    <row r="640" spans="10:61" x14ac:dyDescent="0.3">
      <c r="J640" t="s">
        <v>561</v>
      </c>
      <c r="K640" s="17" t="s">
        <v>322</v>
      </c>
      <c r="L640" s="17" t="s">
        <v>41</v>
      </c>
      <c r="M640" s="17" t="s">
        <v>322</v>
      </c>
      <c r="N640" s="17" t="s">
        <v>322</v>
      </c>
      <c r="O640" s="17" t="s">
        <v>322</v>
      </c>
      <c r="AH640" s="17" t="s">
        <v>315</v>
      </c>
      <c r="AI640" s="17" t="s">
        <v>316</v>
      </c>
      <c r="AJ640" s="17" t="s">
        <v>317</v>
      </c>
      <c r="AK640" s="17" t="s">
        <v>318</v>
      </c>
      <c r="AL640" s="17" t="s">
        <v>319</v>
      </c>
      <c r="BE640" s="17" t="s">
        <v>315</v>
      </c>
      <c r="BF640" s="17" t="s">
        <v>316</v>
      </c>
      <c r="BG640" s="17" t="s">
        <v>317</v>
      </c>
      <c r="BH640" s="17" t="s">
        <v>318</v>
      </c>
      <c r="BI640" s="17" t="s">
        <v>319</v>
      </c>
    </row>
    <row r="641" spans="10:61" x14ac:dyDescent="0.3">
      <c r="J641" t="s">
        <v>551</v>
      </c>
      <c r="K641" s="17" t="s">
        <v>322</v>
      </c>
      <c r="L641" s="17" t="s">
        <v>41</v>
      </c>
      <c r="M641" s="17" t="s">
        <v>322</v>
      </c>
      <c r="N641" s="17" t="s">
        <v>322</v>
      </c>
      <c r="O641" s="17" t="s">
        <v>322</v>
      </c>
      <c r="AG641" t="s">
        <v>512</v>
      </c>
      <c r="AH641" s="17" t="s">
        <v>322</v>
      </c>
      <c r="AI641" s="17" t="s">
        <v>322</v>
      </c>
      <c r="AJ641" s="17" t="s">
        <v>322</v>
      </c>
      <c r="AK641" s="17" t="s">
        <v>322</v>
      </c>
      <c r="AL641" s="17" t="s">
        <v>89</v>
      </c>
      <c r="BD641" t="s">
        <v>512</v>
      </c>
      <c r="BE641" s="17" t="s">
        <v>322</v>
      </c>
      <c r="BF641" s="17" t="s">
        <v>322</v>
      </c>
      <c r="BG641" s="17" t="s">
        <v>322</v>
      </c>
      <c r="BH641" s="17" t="s">
        <v>322</v>
      </c>
      <c r="BI641" s="17" t="s">
        <v>89</v>
      </c>
    </row>
    <row r="642" spans="10:61" x14ac:dyDescent="0.3">
      <c r="J642" t="s">
        <v>552</v>
      </c>
      <c r="K642" s="17" t="s">
        <v>322</v>
      </c>
      <c r="L642" s="17" t="s">
        <v>322</v>
      </c>
      <c r="M642" s="17" t="s">
        <v>322</v>
      </c>
      <c r="N642" s="17" t="s">
        <v>322</v>
      </c>
      <c r="O642" s="130" t="s">
        <v>41</v>
      </c>
      <c r="AG642" t="s">
        <v>514</v>
      </c>
      <c r="AH642" s="17" t="s">
        <v>322</v>
      </c>
      <c r="AI642" s="17" t="s">
        <v>322</v>
      </c>
      <c r="AJ642" s="17" t="s">
        <v>322</v>
      </c>
      <c r="AK642" s="17" t="s">
        <v>322</v>
      </c>
      <c r="AL642" s="17" t="s">
        <v>89</v>
      </c>
      <c r="BD642" t="s">
        <v>514</v>
      </c>
      <c r="BE642" s="17" t="s">
        <v>322</v>
      </c>
      <c r="BF642" s="17" t="s">
        <v>322</v>
      </c>
      <c r="BG642" s="17" t="s">
        <v>322</v>
      </c>
      <c r="BH642" s="17" t="s">
        <v>322</v>
      </c>
      <c r="BI642" s="17" t="s">
        <v>89</v>
      </c>
    </row>
    <row r="643" spans="10:61" x14ac:dyDescent="0.3">
      <c r="J643" t="s">
        <v>554</v>
      </c>
      <c r="K643" s="17" t="s">
        <v>322</v>
      </c>
      <c r="L643" s="17" t="s">
        <v>322</v>
      </c>
      <c r="M643" s="17" t="s">
        <v>322</v>
      </c>
      <c r="N643" s="17" t="s">
        <v>322</v>
      </c>
      <c r="O643" s="130" t="s">
        <v>41</v>
      </c>
      <c r="AG643" t="s">
        <v>328</v>
      </c>
      <c r="AH643" s="17" t="s">
        <v>322</v>
      </c>
      <c r="AI643" s="17" t="s">
        <v>322</v>
      </c>
      <c r="AJ643" s="17" t="s">
        <v>322</v>
      </c>
      <c r="AK643" s="17" t="s">
        <v>89</v>
      </c>
      <c r="AL643" s="17" t="s">
        <v>89</v>
      </c>
      <c r="BD643" t="s">
        <v>328</v>
      </c>
      <c r="BE643" s="17" t="s">
        <v>322</v>
      </c>
      <c r="BF643" s="17" t="s">
        <v>322</v>
      </c>
      <c r="BG643" s="17" t="s">
        <v>322</v>
      </c>
      <c r="BH643" s="17" t="s">
        <v>89</v>
      </c>
      <c r="BI643" s="17" t="s">
        <v>89</v>
      </c>
    </row>
    <row r="644" spans="10:61" x14ac:dyDescent="0.3">
      <c r="AG644" t="s">
        <v>350</v>
      </c>
      <c r="AH644" s="17" t="s">
        <v>322</v>
      </c>
      <c r="AI644" s="17" t="s">
        <v>322</v>
      </c>
      <c r="AJ644" s="17" t="s">
        <v>322</v>
      </c>
      <c r="AK644" s="17" t="s">
        <v>89</v>
      </c>
      <c r="AL644" s="17" t="s">
        <v>89</v>
      </c>
      <c r="BD644" t="s">
        <v>350</v>
      </c>
      <c r="BE644" s="17" t="s">
        <v>322</v>
      </c>
      <c r="BF644" s="17" t="s">
        <v>322</v>
      </c>
      <c r="BG644" s="17" t="s">
        <v>322</v>
      </c>
      <c r="BH644" s="17" t="s">
        <v>89</v>
      </c>
      <c r="BI644" s="17" t="s">
        <v>89</v>
      </c>
    </row>
    <row r="645" spans="10:61" x14ac:dyDescent="0.3">
      <c r="J645" t="s">
        <v>826</v>
      </c>
      <c r="AG645" t="s">
        <v>543</v>
      </c>
      <c r="AH645" s="17" t="s">
        <v>322</v>
      </c>
      <c r="AI645" s="17" t="s">
        <v>322</v>
      </c>
      <c r="AJ645" s="17" t="s">
        <v>322</v>
      </c>
      <c r="AK645" s="17" t="s">
        <v>322</v>
      </c>
      <c r="AL645" s="17" t="s">
        <v>89</v>
      </c>
      <c r="BD645" t="s">
        <v>543</v>
      </c>
      <c r="BE645" s="17" t="s">
        <v>322</v>
      </c>
      <c r="BF645" s="17" t="s">
        <v>322</v>
      </c>
      <c r="BG645" s="17" t="s">
        <v>322</v>
      </c>
      <c r="BH645" s="17" t="s">
        <v>322</v>
      </c>
      <c r="BI645" s="17" t="s">
        <v>89</v>
      </c>
    </row>
    <row r="646" spans="10:61" x14ac:dyDescent="0.3">
      <c r="K646" s="17" t="s">
        <v>315</v>
      </c>
      <c r="L646" s="17" t="s">
        <v>316</v>
      </c>
      <c r="M646" s="17" t="s">
        <v>317</v>
      </c>
      <c r="N646" s="17" t="s">
        <v>318</v>
      </c>
      <c r="O646" s="17" t="s">
        <v>319</v>
      </c>
      <c r="AG646" t="s">
        <v>573</v>
      </c>
      <c r="AH646" s="17" t="s">
        <v>322</v>
      </c>
      <c r="AI646" s="17" t="s">
        <v>322</v>
      </c>
      <c r="AJ646" s="17" t="s">
        <v>322</v>
      </c>
      <c r="AK646" s="17" t="s">
        <v>322</v>
      </c>
      <c r="AL646" s="17" t="s">
        <v>89</v>
      </c>
      <c r="BD646" t="s">
        <v>573</v>
      </c>
      <c r="BE646" s="17" t="s">
        <v>322</v>
      </c>
      <c r="BF646" s="17" t="s">
        <v>322</v>
      </c>
      <c r="BG646" s="17" t="s">
        <v>322</v>
      </c>
      <c r="BH646" s="17" t="s">
        <v>322</v>
      </c>
      <c r="BI646" s="17" t="s">
        <v>89</v>
      </c>
    </row>
    <row r="647" spans="10:61" x14ac:dyDescent="0.3">
      <c r="J647" t="s">
        <v>512</v>
      </c>
      <c r="K647" s="17" t="s">
        <v>322</v>
      </c>
      <c r="L647" s="17" t="s">
        <v>322</v>
      </c>
      <c r="M647" s="17" t="s">
        <v>322</v>
      </c>
      <c r="N647" s="17" t="s">
        <v>147</v>
      </c>
      <c r="O647" s="17" t="s">
        <v>322</v>
      </c>
    </row>
    <row r="648" spans="10:61" x14ac:dyDescent="0.3">
      <c r="J648" t="s">
        <v>514</v>
      </c>
      <c r="K648" s="17" t="s">
        <v>322</v>
      </c>
      <c r="L648" s="17" t="s">
        <v>322</v>
      </c>
      <c r="M648" s="17" t="s">
        <v>322</v>
      </c>
      <c r="N648" s="17" t="s">
        <v>147</v>
      </c>
      <c r="O648" s="17" t="s">
        <v>322</v>
      </c>
      <c r="AG648" t="s">
        <v>825</v>
      </c>
      <c r="BD648" t="s">
        <v>825</v>
      </c>
    </row>
    <row r="649" spans="10:61" x14ac:dyDescent="0.3">
      <c r="J649" t="s">
        <v>517</v>
      </c>
      <c r="K649" s="17" t="s">
        <v>322</v>
      </c>
      <c r="L649" s="17" t="s">
        <v>322</v>
      </c>
      <c r="M649" s="17" t="s">
        <v>322</v>
      </c>
      <c r="N649" s="17" t="s">
        <v>147</v>
      </c>
      <c r="O649" s="17" t="s">
        <v>322</v>
      </c>
      <c r="AH649" s="17" t="s">
        <v>315</v>
      </c>
      <c r="AI649" s="17" t="s">
        <v>316</v>
      </c>
      <c r="AJ649" s="17" t="s">
        <v>317</v>
      </c>
      <c r="AK649" s="17" t="s">
        <v>318</v>
      </c>
      <c r="AL649" s="17" t="s">
        <v>319</v>
      </c>
      <c r="BE649" s="17" t="s">
        <v>315</v>
      </c>
      <c r="BF649" s="17" t="s">
        <v>316</v>
      </c>
      <c r="BG649" s="17" t="s">
        <v>317</v>
      </c>
      <c r="BH649" s="17" t="s">
        <v>318</v>
      </c>
      <c r="BI649" s="17" t="s">
        <v>319</v>
      </c>
    </row>
    <row r="650" spans="10:61" x14ac:dyDescent="0.3">
      <c r="AG650" t="s">
        <v>561</v>
      </c>
      <c r="AH650" s="17" t="s">
        <v>322</v>
      </c>
      <c r="AI650" s="17" t="s">
        <v>41</v>
      </c>
      <c r="AJ650" s="17" t="s">
        <v>322</v>
      </c>
      <c r="AK650" s="17" t="s">
        <v>322</v>
      </c>
      <c r="AL650" s="17" t="s">
        <v>322</v>
      </c>
      <c r="BD650" t="s">
        <v>561</v>
      </c>
      <c r="BE650" s="17" t="s">
        <v>322</v>
      </c>
      <c r="BF650" s="17" t="s">
        <v>41</v>
      </c>
      <c r="BG650" s="17" t="s">
        <v>322</v>
      </c>
      <c r="BH650" s="17" t="s">
        <v>322</v>
      </c>
      <c r="BI650" s="17" t="s">
        <v>322</v>
      </c>
    </row>
    <row r="651" spans="10:61" x14ac:dyDescent="0.3">
      <c r="J651" s="32" t="s">
        <v>931</v>
      </c>
      <c r="AG651" t="s">
        <v>551</v>
      </c>
      <c r="AH651" s="17" t="s">
        <v>322</v>
      </c>
      <c r="AI651" s="17" t="s">
        <v>41</v>
      </c>
      <c r="AJ651" s="17" t="s">
        <v>322</v>
      </c>
      <c r="AK651" s="17" t="s">
        <v>322</v>
      </c>
      <c r="AL651" s="17" t="s">
        <v>322</v>
      </c>
      <c r="BD651" t="s">
        <v>551</v>
      </c>
      <c r="BE651" s="17" t="s">
        <v>322</v>
      </c>
      <c r="BF651" s="17" t="s">
        <v>41</v>
      </c>
      <c r="BG651" s="17" t="s">
        <v>322</v>
      </c>
      <c r="BH651" s="17" t="s">
        <v>322</v>
      </c>
      <c r="BI651" s="17" t="s">
        <v>322</v>
      </c>
    </row>
    <row r="652" spans="10:61" x14ac:dyDescent="0.3">
      <c r="K652" s="17" t="s">
        <v>315</v>
      </c>
      <c r="L652" s="17" t="s">
        <v>316</v>
      </c>
      <c r="M652" s="17" t="s">
        <v>317</v>
      </c>
      <c r="N652" s="17" t="s">
        <v>318</v>
      </c>
      <c r="O652" s="17" t="s">
        <v>319</v>
      </c>
      <c r="AG652" t="s">
        <v>552</v>
      </c>
      <c r="AH652" s="17" t="s">
        <v>322</v>
      </c>
      <c r="AI652" s="17" t="s">
        <v>322</v>
      </c>
      <c r="AJ652" s="17" t="s">
        <v>322</v>
      </c>
      <c r="AK652" s="17" t="s">
        <v>41</v>
      </c>
      <c r="AL652" s="17" t="s">
        <v>322</v>
      </c>
      <c r="BD652" t="s">
        <v>552</v>
      </c>
      <c r="BE652" s="17" t="s">
        <v>322</v>
      </c>
      <c r="BF652" s="17" t="s">
        <v>322</v>
      </c>
      <c r="BG652" s="17" t="s">
        <v>322</v>
      </c>
      <c r="BH652" s="17" t="s">
        <v>41</v>
      </c>
      <c r="BI652" s="17" t="s">
        <v>322</v>
      </c>
    </row>
    <row r="653" spans="10:61" x14ac:dyDescent="0.3">
      <c r="J653" t="s">
        <v>512</v>
      </c>
      <c r="K653" s="17" t="s">
        <v>322</v>
      </c>
      <c r="L653" s="17" t="s">
        <v>50</v>
      </c>
      <c r="M653" s="17" t="s">
        <v>322</v>
      </c>
      <c r="N653" s="17" t="s">
        <v>50</v>
      </c>
      <c r="O653" s="17" t="s">
        <v>322</v>
      </c>
      <c r="AG653" t="s">
        <v>554</v>
      </c>
      <c r="AH653" s="17" t="s">
        <v>322</v>
      </c>
      <c r="AI653" s="17" t="s">
        <v>322</v>
      </c>
      <c r="AJ653" s="17" t="s">
        <v>322</v>
      </c>
      <c r="AK653" s="17" t="s">
        <v>41</v>
      </c>
      <c r="AL653" s="17" t="s">
        <v>322</v>
      </c>
      <c r="BD653" t="s">
        <v>554</v>
      </c>
      <c r="BE653" s="17" t="s">
        <v>322</v>
      </c>
      <c r="BF653" s="17" t="s">
        <v>322</v>
      </c>
      <c r="BG653" s="17" t="s">
        <v>322</v>
      </c>
      <c r="BH653" s="17" t="s">
        <v>41</v>
      </c>
      <c r="BI653" s="17" t="s">
        <v>322</v>
      </c>
    </row>
    <row r="654" spans="10:61" x14ac:dyDescent="0.3">
      <c r="J654" t="s">
        <v>514</v>
      </c>
      <c r="K654" s="17" t="s">
        <v>322</v>
      </c>
      <c r="L654" s="17" t="s">
        <v>50</v>
      </c>
      <c r="M654" s="17" t="s">
        <v>322</v>
      </c>
      <c r="N654" s="17" t="s">
        <v>50</v>
      </c>
      <c r="O654" s="17" t="s">
        <v>322</v>
      </c>
    </row>
    <row r="655" spans="10:61" x14ac:dyDescent="0.3">
      <c r="J655" t="s">
        <v>517</v>
      </c>
      <c r="K655" s="17" t="s">
        <v>322</v>
      </c>
      <c r="L655" s="17" t="s">
        <v>322</v>
      </c>
      <c r="M655" s="17" t="s">
        <v>322</v>
      </c>
      <c r="N655" s="17" t="s">
        <v>50</v>
      </c>
      <c r="O655" s="17" t="s">
        <v>322</v>
      </c>
      <c r="AG655" t="s">
        <v>826</v>
      </c>
      <c r="BD655" t="s">
        <v>826</v>
      </c>
    </row>
    <row r="656" spans="10:61" x14ac:dyDescent="0.3">
      <c r="AH656" s="17" t="s">
        <v>315</v>
      </c>
      <c r="AI656" s="17" t="s">
        <v>316</v>
      </c>
      <c r="AJ656" s="17" t="s">
        <v>317</v>
      </c>
      <c r="AK656" s="17" t="s">
        <v>318</v>
      </c>
      <c r="AL656" s="17" t="s">
        <v>319</v>
      </c>
      <c r="BE656" s="17" t="s">
        <v>315</v>
      </c>
      <c r="BF656" s="17" t="s">
        <v>316</v>
      </c>
      <c r="BG656" s="17" t="s">
        <v>317</v>
      </c>
      <c r="BH656" s="17" t="s">
        <v>318</v>
      </c>
      <c r="BI656" s="17" t="s">
        <v>319</v>
      </c>
    </row>
    <row r="657" spans="10:61" x14ac:dyDescent="0.3">
      <c r="J657" t="s">
        <v>828</v>
      </c>
      <c r="AG657" t="s">
        <v>512</v>
      </c>
      <c r="AH657" s="17" t="s">
        <v>322</v>
      </c>
      <c r="AI657" s="17" t="s">
        <v>322</v>
      </c>
      <c r="AJ657" s="17" t="s">
        <v>322</v>
      </c>
      <c r="AK657" s="17" t="s">
        <v>147</v>
      </c>
      <c r="AL657" s="17" t="s">
        <v>322</v>
      </c>
      <c r="BD657" t="s">
        <v>512</v>
      </c>
      <c r="BE657" s="17" t="s">
        <v>322</v>
      </c>
      <c r="BF657" s="17" t="s">
        <v>322</v>
      </c>
      <c r="BG657" s="17" t="s">
        <v>322</v>
      </c>
      <c r="BH657" s="17" t="s">
        <v>322</v>
      </c>
      <c r="BI657" s="17" t="s">
        <v>147</v>
      </c>
    </row>
    <row r="658" spans="10:61" x14ac:dyDescent="0.3">
      <c r="K658" s="17" t="s">
        <v>315</v>
      </c>
      <c r="L658" s="17" t="s">
        <v>316</v>
      </c>
      <c r="M658" s="17" t="s">
        <v>317</v>
      </c>
      <c r="N658" s="17" t="s">
        <v>318</v>
      </c>
      <c r="O658" s="17" t="s">
        <v>319</v>
      </c>
      <c r="AG658" t="s">
        <v>514</v>
      </c>
      <c r="AH658" s="17" t="s">
        <v>322</v>
      </c>
      <c r="AI658" s="17" t="s">
        <v>322</v>
      </c>
      <c r="AJ658" s="17" t="s">
        <v>322</v>
      </c>
      <c r="AK658" s="17" t="s">
        <v>147</v>
      </c>
      <c r="AL658" s="17" t="s">
        <v>322</v>
      </c>
      <c r="BD658" t="s">
        <v>514</v>
      </c>
      <c r="BE658" s="17" t="s">
        <v>322</v>
      </c>
      <c r="BF658" s="17" t="s">
        <v>322</v>
      </c>
      <c r="BG658" s="17" t="s">
        <v>322</v>
      </c>
      <c r="BH658" s="17" t="s">
        <v>322</v>
      </c>
      <c r="BI658" s="17" t="s">
        <v>147</v>
      </c>
    </row>
    <row r="659" spans="10:61" x14ac:dyDescent="0.3">
      <c r="J659" t="s">
        <v>551</v>
      </c>
      <c r="K659" s="17" t="s">
        <v>223</v>
      </c>
      <c r="L659" s="17" t="s">
        <v>322</v>
      </c>
      <c r="M659" s="17" t="s">
        <v>322</v>
      </c>
      <c r="N659" s="17" t="s">
        <v>322</v>
      </c>
      <c r="O659" s="17" t="s">
        <v>322</v>
      </c>
      <c r="AG659" t="s">
        <v>517</v>
      </c>
      <c r="AH659" s="17" t="s">
        <v>322</v>
      </c>
      <c r="AI659" s="17" t="s">
        <v>322</v>
      </c>
      <c r="AJ659" s="17" t="s">
        <v>322</v>
      </c>
      <c r="AK659" s="17" t="s">
        <v>147</v>
      </c>
      <c r="AL659" s="17" t="s">
        <v>322</v>
      </c>
      <c r="BD659" t="s">
        <v>517</v>
      </c>
      <c r="BE659" s="17" t="s">
        <v>322</v>
      </c>
      <c r="BF659" s="17" t="s">
        <v>322</v>
      </c>
      <c r="BG659" s="17" t="s">
        <v>322</v>
      </c>
      <c r="BH659" s="17" t="s">
        <v>322</v>
      </c>
      <c r="BI659" s="17" t="s">
        <v>147</v>
      </c>
    </row>
    <row r="660" spans="10:61" x14ac:dyDescent="0.3">
      <c r="J660" t="s">
        <v>552</v>
      </c>
      <c r="K660" s="17" t="s">
        <v>223</v>
      </c>
      <c r="L660" s="17" t="s">
        <v>322</v>
      </c>
      <c r="M660" s="17" t="s">
        <v>322</v>
      </c>
      <c r="N660" s="17" t="s">
        <v>223</v>
      </c>
      <c r="O660" s="17" t="s">
        <v>322</v>
      </c>
    </row>
    <row r="661" spans="10:61" x14ac:dyDescent="0.3">
      <c r="J661" t="s">
        <v>554</v>
      </c>
      <c r="K661" s="17" t="s">
        <v>223</v>
      </c>
      <c r="L661" s="17" t="s">
        <v>322</v>
      </c>
      <c r="M661" s="17" t="s">
        <v>322</v>
      </c>
      <c r="N661" s="17" t="s">
        <v>223</v>
      </c>
      <c r="O661" s="17" t="s">
        <v>322</v>
      </c>
      <c r="AG661" t="s">
        <v>827</v>
      </c>
      <c r="BD661" t="s">
        <v>827</v>
      </c>
    </row>
    <row r="662" spans="10:61" x14ac:dyDescent="0.3">
      <c r="AH662" s="17" t="s">
        <v>315</v>
      </c>
      <c r="AI662" s="17" t="s">
        <v>316</v>
      </c>
      <c r="AJ662" s="17" t="s">
        <v>317</v>
      </c>
      <c r="AK662" s="17" t="s">
        <v>318</v>
      </c>
      <c r="AL662" s="17" t="s">
        <v>319</v>
      </c>
      <c r="BE662" s="17" t="s">
        <v>315</v>
      </c>
      <c r="BF662" s="17" t="s">
        <v>316</v>
      </c>
      <c r="BG662" s="17" t="s">
        <v>317</v>
      </c>
      <c r="BH662" s="17" t="s">
        <v>318</v>
      </c>
      <c r="BI662" s="17" t="s">
        <v>319</v>
      </c>
    </row>
    <row r="663" spans="10:61" x14ac:dyDescent="0.3">
      <c r="J663" t="s">
        <v>829</v>
      </c>
      <c r="AG663" t="s">
        <v>517</v>
      </c>
      <c r="AH663" s="17" t="s">
        <v>322</v>
      </c>
      <c r="AI663" s="17" t="s">
        <v>50</v>
      </c>
      <c r="AJ663" s="17" t="s">
        <v>322</v>
      </c>
      <c r="AK663" s="17" t="s">
        <v>322</v>
      </c>
      <c r="AL663" s="17" t="s">
        <v>50</v>
      </c>
      <c r="BD663" t="s">
        <v>512</v>
      </c>
      <c r="BE663" s="17" t="s">
        <v>322</v>
      </c>
      <c r="BF663" s="17" t="s">
        <v>322</v>
      </c>
      <c r="BG663" s="17" t="s">
        <v>50</v>
      </c>
      <c r="BH663" s="17" t="s">
        <v>322</v>
      </c>
      <c r="BI663" s="17" t="s">
        <v>50</v>
      </c>
    </row>
    <row r="664" spans="10:61" x14ac:dyDescent="0.3">
      <c r="K664" s="17" t="s">
        <v>315</v>
      </c>
      <c r="L664" s="17" t="s">
        <v>316</v>
      </c>
      <c r="M664" s="17" t="s">
        <v>317</v>
      </c>
      <c r="N664" s="17" t="s">
        <v>318</v>
      </c>
      <c r="O664" s="17" t="s">
        <v>319</v>
      </c>
      <c r="AG664" t="s">
        <v>326</v>
      </c>
      <c r="AH664" s="17" t="s">
        <v>322</v>
      </c>
      <c r="AI664" s="17" t="s">
        <v>50</v>
      </c>
      <c r="AJ664" s="17" t="s">
        <v>322</v>
      </c>
      <c r="AK664" s="17" t="s">
        <v>322</v>
      </c>
      <c r="AL664" s="17" t="s">
        <v>50</v>
      </c>
      <c r="BD664" t="s">
        <v>514</v>
      </c>
      <c r="BE664" s="17" t="s">
        <v>322</v>
      </c>
      <c r="BF664" s="17" t="s">
        <v>322</v>
      </c>
      <c r="BG664" s="17" t="s">
        <v>50</v>
      </c>
      <c r="BH664" s="17" t="s">
        <v>322</v>
      </c>
      <c r="BI664" s="17" t="s">
        <v>50</v>
      </c>
    </row>
    <row r="665" spans="10:61" x14ac:dyDescent="0.3">
      <c r="J665" t="s">
        <v>573</v>
      </c>
      <c r="K665" s="17" t="s">
        <v>210</v>
      </c>
      <c r="L665" s="17" t="s">
        <v>322</v>
      </c>
      <c r="M665" s="17" t="s">
        <v>210</v>
      </c>
      <c r="N665" s="17" t="s">
        <v>210</v>
      </c>
      <c r="O665" s="17" t="s">
        <v>322</v>
      </c>
      <c r="AG665" t="s">
        <v>328</v>
      </c>
      <c r="AH665" s="17" t="s">
        <v>322</v>
      </c>
      <c r="AI665" s="17" t="s">
        <v>50</v>
      </c>
      <c r="AJ665" s="17" t="s">
        <v>322</v>
      </c>
      <c r="AK665" s="17" t="s">
        <v>322</v>
      </c>
      <c r="AL665" s="17" t="s">
        <v>322</v>
      </c>
      <c r="BD665" t="s">
        <v>517</v>
      </c>
      <c r="BE665" s="17" t="s">
        <v>322</v>
      </c>
      <c r="BF665" s="17" t="s">
        <v>322</v>
      </c>
      <c r="BG665" s="17" t="s">
        <v>322</v>
      </c>
      <c r="BH665" s="17" t="s">
        <v>322</v>
      </c>
      <c r="BI665" s="17" t="s">
        <v>50</v>
      </c>
    </row>
    <row r="666" spans="10:61" x14ac:dyDescent="0.3">
      <c r="J666" t="s">
        <v>561</v>
      </c>
      <c r="K666" s="17" t="s">
        <v>210</v>
      </c>
      <c r="L666" s="17" t="s">
        <v>322</v>
      </c>
      <c r="M666" s="17" t="s">
        <v>210</v>
      </c>
      <c r="N666" s="17" t="s">
        <v>210</v>
      </c>
      <c r="O666" s="17" t="s">
        <v>322</v>
      </c>
    </row>
    <row r="667" spans="10:61" x14ac:dyDescent="0.3">
      <c r="AG667" t="s">
        <v>828</v>
      </c>
      <c r="BD667" t="s">
        <v>828</v>
      </c>
    </row>
    <row r="668" spans="10:61" x14ac:dyDescent="0.3">
      <c r="J668" t="s">
        <v>830</v>
      </c>
      <c r="AH668" s="17" t="s">
        <v>315</v>
      </c>
      <c r="AI668" s="17" t="s">
        <v>316</v>
      </c>
      <c r="AJ668" s="17" t="s">
        <v>317</v>
      </c>
      <c r="AK668" s="17" t="s">
        <v>318</v>
      </c>
      <c r="AL668" s="17" t="s">
        <v>319</v>
      </c>
      <c r="BE668" s="17" t="s">
        <v>315</v>
      </c>
      <c r="BF668" s="17" t="s">
        <v>316</v>
      </c>
      <c r="BG668" s="17" t="s">
        <v>317</v>
      </c>
      <c r="BH668" s="17" t="s">
        <v>318</v>
      </c>
      <c r="BI668" s="17" t="s">
        <v>319</v>
      </c>
    </row>
    <row r="669" spans="10:61" x14ac:dyDescent="0.3">
      <c r="K669" s="17" t="s">
        <v>315</v>
      </c>
      <c r="L669" s="17" t="s">
        <v>316</v>
      </c>
      <c r="M669" s="17" t="s">
        <v>317</v>
      </c>
      <c r="N669" s="17" t="s">
        <v>318</v>
      </c>
      <c r="O669" s="17" t="s">
        <v>319</v>
      </c>
      <c r="AG669" t="s">
        <v>551</v>
      </c>
      <c r="AH669" s="17" t="s">
        <v>223</v>
      </c>
      <c r="AI669" s="17" t="s">
        <v>322</v>
      </c>
      <c r="AJ669" s="17" t="s">
        <v>322</v>
      </c>
      <c r="AK669" s="17" t="s">
        <v>322</v>
      </c>
      <c r="AL669" s="17" t="s">
        <v>322</v>
      </c>
      <c r="BD669" t="s">
        <v>551</v>
      </c>
      <c r="BE669" s="17" t="s">
        <v>223</v>
      </c>
      <c r="BF669" s="17" t="s">
        <v>322</v>
      </c>
      <c r="BG669" s="17" t="s">
        <v>322</v>
      </c>
      <c r="BH669" s="17" t="s">
        <v>322</v>
      </c>
      <c r="BI669" s="17" t="s">
        <v>322</v>
      </c>
    </row>
    <row r="670" spans="10:61" x14ac:dyDescent="0.3">
      <c r="J670" t="s">
        <v>512</v>
      </c>
      <c r="K670" s="17" t="s">
        <v>322</v>
      </c>
      <c r="L670" s="17" t="s">
        <v>191</v>
      </c>
      <c r="M670" s="17" t="s">
        <v>322</v>
      </c>
      <c r="N670" s="17" t="s">
        <v>322</v>
      </c>
      <c r="O670" s="17" t="s">
        <v>191</v>
      </c>
      <c r="AG670" t="s">
        <v>552</v>
      </c>
      <c r="AH670" s="17" t="s">
        <v>223</v>
      </c>
      <c r="AI670" s="17" t="s">
        <v>322</v>
      </c>
      <c r="AJ670" s="17" t="s">
        <v>322</v>
      </c>
      <c r="AK670" s="17" t="s">
        <v>223</v>
      </c>
      <c r="AL670" s="17" t="s">
        <v>322</v>
      </c>
      <c r="BD670" t="s">
        <v>552</v>
      </c>
      <c r="BE670" s="17" t="s">
        <v>223</v>
      </c>
      <c r="BF670" s="17" t="s">
        <v>322</v>
      </c>
      <c r="BG670" s="17" t="s">
        <v>322</v>
      </c>
      <c r="BH670" s="17" t="s">
        <v>223</v>
      </c>
      <c r="BI670" s="17" t="s">
        <v>322</v>
      </c>
    </row>
    <row r="671" spans="10:61" x14ac:dyDescent="0.3">
      <c r="J671" t="s">
        <v>514</v>
      </c>
      <c r="K671" s="17" t="s">
        <v>322</v>
      </c>
      <c r="L671" s="17" t="s">
        <v>191</v>
      </c>
      <c r="M671" s="17" t="s">
        <v>322</v>
      </c>
      <c r="N671" s="17" t="s">
        <v>322</v>
      </c>
      <c r="O671" s="17" t="s">
        <v>191</v>
      </c>
      <c r="AG671" t="s">
        <v>554</v>
      </c>
      <c r="AH671" s="17" t="s">
        <v>223</v>
      </c>
      <c r="AI671" s="17" t="s">
        <v>322</v>
      </c>
      <c r="AJ671" s="17" t="s">
        <v>322</v>
      </c>
      <c r="AK671" s="17" t="s">
        <v>223</v>
      </c>
      <c r="AL671" s="17" t="s">
        <v>322</v>
      </c>
      <c r="BD671" t="s">
        <v>554</v>
      </c>
      <c r="BE671" s="17" t="s">
        <v>223</v>
      </c>
      <c r="BF671" s="17" t="s">
        <v>322</v>
      </c>
      <c r="BG671" s="17" t="s">
        <v>322</v>
      </c>
      <c r="BH671" s="17" t="s">
        <v>223</v>
      </c>
      <c r="BI671" s="17" t="s">
        <v>322</v>
      </c>
    </row>
    <row r="672" spans="10:61" x14ac:dyDescent="0.3">
      <c r="J672" t="s">
        <v>517</v>
      </c>
      <c r="K672" s="17" t="s">
        <v>322</v>
      </c>
      <c r="L672" s="17" t="s">
        <v>322</v>
      </c>
      <c r="M672" s="17" t="s">
        <v>322</v>
      </c>
      <c r="N672" s="17" t="s">
        <v>322</v>
      </c>
      <c r="O672" s="17" t="s">
        <v>191</v>
      </c>
    </row>
    <row r="673" spans="10:61" x14ac:dyDescent="0.3">
      <c r="J673" t="s">
        <v>551</v>
      </c>
      <c r="K673" s="17" t="s">
        <v>322</v>
      </c>
      <c r="L673" s="17" t="s">
        <v>322</v>
      </c>
      <c r="M673" s="17" t="s">
        <v>46</v>
      </c>
      <c r="N673" s="17" t="s">
        <v>322</v>
      </c>
      <c r="O673" s="17" t="s">
        <v>322</v>
      </c>
      <c r="AG673" t="s">
        <v>829</v>
      </c>
      <c r="BD673" t="s">
        <v>829</v>
      </c>
    </row>
    <row r="674" spans="10:61" x14ac:dyDescent="0.3">
      <c r="J674" t="s">
        <v>552</v>
      </c>
      <c r="K674" s="17" t="s">
        <v>322</v>
      </c>
      <c r="L674" s="17" t="s">
        <v>322</v>
      </c>
      <c r="M674" s="17" t="s">
        <v>46</v>
      </c>
      <c r="N674" s="17" t="s">
        <v>322</v>
      </c>
      <c r="O674" s="17" t="s">
        <v>46</v>
      </c>
      <c r="AH674" s="17" t="s">
        <v>315</v>
      </c>
      <c r="AI674" s="17" t="s">
        <v>316</v>
      </c>
      <c r="AJ674" s="17" t="s">
        <v>317</v>
      </c>
      <c r="AK674" s="17" t="s">
        <v>318</v>
      </c>
      <c r="AL674" s="17" t="s">
        <v>319</v>
      </c>
      <c r="BE674" s="17" t="s">
        <v>315</v>
      </c>
      <c r="BF674" s="17" t="s">
        <v>316</v>
      </c>
      <c r="BG674" s="17" t="s">
        <v>317</v>
      </c>
      <c r="BH674" s="17" t="s">
        <v>318</v>
      </c>
      <c r="BI674" s="17" t="s">
        <v>319</v>
      </c>
    </row>
    <row r="675" spans="10:61" x14ac:dyDescent="0.3">
      <c r="J675" t="s">
        <v>554</v>
      </c>
      <c r="K675" s="17" t="s">
        <v>322</v>
      </c>
      <c r="L675" s="17" t="s">
        <v>322</v>
      </c>
      <c r="M675" s="17" t="s">
        <v>46</v>
      </c>
      <c r="N675" s="17" t="s">
        <v>322</v>
      </c>
      <c r="O675" s="17" t="s">
        <v>46</v>
      </c>
      <c r="AG675" t="s">
        <v>573</v>
      </c>
      <c r="AH675" s="17" t="s">
        <v>210</v>
      </c>
      <c r="AI675" s="17" t="s">
        <v>322</v>
      </c>
      <c r="AJ675" s="17" t="s">
        <v>210</v>
      </c>
      <c r="AK675" s="17" t="s">
        <v>210</v>
      </c>
      <c r="AL675" s="17" t="s">
        <v>322</v>
      </c>
      <c r="BD675" t="s">
        <v>573</v>
      </c>
      <c r="BE675" s="17" t="s">
        <v>210</v>
      </c>
      <c r="BF675" s="17" t="s">
        <v>322</v>
      </c>
      <c r="BG675" s="17" t="s">
        <v>210</v>
      </c>
      <c r="BH675" s="17" t="s">
        <v>210</v>
      </c>
      <c r="BI675" s="17" t="s">
        <v>322</v>
      </c>
    </row>
    <row r="676" spans="10:61" x14ac:dyDescent="0.3">
      <c r="AG676" t="s">
        <v>561</v>
      </c>
      <c r="AH676" s="17" t="s">
        <v>210</v>
      </c>
      <c r="AI676" s="17" t="s">
        <v>322</v>
      </c>
      <c r="AJ676" s="17" t="s">
        <v>210</v>
      </c>
      <c r="AK676" s="17" t="s">
        <v>210</v>
      </c>
      <c r="AL676" s="17" t="s">
        <v>322</v>
      </c>
      <c r="BD676" t="s">
        <v>561</v>
      </c>
      <c r="BE676" s="17" t="s">
        <v>210</v>
      </c>
      <c r="BF676" s="17" t="s">
        <v>322</v>
      </c>
      <c r="BG676" s="17" t="s">
        <v>210</v>
      </c>
      <c r="BH676" s="17" t="s">
        <v>210</v>
      </c>
      <c r="BI676" s="17" t="s">
        <v>322</v>
      </c>
    </row>
    <row r="677" spans="10:61" x14ac:dyDescent="0.3">
      <c r="J677" t="s">
        <v>831</v>
      </c>
    </row>
    <row r="678" spans="10:61" x14ac:dyDescent="0.3">
      <c r="K678" s="17" t="s">
        <v>315</v>
      </c>
      <c r="L678" s="17" t="s">
        <v>316</v>
      </c>
      <c r="M678" s="17" t="s">
        <v>317</v>
      </c>
      <c r="N678" s="17" t="s">
        <v>318</v>
      </c>
      <c r="O678" s="17" t="s">
        <v>319</v>
      </c>
      <c r="AG678" t="s">
        <v>830</v>
      </c>
      <c r="BD678" t="s">
        <v>830</v>
      </c>
    </row>
    <row r="679" spans="10:61" x14ac:dyDescent="0.3">
      <c r="J679" t="s">
        <v>512</v>
      </c>
      <c r="K679" s="17" t="s">
        <v>322</v>
      </c>
      <c r="L679" s="17" t="s">
        <v>137</v>
      </c>
      <c r="M679" s="17" t="s">
        <v>322</v>
      </c>
      <c r="N679" s="17" t="s">
        <v>137</v>
      </c>
      <c r="O679" s="17" t="s">
        <v>322</v>
      </c>
      <c r="AH679" s="17" t="s">
        <v>315</v>
      </c>
      <c r="AI679" s="17" t="s">
        <v>316</v>
      </c>
      <c r="AJ679" s="17" t="s">
        <v>317</v>
      </c>
      <c r="AK679" s="17" t="s">
        <v>318</v>
      </c>
      <c r="AL679" s="17" t="s">
        <v>319</v>
      </c>
      <c r="BE679" s="17" t="s">
        <v>315</v>
      </c>
      <c r="BF679" s="17" t="s">
        <v>316</v>
      </c>
      <c r="BG679" s="17" t="s">
        <v>317</v>
      </c>
      <c r="BH679" s="17" t="s">
        <v>318</v>
      </c>
      <c r="BI679" s="17" t="s">
        <v>319</v>
      </c>
    </row>
    <row r="680" spans="10:61" x14ac:dyDescent="0.3">
      <c r="J680" t="s">
        <v>514</v>
      </c>
      <c r="K680" s="17" t="s">
        <v>322</v>
      </c>
      <c r="L680" s="17" t="s">
        <v>137</v>
      </c>
      <c r="M680" s="17" t="s">
        <v>322</v>
      </c>
      <c r="N680" s="17" t="s">
        <v>137</v>
      </c>
      <c r="O680" s="17" t="s">
        <v>322</v>
      </c>
      <c r="AG680" t="s">
        <v>512</v>
      </c>
      <c r="AH680" s="17" t="s">
        <v>322</v>
      </c>
      <c r="AI680" s="17" t="s">
        <v>191</v>
      </c>
      <c r="AJ680" s="17" t="s">
        <v>322</v>
      </c>
      <c r="AK680" s="17" t="s">
        <v>322</v>
      </c>
      <c r="AL680" s="17" t="s">
        <v>191</v>
      </c>
      <c r="BD680" t="s">
        <v>512</v>
      </c>
      <c r="BE680" s="17" t="s">
        <v>322</v>
      </c>
      <c r="BF680" s="17" t="s">
        <v>191</v>
      </c>
      <c r="BG680" s="17" t="s">
        <v>322</v>
      </c>
      <c r="BH680" s="17" t="s">
        <v>191</v>
      </c>
      <c r="BI680" s="17" t="s">
        <v>322</v>
      </c>
    </row>
    <row r="681" spans="10:61" x14ac:dyDescent="0.3">
      <c r="J681" t="s">
        <v>517</v>
      </c>
      <c r="K681" s="17" t="s">
        <v>322</v>
      </c>
      <c r="L681" s="17" t="s">
        <v>322</v>
      </c>
      <c r="M681" s="17" t="s">
        <v>322</v>
      </c>
      <c r="N681" s="17" t="s">
        <v>137</v>
      </c>
      <c r="O681" s="17" t="s">
        <v>322</v>
      </c>
      <c r="AG681" t="s">
        <v>514</v>
      </c>
      <c r="AH681" s="17" t="s">
        <v>322</v>
      </c>
      <c r="AI681" s="17" t="s">
        <v>191</v>
      </c>
      <c r="AJ681" s="17" t="s">
        <v>322</v>
      </c>
      <c r="AK681" s="17" t="s">
        <v>322</v>
      </c>
      <c r="AL681" s="17" t="s">
        <v>191</v>
      </c>
      <c r="BD681" t="s">
        <v>514</v>
      </c>
      <c r="BE681" s="17" t="s">
        <v>322</v>
      </c>
      <c r="BF681" s="17" t="s">
        <v>191</v>
      </c>
      <c r="BG681" s="17" t="s">
        <v>322</v>
      </c>
      <c r="BH681" s="17" t="s">
        <v>191</v>
      </c>
      <c r="BI681" s="17" t="s">
        <v>322</v>
      </c>
    </row>
    <row r="682" spans="10:61" x14ac:dyDescent="0.3">
      <c r="J682" t="s">
        <v>573</v>
      </c>
      <c r="K682" s="17" t="s">
        <v>322</v>
      </c>
      <c r="L682" s="17" t="s">
        <v>322</v>
      </c>
      <c r="M682" s="17" t="s">
        <v>322</v>
      </c>
      <c r="N682" s="17" t="s">
        <v>322</v>
      </c>
      <c r="O682" s="130" t="s">
        <v>241</v>
      </c>
      <c r="AG682" t="s">
        <v>517</v>
      </c>
      <c r="AH682" s="17" t="s">
        <v>322</v>
      </c>
      <c r="AI682" s="17" t="s">
        <v>322</v>
      </c>
      <c r="AJ682" s="17" t="s">
        <v>322</v>
      </c>
      <c r="AK682" s="17" t="s">
        <v>322</v>
      </c>
      <c r="AL682" s="17" t="s">
        <v>191</v>
      </c>
      <c r="BD682" t="s">
        <v>517</v>
      </c>
      <c r="BE682" s="17" t="s">
        <v>322</v>
      </c>
      <c r="BF682" s="17" t="s">
        <v>322</v>
      </c>
      <c r="BG682" s="17" t="s">
        <v>322</v>
      </c>
      <c r="BH682" s="17" t="s">
        <v>191</v>
      </c>
      <c r="BI682" s="17" t="s">
        <v>322</v>
      </c>
    </row>
    <row r="683" spans="10:61" x14ac:dyDescent="0.3">
      <c r="J683" t="s">
        <v>561</v>
      </c>
      <c r="K683" s="17" t="s">
        <v>322</v>
      </c>
      <c r="L683" s="17" t="s">
        <v>322</v>
      </c>
      <c r="M683" s="17" t="s">
        <v>322</v>
      </c>
      <c r="N683" s="17" t="s">
        <v>322</v>
      </c>
      <c r="O683" s="130" t="s">
        <v>241</v>
      </c>
      <c r="AG683" t="s">
        <v>551</v>
      </c>
      <c r="AH683" s="17" t="s">
        <v>322</v>
      </c>
      <c r="AI683" s="17" t="s">
        <v>322</v>
      </c>
      <c r="AJ683" s="17" t="s">
        <v>46</v>
      </c>
      <c r="AK683" s="17" t="s">
        <v>322</v>
      </c>
      <c r="AL683" s="17" t="s">
        <v>322</v>
      </c>
      <c r="BD683" t="s">
        <v>552</v>
      </c>
      <c r="BE683" s="17" t="s">
        <v>322</v>
      </c>
      <c r="BF683" s="17" t="s">
        <v>46</v>
      </c>
      <c r="BG683" s="17" t="s">
        <v>322</v>
      </c>
      <c r="BH683" s="17" t="s">
        <v>322</v>
      </c>
      <c r="BI683" s="17" t="s">
        <v>322</v>
      </c>
    </row>
    <row r="684" spans="10:61" x14ac:dyDescent="0.3">
      <c r="J684" t="s">
        <v>551</v>
      </c>
      <c r="K684" s="17" t="s">
        <v>241</v>
      </c>
      <c r="L684" s="17" t="s">
        <v>322</v>
      </c>
      <c r="M684" s="17" t="s">
        <v>322</v>
      </c>
      <c r="N684" s="17" t="s">
        <v>322</v>
      </c>
      <c r="O684" s="17" t="s">
        <v>322</v>
      </c>
      <c r="AG684" t="s">
        <v>552</v>
      </c>
      <c r="AH684" s="17" t="s">
        <v>322</v>
      </c>
      <c r="AI684" s="17" t="s">
        <v>322</v>
      </c>
      <c r="AJ684" s="17" t="s">
        <v>46</v>
      </c>
      <c r="AK684" s="17" t="s">
        <v>322</v>
      </c>
      <c r="AL684" s="17" t="s">
        <v>46</v>
      </c>
      <c r="BD684" t="s">
        <v>554</v>
      </c>
      <c r="BE684" s="17" t="s">
        <v>322</v>
      </c>
      <c r="BF684" s="17" t="s">
        <v>46</v>
      </c>
      <c r="BG684" s="17" t="s">
        <v>322</v>
      </c>
      <c r="BH684" s="17" t="s">
        <v>322</v>
      </c>
      <c r="BI684" s="17" t="s">
        <v>46</v>
      </c>
    </row>
    <row r="685" spans="10:61" x14ac:dyDescent="0.3">
      <c r="J685" t="s">
        <v>552</v>
      </c>
      <c r="K685" s="17" t="s">
        <v>241</v>
      </c>
      <c r="L685" s="17" t="s">
        <v>322</v>
      </c>
      <c r="M685" s="17" t="s">
        <v>322</v>
      </c>
      <c r="N685" s="17" t="s">
        <v>322</v>
      </c>
      <c r="O685" s="17" t="s">
        <v>322</v>
      </c>
      <c r="AG685" t="s">
        <v>554</v>
      </c>
      <c r="AH685" s="17" t="s">
        <v>322</v>
      </c>
      <c r="AI685" s="17" t="s">
        <v>322</v>
      </c>
      <c r="AJ685" s="17" t="s">
        <v>46</v>
      </c>
      <c r="AK685" s="17" t="s">
        <v>322</v>
      </c>
      <c r="AL685" s="17" t="s">
        <v>46</v>
      </c>
      <c r="BD685" t="s">
        <v>586</v>
      </c>
      <c r="BE685" s="17" t="s">
        <v>322</v>
      </c>
      <c r="BF685" s="17" t="s">
        <v>46</v>
      </c>
      <c r="BG685" s="17" t="s">
        <v>322</v>
      </c>
      <c r="BH685" s="17" t="s">
        <v>322</v>
      </c>
      <c r="BI685" s="17" t="s">
        <v>46</v>
      </c>
    </row>
    <row r="686" spans="10:61" x14ac:dyDescent="0.3">
      <c r="J686" t="s">
        <v>554</v>
      </c>
      <c r="K686" s="17" t="s">
        <v>241</v>
      </c>
      <c r="L686" s="17" t="s">
        <v>322</v>
      </c>
      <c r="M686" s="17" t="s">
        <v>322</v>
      </c>
      <c r="N686" s="17" t="s">
        <v>322</v>
      </c>
      <c r="O686" s="17" t="s">
        <v>322</v>
      </c>
    </row>
    <row r="687" spans="10:61" x14ac:dyDescent="0.3">
      <c r="AG687" t="s">
        <v>831</v>
      </c>
      <c r="BD687" t="s">
        <v>831</v>
      </c>
    </row>
    <row r="688" spans="10:61" x14ac:dyDescent="0.3">
      <c r="J688" t="s">
        <v>832</v>
      </c>
      <c r="AH688" s="17" t="s">
        <v>315</v>
      </c>
      <c r="AI688" s="17" t="s">
        <v>316</v>
      </c>
      <c r="AJ688" s="17" t="s">
        <v>317</v>
      </c>
      <c r="AK688" s="17" t="s">
        <v>318</v>
      </c>
      <c r="AL688" s="17" t="s">
        <v>319</v>
      </c>
      <c r="BE688" s="17" t="s">
        <v>315</v>
      </c>
      <c r="BF688" s="17" t="s">
        <v>316</v>
      </c>
      <c r="BG688" s="17" t="s">
        <v>317</v>
      </c>
      <c r="BH688" s="17" t="s">
        <v>318</v>
      </c>
      <c r="BI688" s="17" t="s">
        <v>319</v>
      </c>
    </row>
    <row r="689" spans="10:61" x14ac:dyDescent="0.3">
      <c r="K689" s="17" t="s">
        <v>315</v>
      </c>
      <c r="L689" s="17" t="s">
        <v>316</v>
      </c>
      <c r="M689" s="17" t="s">
        <v>317</v>
      </c>
      <c r="N689" s="17" t="s">
        <v>318</v>
      </c>
      <c r="O689" s="17" t="s">
        <v>319</v>
      </c>
      <c r="AG689" t="s">
        <v>512</v>
      </c>
      <c r="AH689" s="17" t="s">
        <v>322</v>
      </c>
      <c r="AI689" s="17" t="s">
        <v>137</v>
      </c>
      <c r="AJ689" s="17" t="s">
        <v>322</v>
      </c>
      <c r="AK689" s="17" t="s">
        <v>137</v>
      </c>
      <c r="AL689" s="17" t="s">
        <v>322</v>
      </c>
      <c r="BD689" t="s">
        <v>512</v>
      </c>
      <c r="BE689" s="17" t="s">
        <v>322</v>
      </c>
      <c r="BF689" s="17" t="s">
        <v>137</v>
      </c>
      <c r="BG689" s="17" t="s">
        <v>322</v>
      </c>
      <c r="BH689" s="17" t="s">
        <v>137</v>
      </c>
      <c r="BI689" s="17" t="s">
        <v>322</v>
      </c>
    </row>
    <row r="690" spans="10:61" x14ac:dyDescent="0.3">
      <c r="J690" t="s">
        <v>517</v>
      </c>
      <c r="K690" s="17" t="s">
        <v>322</v>
      </c>
      <c r="L690" s="17" t="s">
        <v>322</v>
      </c>
      <c r="M690" s="17" t="s">
        <v>322</v>
      </c>
      <c r="N690" s="17" t="s">
        <v>322</v>
      </c>
      <c r="O690" s="17" t="s">
        <v>170</v>
      </c>
      <c r="AG690" t="s">
        <v>514</v>
      </c>
      <c r="AH690" s="17" t="s">
        <v>322</v>
      </c>
      <c r="AI690" s="17" t="s">
        <v>137</v>
      </c>
      <c r="AJ690" s="17" t="s">
        <v>322</v>
      </c>
      <c r="AK690" s="17" t="s">
        <v>137</v>
      </c>
      <c r="AL690" s="17" t="s">
        <v>322</v>
      </c>
      <c r="BD690" t="s">
        <v>514</v>
      </c>
      <c r="BE690" s="17" t="s">
        <v>322</v>
      </c>
      <c r="BF690" s="17" t="s">
        <v>137</v>
      </c>
      <c r="BG690" s="17" t="s">
        <v>322</v>
      </c>
      <c r="BH690" s="17" t="s">
        <v>137</v>
      </c>
      <c r="BI690" s="17" t="s">
        <v>322</v>
      </c>
    </row>
    <row r="691" spans="10:61" x14ac:dyDescent="0.3">
      <c r="J691" t="s">
        <v>326</v>
      </c>
      <c r="K691" s="17" t="s">
        <v>322</v>
      </c>
      <c r="L691" s="17" t="s">
        <v>322</v>
      </c>
      <c r="M691" s="17" t="s">
        <v>322</v>
      </c>
      <c r="N691" s="17" t="s">
        <v>322</v>
      </c>
      <c r="O691" s="17" t="s">
        <v>170</v>
      </c>
      <c r="AG691" t="s">
        <v>517</v>
      </c>
      <c r="AH691" s="17" t="s">
        <v>322</v>
      </c>
      <c r="AI691" s="17" t="s">
        <v>322</v>
      </c>
      <c r="AJ691" s="17" t="s">
        <v>322</v>
      </c>
      <c r="AK691" s="17" t="s">
        <v>137</v>
      </c>
      <c r="AL691" s="17" t="s">
        <v>322</v>
      </c>
      <c r="BD691" t="s">
        <v>517</v>
      </c>
      <c r="BE691" s="17" t="s">
        <v>322</v>
      </c>
      <c r="BF691" s="17" t="s">
        <v>322</v>
      </c>
      <c r="BG691" s="17" t="s">
        <v>322</v>
      </c>
      <c r="BH691" s="17" t="s">
        <v>137</v>
      </c>
      <c r="BI691" s="17" t="s">
        <v>322</v>
      </c>
    </row>
    <row r="692" spans="10:61" x14ac:dyDescent="0.3">
      <c r="J692" t="s">
        <v>328</v>
      </c>
      <c r="K692" s="17" t="s">
        <v>322</v>
      </c>
      <c r="L692" s="17" t="s">
        <v>322</v>
      </c>
      <c r="M692" s="17" t="s">
        <v>170</v>
      </c>
      <c r="N692" s="17" t="s">
        <v>322</v>
      </c>
      <c r="O692" s="17" t="s">
        <v>170</v>
      </c>
      <c r="AG692" t="s">
        <v>551</v>
      </c>
      <c r="AH692" s="17" t="s">
        <v>241</v>
      </c>
      <c r="AI692" s="17" t="s">
        <v>322</v>
      </c>
      <c r="AJ692" s="17" t="s">
        <v>322</v>
      </c>
      <c r="AK692" s="17" t="s">
        <v>322</v>
      </c>
      <c r="AL692" s="17" t="s">
        <v>322</v>
      </c>
      <c r="BD692" t="s">
        <v>551</v>
      </c>
      <c r="BE692" s="17" t="s">
        <v>241</v>
      </c>
      <c r="BF692" s="17" t="s">
        <v>322</v>
      </c>
      <c r="BG692" s="17" t="s">
        <v>322</v>
      </c>
      <c r="BH692" s="17" t="s">
        <v>322</v>
      </c>
      <c r="BI692" s="17" t="s">
        <v>322</v>
      </c>
    </row>
    <row r="693" spans="10:61" x14ac:dyDescent="0.3">
      <c r="J693" t="s">
        <v>350</v>
      </c>
      <c r="K693" s="17" t="s">
        <v>322</v>
      </c>
      <c r="L693" s="17" t="s">
        <v>322</v>
      </c>
      <c r="M693" s="17" t="s">
        <v>170</v>
      </c>
      <c r="N693" s="17" t="s">
        <v>322</v>
      </c>
      <c r="O693" s="17" t="s">
        <v>322</v>
      </c>
      <c r="AG693" t="s">
        <v>552</v>
      </c>
      <c r="AH693" s="17" t="s">
        <v>241</v>
      </c>
      <c r="AI693" s="17" t="s">
        <v>322</v>
      </c>
      <c r="AJ693" s="17" t="s">
        <v>322</v>
      </c>
      <c r="AK693" s="17" t="s">
        <v>241</v>
      </c>
      <c r="AL693" s="17" t="s">
        <v>322</v>
      </c>
      <c r="BD693" t="s">
        <v>552</v>
      </c>
      <c r="BE693" s="17" t="s">
        <v>241</v>
      </c>
      <c r="BF693" s="17" t="s">
        <v>322</v>
      </c>
      <c r="BG693" s="17" t="s">
        <v>322</v>
      </c>
      <c r="BH693" s="17" t="s">
        <v>241</v>
      </c>
      <c r="BI693" s="17" t="s">
        <v>322</v>
      </c>
    </row>
    <row r="694" spans="10:61" x14ac:dyDescent="0.3">
      <c r="J694" t="s">
        <v>552</v>
      </c>
      <c r="K694" s="17" t="s">
        <v>277</v>
      </c>
      <c r="L694" s="17" t="s">
        <v>322</v>
      </c>
      <c r="M694" s="17" t="s">
        <v>322</v>
      </c>
      <c r="N694" s="17" t="s">
        <v>277</v>
      </c>
      <c r="O694" s="17" t="s">
        <v>322</v>
      </c>
      <c r="AG694" t="s">
        <v>554</v>
      </c>
      <c r="AH694" s="17" t="s">
        <v>241</v>
      </c>
      <c r="AI694" s="17" t="s">
        <v>322</v>
      </c>
      <c r="AJ694" s="17" t="s">
        <v>322</v>
      </c>
      <c r="AK694" s="17" t="s">
        <v>241</v>
      </c>
      <c r="AL694" s="17" t="s">
        <v>322</v>
      </c>
      <c r="BD694" t="s">
        <v>554</v>
      </c>
      <c r="BE694" s="17" t="s">
        <v>241</v>
      </c>
      <c r="BF694" s="17" t="s">
        <v>322</v>
      </c>
      <c r="BG694" s="17" t="s">
        <v>322</v>
      </c>
      <c r="BH694" s="17" t="s">
        <v>241</v>
      </c>
      <c r="BI694" s="17" t="s">
        <v>322</v>
      </c>
    </row>
    <row r="695" spans="10:61" x14ac:dyDescent="0.3">
      <c r="J695" t="s">
        <v>554</v>
      </c>
      <c r="K695" s="17" t="s">
        <v>277</v>
      </c>
      <c r="L695" s="17" t="s">
        <v>322</v>
      </c>
      <c r="M695" s="17" t="s">
        <v>322</v>
      </c>
      <c r="N695" s="17" t="s">
        <v>277</v>
      </c>
      <c r="O695" s="17" t="s">
        <v>322</v>
      </c>
    </row>
    <row r="696" spans="10:61" x14ac:dyDescent="0.3">
      <c r="AG696" t="s">
        <v>832</v>
      </c>
      <c r="BD696" t="s">
        <v>832</v>
      </c>
    </row>
    <row r="697" spans="10:61" x14ac:dyDescent="0.3">
      <c r="J697" t="s">
        <v>833</v>
      </c>
      <c r="AH697" s="17" t="s">
        <v>315</v>
      </c>
      <c r="AI697" s="17" t="s">
        <v>316</v>
      </c>
      <c r="AJ697" s="17" t="s">
        <v>317</v>
      </c>
      <c r="AK697" s="17" t="s">
        <v>318</v>
      </c>
      <c r="AL697" s="17" t="s">
        <v>319</v>
      </c>
      <c r="BE697" s="17" t="s">
        <v>315</v>
      </c>
      <c r="BF697" s="17" t="s">
        <v>316</v>
      </c>
      <c r="BG697" s="17" t="s">
        <v>317</v>
      </c>
      <c r="BH697" s="17" t="s">
        <v>318</v>
      </c>
      <c r="BI697" s="17" t="s">
        <v>319</v>
      </c>
    </row>
    <row r="698" spans="10:61" x14ac:dyDescent="0.3">
      <c r="K698" s="17" t="s">
        <v>315</v>
      </c>
      <c r="L698" s="17" t="s">
        <v>316</v>
      </c>
      <c r="M698" s="17" t="s">
        <v>317</v>
      </c>
      <c r="N698" s="17" t="s">
        <v>318</v>
      </c>
      <c r="O698" s="17" t="s">
        <v>319</v>
      </c>
      <c r="AG698" t="s">
        <v>517</v>
      </c>
      <c r="AH698" s="17" t="s">
        <v>322</v>
      </c>
      <c r="AI698" s="17" t="s">
        <v>322</v>
      </c>
      <c r="AJ698" s="17" t="s">
        <v>322</v>
      </c>
      <c r="AK698" s="17" t="s">
        <v>322</v>
      </c>
      <c r="AL698" s="17" t="s">
        <v>170</v>
      </c>
      <c r="BD698" t="s">
        <v>517</v>
      </c>
      <c r="BE698" s="17" t="s">
        <v>322</v>
      </c>
      <c r="BF698" s="17" t="s">
        <v>322</v>
      </c>
      <c r="BG698" s="17" t="s">
        <v>322</v>
      </c>
      <c r="BH698" s="17" t="s">
        <v>322</v>
      </c>
      <c r="BI698" s="17" t="s">
        <v>170</v>
      </c>
    </row>
    <row r="699" spans="10:61" x14ac:dyDescent="0.3">
      <c r="J699" t="s">
        <v>552</v>
      </c>
      <c r="K699" s="17" t="s">
        <v>322</v>
      </c>
      <c r="L699" s="17" t="s">
        <v>77</v>
      </c>
      <c r="M699" s="17" t="s">
        <v>322</v>
      </c>
      <c r="N699" s="17" t="s">
        <v>322</v>
      </c>
      <c r="O699" s="17" t="s">
        <v>322</v>
      </c>
      <c r="AG699" t="s">
        <v>326</v>
      </c>
      <c r="AH699" s="17" t="s">
        <v>322</v>
      </c>
      <c r="AI699" s="17" t="s">
        <v>322</v>
      </c>
      <c r="AJ699" s="17" t="s">
        <v>322</v>
      </c>
      <c r="AK699" s="17" t="s">
        <v>322</v>
      </c>
      <c r="AL699" s="17" t="s">
        <v>170</v>
      </c>
      <c r="BD699" t="s">
        <v>326</v>
      </c>
      <c r="BE699" s="17" t="s">
        <v>322</v>
      </c>
      <c r="BF699" s="17" t="s">
        <v>322</v>
      </c>
      <c r="BG699" s="17" t="s">
        <v>322</v>
      </c>
      <c r="BH699" s="17" t="s">
        <v>322</v>
      </c>
      <c r="BI699" s="17" t="s">
        <v>170</v>
      </c>
    </row>
    <row r="700" spans="10:61" x14ac:dyDescent="0.3">
      <c r="J700" t="s">
        <v>554</v>
      </c>
      <c r="K700" s="17" t="s">
        <v>322</v>
      </c>
      <c r="L700" s="17" t="s">
        <v>77</v>
      </c>
      <c r="M700" s="17" t="s">
        <v>322</v>
      </c>
      <c r="N700" s="17" t="s">
        <v>322</v>
      </c>
      <c r="O700" s="17" t="s">
        <v>322</v>
      </c>
      <c r="AG700" t="s">
        <v>328</v>
      </c>
      <c r="AH700" s="17" t="s">
        <v>322</v>
      </c>
      <c r="AI700" s="17" t="s">
        <v>322</v>
      </c>
      <c r="AJ700" s="17" t="s">
        <v>170</v>
      </c>
      <c r="AK700" s="17" t="s">
        <v>322</v>
      </c>
      <c r="AL700" s="17" t="s">
        <v>170</v>
      </c>
      <c r="BD700" t="s">
        <v>328</v>
      </c>
      <c r="BE700" s="17" t="s">
        <v>322</v>
      </c>
      <c r="BF700" s="17" t="s">
        <v>322</v>
      </c>
      <c r="BG700" s="17" t="s">
        <v>170</v>
      </c>
      <c r="BH700" s="17" t="s">
        <v>322</v>
      </c>
      <c r="BI700" s="17" t="s">
        <v>170</v>
      </c>
    </row>
    <row r="701" spans="10:61" x14ac:dyDescent="0.3">
      <c r="J701" t="s">
        <v>586</v>
      </c>
      <c r="K701" s="17" t="s">
        <v>322</v>
      </c>
      <c r="L701" s="17" t="s">
        <v>77</v>
      </c>
      <c r="M701" s="17" t="s">
        <v>322</v>
      </c>
      <c r="N701" s="17" t="s">
        <v>322</v>
      </c>
      <c r="O701" s="17" t="s">
        <v>322</v>
      </c>
      <c r="AG701" t="s">
        <v>350</v>
      </c>
      <c r="AH701" s="17" t="s">
        <v>322</v>
      </c>
      <c r="AI701" s="17" t="s">
        <v>322</v>
      </c>
      <c r="AJ701" s="17" t="s">
        <v>170</v>
      </c>
      <c r="AK701" s="17" t="s">
        <v>322</v>
      </c>
      <c r="AL701" s="17" t="s">
        <v>322</v>
      </c>
      <c r="BD701" t="s">
        <v>350</v>
      </c>
      <c r="BE701" s="17" t="s">
        <v>322</v>
      </c>
      <c r="BF701" s="17" t="s">
        <v>322</v>
      </c>
      <c r="BG701" s="17" t="s">
        <v>170</v>
      </c>
      <c r="BH701" s="17" t="s">
        <v>322</v>
      </c>
      <c r="BI701" s="17" t="s">
        <v>322</v>
      </c>
    </row>
    <row r="702" spans="10:61" x14ac:dyDescent="0.3">
      <c r="AG702" t="s">
        <v>552</v>
      </c>
      <c r="AH702" s="17" t="s">
        <v>277</v>
      </c>
      <c r="AI702" s="17" t="s">
        <v>322</v>
      </c>
      <c r="AJ702" s="17" t="s">
        <v>322</v>
      </c>
      <c r="AK702" s="17" t="s">
        <v>277</v>
      </c>
      <c r="AL702" s="17" t="s">
        <v>322</v>
      </c>
      <c r="BD702" t="s">
        <v>552</v>
      </c>
      <c r="BE702" s="17" t="s">
        <v>277</v>
      </c>
      <c r="BF702" s="17" t="s">
        <v>322</v>
      </c>
      <c r="BG702" s="17" t="s">
        <v>322</v>
      </c>
      <c r="BH702" s="17" t="s">
        <v>277</v>
      </c>
      <c r="BI702" s="17" t="s">
        <v>322</v>
      </c>
    </row>
    <row r="703" spans="10:61" x14ac:dyDescent="0.3">
      <c r="J703" t="s">
        <v>834</v>
      </c>
      <c r="AG703" t="s">
        <v>554</v>
      </c>
      <c r="AH703" s="17" t="s">
        <v>277</v>
      </c>
      <c r="AI703" s="17" t="s">
        <v>322</v>
      </c>
      <c r="AJ703" s="17" t="s">
        <v>322</v>
      </c>
      <c r="AK703" s="17" t="s">
        <v>277</v>
      </c>
      <c r="AL703" s="17" t="s">
        <v>322</v>
      </c>
      <c r="BD703" t="s">
        <v>554</v>
      </c>
      <c r="BE703" s="17" t="s">
        <v>277</v>
      </c>
      <c r="BF703" s="17" t="s">
        <v>322</v>
      </c>
      <c r="BG703" s="17" t="s">
        <v>322</v>
      </c>
      <c r="BH703" s="17" t="s">
        <v>277</v>
      </c>
      <c r="BI703" s="17" t="s">
        <v>322</v>
      </c>
    </row>
    <row r="704" spans="10:61" x14ac:dyDescent="0.3">
      <c r="K704" s="17" t="s">
        <v>315</v>
      </c>
      <c r="L704" s="17" t="s">
        <v>316</v>
      </c>
      <c r="M704" s="17" t="s">
        <v>317</v>
      </c>
      <c r="N704" s="17" t="s">
        <v>318</v>
      </c>
      <c r="O704" s="17" t="s">
        <v>319</v>
      </c>
    </row>
    <row r="705" spans="10:61" x14ac:dyDescent="0.3">
      <c r="J705" t="s">
        <v>517</v>
      </c>
      <c r="K705" s="17" t="s">
        <v>91</v>
      </c>
      <c r="L705" s="17" t="s">
        <v>322</v>
      </c>
      <c r="M705" s="17" t="s">
        <v>322</v>
      </c>
      <c r="N705" s="17" t="s">
        <v>91</v>
      </c>
      <c r="O705" s="17" t="s">
        <v>322</v>
      </c>
      <c r="AG705" t="s">
        <v>833</v>
      </c>
      <c r="BD705" t="s">
        <v>833</v>
      </c>
    </row>
    <row r="706" spans="10:61" x14ac:dyDescent="0.3">
      <c r="J706" t="s">
        <v>326</v>
      </c>
      <c r="K706" s="17" t="s">
        <v>91</v>
      </c>
      <c r="L706" s="17" t="s">
        <v>322</v>
      </c>
      <c r="M706" s="17" t="s">
        <v>322</v>
      </c>
      <c r="N706" s="17" t="s">
        <v>91</v>
      </c>
      <c r="O706" s="17" t="s">
        <v>118</v>
      </c>
      <c r="AH706" s="17" t="s">
        <v>315</v>
      </c>
      <c r="AI706" s="17" t="s">
        <v>316</v>
      </c>
      <c r="AJ706" s="17" t="s">
        <v>317</v>
      </c>
      <c r="AK706" s="17" t="s">
        <v>318</v>
      </c>
      <c r="AL706" s="17" t="s">
        <v>319</v>
      </c>
      <c r="BE706" s="17" t="s">
        <v>315</v>
      </c>
      <c r="BF706" s="17" t="s">
        <v>316</v>
      </c>
      <c r="BG706" s="17" t="s">
        <v>317</v>
      </c>
      <c r="BH706" s="17" t="s">
        <v>318</v>
      </c>
      <c r="BI706" s="17" t="s">
        <v>319</v>
      </c>
    </row>
    <row r="707" spans="10:61" x14ac:dyDescent="0.3">
      <c r="J707" t="s">
        <v>328</v>
      </c>
      <c r="K707" s="17" t="s">
        <v>322</v>
      </c>
      <c r="L707" s="17" t="s">
        <v>118</v>
      </c>
      <c r="M707" s="17" t="s">
        <v>322</v>
      </c>
      <c r="N707" s="17" t="s">
        <v>91</v>
      </c>
      <c r="O707" s="17" t="s">
        <v>118</v>
      </c>
      <c r="AG707" t="s">
        <v>552</v>
      </c>
      <c r="AH707" s="17" t="s">
        <v>322</v>
      </c>
      <c r="AI707" s="17" t="s">
        <v>77</v>
      </c>
      <c r="AJ707" s="17" t="s">
        <v>322</v>
      </c>
      <c r="AK707" s="17" t="s">
        <v>322</v>
      </c>
      <c r="AL707" s="17" t="s">
        <v>322</v>
      </c>
      <c r="BD707" t="s">
        <v>552</v>
      </c>
      <c r="BE707" s="17" t="s">
        <v>322</v>
      </c>
      <c r="BF707" s="17" t="s">
        <v>77</v>
      </c>
      <c r="BG707" s="17" t="s">
        <v>322</v>
      </c>
      <c r="BH707" s="17" t="s">
        <v>322</v>
      </c>
      <c r="BI707" s="17" t="s">
        <v>322</v>
      </c>
    </row>
    <row r="708" spans="10:61" x14ac:dyDescent="0.3">
      <c r="J708" t="s">
        <v>350</v>
      </c>
      <c r="K708" s="17" t="s">
        <v>322</v>
      </c>
      <c r="L708" s="17" t="s">
        <v>118</v>
      </c>
      <c r="M708" s="17" t="s">
        <v>322</v>
      </c>
      <c r="N708" s="17" t="s">
        <v>322</v>
      </c>
      <c r="O708" s="17" t="s">
        <v>118</v>
      </c>
      <c r="AG708" t="s">
        <v>554</v>
      </c>
      <c r="AH708" s="17" t="s">
        <v>322</v>
      </c>
      <c r="AI708" s="17" t="s">
        <v>77</v>
      </c>
      <c r="AJ708" s="17" t="s">
        <v>322</v>
      </c>
      <c r="AK708" s="17" t="s">
        <v>322</v>
      </c>
      <c r="AL708" s="17" t="s">
        <v>322</v>
      </c>
      <c r="BD708" t="s">
        <v>554</v>
      </c>
      <c r="BE708" s="17" t="s">
        <v>322</v>
      </c>
      <c r="BF708" s="17" t="s">
        <v>77</v>
      </c>
      <c r="BG708" s="17" t="s">
        <v>322</v>
      </c>
      <c r="BH708" s="17" t="s">
        <v>322</v>
      </c>
      <c r="BI708" s="17" t="s">
        <v>322</v>
      </c>
    </row>
    <row r="709" spans="10:61" x14ac:dyDescent="0.3">
      <c r="AG709" t="s">
        <v>586</v>
      </c>
      <c r="AH709" s="17" t="s">
        <v>322</v>
      </c>
      <c r="AI709" s="17" t="s">
        <v>77</v>
      </c>
      <c r="AJ709" s="17" t="s">
        <v>322</v>
      </c>
      <c r="AK709" s="17" t="s">
        <v>322</v>
      </c>
      <c r="AL709" s="17" t="s">
        <v>322</v>
      </c>
      <c r="BD709" t="s">
        <v>586</v>
      </c>
      <c r="BE709" s="17" t="s">
        <v>322</v>
      </c>
      <c r="BF709" s="17" t="s">
        <v>77</v>
      </c>
      <c r="BG709" s="17" t="s">
        <v>322</v>
      </c>
      <c r="BH709" s="17" t="s">
        <v>322</v>
      </c>
      <c r="BI709" s="17" t="s">
        <v>322</v>
      </c>
    </row>
    <row r="710" spans="10:61" x14ac:dyDescent="0.3">
      <c r="J710" t="s">
        <v>835</v>
      </c>
    </row>
    <row r="711" spans="10:61" x14ac:dyDescent="0.3">
      <c r="K711" s="17" t="s">
        <v>315</v>
      </c>
      <c r="L711" s="17" t="s">
        <v>316</v>
      </c>
      <c r="M711" s="17" t="s">
        <v>317</v>
      </c>
      <c r="N711" s="17" t="s">
        <v>318</v>
      </c>
      <c r="O711" s="17" t="s">
        <v>319</v>
      </c>
      <c r="AG711" t="s">
        <v>834</v>
      </c>
      <c r="BD711" t="s">
        <v>834</v>
      </c>
    </row>
    <row r="712" spans="10:61" x14ac:dyDescent="0.3">
      <c r="J712" t="s">
        <v>551</v>
      </c>
      <c r="K712" s="17" t="s">
        <v>322</v>
      </c>
      <c r="L712" s="17" t="s">
        <v>322</v>
      </c>
      <c r="M712" s="17" t="s">
        <v>239</v>
      </c>
      <c r="N712" s="17" t="s">
        <v>322</v>
      </c>
      <c r="O712" s="17" t="s">
        <v>239</v>
      </c>
      <c r="AH712" s="17" t="s">
        <v>315</v>
      </c>
      <c r="AI712" s="17" t="s">
        <v>316</v>
      </c>
      <c r="AJ712" s="17" t="s">
        <v>317</v>
      </c>
      <c r="AK712" s="17" t="s">
        <v>318</v>
      </c>
      <c r="AL712" s="17" t="s">
        <v>319</v>
      </c>
      <c r="BE712" s="17" t="s">
        <v>315</v>
      </c>
      <c r="BF712" s="17" t="s">
        <v>316</v>
      </c>
      <c r="BG712" s="17" t="s">
        <v>317</v>
      </c>
      <c r="BH712" s="17" t="s">
        <v>318</v>
      </c>
      <c r="BI712" s="17" t="s">
        <v>319</v>
      </c>
    </row>
    <row r="713" spans="10:61" x14ac:dyDescent="0.3">
      <c r="J713" t="s">
        <v>552</v>
      </c>
      <c r="K713" s="17" t="s">
        <v>322</v>
      </c>
      <c r="L713" s="17" t="s">
        <v>322</v>
      </c>
      <c r="M713" s="17" t="s">
        <v>239</v>
      </c>
      <c r="N713" s="17" t="s">
        <v>322</v>
      </c>
      <c r="O713" s="17" t="s">
        <v>239</v>
      </c>
      <c r="AG713" t="s">
        <v>517</v>
      </c>
      <c r="AH713" s="17" t="s">
        <v>91</v>
      </c>
      <c r="AI713" s="17" t="s">
        <v>322</v>
      </c>
      <c r="AJ713" s="17" t="s">
        <v>322</v>
      </c>
      <c r="AK713" s="17" t="s">
        <v>91</v>
      </c>
      <c r="AL713" s="17" t="s">
        <v>322</v>
      </c>
      <c r="BD713" t="s">
        <v>517</v>
      </c>
      <c r="BE713" s="17" t="s">
        <v>91</v>
      </c>
      <c r="BF713" s="17" t="s">
        <v>322</v>
      </c>
      <c r="BG713" s="17" t="s">
        <v>322</v>
      </c>
      <c r="BH713" s="17" t="s">
        <v>91</v>
      </c>
      <c r="BI713" s="17" t="s">
        <v>322</v>
      </c>
    </row>
    <row r="714" spans="10:61" x14ac:dyDescent="0.3">
      <c r="J714" t="s">
        <v>554</v>
      </c>
      <c r="K714" s="17" t="s">
        <v>322</v>
      </c>
      <c r="L714" s="17" t="s">
        <v>322</v>
      </c>
      <c r="M714" s="130" t="s">
        <v>239</v>
      </c>
      <c r="N714" s="17" t="s">
        <v>322</v>
      </c>
      <c r="O714" s="17" t="s">
        <v>322</v>
      </c>
      <c r="AG714" t="s">
        <v>326</v>
      </c>
      <c r="AH714" s="17" t="s">
        <v>91</v>
      </c>
      <c r="AI714" s="17" t="s">
        <v>322</v>
      </c>
      <c r="AJ714" s="17" t="s">
        <v>322</v>
      </c>
      <c r="AK714" s="17" t="s">
        <v>91</v>
      </c>
      <c r="AL714" s="17" t="s">
        <v>118</v>
      </c>
      <c r="BD714" t="s">
        <v>326</v>
      </c>
      <c r="BE714" s="17" t="s">
        <v>91</v>
      </c>
      <c r="BF714" s="17" t="s">
        <v>322</v>
      </c>
      <c r="BG714" s="17" t="s">
        <v>322</v>
      </c>
      <c r="BH714" s="17" t="s">
        <v>91</v>
      </c>
      <c r="BI714" s="17" t="s">
        <v>118</v>
      </c>
    </row>
    <row r="715" spans="10:61" x14ac:dyDescent="0.3">
      <c r="AG715" t="s">
        <v>328</v>
      </c>
      <c r="AH715" s="17" t="s">
        <v>322</v>
      </c>
      <c r="AI715" s="17" t="s">
        <v>118</v>
      </c>
      <c r="AJ715" s="17" t="s">
        <v>322</v>
      </c>
      <c r="AK715" s="17" t="s">
        <v>91</v>
      </c>
      <c r="AL715" s="17" t="s">
        <v>118</v>
      </c>
      <c r="BD715" t="s">
        <v>328</v>
      </c>
      <c r="BE715" s="17" t="s">
        <v>91</v>
      </c>
      <c r="BF715" s="17" t="s">
        <v>118</v>
      </c>
      <c r="BG715" s="17" t="s">
        <v>322</v>
      </c>
      <c r="BH715" s="17" t="s">
        <v>322</v>
      </c>
      <c r="BI715" s="17" t="s">
        <v>118</v>
      </c>
    </row>
    <row r="716" spans="10:61" x14ac:dyDescent="0.3">
      <c r="J716" t="s">
        <v>836</v>
      </c>
      <c r="AG716" t="s">
        <v>350</v>
      </c>
      <c r="AH716" s="17" t="s">
        <v>322</v>
      </c>
      <c r="AI716" s="17" t="s">
        <v>118</v>
      </c>
      <c r="AJ716" s="17" t="s">
        <v>322</v>
      </c>
      <c r="AK716" s="17" t="s">
        <v>322</v>
      </c>
      <c r="AL716" s="17" t="s">
        <v>118</v>
      </c>
      <c r="BD716" t="s">
        <v>350</v>
      </c>
      <c r="BE716" s="17" t="s">
        <v>322</v>
      </c>
      <c r="BF716" s="17" t="s">
        <v>118</v>
      </c>
      <c r="BG716" s="17" t="s">
        <v>322</v>
      </c>
      <c r="BH716" s="17" t="s">
        <v>322</v>
      </c>
      <c r="BI716" s="17" t="s">
        <v>118</v>
      </c>
    </row>
    <row r="717" spans="10:61" x14ac:dyDescent="0.3">
      <c r="K717" s="17" t="s">
        <v>315</v>
      </c>
      <c r="L717" s="17" t="s">
        <v>316</v>
      </c>
      <c r="M717" s="17" t="s">
        <v>317</v>
      </c>
      <c r="N717" s="17" t="s">
        <v>318</v>
      </c>
      <c r="O717" s="17" t="s">
        <v>319</v>
      </c>
    </row>
    <row r="718" spans="10:61" x14ac:dyDescent="0.3">
      <c r="J718" t="s">
        <v>512</v>
      </c>
      <c r="K718" s="17" t="s">
        <v>322</v>
      </c>
      <c r="L718" s="17" t="s">
        <v>94</v>
      </c>
      <c r="M718" s="17" t="s">
        <v>322</v>
      </c>
      <c r="N718" s="17" t="s">
        <v>322</v>
      </c>
      <c r="O718" s="17" t="s">
        <v>94</v>
      </c>
      <c r="AG718" t="s">
        <v>835</v>
      </c>
      <c r="BD718" t="s">
        <v>835</v>
      </c>
    </row>
    <row r="719" spans="10:61" x14ac:dyDescent="0.3">
      <c r="J719" t="s">
        <v>514</v>
      </c>
      <c r="K719" s="17" t="s">
        <v>322</v>
      </c>
      <c r="L719" s="17" t="s">
        <v>94</v>
      </c>
      <c r="M719" s="17" t="s">
        <v>322</v>
      </c>
      <c r="N719" s="17" t="s">
        <v>322</v>
      </c>
      <c r="O719" s="17" t="s">
        <v>94</v>
      </c>
      <c r="AH719" s="17" t="s">
        <v>315</v>
      </c>
      <c r="AI719" s="17" t="s">
        <v>316</v>
      </c>
      <c r="AJ719" s="17" t="s">
        <v>317</v>
      </c>
      <c r="AK719" s="17" t="s">
        <v>318</v>
      </c>
      <c r="AL719" s="17" t="s">
        <v>319</v>
      </c>
      <c r="BE719" s="17" t="s">
        <v>315</v>
      </c>
      <c r="BF719" s="17" t="s">
        <v>316</v>
      </c>
      <c r="BG719" s="17" t="s">
        <v>317</v>
      </c>
      <c r="BH719" s="17" t="s">
        <v>318</v>
      </c>
      <c r="BI719" s="17" t="s">
        <v>319</v>
      </c>
    </row>
    <row r="720" spans="10:61" x14ac:dyDescent="0.3">
      <c r="J720" t="s">
        <v>517</v>
      </c>
      <c r="K720" s="17" t="s">
        <v>322</v>
      </c>
      <c r="L720" s="17" t="s">
        <v>94</v>
      </c>
      <c r="M720" s="17" t="s">
        <v>322</v>
      </c>
      <c r="N720" s="17" t="s">
        <v>322</v>
      </c>
      <c r="O720" s="17" t="s">
        <v>322</v>
      </c>
      <c r="AG720" t="s">
        <v>551</v>
      </c>
      <c r="AH720" s="17" t="s">
        <v>322</v>
      </c>
      <c r="AI720" s="17" t="s">
        <v>322</v>
      </c>
      <c r="AJ720" s="17" t="s">
        <v>239</v>
      </c>
      <c r="AK720" s="17" t="s">
        <v>322</v>
      </c>
      <c r="AL720" s="17" t="s">
        <v>239</v>
      </c>
      <c r="BD720" t="s">
        <v>551</v>
      </c>
      <c r="BE720" s="17" t="s">
        <v>322</v>
      </c>
      <c r="BF720" s="17" t="s">
        <v>322</v>
      </c>
      <c r="BG720" s="17" t="s">
        <v>239</v>
      </c>
      <c r="BH720" s="17" t="s">
        <v>322</v>
      </c>
      <c r="BI720" s="17" t="s">
        <v>239</v>
      </c>
    </row>
    <row r="721" spans="10:80" x14ac:dyDescent="0.3">
      <c r="AG721" t="s">
        <v>552</v>
      </c>
      <c r="AH721" s="17" t="s">
        <v>322</v>
      </c>
      <c r="AI721" s="17" t="s">
        <v>322</v>
      </c>
      <c r="AJ721" s="17" t="s">
        <v>239</v>
      </c>
      <c r="AK721" s="17" t="s">
        <v>322</v>
      </c>
      <c r="AL721" s="17" t="s">
        <v>239</v>
      </c>
      <c r="BD721" t="s">
        <v>552</v>
      </c>
      <c r="BE721" s="17" t="s">
        <v>322</v>
      </c>
      <c r="BF721" s="17" t="s">
        <v>322</v>
      </c>
      <c r="BG721" s="17" t="s">
        <v>239</v>
      </c>
      <c r="BH721" s="17" t="s">
        <v>322</v>
      </c>
      <c r="BI721" s="17" t="s">
        <v>239</v>
      </c>
    </row>
    <row r="722" spans="10:80" x14ac:dyDescent="0.3">
      <c r="J722" t="s">
        <v>837</v>
      </c>
      <c r="AG722" t="s">
        <v>554</v>
      </c>
      <c r="AH722" s="17" t="s">
        <v>322</v>
      </c>
      <c r="AI722" s="17" t="s">
        <v>322</v>
      </c>
      <c r="AJ722" s="17" t="s">
        <v>322</v>
      </c>
      <c r="AK722" s="17" t="s">
        <v>322</v>
      </c>
      <c r="AL722" s="17" t="s">
        <v>239</v>
      </c>
      <c r="BD722" t="s">
        <v>554</v>
      </c>
      <c r="BE722" s="17" t="s">
        <v>322</v>
      </c>
      <c r="BF722" s="17" t="s">
        <v>322</v>
      </c>
      <c r="BG722" s="17" t="s">
        <v>239</v>
      </c>
      <c r="BH722" s="17" t="s">
        <v>322</v>
      </c>
      <c r="BI722" s="17" t="s">
        <v>322</v>
      </c>
    </row>
    <row r="723" spans="10:80" x14ac:dyDescent="0.3">
      <c r="K723" s="17" t="s">
        <v>315</v>
      </c>
      <c r="L723" s="17" t="s">
        <v>316</v>
      </c>
      <c r="M723" s="17" t="s">
        <v>317</v>
      </c>
      <c r="N723" s="17" t="s">
        <v>318</v>
      </c>
      <c r="O723" s="17" t="s">
        <v>319</v>
      </c>
    </row>
    <row r="724" spans="10:80" x14ac:dyDescent="0.3">
      <c r="J724" t="s">
        <v>561</v>
      </c>
      <c r="K724" s="17" t="s">
        <v>322</v>
      </c>
      <c r="L724" s="17" t="s">
        <v>59</v>
      </c>
      <c r="M724" s="17" t="s">
        <v>59</v>
      </c>
      <c r="N724" s="17" t="s">
        <v>322</v>
      </c>
      <c r="O724" s="17" t="s">
        <v>322</v>
      </c>
      <c r="AG724" t="s">
        <v>836</v>
      </c>
      <c r="BD724" t="s">
        <v>836</v>
      </c>
    </row>
    <row r="725" spans="10:80" x14ac:dyDescent="0.3">
      <c r="J725" t="s">
        <v>551</v>
      </c>
      <c r="K725" s="17" t="s">
        <v>322</v>
      </c>
      <c r="L725" s="17" t="s">
        <v>322</v>
      </c>
      <c r="M725" s="17" t="s">
        <v>59</v>
      </c>
      <c r="N725" s="17" t="s">
        <v>322</v>
      </c>
      <c r="O725" s="17" t="s">
        <v>322</v>
      </c>
      <c r="AH725" s="17" t="s">
        <v>315</v>
      </c>
      <c r="AI725" s="17" t="s">
        <v>316</v>
      </c>
      <c r="AJ725" s="17" t="s">
        <v>317</v>
      </c>
      <c r="AK725" s="17" t="s">
        <v>318</v>
      </c>
      <c r="AL725" s="17" t="s">
        <v>319</v>
      </c>
      <c r="BE725" s="17" t="s">
        <v>315</v>
      </c>
      <c r="BF725" s="17" t="s">
        <v>316</v>
      </c>
      <c r="BG725" s="17" t="s">
        <v>317</v>
      </c>
      <c r="BH725" s="17" t="s">
        <v>318</v>
      </c>
      <c r="BI725" s="17" t="s">
        <v>319</v>
      </c>
    </row>
    <row r="726" spans="10:80" x14ac:dyDescent="0.3">
      <c r="AG726" t="s">
        <v>512</v>
      </c>
      <c r="AH726" s="17" t="s">
        <v>322</v>
      </c>
      <c r="AI726" s="17" t="s">
        <v>94</v>
      </c>
      <c r="AJ726" s="17" t="s">
        <v>322</v>
      </c>
      <c r="AK726" s="17" t="s">
        <v>322</v>
      </c>
      <c r="AL726" s="17" t="s">
        <v>94</v>
      </c>
      <c r="BD726" t="s">
        <v>512</v>
      </c>
      <c r="BE726" s="17" t="s">
        <v>322</v>
      </c>
      <c r="BF726" s="17" t="s">
        <v>322</v>
      </c>
      <c r="BG726" s="17" t="s">
        <v>94</v>
      </c>
      <c r="BH726" s="17" t="s">
        <v>322</v>
      </c>
      <c r="BI726" s="17" t="s">
        <v>94</v>
      </c>
    </row>
    <row r="727" spans="10:80" x14ac:dyDescent="0.3">
      <c r="AG727" t="s">
        <v>514</v>
      </c>
      <c r="AH727" s="17" t="s">
        <v>322</v>
      </c>
      <c r="AI727" s="17" t="s">
        <v>94</v>
      </c>
      <c r="AJ727" s="17" t="s">
        <v>322</v>
      </c>
      <c r="AK727" s="17" t="s">
        <v>322</v>
      </c>
      <c r="AL727" s="17" t="s">
        <v>94</v>
      </c>
      <c r="BD727" t="s">
        <v>514</v>
      </c>
      <c r="BE727" s="17" t="s">
        <v>322</v>
      </c>
      <c r="BF727" s="17" t="s">
        <v>322</v>
      </c>
      <c r="BG727" s="17" t="s">
        <v>94</v>
      </c>
      <c r="BH727" s="17" t="s">
        <v>322</v>
      </c>
      <c r="BI727" s="17" t="s">
        <v>94</v>
      </c>
    </row>
    <row r="728" spans="10:80" x14ac:dyDescent="0.3">
      <c r="AG728" t="s">
        <v>517</v>
      </c>
      <c r="AH728" s="17" t="s">
        <v>322</v>
      </c>
      <c r="AI728" s="17" t="s">
        <v>94</v>
      </c>
      <c r="AJ728" s="17" t="s">
        <v>322</v>
      </c>
      <c r="AK728" s="17" t="s">
        <v>322</v>
      </c>
      <c r="AL728" s="17" t="s">
        <v>322</v>
      </c>
      <c r="BD728" t="s">
        <v>517</v>
      </c>
      <c r="BE728" s="17" t="s">
        <v>322</v>
      </c>
      <c r="BF728" s="17" t="s">
        <v>322</v>
      </c>
      <c r="BG728" s="17" t="s">
        <v>94</v>
      </c>
      <c r="BH728" s="17" t="s">
        <v>322</v>
      </c>
      <c r="BI728" s="17" t="s">
        <v>322</v>
      </c>
    </row>
    <row r="729" spans="10:80" x14ac:dyDescent="0.3">
      <c r="CB729" t="s">
        <v>904</v>
      </c>
    </row>
    <row r="730" spans="10:80" x14ac:dyDescent="0.3">
      <c r="AG730" t="s">
        <v>837</v>
      </c>
      <c r="BD730" t="s">
        <v>837</v>
      </c>
    </row>
    <row r="731" spans="10:80" x14ac:dyDescent="0.3">
      <c r="AH731" s="17" t="s">
        <v>315</v>
      </c>
      <c r="AI731" s="17" t="s">
        <v>316</v>
      </c>
      <c r="AJ731" s="17" t="s">
        <v>317</v>
      </c>
      <c r="AK731" s="17" t="s">
        <v>318</v>
      </c>
      <c r="AL731" s="17" t="s">
        <v>319</v>
      </c>
      <c r="BE731" s="17" t="s">
        <v>315</v>
      </c>
      <c r="BF731" s="17" t="s">
        <v>316</v>
      </c>
      <c r="BG731" s="17" t="s">
        <v>317</v>
      </c>
      <c r="BH731" s="17" t="s">
        <v>318</v>
      </c>
      <c r="BI731" s="17" t="s">
        <v>319</v>
      </c>
    </row>
    <row r="732" spans="10:80" x14ac:dyDescent="0.3">
      <c r="AG732" t="s">
        <v>561</v>
      </c>
      <c r="AH732" s="17" t="s">
        <v>322</v>
      </c>
      <c r="AI732" s="17" t="s">
        <v>59</v>
      </c>
      <c r="AJ732" s="17" t="s">
        <v>59</v>
      </c>
      <c r="AK732" s="17" t="s">
        <v>322</v>
      </c>
      <c r="AL732" s="17" t="s">
        <v>322</v>
      </c>
      <c r="BD732" t="s">
        <v>561</v>
      </c>
      <c r="BE732" s="17" t="s">
        <v>322</v>
      </c>
      <c r="BF732" s="17" t="s">
        <v>59</v>
      </c>
      <c r="BG732" s="17" t="s">
        <v>59</v>
      </c>
      <c r="BH732" s="17" t="s">
        <v>322</v>
      </c>
      <c r="BI732" s="17" t="s">
        <v>322</v>
      </c>
    </row>
    <row r="733" spans="10:80" x14ac:dyDescent="0.3">
      <c r="AG733" t="s">
        <v>551</v>
      </c>
      <c r="AH733" s="17" t="s">
        <v>322</v>
      </c>
      <c r="AI733" s="17" t="s">
        <v>322</v>
      </c>
      <c r="AJ733" s="17" t="s">
        <v>59</v>
      </c>
      <c r="AK733" s="17" t="s">
        <v>322</v>
      </c>
      <c r="AL733" s="17" t="s">
        <v>322</v>
      </c>
      <c r="BD733" t="s">
        <v>551</v>
      </c>
      <c r="BE733" s="17" t="s">
        <v>322</v>
      </c>
      <c r="BF733" s="17" t="s">
        <v>322</v>
      </c>
      <c r="BG733" s="17" t="s">
        <v>59</v>
      </c>
      <c r="BH733" s="17" t="s">
        <v>322</v>
      </c>
      <c r="BI733" s="17" t="s">
        <v>322</v>
      </c>
    </row>
  </sheetData>
  <phoneticPr fontId="2" type="noConversion"/>
  <pageMargins left="0.7" right="0.7" top="0.75" bottom="0.75" header="0.3" footer="0.3"/>
  <pageSetup scale="88" fitToHeight="0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F46A7-4128-4B38-A7A9-480F81ED3893}">
  <sheetPr codeName="Hoja5"/>
  <dimension ref="A1:U264"/>
  <sheetViews>
    <sheetView tabSelected="1" zoomScale="106" workbookViewId="0">
      <selection activeCell="C3" sqref="C3:G17"/>
    </sheetView>
  </sheetViews>
  <sheetFormatPr baseColWidth="10" defaultColWidth="11.44140625" defaultRowHeight="14.4" x14ac:dyDescent="0.3"/>
  <cols>
    <col min="1" max="2" width="6.44140625" customWidth="1"/>
    <col min="16" max="16" width="11.44140625" customWidth="1"/>
    <col min="17" max="21" width="11.44140625" style="17" customWidth="1"/>
  </cols>
  <sheetData>
    <row r="1" spans="1:14" x14ac:dyDescent="0.3">
      <c r="B1" t="s">
        <v>975</v>
      </c>
    </row>
    <row r="2" spans="1:14" x14ac:dyDescent="0.3">
      <c r="C2" s="17" t="s">
        <v>315</v>
      </c>
      <c r="D2" s="17" t="s">
        <v>316</v>
      </c>
      <c r="E2" s="17" t="s">
        <v>317</v>
      </c>
      <c r="F2" s="17" t="s">
        <v>318</v>
      </c>
      <c r="G2" s="17" t="s">
        <v>319</v>
      </c>
    </row>
    <row r="3" spans="1:14" x14ac:dyDescent="0.3">
      <c r="A3" s="109" cm="1">
        <f t="array" ref="A3:B17">Tabla1[[Inicio]:[Fin]]</f>
        <v>0.33333333333333331</v>
      </c>
      <c r="B3" s="109">
        <v>0.36805555555555552</v>
      </c>
      <c r="C3" s="165">
        <v>0.54</v>
      </c>
      <c r="D3" s="165">
        <v>0.69</v>
      </c>
      <c r="E3" s="165">
        <v>0.54</v>
      </c>
      <c r="F3" s="165">
        <v>0.54</v>
      </c>
      <c r="G3" s="165">
        <v>0.92</v>
      </c>
    </row>
    <row r="4" spans="1:14" x14ac:dyDescent="0.3">
      <c r="A4" s="109">
        <v>0.36805555555555558</v>
      </c>
      <c r="B4" s="109">
        <v>0.40277777777777779</v>
      </c>
      <c r="C4" s="165">
        <v>0.69</v>
      </c>
      <c r="D4" s="165">
        <v>0.77</v>
      </c>
      <c r="E4" s="165">
        <v>0.69</v>
      </c>
      <c r="F4" s="165">
        <v>0.54</v>
      </c>
      <c r="G4" s="165">
        <v>1</v>
      </c>
      <c r="J4" s="141"/>
      <c r="K4" s="141"/>
      <c r="L4" s="141"/>
      <c r="M4" s="141"/>
      <c r="N4" s="141"/>
    </row>
    <row r="5" spans="1:14" x14ac:dyDescent="0.3">
      <c r="A5" s="109">
        <v>0.40972222222222221</v>
      </c>
      <c r="B5" s="109">
        <v>0.44444444444444442</v>
      </c>
      <c r="C5" s="165">
        <v>0.77</v>
      </c>
      <c r="D5" s="165">
        <v>0.69</v>
      </c>
      <c r="E5" s="165">
        <v>0.62</v>
      </c>
      <c r="F5" s="165">
        <v>0.77</v>
      </c>
      <c r="G5" s="165">
        <v>1</v>
      </c>
      <c r="J5" s="141"/>
      <c r="K5" s="141"/>
      <c r="L5" s="141"/>
      <c r="M5" s="141"/>
      <c r="N5" s="141"/>
    </row>
    <row r="6" spans="1:14" x14ac:dyDescent="0.3">
      <c r="A6" s="109">
        <v>0.44444444444444442</v>
      </c>
      <c r="B6" s="109">
        <v>0.47916666666666663</v>
      </c>
      <c r="C6" s="165">
        <v>0.77</v>
      </c>
      <c r="D6" s="165">
        <v>0.69</v>
      </c>
      <c r="E6" s="165">
        <v>0.77</v>
      </c>
      <c r="F6" s="165">
        <v>0.69</v>
      </c>
      <c r="G6" s="165">
        <v>0.77</v>
      </c>
      <c r="J6" s="141"/>
      <c r="K6" s="141"/>
      <c r="L6" s="141"/>
      <c r="M6" s="141"/>
      <c r="N6" s="141"/>
    </row>
    <row r="7" spans="1:14" x14ac:dyDescent="0.3">
      <c r="A7" s="109">
        <v>0.4861111111111111</v>
      </c>
      <c r="B7" s="109">
        <v>0.52083333333333337</v>
      </c>
      <c r="C7" s="165">
        <v>0.77</v>
      </c>
      <c r="D7" s="165">
        <v>0.77</v>
      </c>
      <c r="E7" s="165">
        <v>0.77</v>
      </c>
      <c r="F7" s="165">
        <v>0.69</v>
      </c>
      <c r="G7" s="165">
        <v>0.77</v>
      </c>
      <c r="J7" s="141"/>
      <c r="K7" s="141"/>
      <c r="L7" s="141"/>
      <c r="M7" s="141"/>
      <c r="N7" s="141"/>
    </row>
    <row r="8" spans="1:14" x14ac:dyDescent="0.3">
      <c r="A8" s="109">
        <v>0.52083333333333337</v>
      </c>
      <c r="B8" s="109">
        <v>0.55555555555555558</v>
      </c>
      <c r="C8" s="165">
        <v>0.69</v>
      </c>
      <c r="D8" s="165">
        <v>0.62</v>
      </c>
      <c r="E8" s="165">
        <v>0.46</v>
      </c>
      <c r="F8" s="165">
        <v>0.54</v>
      </c>
      <c r="G8" s="165">
        <v>0.54</v>
      </c>
      <c r="J8" s="141"/>
      <c r="K8" s="141"/>
      <c r="L8" s="141"/>
      <c r="M8" s="141"/>
      <c r="N8" s="141"/>
    </row>
    <row r="9" spans="1:14" x14ac:dyDescent="0.3">
      <c r="A9" s="109">
        <v>0.59027777777777779</v>
      </c>
      <c r="B9" s="109">
        <v>0.625</v>
      </c>
      <c r="C9" s="165">
        <v>0.08</v>
      </c>
      <c r="D9" s="165">
        <v>0.23</v>
      </c>
      <c r="E9" s="165">
        <v>0.15</v>
      </c>
      <c r="F9" s="165">
        <v>0.23</v>
      </c>
      <c r="G9" s="165">
        <v>0.15</v>
      </c>
      <c r="J9" s="141"/>
      <c r="K9" s="141"/>
      <c r="L9" s="141"/>
      <c r="M9" s="141"/>
      <c r="N9" s="141"/>
    </row>
    <row r="10" spans="1:14" x14ac:dyDescent="0.3">
      <c r="A10" s="109">
        <v>0.63194444444444442</v>
      </c>
      <c r="B10" s="109">
        <v>0.66666666666666663</v>
      </c>
      <c r="C10" s="165">
        <v>0.31</v>
      </c>
      <c r="D10" s="165">
        <v>0.54</v>
      </c>
      <c r="E10" s="165">
        <v>0.38</v>
      </c>
      <c r="F10" s="165">
        <v>0.54</v>
      </c>
      <c r="G10" s="165">
        <v>0.46</v>
      </c>
      <c r="J10" s="141"/>
      <c r="K10" s="141"/>
      <c r="L10" s="141"/>
      <c r="M10" s="141"/>
      <c r="N10" s="141"/>
    </row>
    <row r="11" spans="1:14" x14ac:dyDescent="0.3">
      <c r="A11" s="109">
        <v>0.67361111111111116</v>
      </c>
      <c r="B11" s="109">
        <v>0.70833333333333337</v>
      </c>
      <c r="C11" s="165">
        <v>0.31</v>
      </c>
      <c r="D11" s="165">
        <v>0.62</v>
      </c>
      <c r="E11" s="165">
        <v>0.46</v>
      </c>
      <c r="F11" s="165">
        <v>0.54</v>
      </c>
      <c r="G11" s="165">
        <v>0.54</v>
      </c>
      <c r="J11" s="141"/>
      <c r="K11" s="141"/>
      <c r="L11" s="141"/>
      <c r="M11" s="141"/>
      <c r="N11" s="141"/>
    </row>
    <row r="12" spans="1:14" x14ac:dyDescent="0.3">
      <c r="A12" s="109">
        <v>0.70833333333333337</v>
      </c>
      <c r="B12" s="109">
        <v>0.74305555555555558</v>
      </c>
      <c r="C12" s="165">
        <v>0.54</v>
      </c>
      <c r="D12" s="165">
        <v>0.69</v>
      </c>
      <c r="E12" s="165">
        <v>0.54</v>
      </c>
      <c r="F12" s="165">
        <v>0.62</v>
      </c>
      <c r="G12" s="165">
        <v>0.62</v>
      </c>
      <c r="J12" s="141"/>
      <c r="K12" s="141"/>
      <c r="L12" s="141"/>
      <c r="M12" s="141"/>
      <c r="N12" s="141"/>
    </row>
    <row r="13" spans="1:14" x14ac:dyDescent="0.3">
      <c r="A13" s="109">
        <v>0.75</v>
      </c>
      <c r="B13" s="109">
        <v>0.78472222222222221</v>
      </c>
      <c r="C13" s="165">
        <v>0.85</v>
      </c>
      <c r="D13" s="165">
        <v>1</v>
      </c>
      <c r="E13" s="165">
        <v>0.92</v>
      </c>
      <c r="F13" s="165">
        <v>0.85</v>
      </c>
      <c r="G13" s="165">
        <v>0.62</v>
      </c>
      <c r="J13" s="141"/>
      <c r="K13" s="141"/>
      <c r="L13" s="141"/>
      <c r="M13" s="141"/>
      <c r="N13" s="141"/>
    </row>
    <row r="14" spans="1:14" x14ac:dyDescent="0.3">
      <c r="A14" s="109">
        <v>0.78472222222222221</v>
      </c>
      <c r="B14" s="109">
        <v>0.81944444444444442</v>
      </c>
      <c r="C14" s="165">
        <v>0.85</v>
      </c>
      <c r="D14" s="165">
        <v>0.85</v>
      </c>
      <c r="E14" s="165">
        <v>1</v>
      </c>
      <c r="F14" s="165">
        <v>0.85</v>
      </c>
      <c r="G14" s="165">
        <v>0.85</v>
      </c>
      <c r="J14" s="141"/>
      <c r="K14" s="141"/>
      <c r="L14" s="141"/>
      <c r="M14" s="141"/>
      <c r="N14" s="141"/>
    </row>
    <row r="15" spans="1:14" x14ac:dyDescent="0.3">
      <c r="A15" s="109">
        <v>0.82638888888888884</v>
      </c>
      <c r="B15" s="109">
        <v>0.86111111111111105</v>
      </c>
      <c r="C15" s="165">
        <v>0.85</v>
      </c>
      <c r="D15" s="165">
        <v>0.85</v>
      </c>
      <c r="E15" s="165">
        <v>0.92</v>
      </c>
      <c r="F15" s="165">
        <v>0.69</v>
      </c>
      <c r="G15" s="165">
        <v>0.92</v>
      </c>
      <c r="J15" s="141"/>
      <c r="K15" s="141"/>
      <c r="L15" s="141"/>
      <c r="M15" s="141"/>
      <c r="N15" s="141"/>
    </row>
    <row r="16" spans="1:14" x14ac:dyDescent="0.3">
      <c r="A16" s="109">
        <v>0.86111111111111116</v>
      </c>
      <c r="B16" s="109">
        <v>0.89583333333333337</v>
      </c>
      <c r="C16" s="165">
        <v>0.69</v>
      </c>
      <c r="D16" s="165">
        <v>0.54</v>
      </c>
      <c r="E16" s="165">
        <v>0.85</v>
      </c>
      <c r="F16" s="165">
        <v>0.46</v>
      </c>
      <c r="G16" s="165">
        <v>0.69</v>
      </c>
      <c r="J16" s="141"/>
      <c r="K16" s="141"/>
      <c r="L16" s="141"/>
      <c r="M16" s="141"/>
      <c r="N16" s="141"/>
    </row>
    <row r="17" spans="1:14" x14ac:dyDescent="0.3">
      <c r="A17" s="109">
        <v>0.90277777777777779</v>
      </c>
      <c r="B17" s="109">
        <v>0.9375</v>
      </c>
      <c r="C17" s="165">
        <v>0.23</v>
      </c>
      <c r="D17" s="165">
        <v>0.23</v>
      </c>
      <c r="E17" s="165">
        <v>0.08</v>
      </c>
      <c r="F17" s="165">
        <v>0.15</v>
      </c>
      <c r="G17" s="165">
        <v>0.08</v>
      </c>
      <c r="I17" s="152"/>
      <c r="J17" s="141"/>
      <c r="K17" s="141"/>
      <c r="L17" s="141"/>
      <c r="M17" s="141"/>
      <c r="N17" s="141"/>
    </row>
    <row r="18" spans="1:14" x14ac:dyDescent="0.3">
      <c r="J18" s="141"/>
      <c r="K18" s="141"/>
      <c r="L18" s="141"/>
      <c r="M18" s="141"/>
      <c r="N18" s="141"/>
    </row>
    <row r="19" spans="1:14" x14ac:dyDescent="0.3">
      <c r="C19" s="141"/>
      <c r="D19" s="141"/>
      <c r="E19" s="141"/>
      <c r="F19" s="141"/>
      <c r="G19" s="141"/>
      <c r="J19" s="141"/>
      <c r="K19" s="141"/>
      <c r="L19" s="141"/>
      <c r="M19" s="141"/>
      <c r="N19" s="141"/>
    </row>
    <row r="20" spans="1:14" x14ac:dyDescent="0.3">
      <c r="C20" s="141"/>
      <c r="D20" s="141"/>
      <c r="E20" s="141"/>
      <c r="F20" s="141"/>
      <c r="G20" s="141"/>
    </row>
    <row r="21" spans="1:14" x14ac:dyDescent="0.3">
      <c r="C21" s="141"/>
      <c r="D21" s="141"/>
      <c r="E21" s="141"/>
      <c r="F21" s="141"/>
      <c r="G21" s="141"/>
    </row>
    <row r="44" spans="10:15" x14ac:dyDescent="0.3">
      <c r="N44" s="32"/>
    </row>
    <row r="45" spans="10:15" x14ac:dyDescent="0.3">
      <c r="J45" s="150"/>
      <c r="K45" s="150"/>
      <c r="L45" s="150"/>
      <c r="M45" s="150"/>
      <c r="N45" s="32"/>
      <c r="O45" s="150"/>
    </row>
    <row r="263" spans="11:15" x14ac:dyDescent="0.3">
      <c r="N263" s="130"/>
    </row>
    <row r="264" spans="11:15" x14ac:dyDescent="0.3">
      <c r="K264" s="17"/>
      <c r="L264" s="17"/>
      <c r="M264" s="17"/>
      <c r="N264" s="130"/>
      <c r="O264" s="17"/>
    </row>
  </sheetData>
  <conditionalFormatting sqref="C3:G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42B90-096E-4E4A-B6DA-7467FCCFD038}">
  <sheetPr codeName="Hoja6">
    <pageSetUpPr fitToPage="1"/>
  </sheetPr>
  <dimension ref="B2:CP646"/>
  <sheetViews>
    <sheetView topLeftCell="A53" zoomScale="73" zoomScaleNormal="70" workbookViewId="0">
      <selection activeCell="H68" sqref="H68"/>
    </sheetView>
  </sheetViews>
  <sheetFormatPr baseColWidth="10" defaultColWidth="17.33203125" defaultRowHeight="14.4" x14ac:dyDescent="0.3"/>
  <cols>
    <col min="2" max="2" width="17.33203125" style="15"/>
    <col min="3" max="7" width="21.21875" style="17" customWidth="1"/>
    <col min="8" max="8" width="17.33203125" style="17"/>
    <col min="9" max="9" width="13.33203125" customWidth="1"/>
    <col min="10" max="10" width="17.33203125" style="154"/>
    <col min="11" max="15" width="21.21875" style="151" customWidth="1"/>
    <col min="16" max="21" width="9.44140625" style="17" customWidth="1"/>
    <col min="22" max="22" width="17.33203125" style="113"/>
    <col min="23" max="23" width="17.33203125" style="15"/>
    <col min="24" max="28" width="15.44140625" style="17" customWidth="1"/>
    <col min="29" max="29" width="17.33203125" style="17"/>
    <col min="30" max="30" width="13.33203125" customWidth="1"/>
    <col min="31" max="35" width="9.44140625" style="17" customWidth="1"/>
    <col min="36" max="36" width="17.33203125" customWidth="1"/>
    <col min="37" max="37" width="17.33203125" style="113"/>
    <col min="38" max="38" width="17.33203125" style="15"/>
    <col min="39" max="43" width="15.44140625" style="17" customWidth="1"/>
    <col min="44" max="44" width="17.33203125" style="17"/>
    <col min="45" max="45" width="13.33203125" customWidth="1"/>
    <col min="46" max="50" width="9.44140625" style="17" customWidth="1"/>
    <col min="52" max="52" width="17.33203125" style="113"/>
    <col min="53" max="53" width="17.33203125" style="15"/>
    <col min="54" max="58" width="15.44140625" style="17" customWidth="1"/>
    <col min="59" max="59" width="17.33203125" style="17"/>
    <col min="60" max="60" width="13.33203125" customWidth="1"/>
    <col min="61" max="65" width="9.44140625" style="17" customWidth="1"/>
    <col min="66" max="66" width="17.33203125" style="15"/>
    <col min="72" max="77" width="20" style="17" customWidth="1"/>
    <col min="78" max="82" width="15.6640625" style="17" customWidth="1"/>
    <col min="83" max="83" width="9.33203125" customWidth="1"/>
    <col min="89" max="91" width="17.33203125" style="17"/>
    <col min="92" max="92" width="21.6640625" style="17" bestFit="1" customWidth="1"/>
    <col min="93" max="94" width="17.33203125" style="17"/>
  </cols>
  <sheetData>
    <row r="2" spans="2:94" x14ac:dyDescent="0.3">
      <c r="W2" s="74" t="s">
        <v>838</v>
      </c>
      <c r="X2" s="108"/>
      <c r="Y2" s="108"/>
      <c r="AL2" s="74" t="s">
        <v>839</v>
      </c>
      <c r="AM2" s="108" t="s">
        <v>840</v>
      </c>
      <c r="AN2" s="108"/>
      <c r="BA2" s="74">
        <v>813</v>
      </c>
      <c r="BB2" s="108">
        <v>733</v>
      </c>
      <c r="BC2" s="108"/>
      <c r="BN2" s="31"/>
    </row>
    <row r="3" spans="2:94" x14ac:dyDescent="0.3">
      <c r="W3" s="31" t="s">
        <v>505</v>
      </c>
      <c r="AL3" s="31"/>
      <c r="BA3" s="31"/>
      <c r="BN3" s="31"/>
    </row>
    <row r="4" spans="2:94" x14ac:dyDescent="0.3">
      <c r="B4" s="15" t="s">
        <v>601</v>
      </c>
      <c r="W4" s="73" t="s">
        <v>507</v>
      </c>
      <c r="AD4" t="s">
        <v>508</v>
      </c>
      <c r="AL4" s="73" t="s">
        <v>507</v>
      </c>
      <c r="AS4" t="s">
        <v>508</v>
      </c>
      <c r="BA4" s="73" t="s">
        <v>507</v>
      </c>
      <c r="BH4" t="s">
        <v>508</v>
      </c>
      <c r="BN4" s="73"/>
    </row>
    <row r="5" spans="2:94" x14ac:dyDescent="0.3">
      <c r="C5" s="17" t="s">
        <v>315</v>
      </c>
      <c r="D5" s="17" t="s">
        <v>316</v>
      </c>
      <c r="E5" s="17" t="s">
        <v>317</v>
      </c>
      <c r="F5" s="17" t="s">
        <v>318</v>
      </c>
      <c r="G5" s="17" t="s">
        <v>319</v>
      </c>
      <c r="AE5" s="17" t="s">
        <v>315</v>
      </c>
      <c r="AF5" s="17" t="s">
        <v>316</v>
      </c>
      <c r="AG5" s="17" t="s">
        <v>317</v>
      </c>
      <c r="AH5" s="17" t="s">
        <v>318</v>
      </c>
      <c r="AI5" s="17" t="s">
        <v>319</v>
      </c>
      <c r="AT5" s="17" t="s">
        <v>315</v>
      </c>
      <c r="AU5" s="17" t="s">
        <v>316</v>
      </c>
      <c r="AV5" s="17" t="s">
        <v>317</v>
      </c>
      <c r="AW5" s="17" t="s">
        <v>318</v>
      </c>
      <c r="AX5" s="17" t="s">
        <v>319</v>
      </c>
      <c r="BI5" s="17" t="s">
        <v>315</v>
      </c>
      <c r="BJ5" s="17" t="s">
        <v>316</v>
      </c>
      <c r="BK5" s="17" t="s">
        <v>317</v>
      </c>
      <c r="BL5" s="17" t="s">
        <v>318</v>
      </c>
      <c r="BM5" s="17" t="s">
        <v>319</v>
      </c>
    </row>
    <row r="6" spans="2:94" x14ac:dyDescent="0.3">
      <c r="B6" s="15" t="s">
        <v>512</v>
      </c>
      <c r="C6" s="157" t="s">
        <v>322</v>
      </c>
      <c r="D6" s="17" t="s">
        <v>602</v>
      </c>
      <c r="E6" s="17" t="s">
        <v>603</v>
      </c>
      <c r="F6" s="17" t="s">
        <v>604</v>
      </c>
      <c r="G6" s="17" t="s">
        <v>602</v>
      </c>
      <c r="W6" s="15" t="s">
        <v>579</v>
      </c>
      <c r="AD6" t="s">
        <v>512</v>
      </c>
      <c r="AE6" s="17" t="s">
        <v>322</v>
      </c>
      <c r="AF6" s="17" t="s">
        <v>322</v>
      </c>
      <c r="AG6" s="17" t="s">
        <v>322</v>
      </c>
      <c r="AH6" s="17" t="s">
        <v>322</v>
      </c>
      <c r="AI6" s="17" t="s">
        <v>26</v>
      </c>
      <c r="AL6" s="15" t="s">
        <v>579</v>
      </c>
      <c r="AS6" t="s">
        <v>512</v>
      </c>
      <c r="AT6" s="17" t="s">
        <v>322</v>
      </c>
      <c r="AU6" s="17" t="s">
        <v>322</v>
      </c>
      <c r="AV6" s="17" t="s">
        <v>322</v>
      </c>
      <c r="AW6" s="17" t="s">
        <v>322</v>
      </c>
      <c r="AX6" s="17" t="s">
        <v>26</v>
      </c>
      <c r="BA6" s="15" t="s">
        <v>579</v>
      </c>
      <c r="BH6" t="s">
        <v>512</v>
      </c>
      <c r="BI6" s="17" t="s">
        <v>322</v>
      </c>
      <c r="BJ6" s="17" t="s">
        <v>322</v>
      </c>
      <c r="BK6" s="17" t="s">
        <v>322</v>
      </c>
      <c r="BL6" s="17" t="s">
        <v>322</v>
      </c>
      <c r="BM6" s="17" t="s">
        <v>26</v>
      </c>
    </row>
    <row r="7" spans="2:94" x14ac:dyDescent="0.3">
      <c r="B7" s="15" t="s">
        <v>514</v>
      </c>
      <c r="C7" s="157" t="s">
        <v>322</v>
      </c>
      <c r="D7" s="17" t="s">
        <v>602</v>
      </c>
      <c r="E7" s="17" t="s">
        <v>603</v>
      </c>
      <c r="F7" s="17" t="s">
        <v>604</v>
      </c>
      <c r="G7" s="17" t="s">
        <v>602</v>
      </c>
      <c r="X7" s="17" t="s">
        <v>315</v>
      </c>
      <c r="Y7" s="17" t="s">
        <v>316</v>
      </c>
      <c r="Z7" s="17" t="s">
        <v>317</v>
      </c>
      <c r="AA7" s="17" t="s">
        <v>318</v>
      </c>
      <c r="AB7" s="17" t="s">
        <v>319</v>
      </c>
      <c r="AD7" t="s">
        <v>514</v>
      </c>
      <c r="AE7" s="17" t="s">
        <v>322</v>
      </c>
      <c r="AF7" s="17" t="s">
        <v>322</v>
      </c>
      <c r="AG7" s="17" t="s">
        <v>322</v>
      </c>
      <c r="AH7" s="17" t="s">
        <v>322</v>
      </c>
      <c r="AI7" s="17" t="s">
        <v>26</v>
      </c>
      <c r="AM7" s="17" t="s">
        <v>315</v>
      </c>
      <c r="AN7" s="17" t="s">
        <v>316</v>
      </c>
      <c r="AO7" s="17" t="s">
        <v>317</v>
      </c>
      <c r="AP7" s="17" t="s">
        <v>318</v>
      </c>
      <c r="AQ7" s="17" t="s">
        <v>319</v>
      </c>
      <c r="AS7" t="s">
        <v>514</v>
      </c>
      <c r="AT7" s="17" t="s">
        <v>322</v>
      </c>
      <c r="AU7" s="17" t="s">
        <v>322</v>
      </c>
      <c r="AV7" s="17" t="s">
        <v>322</v>
      </c>
      <c r="AW7" s="17" t="s">
        <v>322</v>
      </c>
      <c r="AX7" s="17" t="s">
        <v>26</v>
      </c>
      <c r="BB7" s="17" t="s">
        <v>315</v>
      </c>
      <c r="BC7" s="17" t="s">
        <v>316</v>
      </c>
      <c r="BD7" s="17" t="s">
        <v>317</v>
      </c>
      <c r="BE7" s="17" t="s">
        <v>318</v>
      </c>
      <c r="BF7" s="17" t="s">
        <v>319</v>
      </c>
      <c r="BH7" t="s">
        <v>514</v>
      </c>
      <c r="BI7" s="17" t="s">
        <v>322</v>
      </c>
      <c r="BJ7" s="17" t="s">
        <v>322</v>
      </c>
      <c r="BK7" s="17" t="s">
        <v>322</v>
      </c>
      <c r="BL7" s="17" t="s">
        <v>322</v>
      </c>
      <c r="BM7" s="17" t="s">
        <v>26</v>
      </c>
    </row>
    <row r="8" spans="2:94" x14ac:dyDescent="0.3">
      <c r="B8" s="15" t="s">
        <v>517</v>
      </c>
      <c r="C8" s="157" t="s">
        <v>605</v>
      </c>
      <c r="D8" s="17" t="s">
        <v>606</v>
      </c>
      <c r="E8" s="157" t="s">
        <v>605</v>
      </c>
      <c r="F8" s="17" t="s">
        <v>604</v>
      </c>
      <c r="G8" s="17" t="s">
        <v>602</v>
      </c>
      <c r="W8" s="15" t="s">
        <v>561</v>
      </c>
      <c r="X8" s="17" t="s">
        <v>581</v>
      </c>
      <c r="Y8" s="17" t="s">
        <v>582</v>
      </c>
      <c r="Z8" s="17" t="s">
        <v>583</v>
      </c>
      <c r="AA8" s="17" t="s">
        <v>582</v>
      </c>
      <c r="AB8" s="17" t="s">
        <v>583</v>
      </c>
      <c r="AD8" t="s">
        <v>517</v>
      </c>
      <c r="AE8" s="17" t="s">
        <v>322</v>
      </c>
      <c r="AF8" s="17" t="s">
        <v>322</v>
      </c>
      <c r="AG8" s="17" t="s">
        <v>322</v>
      </c>
      <c r="AH8" s="17" t="s">
        <v>322</v>
      </c>
      <c r="AI8" s="17" t="s">
        <v>26</v>
      </c>
      <c r="AL8" s="15" t="s">
        <v>561</v>
      </c>
      <c r="AM8" s="17" t="s">
        <v>581</v>
      </c>
      <c r="AN8" s="17" t="s">
        <v>582</v>
      </c>
      <c r="AO8" s="17" t="s">
        <v>583</v>
      </c>
      <c r="AP8" s="17" t="s">
        <v>582</v>
      </c>
      <c r="AQ8" s="17" t="s">
        <v>583</v>
      </c>
      <c r="AS8" t="s">
        <v>517</v>
      </c>
      <c r="AT8" s="17" t="s">
        <v>322</v>
      </c>
      <c r="AU8" s="17" t="s">
        <v>322</v>
      </c>
      <c r="AV8" s="17" t="s">
        <v>322</v>
      </c>
      <c r="AW8" s="17" t="s">
        <v>322</v>
      </c>
      <c r="AX8" s="17" t="s">
        <v>26</v>
      </c>
      <c r="BA8" s="15" t="s">
        <v>561</v>
      </c>
      <c r="BB8" s="17" t="s">
        <v>581</v>
      </c>
      <c r="BC8" s="17" t="s">
        <v>582</v>
      </c>
      <c r="BD8" s="17" t="s">
        <v>583</v>
      </c>
      <c r="BE8" s="17" t="s">
        <v>582</v>
      </c>
      <c r="BF8" s="17" t="s">
        <v>583</v>
      </c>
      <c r="BH8" t="s">
        <v>517</v>
      </c>
      <c r="BI8" s="17" t="s">
        <v>322</v>
      </c>
      <c r="BJ8" s="17" t="s">
        <v>322</v>
      </c>
      <c r="BK8" s="17" t="s">
        <v>322</v>
      </c>
      <c r="BL8" s="17" t="s">
        <v>322</v>
      </c>
      <c r="BM8" s="17" t="s">
        <v>26</v>
      </c>
    </row>
    <row r="9" spans="2:94" x14ac:dyDescent="0.3">
      <c r="B9" s="15" t="s">
        <v>326</v>
      </c>
      <c r="C9" s="157" t="s">
        <v>605</v>
      </c>
      <c r="D9" s="17" t="s">
        <v>606</v>
      </c>
      <c r="E9" s="157" t="s">
        <v>605</v>
      </c>
      <c r="F9" s="17" t="s">
        <v>606</v>
      </c>
      <c r="G9" s="17" t="s">
        <v>608</v>
      </c>
      <c r="W9" s="15" t="s">
        <v>551</v>
      </c>
      <c r="X9" s="17" t="s">
        <v>581</v>
      </c>
      <c r="Y9" s="17" t="s">
        <v>582</v>
      </c>
      <c r="Z9" s="17" t="s">
        <v>583</v>
      </c>
      <c r="AA9" s="17" t="s">
        <v>582</v>
      </c>
      <c r="AB9" s="17" t="s">
        <v>583</v>
      </c>
      <c r="AL9" s="15" t="s">
        <v>551</v>
      </c>
      <c r="AM9" s="17" t="s">
        <v>581</v>
      </c>
      <c r="AN9" s="17" t="s">
        <v>582</v>
      </c>
      <c r="AO9" s="17" t="s">
        <v>583</v>
      </c>
      <c r="AP9" s="17" t="s">
        <v>582</v>
      </c>
      <c r="AQ9" s="17" t="s">
        <v>583</v>
      </c>
      <c r="BA9" s="15" t="s">
        <v>551</v>
      </c>
      <c r="BB9" s="17" t="s">
        <v>581</v>
      </c>
      <c r="BC9" s="17" t="s">
        <v>582</v>
      </c>
      <c r="BD9" s="17" t="s">
        <v>583</v>
      </c>
      <c r="BE9" s="17" t="s">
        <v>582</v>
      </c>
      <c r="BF9" s="17" t="s">
        <v>583</v>
      </c>
    </row>
    <row r="10" spans="2:94" x14ac:dyDescent="0.3">
      <c r="B10" s="15" t="s">
        <v>328</v>
      </c>
      <c r="C10" s="158" t="s">
        <v>605</v>
      </c>
      <c r="D10" s="17" t="s">
        <v>608</v>
      </c>
      <c r="E10" s="157" t="s">
        <v>609</v>
      </c>
      <c r="F10" s="17" t="s">
        <v>606</v>
      </c>
      <c r="G10" s="17" t="s">
        <v>608</v>
      </c>
      <c r="W10" s="15" t="s">
        <v>552</v>
      </c>
      <c r="X10" s="17" t="s">
        <v>581</v>
      </c>
      <c r="Y10" s="17" t="s">
        <v>585</v>
      </c>
      <c r="Z10" s="17" t="s">
        <v>583</v>
      </c>
      <c r="AA10" s="17" t="s">
        <v>584</v>
      </c>
      <c r="AB10" s="17" t="s">
        <v>583</v>
      </c>
      <c r="AD10" t="s">
        <v>522</v>
      </c>
      <c r="AL10" s="15" t="s">
        <v>552</v>
      </c>
      <c r="AM10" s="17" t="s">
        <v>581</v>
      </c>
      <c r="AN10" s="17" t="s">
        <v>585</v>
      </c>
      <c r="AO10" s="17" t="s">
        <v>583</v>
      </c>
      <c r="AP10" s="17" t="s">
        <v>584</v>
      </c>
      <c r="AQ10" s="17" t="s">
        <v>583</v>
      </c>
      <c r="AS10" t="s">
        <v>522</v>
      </c>
      <c r="BA10" s="15" t="s">
        <v>552</v>
      </c>
      <c r="BB10" s="17" t="s">
        <v>581</v>
      </c>
      <c r="BC10" s="17" t="s">
        <v>585</v>
      </c>
      <c r="BD10" s="17" t="s">
        <v>583</v>
      </c>
      <c r="BE10" s="17" t="s">
        <v>584</v>
      </c>
      <c r="BF10" s="17" t="s">
        <v>583</v>
      </c>
      <c r="BH10" t="s">
        <v>522</v>
      </c>
    </row>
    <row r="11" spans="2:94" x14ac:dyDescent="0.3">
      <c r="B11" s="15" t="s">
        <v>350</v>
      </c>
      <c r="C11" s="157" t="s">
        <v>609</v>
      </c>
      <c r="D11" s="17" t="s">
        <v>608</v>
      </c>
      <c r="E11" s="157" t="s">
        <v>609</v>
      </c>
      <c r="F11" s="17" t="s">
        <v>606</v>
      </c>
      <c r="G11" s="17" t="s">
        <v>608</v>
      </c>
      <c r="W11" s="15" t="s">
        <v>554</v>
      </c>
      <c r="X11" s="17" t="s">
        <v>584</v>
      </c>
      <c r="Y11" s="17" t="s">
        <v>585</v>
      </c>
      <c r="Z11" s="17" t="s">
        <v>581</v>
      </c>
      <c r="AA11" s="17" t="s">
        <v>584</v>
      </c>
      <c r="AB11" s="17" t="s">
        <v>322</v>
      </c>
      <c r="AE11" s="17" t="s">
        <v>315</v>
      </c>
      <c r="AF11" s="17" t="s">
        <v>316</v>
      </c>
      <c r="AG11" s="17" t="s">
        <v>317</v>
      </c>
      <c r="AH11" s="17" t="s">
        <v>318</v>
      </c>
      <c r="AI11" s="17" t="s">
        <v>319</v>
      </c>
      <c r="AL11" s="15" t="s">
        <v>554</v>
      </c>
      <c r="AM11" s="17" t="s">
        <v>584</v>
      </c>
      <c r="AN11" s="17" t="s">
        <v>585</v>
      </c>
      <c r="AO11" s="17" t="s">
        <v>581</v>
      </c>
      <c r="AP11" s="17" t="s">
        <v>584</v>
      </c>
      <c r="AQ11" s="17" t="s">
        <v>322</v>
      </c>
      <c r="AT11" s="17" t="s">
        <v>315</v>
      </c>
      <c r="AU11" s="17" t="s">
        <v>316</v>
      </c>
      <c r="AV11" s="17" t="s">
        <v>317</v>
      </c>
      <c r="AW11" s="17" t="s">
        <v>318</v>
      </c>
      <c r="AX11" s="17" t="s">
        <v>319</v>
      </c>
      <c r="BA11" s="15" t="s">
        <v>554</v>
      </c>
      <c r="BB11" s="17" t="s">
        <v>584</v>
      </c>
      <c r="BC11" s="17" t="s">
        <v>585</v>
      </c>
      <c r="BD11" s="17" t="s">
        <v>581</v>
      </c>
      <c r="BE11" s="17" t="s">
        <v>584</v>
      </c>
      <c r="BF11" s="17" t="s">
        <v>322</v>
      </c>
      <c r="BI11" s="17" t="s">
        <v>315</v>
      </c>
      <c r="BJ11" s="17" t="s">
        <v>316</v>
      </c>
      <c r="BK11" s="17" t="s">
        <v>317</v>
      </c>
      <c r="BL11" s="17" t="s">
        <v>318</v>
      </c>
      <c r="BM11" s="17" t="s">
        <v>319</v>
      </c>
      <c r="BS11" s="115" t="s">
        <v>286</v>
      </c>
      <c r="BT11" s="117"/>
      <c r="BU11" s="126" t="s">
        <v>841</v>
      </c>
      <c r="BV11" s="117" t="s">
        <v>64</v>
      </c>
    </row>
    <row r="12" spans="2:94" x14ac:dyDescent="0.3">
      <c r="C12" s="158" t="s">
        <v>609</v>
      </c>
      <c r="W12" s="15" t="s">
        <v>586</v>
      </c>
      <c r="X12" s="17" t="s">
        <v>584</v>
      </c>
      <c r="Y12" s="17" t="s">
        <v>322</v>
      </c>
      <c r="Z12" s="17" t="s">
        <v>581</v>
      </c>
      <c r="AA12" s="17" t="s">
        <v>322</v>
      </c>
      <c r="AB12" s="17" t="s">
        <v>322</v>
      </c>
      <c r="AD12" t="s">
        <v>512</v>
      </c>
      <c r="AE12" s="17" t="s">
        <v>106</v>
      </c>
      <c r="AF12" s="17" t="s">
        <v>322</v>
      </c>
      <c r="AG12" s="17" t="s">
        <v>322</v>
      </c>
      <c r="AH12" s="17" t="s">
        <v>322</v>
      </c>
      <c r="AI12" s="17" t="s">
        <v>322</v>
      </c>
      <c r="AL12" s="15" t="s">
        <v>586</v>
      </c>
      <c r="AM12" s="17" t="s">
        <v>584</v>
      </c>
      <c r="AN12" s="17" t="s">
        <v>322</v>
      </c>
      <c r="AO12" s="17" t="s">
        <v>581</v>
      </c>
      <c r="AP12" s="17" t="s">
        <v>322</v>
      </c>
      <c r="AQ12" s="17" t="s">
        <v>322</v>
      </c>
      <c r="AS12" t="s">
        <v>512</v>
      </c>
      <c r="AT12" s="17" t="s">
        <v>106</v>
      </c>
      <c r="AU12" s="17" t="s">
        <v>322</v>
      </c>
      <c r="AV12" s="17" t="s">
        <v>322</v>
      </c>
      <c r="AW12" s="17" t="s">
        <v>322</v>
      </c>
      <c r="AX12" s="17" t="s">
        <v>322</v>
      </c>
      <c r="BA12" s="15" t="s">
        <v>586</v>
      </c>
      <c r="BB12" s="17" t="s">
        <v>584</v>
      </c>
      <c r="BC12" s="17" t="s">
        <v>322</v>
      </c>
      <c r="BD12" s="17" t="s">
        <v>581</v>
      </c>
      <c r="BE12" s="17" t="s">
        <v>322</v>
      </c>
      <c r="BF12" s="17" t="s">
        <v>322</v>
      </c>
      <c r="BH12" t="s">
        <v>512</v>
      </c>
      <c r="BI12" s="17" t="s">
        <v>106</v>
      </c>
      <c r="BJ12" s="17" t="s">
        <v>322</v>
      </c>
      <c r="BK12" s="17" t="s">
        <v>322</v>
      </c>
      <c r="BL12" s="17" t="s">
        <v>322</v>
      </c>
      <c r="BM12" s="17" t="s">
        <v>322</v>
      </c>
      <c r="BS12" s="118" t="s">
        <v>842</v>
      </c>
      <c r="BT12" s="117"/>
      <c r="BU12" s="127" t="s">
        <v>843</v>
      </c>
      <c r="BV12" s="117">
        <v>3</v>
      </c>
      <c r="CK12" s="17" t="s">
        <v>505</v>
      </c>
    </row>
    <row r="13" spans="2:94" x14ac:dyDescent="0.3">
      <c r="B13" s="15" t="s">
        <v>610</v>
      </c>
      <c r="AD13" t="s">
        <v>514</v>
      </c>
      <c r="AE13" s="17" t="s">
        <v>106</v>
      </c>
      <c r="AF13" s="17" t="s">
        <v>322</v>
      </c>
      <c r="AG13" s="17" t="s">
        <v>322</v>
      </c>
      <c r="AH13" s="17" t="s">
        <v>322</v>
      </c>
      <c r="AI13" s="17" t="s">
        <v>322</v>
      </c>
      <c r="AS13" t="s">
        <v>514</v>
      </c>
      <c r="AT13" s="17" t="s">
        <v>106</v>
      </c>
      <c r="AU13" s="17" t="s">
        <v>322</v>
      </c>
      <c r="AV13" s="17" t="s">
        <v>322</v>
      </c>
      <c r="AW13" s="17" t="s">
        <v>322</v>
      </c>
      <c r="AX13" s="17" t="s">
        <v>322</v>
      </c>
      <c r="BH13" t="s">
        <v>514</v>
      </c>
      <c r="BI13" s="17" t="s">
        <v>106</v>
      </c>
      <c r="BJ13" s="17" t="s">
        <v>322</v>
      </c>
      <c r="BK13" s="17" t="s">
        <v>322</v>
      </c>
      <c r="BL13" s="17" t="s">
        <v>322</v>
      </c>
      <c r="BM13" s="17" t="s">
        <v>322</v>
      </c>
      <c r="BS13" s="119" t="s">
        <v>844</v>
      </c>
      <c r="BT13" s="117"/>
      <c r="BU13" s="127" t="s">
        <v>845</v>
      </c>
      <c r="BV13" s="117">
        <v>3</v>
      </c>
      <c r="BY13" s="17" t="s">
        <v>683</v>
      </c>
      <c r="CK13" s="17" t="s">
        <v>683</v>
      </c>
    </row>
    <row r="14" spans="2:94" x14ac:dyDescent="0.3">
      <c r="C14" s="17" t="s">
        <v>315</v>
      </c>
      <c r="D14" s="17" t="s">
        <v>316</v>
      </c>
      <c r="E14" s="17" t="s">
        <v>317</v>
      </c>
      <c r="F14" s="17" t="s">
        <v>318</v>
      </c>
      <c r="G14" s="17" t="s">
        <v>319</v>
      </c>
      <c r="W14" s="15" t="s">
        <v>511</v>
      </c>
      <c r="AD14" t="s">
        <v>517</v>
      </c>
      <c r="AE14" s="17" t="s">
        <v>106</v>
      </c>
      <c r="AF14" s="17" t="s">
        <v>322</v>
      </c>
      <c r="AG14" s="17" t="s">
        <v>322</v>
      </c>
      <c r="AH14" s="17" t="s">
        <v>322</v>
      </c>
      <c r="AI14" s="17" t="s">
        <v>322</v>
      </c>
      <c r="AL14" s="15" t="s">
        <v>511</v>
      </c>
      <c r="AS14" t="s">
        <v>517</v>
      </c>
      <c r="AT14" s="17" t="s">
        <v>106</v>
      </c>
      <c r="AU14" s="17" t="s">
        <v>322</v>
      </c>
      <c r="AV14" s="17" t="s">
        <v>322</v>
      </c>
      <c r="AW14" s="17" t="s">
        <v>322</v>
      </c>
      <c r="AX14" s="17" t="s">
        <v>322</v>
      </c>
      <c r="BA14" s="15" t="s">
        <v>511</v>
      </c>
      <c r="BH14" t="s">
        <v>517</v>
      </c>
      <c r="BI14" s="17" t="s">
        <v>106</v>
      </c>
      <c r="BJ14" s="17" t="s">
        <v>322</v>
      </c>
      <c r="BK14" s="17" t="s">
        <v>322</v>
      </c>
      <c r="BL14" s="17" t="s">
        <v>322</v>
      </c>
      <c r="BM14" s="17" t="s">
        <v>322</v>
      </c>
      <c r="BS14" s="59"/>
      <c r="BT14" s="117"/>
      <c r="BU14" s="117"/>
      <c r="BV14" s="117"/>
    </row>
    <row r="15" spans="2:94" x14ac:dyDescent="0.3">
      <c r="B15" s="15" t="s">
        <v>512</v>
      </c>
      <c r="C15" s="17" t="s">
        <v>322</v>
      </c>
      <c r="D15" s="17" t="s">
        <v>612</v>
      </c>
      <c r="E15" s="17" t="s">
        <v>602</v>
      </c>
      <c r="F15" s="17" t="s">
        <v>613</v>
      </c>
      <c r="G15" s="17" t="s">
        <v>612</v>
      </c>
      <c r="X15" s="17" t="s">
        <v>315</v>
      </c>
      <c r="Y15" s="17" t="s">
        <v>316</v>
      </c>
      <c r="Z15" s="17" t="s">
        <v>317</v>
      </c>
      <c r="AA15" s="17" t="s">
        <v>318</v>
      </c>
      <c r="AB15" s="17" t="s">
        <v>319</v>
      </c>
      <c r="AD15" t="s">
        <v>326</v>
      </c>
      <c r="AE15" s="17" t="s">
        <v>106</v>
      </c>
      <c r="AF15" s="17" t="s">
        <v>106</v>
      </c>
      <c r="AG15" s="17" t="s">
        <v>322</v>
      </c>
      <c r="AH15" s="17" t="s">
        <v>322</v>
      </c>
      <c r="AI15" s="17" t="s">
        <v>322</v>
      </c>
      <c r="AM15" s="17" t="s">
        <v>315</v>
      </c>
      <c r="AN15" s="17" t="s">
        <v>316</v>
      </c>
      <c r="AO15" s="17" t="s">
        <v>317</v>
      </c>
      <c r="AP15" s="17" t="s">
        <v>318</v>
      </c>
      <c r="AQ15" s="17" t="s">
        <v>319</v>
      </c>
      <c r="AS15" t="s">
        <v>326</v>
      </c>
      <c r="AT15" s="17" t="s">
        <v>106</v>
      </c>
      <c r="AU15" s="17" t="s">
        <v>106</v>
      </c>
      <c r="AV15" s="17" t="s">
        <v>322</v>
      </c>
      <c r="AW15" s="17" t="s">
        <v>322</v>
      </c>
      <c r="AX15" s="17" t="s">
        <v>322</v>
      </c>
      <c r="BB15" s="17" t="s">
        <v>315</v>
      </c>
      <c r="BC15" s="17" t="s">
        <v>316</v>
      </c>
      <c r="BD15" s="17" t="s">
        <v>317</v>
      </c>
      <c r="BE15" s="17" t="s">
        <v>318</v>
      </c>
      <c r="BF15" s="17" t="s">
        <v>319</v>
      </c>
      <c r="BH15" t="s">
        <v>326</v>
      </c>
      <c r="BI15" s="17" t="s">
        <v>106</v>
      </c>
      <c r="BJ15" s="17" t="s">
        <v>106</v>
      </c>
      <c r="BK15" s="17" t="s">
        <v>322</v>
      </c>
      <c r="BL15" s="17" t="s">
        <v>322</v>
      </c>
      <c r="BM15" s="17" t="s">
        <v>322</v>
      </c>
      <c r="BS15" s="120" t="s">
        <v>846</v>
      </c>
      <c r="BT15" s="117"/>
      <c r="BU15" s="127" t="s">
        <v>845</v>
      </c>
      <c r="BV15" s="117">
        <v>4</v>
      </c>
      <c r="BY15" s="17" t="s">
        <v>724</v>
      </c>
      <c r="CK15" s="17" t="s">
        <v>724</v>
      </c>
    </row>
    <row r="16" spans="2:94" x14ac:dyDescent="0.3">
      <c r="B16" s="15" t="s">
        <v>514</v>
      </c>
      <c r="C16" s="17" t="s">
        <v>322</v>
      </c>
      <c r="D16" s="17" t="s">
        <v>612</v>
      </c>
      <c r="E16" s="17" t="s">
        <v>602</v>
      </c>
      <c r="F16" s="17" t="s">
        <v>613</v>
      </c>
      <c r="G16" s="17" t="s">
        <v>612</v>
      </c>
      <c r="W16" s="15" t="s">
        <v>512</v>
      </c>
      <c r="X16" s="17" t="s">
        <v>322</v>
      </c>
      <c r="Y16" s="17" t="s">
        <v>516</v>
      </c>
      <c r="Z16" s="17" t="s">
        <v>322</v>
      </c>
      <c r="AA16" s="17" t="s">
        <v>322</v>
      </c>
      <c r="AB16" s="17" t="s">
        <v>516</v>
      </c>
      <c r="AD16" t="s">
        <v>328</v>
      </c>
      <c r="AE16" s="17" t="s">
        <v>106</v>
      </c>
      <c r="AF16" s="17" t="s">
        <v>106</v>
      </c>
      <c r="AG16" s="17" t="s">
        <v>322</v>
      </c>
      <c r="AH16" s="17" t="s">
        <v>322</v>
      </c>
      <c r="AI16" s="17" t="s">
        <v>322</v>
      </c>
      <c r="AL16" s="15" t="s">
        <v>512</v>
      </c>
      <c r="AM16" s="17" t="s">
        <v>526</v>
      </c>
      <c r="AN16" s="17" t="s">
        <v>322</v>
      </c>
      <c r="AO16" s="17" t="s">
        <v>322</v>
      </c>
      <c r="AP16" s="17" t="s">
        <v>322</v>
      </c>
      <c r="AQ16" s="17" t="s">
        <v>528</v>
      </c>
      <c r="AS16" t="s">
        <v>328</v>
      </c>
      <c r="AT16" s="17" t="s">
        <v>106</v>
      </c>
      <c r="AU16" s="17" t="s">
        <v>106</v>
      </c>
      <c r="AV16" s="17" t="s">
        <v>322</v>
      </c>
      <c r="AW16" s="17" t="s">
        <v>322</v>
      </c>
      <c r="AX16" s="17" t="s">
        <v>322</v>
      </c>
      <c r="BA16" s="15" t="s">
        <v>512</v>
      </c>
      <c r="BB16" s="17" t="s">
        <v>516</v>
      </c>
      <c r="BC16" s="17" t="s">
        <v>322</v>
      </c>
      <c r="BD16" s="17" t="s">
        <v>322</v>
      </c>
      <c r="BE16" s="17" t="s">
        <v>322</v>
      </c>
      <c r="BF16" s="17" t="s">
        <v>528</v>
      </c>
      <c r="BH16" t="s">
        <v>328</v>
      </c>
      <c r="BI16" s="17" t="s">
        <v>106</v>
      </c>
      <c r="BJ16" s="17" t="s">
        <v>106</v>
      </c>
      <c r="BK16" s="17" t="s">
        <v>322</v>
      </c>
      <c r="BL16" s="17" t="s">
        <v>322</v>
      </c>
      <c r="BM16" s="17" t="s">
        <v>322</v>
      </c>
      <c r="BS16" s="121" t="s">
        <v>847</v>
      </c>
      <c r="BT16" s="117"/>
      <c r="BU16" s="128" t="s">
        <v>848</v>
      </c>
      <c r="BV16" s="117" t="s">
        <v>70</v>
      </c>
      <c r="BZ16" s="17" t="s">
        <v>315</v>
      </c>
      <c r="CA16" s="17" t="s">
        <v>316</v>
      </c>
      <c r="CB16" s="17" t="s">
        <v>317</v>
      </c>
      <c r="CC16" s="17" t="s">
        <v>318</v>
      </c>
      <c r="CD16" s="17" t="s">
        <v>319</v>
      </c>
      <c r="CL16" s="17" t="s">
        <v>315</v>
      </c>
      <c r="CM16" s="17" t="s">
        <v>316</v>
      </c>
      <c r="CN16" s="17" t="s">
        <v>317</v>
      </c>
      <c r="CO16" s="17" t="s">
        <v>318</v>
      </c>
      <c r="CP16" s="17" t="s">
        <v>319</v>
      </c>
    </row>
    <row r="17" spans="2:94" x14ac:dyDescent="0.3">
      <c r="B17" s="15" t="s">
        <v>517</v>
      </c>
      <c r="C17" s="17" t="s">
        <v>605</v>
      </c>
      <c r="D17" s="17" t="s">
        <v>606</v>
      </c>
      <c r="E17" s="17" t="s">
        <v>605</v>
      </c>
      <c r="F17" s="17" t="s">
        <v>613</v>
      </c>
      <c r="G17" s="17" t="s">
        <v>612</v>
      </c>
      <c r="W17" s="15" t="s">
        <v>514</v>
      </c>
      <c r="X17" s="17" t="s">
        <v>322</v>
      </c>
      <c r="Y17" s="17" t="s">
        <v>516</v>
      </c>
      <c r="Z17" s="17" t="s">
        <v>520</v>
      </c>
      <c r="AA17" s="17" t="s">
        <v>322</v>
      </c>
      <c r="AB17" s="17" t="s">
        <v>516</v>
      </c>
      <c r="AD17" t="s">
        <v>350</v>
      </c>
      <c r="AE17" s="17" t="s">
        <v>106</v>
      </c>
      <c r="AF17" s="17" t="s">
        <v>106</v>
      </c>
      <c r="AG17" s="17" t="s">
        <v>322</v>
      </c>
      <c r="AH17" s="17" t="s">
        <v>322</v>
      </c>
      <c r="AI17" s="17" t="s">
        <v>322</v>
      </c>
      <c r="AL17" s="15" t="s">
        <v>514</v>
      </c>
      <c r="AM17" s="17" t="s">
        <v>526</v>
      </c>
      <c r="AN17" s="17" t="s">
        <v>322</v>
      </c>
      <c r="AO17" s="17" t="s">
        <v>520</v>
      </c>
      <c r="AP17" s="17" t="s">
        <v>322</v>
      </c>
      <c r="AQ17" s="17" t="s">
        <v>528</v>
      </c>
      <c r="AS17" t="s">
        <v>350</v>
      </c>
      <c r="AT17" s="17" t="s">
        <v>106</v>
      </c>
      <c r="AU17" s="17" t="s">
        <v>106</v>
      </c>
      <c r="AV17" s="17" t="s">
        <v>322</v>
      </c>
      <c r="AW17" s="17" t="s">
        <v>322</v>
      </c>
      <c r="AX17" s="17" t="s">
        <v>322</v>
      </c>
      <c r="BA17" s="15" t="s">
        <v>514</v>
      </c>
      <c r="BB17" s="17" t="s">
        <v>516</v>
      </c>
      <c r="BC17" s="17" t="s">
        <v>322</v>
      </c>
      <c r="BD17" s="17" t="s">
        <v>516</v>
      </c>
      <c r="BE17" s="17" t="s">
        <v>520</v>
      </c>
      <c r="BF17" s="17" t="s">
        <v>528</v>
      </c>
      <c r="BH17" t="s">
        <v>350</v>
      </c>
      <c r="BI17" s="17" t="s">
        <v>106</v>
      </c>
      <c r="BJ17" s="17" t="s">
        <v>106</v>
      </c>
      <c r="BK17" s="17" t="s">
        <v>322</v>
      </c>
      <c r="BL17" s="17" t="s">
        <v>322</v>
      </c>
      <c r="BM17" s="17" t="s">
        <v>322</v>
      </c>
      <c r="BS17" s="119" t="s">
        <v>849</v>
      </c>
      <c r="BT17" s="117"/>
      <c r="BU17" s="127" t="s">
        <v>845</v>
      </c>
      <c r="BV17" s="117" t="s">
        <v>64</v>
      </c>
      <c r="BY17" s="17" t="s">
        <v>561</v>
      </c>
      <c r="BZ17" s="17" t="s">
        <v>850</v>
      </c>
      <c r="CA17" s="17" t="s">
        <v>72</v>
      </c>
      <c r="CB17" s="17" t="s">
        <v>284</v>
      </c>
      <c r="CC17" s="17" t="s">
        <v>322</v>
      </c>
      <c r="CD17" s="17" t="s">
        <v>851</v>
      </c>
      <c r="CK17" s="17" t="s">
        <v>561</v>
      </c>
      <c r="CL17" s="17" t="s">
        <v>72</v>
      </c>
      <c r="CM17" s="17" t="s">
        <v>268</v>
      </c>
      <c r="CN17" s="17" t="s">
        <v>268</v>
      </c>
      <c r="CO17" s="17" t="s">
        <v>72</v>
      </c>
      <c r="CP17" s="17" t="s">
        <v>79</v>
      </c>
    </row>
    <row r="18" spans="2:94" x14ac:dyDescent="0.3">
      <c r="B18" s="15" t="s">
        <v>326</v>
      </c>
      <c r="C18" s="17" t="s">
        <v>605</v>
      </c>
      <c r="D18" s="17" t="s">
        <v>606</v>
      </c>
      <c r="E18" s="17" t="s">
        <v>605</v>
      </c>
      <c r="F18" s="17" t="s">
        <v>606</v>
      </c>
      <c r="G18" s="17" t="s">
        <v>602</v>
      </c>
      <c r="W18" s="15" t="s">
        <v>517</v>
      </c>
      <c r="X18" s="17" t="s">
        <v>524</v>
      </c>
      <c r="Y18" s="17" t="s">
        <v>516</v>
      </c>
      <c r="Z18" s="17" t="s">
        <v>520</v>
      </c>
      <c r="AA18" s="17" t="s">
        <v>524</v>
      </c>
      <c r="AB18" s="17" t="s">
        <v>525</v>
      </c>
      <c r="AD18" t="s">
        <v>539</v>
      </c>
      <c r="AE18" s="17" t="s">
        <v>322</v>
      </c>
      <c r="AF18" s="17" t="s">
        <v>322</v>
      </c>
      <c r="AG18" s="17" t="s">
        <v>322</v>
      </c>
      <c r="AH18" s="17" t="s">
        <v>106</v>
      </c>
      <c r="AI18" s="17" t="s">
        <v>322</v>
      </c>
      <c r="AL18" s="15" t="s">
        <v>517</v>
      </c>
      <c r="AM18" s="17" t="s">
        <v>526</v>
      </c>
      <c r="AN18" s="17" t="s">
        <v>322</v>
      </c>
      <c r="AO18" s="17" t="s">
        <v>520</v>
      </c>
      <c r="AP18" s="17" t="s">
        <v>541</v>
      </c>
      <c r="AQ18" s="17" t="s">
        <v>521</v>
      </c>
      <c r="AS18" t="s">
        <v>539</v>
      </c>
      <c r="AT18" s="17" t="s">
        <v>322</v>
      </c>
      <c r="AU18" s="17" t="s">
        <v>322</v>
      </c>
      <c r="AV18" s="17" t="s">
        <v>106</v>
      </c>
      <c r="AW18" s="17" t="s">
        <v>322</v>
      </c>
      <c r="AX18" s="17" t="s">
        <v>322</v>
      </c>
      <c r="BA18" s="15" t="s">
        <v>517</v>
      </c>
      <c r="BB18" s="17" t="s">
        <v>516</v>
      </c>
      <c r="BC18" s="17" t="s">
        <v>322</v>
      </c>
      <c r="BD18" s="17" t="s">
        <v>516</v>
      </c>
      <c r="BE18" s="17" t="s">
        <v>520</v>
      </c>
      <c r="BF18" s="17" t="s">
        <v>544</v>
      </c>
      <c r="BH18" t="s">
        <v>536</v>
      </c>
      <c r="BI18" s="17" t="s">
        <v>322</v>
      </c>
      <c r="BJ18" s="17" t="s">
        <v>322</v>
      </c>
      <c r="BK18" s="17" t="s">
        <v>322</v>
      </c>
      <c r="BL18" s="17" t="s">
        <v>106</v>
      </c>
      <c r="BM18" s="17" t="s">
        <v>322</v>
      </c>
      <c r="BS18" s="59"/>
      <c r="BT18" s="117"/>
      <c r="BU18" s="117"/>
      <c r="BV18" s="117"/>
      <c r="BY18" s="17" t="s">
        <v>551</v>
      </c>
      <c r="BZ18" s="17" t="s">
        <v>850</v>
      </c>
      <c r="CA18" s="17" t="s">
        <v>72</v>
      </c>
      <c r="CB18" s="17" t="s">
        <v>284</v>
      </c>
      <c r="CC18" s="17" t="s">
        <v>72</v>
      </c>
      <c r="CD18" s="17" t="s">
        <v>851</v>
      </c>
      <c r="CK18" s="17" t="s">
        <v>551</v>
      </c>
      <c r="CL18" s="17" t="s">
        <v>72</v>
      </c>
      <c r="CM18" s="17" t="s">
        <v>268</v>
      </c>
      <c r="CN18" s="17" t="s">
        <v>850</v>
      </c>
      <c r="CO18" s="17" t="s">
        <v>72</v>
      </c>
      <c r="CP18" s="17" t="s">
        <v>852</v>
      </c>
    </row>
    <row r="19" spans="2:94" x14ac:dyDescent="0.3">
      <c r="B19" s="15" t="s">
        <v>328</v>
      </c>
      <c r="C19" s="130" t="s">
        <v>605</v>
      </c>
      <c r="D19" s="17" t="s">
        <v>603</v>
      </c>
      <c r="E19" s="17" t="s">
        <v>609</v>
      </c>
      <c r="F19" s="17" t="s">
        <v>606</v>
      </c>
      <c r="G19" s="17" t="s">
        <v>602</v>
      </c>
      <c r="W19" s="15" t="s">
        <v>326</v>
      </c>
      <c r="X19" s="17" t="s">
        <v>524</v>
      </c>
      <c r="Y19" s="17" t="s">
        <v>526</v>
      </c>
      <c r="Z19" s="17" t="s">
        <v>525</v>
      </c>
      <c r="AA19" s="17" t="s">
        <v>524</v>
      </c>
      <c r="AB19" s="17" t="s">
        <v>525</v>
      </c>
      <c r="AD19" t="s">
        <v>543</v>
      </c>
      <c r="AE19" s="17" t="s">
        <v>322</v>
      </c>
      <c r="AF19" s="17" t="s">
        <v>322</v>
      </c>
      <c r="AG19" s="17" t="s">
        <v>322</v>
      </c>
      <c r="AH19" s="17" t="s">
        <v>106</v>
      </c>
      <c r="AI19" s="17" t="s">
        <v>322</v>
      </c>
      <c r="AL19" s="15" t="s">
        <v>326</v>
      </c>
      <c r="AM19" s="17" t="s">
        <v>544</v>
      </c>
      <c r="AN19" s="17" t="s">
        <v>541</v>
      </c>
      <c r="AO19" s="17" t="s">
        <v>545</v>
      </c>
      <c r="AP19" s="17" t="s">
        <v>541</v>
      </c>
      <c r="AQ19" s="17" t="s">
        <v>521</v>
      </c>
      <c r="AS19" t="s">
        <v>543</v>
      </c>
      <c r="AT19" s="17" t="s">
        <v>322</v>
      </c>
      <c r="AU19" s="17" t="s">
        <v>322</v>
      </c>
      <c r="AV19" s="17" t="s">
        <v>106</v>
      </c>
      <c r="AW19" s="17" t="s">
        <v>322</v>
      </c>
      <c r="AX19" s="17" t="s">
        <v>322</v>
      </c>
      <c r="BA19" s="15" t="s">
        <v>326</v>
      </c>
      <c r="BB19" s="17" t="s">
        <v>526</v>
      </c>
      <c r="BC19" s="17" t="s">
        <v>322</v>
      </c>
      <c r="BD19" s="17" t="s">
        <v>544</v>
      </c>
      <c r="BE19" s="17" t="s">
        <v>527</v>
      </c>
      <c r="BF19" s="17" t="s">
        <v>544</v>
      </c>
      <c r="BH19" t="s">
        <v>539</v>
      </c>
      <c r="BI19" s="17" t="s">
        <v>322</v>
      </c>
      <c r="BJ19" s="17" t="s">
        <v>322</v>
      </c>
      <c r="BK19" s="17" t="s">
        <v>322</v>
      </c>
      <c r="BL19" s="17" t="s">
        <v>106</v>
      </c>
      <c r="BM19" s="17" t="s">
        <v>322</v>
      </c>
      <c r="BS19" s="123" t="s">
        <v>853</v>
      </c>
      <c r="BT19" s="117"/>
      <c r="BU19" s="129" t="s">
        <v>841</v>
      </c>
      <c r="BV19" s="117">
        <v>3</v>
      </c>
      <c r="BY19" s="17" t="s">
        <v>552</v>
      </c>
      <c r="BZ19" s="17" t="s">
        <v>77</v>
      </c>
      <c r="CA19" s="17" t="s">
        <v>75</v>
      </c>
      <c r="CB19" s="17" t="s">
        <v>854</v>
      </c>
      <c r="CC19" s="17" t="s">
        <v>72</v>
      </c>
      <c r="CD19" s="17" t="s">
        <v>851</v>
      </c>
      <c r="CK19" s="17" t="s">
        <v>552</v>
      </c>
      <c r="CL19" s="17" t="s">
        <v>75</v>
      </c>
      <c r="CM19" s="17" t="s">
        <v>77</v>
      </c>
      <c r="CN19" s="17" t="s">
        <v>850</v>
      </c>
      <c r="CO19" s="17" t="s">
        <v>75</v>
      </c>
      <c r="CP19" s="17" t="s">
        <v>852</v>
      </c>
    </row>
    <row r="20" spans="2:94" x14ac:dyDescent="0.3">
      <c r="B20" s="15" t="s">
        <v>350</v>
      </c>
      <c r="C20" s="17" t="s">
        <v>609</v>
      </c>
      <c r="D20" s="17" t="s">
        <v>603</v>
      </c>
      <c r="E20" s="17" t="s">
        <v>609</v>
      </c>
      <c r="F20" s="17" t="s">
        <v>606</v>
      </c>
      <c r="G20" s="17" t="s">
        <v>602</v>
      </c>
      <c r="W20" s="15" t="s">
        <v>328</v>
      </c>
      <c r="X20" s="17" t="s">
        <v>524</v>
      </c>
      <c r="Y20" s="17" t="s">
        <v>526</v>
      </c>
      <c r="Z20" s="17" t="s">
        <v>525</v>
      </c>
      <c r="AA20" s="17" t="s">
        <v>528</v>
      </c>
      <c r="AB20" s="17" t="s">
        <v>521</v>
      </c>
      <c r="AD20" t="s">
        <v>573</v>
      </c>
      <c r="AE20" s="17" t="s">
        <v>322</v>
      </c>
      <c r="AF20" s="17" t="s">
        <v>322</v>
      </c>
      <c r="AG20" s="17" t="s">
        <v>322</v>
      </c>
      <c r="AH20" s="17" t="s">
        <v>106</v>
      </c>
      <c r="AI20" s="17" t="s">
        <v>322</v>
      </c>
      <c r="AL20" s="15" t="s">
        <v>328</v>
      </c>
      <c r="AM20" s="17" t="s">
        <v>544</v>
      </c>
      <c r="AN20" s="17" t="s">
        <v>541</v>
      </c>
      <c r="AO20" s="17" t="s">
        <v>545</v>
      </c>
      <c r="AP20" s="17" t="s">
        <v>544</v>
      </c>
      <c r="AQ20" s="17" t="s">
        <v>545</v>
      </c>
      <c r="AS20" t="s">
        <v>573</v>
      </c>
      <c r="AT20" s="17" t="s">
        <v>322</v>
      </c>
      <c r="AU20" s="17" t="s">
        <v>322</v>
      </c>
      <c r="AV20" s="17" t="s">
        <v>106</v>
      </c>
      <c r="AW20" s="17" t="s">
        <v>322</v>
      </c>
      <c r="AX20" s="17" t="s">
        <v>322</v>
      </c>
      <c r="BA20" s="15" t="s">
        <v>328</v>
      </c>
      <c r="BB20" s="17" t="s">
        <v>526</v>
      </c>
      <c r="BC20" s="17" t="s">
        <v>527</v>
      </c>
      <c r="BD20" s="17" t="s">
        <v>544</v>
      </c>
      <c r="BE20" s="17" t="s">
        <v>527</v>
      </c>
      <c r="BF20" s="17" t="s">
        <v>521</v>
      </c>
      <c r="BH20" t="s">
        <v>543</v>
      </c>
      <c r="BI20" s="17" t="s">
        <v>322</v>
      </c>
      <c r="BJ20" s="17" t="s">
        <v>322</v>
      </c>
      <c r="BK20" s="17" t="s">
        <v>322</v>
      </c>
      <c r="BL20" s="17" t="s">
        <v>106</v>
      </c>
      <c r="BM20" s="17" t="s">
        <v>322</v>
      </c>
      <c r="BS20" s="119" t="s">
        <v>855</v>
      </c>
      <c r="BT20" s="117"/>
      <c r="BU20" s="127" t="s">
        <v>845</v>
      </c>
      <c r="BV20" s="117" t="s">
        <v>64</v>
      </c>
      <c r="BY20" s="17" t="s">
        <v>554</v>
      </c>
      <c r="BZ20" s="17" t="s">
        <v>77</v>
      </c>
      <c r="CA20" s="17" t="s">
        <v>75</v>
      </c>
      <c r="CB20" s="17" t="s">
        <v>854</v>
      </c>
      <c r="CC20" s="17" t="s">
        <v>75</v>
      </c>
      <c r="CD20" s="17" t="s">
        <v>79</v>
      </c>
      <c r="CK20" s="17" t="s">
        <v>554</v>
      </c>
      <c r="CL20" s="17" t="s">
        <v>75</v>
      </c>
      <c r="CM20" s="17" t="s">
        <v>77</v>
      </c>
      <c r="CN20" s="17" t="s">
        <v>79</v>
      </c>
      <c r="CO20" s="17" t="s">
        <v>75</v>
      </c>
      <c r="CP20" s="17" t="s">
        <v>856</v>
      </c>
    </row>
    <row r="21" spans="2:94" x14ac:dyDescent="0.3">
      <c r="C21" s="130" t="s">
        <v>609</v>
      </c>
      <c r="W21" s="15" t="s">
        <v>350</v>
      </c>
      <c r="X21" s="17" t="s">
        <v>322</v>
      </c>
      <c r="Y21" s="17" t="s">
        <v>526</v>
      </c>
      <c r="Z21" s="17" t="s">
        <v>525</v>
      </c>
      <c r="AA21" s="17" t="s">
        <v>528</v>
      </c>
      <c r="AB21" s="17" t="s">
        <v>521</v>
      </c>
      <c r="AL21" s="15" t="s">
        <v>350</v>
      </c>
      <c r="AM21" s="17" t="s">
        <v>544</v>
      </c>
      <c r="AN21" s="17" t="s">
        <v>541</v>
      </c>
      <c r="AO21" s="17" t="s">
        <v>545</v>
      </c>
      <c r="AP21" s="17" t="s">
        <v>544</v>
      </c>
      <c r="AQ21" s="17" t="s">
        <v>545</v>
      </c>
      <c r="BA21" s="15" t="s">
        <v>350</v>
      </c>
      <c r="BB21" s="17" t="s">
        <v>526</v>
      </c>
      <c r="BC21" s="17" t="s">
        <v>527</v>
      </c>
      <c r="BD21" s="17" t="s">
        <v>544</v>
      </c>
      <c r="BE21" s="17" t="s">
        <v>527</v>
      </c>
      <c r="BF21" s="17" t="s">
        <v>521</v>
      </c>
      <c r="BS21" s="119" t="s">
        <v>857</v>
      </c>
      <c r="BT21" s="117"/>
      <c r="BU21" s="127" t="s">
        <v>845</v>
      </c>
      <c r="BV21" s="117">
        <v>2</v>
      </c>
      <c r="BY21" s="17" t="s">
        <v>586</v>
      </c>
      <c r="BZ21" s="17" t="s">
        <v>77</v>
      </c>
      <c r="CA21" s="17" t="s">
        <v>75</v>
      </c>
      <c r="CB21" s="17" t="s">
        <v>79</v>
      </c>
      <c r="CC21" s="17" t="s">
        <v>75</v>
      </c>
      <c r="CD21" s="17" t="s">
        <v>79</v>
      </c>
      <c r="CK21" s="17" t="s">
        <v>586</v>
      </c>
      <c r="CL21" s="17" t="s">
        <v>75</v>
      </c>
      <c r="CM21" s="17" t="s">
        <v>77</v>
      </c>
      <c r="CN21" s="17" t="s">
        <v>79</v>
      </c>
      <c r="CO21" s="17" t="s">
        <v>322</v>
      </c>
      <c r="CP21" s="17" t="s">
        <v>322</v>
      </c>
    </row>
    <row r="22" spans="2:94" x14ac:dyDescent="0.3">
      <c r="AD22" t="s">
        <v>558</v>
      </c>
      <c r="AS22" t="s">
        <v>558</v>
      </c>
      <c r="BH22" t="s">
        <v>558</v>
      </c>
    </row>
    <row r="23" spans="2:94" x14ac:dyDescent="0.3">
      <c r="W23" s="15" t="s">
        <v>534</v>
      </c>
      <c r="AE23" s="17" t="s">
        <v>315</v>
      </c>
      <c r="AF23" s="17" t="s">
        <v>316</v>
      </c>
      <c r="AG23" s="17" t="s">
        <v>317</v>
      </c>
      <c r="AH23" s="17" t="s">
        <v>318</v>
      </c>
      <c r="AI23" s="17" t="s">
        <v>319</v>
      </c>
      <c r="AL23" s="15" t="s">
        <v>534</v>
      </c>
      <c r="AT23" s="17" t="s">
        <v>315</v>
      </c>
      <c r="AU23" s="17" t="s">
        <v>316</v>
      </c>
      <c r="AV23" s="17" t="s">
        <v>317</v>
      </c>
      <c r="AW23" s="17" t="s">
        <v>318</v>
      </c>
      <c r="AX23" s="17" t="s">
        <v>319</v>
      </c>
      <c r="BA23" s="15" t="s">
        <v>534</v>
      </c>
      <c r="BI23" s="17" t="s">
        <v>315</v>
      </c>
      <c r="BJ23" s="17" t="s">
        <v>316</v>
      </c>
      <c r="BK23" s="17" t="s">
        <v>317</v>
      </c>
      <c r="BL23" s="17" t="s">
        <v>318</v>
      </c>
      <c r="BM23" s="17" t="s">
        <v>319</v>
      </c>
      <c r="CK23" s="17" t="s">
        <v>685</v>
      </c>
    </row>
    <row r="24" spans="2:94" x14ac:dyDescent="0.3">
      <c r="X24" s="17" t="s">
        <v>315</v>
      </c>
      <c r="Y24" s="17" t="s">
        <v>316</v>
      </c>
      <c r="Z24" s="17" t="s">
        <v>317</v>
      </c>
      <c r="AA24" s="17" t="s">
        <v>318</v>
      </c>
      <c r="AB24" s="17" t="s">
        <v>319</v>
      </c>
      <c r="AD24" t="s">
        <v>561</v>
      </c>
      <c r="AE24" s="17" t="s">
        <v>322</v>
      </c>
      <c r="AF24" s="17" t="s">
        <v>322</v>
      </c>
      <c r="AG24" s="17" t="s">
        <v>72</v>
      </c>
      <c r="AH24" s="17" t="s">
        <v>322</v>
      </c>
      <c r="AI24" s="17" t="s">
        <v>72</v>
      </c>
      <c r="AM24" s="17" t="s">
        <v>315</v>
      </c>
      <c r="AN24" s="17" t="s">
        <v>316</v>
      </c>
      <c r="AO24" s="17" t="s">
        <v>317</v>
      </c>
      <c r="AP24" s="17" t="s">
        <v>318</v>
      </c>
      <c r="AQ24" s="17" t="s">
        <v>319</v>
      </c>
      <c r="AS24" t="s">
        <v>561</v>
      </c>
      <c r="AT24" s="17" t="s">
        <v>322</v>
      </c>
      <c r="AU24" s="17" t="s">
        <v>322</v>
      </c>
      <c r="AV24" s="17" t="s">
        <v>72</v>
      </c>
      <c r="AW24" s="17" t="s">
        <v>322</v>
      </c>
      <c r="AX24" s="17" t="s">
        <v>72</v>
      </c>
      <c r="BB24" s="17" t="s">
        <v>315</v>
      </c>
      <c r="BC24" s="17" t="s">
        <v>316</v>
      </c>
      <c r="BD24" s="17" t="s">
        <v>317</v>
      </c>
      <c r="BE24" s="17" t="s">
        <v>318</v>
      </c>
      <c r="BF24" s="17" t="s">
        <v>319</v>
      </c>
      <c r="BH24" t="s">
        <v>561</v>
      </c>
      <c r="BI24" s="17" t="s">
        <v>322</v>
      </c>
      <c r="BJ24" s="17" t="s">
        <v>322</v>
      </c>
      <c r="BK24" s="17" t="s">
        <v>72</v>
      </c>
      <c r="BL24" s="17" t="s">
        <v>322</v>
      </c>
      <c r="BM24" s="17" t="s">
        <v>72</v>
      </c>
      <c r="BS24" s="121" t="s">
        <v>847</v>
      </c>
      <c r="BT24" s="117" t="s">
        <v>70</v>
      </c>
      <c r="BY24" s="17" t="s">
        <v>736</v>
      </c>
      <c r="CL24" s="17" t="s">
        <v>315</v>
      </c>
      <c r="CM24" s="17" t="s">
        <v>316</v>
      </c>
      <c r="CN24" s="17" t="s">
        <v>317</v>
      </c>
      <c r="CO24" s="17" t="s">
        <v>318</v>
      </c>
      <c r="CP24" s="17" t="s">
        <v>319</v>
      </c>
    </row>
    <row r="25" spans="2:94" x14ac:dyDescent="0.3">
      <c r="W25" s="15" t="s">
        <v>512</v>
      </c>
      <c r="X25" s="17" t="s">
        <v>526</v>
      </c>
      <c r="Y25" s="17" t="s">
        <v>322</v>
      </c>
      <c r="Z25" s="17" t="s">
        <v>322</v>
      </c>
      <c r="AA25" s="17" t="s">
        <v>322</v>
      </c>
      <c r="AB25" s="17" t="s">
        <v>528</v>
      </c>
      <c r="AD25" t="s">
        <v>551</v>
      </c>
      <c r="AE25" s="17" t="s">
        <v>322</v>
      </c>
      <c r="AF25" s="17" t="s">
        <v>322</v>
      </c>
      <c r="AG25" s="17" t="s">
        <v>72</v>
      </c>
      <c r="AH25" s="17" t="s">
        <v>322</v>
      </c>
      <c r="AI25" s="17" t="s">
        <v>72</v>
      </c>
      <c r="AL25" s="15" t="s">
        <v>512</v>
      </c>
      <c r="AM25" s="17" t="s">
        <v>516</v>
      </c>
      <c r="AN25" s="17" t="s">
        <v>322</v>
      </c>
      <c r="AO25" s="17" t="s">
        <v>322</v>
      </c>
      <c r="AP25" s="17" t="s">
        <v>322</v>
      </c>
      <c r="AQ25" s="17" t="s">
        <v>521</v>
      </c>
      <c r="AS25" t="s">
        <v>551</v>
      </c>
      <c r="AT25" s="17" t="s">
        <v>322</v>
      </c>
      <c r="AU25" s="17" t="s">
        <v>322</v>
      </c>
      <c r="AV25" s="17" t="s">
        <v>72</v>
      </c>
      <c r="AW25" s="17" t="s">
        <v>322</v>
      </c>
      <c r="AX25" s="17" t="s">
        <v>72</v>
      </c>
      <c r="BA25" s="15" t="s">
        <v>512</v>
      </c>
      <c r="BB25" s="17" t="s">
        <v>535</v>
      </c>
      <c r="BC25" s="17" t="s">
        <v>322</v>
      </c>
      <c r="BD25" s="17" t="s">
        <v>322</v>
      </c>
      <c r="BE25" s="17" t="s">
        <v>535</v>
      </c>
      <c r="BF25" s="17" t="s">
        <v>322</v>
      </c>
      <c r="BH25" t="s">
        <v>551</v>
      </c>
      <c r="BI25" s="17" t="s">
        <v>322</v>
      </c>
      <c r="BJ25" s="17" t="s">
        <v>322</v>
      </c>
      <c r="BK25" s="17" t="s">
        <v>72</v>
      </c>
      <c r="BL25" s="17" t="s">
        <v>322</v>
      </c>
      <c r="BM25" s="17" t="s">
        <v>72</v>
      </c>
      <c r="BS25" s="115" t="s">
        <v>286</v>
      </c>
      <c r="BT25" s="117" t="s">
        <v>64</v>
      </c>
      <c r="CK25" s="17" t="s">
        <v>539</v>
      </c>
      <c r="CL25" s="17" t="s">
        <v>322</v>
      </c>
      <c r="CM25" s="17" t="s">
        <v>272</v>
      </c>
      <c r="CN25" s="17" t="s">
        <v>59</v>
      </c>
      <c r="CO25" s="17" t="s">
        <v>272</v>
      </c>
      <c r="CP25" s="17" t="s">
        <v>322</v>
      </c>
    </row>
    <row r="26" spans="2:94" x14ac:dyDescent="0.3">
      <c r="B26" s="15" t="s">
        <v>579</v>
      </c>
      <c r="W26" s="15" t="s">
        <v>514</v>
      </c>
      <c r="X26" s="17" t="s">
        <v>526</v>
      </c>
      <c r="Y26" s="17" t="s">
        <v>520</v>
      </c>
      <c r="Z26" s="17" t="s">
        <v>322</v>
      </c>
      <c r="AA26" s="17" t="s">
        <v>322</v>
      </c>
      <c r="AB26" s="17" t="s">
        <v>528</v>
      </c>
      <c r="AL26" s="15" t="s">
        <v>514</v>
      </c>
      <c r="AM26" s="17" t="s">
        <v>516</v>
      </c>
      <c r="AN26" s="17" t="s">
        <v>322</v>
      </c>
      <c r="AO26" s="17" t="s">
        <v>516</v>
      </c>
      <c r="AP26" s="17" t="s">
        <v>520</v>
      </c>
      <c r="AQ26" s="17" t="s">
        <v>521</v>
      </c>
      <c r="BA26" s="15" t="s">
        <v>514</v>
      </c>
      <c r="BB26" s="17" t="s">
        <v>535</v>
      </c>
      <c r="BC26" s="17" t="s">
        <v>520</v>
      </c>
      <c r="BD26" s="17" t="s">
        <v>322</v>
      </c>
      <c r="BE26" s="17" t="s">
        <v>535</v>
      </c>
      <c r="BF26" s="17" t="s">
        <v>322</v>
      </c>
      <c r="BY26" s="17" t="s">
        <v>759</v>
      </c>
      <c r="CK26" s="17" t="s">
        <v>543</v>
      </c>
      <c r="CL26" s="17" t="s">
        <v>322</v>
      </c>
      <c r="CM26" s="17" t="s">
        <v>858</v>
      </c>
      <c r="CN26" s="17" t="s">
        <v>59</v>
      </c>
      <c r="CO26" s="17" t="s">
        <v>272</v>
      </c>
      <c r="CP26" s="17" t="s">
        <v>322</v>
      </c>
    </row>
    <row r="27" spans="2:94" x14ac:dyDescent="0.3">
      <c r="C27" s="17" t="s">
        <v>315</v>
      </c>
      <c r="D27" s="17" t="s">
        <v>316</v>
      </c>
      <c r="E27" s="17" t="s">
        <v>317</v>
      </c>
      <c r="F27" s="17" t="s">
        <v>318</v>
      </c>
      <c r="G27" s="17" t="s">
        <v>319</v>
      </c>
      <c r="W27" s="15" t="s">
        <v>517</v>
      </c>
      <c r="X27" s="17" t="s">
        <v>526</v>
      </c>
      <c r="Y27" s="17" t="s">
        <v>520</v>
      </c>
      <c r="Z27" s="17" t="s">
        <v>322</v>
      </c>
      <c r="AA27" s="17" t="s">
        <v>544</v>
      </c>
      <c r="AB27" s="17" t="s">
        <v>521</v>
      </c>
      <c r="AD27" t="s">
        <v>565</v>
      </c>
      <c r="AL27" s="15" t="s">
        <v>517</v>
      </c>
      <c r="AM27" s="17" t="s">
        <v>516</v>
      </c>
      <c r="AN27" s="17" t="s">
        <v>322</v>
      </c>
      <c r="AO27" s="17" t="s">
        <v>516</v>
      </c>
      <c r="AP27" s="17" t="s">
        <v>520</v>
      </c>
      <c r="AQ27" s="17" t="s">
        <v>557</v>
      </c>
      <c r="AS27" t="s">
        <v>565</v>
      </c>
      <c r="BA27" s="15" t="s">
        <v>517</v>
      </c>
      <c r="BB27" s="17" t="s">
        <v>524</v>
      </c>
      <c r="BC27" s="17" t="s">
        <v>520</v>
      </c>
      <c r="BD27" s="17" t="s">
        <v>524</v>
      </c>
      <c r="BE27" s="17" t="s">
        <v>535</v>
      </c>
      <c r="BF27" s="17" t="s">
        <v>521</v>
      </c>
      <c r="BH27" t="s">
        <v>565</v>
      </c>
      <c r="BS27" s="120" t="s">
        <v>846</v>
      </c>
      <c r="BT27" s="117">
        <v>4</v>
      </c>
      <c r="BZ27" s="17" t="s">
        <v>315</v>
      </c>
      <c r="CA27" s="17" t="s">
        <v>316</v>
      </c>
      <c r="CB27" s="17" t="s">
        <v>317</v>
      </c>
      <c r="CC27" s="17" t="s">
        <v>318</v>
      </c>
      <c r="CD27" s="17" t="s">
        <v>319</v>
      </c>
      <c r="CK27" s="17" t="s">
        <v>573</v>
      </c>
      <c r="CL27" s="17" t="s">
        <v>859</v>
      </c>
      <c r="CM27" s="17" t="s">
        <v>276</v>
      </c>
      <c r="CN27" s="17" t="s">
        <v>859</v>
      </c>
      <c r="CO27" s="17" t="s">
        <v>213</v>
      </c>
      <c r="CP27" s="17" t="s">
        <v>860</v>
      </c>
    </row>
    <row r="28" spans="2:94" x14ac:dyDescent="0.3">
      <c r="B28" s="156" t="s">
        <v>573</v>
      </c>
      <c r="C28" s="17" t="s">
        <v>322</v>
      </c>
      <c r="D28" s="17" t="s">
        <v>322</v>
      </c>
      <c r="E28" s="17" t="s">
        <v>322</v>
      </c>
      <c r="F28" s="17" t="s">
        <v>322</v>
      </c>
      <c r="G28" s="130" t="s">
        <v>583</v>
      </c>
      <c r="W28" s="15" t="s">
        <v>326</v>
      </c>
      <c r="X28" s="17" t="s">
        <v>544</v>
      </c>
      <c r="Y28" s="17" t="s">
        <v>527</v>
      </c>
      <c r="Z28" s="17" t="s">
        <v>545</v>
      </c>
      <c r="AA28" s="17" t="s">
        <v>544</v>
      </c>
      <c r="AB28" s="17" t="s">
        <v>521</v>
      </c>
      <c r="AE28" s="17" t="s">
        <v>315</v>
      </c>
      <c r="AF28" s="17" t="s">
        <v>316</v>
      </c>
      <c r="AG28" s="17" t="s">
        <v>317</v>
      </c>
      <c r="AH28" s="17" t="s">
        <v>318</v>
      </c>
      <c r="AI28" s="17" t="s">
        <v>319</v>
      </c>
      <c r="AL28" s="15" t="s">
        <v>326</v>
      </c>
      <c r="AM28" s="17" t="s">
        <v>526</v>
      </c>
      <c r="AN28" s="17" t="s">
        <v>322</v>
      </c>
      <c r="AO28" s="17" t="s">
        <v>557</v>
      </c>
      <c r="AP28" s="17" t="s">
        <v>527</v>
      </c>
      <c r="AQ28" s="17" t="s">
        <v>557</v>
      </c>
      <c r="AT28" s="17" t="s">
        <v>315</v>
      </c>
      <c r="AU28" s="17" t="s">
        <v>316</v>
      </c>
      <c r="AV28" s="17" t="s">
        <v>317</v>
      </c>
      <c r="AW28" s="17" t="s">
        <v>318</v>
      </c>
      <c r="AX28" s="17" t="s">
        <v>319</v>
      </c>
      <c r="BA28" s="15" t="s">
        <v>326</v>
      </c>
      <c r="BB28" s="17" t="s">
        <v>524</v>
      </c>
      <c r="BC28" s="17" t="s">
        <v>526</v>
      </c>
      <c r="BD28" s="17" t="s">
        <v>524</v>
      </c>
      <c r="BE28" s="17" t="s">
        <v>525</v>
      </c>
      <c r="BF28" s="17" t="s">
        <v>521</v>
      </c>
      <c r="BI28" s="17" t="s">
        <v>315</v>
      </c>
      <c r="BJ28" s="17" t="s">
        <v>316</v>
      </c>
      <c r="BK28" s="17" t="s">
        <v>317</v>
      </c>
      <c r="BL28" s="17" t="s">
        <v>318</v>
      </c>
      <c r="BM28" s="17" t="s">
        <v>319</v>
      </c>
      <c r="BS28" s="123" t="s">
        <v>853</v>
      </c>
      <c r="BT28" s="117">
        <v>3</v>
      </c>
      <c r="BY28" s="17" t="s">
        <v>539</v>
      </c>
      <c r="BZ28" s="17" t="s">
        <v>266</v>
      </c>
      <c r="CA28" s="17" t="s">
        <v>248</v>
      </c>
      <c r="CB28" s="17" t="s">
        <v>322</v>
      </c>
      <c r="CC28" s="17" t="s">
        <v>265</v>
      </c>
      <c r="CD28" s="17" t="s">
        <v>861</v>
      </c>
      <c r="CK28" s="17" t="s">
        <v>561</v>
      </c>
      <c r="CL28" s="17" t="s">
        <v>859</v>
      </c>
      <c r="CM28" s="17" t="s">
        <v>213</v>
      </c>
      <c r="CN28" s="17" t="s">
        <v>859</v>
      </c>
      <c r="CO28" s="17" t="s">
        <v>213</v>
      </c>
      <c r="CP28" s="17" t="s">
        <v>860</v>
      </c>
    </row>
    <row r="29" spans="2:94" x14ac:dyDescent="0.3">
      <c r="B29" s="15" t="s">
        <v>561</v>
      </c>
      <c r="C29" s="151" t="s">
        <v>581</v>
      </c>
      <c r="D29" s="151" t="s">
        <v>582</v>
      </c>
      <c r="E29" s="151" t="s">
        <v>583</v>
      </c>
      <c r="F29" s="151" t="s">
        <v>581</v>
      </c>
      <c r="G29" s="151" t="s">
        <v>583</v>
      </c>
      <c r="W29" s="15" t="s">
        <v>328</v>
      </c>
      <c r="X29" s="17" t="s">
        <v>544</v>
      </c>
      <c r="Y29" s="17" t="s">
        <v>527</v>
      </c>
      <c r="Z29" s="17" t="s">
        <v>545</v>
      </c>
      <c r="AA29" s="17" t="s">
        <v>527</v>
      </c>
      <c r="AB29" s="17" t="s">
        <v>545</v>
      </c>
      <c r="AD29" t="s">
        <v>326</v>
      </c>
      <c r="AE29" s="17" t="s">
        <v>322</v>
      </c>
      <c r="AF29" s="17" t="s">
        <v>81</v>
      </c>
      <c r="AG29" s="17" t="s">
        <v>322</v>
      </c>
      <c r="AH29" s="17" t="s">
        <v>322</v>
      </c>
      <c r="AI29" s="17" t="s">
        <v>322</v>
      </c>
      <c r="AL29" s="15" t="s">
        <v>328</v>
      </c>
      <c r="AM29" s="17" t="s">
        <v>526</v>
      </c>
      <c r="AN29" s="17" t="s">
        <v>527</v>
      </c>
      <c r="AO29" s="17" t="s">
        <v>557</v>
      </c>
      <c r="AP29" s="17" t="s">
        <v>527</v>
      </c>
      <c r="AQ29" s="17" t="s">
        <v>528</v>
      </c>
      <c r="AS29" t="s">
        <v>326</v>
      </c>
      <c r="AT29" s="17" t="s">
        <v>322</v>
      </c>
      <c r="AU29" s="17" t="s">
        <v>322</v>
      </c>
      <c r="AV29" s="17" t="s">
        <v>322</v>
      </c>
      <c r="AW29" s="17" t="s">
        <v>81</v>
      </c>
      <c r="AX29" s="17" t="s">
        <v>322</v>
      </c>
      <c r="BA29" s="15" t="s">
        <v>328</v>
      </c>
      <c r="BB29" s="17" t="s">
        <v>525</v>
      </c>
      <c r="BC29" s="17" t="s">
        <v>526</v>
      </c>
      <c r="BD29" s="17" t="s">
        <v>524</v>
      </c>
      <c r="BE29" s="17" t="s">
        <v>525</v>
      </c>
      <c r="BF29" s="17" t="s">
        <v>528</v>
      </c>
      <c r="BH29" t="s">
        <v>326</v>
      </c>
      <c r="BI29" s="17" t="s">
        <v>322</v>
      </c>
      <c r="BJ29" s="17" t="s">
        <v>322</v>
      </c>
      <c r="BK29" s="17" t="s">
        <v>322</v>
      </c>
      <c r="BL29" s="17" t="s">
        <v>81</v>
      </c>
      <c r="BM29" s="17" t="s">
        <v>322</v>
      </c>
      <c r="BY29" s="17" t="s">
        <v>543</v>
      </c>
      <c r="BZ29" s="17" t="s">
        <v>266</v>
      </c>
      <c r="CA29" s="17" t="s">
        <v>248</v>
      </c>
      <c r="CB29" s="17" t="s">
        <v>322</v>
      </c>
      <c r="CC29" s="17" t="s">
        <v>265</v>
      </c>
      <c r="CD29" s="17" t="s">
        <v>861</v>
      </c>
      <c r="CK29" s="17" t="s">
        <v>551</v>
      </c>
      <c r="CL29" s="17" t="s">
        <v>274</v>
      </c>
      <c r="CM29" s="17" t="s">
        <v>213</v>
      </c>
      <c r="CN29" s="17" t="s">
        <v>199</v>
      </c>
      <c r="CO29" s="17" t="s">
        <v>213</v>
      </c>
      <c r="CP29" s="17" t="s">
        <v>199</v>
      </c>
    </row>
    <row r="30" spans="2:94" x14ac:dyDescent="0.3">
      <c r="B30" s="15" t="s">
        <v>551</v>
      </c>
      <c r="C30" s="151" t="s">
        <v>581</v>
      </c>
      <c r="D30" s="151" t="s">
        <v>582</v>
      </c>
      <c r="E30" s="151" t="s">
        <v>583</v>
      </c>
      <c r="F30" s="151" t="s">
        <v>581</v>
      </c>
      <c r="G30" s="151" t="s">
        <v>583</v>
      </c>
      <c r="W30" s="15" t="s">
        <v>350</v>
      </c>
      <c r="X30" s="17" t="s">
        <v>544</v>
      </c>
      <c r="Y30" s="17" t="s">
        <v>527</v>
      </c>
      <c r="Z30" s="17" t="s">
        <v>545</v>
      </c>
      <c r="AA30" s="17" t="s">
        <v>527</v>
      </c>
      <c r="AB30" s="17" t="s">
        <v>545</v>
      </c>
      <c r="AD30" t="s">
        <v>328</v>
      </c>
      <c r="AE30" s="17" t="s">
        <v>322</v>
      </c>
      <c r="AF30" s="17" t="s">
        <v>81</v>
      </c>
      <c r="AG30" s="17" t="s">
        <v>322</v>
      </c>
      <c r="AH30" s="17" t="s">
        <v>81</v>
      </c>
      <c r="AI30" s="17" t="s">
        <v>322</v>
      </c>
      <c r="AL30" s="15" t="s">
        <v>350</v>
      </c>
      <c r="AM30" s="17" t="s">
        <v>526</v>
      </c>
      <c r="AN30" s="17" t="s">
        <v>527</v>
      </c>
      <c r="AO30" s="17" t="s">
        <v>557</v>
      </c>
      <c r="AP30" s="17" t="s">
        <v>527</v>
      </c>
      <c r="AQ30" s="17" t="s">
        <v>528</v>
      </c>
      <c r="AS30" t="s">
        <v>328</v>
      </c>
      <c r="AT30" s="17" t="s">
        <v>322</v>
      </c>
      <c r="AU30" s="17" t="s">
        <v>81</v>
      </c>
      <c r="AV30" s="17" t="s">
        <v>322</v>
      </c>
      <c r="AW30" s="17" t="s">
        <v>81</v>
      </c>
      <c r="AX30" s="17" t="s">
        <v>322</v>
      </c>
      <c r="BA30" s="15" t="s">
        <v>350</v>
      </c>
      <c r="BB30" s="17" t="s">
        <v>525</v>
      </c>
      <c r="BC30" s="17" t="s">
        <v>526</v>
      </c>
      <c r="BD30" s="17" t="s">
        <v>322</v>
      </c>
      <c r="BE30" s="17" t="s">
        <v>525</v>
      </c>
      <c r="BF30" s="17" t="s">
        <v>528</v>
      </c>
      <c r="BH30" t="s">
        <v>328</v>
      </c>
      <c r="BI30" s="17" t="s">
        <v>322</v>
      </c>
      <c r="BJ30" s="17" t="s">
        <v>81</v>
      </c>
      <c r="BK30" s="17" t="s">
        <v>322</v>
      </c>
      <c r="BL30" s="17" t="s">
        <v>81</v>
      </c>
      <c r="BM30" s="17" t="s">
        <v>322</v>
      </c>
      <c r="BS30" s="118" t="s">
        <v>267</v>
      </c>
      <c r="BT30" s="117">
        <v>3</v>
      </c>
      <c r="BY30" s="17" t="s">
        <v>573</v>
      </c>
      <c r="BZ30" s="17" t="s">
        <v>322</v>
      </c>
      <c r="CA30" s="17" t="s">
        <v>248</v>
      </c>
      <c r="CB30" s="17" t="s">
        <v>290</v>
      </c>
      <c r="CC30" s="17" t="s">
        <v>265</v>
      </c>
      <c r="CD30" s="17" t="s">
        <v>293</v>
      </c>
      <c r="CK30" s="17" t="s">
        <v>552</v>
      </c>
      <c r="CL30" s="17" t="s">
        <v>862</v>
      </c>
      <c r="CM30" s="17" t="s">
        <v>213</v>
      </c>
      <c r="CN30" s="17" t="s">
        <v>199</v>
      </c>
      <c r="CO30" s="17" t="s">
        <v>277</v>
      </c>
      <c r="CP30" s="17" t="s">
        <v>199</v>
      </c>
    </row>
    <row r="31" spans="2:94" x14ac:dyDescent="0.3">
      <c r="B31" s="15" t="s">
        <v>552</v>
      </c>
      <c r="C31" s="151" t="s">
        <v>581</v>
      </c>
      <c r="D31" s="151" t="s">
        <v>585</v>
      </c>
      <c r="E31" s="151" t="s">
        <v>583</v>
      </c>
      <c r="F31" s="159" t="s">
        <v>322</v>
      </c>
      <c r="G31" s="160" t="s">
        <v>582</v>
      </c>
      <c r="AD31" t="s">
        <v>350</v>
      </c>
      <c r="AE31" s="17" t="s">
        <v>322</v>
      </c>
      <c r="AF31" s="17" t="s">
        <v>81</v>
      </c>
      <c r="AG31" s="17" t="s">
        <v>322</v>
      </c>
      <c r="AH31" s="17" t="s">
        <v>81</v>
      </c>
      <c r="AI31" s="17" t="s">
        <v>322</v>
      </c>
      <c r="AS31" t="s">
        <v>350</v>
      </c>
      <c r="AT31" s="17" t="s">
        <v>322</v>
      </c>
      <c r="AU31" s="17" t="s">
        <v>81</v>
      </c>
      <c r="AV31" s="17" t="s">
        <v>322</v>
      </c>
      <c r="AW31" s="17" t="s">
        <v>81</v>
      </c>
      <c r="AX31" s="17" t="s">
        <v>322</v>
      </c>
      <c r="BH31" t="s">
        <v>350</v>
      </c>
      <c r="BI31" s="17" t="s">
        <v>322</v>
      </c>
      <c r="BJ31" s="17" t="s">
        <v>81</v>
      </c>
      <c r="BK31" s="17" t="s">
        <v>322</v>
      </c>
      <c r="BL31" s="17" t="s">
        <v>81</v>
      </c>
      <c r="BM31" s="17" t="s">
        <v>322</v>
      </c>
      <c r="BY31" s="17" t="s">
        <v>561</v>
      </c>
      <c r="BZ31" s="17" t="s">
        <v>850</v>
      </c>
      <c r="CA31" s="17" t="s">
        <v>263</v>
      </c>
      <c r="CB31" s="17" t="s">
        <v>863</v>
      </c>
      <c r="CC31" s="17" t="s">
        <v>265</v>
      </c>
      <c r="CD31" s="17" t="s">
        <v>864</v>
      </c>
      <c r="CK31" s="17" t="s">
        <v>554</v>
      </c>
      <c r="CL31" s="17" t="s">
        <v>277</v>
      </c>
      <c r="CM31" s="17" t="s">
        <v>322</v>
      </c>
      <c r="CN31" s="17" t="s">
        <v>202</v>
      </c>
      <c r="CO31" s="17" t="s">
        <v>277</v>
      </c>
      <c r="CP31" s="17" t="s">
        <v>59</v>
      </c>
    </row>
    <row r="32" spans="2:94" x14ac:dyDescent="0.3">
      <c r="B32" s="15" t="s">
        <v>554</v>
      </c>
      <c r="C32" s="151" t="s">
        <v>584</v>
      </c>
      <c r="D32" s="151" t="s">
        <v>585</v>
      </c>
      <c r="E32" s="151" t="s">
        <v>584</v>
      </c>
      <c r="F32" s="159" t="s">
        <v>322</v>
      </c>
      <c r="G32" s="160" t="s">
        <v>582</v>
      </c>
      <c r="W32" s="15" t="s">
        <v>550</v>
      </c>
      <c r="AD32" t="s">
        <v>536</v>
      </c>
      <c r="AE32" s="17" t="s">
        <v>322</v>
      </c>
      <c r="AF32" s="17" t="s">
        <v>108</v>
      </c>
      <c r="AG32" s="17" t="s">
        <v>322</v>
      </c>
      <c r="AH32" s="17" t="s">
        <v>108</v>
      </c>
      <c r="AI32" s="17" t="s">
        <v>322</v>
      </c>
      <c r="AL32" s="15" t="s">
        <v>550</v>
      </c>
      <c r="AS32" t="s">
        <v>536</v>
      </c>
      <c r="AT32" s="17" t="s">
        <v>322</v>
      </c>
      <c r="AU32" s="17" t="s">
        <v>108</v>
      </c>
      <c r="AV32" s="17" t="s">
        <v>322</v>
      </c>
      <c r="AW32" s="17" t="s">
        <v>111</v>
      </c>
      <c r="AX32" s="17" t="s">
        <v>322</v>
      </c>
      <c r="BA32" s="15" t="s">
        <v>550</v>
      </c>
      <c r="BH32" t="s">
        <v>536</v>
      </c>
      <c r="BI32" s="17" t="s">
        <v>322</v>
      </c>
      <c r="BJ32" s="17" t="s">
        <v>108</v>
      </c>
      <c r="BK32" s="17" t="s">
        <v>322</v>
      </c>
      <c r="BL32" s="17" t="s">
        <v>108</v>
      </c>
      <c r="BM32" s="17" t="s">
        <v>322</v>
      </c>
      <c r="BY32" s="17" t="s">
        <v>551</v>
      </c>
      <c r="BZ32" s="17" t="s">
        <v>850</v>
      </c>
      <c r="CA32" s="17" t="s">
        <v>263</v>
      </c>
      <c r="CB32" s="17" t="s">
        <v>863</v>
      </c>
      <c r="CC32" s="17" t="s">
        <v>263</v>
      </c>
      <c r="CD32" s="17" t="s">
        <v>864</v>
      </c>
    </row>
    <row r="33" spans="2:94" x14ac:dyDescent="0.3">
      <c r="B33" s="15" t="s">
        <v>586</v>
      </c>
      <c r="C33" s="151" t="s">
        <v>584</v>
      </c>
      <c r="D33" s="151" t="s">
        <v>322</v>
      </c>
      <c r="E33" s="151" t="s">
        <v>584</v>
      </c>
      <c r="F33" s="151" t="s">
        <v>322</v>
      </c>
      <c r="G33" s="151" t="s">
        <v>322</v>
      </c>
      <c r="X33" s="17" t="s">
        <v>315</v>
      </c>
      <c r="Y33" s="17" t="s">
        <v>316</v>
      </c>
      <c r="Z33" s="17" t="s">
        <v>317</v>
      </c>
      <c r="AA33" s="17" t="s">
        <v>318</v>
      </c>
      <c r="AB33" s="17" t="s">
        <v>319</v>
      </c>
      <c r="AD33" t="s">
        <v>539</v>
      </c>
      <c r="AE33" s="17" t="s">
        <v>322</v>
      </c>
      <c r="AF33" s="17" t="s">
        <v>108</v>
      </c>
      <c r="AG33" s="17" t="s">
        <v>322</v>
      </c>
      <c r="AH33" s="17" t="s">
        <v>108</v>
      </c>
      <c r="AI33" s="17" t="s">
        <v>322</v>
      </c>
      <c r="AM33" s="17" t="s">
        <v>315</v>
      </c>
      <c r="AN33" s="17" t="s">
        <v>316</v>
      </c>
      <c r="AO33" s="17" t="s">
        <v>317</v>
      </c>
      <c r="AP33" s="17" t="s">
        <v>318</v>
      </c>
      <c r="AQ33" s="17" t="s">
        <v>319</v>
      </c>
      <c r="AS33" t="s">
        <v>539</v>
      </c>
      <c r="AT33" s="17" t="s">
        <v>322</v>
      </c>
      <c r="AU33" s="17" t="s">
        <v>108</v>
      </c>
      <c r="AV33" s="17" t="s">
        <v>322</v>
      </c>
      <c r="AW33" s="17" t="s">
        <v>111</v>
      </c>
      <c r="AX33" s="17" t="s">
        <v>322</v>
      </c>
      <c r="BB33" s="17" t="s">
        <v>315</v>
      </c>
      <c r="BC33" s="17" t="s">
        <v>316</v>
      </c>
      <c r="BD33" s="17" t="s">
        <v>317</v>
      </c>
      <c r="BE33" s="17" t="s">
        <v>318</v>
      </c>
      <c r="BF33" s="17" t="s">
        <v>319</v>
      </c>
      <c r="BH33" t="s">
        <v>539</v>
      </c>
      <c r="BI33" s="17" t="s">
        <v>322</v>
      </c>
      <c r="BJ33" s="17" t="s">
        <v>108</v>
      </c>
      <c r="BK33" s="17" t="s">
        <v>322</v>
      </c>
      <c r="BL33" s="17" t="s">
        <v>108</v>
      </c>
      <c r="BM33" s="17" t="s">
        <v>322</v>
      </c>
      <c r="BY33" s="17" t="s">
        <v>552</v>
      </c>
      <c r="BZ33" s="17" t="s">
        <v>232</v>
      </c>
      <c r="CA33" s="17" t="s">
        <v>322</v>
      </c>
      <c r="CB33" s="17" t="s">
        <v>865</v>
      </c>
      <c r="CC33" s="17" t="s">
        <v>263</v>
      </c>
      <c r="CD33" s="17" t="s">
        <v>864</v>
      </c>
      <c r="CK33" s="17" t="s">
        <v>700</v>
      </c>
    </row>
    <row r="34" spans="2:94" x14ac:dyDescent="0.3">
      <c r="B34" s="73"/>
      <c r="J34" s="161"/>
      <c r="W34" s="15" t="s">
        <v>512</v>
      </c>
      <c r="X34" s="17" t="s">
        <v>535</v>
      </c>
      <c r="Y34" s="17" t="s">
        <v>322</v>
      </c>
      <c r="Z34" s="17" t="s">
        <v>322</v>
      </c>
      <c r="AA34" s="17" t="s">
        <v>535</v>
      </c>
      <c r="AB34" s="17" t="s">
        <v>521</v>
      </c>
      <c r="AD34" t="s">
        <v>543</v>
      </c>
      <c r="AE34" s="17" t="s">
        <v>322</v>
      </c>
      <c r="AF34" s="17" t="s">
        <v>111</v>
      </c>
      <c r="AG34" s="17" t="s">
        <v>322</v>
      </c>
      <c r="AH34" s="17" t="s">
        <v>108</v>
      </c>
      <c r="AI34" s="17" t="s">
        <v>322</v>
      </c>
      <c r="AL34" s="15" t="s">
        <v>512</v>
      </c>
      <c r="AM34" s="17" t="s">
        <v>322</v>
      </c>
      <c r="AN34" s="17" t="s">
        <v>322</v>
      </c>
      <c r="AO34" s="17" t="s">
        <v>535</v>
      </c>
      <c r="AP34" s="17" t="s">
        <v>322</v>
      </c>
      <c r="AQ34" s="17" t="s">
        <v>535</v>
      </c>
      <c r="AS34" t="s">
        <v>543</v>
      </c>
      <c r="AT34" s="17" t="s">
        <v>322</v>
      </c>
      <c r="AU34" s="17" t="s">
        <v>108</v>
      </c>
      <c r="AV34" s="17" t="s">
        <v>322</v>
      </c>
      <c r="AW34" s="17" t="s">
        <v>108</v>
      </c>
      <c r="AX34" s="17" t="s">
        <v>322</v>
      </c>
      <c r="BA34" s="15" t="s">
        <v>512</v>
      </c>
      <c r="BB34" s="17" t="s">
        <v>526</v>
      </c>
      <c r="BC34" s="17" t="s">
        <v>322</v>
      </c>
      <c r="BD34" s="17" t="s">
        <v>322</v>
      </c>
      <c r="BE34" s="17" t="s">
        <v>322</v>
      </c>
      <c r="BF34" s="17" t="s">
        <v>521</v>
      </c>
      <c r="BH34" t="s">
        <v>543</v>
      </c>
      <c r="BI34" s="17" t="s">
        <v>322</v>
      </c>
      <c r="BJ34" s="17" t="s">
        <v>111</v>
      </c>
      <c r="BK34" s="17" t="s">
        <v>322</v>
      </c>
      <c r="BL34" s="17" t="s">
        <v>108</v>
      </c>
      <c r="BM34" s="17" t="s">
        <v>322</v>
      </c>
      <c r="BS34" s="59"/>
      <c r="BT34" s="117"/>
      <c r="BU34" s="117"/>
      <c r="BV34" s="117"/>
      <c r="BY34" s="17" t="s">
        <v>554</v>
      </c>
      <c r="BZ34" s="17" t="s">
        <v>232</v>
      </c>
      <c r="CA34" s="17" t="s">
        <v>322</v>
      </c>
      <c r="CB34" s="17" t="s">
        <v>866</v>
      </c>
      <c r="CC34" s="17" t="s">
        <v>322</v>
      </c>
      <c r="CD34" s="17" t="s">
        <v>322</v>
      </c>
      <c r="CL34" s="17" t="s">
        <v>315</v>
      </c>
      <c r="CM34" s="17" t="s">
        <v>316</v>
      </c>
      <c r="CN34" s="17" t="s">
        <v>317</v>
      </c>
      <c r="CO34" s="17" t="s">
        <v>318</v>
      </c>
      <c r="CP34" s="17" t="s">
        <v>319</v>
      </c>
    </row>
    <row r="35" spans="2:94" x14ac:dyDescent="0.3">
      <c r="W35" s="15" t="s">
        <v>514</v>
      </c>
      <c r="X35" s="17" t="s">
        <v>535</v>
      </c>
      <c r="Y35" s="17" t="s">
        <v>322</v>
      </c>
      <c r="Z35" s="17" t="s">
        <v>322</v>
      </c>
      <c r="AA35" s="17" t="s">
        <v>535</v>
      </c>
      <c r="AB35" s="17" t="s">
        <v>521</v>
      </c>
      <c r="AD35" t="s">
        <v>573</v>
      </c>
      <c r="AE35" s="17" t="s">
        <v>322</v>
      </c>
      <c r="AF35" s="17" t="s">
        <v>111</v>
      </c>
      <c r="AG35" s="17" t="s">
        <v>322</v>
      </c>
      <c r="AH35" s="17" t="s">
        <v>322</v>
      </c>
      <c r="AI35" s="17" t="s">
        <v>322</v>
      </c>
      <c r="AL35" s="15" t="s">
        <v>514</v>
      </c>
      <c r="AM35" s="17" t="s">
        <v>322</v>
      </c>
      <c r="AN35" s="17" t="s">
        <v>520</v>
      </c>
      <c r="AO35" s="17" t="s">
        <v>535</v>
      </c>
      <c r="AP35" s="17" t="s">
        <v>322</v>
      </c>
      <c r="AQ35" s="17" t="s">
        <v>535</v>
      </c>
      <c r="AS35" t="s">
        <v>573</v>
      </c>
      <c r="AT35" s="17" t="s">
        <v>322</v>
      </c>
      <c r="AU35" s="17" t="s">
        <v>322</v>
      </c>
      <c r="AV35" s="17" t="s">
        <v>322</v>
      </c>
      <c r="AW35" s="17" t="s">
        <v>108</v>
      </c>
      <c r="AX35" s="17" t="s">
        <v>322</v>
      </c>
      <c r="BA35" s="15" t="s">
        <v>514</v>
      </c>
      <c r="BB35" s="17" t="s">
        <v>526</v>
      </c>
      <c r="BC35" s="17" t="s">
        <v>322</v>
      </c>
      <c r="BD35" s="17" t="s">
        <v>520</v>
      </c>
      <c r="BE35" s="17" t="s">
        <v>322</v>
      </c>
      <c r="BF35" s="17" t="s">
        <v>521</v>
      </c>
      <c r="BH35" t="s">
        <v>573</v>
      </c>
      <c r="BI35" s="17" t="s">
        <v>322</v>
      </c>
      <c r="BJ35" s="17" t="s">
        <v>111</v>
      </c>
      <c r="BK35" s="17" t="s">
        <v>322</v>
      </c>
      <c r="BL35" s="17" t="s">
        <v>322</v>
      </c>
      <c r="BM35" s="17" t="s">
        <v>322</v>
      </c>
      <c r="BS35" s="59"/>
      <c r="BT35" s="117"/>
      <c r="BU35" s="117"/>
      <c r="BV35" s="117"/>
      <c r="CK35" s="17" t="s">
        <v>539</v>
      </c>
      <c r="CL35" s="17" t="s">
        <v>217</v>
      </c>
      <c r="CM35" s="17" t="s">
        <v>269</v>
      </c>
      <c r="CN35" s="17" t="s">
        <v>59</v>
      </c>
      <c r="CO35" s="17" t="s">
        <v>269</v>
      </c>
      <c r="CP35" s="17" t="s">
        <v>217</v>
      </c>
    </row>
    <row r="36" spans="2:94" x14ac:dyDescent="0.3">
      <c r="W36" s="15" t="s">
        <v>517</v>
      </c>
      <c r="X36" s="17" t="s">
        <v>535</v>
      </c>
      <c r="Y36" s="17" t="s">
        <v>322</v>
      </c>
      <c r="Z36" s="17" t="s">
        <v>322</v>
      </c>
      <c r="AA36" s="17" t="s">
        <v>520</v>
      </c>
      <c r="AB36" s="17" t="s">
        <v>557</v>
      </c>
      <c r="AL36" s="15" t="s">
        <v>517</v>
      </c>
      <c r="AM36" s="17" t="s">
        <v>524</v>
      </c>
      <c r="AN36" s="17" t="s">
        <v>520</v>
      </c>
      <c r="AO36" s="17" t="s">
        <v>535</v>
      </c>
      <c r="AP36" s="17" t="s">
        <v>524</v>
      </c>
      <c r="AQ36" s="17" t="s">
        <v>525</v>
      </c>
      <c r="BA36" s="15" t="s">
        <v>517</v>
      </c>
      <c r="BB36" s="17" t="s">
        <v>526</v>
      </c>
      <c r="BC36" s="17" t="s">
        <v>322</v>
      </c>
      <c r="BD36" s="17" t="s">
        <v>520</v>
      </c>
      <c r="BE36" s="17" t="s">
        <v>541</v>
      </c>
      <c r="BF36" s="17" t="s">
        <v>557</v>
      </c>
      <c r="BY36" s="17" t="s">
        <v>770</v>
      </c>
      <c r="CK36" s="17" t="s">
        <v>543</v>
      </c>
      <c r="CL36" s="17" t="s">
        <v>217</v>
      </c>
      <c r="CM36" s="17" t="s">
        <v>269</v>
      </c>
      <c r="CN36" s="17" t="s">
        <v>59</v>
      </c>
      <c r="CO36" s="17" t="s">
        <v>269</v>
      </c>
      <c r="CP36" s="17" t="s">
        <v>217</v>
      </c>
    </row>
    <row r="37" spans="2:94" x14ac:dyDescent="0.3">
      <c r="W37" s="15" t="s">
        <v>326</v>
      </c>
      <c r="X37" s="17" t="s">
        <v>526</v>
      </c>
      <c r="Y37" s="17" t="s">
        <v>541</v>
      </c>
      <c r="Z37" s="17" t="s">
        <v>557</v>
      </c>
      <c r="AA37" s="17" t="s">
        <v>520</v>
      </c>
      <c r="AB37" s="17" t="s">
        <v>557</v>
      </c>
      <c r="AD37" t="s">
        <v>580</v>
      </c>
      <c r="AL37" s="15" t="s">
        <v>326</v>
      </c>
      <c r="AM37" s="17" t="s">
        <v>524</v>
      </c>
      <c r="AN37" s="17" t="s">
        <v>526</v>
      </c>
      <c r="AO37" s="17" t="s">
        <v>525</v>
      </c>
      <c r="AP37" s="17" t="s">
        <v>524</v>
      </c>
      <c r="AQ37" s="17" t="s">
        <v>525</v>
      </c>
      <c r="AS37" t="s">
        <v>580</v>
      </c>
      <c r="BA37" s="15" t="s">
        <v>326</v>
      </c>
      <c r="BB37" s="17" t="s">
        <v>545</v>
      </c>
      <c r="BC37" s="17" t="s">
        <v>541</v>
      </c>
      <c r="BD37" s="17" t="s">
        <v>557</v>
      </c>
      <c r="BE37" s="17" t="s">
        <v>541</v>
      </c>
      <c r="BF37" s="17" t="s">
        <v>557</v>
      </c>
      <c r="BH37" t="s">
        <v>580</v>
      </c>
      <c r="BZ37" s="17" t="s">
        <v>315</v>
      </c>
      <c r="CA37" s="17" t="s">
        <v>316</v>
      </c>
      <c r="CB37" s="17" t="s">
        <v>317</v>
      </c>
      <c r="CC37" s="17" t="s">
        <v>318</v>
      </c>
      <c r="CD37" s="17" t="s">
        <v>319</v>
      </c>
      <c r="CK37" s="17" t="s">
        <v>573</v>
      </c>
      <c r="CL37" s="17" t="s">
        <v>859</v>
      </c>
      <c r="CM37" s="17" t="s">
        <v>226</v>
      </c>
      <c r="CN37" s="17" t="s">
        <v>859</v>
      </c>
      <c r="CO37" s="17" t="s">
        <v>322</v>
      </c>
      <c r="CP37" s="17" t="s">
        <v>217</v>
      </c>
    </row>
    <row r="38" spans="2:94" x14ac:dyDescent="0.3">
      <c r="W38" s="15" t="s">
        <v>328</v>
      </c>
      <c r="X38" s="17" t="s">
        <v>526</v>
      </c>
      <c r="Y38" s="17" t="s">
        <v>541</v>
      </c>
      <c r="Z38" s="17" t="s">
        <v>557</v>
      </c>
      <c r="AA38" s="17" t="s">
        <v>541</v>
      </c>
      <c r="AB38" s="17" t="s">
        <v>528</v>
      </c>
      <c r="AE38" s="17" t="s">
        <v>315</v>
      </c>
      <c r="AF38" s="17" t="s">
        <v>316</v>
      </c>
      <c r="AG38" s="17" t="s">
        <v>317</v>
      </c>
      <c r="AH38" s="17" t="s">
        <v>318</v>
      </c>
      <c r="AI38" s="17" t="s">
        <v>319</v>
      </c>
      <c r="AL38" s="15" t="s">
        <v>328</v>
      </c>
      <c r="AM38" s="17" t="s">
        <v>524</v>
      </c>
      <c r="AN38" s="17" t="s">
        <v>526</v>
      </c>
      <c r="AO38" s="17" t="s">
        <v>525</v>
      </c>
      <c r="AP38" s="17" t="s">
        <v>528</v>
      </c>
      <c r="AQ38" s="17" t="s">
        <v>521</v>
      </c>
      <c r="AT38" s="17" t="s">
        <v>315</v>
      </c>
      <c r="AU38" s="17" t="s">
        <v>316</v>
      </c>
      <c r="AV38" s="17" t="s">
        <v>317</v>
      </c>
      <c r="AW38" s="17" t="s">
        <v>318</v>
      </c>
      <c r="AX38" s="17" t="s">
        <v>319</v>
      </c>
      <c r="BA38" s="15" t="s">
        <v>328</v>
      </c>
      <c r="BB38" s="17" t="s">
        <v>545</v>
      </c>
      <c r="BC38" s="17" t="s">
        <v>541</v>
      </c>
      <c r="BD38" s="17" t="s">
        <v>557</v>
      </c>
      <c r="BE38" s="17" t="s">
        <v>528</v>
      </c>
      <c r="BF38" s="17" t="s">
        <v>545</v>
      </c>
      <c r="BI38" s="17" t="s">
        <v>315</v>
      </c>
      <c r="BJ38" s="17" t="s">
        <v>316</v>
      </c>
      <c r="BK38" s="17" t="s">
        <v>317</v>
      </c>
      <c r="BL38" s="17" t="s">
        <v>318</v>
      </c>
      <c r="BM38" s="17" t="s">
        <v>319</v>
      </c>
      <c r="BY38" s="17" t="s">
        <v>539</v>
      </c>
      <c r="BZ38" s="17" t="s">
        <v>266</v>
      </c>
      <c r="CA38" s="17" t="s">
        <v>248</v>
      </c>
      <c r="CB38" s="17" t="s">
        <v>322</v>
      </c>
      <c r="CC38" s="17" t="s">
        <v>265</v>
      </c>
      <c r="CD38" s="17" t="s">
        <v>861</v>
      </c>
      <c r="CK38" s="17" t="s">
        <v>561</v>
      </c>
      <c r="CL38" s="17" t="s">
        <v>859</v>
      </c>
      <c r="CM38" s="17" t="s">
        <v>226</v>
      </c>
      <c r="CN38" s="17" t="s">
        <v>859</v>
      </c>
      <c r="CO38" s="17" t="s">
        <v>270</v>
      </c>
      <c r="CP38" s="17" t="s">
        <v>223</v>
      </c>
    </row>
    <row r="39" spans="2:94" x14ac:dyDescent="0.3">
      <c r="W39" s="15" t="s">
        <v>350</v>
      </c>
      <c r="X39" s="17" t="s">
        <v>526</v>
      </c>
      <c r="Y39" s="17" t="s">
        <v>541</v>
      </c>
      <c r="Z39" s="17" t="s">
        <v>557</v>
      </c>
      <c r="AA39" s="17" t="s">
        <v>541</v>
      </c>
      <c r="AB39" s="17" t="s">
        <v>528</v>
      </c>
      <c r="AD39" t="s">
        <v>517</v>
      </c>
      <c r="AE39" s="17" t="s">
        <v>322</v>
      </c>
      <c r="AF39" s="17" t="s">
        <v>322</v>
      </c>
      <c r="AG39" s="17" t="s">
        <v>150</v>
      </c>
      <c r="AH39" s="17" t="s">
        <v>322</v>
      </c>
      <c r="AI39" s="17" t="s">
        <v>322</v>
      </c>
      <c r="AL39" s="15" t="s">
        <v>350</v>
      </c>
      <c r="AM39" s="17" t="s">
        <v>322</v>
      </c>
      <c r="AN39" s="17" t="s">
        <v>526</v>
      </c>
      <c r="AO39" s="17" t="s">
        <v>525</v>
      </c>
      <c r="AP39" s="17" t="s">
        <v>528</v>
      </c>
      <c r="AQ39" s="17" t="s">
        <v>521</v>
      </c>
      <c r="AS39" t="s">
        <v>517</v>
      </c>
      <c r="AT39" s="17" t="s">
        <v>322</v>
      </c>
      <c r="AU39" s="17" t="s">
        <v>322</v>
      </c>
      <c r="AV39" s="17" t="s">
        <v>150</v>
      </c>
      <c r="AW39" s="17" t="s">
        <v>322</v>
      </c>
      <c r="AX39" s="17" t="s">
        <v>322</v>
      </c>
      <c r="BA39" s="15" t="s">
        <v>350</v>
      </c>
      <c r="BB39" s="17" t="s">
        <v>545</v>
      </c>
      <c r="BC39" s="17" t="s">
        <v>541</v>
      </c>
      <c r="BD39" s="17" t="s">
        <v>557</v>
      </c>
      <c r="BE39" s="17" t="s">
        <v>528</v>
      </c>
      <c r="BF39" s="17" t="s">
        <v>545</v>
      </c>
      <c r="BH39" t="s">
        <v>517</v>
      </c>
      <c r="BI39" s="17" t="s">
        <v>322</v>
      </c>
      <c r="BJ39" s="17" t="s">
        <v>322</v>
      </c>
      <c r="BK39" s="17" t="s">
        <v>150</v>
      </c>
      <c r="BL39" s="17" t="s">
        <v>322</v>
      </c>
      <c r="BM39" s="17" t="s">
        <v>322</v>
      </c>
      <c r="BY39" s="17" t="s">
        <v>543</v>
      </c>
      <c r="BZ39" s="17" t="s">
        <v>266</v>
      </c>
      <c r="CA39" s="17" t="s">
        <v>248</v>
      </c>
      <c r="CB39" s="17" t="s">
        <v>322</v>
      </c>
      <c r="CC39" s="17" t="s">
        <v>265</v>
      </c>
      <c r="CD39" s="17" t="s">
        <v>861</v>
      </c>
      <c r="CK39" s="17" t="s">
        <v>551</v>
      </c>
      <c r="CL39" s="17" t="s">
        <v>223</v>
      </c>
      <c r="CM39" s="17" t="s">
        <v>226</v>
      </c>
      <c r="CN39" s="17" t="s">
        <v>270</v>
      </c>
      <c r="CO39" s="17" t="s">
        <v>867</v>
      </c>
      <c r="CP39" s="17" t="s">
        <v>223</v>
      </c>
    </row>
    <row r="40" spans="2:94" x14ac:dyDescent="0.3">
      <c r="AD40" t="s">
        <v>326</v>
      </c>
      <c r="AE40" s="17" t="s">
        <v>150</v>
      </c>
      <c r="AF40" s="17" t="s">
        <v>322</v>
      </c>
      <c r="AG40" s="17" t="s">
        <v>150</v>
      </c>
      <c r="AH40" s="17" t="s">
        <v>322</v>
      </c>
      <c r="AI40" s="17" t="s">
        <v>322</v>
      </c>
      <c r="AS40" t="s">
        <v>326</v>
      </c>
      <c r="AT40" s="17" t="s">
        <v>150</v>
      </c>
      <c r="AU40" s="17" t="s">
        <v>322</v>
      </c>
      <c r="AV40" s="17" t="s">
        <v>150</v>
      </c>
      <c r="AW40" s="17" t="s">
        <v>322</v>
      </c>
      <c r="AX40" s="17" t="s">
        <v>322</v>
      </c>
      <c r="BH40" t="s">
        <v>326</v>
      </c>
      <c r="BI40" s="17" t="s">
        <v>150</v>
      </c>
      <c r="BJ40" s="17" t="s">
        <v>322</v>
      </c>
      <c r="BK40" s="17" t="s">
        <v>150</v>
      </c>
      <c r="BL40" s="17" t="s">
        <v>322</v>
      </c>
      <c r="BM40" s="17" t="s">
        <v>322</v>
      </c>
      <c r="BY40" s="17" t="s">
        <v>573</v>
      </c>
      <c r="BZ40" s="17" t="s">
        <v>322</v>
      </c>
      <c r="CA40" s="17" t="s">
        <v>248</v>
      </c>
      <c r="CB40" s="17" t="s">
        <v>290</v>
      </c>
      <c r="CC40" s="17" t="s">
        <v>265</v>
      </c>
      <c r="CD40" s="17" t="s">
        <v>293</v>
      </c>
      <c r="CK40" s="17" t="s">
        <v>552</v>
      </c>
      <c r="CL40" s="17" t="s">
        <v>223</v>
      </c>
      <c r="CM40" s="17" t="s">
        <v>226</v>
      </c>
      <c r="CN40" s="17" t="s">
        <v>867</v>
      </c>
      <c r="CO40" s="17" t="s">
        <v>219</v>
      </c>
      <c r="CP40" s="17" t="s">
        <v>223</v>
      </c>
    </row>
    <row r="41" spans="2:94" x14ac:dyDescent="0.3">
      <c r="W41" s="15" t="s">
        <v>564</v>
      </c>
      <c r="AD41" t="s">
        <v>328</v>
      </c>
      <c r="AE41" s="17" t="s">
        <v>150</v>
      </c>
      <c r="AF41" s="17" t="s">
        <v>322</v>
      </c>
      <c r="AG41" s="17" t="s">
        <v>150</v>
      </c>
      <c r="AH41" s="17" t="s">
        <v>322</v>
      </c>
      <c r="AI41" s="17" t="s">
        <v>322</v>
      </c>
      <c r="AL41" s="15" t="s">
        <v>564</v>
      </c>
      <c r="AS41" t="s">
        <v>328</v>
      </c>
      <c r="AT41" s="17" t="s">
        <v>150</v>
      </c>
      <c r="AU41" s="17" t="s">
        <v>322</v>
      </c>
      <c r="AV41" s="17" t="s">
        <v>150</v>
      </c>
      <c r="AW41" s="17" t="s">
        <v>322</v>
      </c>
      <c r="AX41" s="17" t="s">
        <v>322</v>
      </c>
      <c r="BA41" s="15" t="s">
        <v>564</v>
      </c>
      <c r="BH41" t="s">
        <v>328</v>
      </c>
      <c r="BI41" s="17" t="s">
        <v>150</v>
      </c>
      <c r="BJ41" s="17" t="s">
        <v>322</v>
      </c>
      <c r="BK41" s="17" t="s">
        <v>150</v>
      </c>
      <c r="BL41" s="17" t="s">
        <v>322</v>
      </c>
      <c r="BM41" s="17" t="s">
        <v>322</v>
      </c>
      <c r="BY41" s="17" t="s">
        <v>561</v>
      </c>
      <c r="BZ41" s="17" t="s">
        <v>850</v>
      </c>
      <c r="CA41" s="17" t="s">
        <v>228</v>
      </c>
      <c r="CB41" s="17" t="s">
        <v>863</v>
      </c>
      <c r="CC41" s="17" t="s">
        <v>265</v>
      </c>
      <c r="CD41" s="17" t="s">
        <v>864</v>
      </c>
      <c r="CK41" s="17" t="s">
        <v>554</v>
      </c>
      <c r="CL41" s="17" t="s">
        <v>322</v>
      </c>
      <c r="CM41" s="17" t="s">
        <v>322</v>
      </c>
      <c r="CN41" s="17" t="s">
        <v>219</v>
      </c>
      <c r="CO41" s="17" t="s">
        <v>219</v>
      </c>
      <c r="CP41" s="17" t="s">
        <v>59</v>
      </c>
    </row>
    <row r="42" spans="2:94" x14ac:dyDescent="0.3">
      <c r="X42" s="17" t="s">
        <v>315</v>
      </c>
      <c r="Y42" s="17" t="s">
        <v>316</v>
      </c>
      <c r="Z42" s="17" t="s">
        <v>317</v>
      </c>
      <c r="AA42" s="17" t="s">
        <v>318</v>
      </c>
      <c r="AB42" s="17" t="s">
        <v>319</v>
      </c>
      <c r="AD42" t="s">
        <v>350</v>
      </c>
      <c r="AE42" s="17" t="s">
        <v>150</v>
      </c>
      <c r="AF42" s="17" t="s">
        <v>322</v>
      </c>
      <c r="AG42" s="17" t="s">
        <v>322</v>
      </c>
      <c r="AH42" s="17" t="s">
        <v>322</v>
      </c>
      <c r="AI42" s="17" t="s">
        <v>322</v>
      </c>
      <c r="AM42" s="17" t="s">
        <v>315</v>
      </c>
      <c r="AN42" s="17" t="s">
        <v>316</v>
      </c>
      <c r="AO42" s="17" t="s">
        <v>317</v>
      </c>
      <c r="AP42" s="17" t="s">
        <v>318</v>
      </c>
      <c r="AQ42" s="17" t="s">
        <v>319</v>
      </c>
      <c r="AS42" t="s">
        <v>350</v>
      </c>
      <c r="AT42" s="17" t="s">
        <v>150</v>
      </c>
      <c r="AU42" s="17" t="s">
        <v>322</v>
      </c>
      <c r="AV42" s="17" t="s">
        <v>322</v>
      </c>
      <c r="AW42" s="17" t="s">
        <v>322</v>
      </c>
      <c r="AX42" s="17" t="s">
        <v>322</v>
      </c>
      <c r="BB42" s="17" t="s">
        <v>315</v>
      </c>
      <c r="BC42" s="17" t="s">
        <v>316</v>
      </c>
      <c r="BD42" s="17" t="s">
        <v>317</v>
      </c>
      <c r="BE42" s="17" t="s">
        <v>318</v>
      </c>
      <c r="BF42" s="17" t="s">
        <v>319</v>
      </c>
      <c r="BH42" t="s">
        <v>350</v>
      </c>
      <c r="BI42" s="17" t="s">
        <v>150</v>
      </c>
      <c r="BJ42" s="17" t="s">
        <v>322</v>
      </c>
      <c r="BK42" s="17" t="s">
        <v>322</v>
      </c>
      <c r="BL42" s="17" t="s">
        <v>322</v>
      </c>
      <c r="BM42" s="17" t="s">
        <v>322</v>
      </c>
      <c r="BY42" s="17" t="s">
        <v>551</v>
      </c>
      <c r="BZ42" s="17" t="s">
        <v>850</v>
      </c>
      <c r="CA42" s="17" t="s">
        <v>228</v>
      </c>
      <c r="CB42" s="17" t="s">
        <v>863</v>
      </c>
      <c r="CC42" s="17" t="s">
        <v>228</v>
      </c>
      <c r="CD42" s="17" t="s">
        <v>864</v>
      </c>
    </row>
    <row r="43" spans="2:94" x14ac:dyDescent="0.3">
      <c r="W43" s="15" t="s">
        <v>536</v>
      </c>
      <c r="X43" s="17" t="s">
        <v>568</v>
      </c>
      <c r="Y43" s="17" t="s">
        <v>569</v>
      </c>
      <c r="Z43" s="17" t="s">
        <v>568</v>
      </c>
      <c r="AA43" s="17" t="s">
        <v>322</v>
      </c>
      <c r="AB43" s="17" t="s">
        <v>521</v>
      </c>
      <c r="AL43" s="15" t="s">
        <v>536</v>
      </c>
      <c r="AM43" s="17" t="s">
        <v>569</v>
      </c>
      <c r="AN43" s="17" t="s">
        <v>568</v>
      </c>
      <c r="AO43" s="17" t="s">
        <v>322</v>
      </c>
      <c r="AP43" s="17" t="s">
        <v>568</v>
      </c>
      <c r="AQ43" s="17" t="s">
        <v>528</v>
      </c>
      <c r="BA43" s="15" t="s">
        <v>536</v>
      </c>
      <c r="BB43" s="17" t="s">
        <v>568</v>
      </c>
      <c r="BC43" s="17" t="s">
        <v>322</v>
      </c>
      <c r="BD43" s="17" t="s">
        <v>568</v>
      </c>
      <c r="BE43" s="17" t="s">
        <v>526</v>
      </c>
      <c r="BF43" s="17" t="s">
        <v>521</v>
      </c>
      <c r="BY43" s="17" t="s">
        <v>552</v>
      </c>
      <c r="BZ43" s="17" t="s">
        <v>232</v>
      </c>
      <c r="CA43" s="17" t="s">
        <v>322</v>
      </c>
      <c r="CB43" s="17" t="s">
        <v>865</v>
      </c>
      <c r="CC43" s="17" t="s">
        <v>228</v>
      </c>
      <c r="CD43" s="17" t="s">
        <v>864</v>
      </c>
      <c r="CK43" s="17" t="s">
        <v>709</v>
      </c>
    </row>
    <row r="44" spans="2:94" x14ac:dyDescent="0.3">
      <c r="W44" s="15" t="s">
        <v>539</v>
      </c>
      <c r="X44" s="17" t="s">
        <v>568</v>
      </c>
      <c r="Y44" s="17" t="s">
        <v>569</v>
      </c>
      <c r="Z44" s="17" t="s">
        <v>568</v>
      </c>
      <c r="AA44" s="17" t="s">
        <v>526</v>
      </c>
      <c r="AB44" s="17" t="s">
        <v>521</v>
      </c>
      <c r="AD44" t="s">
        <v>588</v>
      </c>
      <c r="AL44" s="15" t="s">
        <v>539</v>
      </c>
      <c r="AM44" s="17" t="s">
        <v>569</v>
      </c>
      <c r="AN44" s="17" t="s">
        <v>568</v>
      </c>
      <c r="AO44" s="17" t="s">
        <v>526</v>
      </c>
      <c r="AP44" s="17" t="s">
        <v>568</v>
      </c>
      <c r="AQ44" s="17" t="s">
        <v>528</v>
      </c>
      <c r="AS44" t="s">
        <v>588</v>
      </c>
      <c r="BA44" s="15" t="s">
        <v>539</v>
      </c>
      <c r="BB44" s="17" t="s">
        <v>568</v>
      </c>
      <c r="BC44" s="17" t="s">
        <v>322</v>
      </c>
      <c r="BD44" s="17" t="s">
        <v>568</v>
      </c>
      <c r="BE44" s="17" t="s">
        <v>526</v>
      </c>
      <c r="BF44" s="17" t="s">
        <v>521</v>
      </c>
      <c r="BH44" t="s">
        <v>588</v>
      </c>
      <c r="BY44" s="17" t="s">
        <v>554</v>
      </c>
      <c r="BZ44" s="17" t="s">
        <v>232</v>
      </c>
      <c r="CA44" s="17" t="s">
        <v>322</v>
      </c>
      <c r="CB44" s="17" t="s">
        <v>866</v>
      </c>
      <c r="CC44" s="17" t="s">
        <v>322</v>
      </c>
      <c r="CD44" s="17" t="s">
        <v>322</v>
      </c>
      <c r="CL44" s="17" t="s">
        <v>315</v>
      </c>
      <c r="CM44" s="17" t="s">
        <v>316</v>
      </c>
      <c r="CN44" s="17" t="s">
        <v>317</v>
      </c>
      <c r="CO44" s="17" t="s">
        <v>318</v>
      </c>
      <c r="CP44" s="17" t="s">
        <v>319</v>
      </c>
    </row>
    <row r="45" spans="2:94" x14ac:dyDescent="0.3">
      <c r="W45" s="15" t="s">
        <v>543</v>
      </c>
      <c r="X45" s="17" t="s">
        <v>568</v>
      </c>
      <c r="Y45" s="17" t="s">
        <v>569</v>
      </c>
      <c r="Z45" s="17" t="s">
        <v>520</v>
      </c>
      <c r="AA45" s="17" t="s">
        <v>526</v>
      </c>
      <c r="AB45" s="17" t="s">
        <v>528</v>
      </c>
      <c r="AE45" s="17" t="s">
        <v>315</v>
      </c>
      <c r="AF45" s="17" t="s">
        <v>316</v>
      </c>
      <c r="AG45" s="17" t="s">
        <v>317</v>
      </c>
      <c r="AH45" s="17" t="s">
        <v>318</v>
      </c>
      <c r="AI45" s="17" t="s">
        <v>319</v>
      </c>
      <c r="AL45" s="15" t="s">
        <v>543</v>
      </c>
      <c r="AM45" s="17" t="s">
        <v>569</v>
      </c>
      <c r="AN45" s="17" t="s">
        <v>568</v>
      </c>
      <c r="AO45" s="17" t="s">
        <v>526</v>
      </c>
      <c r="AP45" s="17" t="s">
        <v>520</v>
      </c>
      <c r="AQ45" s="17" t="s">
        <v>521</v>
      </c>
      <c r="AT45" s="17" t="s">
        <v>315</v>
      </c>
      <c r="AU45" s="17" t="s">
        <v>316</v>
      </c>
      <c r="AV45" s="17" t="s">
        <v>317</v>
      </c>
      <c r="AW45" s="17" t="s">
        <v>318</v>
      </c>
      <c r="AX45" s="17" t="s">
        <v>319</v>
      </c>
      <c r="BA45" s="15" t="s">
        <v>543</v>
      </c>
      <c r="BB45" s="17" t="s">
        <v>568</v>
      </c>
      <c r="BC45" s="17" t="s">
        <v>569</v>
      </c>
      <c r="BD45" s="17" t="s">
        <v>520</v>
      </c>
      <c r="BE45" s="17" t="s">
        <v>526</v>
      </c>
      <c r="BF45" s="17" t="s">
        <v>528</v>
      </c>
      <c r="BI45" s="17" t="s">
        <v>315</v>
      </c>
      <c r="BJ45" s="17" t="s">
        <v>316</v>
      </c>
      <c r="BK45" s="17" t="s">
        <v>317</v>
      </c>
      <c r="BL45" s="17" t="s">
        <v>318</v>
      </c>
      <c r="BM45" s="17" t="s">
        <v>319</v>
      </c>
      <c r="CK45" s="17" t="s">
        <v>539</v>
      </c>
      <c r="CL45" s="17" t="s">
        <v>322</v>
      </c>
      <c r="CM45" s="17" t="s">
        <v>322</v>
      </c>
      <c r="CN45" s="17" t="s">
        <v>59</v>
      </c>
      <c r="CO45" s="17" t="s">
        <v>322</v>
      </c>
      <c r="CP45" s="17" t="s">
        <v>322</v>
      </c>
    </row>
    <row r="46" spans="2:94" x14ac:dyDescent="0.3">
      <c r="W46" s="15" t="s">
        <v>573</v>
      </c>
      <c r="X46" s="17" t="s">
        <v>322</v>
      </c>
      <c r="Y46" s="17" t="s">
        <v>574</v>
      </c>
      <c r="Z46" s="17" t="s">
        <v>520</v>
      </c>
      <c r="AA46" s="17" t="s">
        <v>526</v>
      </c>
      <c r="AB46" s="17" t="s">
        <v>528</v>
      </c>
      <c r="AD46" t="s">
        <v>561</v>
      </c>
      <c r="AE46" s="17" t="s">
        <v>322</v>
      </c>
      <c r="AF46" s="17" t="s">
        <v>242</v>
      </c>
      <c r="AG46" s="17" t="s">
        <v>242</v>
      </c>
      <c r="AH46" s="17" t="s">
        <v>322</v>
      </c>
      <c r="AI46" s="17" t="s">
        <v>322</v>
      </c>
      <c r="AL46" s="15" t="s">
        <v>573</v>
      </c>
      <c r="AM46" s="17" t="s">
        <v>574</v>
      </c>
      <c r="AN46" s="17" t="s">
        <v>322</v>
      </c>
      <c r="AO46" s="17" t="s">
        <v>526</v>
      </c>
      <c r="AP46" s="17" t="s">
        <v>520</v>
      </c>
      <c r="AQ46" s="17" t="s">
        <v>521</v>
      </c>
      <c r="AS46" t="s">
        <v>561</v>
      </c>
      <c r="AT46" s="17" t="s">
        <v>322</v>
      </c>
      <c r="AU46" s="17" t="s">
        <v>322</v>
      </c>
      <c r="AV46" s="17" t="s">
        <v>242</v>
      </c>
      <c r="AW46" s="17" t="s">
        <v>322</v>
      </c>
      <c r="AX46" s="17" t="s">
        <v>322</v>
      </c>
      <c r="BA46" s="15" t="s">
        <v>573</v>
      </c>
      <c r="BB46" s="17" t="s">
        <v>574</v>
      </c>
      <c r="BC46" s="17" t="s">
        <v>569</v>
      </c>
      <c r="BD46" s="17" t="s">
        <v>520</v>
      </c>
      <c r="BE46" s="17" t="s">
        <v>574</v>
      </c>
      <c r="BF46" s="17" t="s">
        <v>528</v>
      </c>
      <c r="BH46" t="s">
        <v>561</v>
      </c>
      <c r="BI46" s="17" t="s">
        <v>322</v>
      </c>
      <c r="BJ46" s="17" t="s">
        <v>242</v>
      </c>
      <c r="BK46" s="17" t="s">
        <v>242</v>
      </c>
      <c r="BL46" s="17" t="s">
        <v>322</v>
      </c>
      <c r="BM46" s="17" t="s">
        <v>322</v>
      </c>
      <c r="CK46" s="17" t="s">
        <v>543</v>
      </c>
      <c r="CL46" s="17" t="s">
        <v>322</v>
      </c>
      <c r="CM46" s="17" t="s">
        <v>235</v>
      </c>
      <c r="CN46" s="17" t="s">
        <v>59</v>
      </c>
      <c r="CO46" s="17" t="s">
        <v>322</v>
      </c>
      <c r="CP46" s="17" t="s">
        <v>59</v>
      </c>
    </row>
    <row r="47" spans="2:94" x14ac:dyDescent="0.3">
      <c r="W47" s="15" t="s">
        <v>561</v>
      </c>
      <c r="X47" s="17" t="s">
        <v>322</v>
      </c>
      <c r="Y47" s="17" t="s">
        <v>574</v>
      </c>
      <c r="Z47" s="17" t="s">
        <v>322</v>
      </c>
      <c r="AA47" s="17" t="s">
        <v>574</v>
      </c>
      <c r="AB47" s="17" t="s">
        <v>569</v>
      </c>
      <c r="AD47" t="s">
        <v>551</v>
      </c>
      <c r="AE47" s="17" t="s">
        <v>322</v>
      </c>
      <c r="AF47" s="17" t="s">
        <v>242</v>
      </c>
      <c r="AG47" s="17" t="s">
        <v>242</v>
      </c>
      <c r="AH47" s="17" t="s">
        <v>322</v>
      </c>
      <c r="AI47" s="17" t="s">
        <v>322</v>
      </c>
      <c r="AL47" s="15" t="s">
        <v>561</v>
      </c>
      <c r="AM47" s="17" t="s">
        <v>574</v>
      </c>
      <c r="AN47" s="17" t="s">
        <v>322</v>
      </c>
      <c r="AO47" s="17" t="s">
        <v>322</v>
      </c>
      <c r="AP47" s="17" t="s">
        <v>574</v>
      </c>
      <c r="AQ47" s="17" t="s">
        <v>569</v>
      </c>
      <c r="AS47" t="s">
        <v>551</v>
      </c>
      <c r="AT47" s="17" t="s">
        <v>322</v>
      </c>
      <c r="AU47" s="17" t="s">
        <v>242</v>
      </c>
      <c r="AV47" s="17" t="s">
        <v>242</v>
      </c>
      <c r="AW47" s="17" t="s">
        <v>322</v>
      </c>
      <c r="AX47" s="17" t="s">
        <v>322</v>
      </c>
      <c r="BA47" s="15" t="s">
        <v>561</v>
      </c>
      <c r="BB47" s="17" t="s">
        <v>574</v>
      </c>
      <c r="BC47" s="17" t="s">
        <v>569</v>
      </c>
      <c r="BD47" s="17" t="s">
        <v>322</v>
      </c>
      <c r="BE47" s="17" t="s">
        <v>574</v>
      </c>
      <c r="BF47" s="17" t="s">
        <v>569</v>
      </c>
      <c r="BH47" t="s">
        <v>551</v>
      </c>
      <c r="BI47" s="17" t="s">
        <v>322</v>
      </c>
      <c r="BJ47" s="17" t="s">
        <v>242</v>
      </c>
      <c r="BK47" s="17" t="s">
        <v>242</v>
      </c>
      <c r="BL47" s="17" t="s">
        <v>322</v>
      </c>
      <c r="BM47" s="17" t="s">
        <v>322</v>
      </c>
      <c r="CC47" s="133" t="s">
        <v>286</v>
      </c>
      <c r="CD47" s="117"/>
      <c r="CE47" s="116" t="s">
        <v>841</v>
      </c>
      <c r="CK47" s="17" t="s">
        <v>573</v>
      </c>
      <c r="CL47" s="17" t="s">
        <v>859</v>
      </c>
      <c r="CM47" s="17" t="s">
        <v>235</v>
      </c>
      <c r="CN47" s="17" t="s">
        <v>859</v>
      </c>
      <c r="CO47" s="17" t="s">
        <v>322</v>
      </c>
      <c r="CP47" s="17" t="s">
        <v>228</v>
      </c>
    </row>
    <row r="48" spans="2:94" x14ac:dyDescent="0.3">
      <c r="W48" s="15" t="s">
        <v>551</v>
      </c>
      <c r="X48" s="17" t="s">
        <v>322</v>
      </c>
      <c r="Y48" s="17" t="s">
        <v>574</v>
      </c>
      <c r="Z48" s="17" t="s">
        <v>322</v>
      </c>
      <c r="AA48" s="17" t="s">
        <v>574</v>
      </c>
      <c r="AB48" s="17" t="s">
        <v>569</v>
      </c>
      <c r="AL48" s="15" t="s">
        <v>551</v>
      </c>
      <c r="AM48" s="17" t="s">
        <v>574</v>
      </c>
      <c r="AN48" s="17" t="s">
        <v>322</v>
      </c>
      <c r="AO48" s="17" t="s">
        <v>322</v>
      </c>
      <c r="AP48" s="17" t="s">
        <v>574</v>
      </c>
      <c r="AQ48" s="17" t="s">
        <v>569</v>
      </c>
      <c r="AS48" t="s">
        <v>552</v>
      </c>
      <c r="AT48" s="17" t="s">
        <v>322</v>
      </c>
      <c r="AU48" s="17" t="s">
        <v>242</v>
      </c>
      <c r="AV48" s="17" t="s">
        <v>322</v>
      </c>
      <c r="AW48" s="17" t="s">
        <v>322</v>
      </c>
      <c r="AX48" s="17" t="s">
        <v>322</v>
      </c>
      <c r="BA48" s="15" t="s">
        <v>551</v>
      </c>
      <c r="BB48" s="17" t="s">
        <v>322</v>
      </c>
      <c r="BC48" s="17" t="s">
        <v>322</v>
      </c>
      <c r="BD48" s="17" t="s">
        <v>322</v>
      </c>
      <c r="BE48" s="17" t="s">
        <v>574</v>
      </c>
      <c r="BF48" s="17" t="s">
        <v>569</v>
      </c>
      <c r="BZ48" s="17" t="s">
        <v>868</v>
      </c>
      <c r="CC48" s="134" t="s">
        <v>842</v>
      </c>
      <c r="CD48" s="117"/>
      <c r="CE48" s="119" t="s">
        <v>843</v>
      </c>
      <c r="CK48" s="17" t="s">
        <v>561</v>
      </c>
      <c r="CL48" s="17" t="s">
        <v>859</v>
      </c>
      <c r="CM48" s="17" t="s">
        <v>235</v>
      </c>
      <c r="CN48" s="17" t="s">
        <v>859</v>
      </c>
      <c r="CO48" s="17" t="s">
        <v>322</v>
      </c>
      <c r="CP48" s="17" t="s">
        <v>228</v>
      </c>
    </row>
    <row r="49" spans="2:94" x14ac:dyDescent="0.3">
      <c r="AD49" t="s">
        <v>598</v>
      </c>
      <c r="BH49" t="s">
        <v>598</v>
      </c>
      <c r="BZ49" s="17" t="s">
        <v>268</v>
      </c>
      <c r="CC49" s="135" t="s">
        <v>847</v>
      </c>
      <c r="CD49" s="117"/>
      <c r="CE49" s="122" t="s">
        <v>848</v>
      </c>
      <c r="CK49" s="17" t="s">
        <v>551</v>
      </c>
      <c r="CL49" s="17" t="s">
        <v>241</v>
      </c>
      <c r="CM49" s="17" t="s">
        <v>235</v>
      </c>
      <c r="CN49" s="17" t="s">
        <v>239</v>
      </c>
      <c r="CO49" s="17" t="s">
        <v>241</v>
      </c>
      <c r="CP49" s="17" t="s">
        <v>239</v>
      </c>
    </row>
    <row r="50" spans="2:94" x14ac:dyDescent="0.3">
      <c r="W50" s="15" t="s">
        <v>587</v>
      </c>
      <c r="AE50" s="17" t="s">
        <v>315</v>
      </c>
      <c r="AF50" s="17" t="s">
        <v>316</v>
      </c>
      <c r="AG50" s="17" t="s">
        <v>317</v>
      </c>
      <c r="AH50" s="17" t="s">
        <v>318</v>
      </c>
      <c r="AI50" s="17" t="s">
        <v>319</v>
      </c>
      <c r="AL50" s="15" t="s">
        <v>587</v>
      </c>
      <c r="AS50" t="s">
        <v>598</v>
      </c>
      <c r="BA50" s="15" t="s">
        <v>587</v>
      </c>
      <c r="BI50" s="17" t="s">
        <v>315</v>
      </c>
      <c r="BJ50" s="17" t="s">
        <v>316</v>
      </c>
      <c r="BK50" s="17" t="s">
        <v>317</v>
      </c>
      <c r="BL50" s="17" t="s">
        <v>318</v>
      </c>
      <c r="BM50" s="17" t="s">
        <v>319</v>
      </c>
      <c r="BZ50" s="17" t="s">
        <v>869</v>
      </c>
      <c r="CC50" s="129" t="s">
        <v>853</v>
      </c>
      <c r="CD50" s="117"/>
      <c r="CE50" s="123" t="s">
        <v>841</v>
      </c>
      <c r="CK50" s="17" t="s">
        <v>552</v>
      </c>
      <c r="CL50" s="17" t="s">
        <v>241</v>
      </c>
      <c r="CM50" s="17" t="s">
        <v>228</v>
      </c>
      <c r="CN50" s="17" t="s">
        <v>239</v>
      </c>
      <c r="CO50" s="17" t="s">
        <v>241</v>
      </c>
      <c r="CP50" s="17" t="s">
        <v>239</v>
      </c>
    </row>
    <row r="51" spans="2:94" x14ac:dyDescent="0.3">
      <c r="X51" s="17" t="s">
        <v>315</v>
      </c>
      <c r="Y51" s="17" t="s">
        <v>316</v>
      </c>
      <c r="Z51" s="17" t="s">
        <v>317</v>
      </c>
      <c r="AA51" s="17" t="s">
        <v>318</v>
      </c>
      <c r="AB51" s="17" t="s">
        <v>319</v>
      </c>
      <c r="AD51" t="s">
        <v>573</v>
      </c>
      <c r="AE51" s="17" t="s">
        <v>322</v>
      </c>
      <c r="AF51" s="17" t="s">
        <v>91</v>
      </c>
      <c r="AG51" s="17" t="s">
        <v>322</v>
      </c>
      <c r="AH51" s="17" t="s">
        <v>322</v>
      </c>
      <c r="AI51" s="17" t="s">
        <v>322</v>
      </c>
      <c r="AM51" s="17" t="s">
        <v>315</v>
      </c>
      <c r="AN51" s="17" t="s">
        <v>316</v>
      </c>
      <c r="AO51" s="17" t="s">
        <v>317</v>
      </c>
      <c r="AP51" s="17" t="s">
        <v>318</v>
      </c>
      <c r="AQ51" s="17" t="s">
        <v>319</v>
      </c>
      <c r="AT51" s="17" t="s">
        <v>315</v>
      </c>
      <c r="AU51" s="17" t="s">
        <v>316</v>
      </c>
      <c r="AV51" s="17" t="s">
        <v>317</v>
      </c>
      <c r="AW51" s="17" t="s">
        <v>318</v>
      </c>
      <c r="AX51" s="17" t="s">
        <v>319</v>
      </c>
      <c r="BB51" s="17" t="s">
        <v>315</v>
      </c>
      <c r="BC51" s="17" t="s">
        <v>316</v>
      </c>
      <c r="BD51" s="17" t="s">
        <v>317</v>
      </c>
      <c r="BE51" s="17" t="s">
        <v>318</v>
      </c>
      <c r="BF51" s="17" t="s">
        <v>319</v>
      </c>
      <c r="BH51" t="s">
        <v>573</v>
      </c>
      <c r="BI51" s="17" t="s">
        <v>91</v>
      </c>
      <c r="BJ51" s="17" t="s">
        <v>322</v>
      </c>
      <c r="BK51" s="17" t="s">
        <v>322</v>
      </c>
      <c r="BL51" s="17" t="s">
        <v>91</v>
      </c>
      <c r="BM51" s="17" t="s">
        <v>322</v>
      </c>
      <c r="CK51" s="17" t="s">
        <v>554</v>
      </c>
      <c r="CL51" s="17" t="s">
        <v>241</v>
      </c>
      <c r="CM51" s="17" t="s">
        <v>228</v>
      </c>
      <c r="CN51" s="17" t="s">
        <v>322</v>
      </c>
      <c r="CO51" s="17" t="s">
        <v>322</v>
      </c>
      <c r="CP51" s="17" t="s">
        <v>239</v>
      </c>
    </row>
    <row r="52" spans="2:94" x14ac:dyDescent="0.3">
      <c r="W52" s="15" t="s">
        <v>536</v>
      </c>
      <c r="X52" s="17" t="s">
        <v>322</v>
      </c>
      <c r="Y52" s="17" t="s">
        <v>590</v>
      </c>
      <c r="Z52" s="17" t="s">
        <v>589</v>
      </c>
      <c r="AA52" s="17" t="s">
        <v>590</v>
      </c>
      <c r="AB52" s="17" t="s">
        <v>589</v>
      </c>
      <c r="AD52" t="s">
        <v>561</v>
      </c>
      <c r="AE52" s="17" t="s">
        <v>322</v>
      </c>
      <c r="AF52" s="17" t="s">
        <v>91</v>
      </c>
      <c r="AG52" s="17" t="s">
        <v>322</v>
      </c>
      <c r="AH52" s="17" t="s">
        <v>91</v>
      </c>
      <c r="AI52" s="17" t="s">
        <v>322</v>
      </c>
      <c r="AL52" s="15" t="s">
        <v>536</v>
      </c>
      <c r="AM52" s="17" t="s">
        <v>322</v>
      </c>
      <c r="AN52" s="17" t="s">
        <v>590</v>
      </c>
      <c r="AO52" s="17" t="s">
        <v>589</v>
      </c>
      <c r="AP52" s="17" t="s">
        <v>592</v>
      </c>
      <c r="AQ52" s="17" t="s">
        <v>589</v>
      </c>
      <c r="AS52" t="s">
        <v>573</v>
      </c>
      <c r="AT52" s="17" t="s">
        <v>91</v>
      </c>
      <c r="AU52" s="17" t="s">
        <v>322</v>
      </c>
      <c r="AV52" s="17" t="s">
        <v>322</v>
      </c>
      <c r="AW52" s="17" t="s">
        <v>322</v>
      </c>
      <c r="AX52" s="17" t="s">
        <v>322</v>
      </c>
      <c r="BA52" s="15" t="s">
        <v>536</v>
      </c>
      <c r="BB52" s="17" t="s">
        <v>322</v>
      </c>
      <c r="BC52" s="17" t="s">
        <v>590</v>
      </c>
      <c r="BD52" s="17" t="s">
        <v>589</v>
      </c>
      <c r="BE52" s="17" t="s">
        <v>590</v>
      </c>
      <c r="BF52" s="17" t="s">
        <v>589</v>
      </c>
      <c r="BH52" t="s">
        <v>561</v>
      </c>
      <c r="BI52" s="17" t="s">
        <v>91</v>
      </c>
      <c r="BJ52" s="17" t="s">
        <v>322</v>
      </c>
      <c r="BK52" s="17" t="s">
        <v>322</v>
      </c>
      <c r="BL52" s="17" t="s">
        <v>91</v>
      </c>
      <c r="BM52" s="17" t="s">
        <v>322</v>
      </c>
    </row>
    <row r="53" spans="2:94" x14ac:dyDescent="0.3">
      <c r="W53" s="15" t="s">
        <v>539</v>
      </c>
      <c r="X53" s="17" t="s">
        <v>593</v>
      </c>
      <c r="Y53" s="17" t="s">
        <v>590</v>
      </c>
      <c r="Z53" s="17" t="s">
        <v>589</v>
      </c>
      <c r="AA53" s="17" t="s">
        <v>590</v>
      </c>
      <c r="AB53" s="17" t="s">
        <v>589</v>
      </c>
      <c r="AD53" t="s">
        <v>551</v>
      </c>
      <c r="AE53" s="17" t="s">
        <v>322</v>
      </c>
      <c r="AF53" s="17" t="s">
        <v>91</v>
      </c>
      <c r="AG53" s="17" t="s">
        <v>322</v>
      </c>
      <c r="AH53" s="17" t="s">
        <v>91</v>
      </c>
      <c r="AI53" s="17" t="s">
        <v>322</v>
      </c>
      <c r="AL53" s="15" t="s">
        <v>539</v>
      </c>
      <c r="AM53" s="17" t="s">
        <v>593</v>
      </c>
      <c r="AN53" s="17" t="s">
        <v>590</v>
      </c>
      <c r="AO53" s="17" t="s">
        <v>589</v>
      </c>
      <c r="AP53" s="17" t="s">
        <v>592</v>
      </c>
      <c r="AQ53" s="17" t="s">
        <v>589</v>
      </c>
      <c r="AS53" t="s">
        <v>561</v>
      </c>
      <c r="AT53" s="17" t="s">
        <v>91</v>
      </c>
      <c r="AU53" s="17" t="s">
        <v>322</v>
      </c>
      <c r="AV53" s="17" t="s">
        <v>322</v>
      </c>
      <c r="AW53" s="17" t="s">
        <v>91</v>
      </c>
      <c r="AX53" s="17" t="s">
        <v>322</v>
      </c>
      <c r="BA53" s="15" t="s">
        <v>539</v>
      </c>
      <c r="BB53" s="17" t="s">
        <v>593</v>
      </c>
      <c r="BC53" s="17" t="s">
        <v>590</v>
      </c>
      <c r="BD53" s="17" t="s">
        <v>589</v>
      </c>
      <c r="BE53" s="17" t="s">
        <v>590</v>
      </c>
      <c r="BF53" s="17" t="s">
        <v>589</v>
      </c>
      <c r="BH53" t="s">
        <v>551</v>
      </c>
      <c r="BI53" s="17" t="s">
        <v>322</v>
      </c>
      <c r="BJ53" s="17" t="s">
        <v>322</v>
      </c>
      <c r="BK53" s="17" t="s">
        <v>322</v>
      </c>
      <c r="BL53" s="17" t="s">
        <v>91</v>
      </c>
      <c r="BM53" s="17" t="s">
        <v>322</v>
      </c>
      <c r="CK53" s="17" t="s">
        <v>716</v>
      </c>
    </row>
    <row r="54" spans="2:94" x14ac:dyDescent="0.3">
      <c r="W54" s="15" t="s">
        <v>543</v>
      </c>
      <c r="X54" s="17" t="s">
        <v>593</v>
      </c>
      <c r="Y54" s="17" t="s">
        <v>592</v>
      </c>
      <c r="Z54" s="17" t="s">
        <v>589</v>
      </c>
      <c r="AA54" s="17" t="s">
        <v>590</v>
      </c>
      <c r="AB54" s="17" t="s">
        <v>591</v>
      </c>
      <c r="AL54" s="15" t="s">
        <v>543</v>
      </c>
      <c r="AM54" s="17" t="s">
        <v>593</v>
      </c>
      <c r="AN54" s="17" t="s">
        <v>590</v>
      </c>
      <c r="AO54" s="17" t="s">
        <v>591</v>
      </c>
      <c r="AP54" s="17" t="s">
        <v>590</v>
      </c>
      <c r="AQ54" s="17" t="s">
        <v>589</v>
      </c>
      <c r="AS54" t="s">
        <v>551</v>
      </c>
      <c r="AT54" s="17" t="s">
        <v>91</v>
      </c>
      <c r="AU54" s="17" t="s">
        <v>322</v>
      </c>
      <c r="AV54" s="17" t="s">
        <v>322</v>
      </c>
      <c r="AW54" s="17" t="s">
        <v>91</v>
      </c>
      <c r="AX54" s="17" t="s">
        <v>322</v>
      </c>
      <c r="BA54" s="15" t="s">
        <v>543</v>
      </c>
      <c r="BB54" s="17" t="s">
        <v>593</v>
      </c>
      <c r="BC54" s="17" t="s">
        <v>592</v>
      </c>
      <c r="BD54" s="17" t="s">
        <v>589</v>
      </c>
      <c r="BE54" s="17" t="s">
        <v>590</v>
      </c>
      <c r="BF54" s="17" t="s">
        <v>591</v>
      </c>
      <c r="CL54" s="17" t="s">
        <v>315</v>
      </c>
      <c r="CM54" s="17" t="s">
        <v>316</v>
      </c>
      <c r="CN54" s="17" t="s">
        <v>317</v>
      </c>
      <c r="CO54" s="17" t="s">
        <v>318</v>
      </c>
      <c r="CP54" s="17" t="s">
        <v>319</v>
      </c>
    </row>
    <row r="55" spans="2:94" x14ac:dyDescent="0.3">
      <c r="W55" s="15" t="s">
        <v>573</v>
      </c>
      <c r="X55" s="17" t="s">
        <v>593</v>
      </c>
      <c r="Y55" s="17" t="s">
        <v>592</v>
      </c>
      <c r="Z55" s="17" t="s">
        <v>322</v>
      </c>
      <c r="AA55" s="17" t="s">
        <v>593</v>
      </c>
      <c r="AB55" s="17" t="s">
        <v>591</v>
      </c>
      <c r="AD55" t="s">
        <v>600</v>
      </c>
      <c r="AL55" s="15" t="s">
        <v>573</v>
      </c>
      <c r="AM55" s="17" t="s">
        <v>593</v>
      </c>
      <c r="AN55" s="17" t="s">
        <v>322</v>
      </c>
      <c r="AO55" s="17" t="s">
        <v>591</v>
      </c>
      <c r="AP55" s="17" t="s">
        <v>590</v>
      </c>
      <c r="AQ55" s="17" t="s">
        <v>593</v>
      </c>
      <c r="BA55" s="15" t="s">
        <v>573</v>
      </c>
      <c r="BB55" s="17" t="s">
        <v>593</v>
      </c>
      <c r="BC55" s="17" t="s">
        <v>592</v>
      </c>
      <c r="BD55" s="17" t="s">
        <v>322</v>
      </c>
      <c r="BE55" s="17" t="s">
        <v>593</v>
      </c>
      <c r="BF55" s="17" t="s">
        <v>591</v>
      </c>
      <c r="BH55" t="s">
        <v>600</v>
      </c>
      <c r="CK55" s="17" t="s">
        <v>539</v>
      </c>
      <c r="CL55" s="17" t="s">
        <v>232</v>
      </c>
      <c r="CM55" s="17" t="s">
        <v>322</v>
      </c>
      <c r="CN55" s="17" t="s">
        <v>59</v>
      </c>
      <c r="CO55" s="17" t="s">
        <v>45</v>
      </c>
      <c r="CP55" s="17" t="s">
        <v>322</v>
      </c>
    </row>
    <row r="56" spans="2:94" x14ac:dyDescent="0.3">
      <c r="W56" s="15" t="s">
        <v>561</v>
      </c>
      <c r="X56" s="17" t="s">
        <v>322</v>
      </c>
      <c r="Y56" s="17" t="s">
        <v>322</v>
      </c>
      <c r="Z56" s="17" t="s">
        <v>322</v>
      </c>
      <c r="AA56" s="17" t="s">
        <v>593</v>
      </c>
      <c r="AB56" s="17" t="s">
        <v>322</v>
      </c>
      <c r="AE56" s="17" t="s">
        <v>315</v>
      </c>
      <c r="AF56" s="17" t="s">
        <v>316</v>
      </c>
      <c r="AG56" s="17" t="s">
        <v>317</v>
      </c>
      <c r="AH56" s="17" t="s">
        <v>318</v>
      </c>
      <c r="AI56" s="17" t="s">
        <v>319</v>
      </c>
      <c r="AL56" s="15" t="s">
        <v>561</v>
      </c>
      <c r="AM56" s="17" t="s">
        <v>322</v>
      </c>
      <c r="AN56" s="17" t="s">
        <v>322</v>
      </c>
      <c r="AO56" s="17" t="s">
        <v>322</v>
      </c>
      <c r="AP56" s="17" t="s">
        <v>322</v>
      </c>
      <c r="AQ56" s="17" t="s">
        <v>593</v>
      </c>
      <c r="AS56" t="s">
        <v>600</v>
      </c>
      <c r="BA56" s="15" t="s">
        <v>561</v>
      </c>
      <c r="BB56" s="17" t="s">
        <v>322</v>
      </c>
      <c r="BC56" s="17" t="s">
        <v>322</v>
      </c>
      <c r="BD56" s="17" t="s">
        <v>322</v>
      </c>
      <c r="BE56" s="17" t="s">
        <v>593</v>
      </c>
      <c r="BF56" s="17" t="s">
        <v>322</v>
      </c>
      <c r="BI56" s="17" t="s">
        <v>315</v>
      </c>
      <c r="BJ56" s="17" t="s">
        <v>316</v>
      </c>
      <c r="BK56" s="17" t="s">
        <v>317</v>
      </c>
      <c r="BL56" s="17" t="s">
        <v>318</v>
      </c>
      <c r="BM56" s="17" t="s">
        <v>319</v>
      </c>
      <c r="BY56" s="17" t="s">
        <v>505</v>
      </c>
      <c r="CK56" s="17" t="s">
        <v>543</v>
      </c>
      <c r="CL56" s="17" t="s">
        <v>232</v>
      </c>
      <c r="CM56" s="17" t="s">
        <v>235</v>
      </c>
      <c r="CN56" s="17" t="s">
        <v>59</v>
      </c>
      <c r="CO56" s="17" t="s">
        <v>45</v>
      </c>
      <c r="CP56" s="17" t="s">
        <v>59</v>
      </c>
    </row>
    <row r="57" spans="2:94" x14ac:dyDescent="0.3">
      <c r="W57" s="15" t="s">
        <v>551</v>
      </c>
      <c r="X57" s="17" t="s">
        <v>322</v>
      </c>
      <c r="Y57" s="17" t="s">
        <v>322</v>
      </c>
      <c r="Z57" s="17" t="s">
        <v>322</v>
      </c>
      <c r="AA57" s="17" t="s">
        <v>322</v>
      </c>
      <c r="AB57" s="17" t="s">
        <v>322</v>
      </c>
      <c r="AD57" t="s">
        <v>561</v>
      </c>
      <c r="AE57" s="17" t="s">
        <v>322</v>
      </c>
      <c r="AF57" s="17" t="s">
        <v>322</v>
      </c>
      <c r="AG57" s="17" t="s">
        <v>62</v>
      </c>
      <c r="AH57" s="17" t="s">
        <v>322</v>
      </c>
      <c r="AI57" s="17" t="s">
        <v>62</v>
      </c>
      <c r="AL57" s="15" t="s">
        <v>551</v>
      </c>
      <c r="AM57" s="17" t="s">
        <v>322</v>
      </c>
      <c r="AN57" s="17" t="s">
        <v>322</v>
      </c>
      <c r="AO57" s="17" t="s">
        <v>322</v>
      </c>
      <c r="AP57" s="17" t="s">
        <v>322</v>
      </c>
      <c r="AQ57" s="17" t="s">
        <v>322</v>
      </c>
      <c r="AT57" s="17" t="s">
        <v>315</v>
      </c>
      <c r="AU57" s="17" t="s">
        <v>316</v>
      </c>
      <c r="AV57" s="17" t="s">
        <v>317</v>
      </c>
      <c r="AW57" s="17" t="s">
        <v>318</v>
      </c>
      <c r="AX57" s="17" t="s">
        <v>319</v>
      </c>
      <c r="BA57" s="15" t="s">
        <v>551</v>
      </c>
      <c r="BB57" s="17" t="s">
        <v>322</v>
      </c>
      <c r="BC57" s="17" t="s">
        <v>322</v>
      </c>
      <c r="BD57" s="17" t="s">
        <v>322</v>
      </c>
      <c r="BE57" s="17" t="s">
        <v>322</v>
      </c>
      <c r="BF57" s="17" t="s">
        <v>322</v>
      </c>
      <c r="BH57" t="s">
        <v>561</v>
      </c>
      <c r="BI57" s="17" t="s">
        <v>322</v>
      </c>
      <c r="BJ57" s="17" t="s">
        <v>322</v>
      </c>
      <c r="BK57" s="17" t="s">
        <v>62</v>
      </c>
      <c r="BL57" s="17" t="s">
        <v>322</v>
      </c>
      <c r="BM57" s="17" t="s">
        <v>62</v>
      </c>
      <c r="BY57" s="17" t="s">
        <v>683</v>
      </c>
      <c r="CK57" s="17" t="s">
        <v>573</v>
      </c>
      <c r="CL57" s="17" t="s">
        <v>859</v>
      </c>
      <c r="CM57" s="17" t="s">
        <v>235</v>
      </c>
      <c r="CN57" s="17" t="s">
        <v>228</v>
      </c>
      <c r="CO57" s="17" t="s">
        <v>859</v>
      </c>
      <c r="CP57" s="17" t="s">
        <v>228</v>
      </c>
    </row>
    <row r="58" spans="2:94" x14ac:dyDescent="0.3">
      <c r="AD58" t="s">
        <v>551</v>
      </c>
      <c r="AE58" s="17" t="s">
        <v>322</v>
      </c>
      <c r="AF58" s="17" t="s">
        <v>322</v>
      </c>
      <c r="AG58" s="17" t="s">
        <v>62</v>
      </c>
      <c r="AH58" s="17" t="s">
        <v>322</v>
      </c>
      <c r="AI58" s="17" t="s">
        <v>62</v>
      </c>
      <c r="AS58" t="s">
        <v>561</v>
      </c>
      <c r="AT58" s="17" t="s">
        <v>322</v>
      </c>
      <c r="AU58" s="17" t="s">
        <v>322</v>
      </c>
      <c r="AV58" s="17" t="s">
        <v>62</v>
      </c>
      <c r="AW58" s="17" t="s">
        <v>322</v>
      </c>
      <c r="AX58" s="17" t="s">
        <v>62</v>
      </c>
      <c r="BH58" t="s">
        <v>551</v>
      </c>
      <c r="BI58" s="17" t="s">
        <v>322</v>
      </c>
      <c r="BJ58" s="17" t="s">
        <v>322</v>
      </c>
      <c r="BK58" s="17" t="s">
        <v>62</v>
      </c>
      <c r="BL58" s="17" t="s">
        <v>322</v>
      </c>
      <c r="BM58" s="17" t="s">
        <v>62</v>
      </c>
      <c r="CK58" s="17" t="s">
        <v>561</v>
      </c>
      <c r="CL58" s="17" t="s">
        <v>859</v>
      </c>
      <c r="CM58" s="17" t="s">
        <v>235</v>
      </c>
      <c r="CN58" s="17" t="s">
        <v>228</v>
      </c>
      <c r="CO58" s="17" t="s">
        <v>859</v>
      </c>
      <c r="CP58" s="17" t="s">
        <v>228</v>
      </c>
    </row>
    <row r="59" spans="2:94" x14ac:dyDescent="0.3">
      <c r="W59" s="15" t="s">
        <v>595</v>
      </c>
      <c r="AL59" s="15" t="s">
        <v>595</v>
      </c>
      <c r="AS59" t="s">
        <v>551</v>
      </c>
      <c r="AT59" s="17" t="s">
        <v>322</v>
      </c>
      <c r="AU59" s="17" t="s">
        <v>322</v>
      </c>
      <c r="AV59" s="17" t="s">
        <v>62</v>
      </c>
      <c r="AW59" s="17" t="s">
        <v>322</v>
      </c>
      <c r="AX59" s="17" t="s">
        <v>62</v>
      </c>
      <c r="BA59" s="15" t="s">
        <v>595</v>
      </c>
      <c r="BY59" s="17" t="s">
        <v>724</v>
      </c>
      <c r="CK59" s="17" t="s">
        <v>551</v>
      </c>
      <c r="CL59" s="17" t="s">
        <v>231</v>
      </c>
      <c r="CM59" s="17" t="s">
        <v>235</v>
      </c>
      <c r="CN59" s="17" t="s">
        <v>231</v>
      </c>
      <c r="CO59" s="17" t="s">
        <v>322</v>
      </c>
      <c r="CP59" s="17" t="s">
        <v>232</v>
      </c>
    </row>
    <row r="60" spans="2:94" x14ac:dyDescent="0.3">
      <c r="X60" s="17" t="s">
        <v>315</v>
      </c>
      <c r="Y60" s="17" t="s">
        <v>316</v>
      </c>
      <c r="Z60" s="17" t="s">
        <v>317</v>
      </c>
      <c r="AA60" s="17" t="s">
        <v>318</v>
      </c>
      <c r="AB60" s="17" t="s">
        <v>319</v>
      </c>
      <c r="AD60" t="s">
        <v>607</v>
      </c>
      <c r="AM60" s="17" t="s">
        <v>315</v>
      </c>
      <c r="AN60" s="17" t="s">
        <v>316</v>
      </c>
      <c r="AO60" s="17" t="s">
        <v>317</v>
      </c>
      <c r="AP60" s="17" t="s">
        <v>318</v>
      </c>
      <c r="AQ60" s="17" t="s">
        <v>319</v>
      </c>
      <c r="BB60" s="17" t="s">
        <v>315</v>
      </c>
      <c r="BC60" s="17" t="s">
        <v>316</v>
      </c>
      <c r="BD60" s="17" t="s">
        <v>317</v>
      </c>
      <c r="BE60" s="17" t="s">
        <v>318</v>
      </c>
      <c r="BF60" s="17" t="s">
        <v>319</v>
      </c>
      <c r="BH60" t="s">
        <v>607</v>
      </c>
      <c r="BZ60" s="17" t="s">
        <v>315</v>
      </c>
      <c r="CA60" s="17" t="s">
        <v>316</v>
      </c>
      <c r="CB60" s="17" t="s">
        <v>317</v>
      </c>
      <c r="CC60" s="17" t="s">
        <v>318</v>
      </c>
      <c r="CD60" s="17" t="s">
        <v>319</v>
      </c>
      <c r="CK60" s="17" t="s">
        <v>552</v>
      </c>
      <c r="CL60" s="17" t="s">
        <v>231</v>
      </c>
      <c r="CM60" s="17" t="s">
        <v>322</v>
      </c>
      <c r="CN60" s="17" t="s">
        <v>231</v>
      </c>
      <c r="CO60" s="17" t="s">
        <v>322</v>
      </c>
      <c r="CP60" s="17" t="s">
        <v>232</v>
      </c>
    </row>
    <row r="61" spans="2:94" x14ac:dyDescent="0.3">
      <c r="B61" s="15" t="s">
        <v>948</v>
      </c>
      <c r="J61" s="154" t="s">
        <v>709</v>
      </c>
      <c r="W61" s="15" t="s">
        <v>536</v>
      </c>
      <c r="X61" s="17" t="s">
        <v>322</v>
      </c>
      <c r="Y61" s="17" t="s">
        <v>596</v>
      </c>
      <c r="Z61" s="17" t="s">
        <v>589</v>
      </c>
      <c r="AA61" s="17" t="s">
        <v>596</v>
      </c>
      <c r="AB61" s="17" t="s">
        <v>589</v>
      </c>
      <c r="AE61" s="17" t="s">
        <v>315</v>
      </c>
      <c r="AF61" s="17" t="s">
        <v>316</v>
      </c>
      <c r="AG61" s="17" t="s">
        <v>317</v>
      </c>
      <c r="AH61" s="17" t="s">
        <v>318</v>
      </c>
      <c r="AI61" s="17" t="s">
        <v>319</v>
      </c>
      <c r="AL61" s="15" t="s">
        <v>536</v>
      </c>
      <c r="AM61" s="17" t="s">
        <v>322</v>
      </c>
      <c r="AN61" s="17" t="s">
        <v>596</v>
      </c>
      <c r="AO61" s="17" t="s">
        <v>589</v>
      </c>
      <c r="AP61" s="17" t="s">
        <v>597</v>
      </c>
      <c r="AQ61" s="17" t="s">
        <v>589</v>
      </c>
      <c r="AS61" t="s">
        <v>607</v>
      </c>
      <c r="BA61" s="15" t="s">
        <v>536</v>
      </c>
      <c r="BB61" s="17" t="s">
        <v>322</v>
      </c>
      <c r="BC61" s="17" t="s">
        <v>596</v>
      </c>
      <c r="BD61" s="17" t="s">
        <v>589</v>
      </c>
      <c r="BE61" s="17" t="s">
        <v>596</v>
      </c>
      <c r="BF61" s="17" t="s">
        <v>589</v>
      </c>
      <c r="BI61" s="17" t="s">
        <v>315</v>
      </c>
      <c r="BJ61" s="17" t="s">
        <v>316</v>
      </c>
      <c r="BK61" s="17" t="s">
        <v>317</v>
      </c>
      <c r="BL61" s="17" t="s">
        <v>318</v>
      </c>
      <c r="BM61" s="17" t="s">
        <v>319</v>
      </c>
      <c r="BY61" s="17" t="s">
        <v>561</v>
      </c>
      <c r="BZ61" s="17" t="s">
        <v>850</v>
      </c>
      <c r="CA61" s="17" t="s">
        <v>72</v>
      </c>
      <c r="CB61" s="17" t="s">
        <v>79</v>
      </c>
      <c r="CC61" s="17" t="s">
        <v>72</v>
      </c>
      <c r="CD61" s="17" t="s">
        <v>322</v>
      </c>
      <c r="CK61" s="17" t="s">
        <v>554</v>
      </c>
      <c r="CL61" s="17" t="s">
        <v>322</v>
      </c>
      <c r="CM61" s="17" t="s">
        <v>322</v>
      </c>
      <c r="CN61" s="17" t="s">
        <v>322</v>
      </c>
      <c r="CO61" s="17" t="s">
        <v>322</v>
      </c>
      <c r="CP61" s="17" t="s">
        <v>322</v>
      </c>
    </row>
    <row r="62" spans="2:94" x14ac:dyDescent="0.3">
      <c r="C62" s="17" t="s">
        <v>315</v>
      </c>
      <c r="D62" s="17" t="s">
        <v>316</v>
      </c>
      <c r="E62" s="17" t="s">
        <v>317</v>
      </c>
      <c r="F62" s="17" t="s">
        <v>318</v>
      </c>
      <c r="G62" s="17" t="s">
        <v>319</v>
      </c>
      <c r="K62" s="151" t="s">
        <v>315</v>
      </c>
      <c r="L62" s="151" t="s">
        <v>316</v>
      </c>
      <c r="M62" s="151" t="s">
        <v>317</v>
      </c>
      <c r="N62" s="151" t="s">
        <v>318</v>
      </c>
      <c r="O62" s="151" t="s">
        <v>319</v>
      </c>
      <c r="W62" s="15" t="s">
        <v>539</v>
      </c>
      <c r="X62" s="17" t="s">
        <v>593</v>
      </c>
      <c r="Y62" s="17" t="s">
        <v>596</v>
      </c>
      <c r="Z62" s="17" t="s">
        <v>589</v>
      </c>
      <c r="AA62" s="17" t="s">
        <v>596</v>
      </c>
      <c r="AB62" s="17" t="s">
        <v>589</v>
      </c>
      <c r="AD62" t="s">
        <v>561</v>
      </c>
      <c r="AE62" s="17" t="s">
        <v>322</v>
      </c>
      <c r="AF62" s="17" t="s">
        <v>322</v>
      </c>
      <c r="AG62" s="17" t="s">
        <v>322</v>
      </c>
      <c r="AH62" s="17" t="s">
        <v>322</v>
      </c>
      <c r="AI62" s="17" t="s">
        <v>223</v>
      </c>
      <c r="AL62" s="15" t="s">
        <v>539</v>
      </c>
      <c r="AM62" s="17" t="s">
        <v>593</v>
      </c>
      <c r="AN62" s="17" t="s">
        <v>596</v>
      </c>
      <c r="AO62" s="17" t="s">
        <v>589</v>
      </c>
      <c r="AP62" s="17" t="s">
        <v>597</v>
      </c>
      <c r="AQ62" s="17" t="s">
        <v>589</v>
      </c>
      <c r="AT62" s="17" t="s">
        <v>315</v>
      </c>
      <c r="AU62" s="17" t="s">
        <v>316</v>
      </c>
      <c r="AV62" s="17" t="s">
        <v>317</v>
      </c>
      <c r="AW62" s="17" t="s">
        <v>318</v>
      </c>
      <c r="AX62" s="17" t="s">
        <v>319</v>
      </c>
      <c r="BA62" s="15" t="s">
        <v>539</v>
      </c>
      <c r="BB62" s="17" t="s">
        <v>593</v>
      </c>
      <c r="BC62" s="17" t="s">
        <v>596</v>
      </c>
      <c r="BD62" s="17" t="s">
        <v>589</v>
      </c>
      <c r="BE62" s="17" t="s">
        <v>596</v>
      </c>
      <c r="BF62" s="17" t="s">
        <v>589</v>
      </c>
      <c r="BH62" t="s">
        <v>561</v>
      </c>
      <c r="BI62" s="17" t="s">
        <v>322</v>
      </c>
      <c r="BJ62" s="17" t="s">
        <v>322</v>
      </c>
      <c r="BK62" s="17" t="s">
        <v>322</v>
      </c>
      <c r="BL62" s="17" t="s">
        <v>322</v>
      </c>
      <c r="BM62" s="17" t="s">
        <v>223</v>
      </c>
      <c r="BY62" s="17" t="s">
        <v>551</v>
      </c>
      <c r="BZ62" s="17" t="s">
        <v>850</v>
      </c>
      <c r="CA62" s="17" t="s">
        <v>72</v>
      </c>
      <c r="CB62" s="17" t="s">
        <v>79</v>
      </c>
      <c r="CC62" s="17" t="s">
        <v>72</v>
      </c>
      <c r="CD62" s="17" t="s">
        <v>851</v>
      </c>
    </row>
    <row r="63" spans="2:94" x14ac:dyDescent="0.3">
      <c r="B63" s="15" t="s">
        <v>539</v>
      </c>
      <c r="C63" s="17" t="s">
        <v>322</v>
      </c>
      <c r="D63" s="17" t="s">
        <v>710</v>
      </c>
      <c r="E63" s="17" t="s">
        <v>687</v>
      </c>
      <c r="F63" s="17" t="s">
        <v>322</v>
      </c>
      <c r="G63" s="17" t="s">
        <v>322</v>
      </c>
      <c r="J63" s="154" t="s">
        <v>539</v>
      </c>
      <c r="K63" s="151" t="s">
        <v>322</v>
      </c>
      <c r="L63" s="151" t="s">
        <v>710</v>
      </c>
      <c r="M63" s="151" t="s">
        <v>687</v>
      </c>
      <c r="N63" s="151" t="s">
        <v>322</v>
      </c>
      <c r="O63" s="151" t="s">
        <v>322</v>
      </c>
      <c r="W63" s="15" t="s">
        <v>543</v>
      </c>
      <c r="X63" s="17" t="s">
        <v>593</v>
      </c>
      <c r="Y63" s="17" t="s">
        <v>597</v>
      </c>
      <c r="Z63" s="17" t="s">
        <v>589</v>
      </c>
      <c r="AA63" s="17" t="s">
        <v>596</v>
      </c>
      <c r="AB63" s="17" t="s">
        <v>591</v>
      </c>
      <c r="AD63" t="s">
        <v>551</v>
      </c>
      <c r="AE63" s="17" t="s">
        <v>223</v>
      </c>
      <c r="AF63" s="17" t="s">
        <v>322</v>
      </c>
      <c r="AG63" s="17" t="s">
        <v>322</v>
      </c>
      <c r="AH63" s="17" t="s">
        <v>322</v>
      </c>
      <c r="AI63" s="17" t="s">
        <v>223</v>
      </c>
      <c r="AL63" s="15" t="s">
        <v>543</v>
      </c>
      <c r="AM63" s="17" t="s">
        <v>593</v>
      </c>
      <c r="AN63" s="17" t="s">
        <v>596</v>
      </c>
      <c r="AO63" s="17" t="s">
        <v>591</v>
      </c>
      <c r="AP63" s="17" t="s">
        <v>596</v>
      </c>
      <c r="AQ63" s="17" t="s">
        <v>589</v>
      </c>
      <c r="AS63" t="s">
        <v>561</v>
      </c>
      <c r="AT63" s="17" t="s">
        <v>322</v>
      </c>
      <c r="AU63" s="17" t="s">
        <v>322</v>
      </c>
      <c r="AV63" s="17" t="s">
        <v>322</v>
      </c>
      <c r="AW63" s="17" t="s">
        <v>322</v>
      </c>
      <c r="AX63" s="17" t="s">
        <v>223</v>
      </c>
      <c r="BA63" s="15" t="s">
        <v>543</v>
      </c>
      <c r="BB63" s="17" t="s">
        <v>593</v>
      </c>
      <c r="BC63" s="17" t="s">
        <v>597</v>
      </c>
      <c r="BD63" s="17" t="s">
        <v>589</v>
      </c>
      <c r="BE63" s="17" t="s">
        <v>596</v>
      </c>
      <c r="BF63" s="17" t="s">
        <v>591</v>
      </c>
      <c r="BH63" t="s">
        <v>551</v>
      </c>
      <c r="BI63" s="17" t="s">
        <v>223</v>
      </c>
      <c r="BJ63" s="17" t="s">
        <v>322</v>
      </c>
      <c r="BK63" s="17" t="s">
        <v>322</v>
      </c>
      <c r="BL63" s="17" t="s">
        <v>322</v>
      </c>
      <c r="BM63" s="17" t="s">
        <v>223</v>
      </c>
      <c r="BY63" s="17" t="s">
        <v>552</v>
      </c>
      <c r="BZ63" s="17" t="s">
        <v>268</v>
      </c>
      <c r="CA63" s="17" t="s">
        <v>77</v>
      </c>
      <c r="CB63" s="17" t="s">
        <v>286</v>
      </c>
      <c r="CC63" s="17" t="s">
        <v>75</v>
      </c>
      <c r="CD63" s="17" t="s">
        <v>851</v>
      </c>
      <c r="CK63" s="17" t="s">
        <v>721</v>
      </c>
    </row>
    <row r="64" spans="2:94" x14ac:dyDescent="0.3">
      <c r="B64" s="15" t="s">
        <v>543</v>
      </c>
      <c r="C64" s="17" t="s">
        <v>322</v>
      </c>
      <c r="D64" s="17" t="s">
        <v>710</v>
      </c>
      <c r="E64" s="17" t="s">
        <v>687</v>
      </c>
      <c r="F64" s="17" t="s">
        <v>322</v>
      </c>
      <c r="G64" s="17" t="s">
        <v>322</v>
      </c>
      <c r="J64" s="154" t="s">
        <v>543</v>
      </c>
      <c r="K64" s="151" t="s">
        <v>322</v>
      </c>
      <c r="L64" s="151" t="s">
        <v>710</v>
      </c>
      <c r="M64" s="151" t="s">
        <v>687</v>
      </c>
      <c r="N64" s="151" t="s">
        <v>322</v>
      </c>
      <c r="O64" s="151" t="s">
        <v>322</v>
      </c>
      <c r="W64" s="15" t="s">
        <v>573</v>
      </c>
      <c r="X64" s="17" t="s">
        <v>593</v>
      </c>
      <c r="Y64" s="17" t="s">
        <v>597</v>
      </c>
      <c r="Z64" s="17" t="s">
        <v>322</v>
      </c>
      <c r="AA64" s="17" t="s">
        <v>593</v>
      </c>
      <c r="AB64" s="17" t="s">
        <v>591</v>
      </c>
      <c r="AD64" t="s">
        <v>552</v>
      </c>
      <c r="AE64" s="17" t="s">
        <v>223</v>
      </c>
      <c r="AF64" s="17" t="s">
        <v>322</v>
      </c>
      <c r="AG64" s="17" t="s">
        <v>322</v>
      </c>
      <c r="AH64" s="17" t="s">
        <v>322</v>
      </c>
      <c r="AI64" s="17" t="s">
        <v>223</v>
      </c>
      <c r="AL64" s="15" t="s">
        <v>573</v>
      </c>
      <c r="AM64" s="17" t="s">
        <v>593</v>
      </c>
      <c r="AN64" s="17" t="s">
        <v>322</v>
      </c>
      <c r="AO64" s="17" t="s">
        <v>591</v>
      </c>
      <c r="AP64" s="17" t="s">
        <v>596</v>
      </c>
      <c r="AQ64" s="17" t="s">
        <v>593</v>
      </c>
      <c r="AS64" t="s">
        <v>551</v>
      </c>
      <c r="AT64" s="17" t="s">
        <v>223</v>
      </c>
      <c r="AU64" s="17" t="s">
        <v>322</v>
      </c>
      <c r="AV64" s="17" t="s">
        <v>322</v>
      </c>
      <c r="AW64" s="17" t="s">
        <v>322</v>
      </c>
      <c r="AX64" s="17" t="s">
        <v>223</v>
      </c>
      <c r="BA64" s="15" t="s">
        <v>573</v>
      </c>
      <c r="BB64" s="17" t="s">
        <v>593</v>
      </c>
      <c r="BC64" s="17" t="s">
        <v>597</v>
      </c>
      <c r="BD64" s="17" t="s">
        <v>322</v>
      </c>
      <c r="BE64" s="17" t="s">
        <v>593</v>
      </c>
      <c r="BF64" s="17" t="s">
        <v>591</v>
      </c>
      <c r="BH64" t="s">
        <v>552</v>
      </c>
      <c r="BI64" s="17" t="s">
        <v>223</v>
      </c>
      <c r="BJ64" s="17" t="s">
        <v>322</v>
      </c>
      <c r="BK64" s="17" t="s">
        <v>322</v>
      </c>
      <c r="BL64" s="17" t="s">
        <v>322</v>
      </c>
      <c r="BM64" s="17" t="s">
        <v>223</v>
      </c>
      <c r="BY64" s="17" t="s">
        <v>554</v>
      </c>
      <c r="BZ64" s="17" t="s">
        <v>75</v>
      </c>
      <c r="CA64" s="17" t="s">
        <v>77</v>
      </c>
      <c r="CB64" s="17" t="s">
        <v>286</v>
      </c>
      <c r="CC64" s="17" t="s">
        <v>75</v>
      </c>
      <c r="CD64" s="17" t="s">
        <v>856</v>
      </c>
      <c r="CL64" s="17" t="s">
        <v>315</v>
      </c>
      <c r="CM64" s="17" t="s">
        <v>316</v>
      </c>
      <c r="CN64" s="17" t="s">
        <v>317</v>
      </c>
      <c r="CO64" s="17" t="s">
        <v>318</v>
      </c>
      <c r="CP64" s="17" t="s">
        <v>319</v>
      </c>
    </row>
    <row r="65" spans="2:94" x14ac:dyDescent="0.3">
      <c r="B65" s="15" t="s">
        <v>573</v>
      </c>
      <c r="C65" s="17" t="s">
        <v>689</v>
      </c>
      <c r="D65" s="17" t="s">
        <v>710</v>
      </c>
      <c r="E65" s="17" t="s">
        <v>689</v>
      </c>
      <c r="F65" s="17" t="s">
        <v>322</v>
      </c>
      <c r="G65" s="130" t="s">
        <v>713</v>
      </c>
      <c r="J65" s="154" t="s">
        <v>573</v>
      </c>
      <c r="K65" s="151" t="s">
        <v>689</v>
      </c>
      <c r="L65" s="151" t="s">
        <v>710</v>
      </c>
      <c r="M65" s="151" t="s">
        <v>689</v>
      </c>
      <c r="N65" s="151" t="s">
        <v>322</v>
      </c>
      <c r="O65" s="151" t="s">
        <v>712</v>
      </c>
      <c r="W65" s="15" t="s">
        <v>561</v>
      </c>
      <c r="X65" s="17" t="s">
        <v>322</v>
      </c>
      <c r="Y65" s="17" t="s">
        <v>322</v>
      </c>
      <c r="Z65" s="17" t="s">
        <v>322</v>
      </c>
      <c r="AA65" s="17" t="s">
        <v>593</v>
      </c>
      <c r="AB65" s="17" t="s">
        <v>322</v>
      </c>
      <c r="AL65" s="15" t="s">
        <v>561</v>
      </c>
      <c r="AM65" s="17" t="s">
        <v>322</v>
      </c>
      <c r="AN65" s="17" t="s">
        <v>322</v>
      </c>
      <c r="AO65" s="17" t="s">
        <v>322</v>
      </c>
      <c r="AP65" s="17" t="s">
        <v>322</v>
      </c>
      <c r="AQ65" s="17" t="s">
        <v>593</v>
      </c>
      <c r="AS65" t="s">
        <v>552</v>
      </c>
      <c r="AT65" s="17" t="s">
        <v>223</v>
      </c>
      <c r="AU65" s="17" t="s">
        <v>322</v>
      </c>
      <c r="AV65" s="17" t="s">
        <v>322</v>
      </c>
      <c r="AW65" s="17" t="s">
        <v>322</v>
      </c>
      <c r="AX65" s="17" t="s">
        <v>223</v>
      </c>
      <c r="BA65" s="15" t="s">
        <v>561</v>
      </c>
      <c r="BB65" s="17" t="s">
        <v>322</v>
      </c>
      <c r="BC65" s="17" t="s">
        <v>322</v>
      </c>
      <c r="BD65" s="17" t="s">
        <v>322</v>
      </c>
      <c r="BE65" s="17" t="s">
        <v>593</v>
      </c>
      <c r="BF65" s="17" t="s">
        <v>322</v>
      </c>
      <c r="BY65" s="17" t="s">
        <v>586</v>
      </c>
      <c r="BZ65" s="17" t="s">
        <v>75</v>
      </c>
      <c r="CA65" s="17" t="s">
        <v>77</v>
      </c>
      <c r="CB65" s="17" t="s">
        <v>322</v>
      </c>
      <c r="CC65" s="17" t="s">
        <v>75</v>
      </c>
      <c r="CD65" s="17" t="s">
        <v>79</v>
      </c>
      <c r="CK65" s="17" t="s">
        <v>539</v>
      </c>
      <c r="CL65" s="17" t="s">
        <v>232</v>
      </c>
      <c r="CM65" s="17" t="s">
        <v>322</v>
      </c>
      <c r="CN65" s="17" t="s">
        <v>59</v>
      </c>
      <c r="CO65" s="17" t="s">
        <v>45</v>
      </c>
      <c r="CP65" s="17" t="s">
        <v>322</v>
      </c>
    </row>
    <row r="66" spans="2:94" x14ac:dyDescent="0.3">
      <c r="B66" s="15" t="s">
        <v>561</v>
      </c>
      <c r="C66" s="17" t="s">
        <v>689</v>
      </c>
      <c r="D66" s="17" t="s">
        <v>710</v>
      </c>
      <c r="E66" s="17" t="s">
        <v>689</v>
      </c>
      <c r="F66" s="17" t="s">
        <v>322</v>
      </c>
      <c r="G66" s="130" t="s">
        <v>713</v>
      </c>
      <c r="J66" s="154" t="s">
        <v>561</v>
      </c>
      <c r="K66" s="151" t="s">
        <v>689</v>
      </c>
      <c r="L66" s="151" t="s">
        <v>710</v>
      </c>
      <c r="M66" s="151" t="s">
        <v>689</v>
      </c>
      <c r="N66" s="151" t="s">
        <v>322</v>
      </c>
      <c r="O66" s="151" t="s">
        <v>712</v>
      </c>
      <c r="W66" s="15" t="s">
        <v>551</v>
      </c>
      <c r="X66" s="17" t="s">
        <v>322</v>
      </c>
      <c r="Y66" s="17" t="s">
        <v>322</v>
      </c>
      <c r="Z66" s="17" t="s">
        <v>322</v>
      </c>
      <c r="AA66" s="17" t="s">
        <v>322</v>
      </c>
      <c r="AB66" s="17" t="s">
        <v>322</v>
      </c>
      <c r="AD66" t="s">
        <v>611</v>
      </c>
      <c r="AL66" s="15" t="s">
        <v>551</v>
      </c>
      <c r="AM66" s="17" t="s">
        <v>322</v>
      </c>
      <c r="AN66" s="17" t="s">
        <v>322</v>
      </c>
      <c r="AO66" s="17" t="s">
        <v>322</v>
      </c>
      <c r="AP66" s="17" t="s">
        <v>322</v>
      </c>
      <c r="AQ66" s="17" t="s">
        <v>322</v>
      </c>
      <c r="BA66" s="15" t="s">
        <v>551</v>
      </c>
      <c r="BB66" s="17" t="s">
        <v>322</v>
      </c>
      <c r="BC66" s="17" t="s">
        <v>322</v>
      </c>
      <c r="BD66" s="17" t="s">
        <v>322</v>
      </c>
      <c r="BE66" s="17" t="s">
        <v>322</v>
      </c>
      <c r="BF66" s="17" t="s">
        <v>322</v>
      </c>
      <c r="BH66" t="s">
        <v>611</v>
      </c>
      <c r="CK66" s="17" t="s">
        <v>543</v>
      </c>
      <c r="CL66" s="17" t="s">
        <v>232</v>
      </c>
      <c r="CM66" s="17" t="s">
        <v>235</v>
      </c>
      <c r="CN66" s="17" t="s">
        <v>59</v>
      </c>
      <c r="CO66" s="17" t="s">
        <v>45</v>
      </c>
      <c r="CP66" s="17" t="s">
        <v>59</v>
      </c>
    </row>
    <row r="67" spans="2:94" x14ac:dyDescent="0.3">
      <c r="B67" s="15" t="s">
        <v>551</v>
      </c>
      <c r="C67" s="17" t="s">
        <v>713</v>
      </c>
      <c r="D67" s="17" t="s">
        <v>719</v>
      </c>
      <c r="E67" s="17" t="s">
        <v>714</v>
      </c>
      <c r="F67" s="130" t="s">
        <v>719</v>
      </c>
      <c r="G67" s="17" t="s">
        <v>714</v>
      </c>
      <c r="J67" s="154" t="s">
        <v>551</v>
      </c>
      <c r="K67" s="151" t="s">
        <v>713</v>
      </c>
      <c r="L67" s="151" t="s">
        <v>712</v>
      </c>
      <c r="M67" s="151" t="s">
        <v>714</v>
      </c>
      <c r="N67" s="151" t="s">
        <v>322</v>
      </c>
      <c r="O67" s="151" t="s">
        <v>714</v>
      </c>
      <c r="AE67" s="17" t="s">
        <v>315</v>
      </c>
      <c r="AF67" s="17" t="s">
        <v>316</v>
      </c>
      <c r="AG67" s="17" t="s">
        <v>317</v>
      </c>
      <c r="AH67" s="17" t="s">
        <v>318</v>
      </c>
      <c r="AI67" s="17" t="s">
        <v>319</v>
      </c>
      <c r="AS67" t="s">
        <v>611</v>
      </c>
      <c r="BI67" s="17" t="s">
        <v>315</v>
      </c>
      <c r="BJ67" s="17" t="s">
        <v>316</v>
      </c>
      <c r="BK67" s="17" t="s">
        <v>317</v>
      </c>
      <c r="BL67" s="17" t="s">
        <v>318</v>
      </c>
      <c r="BM67" s="17" t="s">
        <v>319</v>
      </c>
      <c r="BY67" s="17" t="s">
        <v>505</v>
      </c>
      <c r="CK67" s="17" t="s">
        <v>573</v>
      </c>
      <c r="CL67" s="17" t="s">
        <v>859</v>
      </c>
      <c r="CM67" s="17" t="s">
        <v>235</v>
      </c>
      <c r="CN67" s="17" t="s">
        <v>228</v>
      </c>
      <c r="CO67" s="17" t="s">
        <v>859</v>
      </c>
      <c r="CP67" s="17" t="s">
        <v>228</v>
      </c>
    </row>
    <row r="68" spans="2:94" x14ac:dyDescent="0.3">
      <c r="B68" s="15" t="s">
        <v>552</v>
      </c>
      <c r="C68" s="17" t="s">
        <v>713</v>
      </c>
      <c r="D68" s="17" t="s">
        <v>719</v>
      </c>
      <c r="E68" s="17" t="s">
        <v>714</v>
      </c>
      <c r="F68" s="130" t="s">
        <v>719</v>
      </c>
      <c r="G68" s="17" t="s">
        <v>714</v>
      </c>
      <c r="J68" s="154" t="s">
        <v>552</v>
      </c>
      <c r="K68" s="151" t="s">
        <v>713</v>
      </c>
      <c r="L68" s="151" t="s">
        <v>712</v>
      </c>
      <c r="M68" s="151" t="s">
        <v>714</v>
      </c>
      <c r="N68" s="151" t="s">
        <v>713</v>
      </c>
      <c r="O68" s="151" t="s">
        <v>714</v>
      </c>
      <c r="W68" s="31" t="s">
        <v>505</v>
      </c>
      <c r="AD68" t="s">
        <v>514</v>
      </c>
      <c r="AE68" s="17" t="s">
        <v>322</v>
      </c>
      <c r="AF68" s="17" t="s">
        <v>322</v>
      </c>
      <c r="AG68" s="17" t="s">
        <v>166</v>
      </c>
      <c r="AH68" s="17" t="s">
        <v>322</v>
      </c>
      <c r="AI68" s="17" t="s">
        <v>322</v>
      </c>
      <c r="AL68" s="31" t="s">
        <v>505</v>
      </c>
      <c r="AT68" s="17" t="s">
        <v>315</v>
      </c>
      <c r="AU68" s="17" t="s">
        <v>316</v>
      </c>
      <c r="AV68" s="17" t="s">
        <v>317</v>
      </c>
      <c r="AW68" s="17" t="s">
        <v>318</v>
      </c>
      <c r="AX68" s="17" t="s">
        <v>319</v>
      </c>
      <c r="BA68" s="31" t="s">
        <v>505</v>
      </c>
      <c r="BH68" t="s">
        <v>514</v>
      </c>
      <c r="BI68" s="17" t="s">
        <v>322</v>
      </c>
      <c r="BJ68" s="17" t="s">
        <v>322</v>
      </c>
      <c r="BK68" s="17" t="s">
        <v>166</v>
      </c>
      <c r="BL68" s="17" t="s">
        <v>322</v>
      </c>
      <c r="BM68" s="17" t="s">
        <v>322</v>
      </c>
      <c r="BN68" s="31"/>
      <c r="BY68" s="17" t="s">
        <v>736</v>
      </c>
      <c r="CK68" s="17" t="s">
        <v>561</v>
      </c>
      <c r="CL68" s="17" t="s">
        <v>859</v>
      </c>
      <c r="CM68" s="17" t="s">
        <v>235</v>
      </c>
      <c r="CN68" s="17" t="s">
        <v>228</v>
      </c>
      <c r="CO68" s="17" t="s">
        <v>859</v>
      </c>
      <c r="CP68" s="17" t="s">
        <v>228</v>
      </c>
    </row>
    <row r="69" spans="2:94" x14ac:dyDescent="0.3">
      <c r="B69" s="15" t="s">
        <v>554</v>
      </c>
      <c r="C69" s="17" t="s">
        <v>713</v>
      </c>
      <c r="D69" s="17" t="s">
        <v>697</v>
      </c>
      <c r="E69" s="130" t="s">
        <v>714</v>
      </c>
      <c r="F69" s="17" t="s">
        <v>322</v>
      </c>
      <c r="J69" s="154" t="s">
        <v>554</v>
      </c>
      <c r="K69" s="151" t="s">
        <v>713</v>
      </c>
      <c r="L69" s="151" t="s">
        <v>697</v>
      </c>
      <c r="M69" s="151" t="s">
        <v>322</v>
      </c>
      <c r="N69" s="151" t="s">
        <v>713</v>
      </c>
      <c r="O69" s="151" t="s">
        <v>714</v>
      </c>
      <c r="W69" s="73" t="s">
        <v>599</v>
      </c>
      <c r="AD69" t="s">
        <v>517</v>
      </c>
      <c r="AE69" s="17" t="s">
        <v>322</v>
      </c>
      <c r="AF69" s="17" t="s">
        <v>322</v>
      </c>
      <c r="AG69" s="17" t="s">
        <v>166</v>
      </c>
      <c r="AH69" s="17" t="s">
        <v>322</v>
      </c>
      <c r="AI69" s="17" t="s">
        <v>322</v>
      </c>
      <c r="AL69" s="73" t="s">
        <v>599</v>
      </c>
      <c r="AS69" t="s">
        <v>514</v>
      </c>
      <c r="AT69" s="17" t="s">
        <v>322</v>
      </c>
      <c r="AU69" s="17" t="s">
        <v>322</v>
      </c>
      <c r="AV69" s="17" t="s">
        <v>166</v>
      </c>
      <c r="AW69" s="17" t="s">
        <v>322</v>
      </c>
      <c r="AX69" s="17" t="s">
        <v>322</v>
      </c>
      <c r="BA69" s="73" t="s">
        <v>599</v>
      </c>
      <c r="BH69" t="s">
        <v>517</v>
      </c>
      <c r="BI69" s="17" t="s">
        <v>322</v>
      </c>
      <c r="BJ69" s="17" t="s">
        <v>322</v>
      </c>
      <c r="BK69" s="17" t="s">
        <v>166</v>
      </c>
      <c r="BL69" s="17" t="s">
        <v>322</v>
      </c>
      <c r="BM69" s="17" t="s">
        <v>322</v>
      </c>
      <c r="BN69" s="73"/>
      <c r="CK69" s="17" t="s">
        <v>551</v>
      </c>
      <c r="CL69" s="17" t="s">
        <v>231</v>
      </c>
      <c r="CM69" s="17" t="s">
        <v>235</v>
      </c>
      <c r="CN69" s="17" t="s">
        <v>231</v>
      </c>
      <c r="CO69" s="17" t="s">
        <v>322</v>
      </c>
      <c r="CP69" s="17" t="s">
        <v>232</v>
      </c>
    </row>
    <row r="70" spans="2:94" x14ac:dyDescent="0.3">
      <c r="AD70" t="s">
        <v>326</v>
      </c>
      <c r="AE70" s="17" t="s">
        <v>322</v>
      </c>
      <c r="AF70" s="17" t="s">
        <v>322</v>
      </c>
      <c r="AG70" s="17" t="s">
        <v>166</v>
      </c>
      <c r="AH70" s="17" t="s">
        <v>322</v>
      </c>
      <c r="AI70" s="17" t="s">
        <v>322</v>
      </c>
      <c r="AS70" t="s">
        <v>517</v>
      </c>
      <c r="AT70" s="17" t="s">
        <v>322</v>
      </c>
      <c r="AU70" s="17" t="s">
        <v>322</v>
      </c>
      <c r="AV70" s="17" t="s">
        <v>166</v>
      </c>
      <c r="AW70" s="17" t="s">
        <v>322</v>
      </c>
      <c r="AX70" s="17" t="s">
        <v>322</v>
      </c>
      <c r="BH70" t="s">
        <v>326</v>
      </c>
      <c r="BI70" s="17" t="s">
        <v>322</v>
      </c>
      <c r="BJ70" s="17" t="s">
        <v>322</v>
      </c>
      <c r="BK70" s="17" t="s">
        <v>166</v>
      </c>
      <c r="BL70" s="17" t="s">
        <v>322</v>
      </c>
      <c r="BM70" s="17" t="s">
        <v>322</v>
      </c>
      <c r="BY70" s="17" t="s">
        <v>759</v>
      </c>
      <c r="CK70" s="17" t="s">
        <v>552</v>
      </c>
      <c r="CL70" s="17" t="s">
        <v>231</v>
      </c>
      <c r="CM70" s="17" t="s">
        <v>322</v>
      </c>
      <c r="CN70" s="17" t="s">
        <v>231</v>
      </c>
      <c r="CO70" s="17" t="s">
        <v>322</v>
      </c>
      <c r="CP70" s="17" t="s">
        <v>232</v>
      </c>
    </row>
    <row r="71" spans="2:94" x14ac:dyDescent="0.3">
      <c r="B71" s="154" t="s">
        <v>716</v>
      </c>
      <c r="C71" s="151"/>
      <c r="D71" s="151"/>
      <c r="E71" s="151"/>
      <c r="F71" s="151"/>
      <c r="G71" s="151"/>
      <c r="J71" s="154" t="s">
        <v>716</v>
      </c>
      <c r="W71" s="15" t="s">
        <v>632</v>
      </c>
      <c r="AL71" s="15" t="s">
        <v>632</v>
      </c>
      <c r="AS71" t="s">
        <v>326</v>
      </c>
      <c r="AT71" s="17" t="s">
        <v>322</v>
      </c>
      <c r="AU71" s="17" t="s">
        <v>322</v>
      </c>
      <c r="AV71" s="17" t="s">
        <v>166</v>
      </c>
      <c r="AW71" s="17" t="s">
        <v>322</v>
      </c>
      <c r="AX71" s="17" t="s">
        <v>322</v>
      </c>
      <c r="BA71" s="15" t="s">
        <v>632</v>
      </c>
      <c r="BZ71" s="17" t="s">
        <v>315</v>
      </c>
      <c r="CA71" s="17" t="s">
        <v>316</v>
      </c>
      <c r="CB71" s="17" t="s">
        <v>317</v>
      </c>
      <c r="CC71" s="17" t="s">
        <v>318</v>
      </c>
      <c r="CD71" s="17" t="s">
        <v>319</v>
      </c>
      <c r="CK71" s="17" t="s">
        <v>554</v>
      </c>
      <c r="CL71" s="17" t="s">
        <v>322</v>
      </c>
      <c r="CM71" s="17" t="s">
        <v>322</v>
      </c>
      <c r="CN71" s="17" t="s">
        <v>322</v>
      </c>
      <c r="CO71" s="17" t="s">
        <v>322</v>
      </c>
      <c r="CP71" s="17" t="s">
        <v>322</v>
      </c>
    </row>
    <row r="72" spans="2:94" x14ac:dyDescent="0.3">
      <c r="B72" s="154"/>
      <c r="C72" s="151" t="s">
        <v>315</v>
      </c>
      <c r="D72" s="151" t="s">
        <v>316</v>
      </c>
      <c r="E72" s="151" t="s">
        <v>317</v>
      </c>
      <c r="F72" s="151" t="s">
        <v>318</v>
      </c>
      <c r="G72" s="151" t="s">
        <v>319</v>
      </c>
      <c r="K72" s="151" t="s">
        <v>315</v>
      </c>
      <c r="L72" s="151" t="s">
        <v>316</v>
      </c>
      <c r="M72" s="151" t="s">
        <v>317</v>
      </c>
      <c r="N72" s="151" t="s">
        <v>318</v>
      </c>
      <c r="O72" s="151" t="s">
        <v>319</v>
      </c>
      <c r="X72" s="17" t="s">
        <v>315</v>
      </c>
      <c r="Y72" s="17" t="s">
        <v>316</v>
      </c>
      <c r="Z72" s="17" t="s">
        <v>317</v>
      </c>
      <c r="AA72" s="17" t="s">
        <v>318</v>
      </c>
      <c r="AB72" s="17" t="s">
        <v>319</v>
      </c>
      <c r="AD72" t="s">
        <v>615</v>
      </c>
      <c r="AM72" s="17" t="s">
        <v>315</v>
      </c>
      <c r="AN72" s="17" t="s">
        <v>316</v>
      </c>
      <c r="AO72" s="17" t="s">
        <v>317</v>
      </c>
      <c r="AP72" s="17" t="s">
        <v>318</v>
      </c>
      <c r="AQ72" s="17" t="s">
        <v>319</v>
      </c>
      <c r="BB72" s="17" t="s">
        <v>315</v>
      </c>
      <c r="BC72" s="17" t="s">
        <v>316</v>
      </c>
      <c r="BD72" s="17" t="s">
        <v>317</v>
      </c>
      <c r="BE72" s="17" t="s">
        <v>318</v>
      </c>
      <c r="BF72" s="17" t="s">
        <v>319</v>
      </c>
      <c r="BH72" t="s">
        <v>615</v>
      </c>
      <c r="BY72" s="17" t="s">
        <v>539</v>
      </c>
      <c r="BZ72" s="17" t="s">
        <v>248</v>
      </c>
      <c r="CA72" s="17" t="s">
        <v>322</v>
      </c>
      <c r="CB72" s="17" t="s">
        <v>870</v>
      </c>
      <c r="CC72" s="17" t="s">
        <v>265</v>
      </c>
      <c r="CD72" s="17" t="s">
        <v>870</v>
      </c>
    </row>
    <row r="73" spans="2:94" x14ac:dyDescent="0.3">
      <c r="B73" s="154" t="s">
        <v>539</v>
      </c>
      <c r="C73" s="151" t="s">
        <v>322</v>
      </c>
      <c r="D73" s="151" t="s">
        <v>710</v>
      </c>
      <c r="E73" s="151" t="s">
        <v>322</v>
      </c>
      <c r="F73" s="151" t="s">
        <v>322</v>
      </c>
      <c r="G73" s="151" t="s">
        <v>697</v>
      </c>
      <c r="J73" s="154" t="s">
        <v>539</v>
      </c>
      <c r="K73" s="151" t="s">
        <v>322</v>
      </c>
      <c r="L73" s="151" t="s">
        <v>710</v>
      </c>
      <c r="M73" s="151" t="s">
        <v>322</v>
      </c>
      <c r="N73" s="151" t="s">
        <v>322</v>
      </c>
      <c r="O73" s="151" t="s">
        <v>697</v>
      </c>
      <c r="W73" s="15" t="s">
        <v>561</v>
      </c>
      <c r="X73" s="17" t="s">
        <v>633</v>
      </c>
      <c r="Y73" s="17" t="s">
        <v>634</v>
      </c>
      <c r="Z73" s="17" t="s">
        <v>636</v>
      </c>
      <c r="AA73" s="17" t="s">
        <v>634</v>
      </c>
      <c r="AB73" s="17" t="s">
        <v>633</v>
      </c>
      <c r="AE73" s="17" t="s">
        <v>315</v>
      </c>
      <c r="AF73" s="17" t="s">
        <v>316</v>
      </c>
      <c r="AG73" s="17" t="s">
        <v>317</v>
      </c>
      <c r="AH73" s="17" t="s">
        <v>318</v>
      </c>
      <c r="AI73" s="17" t="s">
        <v>319</v>
      </c>
      <c r="AL73" s="15" t="s">
        <v>561</v>
      </c>
      <c r="AM73" s="17" t="s">
        <v>633</v>
      </c>
      <c r="AN73" s="17" t="s">
        <v>634</v>
      </c>
      <c r="AO73" s="17" t="s">
        <v>636</v>
      </c>
      <c r="AP73" s="17" t="s">
        <v>634</v>
      </c>
      <c r="AQ73" s="17" t="s">
        <v>635</v>
      </c>
      <c r="AS73" t="s">
        <v>615</v>
      </c>
      <c r="BA73" s="15" t="s">
        <v>561</v>
      </c>
      <c r="BB73" s="17" t="s">
        <v>633</v>
      </c>
      <c r="BC73" s="17" t="s">
        <v>634</v>
      </c>
      <c r="BD73" s="17" t="s">
        <v>636</v>
      </c>
      <c r="BE73" s="17" t="s">
        <v>634</v>
      </c>
      <c r="BF73" s="17" t="s">
        <v>633</v>
      </c>
      <c r="BI73" s="17" t="s">
        <v>315</v>
      </c>
      <c r="BJ73" s="17" t="s">
        <v>316</v>
      </c>
      <c r="BK73" s="17" t="s">
        <v>317</v>
      </c>
      <c r="BL73" s="17" t="s">
        <v>318</v>
      </c>
      <c r="BM73" s="17" t="s">
        <v>319</v>
      </c>
      <c r="BY73" s="17" t="s">
        <v>543</v>
      </c>
      <c r="BZ73" s="17" t="s">
        <v>248</v>
      </c>
      <c r="CA73" s="17" t="s">
        <v>322</v>
      </c>
      <c r="CB73" s="17" t="s">
        <v>871</v>
      </c>
      <c r="CC73" s="17" t="s">
        <v>265</v>
      </c>
      <c r="CD73" s="17" t="s">
        <v>870</v>
      </c>
      <c r="CK73" s="17" t="s">
        <v>505</v>
      </c>
    </row>
    <row r="74" spans="2:94" x14ac:dyDescent="0.3">
      <c r="B74" s="154" t="s">
        <v>543</v>
      </c>
      <c r="C74" s="151" t="s">
        <v>322</v>
      </c>
      <c r="D74" s="151" t="s">
        <v>710</v>
      </c>
      <c r="E74" s="151" t="s">
        <v>322</v>
      </c>
      <c r="F74" s="151" t="s">
        <v>322</v>
      </c>
      <c r="G74" s="151" t="s">
        <v>697</v>
      </c>
      <c r="J74" s="154" t="s">
        <v>543</v>
      </c>
      <c r="K74" s="151" t="s">
        <v>322</v>
      </c>
      <c r="L74" s="151" t="s">
        <v>710</v>
      </c>
      <c r="M74" s="151" t="s">
        <v>718</v>
      </c>
      <c r="N74" s="151" t="s">
        <v>322</v>
      </c>
      <c r="O74" s="151" t="s">
        <v>697</v>
      </c>
      <c r="W74" s="15" t="s">
        <v>551</v>
      </c>
      <c r="X74" s="17" t="s">
        <v>633</v>
      </c>
      <c r="Y74" s="17" t="s">
        <v>634</v>
      </c>
      <c r="Z74" s="17" t="s">
        <v>636</v>
      </c>
      <c r="AA74" s="17" t="s">
        <v>634</v>
      </c>
      <c r="AB74" s="17" t="s">
        <v>633</v>
      </c>
      <c r="AD74" t="s">
        <v>517</v>
      </c>
      <c r="AE74" s="17" t="s">
        <v>322</v>
      </c>
      <c r="AF74" s="17" t="s">
        <v>75</v>
      </c>
      <c r="AG74" s="17" t="s">
        <v>322</v>
      </c>
      <c r="AH74" s="17" t="s">
        <v>75</v>
      </c>
      <c r="AI74" s="17" t="s">
        <v>322</v>
      </c>
      <c r="AL74" s="15" t="s">
        <v>551</v>
      </c>
      <c r="AM74" s="17" t="s">
        <v>633</v>
      </c>
      <c r="AN74" s="17" t="s">
        <v>634</v>
      </c>
      <c r="AO74" s="17" t="s">
        <v>636</v>
      </c>
      <c r="AP74" s="17" t="s">
        <v>634</v>
      </c>
      <c r="AQ74" s="17" t="s">
        <v>633</v>
      </c>
      <c r="AT74" s="17" t="s">
        <v>315</v>
      </c>
      <c r="AU74" s="17" t="s">
        <v>316</v>
      </c>
      <c r="AV74" s="17" t="s">
        <v>317</v>
      </c>
      <c r="AW74" s="17" t="s">
        <v>318</v>
      </c>
      <c r="AX74" s="17" t="s">
        <v>319</v>
      </c>
      <c r="BA74" s="15" t="s">
        <v>551</v>
      </c>
      <c r="BB74" s="17" t="s">
        <v>633</v>
      </c>
      <c r="BC74" s="17" t="s">
        <v>634</v>
      </c>
      <c r="BD74" s="17" t="s">
        <v>636</v>
      </c>
      <c r="BE74" s="17" t="s">
        <v>634</v>
      </c>
      <c r="BF74" s="17" t="s">
        <v>633</v>
      </c>
      <c r="BH74" t="s">
        <v>517</v>
      </c>
      <c r="BI74" s="17" t="s">
        <v>322</v>
      </c>
      <c r="BJ74" s="17" t="s">
        <v>322</v>
      </c>
      <c r="BK74" s="17" t="s">
        <v>75</v>
      </c>
      <c r="BL74" s="17" t="s">
        <v>322</v>
      </c>
      <c r="BM74" s="17" t="s">
        <v>75</v>
      </c>
      <c r="BY74" s="17" t="s">
        <v>573</v>
      </c>
      <c r="BZ74" s="17" t="s">
        <v>248</v>
      </c>
      <c r="CA74" s="17" t="s">
        <v>322</v>
      </c>
      <c r="CB74" s="17" t="s">
        <v>872</v>
      </c>
      <c r="CC74" s="17" t="s">
        <v>265</v>
      </c>
      <c r="CD74" s="17" t="s">
        <v>322</v>
      </c>
      <c r="CK74" s="17" t="s">
        <v>736</v>
      </c>
    </row>
    <row r="75" spans="2:94" x14ac:dyDescent="0.3">
      <c r="B75" s="154" t="s">
        <v>573</v>
      </c>
      <c r="C75" s="151" t="s">
        <v>689</v>
      </c>
      <c r="D75" s="151" t="s">
        <v>710</v>
      </c>
      <c r="E75" s="151" t="s">
        <v>322</v>
      </c>
      <c r="F75" s="151" t="s">
        <v>689</v>
      </c>
      <c r="G75" s="151" t="s">
        <v>712</v>
      </c>
      <c r="J75" s="154" t="s">
        <v>573</v>
      </c>
      <c r="K75" s="151" t="s">
        <v>689</v>
      </c>
      <c r="L75" s="151" t="s">
        <v>710</v>
      </c>
      <c r="M75" s="151" t="s">
        <v>718</v>
      </c>
      <c r="N75" s="151" t="s">
        <v>689</v>
      </c>
      <c r="O75" s="151" t="s">
        <v>719</v>
      </c>
      <c r="W75" s="15" t="s">
        <v>552</v>
      </c>
      <c r="X75" s="17" t="s">
        <v>633</v>
      </c>
      <c r="Y75" s="17" t="s">
        <v>637</v>
      </c>
      <c r="Z75" s="17" t="s">
        <v>636</v>
      </c>
      <c r="AA75" s="17" t="s">
        <v>634</v>
      </c>
      <c r="AB75" s="17" t="s">
        <v>637</v>
      </c>
      <c r="AD75" t="s">
        <v>326</v>
      </c>
      <c r="AE75" s="17" t="s">
        <v>322</v>
      </c>
      <c r="AF75" s="17" t="s">
        <v>75</v>
      </c>
      <c r="AG75" s="17" t="s">
        <v>322</v>
      </c>
      <c r="AH75" s="17" t="s">
        <v>75</v>
      </c>
      <c r="AI75" s="17" t="s">
        <v>322</v>
      </c>
      <c r="AL75" s="15" t="s">
        <v>552</v>
      </c>
      <c r="AM75" s="17" t="s">
        <v>633</v>
      </c>
      <c r="AN75" s="17" t="s">
        <v>634</v>
      </c>
      <c r="AO75" s="17" t="s">
        <v>636</v>
      </c>
      <c r="AP75" s="17" t="s">
        <v>637</v>
      </c>
      <c r="AQ75" s="17" t="s">
        <v>633</v>
      </c>
      <c r="AS75" t="s">
        <v>512</v>
      </c>
      <c r="AT75" s="17" t="s">
        <v>322</v>
      </c>
      <c r="AU75" s="17" t="s">
        <v>75</v>
      </c>
      <c r="AV75" s="17" t="s">
        <v>322</v>
      </c>
      <c r="AW75" s="17" t="s">
        <v>322</v>
      </c>
      <c r="AX75" s="17" t="s">
        <v>322</v>
      </c>
      <c r="BA75" s="15" t="s">
        <v>552</v>
      </c>
      <c r="BB75" s="17" t="s">
        <v>633</v>
      </c>
      <c r="BC75" s="17" t="s">
        <v>634</v>
      </c>
      <c r="BD75" s="17" t="s">
        <v>636</v>
      </c>
      <c r="BE75" s="17" t="s">
        <v>637</v>
      </c>
      <c r="BF75" s="17" t="s">
        <v>635</v>
      </c>
      <c r="BH75" t="s">
        <v>326</v>
      </c>
      <c r="BI75" s="17" t="s">
        <v>322</v>
      </c>
      <c r="BJ75" s="17" t="s">
        <v>322</v>
      </c>
      <c r="BK75" s="17" t="s">
        <v>75</v>
      </c>
      <c r="BL75" s="17" t="s">
        <v>322</v>
      </c>
      <c r="BM75" s="17" t="s">
        <v>75</v>
      </c>
      <c r="BY75" s="17" t="s">
        <v>561</v>
      </c>
      <c r="BZ75" s="17" t="s">
        <v>850</v>
      </c>
      <c r="CA75" s="17" t="s">
        <v>322</v>
      </c>
      <c r="CB75" s="17" t="s">
        <v>873</v>
      </c>
      <c r="CC75" s="17" t="s">
        <v>265</v>
      </c>
      <c r="CD75" s="17" t="s">
        <v>322</v>
      </c>
    </row>
    <row r="76" spans="2:94" x14ac:dyDescent="0.3">
      <c r="B76" s="154" t="s">
        <v>561</v>
      </c>
      <c r="C76" s="151" t="s">
        <v>689</v>
      </c>
      <c r="D76" s="151" t="s">
        <v>710</v>
      </c>
      <c r="E76" s="130" t="s">
        <v>718</v>
      </c>
      <c r="F76" s="151" t="s">
        <v>689</v>
      </c>
      <c r="G76" s="151" t="s">
        <v>712</v>
      </c>
      <c r="J76" s="154" t="s">
        <v>561</v>
      </c>
      <c r="K76" s="151" t="s">
        <v>689</v>
      </c>
      <c r="L76" s="151" t="s">
        <v>710</v>
      </c>
      <c r="M76" s="151" t="s">
        <v>719</v>
      </c>
      <c r="N76" s="151" t="s">
        <v>689</v>
      </c>
      <c r="O76" s="151" t="s">
        <v>719</v>
      </c>
      <c r="W76" s="15" t="s">
        <v>554</v>
      </c>
      <c r="X76" s="17" t="s">
        <v>636</v>
      </c>
      <c r="Y76" s="17" t="s">
        <v>637</v>
      </c>
      <c r="Z76" s="17" t="s">
        <v>635</v>
      </c>
      <c r="AA76" s="17" t="s">
        <v>322</v>
      </c>
      <c r="AB76" s="17" t="s">
        <v>637</v>
      </c>
      <c r="AD76" t="s">
        <v>328</v>
      </c>
      <c r="AE76" s="17" t="s">
        <v>322</v>
      </c>
      <c r="AF76" s="17" t="s">
        <v>75</v>
      </c>
      <c r="AG76" s="17" t="s">
        <v>322</v>
      </c>
      <c r="AH76" s="17" t="s">
        <v>322</v>
      </c>
      <c r="AI76" s="17" t="s">
        <v>322</v>
      </c>
      <c r="AL76" s="15" t="s">
        <v>554</v>
      </c>
      <c r="AM76" s="17" t="s">
        <v>636</v>
      </c>
      <c r="AN76" s="17" t="s">
        <v>637</v>
      </c>
      <c r="AO76" s="17" t="s">
        <v>635</v>
      </c>
      <c r="AP76" s="17" t="s">
        <v>637</v>
      </c>
      <c r="AQ76" s="17" t="s">
        <v>322</v>
      </c>
      <c r="AS76" t="s">
        <v>514</v>
      </c>
      <c r="AT76" s="17" t="s">
        <v>322</v>
      </c>
      <c r="AU76" s="17" t="s">
        <v>75</v>
      </c>
      <c r="AV76" s="17" t="s">
        <v>322</v>
      </c>
      <c r="AW76" s="17" t="s">
        <v>322</v>
      </c>
      <c r="AX76" s="17" t="s">
        <v>322</v>
      </c>
      <c r="BA76" s="15" t="s">
        <v>554</v>
      </c>
      <c r="BB76" s="17" t="s">
        <v>636</v>
      </c>
      <c r="BC76" s="17" t="s">
        <v>637</v>
      </c>
      <c r="BD76" s="17" t="s">
        <v>635</v>
      </c>
      <c r="BE76" s="17" t="s">
        <v>637</v>
      </c>
      <c r="BF76" s="17" t="s">
        <v>322</v>
      </c>
      <c r="BH76" t="s">
        <v>328</v>
      </c>
      <c r="BI76" s="17" t="s">
        <v>322</v>
      </c>
      <c r="BJ76" s="17" t="s">
        <v>322</v>
      </c>
      <c r="BK76" s="17" t="s">
        <v>322</v>
      </c>
      <c r="BL76" s="17" t="s">
        <v>322</v>
      </c>
      <c r="BM76" s="17" t="s">
        <v>75</v>
      </c>
      <c r="BY76" s="17" t="s">
        <v>551</v>
      </c>
      <c r="BZ76" s="17" t="s">
        <v>874</v>
      </c>
      <c r="CA76" s="17" t="s">
        <v>263</v>
      </c>
      <c r="CB76" s="17" t="s">
        <v>863</v>
      </c>
      <c r="CC76" s="17" t="s">
        <v>263</v>
      </c>
      <c r="CD76" s="17" t="s">
        <v>851</v>
      </c>
      <c r="CK76" s="17" t="s">
        <v>738</v>
      </c>
    </row>
    <row r="77" spans="2:94" x14ac:dyDescent="0.3">
      <c r="B77" s="154" t="s">
        <v>551</v>
      </c>
      <c r="C77" s="151" t="s">
        <v>718</v>
      </c>
      <c r="D77" s="151" t="s">
        <v>682</v>
      </c>
      <c r="E77" s="130" t="s">
        <v>718</v>
      </c>
      <c r="F77" s="151" t="s">
        <v>697</v>
      </c>
      <c r="G77" s="151" t="s">
        <v>925</v>
      </c>
      <c r="J77" s="154" t="s">
        <v>551</v>
      </c>
      <c r="K77" s="151" t="s">
        <v>718</v>
      </c>
      <c r="L77" s="151" t="s">
        <v>682</v>
      </c>
      <c r="M77" s="151" t="s">
        <v>719</v>
      </c>
      <c r="N77" s="151" t="s">
        <v>697</v>
      </c>
      <c r="O77" s="151" t="s">
        <v>925</v>
      </c>
      <c r="W77" s="15" t="s">
        <v>586</v>
      </c>
      <c r="X77" s="17" t="s">
        <v>636</v>
      </c>
      <c r="Y77" s="17" t="s">
        <v>637</v>
      </c>
      <c r="Z77" s="17" t="s">
        <v>635</v>
      </c>
      <c r="AA77" s="17" t="s">
        <v>322</v>
      </c>
      <c r="AB77" s="17" t="s">
        <v>635</v>
      </c>
      <c r="AL77" s="15" t="s">
        <v>586</v>
      </c>
      <c r="AM77" s="17" t="s">
        <v>636</v>
      </c>
      <c r="AN77" s="17" t="s">
        <v>637</v>
      </c>
      <c r="AO77" s="17" t="s">
        <v>635</v>
      </c>
      <c r="AP77" s="17" t="s">
        <v>637</v>
      </c>
      <c r="AQ77" s="17" t="s">
        <v>322</v>
      </c>
      <c r="AS77" t="s">
        <v>517</v>
      </c>
      <c r="AT77" s="17" t="s">
        <v>322</v>
      </c>
      <c r="AU77" s="17" t="s">
        <v>75</v>
      </c>
      <c r="AV77" s="17" t="s">
        <v>322</v>
      </c>
      <c r="AW77" s="17" t="s">
        <v>322</v>
      </c>
      <c r="AX77" s="17" t="s">
        <v>322</v>
      </c>
      <c r="BA77" s="15" t="s">
        <v>586</v>
      </c>
      <c r="BB77" s="17" t="s">
        <v>636</v>
      </c>
      <c r="BC77" s="17" t="s">
        <v>637</v>
      </c>
      <c r="BD77" s="17" t="s">
        <v>635</v>
      </c>
      <c r="BE77" s="17" t="s">
        <v>637</v>
      </c>
      <c r="BF77" s="17" t="s">
        <v>322</v>
      </c>
      <c r="BY77" s="17" t="s">
        <v>552</v>
      </c>
      <c r="BZ77" s="17" t="s">
        <v>875</v>
      </c>
      <c r="CA77" s="17" t="s">
        <v>263</v>
      </c>
      <c r="CB77" s="17" t="s">
        <v>854</v>
      </c>
      <c r="CC77" s="17" t="s">
        <v>263</v>
      </c>
      <c r="CD77" s="17" t="s">
        <v>851</v>
      </c>
      <c r="CL77" s="17" t="s">
        <v>315</v>
      </c>
      <c r="CM77" s="17" t="s">
        <v>316</v>
      </c>
      <c r="CN77" s="17" t="s">
        <v>317</v>
      </c>
      <c r="CO77" s="17" t="s">
        <v>318</v>
      </c>
      <c r="CP77" s="17" t="s">
        <v>319</v>
      </c>
    </row>
    <row r="78" spans="2:94" x14ac:dyDescent="0.3">
      <c r="B78" s="154" t="s">
        <v>552</v>
      </c>
      <c r="C78" s="151" t="s">
        <v>718</v>
      </c>
      <c r="D78" s="151" t="s">
        <v>682</v>
      </c>
      <c r="E78" s="151" t="s">
        <v>322</v>
      </c>
      <c r="F78" s="130" t="s">
        <v>712</v>
      </c>
      <c r="G78" s="151" t="s">
        <v>925</v>
      </c>
      <c r="J78" s="154" t="s">
        <v>552</v>
      </c>
      <c r="K78" s="151" t="s">
        <v>718</v>
      </c>
      <c r="L78" s="151" t="s">
        <v>682</v>
      </c>
      <c r="M78" s="151" t="s">
        <v>322</v>
      </c>
      <c r="N78" s="151" t="s">
        <v>322</v>
      </c>
      <c r="O78" s="151" t="s">
        <v>925</v>
      </c>
      <c r="AD78" t="s">
        <v>623</v>
      </c>
      <c r="AS78" t="s">
        <v>326</v>
      </c>
      <c r="AT78" s="17" t="s">
        <v>322</v>
      </c>
      <c r="AU78" s="17" t="s">
        <v>322</v>
      </c>
      <c r="AV78" s="17" t="s">
        <v>322</v>
      </c>
      <c r="AW78" s="17" t="s">
        <v>322</v>
      </c>
      <c r="AX78" s="17" t="s">
        <v>75</v>
      </c>
      <c r="BH78" t="s">
        <v>623</v>
      </c>
      <c r="BY78" s="17" t="s">
        <v>554</v>
      </c>
      <c r="BZ78" s="17" t="s">
        <v>322</v>
      </c>
      <c r="CA78" s="17" t="s">
        <v>322</v>
      </c>
      <c r="CB78" s="17" t="s">
        <v>876</v>
      </c>
      <c r="CC78" s="17" t="s">
        <v>322</v>
      </c>
      <c r="CD78" s="17" t="s">
        <v>856</v>
      </c>
      <c r="CK78" s="17" t="s">
        <v>539</v>
      </c>
      <c r="CL78" s="17" t="s">
        <v>280</v>
      </c>
      <c r="CM78" s="17" t="s">
        <v>322</v>
      </c>
      <c r="CN78" s="17" t="s">
        <v>293</v>
      </c>
      <c r="CO78" s="17" t="s">
        <v>248</v>
      </c>
      <c r="CP78" s="17" t="s">
        <v>280</v>
      </c>
    </row>
    <row r="79" spans="2:94" x14ac:dyDescent="0.3">
      <c r="B79" s="154" t="s">
        <v>554</v>
      </c>
      <c r="C79" s="151" t="s">
        <v>322</v>
      </c>
      <c r="D79" s="151" t="s">
        <v>322</v>
      </c>
      <c r="E79" s="151" t="s">
        <v>322</v>
      </c>
      <c r="F79" s="130" t="s">
        <v>712</v>
      </c>
      <c r="G79" s="151" t="s">
        <v>322</v>
      </c>
      <c r="J79" s="154" t="s">
        <v>554</v>
      </c>
      <c r="K79" s="151" t="s">
        <v>322</v>
      </c>
      <c r="L79" s="151" t="s">
        <v>322</v>
      </c>
      <c r="M79" s="151" t="s">
        <v>322</v>
      </c>
      <c r="N79" s="151" t="s">
        <v>322</v>
      </c>
      <c r="O79" s="151" t="s">
        <v>322</v>
      </c>
      <c r="W79" s="15" t="s">
        <v>601</v>
      </c>
      <c r="AE79" s="17" t="s">
        <v>315</v>
      </c>
      <c r="AF79" s="17" t="s">
        <v>316</v>
      </c>
      <c r="AG79" s="17" t="s">
        <v>317</v>
      </c>
      <c r="AH79" s="17" t="s">
        <v>318</v>
      </c>
      <c r="AI79" s="17" t="s">
        <v>319</v>
      </c>
      <c r="AL79" s="15" t="s">
        <v>601</v>
      </c>
      <c r="AS79" t="s">
        <v>328</v>
      </c>
      <c r="AT79" s="17" t="s">
        <v>322</v>
      </c>
      <c r="AU79" s="17" t="s">
        <v>322</v>
      </c>
      <c r="AV79" s="17" t="s">
        <v>322</v>
      </c>
      <c r="AW79" s="17" t="s">
        <v>322</v>
      </c>
      <c r="AX79" s="17" t="s">
        <v>75</v>
      </c>
      <c r="BA79" s="15" t="s">
        <v>601</v>
      </c>
      <c r="BI79" s="17" t="s">
        <v>315</v>
      </c>
      <c r="BJ79" s="17" t="s">
        <v>316</v>
      </c>
      <c r="BK79" s="17" t="s">
        <v>317</v>
      </c>
      <c r="BL79" s="17" t="s">
        <v>318</v>
      </c>
      <c r="BM79" s="17" t="s">
        <v>319</v>
      </c>
      <c r="CK79" s="17" t="s">
        <v>543</v>
      </c>
      <c r="CL79" s="17" t="s">
        <v>280</v>
      </c>
      <c r="CM79" s="17" t="s">
        <v>877</v>
      </c>
      <c r="CN79" s="17" t="s">
        <v>293</v>
      </c>
      <c r="CO79" s="17" t="s">
        <v>248</v>
      </c>
      <c r="CP79" s="17" t="s">
        <v>280</v>
      </c>
    </row>
    <row r="80" spans="2:94" x14ac:dyDescent="0.3">
      <c r="B80" s="154"/>
      <c r="C80" s="151"/>
      <c r="D80" s="151"/>
      <c r="E80" s="151"/>
      <c r="F80" s="151"/>
      <c r="G80" s="151"/>
      <c r="X80" s="17" t="s">
        <v>315</v>
      </c>
      <c r="Y80" s="17" t="s">
        <v>316</v>
      </c>
      <c r="Z80" s="17" t="s">
        <v>317</v>
      </c>
      <c r="AA80" s="17" t="s">
        <v>318</v>
      </c>
      <c r="AB80" s="17" t="s">
        <v>319</v>
      </c>
      <c r="AD80" t="s">
        <v>514</v>
      </c>
      <c r="AE80" s="17" t="s">
        <v>322</v>
      </c>
      <c r="AF80" s="17" t="s">
        <v>104</v>
      </c>
      <c r="AG80" s="17" t="s">
        <v>104</v>
      </c>
      <c r="AH80" s="17" t="s">
        <v>322</v>
      </c>
      <c r="AI80" s="17" t="s">
        <v>322</v>
      </c>
      <c r="AM80" s="17" t="s">
        <v>315</v>
      </c>
      <c r="AN80" s="17" t="s">
        <v>316</v>
      </c>
      <c r="AO80" s="17" t="s">
        <v>317</v>
      </c>
      <c r="AP80" s="17" t="s">
        <v>318</v>
      </c>
      <c r="AQ80" s="17" t="s">
        <v>319</v>
      </c>
      <c r="BB80" s="17" t="s">
        <v>315</v>
      </c>
      <c r="BC80" s="17" t="s">
        <v>316</v>
      </c>
      <c r="BD80" s="17" t="s">
        <v>317</v>
      </c>
      <c r="BE80" s="17" t="s">
        <v>318</v>
      </c>
      <c r="BF80" s="17" t="s">
        <v>319</v>
      </c>
      <c r="BH80" t="s">
        <v>514</v>
      </c>
      <c r="BI80" s="17" t="s">
        <v>322</v>
      </c>
      <c r="BJ80" s="17" t="s">
        <v>104</v>
      </c>
      <c r="BK80" s="17" t="s">
        <v>104</v>
      </c>
      <c r="BL80" s="17" t="s">
        <v>104</v>
      </c>
      <c r="BM80" s="17" t="s">
        <v>322</v>
      </c>
      <c r="BY80" s="17" t="s">
        <v>770</v>
      </c>
      <c r="CK80" s="17" t="s">
        <v>573</v>
      </c>
      <c r="CL80" s="17" t="s">
        <v>246</v>
      </c>
      <c r="CM80" s="17" t="s">
        <v>878</v>
      </c>
      <c r="CN80" s="17" t="s">
        <v>293</v>
      </c>
      <c r="CO80" s="17" t="s">
        <v>248</v>
      </c>
      <c r="CP80" s="17" t="s">
        <v>860</v>
      </c>
    </row>
    <row r="81" spans="2:94" x14ac:dyDescent="0.3">
      <c r="B81" s="154" t="s">
        <v>721</v>
      </c>
      <c r="C81" s="151"/>
      <c r="D81" s="151"/>
      <c r="E81" s="151"/>
      <c r="F81" s="151"/>
      <c r="G81" s="151"/>
      <c r="J81" s="154" t="s">
        <v>721</v>
      </c>
      <c r="W81" s="15" t="s">
        <v>512</v>
      </c>
      <c r="X81" s="17" t="s">
        <v>322</v>
      </c>
      <c r="Y81" s="17" t="s">
        <v>602</v>
      </c>
      <c r="Z81" s="17" t="s">
        <v>603</v>
      </c>
      <c r="AA81" s="17" t="s">
        <v>604</v>
      </c>
      <c r="AB81" s="17" t="s">
        <v>602</v>
      </c>
      <c r="AD81" t="s">
        <v>517</v>
      </c>
      <c r="AE81" s="17" t="s">
        <v>322</v>
      </c>
      <c r="AF81" s="17" t="s">
        <v>104</v>
      </c>
      <c r="AG81" s="17" t="s">
        <v>104</v>
      </c>
      <c r="AH81" s="17" t="s">
        <v>104</v>
      </c>
      <c r="AI81" s="17" t="s">
        <v>322</v>
      </c>
      <c r="AL81" s="15" t="s">
        <v>512</v>
      </c>
      <c r="AM81" s="17" t="s">
        <v>322</v>
      </c>
      <c r="AN81" s="17" t="s">
        <v>602</v>
      </c>
      <c r="AO81" s="17" t="s">
        <v>603</v>
      </c>
      <c r="AP81" s="17" t="s">
        <v>604</v>
      </c>
      <c r="AQ81" s="17" t="s">
        <v>602</v>
      </c>
      <c r="AS81" t="s">
        <v>623</v>
      </c>
      <c r="BA81" s="15" t="s">
        <v>512</v>
      </c>
      <c r="BB81" s="17" t="s">
        <v>322</v>
      </c>
      <c r="BC81" s="17" t="s">
        <v>602</v>
      </c>
      <c r="BD81" s="17" t="s">
        <v>603</v>
      </c>
      <c r="BE81" s="17" t="s">
        <v>604</v>
      </c>
      <c r="BF81" s="17" t="s">
        <v>602</v>
      </c>
      <c r="BH81" t="s">
        <v>517</v>
      </c>
      <c r="BI81" s="17" t="s">
        <v>322</v>
      </c>
      <c r="BJ81" s="17" t="s">
        <v>104</v>
      </c>
      <c r="BK81" s="17" t="s">
        <v>104</v>
      </c>
      <c r="BL81" s="17" t="s">
        <v>104</v>
      </c>
      <c r="BM81" s="17" t="s">
        <v>322</v>
      </c>
      <c r="BZ81" s="17" t="s">
        <v>315</v>
      </c>
      <c r="CA81" s="17" t="s">
        <v>316</v>
      </c>
      <c r="CB81" s="17" t="s">
        <v>317</v>
      </c>
      <c r="CC81" s="17" t="s">
        <v>318</v>
      </c>
      <c r="CD81" s="17" t="s">
        <v>319</v>
      </c>
      <c r="CK81" s="17" t="s">
        <v>561</v>
      </c>
      <c r="CL81" s="17" t="s">
        <v>246</v>
      </c>
      <c r="CM81" s="17" t="s">
        <v>879</v>
      </c>
      <c r="CN81" s="17" t="s">
        <v>242</v>
      </c>
      <c r="CO81" s="17" t="s">
        <v>246</v>
      </c>
      <c r="CP81" s="17" t="s">
        <v>860</v>
      </c>
    </row>
    <row r="82" spans="2:94" x14ac:dyDescent="0.3">
      <c r="B82" s="154"/>
      <c r="C82" s="151" t="s">
        <v>315</v>
      </c>
      <c r="D82" s="151" t="s">
        <v>316</v>
      </c>
      <c r="E82" s="151" t="s">
        <v>317</v>
      </c>
      <c r="F82" s="151" t="s">
        <v>318</v>
      </c>
      <c r="G82" s="151" t="s">
        <v>319</v>
      </c>
      <c r="K82" s="151" t="s">
        <v>315</v>
      </c>
      <c r="L82" s="151" t="s">
        <v>316</v>
      </c>
      <c r="M82" s="151" t="s">
        <v>317</v>
      </c>
      <c r="N82" s="151" t="s">
        <v>318</v>
      </c>
      <c r="O82" s="151" t="s">
        <v>319</v>
      </c>
      <c r="W82" s="15" t="s">
        <v>514</v>
      </c>
      <c r="X82" s="17" t="s">
        <v>605</v>
      </c>
      <c r="Y82" s="17" t="s">
        <v>602</v>
      </c>
      <c r="Z82" s="17" t="s">
        <v>603</v>
      </c>
      <c r="AA82" s="17" t="s">
        <v>604</v>
      </c>
      <c r="AB82" s="17" t="s">
        <v>602</v>
      </c>
      <c r="AD82" t="s">
        <v>326</v>
      </c>
      <c r="AE82" s="17" t="s">
        <v>322</v>
      </c>
      <c r="AF82" s="17" t="s">
        <v>322</v>
      </c>
      <c r="AG82" s="17" t="s">
        <v>322</v>
      </c>
      <c r="AH82" s="17" t="s">
        <v>104</v>
      </c>
      <c r="AI82" s="17" t="s">
        <v>322</v>
      </c>
      <c r="AL82" s="15" t="s">
        <v>514</v>
      </c>
      <c r="AM82" s="17" t="s">
        <v>605</v>
      </c>
      <c r="AN82" s="17" t="s">
        <v>602</v>
      </c>
      <c r="AO82" s="17" t="s">
        <v>603</v>
      </c>
      <c r="AP82" s="17" t="s">
        <v>604</v>
      </c>
      <c r="AQ82" s="17" t="s">
        <v>602</v>
      </c>
      <c r="AT82" s="17" t="s">
        <v>315</v>
      </c>
      <c r="AU82" s="17" t="s">
        <v>316</v>
      </c>
      <c r="AV82" s="17" t="s">
        <v>317</v>
      </c>
      <c r="AW82" s="17" t="s">
        <v>318</v>
      </c>
      <c r="AX82" s="17" t="s">
        <v>319</v>
      </c>
      <c r="BA82" s="15" t="s">
        <v>514</v>
      </c>
      <c r="BB82" s="17" t="s">
        <v>605</v>
      </c>
      <c r="BC82" s="17" t="s">
        <v>602</v>
      </c>
      <c r="BD82" s="17" t="s">
        <v>603</v>
      </c>
      <c r="BE82" s="17" t="s">
        <v>604</v>
      </c>
      <c r="BF82" s="17" t="s">
        <v>602</v>
      </c>
      <c r="BH82" t="s">
        <v>543</v>
      </c>
      <c r="BI82" s="17" t="s">
        <v>322</v>
      </c>
      <c r="BJ82" s="17" t="s">
        <v>322</v>
      </c>
      <c r="BK82" s="17" t="s">
        <v>104</v>
      </c>
      <c r="BL82" s="17" t="s">
        <v>322</v>
      </c>
      <c r="BM82" s="17" t="s">
        <v>322</v>
      </c>
      <c r="BY82" s="17" t="s">
        <v>539</v>
      </c>
      <c r="BZ82" s="17" t="s">
        <v>248</v>
      </c>
      <c r="CA82" s="17" t="s">
        <v>322</v>
      </c>
      <c r="CB82" s="17" t="s">
        <v>870</v>
      </c>
      <c r="CC82" s="17" t="s">
        <v>265</v>
      </c>
      <c r="CD82" s="17" t="s">
        <v>870</v>
      </c>
      <c r="CK82" s="17" t="s">
        <v>551</v>
      </c>
      <c r="CL82" s="17" t="s">
        <v>274</v>
      </c>
      <c r="CM82" s="17" t="s">
        <v>242</v>
      </c>
      <c r="CN82" s="17" t="s">
        <v>242</v>
      </c>
      <c r="CO82" s="17" t="s">
        <v>246</v>
      </c>
      <c r="CP82" s="17" t="s">
        <v>254</v>
      </c>
    </row>
    <row r="83" spans="2:94" x14ac:dyDescent="0.3">
      <c r="B83" s="154" t="s">
        <v>539</v>
      </c>
      <c r="C83" s="151" t="s">
        <v>322</v>
      </c>
      <c r="D83" s="151" t="s">
        <v>710</v>
      </c>
      <c r="E83" s="151" t="s">
        <v>322</v>
      </c>
      <c r="F83" s="151" t="s">
        <v>322</v>
      </c>
      <c r="G83" s="151" t="s">
        <v>697</v>
      </c>
      <c r="J83" s="154" t="s">
        <v>539</v>
      </c>
      <c r="K83" s="151" t="s">
        <v>322</v>
      </c>
      <c r="L83" s="151" t="s">
        <v>710</v>
      </c>
      <c r="M83" s="151" t="s">
        <v>322</v>
      </c>
      <c r="N83" s="151" t="s">
        <v>322</v>
      </c>
      <c r="O83" s="151" t="s">
        <v>697</v>
      </c>
      <c r="W83" s="15" t="s">
        <v>517</v>
      </c>
      <c r="X83" s="17" t="s">
        <v>605</v>
      </c>
      <c r="Y83" s="17" t="s">
        <v>606</v>
      </c>
      <c r="Z83" s="17" t="s">
        <v>605</v>
      </c>
      <c r="AA83" s="17" t="s">
        <v>604</v>
      </c>
      <c r="AB83" s="17" t="s">
        <v>602</v>
      </c>
      <c r="AD83" t="s">
        <v>543</v>
      </c>
      <c r="AE83" s="17" t="s">
        <v>322</v>
      </c>
      <c r="AF83" s="17" t="s">
        <v>322</v>
      </c>
      <c r="AG83" s="17" t="s">
        <v>104</v>
      </c>
      <c r="AH83" s="17" t="s">
        <v>322</v>
      </c>
      <c r="AI83" s="17" t="s">
        <v>322</v>
      </c>
      <c r="AL83" s="15" t="s">
        <v>517</v>
      </c>
      <c r="AM83" s="17" t="s">
        <v>605</v>
      </c>
      <c r="AN83" s="17" t="s">
        <v>606</v>
      </c>
      <c r="AO83" s="17" t="s">
        <v>605</v>
      </c>
      <c r="AP83" s="17" t="s">
        <v>604</v>
      </c>
      <c r="AQ83" s="17" t="s">
        <v>602</v>
      </c>
      <c r="AS83" t="s">
        <v>514</v>
      </c>
      <c r="AT83" s="17" t="s">
        <v>322</v>
      </c>
      <c r="AU83" s="17" t="s">
        <v>104</v>
      </c>
      <c r="AV83" s="17" t="s">
        <v>104</v>
      </c>
      <c r="AW83" s="17" t="s">
        <v>104</v>
      </c>
      <c r="AX83" s="17" t="s">
        <v>322</v>
      </c>
      <c r="BA83" s="15" t="s">
        <v>517</v>
      </c>
      <c r="BB83" s="17" t="s">
        <v>605</v>
      </c>
      <c r="BC83" s="17" t="s">
        <v>606</v>
      </c>
      <c r="BD83" s="17" t="s">
        <v>605</v>
      </c>
      <c r="BE83" s="17" t="s">
        <v>604</v>
      </c>
      <c r="BF83" s="17" t="s">
        <v>602</v>
      </c>
      <c r="BH83" t="s">
        <v>573</v>
      </c>
      <c r="BI83" s="17" t="s">
        <v>322</v>
      </c>
      <c r="BJ83" s="17" t="s">
        <v>322</v>
      </c>
      <c r="BK83" s="17" t="s">
        <v>104</v>
      </c>
      <c r="BL83" s="17" t="s">
        <v>322</v>
      </c>
      <c r="BM83" s="17" t="s">
        <v>322</v>
      </c>
      <c r="BY83" s="17" t="s">
        <v>543</v>
      </c>
      <c r="BZ83" s="17" t="s">
        <v>248</v>
      </c>
      <c r="CA83" s="17" t="s">
        <v>322</v>
      </c>
      <c r="CB83" s="17" t="s">
        <v>871</v>
      </c>
      <c r="CC83" s="17" t="s">
        <v>265</v>
      </c>
      <c r="CD83" s="17" t="s">
        <v>870</v>
      </c>
      <c r="CK83" s="17" t="s">
        <v>552</v>
      </c>
      <c r="CL83" s="17" t="s">
        <v>862</v>
      </c>
      <c r="CM83" s="17" t="s">
        <v>242</v>
      </c>
      <c r="CN83" s="17" t="s">
        <v>254</v>
      </c>
      <c r="CO83" s="17" t="s">
        <v>277</v>
      </c>
      <c r="CP83" s="17" t="s">
        <v>254</v>
      </c>
    </row>
    <row r="84" spans="2:94" x14ac:dyDescent="0.3">
      <c r="B84" s="154" t="s">
        <v>543</v>
      </c>
      <c r="C84" s="151" t="s">
        <v>322</v>
      </c>
      <c r="D84" s="151" t="s">
        <v>710</v>
      </c>
      <c r="E84" s="151" t="s">
        <v>322</v>
      </c>
      <c r="F84" s="151" t="s">
        <v>322</v>
      </c>
      <c r="G84" s="151" t="s">
        <v>697</v>
      </c>
      <c r="J84" s="154" t="s">
        <v>543</v>
      </c>
      <c r="K84" s="151" t="s">
        <v>322</v>
      </c>
      <c r="L84" s="151" t="s">
        <v>710</v>
      </c>
      <c r="M84" s="151" t="s">
        <v>718</v>
      </c>
      <c r="N84" s="151" t="s">
        <v>322</v>
      </c>
      <c r="O84" s="151" t="s">
        <v>697</v>
      </c>
      <c r="W84" s="15" t="s">
        <v>326</v>
      </c>
      <c r="X84" s="17" t="s">
        <v>605</v>
      </c>
      <c r="Y84" s="17" t="s">
        <v>606</v>
      </c>
      <c r="Z84" s="17" t="s">
        <v>605</v>
      </c>
      <c r="AA84" s="17" t="s">
        <v>606</v>
      </c>
      <c r="AB84" s="17" t="s">
        <v>608</v>
      </c>
      <c r="AD84" t="s">
        <v>573</v>
      </c>
      <c r="AE84" s="17" t="s">
        <v>322</v>
      </c>
      <c r="AF84" s="17" t="s">
        <v>322</v>
      </c>
      <c r="AG84" s="17" t="s">
        <v>104</v>
      </c>
      <c r="AH84" s="17" t="s">
        <v>322</v>
      </c>
      <c r="AI84" s="17" t="s">
        <v>322</v>
      </c>
      <c r="AL84" s="15" t="s">
        <v>326</v>
      </c>
      <c r="AM84" s="17" t="s">
        <v>605</v>
      </c>
      <c r="AN84" s="17" t="s">
        <v>606</v>
      </c>
      <c r="AO84" s="17" t="s">
        <v>605</v>
      </c>
      <c r="AP84" s="17" t="s">
        <v>606</v>
      </c>
      <c r="AQ84" s="17" t="s">
        <v>608</v>
      </c>
      <c r="AS84" t="s">
        <v>517</v>
      </c>
      <c r="AT84" s="17" t="s">
        <v>322</v>
      </c>
      <c r="AU84" s="17" t="s">
        <v>104</v>
      </c>
      <c r="AV84" s="17" t="s">
        <v>104</v>
      </c>
      <c r="AW84" s="17" t="s">
        <v>104</v>
      </c>
      <c r="AX84" s="17" t="s">
        <v>322</v>
      </c>
      <c r="BA84" s="15" t="s">
        <v>326</v>
      </c>
      <c r="BB84" s="17" t="s">
        <v>605</v>
      </c>
      <c r="BC84" s="17" t="s">
        <v>606</v>
      </c>
      <c r="BD84" s="17" t="s">
        <v>605</v>
      </c>
      <c r="BE84" s="17" t="s">
        <v>606</v>
      </c>
      <c r="BF84" s="17" t="s">
        <v>608</v>
      </c>
      <c r="BY84" s="17" t="s">
        <v>573</v>
      </c>
      <c r="BZ84" s="17" t="s">
        <v>248</v>
      </c>
      <c r="CA84" s="17" t="s">
        <v>322</v>
      </c>
      <c r="CB84" s="17" t="s">
        <v>872</v>
      </c>
      <c r="CC84" s="17" t="s">
        <v>265</v>
      </c>
      <c r="CD84" s="17" t="s">
        <v>228</v>
      </c>
      <c r="CK84" s="17" t="s">
        <v>554</v>
      </c>
      <c r="CL84" s="17" t="s">
        <v>277</v>
      </c>
      <c r="CM84" s="17" t="s">
        <v>322</v>
      </c>
      <c r="CN84" s="17" t="s">
        <v>254</v>
      </c>
      <c r="CO84" s="17" t="s">
        <v>277</v>
      </c>
      <c r="CP84" s="17" t="s">
        <v>254</v>
      </c>
    </row>
    <row r="85" spans="2:94" x14ac:dyDescent="0.3">
      <c r="B85" s="154" t="s">
        <v>573</v>
      </c>
      <c r="C85" s="151" t="s">
        <v>689</v>
      </c>
      <c r="D85" s="151" t="s">
        <v>710</v>
      </c>
      <c r="E85" s="151" t="s">
        <v>322</v>
      </c>
      <c r="F85" s="151" t="s">
        <v>689</v>
      </c>
      <c r="G85" s="151" t="s">
        <v>712</v>
      </c>
      <c r="J85" s="154" t="s">
        <v>573</v>
      </c>
      <c r="K85" s="151" t="s">
        <v>689</v>
      </c>
      <c r="L85" s="151" t="s">
        <v>710</v>
      </c>
      <c r="M85" s="151" t="s">
        <v>718</v>
      </c>
      <c r="N85" s="151" t="s">
        <v>689</v>
      </c>
      <c r="O85" s="151" t="s">
        <v>719</v>
      </c>
      <c r="W85" s="15" t="s">
        <v>328</v>
      </c>
      <c r="X85" s="17" t="s">
        <v>609</v>
      </c>
      <c r="Y85" s="17" t="s">
        <v>608</v>
      </c>
      <c r="Z85" s="17" t="s">
        <v>609</v>
      </c>
      <c r="AA85" s="17" t="s">
        <v>606</v>
      </c>
      <c r="AB85" s="17" t="s">
        <v>608</v>
      </c>
      <c r="AL85" s="15" t="s">
        <v>328</v>
      </c>
      <c r="AM85" s="17" t="s">
        <v>609</v>
      </c>
      <c r="AN85" s="17" t="s">
        <v>608</v>
      </c>
      <c r="AO85" s="17" t="s">
        <v>609</v>
      </c>
      <c r="AP85" s="17" t="s">
        <v>606</v>
      </c>
      <c r="AQ85" s="17" t="s">
        <v>608</v>
      </c>
      <c r="AS85" t="s">
        <v>543</v>
      </c>
      <c r="AT85" s="17" t="s">
        <v>322</v>
      </c>
      <c r="AU85" s="17" t="s">
        <v>322</v>
      </c>
      <c r="AV85" s="17" t="s">
        <v>322</v>
      </c>
      <c r="AW85" s="17" t="s">
        <v>104</v>
      </c>
      <c r="AX85" s="17" t="s">
        <v>322</v>
      </c>
      <c r="BA85" s="15" t="s">
        <v>328</v>
      </c>
      <c r="BB85" s="17" t="s">
        <v>609</v>
      </c>
      <c r="BC85" s="17" t="s">
        <v>608</v>
      </c>
      <c r="BD85" s="17" t="s">
        <v>609</v>
      </c>
      <c r="BE85" s="17" t="s">
        <v>606</v>
      </c>
      <c r="BF85" s="17" t="s">
        <v>608</v>
      </c>
      <c r="BH85" t="s">
        <v>628</v>
      </c>
      <c r="BY85" s="17" t="s">
        <v>561</v>
      </c>
      <c r="BZ85" s="17" t="s">
        <v>850</v>
      </c>
      <c r="CA85" s="17" t="s">
        <v>322</v>
      </c>
      <c r="CB85" s="17" t="s">
        <v>873</v>
      </c>
      <c r="CC85" s="17" t="s">
        <v>265</v>
      </c>
      <c r="CD85" s="17" t="s">
        <v>228</v>
      </c>
    </row>
    <row r="86" spans="2:94" x14ac:dyDescent="0.3">
      <c r="B86" s="154" t="s">
        <v>561</v>
      </c>
      <c r="C86" s="151" t="s">
        <v>689</v>
      </c>
      <c r="D86" s="151" t="s">
        <v>710</v>
      </c>
      <c r="E86" s="130" t="s">
        <v>718</v>
      </c>
      <c r="F86" s="151" t="s">
        <v>689</v>
      </c>
      <c r="G86" s="151" t="s">
        <v>712</v>
      </c>
      <c r="J86" s="154" t="s">
        <v>561</v>
      </c>
      <c r="K86" s="151" t="s">
        <v>689</v>
      </c>
      <c r="L86" s="151" t="s">
        <v>710</v>
      </c>
      <c r="M86" s="151" t="s">
        <v>719</v>
      </c>
      <c r="N86" s="151" t="s">
        <v>689</v>
      </c>
      <c r="O86" s="151" t="s">
        <v>719</v>
      </c>
      <c r="W86" s="15" t="s">
        <v>350</v>
      </c>
      <c r="X86" s="17" t="s">
        <v>609</v>
      </c>
      <c r="Y86" s="17" t="s">
        <v>608</v>
      </c>
      <c r="Z86" s="17" t="s">
        <v>609</v>
      </c>
      <c r="AA86" s="17" t="s">
        <v>606</v>
      </c>
      <c r="AB86" s="17" t="s">
        <v>608</v>
      </c>
      <c r="AD86" t="s">
        <v>628</v>
      </c>
      <c r="AL86" s="15" t="s">
        <v>350</v>
      </c>
      <c r="AM86" s="17" t="s">
        <v>609</v>
      </c>
      <c r="AN86" s="17" t="s">
        <v>608</v>
      </c>
      <c r="AO86" s="17" t="s">
        <v>609</v>
      </c>
      <c r="AP86" s="17" t="s">
        <v>606</v>
      </c>
      <c r="AQ86" s="17" t="s">
        <v>608</v>
      </c>
      <c r="AS86" t="s">
        <v>573</v>
      </c>
      <c r="AT86" s="17" t="s">
        <v>322</v>
      </c>
      <c r="AU86" s="17" t="s">
        <v>322</v>
      </c>
      <c r="AV86" s="17" t="s">
        <v>322</v>
      </c>
      <c r="AW86" s="17" t="s">
        <v>104</v>
      </c>
      <c r="AX86" s="17" t="s">
        <v>322</v>
      </c>
      <c r="BA86" s="15" t="s">
        <v>350</v>
      </c>
      <c r="BB86" s="17" t="s">
        <v>609</v>
      </c>
      <c r="BC86" s="17" t="s">
        <v>608</v>
      </c>
      <c r="BD86" s="17" t="s">
        <v>609</v>
      </c>
      <c r="BE86" s="17" t="s">
        <v>606</v>
      </c>
      <c r="BF86" s="17" t="s">
        <v>608</v>
      </c>
      <c r="BI86" s="17" t="s">
        <v>315</v>
      </c>
      <c r="BJ86" s="17" t="s">
        <v>316</v>
      </c>
      <c r="BK86" s="17" t="s">
        <v>317</v>
      </c>
      <c r="BL86" s="17" t="s">
        <v>318</v>
      </c>
      <c r="BM86" s="17" t="s">
        <v>319</v>
      </c>
      <c r="BY86" s="17" t="s">
        <v>551</v>
      </c>
      <c r="BZ86" s="17" t="s">
        <v>874</v>
      </c>
      <c r="CA86" s="17" t="s">
        <v>228</v>
      </c>
      <c r="CB86" s="17" t="s">
        <v>863</v>
      </c>
      <c r="CC86" s="17" t="s">
        <v>322</v>
      </c>
      <c r="CD86" s="17" t="s">
        <v>851</v>
      </c>
      <c r="CK86" s="17" t="s">
        <v>750</v>
      </c>
    </row>
    <row r="87" spans="2:94" x14ac:dyDescent="0.3">
      <c r="B87" s="154" t="s">
        <v>551</v>
      </c>
      <c r="C87" s="151" t="s">
        <v>718</v>
      </c>
      <c r="D87" s="151" t="s">
        <v>682</v>
      </c>
      <c r="E87" s="130" t="s">
        <v>718</v>
      </c>
      <c r="F87" s="151" t="s">
        <v>697</v>
      </c>
      <c r="G87" s="151" t="s">
        <v>322</v>
      </c>
      <c r="J87" s="154" t="s">
        <v>551</v>
      </c>
      <c r="K87" s="151" t="s">
        <v>718</v>
      </c>
      <c r="L87" s="151" t="s">
        <v>682</v>
      </c>
      <c r="M87" s="151" t="s">
        <v>719</v>
      </c>
      <c r="N87" s="151" t="s">
        <v>697</v>
      </c>
      <c r="O87" s="151" t="s">
        <v>322</v>
      </c>
      <c r="AE87" s="17" t="s">
        <v>315</v>
      </c>
      <c r="AF87" s="17" t="s">
        <v>316</v>
      </c>
      <c r="AG87" s="17" t="s">
        <v>317</v>
      </c>
      <c r="AH87" s="17" t="s">
        <v>318</v>
      </c>
      <c r="AI87" s="17" t="s">
        <v>319</v>
      </c>
      <c r="BH87" t="s">
        <v>573</v>
      </c>
      <c r="BI87" s="17" t="s">
        <v>322</v>
      </c>
      <c r="BJ87" s="17" t="s">
        <v>322</v>
      </c>
      <c r="BK87" s="17" t="s">
        <v>322</v>
      </c>
      <c r="BL87" s="17" t="s">
        <v>322</v>
      </c>
      <c r="BM87" s="17" t="s">
        <v>228</v>
      </c>
      <c r="BY87" s="17" t="s">
        <v>552</v>
      </c>
      <c r="BZ87" s="17" t="s">
        <v>875</v>
      </c>
      <c r="CA87" s="17" t="s">
        <v>228</v>
      </c>
      <c r="CB87" s="17" t="s">
        <v>854</v>
      </c>
      <c r="CC87" s="17" t="s">
        <v>322</v>
      </c>
      <c r="CD87" s="17" t="s">
        <v>851</v>
      </c>
      <c r="CL87" s="17" t="s">
        <v>315</v>
      </c>
      <c r="CM87" s="17" t="s">
        <v>316</v>
      </c>
      <c r="CN87" s="17" t="s">
        <v>317</v>
      </c>
      <c r="CO87" s="17" t="s">
        <v>318</v>
      </c>
      <c r="CP87" s="17" t="s">
        <v>319</v>
      </c>
    </row>
    <row r="88" spans="2:94" x14ac:dyDescent="0.3">
      <c r="B88" s="154" t="s">
        <v>552</v>
      </c>
      <c r="C88" s="151" t="s">
        <v>718</v>
      </c>
      <c r="D88" s="151" t="s">
        <v>682</v>
      </c>
      <c r="E88" s="151" t="s">
        <v>925</v>
      </c>
      <c r="F88" s="130" t="s">
        <v>712</v>
      </c>
      <c r="G88" s="151" t="s">
        <v>322</v>
      </c>
      <c r="J88" s="154" t="s">
        <v>552</v>
      </c>
      <c r="K88" s="151" t="s">
        <v>718</v>
      </c>
      <c r="L88" s="151" t="s">
        <v>682</v>
      </c>
      <c r="M88" s="151" t="s">
        <v>925</v>
      </c>
      <c r="N88" s="151" t="s">
        <v>322</v>
      </c>
      <c r="O88" s="151" t="s">
        <v>322</v>
      </c>
      <c r="W88" s="15" t="s">
        <v>629</v>
      </c>
      <c r="AD88" t="s">
        <v>573</v>
      </c>
      <c r="AE88" s="17" t="s">
        <v>322</v>
      </c>
      <c r="AF88" s="17" t="s">
        <v>322</v>
      </c>
      <c r="AG88" s="17" t="s">
        <v>322</v>
      </c>
      <c r="AH88" s="17" t="s">
        <v>322</v>
      </c>
      <c r="AI88" s="17" t="s">
        <v>228</v>
      </c>
      <c r="AL88" s="15" t="s">
        <v>629</v>
      </c>
      <c r="AS88" t="s">
        <v>628</v>
      </c>
      <c r="BA88" s="15" t="s">
        <v>629</v>
      </c>
      <c r="BH88" t="s">
        <v>561</v>
      </c>
      <c r="BI88" s="17" t="s">
        <v>322</v>
      </c>
      <c r="BJ88" s="17" t="s">
        <v>322</v>
      </c>
      <c r="BK88" s="17" t="s">
        <v>322</v>
      </c>
      <c r="BL88" s="17" t="s">
        <v>322</v>
      </c>
      <c r="BM88" s="17" t="s">
        <v>228</v>
      </c>
      <c r="BY88" s="17" t="s">
        <v>554</v>
      </c>
      <c r="BZ88" s="17" t="s">
        <v>322</v>
      </c>
      <c r="CA88" s="17" t="s">
        <v>322</v>
      </c>
      <c r="CB88" s="17" t="s">
        <v>876</v>
      </c>
      <c r="CC88" s="17" t="s">
        <v>322</v>
      </c>
      <c r="CD88" s="17" t="s">
        <v>856</v>
      </c>
      <c r="CK88" s="17" t="s">
        <v>539</v>
      </c>
      <c r="CL88" s="17" t="s">
        <v>261</v>
      </c>
      <c r="CM88" s="108" t="s">
        <v>223</v>
      </c>
      <c r="CN88" s="108" t="s">
        <v>293</v>
      </c>
      <c r="CO88" s="17" t="s">
        <v>248</v>
      </c>
      <c r="CP88" s="17" t="s">
        <v>261</v>
      </c>
    </row>
    <row r="89" spans="2:94" x14ac:dyDescent="0.3">
      <c r="B89" s="154" t="s">
        <v>554</v>
      </c>
      <c r="C89" s="151" t="s">
        <v>322</v>
      </c>
      <c r="D89" s="151" t="s">
        <v>322</v>
      </c>
      <c r="E89" s="151" t="s">
        <v>925</v>
      </c>
      <c r="F89" s="130" t="s">
        <v>712</v>
      </c>
      <c r="G89" s="151" t="s">
        <v>322</v>
      </c>
      <c r="J89" s="154" t="s">
        <v>554</v>
      </c>
      <c r="K89" s="151" t="s">
        <v>322</v>
      </c>
      <c r="L89" s="151" t="s">
        <v>322</v>
      </c>
      <c r="M89" s="151" t="s">
        <v>925</v>
      </c>
      <c r="N89" s="151" t="s">
        <v>322</v>
      </c>
      <c r="O89" s="151" t="s">
        <v>322</v>
      </c>
      <c r="X89" s="17" t="s">
        <v>315</v>
      </c>
      <c r="Y89" s="17" t="s">
        <v>316</v>
      </c>
      <c r="Z89" s="17" t="s">
        <v>317</v>
      </c>
      <c r="AA89" s="17" t="s">
        <v>318</v>
      </c>
      <c r="AB89" s="17" t="s">
        <v>319</v>
      </c>
      <c r="AD89" t="s">
        <v>561</v>
      </c>
      <c r="AE89" s="17" t="s">
        <v>322</v>
      </c>
      <c r="AF89" s="17" t="s">
        <v>322</v>
      </c>
      <c r="AG89" s="17" t="s">
        <v>322</v>
      </c>
      <c r="AH89" s="17" t="s">
        <v>322</v>
      </c>
      <c r="AI89" s="17" t="s">
        <v>228</v>
      </c>
      <c r="AM89" s="17" t="s">
        <v>315</v>
      </c>
      <c r="AN89" s="17" t="s">
        <v>316</v>
      </c>
      <c r="AO89" s="17" t="s">
        <v>317</v>
      </c>
      <c r="AP89" s="17" t="s">
        <v>318</v>
      </c>
      <c r="AQ89" s="17" t="s">
        <v>319</v>
      </c>
      <c r="AT89" s="17" t="s">
        <v>315</v>
      </c>
      <c r="AU89" s="17" t="s">
        <v>316</v>
      </c>
      <c r="AV89" s="17" t="s">
        <v>317</v>
      </c>
      <c r="AW89" s="17" t="s">
        <v>318</v>
      </c>
      <c r="AX89" s="17" t="s">
        <v>319</v>
      </c>
      <c r="BB89" s="17" t="s">
        <v>315</v>
      </c>
      <c r="BC89" s="17" t="s">
        <v>316</v>
      </c>
      <c r="BD89" s="17" t="s">
        <v>317</v>
      </c>
      <c r="BE89" s="17" t="s">
        <v>318</v>
      </c>
      <c r="BF89" s="17" t="s">
        <v>319</v>
      </c>
      <c r="BH89" t="s">
        <v>551</v>
      </c>
      <c r="BI89" s="17" t="s">
        <v>322</v>
      </c>
      <c r="BJ89" s="17" t="s">
        <v>228</v>
      </c>
      <c r="BK89" s="17" t="s">
        <v>322</v>
      </c>
      <c r="BL89" s="17" t="s">
        <v>322</v>
      </c>
      <c r="BM89" s="17" t="s">
        <v>322</v>
      </c>
      <c r="CK89" s="17" t="s">
        <v>543</v>
      </c>
      <c r="CL89" s="17" t="s">
        <v>261</v>
      </c>
      <c r="CM89" s="108" t="s">
        <v>880</v>
      </c>
      <c r="CN89" s="108" t="s">
        <v>293</v>
      </c>
      <c r="CO89" s="17" t="s">
        <v>248</v>
      </c>
      <c r="CP89" s="17" t="s">
        <v>261</v>
      </c>
    </row>
    <row r="90" spans="2:94" x14ac:dyDescent="0.3">
      <c r="E90" s="151"/>
      <c r="F90" s="151"/>
      <c r="G90" s="151"/>
      <c r="W90" s="15" t="s">
        <v>512</v>
      </c>
      <c r="X90" s="17" t="s">
        <v>620</v>
      </c>
      <c r="Y90" s="17" t="s">
        <v>617</v>
      </c>
      <c r="Z90" s="17" t="s">
        <v>603</v>
      </c>
      <c r="AA90" s="17" t="s">
        <v>617</v>
      </c>
      <c r="AB90" s="17" t="s">
        <v>630</v>
      </c>
      <c r="AD90" t="s">
        <v>551</v>
      </c>
      <c r="AE90" s="17" t="s">
        <v>322</v>
      </c>
      <c r="AF90" s="17" t="s">
        <v>228</v>
      </c>
      <c r="AG90" s="17" t="s">
        <v>322</v>
      </c>
      <c r="AH90" s="17" t="s">
        <v>322</v>
      </c>
      <c r="AI90" s="17" t="s">
        <v>322</v>
      </c>
      <c r="AL90" s="15" t="s">
        <v>512</v>
      </c>
      <c r="AM90" s="17" t="s">
        <v>620</v>
      </c>
      <c r="AN90" s="17" t="s">
        <v>617</v>
      </c>
      <c r="AO90" s="17" t="s">
        <v>603</v>
      </c>
      <c r="AP90" s="17" t="s">
        <v>617</v>
      </c>
      <c r="AQ90" s="17" t="s">
        <v>630</v>
      </c>
      <c r="AS90" t="s">
        <v>573</v>
      </c>
      <c r="AT90" s="17" t="s">
        <v>322</v>
      </c>
      <c r="AU90" s="17" t="s">
        <v>322</v>
      </c>
      <c r="AV90" s="17" t="s">
        <v>322</v>
      </c>
      <c r="AW90" s="17" t="s">
        <v>322</v>
      </c>
      <c r="AX90" s="17" t="s">
        <v>228</v>
      </c>
      <c r="BA90" s="15" t="s">
        <v>512</v>
      </c>
      <c r="BB90" s="17" t="s">
        <v>620</v>
      </c>
      <c r="BC90" s="17" t="s">
        <v>617</v>
      </c>
      <c r="BD90" s="17" t="s">
        <v>603</v>
      </c>
      <c r="BE90" s="17" t="s">
        <v>617</v>
      </c>
      <c r="BF90" s="17" t="s">
        <v>630</v>
      </c>
      <c r="BH90" t="s">
        <v>552</v>
      </c>
      <c r="BI90" s="17" t="s">
        <v>322</v>
      </c>
      <c r="BJ90" s="17" t="s">
        <v>228</v>
      </c>
      <c r="BK90" s="17" t="s">
        <v>322</v>
      </c>
      <c r="BL90" s="17" t="s">
        <v>322</v>
      </c>
      <c r="BM90" s="17" t="s">
        <v>322</v>
      </c>
      <c r="CK90" s="17" t="s">
        <v>573</v>
      </c>
      <c r="CL90" s="17" t="s">
        <v>261</v>
      </c>
      <c r="CM90" s="17" t="s">
        <v>879</v>
      </c>
      <c r="CN90" s="108" t="s">
        <v>293</v>
      </c>
      <c r="CO90" s="17" t="s">
        <v>248</v>
      </c>
      <c r="CP90" s="17" t="s">
        <v>256</v>
      </c>
    </row>
    <row r="91" spans="2:94" x14ac:dyDescent="0.3">
      <c r="W91" s="15" t="s">
        <v>514</v>
      </c>
      <c r="X91" s="17" t="s">
        <v>620</v>
      </c>
      <c r="Y91" s="17" t="s">
        <v>617</v>
      </c>
      <c r="Z91" s="17" t="s">
        <v>603</v>
      </c>
      <c r="AA91" s="17" t="s">
        <v>617</v>
      </c>
      <c r="AB91" s="17" t="s">
        <v>630</v>
      </c>
      <c r="AD91" t="s">
        <v>552</v>
      </c>
      <c r="AE91" s="17" t="s">
        <v>322</v>
      </c>
      <c r="AF91" s="17" t="s">
        <v>228</v>
      </c>
      <c r="AG91" s="17" t="s">
        <v>322</v>
      </c>
      <c r="AH91" s="17" t="s">
        <v>322</v>
      </c>
      <c r="AI91" s="17" t="s">
        <v>322</v>
      </c>
      <c r="AL91" s="15" t="s">
        <v>514</v>
      </c>
      <c r="AM91" s="17" t="s">
        <v>620</v>
      </c>
      <c r="AN91" s="17" t="s">
        <v>617</v>
      </c>
      <c r="AO91" s="17" t="s">
        <v>603</v>
      </c>
      <c r="AP91" s="17" t="s">
        <v>617</v>
      </c>
      <c r="AQ91" s="17" t="s">
        <v>630</v>
      </c>
      <c r="AS91" t="s">
        <v>561</v>
      </c>
      <c r="AT91" s="17" t="s">
        <v>322</v>
      </c>
      <c r="AU91" s="17" t="s">
        <v>322</v>
      </c>
      <c r="AV91" s="17" t="s">
        <v>322</v>
      </c>
      <c r="AW91" s="17" t="s">
        <v>322</v>
      </c>
      <c r="AX91" s="17" t="s">
        <v>228</v>
      </c>
      <c r="BA91" s="15" t="s">
        <v>514</v>
      </c>
      <c r="BB91" s="17" t="s">
        <v>620</v>
      </c>
      <c r="BC91" s="17" t="s">
        <v>617</v>
      </c>
      <c r="BD91" s="17" t="s">
        <v>603</v>
      </c>
      <c r="BE91" s="17" t="s">
        <v>617</v>
      </c>
      <c r="BF91" s="17" t="s">
        <v>630</v>
      </c>
      <c r="CK91" s="17" t="s">
        <v>561</v>
      </c>
      <c r="CL91" s="17" t="s">
        <v>258</v>
      </c>
      <c r="CM91" s="17" t="s">
        <v>879</v>
      </c>
      <c r="CN91" s="17" t="s">
        <v>256</v>
      </c>
      <c r="CO91" s="17" t="s">
        <v>258</v>
      </c>
      <c r="CP91" s="17" t="s">
        <v>256</v>
      </c>
    </row>
    <row r="92" spans="2:94" x14ac:dyDescent="0.3">
      <c r="W92" s="15" t="s">
        <v>517</v>
      </c>
      <c r="X92" s="17" t="s">
        <v>620</v>
      </c>
      <c r="Y92" s="17" t="s">
        <v>609</v>
      </c>
      <c r="Z92" s="17" t="s">
        <v>625</v>
      </c>
      <c r="AA92" s="17" t="s">
        <v>617</v>
      </c>
      <c r="AB92" s="17" t="s">
        <v>630</v>
      </c>
      <c r="AL92" s="15" t="s">
        <v>517</v>
      </c>
      <c r="AM92" s="17" t="s">
        <v>620</v>
      </c>
      <c r="AN92" s="17" t="s">
        <v>609</v>
      </c>
      <c r="AO92" s="17" t="s">
        <v>625</v>
      </c>
      <c r="AP92" s="17" t="s">
        <v>617</v>
      </c>
      <c r="AQ92" s="17" t="s">
        <v>630</v>
      </c>
      <c r="AS92" t="s">
        <v>551</v>
      </c>
      <c r="AT92" s="17" t="s">
        <v>322</v>
      </c>
      <c r="AU92" s="17" t="s">
        <v>228</v>
      </c>
      <c r="AV92" s="17" t="s">
        <v>322</v>
      </c>
      <c r="AW92" s="17" t="s">
        <v>322</v>
      </c>
      <c r="AX92" s="17" t="s">
        <v>322</v>
      </c>
      <c r="BA92" s="15" t="s">
        <v>517</v>
      </c>
      <c r="BB92" s="17" t="s">
        <v>620</v>
      </c>
      <c r="BC92" s="17" t="s">
        <v>609</v>
      </c>
      <c r="BD92" s="17" t="s">
        <v>625</v>
      </c>
      <c r="BE92" s="17" t="s">
        <v>617</v>
      </c>
      <c r="BF92" s="17" t="s">
        <v>630</v>
      </c>
      <c r="BH92" t="s">
        <v>631</v>
      </c>
      <c r="CK92" s="17" t="s">
        <v>551</v>
      </c>
      <c r="CL92" s="17" t="s">
        <v>258</v>
      </c>
      <c r="CM92" s="108" t="s">
        <v>278</v>
      </c>
      <c r="CN92" s="17" t="s">
        <v>256</v>
      </c>
      <c r="CO92" s="17" t="s">
        <v>258</v>
      </c>
      <c r="CP92" s="108" t="s">
        <v>219</v>
      </c>
    </row>
    <row r="93" spans="2:94" x14ac:dyDescent="0.3">
      <c r="W93" s="15" t="s">
        <v>326</v>
      </c>
      <c r="X93" s="17" t="s">
        <v>625</v>
      </c>
      <c r="Y93" s="17" t="s">
        <v>609</v>
      </c>
      <c r="Z93" s="17" t="s">
        <v>625</v>
      </c>
      <c r="AA93" s="17" t="s">
        <v>620</v>
      </c>
      <c r="AB93" s="17" t="s">
        <v>608</v>
      </c>
      <c r="AD93" t="s">
        <v>631</v>
      </c>
      <c r="AL93" s="15" t="s">
        <v>326</v>
      </c>
      <c r="AM93" s="17" t="s">
        <v>625</v>
      </c>
      <c r="AN93" s="17" t="s">
        <v>609</v>
      </c>
      <c r="AO93" s="17" t="s">
        <v>625</v>
      </c>
      <c r="AP93" s="17" t="s">
        <v>620</v>
      </c>
      <c r="AQ93" s="17" t="s">
        <v>608</v>
      </c>
      <c r="AS93" t="s">
        <v>552</v>
      </c>
      <c r="AT93" s="17" t="s">
        <v>322</v>
      </c>
      <c r="AU93" s="17" t="s">
        <v>228</v>
      </c>
      <c r="AV93" s="17" t="s">
        <v>322</v>
      </c>
      <c r="AW93" s="17" t="s">
        <v>322</v>
      </c>
      <c r="AX93" s="17" t="s">
        <v>322</v>
      </c>
      <c r="BA93" s="15" t="s">
        <v>326</v>
      </c>
      <c r="BB93" s="17" t="s">
        <v>625</v>
      </c>
      <c r="BC93" s="17" t="s">
        <v>609</v>
      </c>
      <c r="BD93" s="17" t="s">
        <v>625</v>
      </c>
      <c r="BE93" s="17" t="s">
        <v>620</v>
      </c>
      <c r="BF93" s="17" t="s">
        <v>608</v>
      </c>
      <c r="BI93" s="17" t="s">
        <v>315</v>
      </c>
      <c r="BJ93" s="17" t="s">
        <v>316</v>
      </c>
      <c r="BK93" s="17" t="s">
        <v>317</v>
      </c>
      <c r="BL93" s="17" t="s">
        <v>318</v>
      </c>
      <c r="BM93" s="17" t="s">
        <v>319</v>
      </c>
      <c r="CK93" s="17" t="s">
        <v>552</v>
      </c>
      <c r="CL93" s="108" t="s">
        <v>219</v>
      </c>
      <c r="CM93" s="108" t="s">
        <v>278</v>
      </c>
      <c r="CN93" s="108" t="s">
        <v>223</v>
      </c>
      <c r="CO93" s="17" t="s">
        <v>258</v>
      </c>
      <c r="CP93" s="108" t="s">
        <v>219</v>
      </c>
    </row>
    <row r="94" spans="2:94" x14ac:dyDescent="0.3">
      <c r="W94" s="15" t="s">
        <v>328</v>
      </c>
      <c r="X94" s="17" t="s">
        <v>625</v>
      </c>
      <c r="Y94" s="17" t="s">
        <v>608</v>
      </c>
      <c r="Z94" s="17" t="s">
        <v>625</v>
      </c>
      <c r="AA94" s="17" t="s">
        <v>620</v>
      </c>
      <c r="AB94" s="17" t="s">
        <v>608</v>
      </c>
      <c r="AE94" s="17" t="s">
        <v>315</v>
      </c>
      <c r="AF94" s="17" t="s">
        <v>316</v>
      </c>
      <c r="AG94" s="17" t="s">
        <v>317</v>
      </c>
      <c r="AH94" s="17" t="s">
        <v>318</v>
      </c>
      <c r="AI94" s="17" t="s">
        <v>319</v>
      </c>
      <c r="AL94" s="15" t="s">
        <v>328</v>
      </c>
      <c r="AM94" s="17" t="s">
        <v>625</v>
      </c>
      <c r="AN94" s="17" t="s">
        <v>608</v>
      </c>
      <c r="AO94" s="17" t="s">
        <v>625</v>
      </c>
      <c r="AP94" s="17" t="s">
        <v>620</v>
      </c>
      <c r="AQ94" s="17" t="s">
        <v>608</v>
      </c>
      <c r="BA94" s="15" t="s">
        <v>328</v>
      </c>
      <c r="BB94" s="17" t="s">
        <v>625</v>
      </c>
      <c r="BC94" s="17" t="s">
        <v>608</v>
      </c>
      <c r="BD94" s="17" t="s">
        <v>625</v>
      </c>
      <c r="BE94" s="17" t="s">
        <v>620</v>
      </c>
      <c r="BF94" s="17" t="s">
        <v>608</v>
      </c>
      <c r="BH94" t="s">
        <v>561</v>
      </c>
      <c r="BI94" s="17" t="s">
        <v>19</v>
      </c>
      <c r="BJ94" s="17" t="s">
        <v>322</v>
      </c>
      <c r="BK94" s="17" t="s">
        <v>43</v>
      </c>
      <c r="BL94" s="17" t="s">
        <v>322</v>
      </c>
      <c r="BM94" s="17" t="s">
        <v>322</v>
      </c>
      <c r="BY94" s="17" t="s">
        <v>505</v>
      </c>
      <c r="CK94" s="17" t="s">
        <v>554</v>
      </c>
      <c r="CL94" s="108" t="s">
        <v>219</v>
      </c>
      <c r="CM94" s="108" t="s">
        <v>278</v>
      </c>
      <c r="CN94" s="108" t="s">
        <v>223</v>
      </c>
      <c r="CO94" s="17" t="s">
        <v>322</v>
      </c>
      <c r="CP94" s="108" t="s">
        <v>219</v>
      </c>
    </row>
    <row r="95" spans="2:94" x14ac:dyDescent="0.3">
      <c r="E95" s="151"/>
      <c r="W95" s="15" t="s">
        <v>350</v>
      </c>
      <c r="X95" s="17" t="s">
        <v>625</v>
      </c>
      <c r="Y95" s="17" t="s">
        <v>608</v>
      </c>
      <c r="Z95" s="17" t="s">
        <v>322</v>
      </c>
      <c r="AA95" s="17" t="s">
        <v>609</v>
      </c>
      <c r="AB95" s="17" t="s">
        <v>608</v>
      </c>
      <c r="AD95" t="s">
        <v>561</v>
      </c>
      <c r="AE95" s="17" t="s">
        <v>19</v>
      </c>
      <c r="AF95" s="17" t="s">
        <v>322</v>
      </c>
      <c r="AG95" s="17" t="s">
        <v>43</v>
      </c>
      <c r="AH95" s="17" t="s">
        <v>322</v>
      </c>
      <c r="AI95" s="17" t="s">
        <v>322</v>
      </c>
      <c r="AL95" s="15" t="s">
        <v>350</v>
      </c>
      <c r="AM95" s="17" t="s">
        <v>625</v>
      </c>
      <c r="AN95" s="17" t="s">
        <v>608</v>
      </c>
      <c r="AO95" s="17" t="s">
        <v>322</v>
      </c>
      <c r="AP95" s="17" t="s">
        <v>609</v>
      </c>
      <c r="AQ95" s="17" t="s">
        <v>608</v>
      </c>
      <c r="AS95" t="s">
        <v>631</v>
      </c>
      <c r="BA95" s="15" t="s">
        <v>350</v>
      </c>
      <c r="BB95" s="17" t="s">
        <v>625</v>
      </c>
      <c r="BC95" s="17" t="s">
        <v>608</v>
      </c>
      <c r="BD95" s="17" t="s">
        <v>322</v>
      </c>
      <c r="BE95" s="17" t="s">
        <v>609</v>
      </c>
      <c r="BF95" s="17" t="s">
        <v>608</v>
      </c>
      <c r="BH95" t="s">
        <v>551</v>
      </c>
      <c r="BI95" s="17" t="s">
        <v>19</v>
      </c>
      <c r="BJ95" s="17" t="s">
        <v>322</v>
      </c>
      <c r="BK95" s="17" t="s">
        <v>43</v>
      </c>
      <c r="BL95" s="17" t="s">
        <v>322</v>
      </c>
      <c r="BM95" s="17" t="s">
        <v>322</v>
      </c>
      <c r="BY95" s="17" t="s">
        <v>683</v>
      </c>
    </row>
    <row r="96" spans="2:94" x14ac:dyDescent="0.3">
      <c r="AD96" t="s">
        <v>551</v>
      </c>
      <c r="AE96" s="17" t="s">
        <v>19</v>
      </c>
      <c r="AF96" s="17" t="s">
        <v>322</v>
      </c>
      <c r="AG96" s="17" t="s">
        <v>43</v>
      </c>
      <c r="AH96" s="17" t="s">
        <v>322</v>
      </c>
      <c r="AI96" s="17" t="s">
        <v>322</v>
      </c>
      <c r="AT96" s="17" t="s">
        <v>315</v>
      </c>
      <c r="AU96" s="17" t="s">
        <v>316</v>
      </c>
      <c r="AV96" s="17" t="s">
        <v>317</v>
      </c>
      <c r="AW96" s="17" t="s">
        <v>318</v>
      </c>
      <c r="AX96" s="17" t="s">
        <v>319</v>
      </c>
      <c r="BH96" t="s">
        <v>552</v>
      </c>
      <c r="BI96" s="17" t="s">
        <v>19</v>
      </c>
      <c r="BJ96" s="17" t="s">
        <v>322</v>
      </c>
      <c r="BK96" s="17" t="s">
        <v>43</v>
      </c>
      <c r="BL96" s="17" t="s">
        <v>322</v>
      </c>
      <c r="BM96" s="17" t="s">
        <v>322</v>
      </c>
      <c r="CK96" s="17" t="s">
        <v>759</v>
      </c>
    </row>
    <row r="97" spans="2:94" x14ac:dyDescent="0.3">
      <c r="B97" s="15" t="s">
        <v>750</v>
      </c>
      <c r="J97" s="154" t="s">
        <v>750</v>
      </c>
      <c r="W97" s="15" t="s">
        <v>610</v>
      </c>
      <c r="AD97" t="s">
        <v>552</v>
      </c>
      <c r="AE97" s="17" t="s">
        <v>19</v>
      </c>
      <c r="AF97" s="17" t="s">
        <v>322</v>
      </c>
      <c r="AG97" s="17" t="s">
        <v>43</v>
      </c>
      <c r="AH97" s="17" t="s">
        <v>322</v>
      </c>
      <c r="AI97" s="17" t="s">
        <v>322</v>
      </c>
      <c r="AL97" s="15" t="s">
        <v>610</v>
      </c>
      <c r="AS97" t="s">
        <v>561</v>
      </c>
      <c r="AT97" s="17" t="s">
        <v>19</v>
      </c>
      <c r="AU97" s="17" t="s">
        <v>322</v>
      </c>
      <c r="AV97" s="17" t="s">
        <v>43</v>
      </c>
      <c r="AW97" s="17" t="s">
        <v>322</v>
      </c>
      <c r="AX97" s="17" t="s">
        <v>322</v>
      </c>
      <c r="BA97" s="15" t="s">
        <v>610</v>
      </c>
      <c r="BH97" t="s">
        <v>554</v>
      </c>
      <c r="BI97" s="17" t="s">
        <v>43</v>
      </c>
      <c r="BJ97" s="17" t="s">
        <v>322</v>
      </c>
      <c r="BK97" s="17" t="s">
        <v>19</v>
      </c>
      <c r="BL97" s="17" t="s">
        <v>322</v>
      </c>
      <c r="BM97" s="17" t="s">
        <v>322</v>
      </c>
      <c r="BY97" s="17" t="s">
        <v>700</v>
      </c>
      <c r="CL97" s="17" t="s">
        <v>315</v>
      </c>
      <c r="CM97" s="17" t="s">
        <v>316</v>
      </c>
      <c r="CN97" s="17" t="s">
        <v>317</v>
      </c>
      <c r="CO97" s="17" t="s">
        <v>318</v>
      </c>
      <c r="CP97" s="17" t="s">
        <v>319</v>
      </c>
    </row>
    <row r="98" spans="2:94" x14ac:dyDescent="0.3">
      <c r="C98" s="17" t="s">
        <v>315</v>
      </c>
      <c r="D98" s="17" t="s">
        <v>316</v>
      </c>
      <c r="E98" s="17" t="s">
        <v>317</v>
      </c>
      <c r="F98" s="17" t="s">
        <v>318</v>
      </c>
      <c r="G98" s="17" t="s">
        <v>319</v>
      </c>
      <c r="K98" s="151" t="s">
        <v>315</v>
      </c>
      <c r="L98" s="151" t="s">
        <v>316</v>
      </c>
      <c r="M98" s="151" t="s">
        <v>317</v>
      </c>
      <c r="N98" s="151" t="s">
        <v>318</v>
      </c>
      <c r="O98" s="151" t="s">
        <v>319</v>
      </c>
      <c r="X98" s="17" t="s">
        <v>315</v>
      </c>
      <c r="Y98" s="17" t="s">
        <v>316</v>
      </c>
      <c r="Z98" s="17" t="s">
        <v>317</v>
      </c>
      <c r="AA98" s="17" t="s">
        <v>318</v>
      </c>
      <c r="AB98" s="17" t="s">
        <v>319</v>
      </c>
      <c r="AD98" t="s">
        <v>554</v>
      </c>
      <c r="AE98" s="17" t="s">
        <v>43</v>
      </c>
      <c r="AF98" s="17" t="s">
        <v>322</v>
      </c>
      <c r="AG98" s="17" t="s">
        <v>19</v>
      </c>
      <c r="AH98" s="17" t="s">
        <v>322</v>
      </c>
      <c r="AI98" s="17" t="s">
        <v>322</v>
      </c>
      <c r="AM98" s="17" t="s">
        <v>315</v>
      </c>
      <c r="AN98" s="17" t="s">
        <v>316</v>
      </c>
      <c r="AO98" s="17" t="s">
        <v>317</v>
      </c>
      <c r="AP98" s="17" t="s">
        <v>318</v>
      </c>
      <c r="AQ98" s="17" t="s">
        <v>319</v>
      </c>
      <c r="AS98" t="s">
        <v>551</v>
      </c>
      <c r="AT98" s="17" t="s">
        <v>19</v>
      </c>
      <c r="AU98" s="17" t="s">
        <v>322</v>
      </c>
      <c r="AV98" s="17" t="s">
        <v>43</v>
      </c>
      <c r="AW98" s="17" t="s">
        <v>322</v>
      </c>
      <c r="AX98" s="17" t="s">
        <v>322</v>
      </c>
      <c r="BB98" s="17" t="s">
        <v>315</v>
      </c>
      <c r="BC98" s="17" t="s">
        <v>316</v>
      </c>
      <c r="BD98" s="17" t="s">
        <v>317</v>
      </c>
      <c r="BE98" s="17" t="s">
        <v>318</v>
      </c>
      <c r="BF98" s="17" t="s">
        <v>319</v>
      </c>
      <c r="BH98" t="s">
        <v>586</v>
      </c>
      <c r="BI98" s="17" t="s">
        <v>43</v>
      </c>
      <c r="BJ98" s="17" t="s">
        <v>322</v>
      </c>
      <c r="BK98" s="17" t="s">
        <v>19</v>
      </c>
      <c r="BL98" s="17" t="s">
        <v>322</v>
      </c>
      <c r="BM98" s="17" t="s">
        <v>322</v>
      </c>
      <c r="BZ98" s="17" t="s">
        <v>315</v>
      </c>
      <c r="CA98" s="17" t="s">
        <v>316</v>
      </c>
      <c r="CB98" s="17" t="s">
        <v>317</v>
      </c>
      <c r="CC98" s="17" t="s">
        <v>318</v>
      </c>
      <c r="CD98" s="17" t="s">
        <v>319</v>
      </c>
      <c r="CK98" s="17" t="s">
        <v>539</v>
      </c>
      <c r="CL98" s="17" t="s">
        <v>266</v>
      </c>
      <c r="CM98" s="17" t="s">
        <v>232</v>
      </c>
      <c r="CN98" s="17" t="s">
        <v>293</v>
      </c>
      <c r="CO98" s="17" t="s">
        <v>265</v>
      </c>
      <c r="CP98" s="17" t="s">
        <v>870</v>
      </c>
    </row>
    <row r="99" spans="2:94" x14ac:dyDescent="0.3">
      <c r="B99" s="15" t="s">
        <v>539</v>
      </c>
      <c r="C99" s="17" t="s">
        <v>751</v>
      </c>
      <c r="D99" s="17" t="s">
        <v>322</v>
      </c>
      <c r="E99" s="17" t="s">
        <v>739</v>
      </c>
      <c r="F99" s="17" t="s">
        <v>740</v>
      </c>
      <c r="G99" s="17" t="s">
        <v>751</v>
      </c>
      <c r="J99" s="154" t="s">
        <v>539</v>
      </c>
      <c r="K99" s="151" t="s">
        <v>751</v>
      </c>
      <c r="L99" s="151" t="s">
        <v>752</v>
      </c>
      <c r="M99" s="151" t="s">
        <v>753</v>
      </c>
      <c r="N99" s="151" t="s">
        <v>740</v>
      </c>
      <c r="O99" s="151" t="s">
        <v>751</v>
      </c>
      <c r="W99" s="15" t="s">
        <v>512</v>
      </c>
      <c r="X99" s="17" t="s">
        <v>322</v>
      </c>
      <c r="Y99" s="17" t="s">
        <v>612</v>
      </c>
      <c r="Z99" s="17" t="s">
        <v>602</v>
      </c>
      <c r="AA99" s="17" t="s">
        <v>613</v>
      </c>
      <c r="AB99" s="17" t="s">
        <v>612</v>
      </c>
      <c r="AD99" t="s">
        <v>586</v>
      </c>
      <c r="AE99" s="17" t="s">
        <v>43</v>
      </c>
      <c r="AF99" s="17" t="s">
        <v>322</v>
      </c>
      <c r="AG99" s="17" t="s">
        <v>19</v>
      </c>
      <c r="AH99" s="17" t="s">
        <v>322</v>
      </c>
      <c r="AI99" s="17" t="s">
        <v>322</v>
      </c>
      <c r="AL99" s="15" t="s">
        <v>512</v>
      </c>
      <c r="AM99" s="17" t="s">
        <v>322</v>
      </c>
      <c r="AN99" s="17" t="s">
        <v>612</v>
      </c>
      <c r="AO99" s="17" t="s">
        <v>602</v>
      </c>
      <c r="AP99" s="17" t="s">
        <v>613</v>
      </c>
      <c r="AQ99" s="17" t="s">
        <v>612</v>
      </c>
      <c r="AS99" t="s">
        <v>552</v>
      </c>
      <c r="AT99" s="17" t="s">
        <v>19</v>
      </c>
      <c r="AU99" s="17" t="s">
        <v>322</v>
      </c>
      <c r="AV99" s="17" t="s">
        <v>43</v>
      </c>
      <c r="AW99" s="17" t="s">
        <v>322</v>
      </c>
      <c r="AX99" s="17" t="s">
        <v>322</v>
      </c>
      <c r="BA99" s="15" t="s">
        <v>512</v>
      </c>
      <c r="BB99" s="17" t="s">
        <v>322</v>
      </c>
      <c r="BC99" s="17" t="s">
        <v>612</v>
      </c>
      <c r="BD99" s="17" t="s">
        <v>602</v>
      </c>
      <c r="BE99" s="17" t="s">
        <v>613</v>
      </c>
      <c r="BF99" s="17" t="s">
        <v>612</v>
      </c>
      <c r="BY99" s="17" t="s">
        <v>539</v>
      </c>
      <c r="BZ99" s="17" t="s">
        <v>217</v>
      </c>
      <c r="CA99" s="17" t="s">
        <v>269</v>
      </c>
      <c r="CB99" s="17" t="s">
        <v>226</v>
      </c>
      <c r="CC99" s="17" t="s">
        <v>269</v>
      </c>
      <c r="CD99" s="17" t="s">
        <v>59</v>
      </c>
      <c r="CK99" s="17" t="s">
        <v>543</v>
      </c>
      <c r="CL99" s="17" t="s">
        <v>266</v>
      </c>
      <c r="CM99" s="17" t="s">
        <v>881</v>
      </c>
      <c r="CN99" s="17" t="s">
        <v>293</v>
      </c>
      <c r="CO99" s="17" t="s">
        <v>265</v>
      </c>
      <c r="CP99" s="17" t="s">
        <v>870</v>
      </c>
    </row>
    <row r="100" spans="2:94" x14ac:dyDescent="0.3">
      <c r="B100" s="15" t="s">
        <v>543</v>
      </c>
      <c r="C100" s="17" t="s">
        <v>751</v>
      </c>
      <c r="D100" s="17" t="s">
        <v>322</v>
      </c>
      <c r="E100" s="17" t="s">
        <v>739</v>
      </c>
      <c r="F100" s="17" t="s">
        <v>740</v>
      </c>
      <c r="G100" s="17" t="s">
        <v>751</v>
      </c>
      <c r="J100" s="154" t="s">
        <v>543</v>
      </c>
      <c r="K100" s="151" t="s">
        <v>751</v>
      </c>
      <c r="L100" s="151" t="s">
        <v>752</v>
      </c>
      <c r="M100" s="151" t="s">
        <v>753</v>
      </c>
      <c r="N100" s="151" t="s">
        <v>740</v>
      </c>
      <c r="O100" s="151" t="s">
        <v>751</v>
      </c>
      <c r="W100" s="15" t="s">
        <v>514</v>
      </c>
      <c r="X100" s="17" t="s">
        <v>605</v>
      </c>
      <c r="Y100" s="17" t="s">
        <v>612</v>
      </c>
      <c r="Z100" s="17" t="s">
        <v>602</v>
      </c>
      <c r="AA100" s="17" t="s">
        <v>613</v>
      </c>
      <c r="AB100" s="17" t="s">
        <v>612</v>
      </c>
      <c r="AL100" s="15" t="s">
        <v>514</v>
      </c>
      <c r="AM100" s="17" t="s">
        <v>605</v>
      </c>
      <c r="AN100" s="17" t="s">
        <v>612</v>
      </c>
      <c r="AO100" s="17" t="s">
        <v>602</v>
      </c>
      <c r="AP100" s="17" t="s">
        <v>613</v>
      </c>
      <c r="AQ100" s="17" t="s">
        <v>612</v>
      </c>
      <c r="AS100" t="s">
        <v>554</v>
      </c>
      <c r="AT100" s="17" t="s">
        <v>43</v>
      </c>
      <c r="AU100" s="17" t="s">
        <v>322</v>
      </c>
      <c r="AV100" s="17" t="s">
        <v>19</v>
      </c>
      <c r="AW100" s="17" t="s">
        <v>322</v>
      </c>
      <c r="AX100" s="17" t="s">
        <v>322</v>
      </c>
      <c r="BA100" s="15" t="s">
        <v>514</v>
      </c>
      <c r="BB100" s="17" t="s">
        <v>605</v>
      </c>
      <c r="BC100" s="17" t="s">
        <v>612</v>
      </c>
      <c r="BD100" s="17" t="s">
        <v>602</v>
      </c>
      <c r="BE100" s="17" t="s">
        <v>613</v>
      </c>
      <c r="BF100" s="17" t="s">
        <v>612</v>
      </c>
      <c r="BH100" t="s">
        <v>638</v>
      </c>
      <c r="BY100" s="17" t="s">
        <v>543</v>
      </c>
      <c r="BZ100" s="17" t="s">
        <v>217</v>
      </c>
      <c r="CA100" s="17" t="s">
        <v>269</v>
      </c>
      <c r="CB100" s="17" t="s">
        <v>226</v>
      </c>
      <c r="CC100" s="17" t="s">
        <v>269</v>
      </c>
      <c r="CD100" s="17" t="s">
        <v>59</v>
      </c>
      <c r="CK100" s="17" t="s">
        <v>573</v>
      </c>
      <c r="CL100" s="17" t="s">
        <v>263</v>
      </c>
      <c r="CM100" s="17" t="s">
        <v>879</v>
      </c>
      <c r="CN100" s="17" t="s">
        <v>882</v>
      </c>
      <c r="CO100" s="17" t="s">
        <v>265</v>
      </c>
      <c r="CP100" s="17" t="s">
        <v>322</v>
      </c>
    </row>
    <row r="101" spans="2:94" x14ac:dyDescent="0.3">
      <c r="B101" s="15" t="s">
        <v>573</v>
      </c>
      <c r="C101" s="17" t="s">
        <v>751</v>
      </c>
      <c r="D101" s="17" t="s">
        <v>950</v>
      </c>
      <c r="E101" s="17" t="s">
        <v>739</v>
      </c>
      <c r="F101" s="17" t="s">
        <v>740</v>
      </c>
      <c r="G101" s="17" t="s">
        <v>755</v>
      </c>
      <c r="J101" s="154" t="s">
        <v>573</v>
      </c>
      <c r="K101" s="151" t="s">
        <v>751</v>
      </c>
      <c r="L101" s="151" t="s">
        <v>747</v>
      </c>
      <c r="M101" s="151" t="s">
        <v>739</v>
      </c>
      <c r="N101" s="151" t="s">
        <v>740</v>
      </c>
      <c r="O101" s="151" t="s">
        <v>755</v>
      </c>
      <c r="W101" s="15" t="s">
        <v>517</v>
      </c>
      <c r="X101" s="17" t="s">
        <v>605</v>
      </c>
      <c r="Y101" s="17" t="s">
        <v>606</v>
      </c>
      <c r="Z101" s="17" t="s">
        <v>605</v>
      </c>
      <c r="AA101" s="17" t="s">
        <v>613</v>
      </c>
      <c r="AB101" s="17" t="s">
        <v>612</v>
      </c>
      <c r="AD101" t="s">
        <v>638</v>
      </c>
      <c r="AL101" s="15" t="s">
        <v>517</v>
      </c>
      <c r="AM101" s="17" t="s">
        <v>605</v>
      </c>
      <c r="AN101" s="17" t="s">
        <v>606</v>
      </c>
      <c r="AO101" s="17" t="s">
        <v>605</v>
      </c>
      <c r="AP101" s="17" t="s">
        <v>613</v>
      </c>
      <c r="AQ101" s="17" t="s">
        <v>612</v>
      </c>
      <c r="AS101" t="s">
        <v>586</v>
      </c>
      <c r="AT101" s="17" t="s">
        <v>43</v>
      </c>
      <c r="AU101" s="17" t="s">
        <v>322</v>
      </c>
      <c r="AV101" s="17" t="s">
        <v>19</v>
      </c>
      <c r="AW101" s="17" t="s">
        <v>322</v>
      </c>
      <c r="AX101" s="17" t="s">
        <v>322</v>
      </c>
      <c r="BA101" s="15" t="s">
        <v>517</v>
      </c>
      <c r="BB101" s="17" t="s">
        <v>605</v>
      </c>
      <c r="BC101" s="17" t="s">
        <v>606</v>
      </c>
      <c r="BD101" s="17" t="s">
        <v>605</v>
      </c>
      <c r="BE101" s="17" t="s">
        <v>613</v>
      </c>
      <c r="BF101" s="17" t="s">
        <v>612</v>
      </c>
      <c r="BI101" s="17" t="s">
        <v>315</v>
      </c>
      <c r="BJ101" s="17" t="s">
        <v>316</v>
      </c>
      <c r="BK101" s="17" t="s">
        <v>317</v>
      </c>
      <c r="BL101" s="17" t="s">
        <v>318</v>
      </c>
      <c r="BM101" s="17" t="s">
        <v>319</v>
      </c>
      <c r="BY101" s="17" t="s">
        <v>573</v>
      </c>
      <c r="BZ101" s="17" t="s">
        <v>217</v>
      </c>
      <c r="CA101" s="17" t="s">
        <v>859</v>
      </c>
      <c r="CB101" s="17" t="s">
        <v>226</v>
      </c>
      <c r="CC101" s="17" t="s">
        <v>859</v>
      </c>
      <c r="CD101" s="17" t="s">
        <v>217</v>
      </c>
      <c r="CK101" s="17" t="s">
        <v>561</v>
      </c>
      <c r="CL101" s="17" t="s">
        <v>263</v>
      </c>
      <c r="CM101" s="17" t="s">
        <v>883</v>
      </c>
      <c r="CN101" s="17" t="s">
        <v>884</v>
      </c>
      <c r="CO101" s="17" t="s">
        <v>265</v>
      </c>
      <c r="CP101" s="17" t="s">
        <v>322</v>
      </c>
    </row>
    <row r="102" spans="2:94" x14ac:dyDescent="0.3">
      <c r="B102" s="15" t="s">
        <v>561</v>
      </c>
      <c r="C102" s="17" t="s">
        <v>756</v>
      </c>
      <c r="D102" s="17" t="s">
        <v>950</v>
      </c>
      <c r="E102" s="17" t="s">
        <v>755</v>
      </c>
      <c r="F102" s="17" t="s">
        <v>756</v>
      </c>
      <c r="G102" s="17" t="s">
        <v>755</v>
      </c>
      <c r="J102" s="154" t="s">
        <v>561</v>
      </c>
      <c r="K102" s="151" t="s">
        <v>756</v>
      </c>
      <c r="L102" s="151" t="s">
        <v>747</v>
      </c>
      <c r="M102" s="151" t="s">
        <v>755</v>
      </c>
      <c r="N102" s="151" t="s">
        <v>756</v>
      </c>
      <c r="O102" s="151" t="s">
        <v>755</v>
      </c>
      <c r="W102" s="15" t="s">
        <v>326</v>
      </c>
      <c r="X102" s="17" t="s">
        <v>605</v>
      </c>
      <c r="Y102" s="17" t="s">
        <v>606</v>
      </c>
      <c r="Z102" s="17" t="s">
        <v>605</v>
      </c>
      <c r="AA102" s="17" t="s">
        <v>606</v>
      </c>
      <c r="AB102" s="17" t="s">
        <v>602</v>
      </c>
      <c r="AE102" s="17" t="s">
        <v>315</v>
      </c>
      <c r="AF102" s="17" t="s">
        <v>316</v>
      </c>
      <c r="AG102" s="17" t="s">
        <v>317</v>
      </c>
      <c r="AH102" s="17" t="s">
        <v>318</v>
      </c>
      <c r="AI102" s="17" t="s">
        <v>319</v>
      </c>
      <c r="AL102" s="15" t="s">
        <v>326</v>
      </c>
      <c r="AM102" s="17" t="s">
        <v>605</v>
      </c>
      <c r="AN102" s="17" t="s">
        <v>606</v>
      </c>
      <c r="AO102" s="17" t="s">
        <v>605</v>
      </c>
      <c r="AP102" s="17" t="s">
        <v>606</v>
      </c>
      <c r="AQ102" s="17" t="s">
        <v>602</v>
      </c>
      <c r="BA102" s="15" t="s">
        <v>326</v>
      </c>
      <c r="BB102" s="17" t="s">
        <v>605</v>
      </c>
      <c r="BC102" s="17" t="s">
        <v>606</v>
      </c>
      <c r="BD102" s="17" t="s">
        <v>605</v>
      </c>
      <c r="BE102" s="17" t="s">
        <v>606</v>
      </c>
      <c r="BF102" s="17" t="s">
        <v>602</v>
      </c>
      <c r="BH102" t="s">
        <v>517</v>
      </c>
      <c r="BI102" s="17" t="s">
        <v>322</v>
      </c>
      <c r="BJ102" s="17" t="s">
        <v>156</v>
      </c>
      <c r="BK102" s="17" t="s">
        <v>322</v>
      </c>
      <c r="BL102" s="17" t="s">
        <v>322</v>
      </c>
      <c r="BM102" s="17" t="s">
        <v>322</v>
      </c>
      <c r="BY102" s="17" t="s">
        <v>561</v>
      </c>
      <c r="BZ102" s="17" t="s">
        <v>223</v>
      </c>
      <c r="CA102" s="17" t="s">
        <v>859</v>
      </c>
      <c r="CB102" s="17" t="s">
        <v>226</v>
      </c>
      <c r="CC102" s="17" t="s">
        <v>859</v>
      </c>
      <c r="CD102" s="17" t="s">
        <v>217</v>
      </c>
      <c r="CK102" s="17" t="s">
        <v>551</v>
      </c>
      <c r="CL102" s="17" t="s">
        <v>248</v>
      </c>
      <c r="CM102" s="17" t="s">
        <v>268</v>
      </c>
      <c r="CN102" s="17" t="s">
        <v>885</v>
      </c>
      <c r="CO102" s="17" t="s">
        <v>263</v>
      </c>
      <c r="CP102" s="17" t="s">
        <v>852</v>
      </c>
    </row>
    <row r="103" spans="2:94" x14ac:dyDescent="0.3">
      <c r="B103" s="15" t="s">
        <v>551</v>
      </c>
      <c r="C103" s="17" t="s">
        <v>756</v>
      </c>
      <c r="D103" s="17" t="s">
        <v>758</v>
      </c>
      <c r="E103" s="17" t="s">
        <v>755</v>
      </c>
      <c r="F103" s="17" t="s">
        <v>756</v>
      </c>
      <c r="G103" s="17" t="s">
        <v>707</v>
      </c>
      <c r="J103" s="154" t="s">
        <v>551</v>
      </c>
      <c r="K103" s="151" t="s">
        <v>756</v>
      </c>
      <c r="L103" s="151" t="s">
        <v>758</v>
      </c>
      <c r="M103" s="151" t="s">
        <v>755</v>
      </c>
      <c r="N103" s="151" t="s">
        <v>756</v>
      </c>
      <c r="O103" s="151" t="s">
        <v>707</v>
      </c>
      <c r="W103" s="15" t="s">
        <v>328</v>
      </c>
      <c r="X103" s="17" t="s">
        <v>609</v>
      </c>
      <c r="Y103" s="17" t="s">
        <v>603</v>
      </c>
      <c r="Z103" s="17" t="s">
        <v>609</v>
      </c>
      <c r="AA103" s="17" t="s">
        <v>606</v>
      </c>
      <c r="AB103" s="17" t="s">
        <v>602</v>
      </c>
      <c r="AD103" t="s">
        <v>326</v>
      </c>
      <c r="AE103" s="17" t="s">
        <v>322</v>
      </c>
      <c r="AF103" s="17" t="s">
        <v>322</v>
      </c>
      <c r="AG103" s="17" t="s">
        <v>322</v>
      </c>
      <c r="AH103" s="17" t="s">
        <v>156</v>
      </c>
      <c r="AI103" s="17" t="s">
        <v>322</v>
      </c>
      <c r="AL103" s="15" t="s">
        <v>328</v>
      </c>
      <c r="AM103" s="17" t="s">
        <v>609</v>
      </c>
      <c r="AN103" s="17" t="s">
        <v>603</v>
      </c>
      <c r="AO103" s="17" t="s">
        <v>609</v>
      </c>
      <c r="AP103" s="17" t="s">
        <v>606</v>
      </c>
      <c r="AQ103" s="17" t="s">
        <v>602</v>
      </c>
      <c r="AS103" t="s">
        <v>638</v>
      </c>
      <c r="BA103" s="15" t="s">
        <v>328</v>
      </c>
      <c r="BB103" s="17" t="s">
        <v>609</v>
      </c>
      <c r="BC103" s="17" t="s">
        <v>603</v>
      </c>
      <c r="BD103" s="17" t="s">
        <v>609</v>
      </c>
      <c r="BE103" s="17" t="s">
        <v>606</v>
      </c>
      <c r="BF103" s="17" t="s">
        <v>602</v>
      </c>
      <c r="BH103" t="s">
        <v>326</v>
      </c>
      <c r="BI103" s="17" t="s">
        <v>322</v>
      </c>
      <c r="BJ103" s="17" t="s">
        <v>156</v>
      </c>
      <c r="BK103" s="17" t="s">
        <v>322</v>
      </c>
      <c r="BL103" s="17" t="s">
        <v>156</v>
      </c>
      <c r="BM103" s="17" t="s">
        <v>322</v>
      </c>
      <c r="BY103" s="17" t="s">
        <v>551</v>
      </c>
      <c r="BZ103" s="17" t="s">
        <v>223</v>
      </c>
      <c r="CA103" s="17" t="s">
        <v>59</v>
      </c>
      <c r="CB103" s="17" t="s">
        <v>223</v>
      </c>
      <c r="CC103" s="17" t="s">
        <v>270</v>
      </c>
      <c r="CD103" s="17" t="s">
        <v>219</v>
      </c>
      <c r="CK103" s="17" t="s">
        <v>552</v>
      </c>
      <c r="CL103" s="17" t="s">
        <v>248</v>
      </c>
      <c r="CM103" s="17" t="s">
        <v>322</v>
      </c>
      <c r="CN103" s="17" t="s">
        <v>886</v>
      </c>
      <c r="CO103" s="17" t="s">
        <v>263</v>
      </c>
      <c r="CP103" s="17" t="s">
        <v>852</v>
      </c>
    </row>
    <row r="104" spans="2:94" x14ac:dyDescent="0.3">
      <c r="B104" s="15" t="s">
        <v>552</v>
      </c>
      <c r="C104" s="130" t="s">
        <v>752</v>
      </c>
      <c r="D104" s="17" t="s">
        <v>758</v>
      </c>
      <c r="E104" s="17" t="s">
        <v>707</v>
      </c>
      <c r="F104" s="17" t="s">
        <v>756</v>
      </c>
      <c r="G104" s="17" t="s">
        <v>707</v>
      </c>
      <c r="J104" s="154" t="s">
        <v>552</v>
      </c>
      <c r="K104" s="151" t="s">
        <v>322</v>
      </c>
      <c r="L104" s="151" t="s">
        <v>758</v>
      </c>
      <c r="M104" s="151" t="s">
        <v>707</v>
      </c>
      <c r="N104" s="151" t="s">
        <v>756</v>
      </c>
      <c r="O104" s="151" t="s">
        <v>707</v>
      </c>
      <c r="W104" s="15" t="s">
        <v>350</v>
      </c>
      <c r="X104" s="17" t="s">
        <v>609</v>
      </c>
      <c r="Y104" s="17" t="s">
        <v>603</v>
      </c>
      <c r="Z104" s="17" t="s">
        <v>609</v>
      </c>
      <c r="AA104" s="17" t="s">
        <v>606</v>
      </c>
      <c r="AB104" s="17" t="s">
        <v>602</v>
      </c>
      <c r="AD104" t="s">
        <v>328</v>
      </c>
      <c r="AE104" s="17" t="s">
        <v>322</v>
      </c>
      <c r="AF104" s="17" t="s">
        <v>156</v>
      </c>
      <c r="AG104" s="17" t="s">
        <v>322</v>
      </c>
      <c r="AH104" s="17" t="s">
        <v>156</v>
      </c>
      <c r="AI104" s="17" t="s">
        <v>322</v>
      </c>
      <c r="AL104" s="15" t="s">
        <v>350</v>
      </c>
      <c r="AM104" s="17" t="s">
        <v>609</v>
      </c>
      <c r="AN104" s="17" t="s">
        <v>603</v>
      </c>
      <c r="AO104" s="17" t="s">
        <v>609</v>
      </c>
      <c r="AP104" s="17" t="s">
        <v>606</v>
      </c>
      <c r="AQ104" s="17" t="s">
        <v>602</v>
      </c>
      <c r="AT104" s="17" t="s">
        <v>315</v>
      </c>
      <c r="AU104" s="17" t="s">
        <v>316</v>
      </c>
      <c r="AV104" s="17" t="s">
        <v>317</v>
      </c>
      <c r="AW104" s="17" t="s">
        <v>318</v>
      </c>
      <c r="AX104" s="17" t="s">
        <v>319</v>
      </c>
      <c r="BA104" s="15" t="s">
        <v>350</v>
      </c>
      <c r="BB104" s="17" t="s">
        <v>609</v>
      </c>
      <c r="BC104" s="17" t="s">
        <v>603</v>
      </c>
      <c r="BD104" s="17" t="s">
        <v>609</v>
      </c>
      <c r="BE104" s="17" t="s">
        <v>606</v>
      </c>
      <c r="BF104" s="17" t="s">
        <v>602</v>
      </c>
      <c r="BH104" t="s">
        <v>328</v>
      </c>
      <c r="BI104" s="17" t="s">
        <v>322</v>
      </c>
      <c r="BJ104" s="17" t="s">
        <v>322</v>
      </c>
      <c r="BK104" s="17" t="s">
        <v>322</v>
      </c>
      <c r="BL104" s="17" t="s">
        <v>156</v>
      </c>
      <c r="BM104" s="17" t="s">
        <v>322</v>
      </c>
      <c r="BY104" s="17" t="s">
        <v>552</v>
      </c>
      <c r="BZ104" s="17" t="s">
        <v>219</v>
      </c>
      <c r="CA104" s="17" t="s">
        <v>270</v>
      </c>
      <c r="CB104" s="17" t="s">
        <v>223</v>
      </c>
      <c r="CC104" s="17" t="s">
        <v>270</v>
      </c>
      <c r="CD104" s="17" t="s">
        <v>219</v>
      </c>
      <c r="CK104" s="17" t="s">
        <v>554</v>
      </c>
      <c r="CL104" s="17" t="s">
        <v>248</v>
      </c>
      <c r="CM104" s="17" t="s">
        <v>322</v>
      </c>
      <c r="CN104" s="17" t="s">
        <v>284</v>
      </c>
      <c r="CO104" s="17" t="s">
        <v>45</v>
      </c>
      <c r="CP104" s="17" t="s">
        <v>856</v>
      </c>
    </row>
    <row r="105" spans="2:94" x14ac:dyDescent="0.3">
      <c r="B105" s="15" t="s">
        <v>554</v>
      </c>
      <c r="C105" s="130" t="s">
        <v>752</v>
      </c>
      <c r="D105" s="17" t="s">
        <v>758</v>
      </c>
      <c r="E105" s="17" t="s">
        <v>707</v>
      </c>
      <c r="F105" s="17" t="s">
        <v>322</v>
      </c>
      <c r="G105" s="17" t="s">
        <v>707</v>
      </c>
      <c r="J105" s="154" t="s">
        <v>554</v>
      </c>
      <c r="K105" s="151" t="s">
        <v>322</v>
      </c>
      <c r="L105" s="151" t="s">
        <v>758</v>
      </c>
      <c r="M105" s="151" t="s">
        <v>707</v>
      </c>
      <c r="N105" s="151" t="s">
        <v>322</v>
      </c>
      <c r="O105" s="151" t="s">
        <v>707</v>
      </c>
      <c r="AD105" t="s">
        <v>350</v>
      </c>
      <c r="AE105" s="17" t="s">
        <v>322</v>
      </c>
      <c r="AF105" s="17" t="s">
        <v>156</v>
      </c>
      <c r="AG105" s="17" t="s">
        <v>322</v>
      </c>
      <c r="AH105" s="17" t="s">
        <v>322</v>
      </c>
      <c r="AI105" s="17" t="s">
        <v>322</v>
      </c>
      <c r="AS105" t="s">
        <v>517</v>
      </c>
      <c r="AT105" s="17" t="s">
        <v>322</v>
      </c>
      <c r="AU105" s="17" t="s">
        <v>322</v>
      </c>
      <c r="AV105" s="17" t="s">
        <v>322</v>
      </c>
      <c r="AW105" s="17" t="s">
        <v>156</v>
      </c>
      <c r="AX105" s="17" t="s">
        <v>322</v>
      </c>
      <c r="BY105" s="17" t="s">
        <v>554</v>
      </c>
      <c r="BZ105" s="17" t="s">
        <v>219</v>
      </c>
      <c r="CA105" s="17" t="s">
        <v>270</v>
      </c>
      <c r="CB105" s="17" t="s">
        <v>223</v>
      </c>
      <c r="CC105" s="17" t="s">
        <v>322</v>
      </c>
      <c r="CD105" s="17" t="s">
        <v>219</v>
      </c>
    </row>
    <row r="106" spans="2:94" x14ac:dyDescent="0.3">
      <c r="W106" s="15" t="s">
        <v>624</v>
      </c>
      <c r="AL106" s="15" t="s">
        <v>624</v>
      </c>
      <c r="AS106" t="s">
        <v>326</v>
      </c>
      <c r="AT106" s="17" t="s">
        <v>322</v>
      </c>
      <c r="AU106" s="17" t="s">
        <v>322</v>
      </c>
      <c r="AV106" s="17" t="s">
        <v>322</v>
      </c>
      <c r="AW106" s="17" t="s">
        <v>156</v>
      </c>
      <c r="AX106" s="17" t="s">
        <v>322</v>
      </c>
      <c r="BA106" s="15" t="s">
        <v>624</v>
      </c>
      <c r="BH106" t="s">
        <v>641</v>
      </c>
      <c r="CK106" s="17" t="s">
        <v>770</v>
      </c>
    </row>
    <row r="107" spans="2:94" x14ac:dyDescent="0.3">
      <c r="X107" s="17" t="s">
        <v>315</v>
      </c>
      <c r="Y107" s="17" t="s">
        <v>316</v>
      </c>
      <c r="Z107" s="17" t="s">
        <v>317</v>
      </c>
      <c r="AA107" s="17" t="s">
        <v>318</v>
      </c>
      <c r="AB107" s="17" t="s">
        <v>319</v>
      </c>
      <c r="AD107" t="s">
        <v>641</v>
      </c>
      <c r="AM107" s="17" t="s">
        <v>315</v>
      </c>
      <c r="AN107" s="17" t="s">
        <v>316</v>
      </c>
      <c r="AO107" s="17" t="s">
        <v>317</v>
      </c>
      <c r="AP107" s="17" t="s">
        <v>318</v>
      </c>
      <c r="AQ107" s="17" t="s">
        <v>319</v>
      </c>
      <c r="AS107" t="s">
        <v>328</v>
      </c>
      <c r="AT107" s="17" t="s">
        <v>322</v>
      </c>
      <c r="AU107" s="17" t="s">
        <v>156</v>
      </c>
      <c r="AV107" s="17" t="s">
        <v>322</v>
      </c>
      <c r="AW107" s="17" t="s">
        <v>322</v>
      </c>
      <c r="AX107" s="17" t="s">
        <v>322</v>
      </c>
      <c r="BB107" s="17" t="s">
        <v>315</v>
      </c>
      <c r="BC107" s="17" t="s">
        <v>316</v>
      </c>
      <c r="BD107" s="17" t="s">
        <v>317</v>
      </c>
      <c r="BE107" s="17" t="s">
        <v>318</v>
      </c>
      <c r="BF107" s="17" t="s">
        <v>319</v>
      </c>
      <c r="BI107" s="17" t="s">
        <v>315</v>
      </c>
      <c r="BJ107" s="17" t="s">
        <v>316</v>
      </c>
      <c r="BK107" s="17" t="s">
        <v>317</v>
      </c>
      <c r="BL107" s="17" t="s">
        <v>318</v>
      </c>
      <c r="BM107" s="17" t="s">
        <v>319</v>
      </c>
      <c r="BY107" s="17" t="s">
        <v>505</v>
      </c>
      <c r="CL107" s="17" t="s">
        <v>315</v>
      </c>
      <c r="CM107" s="17" t="s">
        <v>316</v>
      </c>
      <c r="CN107" s="17" t="s">
        <v>317</v>
      </c>
      <c r="CO107" s="17" t="s">
        <v>318</v>
      </c>
      <c r="CP107" s="17" t="s">
        <v>319</v>
      </c>
    </row>
    <row r="108" spans="2:94" x14ac:dyDescent="0.3">
      <c r="W108" s="15" t="s">
        <v>512</v>
      </c>
      <c r="X108" s="17" t="s">
        <v>620</v>
      </c>
      <c r="Y108" s="17" t="s">
        <v>617</v>
      </c>
      <c r="Z108" s="17" t="s">
        <v>627</v>
      </c>
      <c r="AA108" s="17" t="s">
        <v>617</v>
      </c>
      <c r="AB108" s="17" t="s">
        <v>627</v>
      </c>
      <c r="AE108" s="17" t="s">
        <v>315</v>
      </c>
      <c r="AF108" s="17" t="s">
        <v>316</v>
      </c>
      <c r="AG108" s="17" t="s">
        <v>317</v>
      </c>
      <c r="AH108" s="17" t="s">
        <v>318</v>
      </c>
      <c r="AI108" s="17" t="s">
        <v>319</v>
      </c>
      <c r="AL108" s="15" t="s">
        <v>512</v>
      </c>
      <c r="AM108" s="17" t="s">
        <v>620</v>
      </c>
      <c r="AN108" s="17" t="s">
        <v>617</v>
      </c>
      <c r="AO108" s="17" t="s">
        <v>627</v>
      </c>
      <c r="AP108" s="17" t="s">
        <v>617</v>
      </c>
      <c r="AQ108" s="17" t="s">
        <v>627</v>
      </c>
      <c r="AS108" t="s">
        <v>350</v>
      </c>
      <c r="AT108" s="17" t="s">
        <v>322</v>
      </c>
      <c r="AU108" s="17" t="s">
        <v>156</v>
      </c>
      <c r="AV108" s="17" t="s">
        <v>322</v>
      </c>
      <c r="AW108" s="17" t="s">
        <v>322</v>
      </c>
      <c r="AX108" s="17" t="s">
        <v>322</v>
      </c>
      <c r="BA108" s="15" t="s">
        <v>512</v>
      </c>
      <c r="BB108" s="17" t="s">
        <v>620</v>
      </c>
      <c r="BC108" s="17" t="s">
        <v>617</v>
      </c>
      <c r="BD108" s="17" t="s">
        <v>619</v>
      </c>
      <c r="BE108" s="17" t="s">
        <v>617</v>
      </c>
      <c r="BF108" s="17" t="s">
        <v>618</v>
      </c>
      <c r="BH108" t="s">
        <v>512</v>
      </c>
      <c r="BI108" s="17" t="s">
        <v>322</v>
      </c>
      <c r="BJ108" s="17" t="s">
        <v>132</v>
      </c>
      <c r="BK108" s="17" t="s">
        <v>132</v>
      </c>
      <c r="BL108" s="17" t="s">
        <v>322</v>
      </c>
      <c r="BM108" s="17" t="s">
        <v>132</v>
      </c>
      <c r="BY108" s="17" t="s">
        <v>736</v>
      </c>
      <c r="CK108" s="17" t="s">
        <v>539</v>
      </c>
      <c r="CL108" s="17" t="s">
        <v>266</v>
      </c>
      <c r="CM108" s="17" t="s">
        <v>232</v>
      </c>
      <c r="CN108" s="17" t="s">
        <v>293</v>
      </c>
      <c r="CO108" s="17" t="s">
        <v>265</v>
      </c>
      <c r="CP108" s="17" t="s">
        <v>870</v>
      </c>
    </row>
    <row r="109" spans="2:94" x14ac:dyDescent="0.3">
      <c r="W109" s="15" t="s">
        <v>514</v>
      </c>
      <c r="X109" s="17" t="s">
        <v>620</v>
      </c>
      <c r="Y109" s="17" t="s">
        <v>617</v>
      </c>
      <c r="Z109" s="17" t="s">
        <v>627</v>
      </c>
      <c r="AA109" s="17" t="s">
        <v>617</v>
      </c>
      <c r="AB109" s="17" t="s">
        <v>627</v>
      </c>
      <c r="AD109" t="s">
        <v>512</v>
      </c>
      <c r="AE109" s="17" t="s">
        <v>322</v>
      </c>
      <c r="AF109" s="17" t="s">
        <v>132</v>
      </c>
      <c r="AG109" s="17" t="s">
        <v>132</v>
      </c>
      <c r="AH109" s="17" t="s">
        <v>322</v>
      </c>
      <c r="AI109" s="17" t="s">
        <v>132</v>
      </c>
      <c r="AL109" s="15" t="s">
        <v>514</v>
      </c>
      <c r="AM109" s="17" t="s">
        <v>620</v>
      </c>
      <c r="AN109" s="17" t="s">
        <v>617</v>
      </c>
      <c r="AO109" s="17" t="s">
        <v>627</v>
      </c>
      <c r="AP109" s="17" t="s">
        <v>617</v>
      </c>
      <c r="AQ109" s="17" t="s">
        <v>627</v>
      </c>
      <c r="BA109" s="15" t="s">
        <v>514</v>
      </c>
      <c r="BB109" s="17" t="s">
        <v>620</v>
      </c>
      <c r="BC109" s="17" t="s">
        <v>617</v>
      </c>
      <c r="BD109" s="17" t="s">
        <v>619</v>
      </c>
      <c r="BE109" s="17" t="s">
        <v>617</v>
      </c>
      <c r="BF109" s="17" t="s">
        <v>618</v>
      </c>
      <c r="BH109" t="s">
        <v>514</v>
      </c>
      <c r="BI109" s="17" t="s">
        <v>322</v>
      </c>
      <c r="BJ109" s="17" t="s">
        <v>132</v>
      </c>
      <c r="BK109" s="17" t="s">
        <v>132</v>
      </c>
      <c r="BL109" s="17" t="s">
        <v>322</v>
      </c>
      <c r="BM109" s="17" t="s">
        <v>132</v>
      </c>
      <c r="CK109" s="17" t="s">
        <v>543</v>
      </c>
      <c r="CL109" s="17" t="s">
        <v>266</v>
      </c>
      <c r="CM109" s="17" t="s">
        <v>881</v>
      </c>
      <c r="CN109" s="17" t="s">
        <v>293</v>
      </c>
      <c r="CO109" s="17" t="s">
        <v>265</v>
      </c>
      <c r="CP109" s="17" t="s">
        <v>870</v>
      </c>
    </row>
    <row r="110" spans="2:94" x14ac:dyDescent="0.3">
      <c r="W110" s="15" t="s">
        <v>517</v>
      </c>
      <c r="X110" s="17" t="s">
        <v>620</v>
      </c>
      <c r="Y110" s="17" t="s">
        <v>609</v>
      </c>
      <c r="Z110" s="17" t="s">
        <v>625</v>
      </c>
      <c r="AA110" s="17" t="s">
        <v>617</v>
      </c>
      <c r="AB110" s="17" t="s">
        <v>627</v>
      </c>
      <c r="AD110" t="s">
        <v>514</v>
      </c>
      <c r="AE110" s="17" t="s">
        <v>322</v>
      </c>
      <c r="AF110" s="17" t="s">
        <v>132</v>
      </c>
      <c r="AG110" s="17" t="s">
        <v>132</v>
      </c>
      <c r="AH110" s="17" t="s">
        <v>322</v>
      </c>
      <c r="AI110" s="17" t="s">
        <v>132</v>
      </c>
      <c r="AL110" s="15" t="s">
        <v>517</v>
      </c>
      <c r="AM110" s="17" t="s">
        <v>620</v>
      </c>
      <c r="AN110" s="17" t="s">
        <v>609</v>
      </c>
      <c r="AO110" s="17" t="s">
        <v>625</v>
      </c>
      <c r="AP110" s="17" t="s">
        <v>617</v>
      </c>
      <c r="AQ110" s="17" t="s">
        <v>627</v>
      </c>
      <c r="AS110" t="s">
        <v>641</v>
      </c>
      <c r="BA110" s="15" t="s">
        <v>517</v>
      </c>
      <c r="BB110" s="17" t="s">
        <v>620</v>
      </c>
      <c r="BC110" s="17" t="s">
        <v>609</v>
      </c>
      <c r="BD110" s="17" t="s">
        <v>625</v>
      </c>
      <c r="BE110" s="17" t="s">
        <v>617</v>
      </c>
      <c r="BF110" s="17" t="s">
        <v>619</v>
      </c>
      <c r="BH110" t="s">
        <v>517</v>
      </c>
      <c r="BI110" s="17" t="s">
        <v>322</v>
      </c>
      <c r="BJ110" s="17" t="s">
        <v>322</v>
      </c>
      <c r="BK110" s="17" t="s">
        <v>322</v>
      </c>
      <c r="BL110" s="17" t="s">
        <v>322</v>
      </c>
      <c r="BM110" s="17" t="s">
        <v>132</v>
      </c>
      <c r="BY110" s="17" t="s">
        <v>750</v>
      </c>
      <c r="CK110" s="17" t="s">
        <v>573</v>
      </c>
      <c r="CL110" s="17" t="s">
        <v>322</v>
      </c>
      <c r="CM110" s="17" t="s">
        <v>879</v>
      </c>
      <c r="CN110" s="17" t="s">
        <v>882</v>
      </c>
      <c r="CO110" s="17" t="s">
        <v>265</v>
      </c>
      <c r="CP110" s="17" t="s">
        <v>228</v>
      </c>
    </row>
    <row r="111" spans="2:94" x14ac:dyDescent="0.3">
      <c r="W111" s="15" t="s">
        <v>326</v>
      </c>
      <c r="X111" s="17" t="s">
        <v>625</v>
      </c>
      <c r="Y111" s="17" t="s">
        <v>609</v>
      </c>
      <c r="Z111" s="17" t="s">
        <v>625</v>
      </c>
      <c r="AA111" s="17" t="s">
        <v>620</v>
      </c>
      <c r="AB111" s="17" t="s">
        <v>618</v>
      </c>
      <c r="AD111" t="s">
        <v>517</v>
      </c>
      <c r="AE111" s="17" t="s">
        <v>322</v>
      </c>
      <c r="AF111" s="17" t="s">
        <v>322</v>
      </c>
      <c r="AG111" s="17" t="s">
        <v>322</v>
      </c>
      <c r="AH111" s="17" t="s">
        <v>322</v>
      </c>
      <c r="AI111" s="17" t="s">
        <v>132</v>
      </c>
      <c r="AL111" s="15" t="s">
        <v>326</v>
      </c>
      <c r="AM111" s="17" t="s">
        <v>625</v>
      </c>
      <c r="AN111" s="17" t="s">
        <v>609</v>
      </c>
      <c r="AO111" s="17" t="s">
        <v>625</v>
      </c>
      <c r="AP111" s="17" t="s">
        <v>620</v>
      </c>
      <c r="AQ111" s="17" t="s">
        <v>618</v>
      </c>
      <c r="AT111" s="17" t="s">
        <v>315</v>
      </c>
      <c r="AU111" s="17" t="s">
        <v>316</v>
      </c>
      <c r="AV111" s="17" t="s">
        <v>317</v>
      </c>
      <c r="AW111" s="17" t="s">
        <v>318</v>
      </c>
      <c r="AX111" s="17" t="s">
        <v>319</v>
      </c>
      <c r="BA111" s="15" t="s">
        <v>326</v>
      </c>
      <c r="BB111" s="17" t="s">
        <v>625</v>
      </c>
      <c r="BC111" s="17" t="s">
        <v>609</v>
      </c>
      <c r="BD111" s="17" t="s">
        <v>625</v>
      </c>
      <c r="BE111" s="17" t="s">
        <v>620</v>
      </c>
      <c r="BF111" s="17" t="s">
        <v>619</v>
      </c>
      <c r="BH111" t="s">
        <v>326</v>
      </c>
      <c r="BI111" s="17" t="s">
        <v>322</v>
      </c>
      <c r="BJ111" s="17" t="s">
        <v>322</v>
      </c>
      <c r="BK111" s="17" t="s">
        <v>322</v>
      </c>
      <c r="BL111" s="17" t="s">
        <v>322</v>
      </c>
      <c r="BM111" s="17" t="s">
        <v>132</v>
      </c>
      <c r="BZ111" s="17" t="s">
        <v>315</v>
      </c>
      <c r="CA111" s="17" t="s">
        <v>316</v>
      </c>
      <c r="CB111" s="17" t="s">
        <v>317</v>
      </c>
      <c r="CC111" s="17" t="s">
        <v>318</v>
      </c>
      <c r="CD111" s="17" t="s">
        <v>319</v>
      </c>
      <c r="CK111" s="17" t="s">
        <v>561</v>
      </c>
      <c r="CL111" s="17" t="s">
        <v>322</v>
      </c>
      <c r="CM111" s="17" t="s">
        <v>883</v>
      </c>
      <c r="CN111" s="17" t="s">
        <v>884</v>
      </c>
      <c r="CO111" s="17" t="s">
        <v>265</v>
      </c>
      <c r="CP111" s="17" t="s">
        <v>228</v>
      </c>
    </row>
    <row r="112" spans="2:94" x14ac:dyDescent="0.3">
      <c r="W112" s="15" t="s">
        <v>328</v>
      </c>
      <c r="X112" s="17" t="s">
        <v>625</v>
      </c>
      <c r="Y112" s="17" t="s">
        <v>618</v>
      </c>
      <c r="Z112" s="17" t="s">
        <v>625</v>
      </c>
      <c r="AA112" s="17" t="s">
        <v>620</v>
      </c>
      <c r="AB112" s="17" t="s">
        <v>618</v>
      </c>
      <c r="AD112" t="s">
        <v>326</v>
      </c>
      <c r="AE112" s="17" t="s">
        <v>322</v>
      </c>
      <c r="AF112" s="17" t="s">
        <v>322</v>
      </c>
      <c r="AG112" s="17" t="s">
        <v>322</v>
      </c>
      <c r="AH112" s="17" t="s">
        <v>322</v>
      </c>
      <c r="AI112" s="17" t="s">
        <v>132</v>
      </c>
      <c r="AL112" s="15" t="s">
        <v>328</v>
      </c>
      <c r="AM112" s="17" t="s">
        <v>625</v>
      </c>
      <c r="AN112" s="17" t="s">
        <v>618</v>
      </c>
      <c r="AO112" s="17" t="s">
        <v>625</v>
      </c>
      <c r="AP112" s="17" t="s">
        <v>620</v>
      </c>
      <c r="AQ112" s="17" t="s">
        <v>618</v>
      </c>
      <c r="AS112" t="s">
        <v>512</v>
      </c>
      <c r="AT112" s="17" t="s">
        <v>322</v>
      </c>
      <c r="AU112" s="17" t="s">
        <v>132</v>
      </c>
      <c r="AV112" s="17" t="s">
        <v>132</v>
      </c>
      <c r="AW112" s="17" t="s">
        <v>322</v>
      </c>
      <c r="AX112" s="17" t="s">
        <v>132</v>
      </c>
      <c r="BA112" s="15" t="s">
        <v>328</v>
      </c>
      <c r="BB112" s="17" t="s">
        <v>625</v>
      </c>
      <c r="BC112" s="17" t="s">
        <v>618</v>
      </c>
      <c r="BD112" s="17" t="s">
        <v>625</v>
      </c>
      <c r="BE112" s="17" t="s">
        <v>620</v>
      </c>
      <c r="BF112" s="17" t="s">
        <v>619</v>
      </c>
      <c r="BH112" t="s">
        <v>328</v>
      </c>
      <c r="BI112" s="17" t="s">
        <v>322</v>
      </c>
      <c r="BJ112" s="17" t="s">
        <v>322</v>
      </c>
      <c r="BK112" s="17" t="s">
        <v>322</v>
      </c>
      <c r="BL112" s="17" t="s">
        <v>322</v>
      </c>
      <c r="BM112" s="17" t="s">
        <v>132</v>
      </c>
      <c r="BY112" s="17" t="s">
        <v>539</v>
      </c>
      <c r="BZ112" s="17" t="s">
        <v>223</v>
      </c>
      <c r="CA112" s="17" t="s">
        <v>322</v>
      </c>
      <c r="CB112" s="17" t="s">
        <v>261</v>
      </c>
      <c r="CC112" s="17" t="s">
        <v>248</v>
      </c>
      <c r="CD112" s="17" t="s">
        <v>261</v>
      </c>
      <c r="CK112" s="17" t="s">
        <v>551</v>
      </c>
      <c r="CL112" s="17" t="s">
        <v>248</v>
      </c>
      <c r="CM112" s="17" t="s">
        <v>268</v>
      </c>
      <c r="CN112" s="17" t="s">
        <v>885</v>
      </c>
      <c r="CO112" s="17" t="s">
        <v>322</v>
      </c>
      <c r="CP112" s="17" t="s">
        <v>852</v>
      </c>
    </row>
    <row r="113" spans="2:94" x14ac:dyDescent="0.3">
      <c r="W113" s="15" t="s">
        <v>350</v>
      </c>
      <c r="X113" s="17" t="s">
        <v>625</v>
      </c>
      <c r="Y113" s="17" t="s">
        <v>618</v>
      </c>
      <c r="Z113" s="17" t="s">
        <v>622</v>
      </c>
      <c r="AA113" s="17" t="s">
        <v>609</v>
      </c>
      <c r="AB113" s="17" t="s">
        <v>322</v>
      </c>
      <c r="AD113" t="s">
        <v>328</v>
      </c>
      <c r="AE113" s="17" t="s">
        <v>322</v>
      </c>
      <c r="AF113" s="17" t="s">
        <v>322</v>
      </c>
      <c r="AG113" s="17" t="s">
        <v>322</v>
      </c>
      <c r="AH113" s="17" t="s">
        <v>322</v>
      </c>
      <c r="AI113" s="17" t="s">
        <v>132</v>
      </c>
      <c r="AL113" s="15" t="s">
        <v>350</v>
      </c>
      <c r="AM113" s="17" t="s">
        <v>625</v>
      </c>
      <c r="AN113" s="17" t="s">
        <v>618</v>
      </c>
      <c r="AO113" s="17" t="s">
        <v>322</v>
      </c>
      <c r="AP113" s="17" t="s">
        <v>609</v>
      </c>
      <c r="AQ113" s="17" t="s">
        <v>622</v>
      </c>
      <c r="AS113" t="s">
        <v>514</v>
      </c>
      <c r="AT113" s="17" t="s">
        <v>322</v>
      </c>
      <c r="AU113" s="17" t="s">
        <v>132</v>
      </c>
      <c r="AV113" s="17" t="s">
        <v>132</v>
      </c>
      <c r="AW113" s="17" t="s">
        <v>322</v>
      </c>
      <c r="AX113" s="17" t="s">
        <v>132</v>
      </c>
      <c r="BA113" s="15" t="s">
        <v>350</v>
      </c>
      <c r="BB113" s="17" t="s">
        <v>625</v>
      </c>
      <c r="BC113" s="17" t="s">
        <v>618</v>
      </c>
      <c r="BD113" s="17" t="s">
        <v>322</v>
      </c>
      <c r="BE113" s="17" t="s">
        <v>609</v>
      </c>
      <c r="BF113" s="17" t="s">
        <v>622</v>
      </c>
      <c r="BH113" t="s">
        <v>350</v>
      </c>
      <c r="BI113" s="17" t="s">
        <v>322</v>
      </c>
      <c r="BJ113" s="17" t="s">
        <v>322</v>
      </c>
      <c r="BK113" s="17" t="s">
        <v>322</v>
      </c>
      <c r="BL113" s="17" t="s">
        <v>322</v>
      </c>
      <c r="BM113" s="17" t="s">
        <v>132</v>
      </c>
      <c r="BY113" s="17" t="s">
        <v>543</v>
      </c>
      <c r="BZ113" s="17" t="s">
        <v>880</v>
      </c>
      <c r="CA113" s="17" t="s">
        <v>258</v>
      </c>
      <c r="CB113" s="17" t="s">
        <v>261</v>
      </c>
      <c r="CC113" s="17" t="s">
        <v>248</v>
      </c>
      <c r="CD113" s="17" t="s">
        <v>261</v>
      </c>
      <c r="CK113" s="17" t="s">
        <v>552</v>
      </c>
      <c r="CL113" s="17" t="s">
        <v>248</v>
      </c>
      <c r="CM113" s="17" t="s">
        <v>228</v>
      </c>
      <c r="CN113" s="17" t="s">
        <v>886</v>
      </c>
      <c r="CO113" s="17" t="s">
        <v>322</v>
      </c>
      <c r="CP113" s="17" t="s">
        <v>852</v>
      </c>
    </row>
    <row r="114" spans="2:94" x14ac:dyDescent="0.3">
      <c r="AD114" t="s">
        <v>350</v>
      </c>
      <c r="AE114" s="17" t="s">
        <v>322</v>
      </c>
      <c r="AF114" s="17" t="s">
        <v>322</v>
      </c>
      <c r="AG114" s="17" t="s">
        <v>322</v>
      </c>
      <c r="AH114" s="17" t="s">
        <v>322</v>
      </c>
      <c r="AI114" s="17" t="s">
        <v>132</v>
      </c>
      <c r="AS114" t="s">
        <v>517</v>
      </c>
      <c r="AT114" s="17" t="s">
        <v>322</v>
      </c>
      <c r="AU114" s="17" t="s">
        <v>322</v>
      </c>
      <c r="AV114" s="17" t="s">
        <v>322</v>
      </c>
      <c r="AW114" s="17" t="s">
        <v>322</v>
      </c>
      <c r="AX114" s="17" t="s">
        <v>132</v>
      </c>
      <c r="BY114" s="17" t="s">
        <v>573</v>
      </c>
      <c r="BZ114" s="17" t="s">
        <v>281</v>
      </c>
      <c r="CA114" s="17" t="s">
        <v>258</v>
      </c>
      <c r="CB114" s="17" t="s">
        <v>261</v>
      </c>
      <c r="CC114" s="17" t="s">
        <v>248</v>
      </c>
      <c r="CD114" s="17" t="s">
        <v>256</v>
      </c>
      <c r="CK114" s="17" t="s">
        <v>554</v>
      </c>
      <c r="CL114" s="17" t="s">
        <v>248</v>
      </c>
      <c r="CM114" s="17" t="s">
        <v>228</v>
      </c>
      <c r="CN114" s="17" t="s">
        <v>284</v>
      </c>
      <c r="CO114" s="17" t="s">
        <v>45</v>
      </c>
      <c r="CP114" s="17" t="s">
        <v>856</v>
      </c>
    </row>
    <row r="115" spans="2:94" x14ac:dyDescent="0.3">
      <c r="W115" s="15" t="s">
        <v>614</v>
      </c>
      <c r="AL115" s="15" t="s">
        <v>614</v>
      </c>
      <c r="AS115" t="s">
        <v>326</v>
      </c>
      <c r="AT115" s="17" t="s">
        <v>322</v>
      </c>
      <c r="AU115" s="17" t="s">
        <v>322</v>
      </c>
      <c r="AV115" s="17" t="s">
        <v>322</v>
      </c>
      <c r="AW115" s="17" t="s">
        <v>322</v>
      </c>
      <c r="AX115" s="17" t="s">
        <v>132</v>
      </c>
      <c r="BA115" s="15" t="s">
        <v>614</v>
      </c>
      <c r="BH115" t="s">
        <v>650</v>
      </c>
      <c r="BY115" s="17" t="s">
        <v>561</v>
      </c>
      <c r="BZ115" s="17" t="s">
        <v>281</v>
      </c>
      <c r="CA115" s="17" t="s">
        <v>258</v>
      </c>
      <c r="CB115" s="17" t="s">
        <v>256</v>
      </c>
      <c r="CC115" s="17" t="s">
        <v>258</v>
      </c>
      <c r="CD115" s="17" t="s">
        <v>256</v>
      </c>
    </row>
    <row r="116" spans="2:94" x14ac:dyDescent="0.3">
      <c r="X116" s="17" t="s">
        <v>315</v>
      </c>
      <c r="Y116" s="17" t="s">
        <v>316</v>
      </c>
      <c r="Z116" s="17" t="s">
        <v>317</v>
      </c>
      <c r="AA116" s="17" t="s">
        <v>318</v>
      </c>
      <c r="AB116" s="17" t="s">
        <v>319</v>
      </c>
      <c r="AD116" t="s">
        <v>650</v>
      </c>
      <c r="AM116" s="17" t="s">
        <v>315</v>
      </c>
      <c r="AN116" s="17" t="s">
        <v>316</v>
      </c>
      <c r="AO116" s="17" t="s">
        <v>317</v>
      </c>
      <c r="AP116" s="17" t="s">
        <v>318</v>
      </c>
      <c r="AQ116" s="17" t="s">
        <v>319</v>
      </c>
      <c r="AS116" t="s">
        <v>328</v>
      </c>
      <c r="AT116" s="17" t="s">
        <v>322</v>
      </c>
      <c r="AU116" s="17" t="s">
        <v>322</v>
      </c>
      <c r="AV116" s="17" t="s">
        <v>322</v>
      </c>
      <c r="AW116" s="17" t="s">
        <v>322</v>
      </c>
      <c r="AX116" s="17" t="s">
        <v>132</v>
      </c>
      <c r="BB116" s="17" t="s">
        <v>315</v>
      </c>
      <c r="BC116" s="17" t="s">
        <v>316</v>
      </c>
      <c r="BD116" s="17" t="s">
        <v>317</v>
      </c>
      <c r="BE116" s="17" t="s">
        <v>318</v>
      </c>
      <c r="BF116" s="17" t="s">
        <v>319</v>
      </c>
      <c r="BI116" s="17" t="s">
        <v>315</v>
      </c>
      <c r="BJ116" s="17" t="s">
        <v>316</v>
      </c>
      <c r="BK116" s="17" t="s">
        <v>317</v>
      </c>
      <c r="BL116" s="17" t="s">
        <v>318</v>
      </c>
      <c r="BM116" s="17" t="s">
        <v>319</v>
      </c>
      <c r="BY116" s="17" t="s">
        <v>551</v>
      </c>
      <c r="BZ116" s="17" t="s">
        <v>322</v>
      </c>
      <c r="CA116" s="17" t="s">
        <v>278</v>
      </c>
      <c r="CB116" s="17" t="s">
        <v>256</v>
      </c>
      <c r="CC116" s="17" t="s">
        <v>258</v>
      </c>
      <c r="CD116" s="17" t="s">
        <v>887</v>
      </c>
    </row>
    <row r="117" spans="2:94" x14ac:dyDescent="0.3">
      <c r="W117" s="15" t="s">
        <v>512</v>
      </c>
      <c r="X117" s="17" t="s">
        <v>626</v>
      </c>
      <c r="Y117" s="17" t="s">
        <v>618</v>
      </c>
      <c r="Z117" s="17" t="s">
        <v>619</v>
      </c>
      <c r="AA117" s="17" t="s">
        <v>626</v>
      </c>
      <c r="AB117" s="17" t="s">
        <v>618</v>
      </c>
      <c r="AE117" s="17" t="s">
        <v>315</v>
      </c>
      <c r="AF117" s="17" t="s">
        <v>316</v>
      </c>
      <c r="AG117" s="17" t="s">
        <v>317</v>
      </c>
      <c r="AH117" s="17" t="s">
        <v>318</v>
      </c>
      <c r="AI117" s="17" t="s">
        <v>319</v>
      </c>
      <c r="AL117" s="15" t="s">
        <v>512</v>
      </c>
      <c r="AM117" s="17" t="s">
        <v>626</v>
      </c>
      <c r="AN117" s="17" t="s">
        <v>618</v>
      </c>
      <c r="AO117" s="17" t="s">
        <v>619</v>
      </c>
      <c r="AP117" s="17" t="s">
        <v>626</v>
      </c>
      <c r="AQ117" s="17" t="s">
        <v>618</v>
      </c>
      <c r="AS117" t="s">
        <v>350</v>
      </c>
      <c r="AT117" s="17" t="s">
        <v>322</v>
      </c>
      <c r="AU117" s="17" t="s">
        <v>322</v>
      </c>
      <c r="AV117" s="17" t="s">
        <v>322</v>
      </c>
      <c r="AW117" s="17" t="s">
        <v>322</v>
      </c>
      <c r="AX117" s="17" t="s">
        <v>132</v>
      </c>
      <c r="BA117" s="15" t="s">
        <v>512</v>
      </c>
      <c r="BB117" s="17" t="s">
        <v>626</v>
      </c>
      <c r="BC117" s="17" t="s">
        <v>618</v>
      </c>
      <c r="BD117" s="17" t="s">
        <v>627</v>
      </c>
      <c r="BE117" s="17" t="s">
        <v>626</v>
      </c>
      <c r="BF117" s="17" t="s">
        <v>627</v>
      </c>
      <c r="BH117" t="s">
        <v>561</v>
      </c>
      <c r="BI117" s="17" t="s">
        <v>322</v>
      </c>
      <c r="BJ117" s="17" t="s">
        <v>37</v>
      </c>
      <c r="BK117" s="17" t="s">
        <v>322</v>
      </c>
      <c r="BL117" s="17" t="s">
        <v>322</v>
      </c>
      <c r="BM117" s="17" t="s">
        <v>322</v>
      </c>
      <c r="BY117" s="17" t="s">
        <v>552</v>
      </c>
      <c r="BZ117" s="17" t="s">
        <v>887</v>
      </c>
      <c r="CA117" s="17" t="s">
        <v>278</v>
      </c>
      <c r="CB117" s="17" t="s">
        <v>322</v>
      </c>
      <c r="CC117" s="17" t="s">
        <v>223</v>
      </c>
      <c r="CD117" s="17" t="s">
        <v>887</v>
      </c>
    </row>
    <row r="118" spans="2:94" x14ac:dyDescent="0.3">
      <c r="W118" s="15" t="s">
        <v>514</v>
      </c>
      <c r="X118" s="17" t="s">
        <v>626</v>
      </c>
      <c r="Y118" s="17" t="s">
        <v>618</v>
      </c>
      <c r="Z118" s="17" t="s">
        <v>619</v>
      </c>
      <c r="AA118" s="17" t="s">
        <v>626</v>
      </c>
      <c r="AB118" s="17" t="s">
        <v>618</v>
      </c>
      <c r="AD118" t="s">
        <v>561</v>
      </c>
      <c r="AE118" s="17" t="s">
        <v>322</v>
      </c>
      <c r="AF118" s="17" t="s">
        <v>37</v>
      </c>
      <c r="AG118" s="17" t="s">
        <v>322</v>
      </c>
      <c r="AH118" s="17" t="s">
        <v>322</v>
      </c>
      <c r="AI118" s="17" t="s">
        <v>322</v>
      </c>
      <c r="AL118" s="15" t="s">
        <v>514</v>
      </c>
      <c r="AM118" s="17" t="s">
        <v>626</v>
      </c>
      <c r="AN118" s="17" t="s">
        <v>618</v>
      </c>
      <c r="AO118" s="17" t="s">
        <v>619</v>
      </c>
      <c r="AP118" s="17" t="s">
        <v>626</v>
      </c>
      <c r="AQ118" s="17" t="s">
        <v>618</v>
      </c>
      <c r="BA118" s="15" t="s">
        <v>514</v>
      </c>
      <c r="BB118" s="17" t="s">
        <v>626</v>
      </c>
      <c r="BC118" s="17" t="s">
        <v>618</v>
      </c>
      <c r="BD118" s="17" t="s">
        <v>627</v>
      </c>
      <c r="BE118" s="17" t="s">
        <v>626</v>
      </c>
      <c r="BF118" s="17" t="s">
        <v>627</v>
      </c>
      <c r="BH118" t="s">
        <v>551</v>
      </c>
      <c r="BI118" s="17" t="s">
        <v>231</v>
      </c>
      <c r="BJ118" s="17" t="s">
        <v>37</v>
      </c>
      <c r="BK118" s="17" t="s">
        <v>322</v>
      </c>
      <c r="BL118" s="17" t="s">
        <v>322</v>
      </c>
      <c r="BM118" s="17" t="s">
        <v>322</v>
      </c>
      <c r="BY118" s="17" t="s">
        <v>554</v>
      </c>
      <c r="BZ118" s="17" t="s">
        <v>887</v>
      </c>
      <c r="CA118" s="17" t="s">
        <v>278</v>
      </c>
      <c r="CB118" s="17" t="s">
        <v>322</v>
      </c>
      <c r="CC118" s="17" t="s">
        <v>223</v>
      </c>
      <c r="CD118" s="17" t="s">
        <v>887</v>
      </c>
    </row>
    <row r="119" spans="2:94" x14ac:dyDescent="0.3">
      <c r="W119" s="15" t="s">
        <v>517</v>
      </c>
      <c r="X119" s="17" t="s">
        <v>626</v>
      </c>
      <c r="Y119" s="17" t="s">
        <v>621</v>
      </c>
      <c r="Z119" s="17" t="s">
        <v>616</v>
      </c>
      <c r="AA119" s="17" t="s">
        <v>609</v>
      </c>
      <c r="AB119" s="17" t="s">
        <v>619</v>
      </c>
      <c r="AD119" t="s">
        <v>551</v>
      </c>
      <c r="AE119" s="17" t="s">
        <v>231</v>
      </c>
      <c r="AF119" s="17" t="s">
        <v>37</v>
      </c>
      <c r="AG119" s="17" t="s">
        <v>322</v>
      </c>
      <c r="AH119" s="17" t="s">
        <v>322</v>
      </c>
      <c r="AI119" s="17" t="s">
        <v>322</v>
      </c>
      <c r="AL119" s="15" t="s">
        <v>517</v>
      </c>
      <c r="AM119" s="17" t="s">
        <v>626</v>
      </c>
      <c r="AN119" s="17" t="s">
        <v>621</v>
      </c>
      <c r="AO119" s="17" t="s">
        <v>616</v>
      </c>
      <c r="AP119" s="17" t="s">
        <v>609</v>
      </c>
      <c r="AQ119" s="17" t="s">
        <v>619</v>
      </c>
      <c r="AS119" t="s">
        <v>650</v>
      </c>
      <c r="BA119" s="15" t="s">
        <v>517</v>
      </c>
      <c r="BB119" s="17" t="s">
        <v>626</v>
      </c>
      <c r="BC119" s="17" t="s">
        <v>621</v>
      </c>
      <c r="BD119" s="17" t="s">
        <v>616</v>
      </c>
      <c r="BE119" s="17" t="s">
        <v>609</v>
      </c>
      <c r="BF119" s="17" t="s">
        <v>627</v>
      </c>
      <c r="BH119" t="s">
        <v>552</v>
      </c>
      <c r="BI119" s="17" t="s">
        <v>231</v>
      </c>
      <c r="BJ119" s="17" t="s">
        <v>37</v>
      </c>
      <c r="BK119" s="17" t="s">
        <v>231</v>
      </c>
      <c r="BL119" s="17" t="s">
        <v>322</v>
      </c>
      <c r="BM119" s="17" t="s">
        <v>322</v>
      </c>
    </row>
    <row r="120" spans="2:94" x14ac:dyDescent="0.3">
      <c r="W120" s="15" t="s">
        <v>326</v>
      </c>
      <c r="X120" s="17" t="s">
        <v>616</v>
      </c>
      <c r="Y120" s="17" t="s">
        <v>621</v>
      </c>
      <c r="Z120" s="17" t="s">
        <v>616</v>
      </c>
      <c r="AA120" s="17" t="s">
        <v>609</v>
      </c>
      <c r="AB120" s="17" t="s">
        <v>619</v>
      </c>
      <c r="AD120" t="s">
        <v>552</v>
      </c>
      <c r="AE120" s="17" t="s">
        <v>231</v>
      </c>
      <c r="AF120" s="17" t="s">
        <v>37</v>
      </c>
      <c r="AG120" s="17" t="s">
        <v>231</v>
      </c>
      <c r="AH120" s="17" t="s">
        <v>322</v>
      </c>
      <c r="AI120" s="17" t="s">
        <v>322</v>
      </c>
      <c r="AL120" s="15" t="s">
        <v>326</v>
      </c>
      <c r="AM120" s="17" t="s">
        <v>616</v>
      </c>
      <c r="AN120" s="17" t="s">
        <v>621</v>
      </c>
      <c r="AO120" s="17" t="s">
        <v>616</v>
      </c>
      <c r="AP120" s="17" t="s">
        <v>609</v>
      </c>
      <c r="AQ120" s="17" t="s">
        <v>619</v>
      </c>
      <c r="AT120" s="17" t="s">
        <v>315</v>
      </c>
      <c r="AU120" s="17" t="s">
        <v>316</v>
      </c>
      <c r="AV120" s="17" t="s">
        <v>317</v>
      </c>
      <c r="AW120" s="17" t="s">
        <v>318</v>
      </c>
      <c r="AX120" s="17" t="s">
        <v>319</v>
      </c>
      <c r="BA120" s="15" t="s">
        <v>326</v>
      </c>
      <c r="BB120" s="17" t="s">
        <v>616</v>
      </c>
      <c r="BC120" s="17" t="s">
        <v>621</v>
      </c>
      <c r="BD120" s="17" t="s">
        <v>616</v>
      </c>
      <c r="BE120" s="17" t="s">
        <v>609</v>
      </c>
      <c r="BF120" s="17" t="s">
        <v>618</v>
      </c>
      <c r="BH120" t="s">
        <v>554</v>
      </c>
      <c r="BI120" s="17" t="s">
        <v>322</v>
      </c>
      <c r="BJ120" s="17" t="s">
        <v>322</v>
      </c>
      <c r="BK120" s="17" t="s">
        <v>231</v>
      </c>
      <c r="BL120" s="17" t="s">
        <v>322</v>
      </c>
      <c r="BM120" s="17" t="s">
        <v>322</v>
      </c>
    </row>
    <row r="121" spans="2:94" x14ac:dyDescent="0.3">
      <c r="W121" s="15" t="s">
        <v>328</v>
      </c>
      <c r="X121" s="17" t="s">
        <v>616</v>
      </c>
      <c r="Y121" s="17" t="s">
        <v>621</v>
      </c>
      <c r="Z121" s="17" t="s">
        <v>616</v>
      </c>
      <c r="AA121" s="17" t="s">
        <v>621</v>
      </c>
      <c r="AB121" s="17" t="s">
        <v>619</v>
      </c>
      <c r="AD121" t="s">
        <v>554</v>
      </c>
      <c r="AE121" s="17" t="s">
        <v>322</v>
      </c>
      <c r="AF121" s="17" t="s">
        <v>322</v>
      </c>
      <c r="AG121" s="17" t="s">
        <v>231</v>
      </c>
      <c r="AH121" s="17" t="s">
        <v>322</v>
      </c>
      <c r="AI121" s="17" t="s">
        <v>322</v>
      </c>
      <c r="AL121" s="15" t="s">
        <v>328</v>
      </c>
      <c r="AM121" s="17" t="s">
        <v>616</v>
      </c>
      <c r="AN121" s="17" t="s">
        <v>621</v>
      </c>
      <c r="AO121" s="17" t="s">
        <v>616</v>
      </c>
      <c r="AP121" s="17" t="s">
        <v>621</v>
      </c>
      <c r="AQ121" s="17" t="s">
        <v>619</v>
      </c>
      <c r="AS121" t="s">
        <v>561</v>
      </c>
      <c r="AT121" s="17" t="s">
        <v>322</v>
      </c>
      <c r="AU121" s="17" t="s">
        <v>37</v>
      </c>
      <c r="AV121" s="17" t="s">
        <v>322</v>
      </c>
      <c r="AW121" s="17" t="s">
        <v>322</v>
      </c>
      <c r="AX121" s="17" t="s">
        <v>322</v>
      </c>
      <c r="BA121" s="15" t="s">
        <v>328</v>
      </c>
      <c r="BB121" s="17" t="s">
        <v>616</v>
      </c>
      <c r="BC121" s="17" t="s">
        <v>621</v>
      </c>
      <c r="BD121" s="17" t="s">
        <v>616</v>
      </c>
      <c r="BE121" s="17" t="s">
        <v>621</v>
      </c>
      <c r="BF121" s="17" t="s">
        <v>618</v>
      </c>
    </row>
    <row r="122" spans="2:94" x14ac:dyDescent="0.3">
      <c r="B122" s="15" t="s">
        <v>759</v>
      </c>
      <c r="W122" s="15" t="s">
        <v>350</v>
      </c>
      <c r="X122" s="17" t="s">
        <v>616</v>
      </c>
      <c r="Y122" s="17" t="s">
        <v>609</v>
      </c>
      <c r="Z122" s="17" t="s">
        <v>322</v>
      </c>
      <c r="AA122" s="17" t="s">
        <v>621</v>
      </c>
      <c r="AB122" s="17" t="s">
        <v>622</v>
      </c>
      <c r="AL122" s="15" t="s">
        <v>350</v>
      </c>
      <c r="AM122" s="17" t="s">
        <v>616</v>
      </c>
      <c r="AN122" s="17" t="s">
        <v>609</v>
      </c>
      <c r="AO122" s="17" t="s">
        <v>622</v>
      </c>
      <c r="AP122" s="17" t="s">
        <v>621</v>
      </c>
      <c r="AQ122" s="17" t="s">
        <v>322</v>
      </c>
      <c r="AS122" t="s">
        <v>551</v>
      </c>
      <c r="AT122" s="17" t="s">
        <v>231</v>
      </c>
      <c r="AU122" s="17" t="s">
        <v>37</v>
      </c>
      <c r="AV122" s="17" t="s">
        <v>322</v>
      </c>
      <c r="AW122" s="17" t="s">
        <v>322</v>
      </c>
      <c r="AX122" s="17" t="s">
        <v>322</v>
      </c>
      <c r="BA122" s="15" t="s">
        <v>350</v>
      </c>
      <c r="BB122" s="17" t="s">
        <v>616</v>
      </c>
      <c r="BC122" s="17" t="s">
        <v>609</v>
      </c>
      <c r="BD122" s="17" t="s">
        <v>622</v>
      </c>
      <c r="BE122" s="17" t="s">
        <v>621</v>
      </c>
      <c r="BF122" s="17" t="s">
        <v>322</v>
      </c>
      <c r="BH122" t="s">
        <v>655</v>
      </c>
    </row>
    <row r="123" spans="2:94" x14ac:dyDescent="0.3">
      <c r="C123" s="17" t="s">
        <v>315</v>
      </c>
      <c r="D123" s="17" t="s">
        <v>316</v>
      </c>
      <c r="E123" s="17" t="s">
        <v>317</v>
      </c>
      <c r="F123" s="17" t="s">
        <v>318</v>
      </c>
      <c r="G123" s="17" t="s">
        <v>319</v>
      </c>
      <c r="AD123" t="s">
        <v>655</v>
      </c>
      <c r="AS123" t="s">
        <v>552</v>
      </c>
      <c r="AT123" s="17" t="s">
        <v>231</v>
      </c>
      <c r="AU123" s="17" t="s">
        <v>37</v>
      </c>
      <c r="AV123" s="17" t="s">
        <v>231</v>
      </c>
      <c r="AW123" s="17" t="s">
        <v>322</v>
      </c>
      <c r="AX123" s="17" t="s">
        <v>322</v>
      </c>
      <c r="BI123" s="17" t="s">
        <v>315</v>
      </c>
      <c r="BJ123" s="17" t="s">
        <v>316</v>
      </c>
      <c r="BK123" s="17" t="s">
        <v>317</v>
      </c>
      <c r="BL123" s="17" t="s">
        <v>318</v>
      </c>
      <c r="BM123" s="17" t="s">
        <v>319</v>
      </c>
    </row>
    <row r="124" spans="2:94" x14ac:dyDescent="0.3">
      <c r="B124" s="15" t="s">
        <v>539</v>
      </c>
      <c r="C124" s="17" t="s">
        <v>322</v>
      </c>
      <c r="D124" s="17" t="s">
        <v>322</v>
      </c>
      <c r="E124" s="17" t="s">
        <v>761</v>
      </c>
      <c r="F124" s="17" t="s">
        <v>762</v>
      </c>
      <c r="G124" s="17" t="s">
        <v>763</v>
      </c>
      <c r="J124" s="154" t="s">
        <v>759</v>
      </c>
      <c r="W124" s="31" t="s">
        <v>505</v>
      </c>
      <c r="AE124" s="17" t="s">
        <v>315</v>
      </c>
      <c r="AF124" s="17" t="s">
        <v>316</v>
      </c>
      <c r="AG124" s="17" t="s">
        <v>317</v>
      </c>
      <c r="AH124" s="17" t="s">
        <v>318</v>
      </c>
      <c r="AI124" s="17" t="s">
        <v>319</v>
      </c>
      <c r="AL124" s="31" t="s">
        <v>505</v>
      </c>
      <c r="AS124" t="s">
        <v>554</v>
      </c>
      <c r="AT124" s="17" t="s">
        <v>322</v>
      </c>
      <c r="AU124" s="17" t="s">
        <v>322</v>
      </c>
      <c r="AV124" s="17" t="s">
        <v>231</v>
      </c>
      <c r="AW124" s="17" t="s">
        <v>322</v>
      </c>
      <c r="AX124" s="17" t="s">
        <v>322</v>
      </c>
      <c r="BA124" s="31" t="s">
        <v>505</v>
      </c>
      <c r="BH124" t="s">
        <v>539</v>
      </c>
      <c r="BI124" s="17" t="s">
        <v>322</v>
      </c>
      <c r="BJ124" s="17" t="s">
        <v>235</v>
      </c>
      <c r="BK124" s="17" t="s">
        <v>322</v>
      </c>
      <c r="BL124" s="17" t="s">
        <v>322</v>
      </c>
      <c r="BM124" s="17" t="s">
        <v>322</v>
      </c>
      <c r="BN124" s="31"/>
    </row>
    <row r="125" spans="2:94" x14ac:dyDescent="0.3">
      <c r="B125" s="15" t="s">
        <v>543</v>
      </c>
      <c r="C125" s="17" t="s">
        <v>322</v>
      </c>
      <c r="D125" s="17" t="s">
        <v>322</v>
      </c>
      <c r="E125" s="17" t="s">
        <v>761</v>
      </c>
      <c r="F125" s="17" t="s">
        <v>762</v>
      </c>
      <c r="G125" s="17" t="s">
        <v>763</v>
      </c>
      <c r="K125" s="151" t="s">
        <v>315</v>
      </c>
      <c r="L125" s="151" t="s">
        <v>316</v>
      </c>
      <c r="M125" s="151" t="s">
        <v>317</v>
      </c>
      <c r="N125" s="151" t="s">
        <v>318</v>
      </c>
      <c r="O125" s="151" t="s">
        <v>319</v>
      </c>
      <c r="W125" s="73" t="s">
        <v>640</v>
      </c>
      <c r="AD125" t="s">
        <v>539</v>
      </c>
      <c r="AE125" s="17" t="s">
        <v>322</v>
      </c>
      <c r="AF125" s="17" t="s">
        <v>235</v>
      </c>
      <c r="AG125" s="17" t="s">
        <v>322</v>
      </c>
      <c r="AH125" s="17" t="s">
        <v>322</v>
      </c>
      <c r="AI125" s="17" t="s">
        <v>322</v>
      </c>
      <c r="AL125" s="73" t="s">
        <v>640</v>
      </c>
      <c r="BA125" s="73" t="s">
        <v>640</v>
      </c>
      <c r="BH125" t="s">
        <v>543</v>
      </c>
      <c r="BI125" s="17" t="s">
        <v>322</v>
      </c>
      <c r="BJ125" s="17" t="s">
        <v>235</v>
      </c>
      <c r="BK125" s="17" t="s">
        <v>322</v>
      </c>
      <c r="BL125" s="17" t="s">
        <v>322</v>
      </c>
      <c r="BM125" s="17" t="s">
        <v>322</v>
      </c>
      <c r="BN125" s="73"/>
    </row>
    <row r="126" spans="2:94" x14ac:dyDescent="0.3">
      <c r="B126" s="15" t="s">
        <v>573</v>
      </c>
      <c r="C126" s="151" t="s">
        <v>322</v>
      </c>
      <c r="D126" s="17" t="s">
        <v>747</v>
      </c>
      <c r="E126" s="17" t="s">
        <v>766</v>
      </c>
      <c r="F126" s="17" t="s">
        <v>762</v>
      </c>
      <c r="G126" s="130" t="s">
        <v>322</v>
      </c>
      <c r="J126" s="154" t="s">
        <v>539</v>
      </c>
      <c r="K126" s="151" t="s">
        <v>322</v>
      </c>
      <c r="L126" s="151" t="s">
        <v>322</v>
      </c>
      <c r="M126" s="151" t="s">
        <v>761</v>
      </c>
      <c r="N126" s="151" t="s">
        <v>762</v>
      </c>
      <c r="O126" s="151" t="s">
        <v>763</v>
      </c>
      <c r="AD126" t="s">
        <v>543</v>
      </c>
      <c r="AE126" s="17" t="s">
        <v>322</v>
      </c>
      <c r="AF126" s="17" t="s">
        <v>235</v>
      </c>
      <c r="AG126" s="17" t="s">
        <v>322</v>
      </c>
      <c r="AH126" s="17" t="s">
        <v>322</v>
      </c>
      <c r="AI126" s="17" t="s">
        <v>322</v>
      </c>
      <c r="AS126" t="s">
        <v>655</v>
      </c>
      <c r="BH126" t="s">
        <v>573</v>
      </c>
      <c r="BI126" s="17" t="s">
        <v>322</v>
      </c>
      <c r="BJ126" s="17" t="s">
        <v>235</v>
      </c>
      <c r="BK126" s="17" t="s">
        <v>322</v>
      </c>
      <c r="BL126" s="17" t="s">
        <v>265</v>
      </c>
      <c r="BM126" s="17" t="s">
        <v>322</v>
      </c>
      <c r="CA126" s="136">
        <v>0</v>
      </c>
      <c r="CB126" s="136">
        <v>0</v>
      </c>
      <c r="CC126" s="136">
        <v>0</v>
      </c>
    </row>
    <row r="127" spans="2:94" x14ac:dyDescent="0.3">
      <c r="B127" s="15" t="s">
        <v>561</v>
      </c>
      <c r="C127" s="17" t="s">
        <v>942</v>
      </c>
      <c r="D127" s="17" t="s">
        <v>747</v>
      </c>
      <c r="E127" s="17" t="s">
        <v>767</v>
      </c>
      <c r="F127" s="17" t="s">
        <v>762</v>
      </c>
      <c r="G127" s="130" t="s">
        <v>322</v>
      </c>
      <c r="J127" s="154" t="s">
        <v>543</v>
      </c>
      <c r="K127" s="151" t="s">
        <v>322</v>
      </c>
      <c r="L127" s="151" t="s">
        <v>322</v>
      </c>
      <c r="M127" s="151" t="s">
        <v>761</v>
      </c>
      <c r="N127" s="151" t="s">
        <v>762</v>
      </c>
      <c r="O127" s="151" t="s">
        <v>763</v>
      </c>
      <c r="W127" s="15" t="s">
        <v>673</v>
      </c>
      <c r="AD127" t="s">
        <v>573</v>
      </c>
      <c r="AE127" s="17" t="s">
        <v>322</v>
      </c>
      <c r="AF127" s="17" t="s">
        <v>235</v>
      </c>
      <c r="AG127" s="17" t="s">
        <v>322</v>
      </c>
      <c r="AH127" s="17" t="s">
        <v>265</v>
      </c>
      <c r="AI127" s="17" t="s">
        <v>322</v>
      </c>
      <c r="AL127" s="15" t="s">
        <v>673</v>
      </c>
      <c r="AT127" s="17" t="s">
        <v>315</v>
      </c>
      <c r="AU127" s="17" t="s">
        <v>316</v>
      </c>
      <c r="AV127" s="17" t="s">
        <v>317</v>
      </c>
      <c r="AW127" s="17" t="s">
        <v>318</v>
      </c>
      <c r="AX127" s="17" t="s">
        <v>319</v>
      </c>
      <c r="BA127" s="15" t="s">
        <v>673</v>
      </c>
      <c r="BH127" t="s">
        <v>561</v>
      </c>
      <c r="BI127" s="17" t="s">
        <v>322</v>
      </c>
      <c r="BJ127" s="17" t="s">
        <v>235</v>
      </c>
      <c r="BK127" s="17" t="s">
        <v>322</v>
      </c>
      <c r="BL127" s="17" t="s">
        <v>265</v>
      </c>
      <c r="BM127" s="17" t="s">
        <v>322</v>
      </c>
      <c r="CA127" s="136">
        <v>1</v>
      </c>
      <c r="CB127" s="136">
        <v>0</v>
      </c>
      <c r="CC127" s="136">
        <v>1</v>
      </c>
    </row>
    <row r="128" spans="2:94" x14ac:dyDescent="0.3">
      <c r="B128" s="15" t="s">
        <v>551</v>
      </c>
      <c r="C128" s="17" t="s">
        <v>768</v>
      </c>
      <c r="D128" s="17" t="s">
        <v>765</v>
      </c>
      <c r="E128" s="17" t="s">
        <v>767</v>
      </c>
      <c r="F128" s="17" t="s">
        <v>765</v>
      </c>
      <c r="G128" s="17" t="s">
        <v>940</v>
      </c>
      <c r="J128" s="154" t="s">
        <v>573</v>
      </c>
      <c r="K128" s="151" t="s">
        <v>942</v>
      </c>
      <c r="L128" s="151" t="s">
        <v>747</v>
      </c>
      <c r="M128" s="151" t="s">
        <v>766</v>
      </c>
      <c r="N128" s="151" t="s">
        <v>762</v>
      </c>
      <c r="O128" s="151" t="s">
        <v>322</v>
      </c>
      <c r="X128" s="17" t="s">
        <v>315</v>
      </c>
      <c r="Y128" s="17" t="s">
        <v>316</v>
      </c>
      <c r="Z128" s="17" t="s">
        <v>317</v>
      </c>
      <c r="AA128" s="17" t="s">
        <v>318</v>
      </c>
      <c r="AB128" s="17" t="s">
        <v>319</v>
      </c>
      <c r="AD128" t="s">
        <v>561</v>
      </c>
      <c r="AE128" s="17" t="s">
        <v>322</v>
      </c>
      <c r="AF128" s="17" t="s">
        <v>235</v>
      </c>
      <c r="AG128" s="17" t="s">
        <v>322</v>
      </c>
      <c r="AH128" s="17" t="s">
        <v>265</v>
      </c>
      <c r="AI128" s="17" t="s">
        <v>322</v>
      </c>
      <c r="AM128" s="17" t="s">
        <v>315</v>
      </c>
      <c r="AN128" s="17" t="s">
        <v>316</v>
      </c>
      <c r="AO128" s="17" t="s">
        <v>317</v>
      </c>
      <c r="AP128" s="17" t="s">
        <v>318</v>
      </c>
      <c r="AQ128" s="17" t="s">
        <v>319</v>
      </c>
      <c r="AS128" t="s">
        <v>539</v>
      </c>
      <c r="AT128" s="17" t="s">
        <v>322</v>
      </c>
      <c r="AU128" s="17" t="s">
        <v>235</v>
      </c>
      <c r="AV128" s="17" t="s">
        <v>322</v>
      </c>
      <c r="AW128" s="17" t="s">
        <v>322</v>
      </c>
      <c r="AX128" s="17" t="s">
        <v>322</v>
      </c>
      <c r="BB128" s="17" t="s">
        <v>315</v>
      </c>
      <c r="BC128" s="17" t="s">
        <v>316</v>
      </c>
      <c r="BD128" s="17" t="s">
        <v>317</v>
      </c>
      <c r="BE128" s="17" t="s">
        <v>318</v>
      </c>
      <c r="BF128" s="17" t="s">
        <v>319</v>
      </c>
      <c r="BH128" t="s">
        <v>551</v>
      </c>
      <c r="BI128" s="17" t="s">
        <v>322</v>
      </c>
      <c r="BJ128" s="17" t="s">
        <v>322</v>
      </c>
      <c r="BK128" s="17" t="s">
        <v>322</v>
      </c>
      <c r="BL128" s="17" t="s">
        <v>265</v>
      </c>
      <c r="BM128" s="17" t="s">
        <v>322</v>
      </c>
      <c r="CA128" s="136">
        <v>1</v>
      </c>
      <c r="CB128" s="136">
        <v>0</v>
      </c>
      <c r="CC128" s="136">
        <v>1</v>
      </c>
    </row>
    <row r="129" spans="2:82" x14ac:dyDescent="0.3">
      <c r="B129" s="15" t="s">
        <v>552</v>
      </c>
      <c r="C129" s="17" t="s">
        <v>768</v>
      </c>
      <c r="D129" s="17" t="s">
        <v>765</v>
      </c>
      <c r="E129" s="151" t="s">
        <v>933</v>
      </c>
      <c r="F129" s="17" t="s">
        <v>765</v>
      </c>
      <c r="G129" s="17" t="s">
        <v>735</v>
      </c>
      <c r="J129" s="154" t="s">
        <v>561</v>
      </c>
      <c r="K129" s="151" t="s">
        <v>942</v>
      </c>
      <c r="L129" s="151" t="s">
        <v>747</v>
      </c>
      <c r="M129" s="151" t="s">
        <v>767</v>
      </c>
      <c r="N129" s="151" t="s">
        <v>762</v>
      </c>
      <c r="O129" s="151" t="s">
        <v>322</v>
      </c>
      <c r="W129" s="15" t="s">
        <v>561</v>
      </c>
      <c r="X129" s="17" t="s">
        <v>674</v>
      </c>
      <c r="Y129" s="17" t="s">
        <v>680</v>
      </c>
      <c r="Z129" s="17" t="s">
        <v>677</v>
      </c>
      <c r="AA129" s="17" t="s">
        <v>676</v>
      </c>
      <c r="AB129" s="17" t="s">
        <v>677</v>
      </c>
      <c r="AD129" t="s">
        <v>551</v>
      </c>
      <c r="AE129" s="17" t="s">
        <v>322</v>
      </c>
      <c r="AF129" s="17" t="s">
        <v>322</v>
      </c>
      <c r="AG129" s="17" t="s">
        <v>322</v>
      </c>
      <c r="AH129" s="17" t="s">
        <v>265</v>
      </c>
      <c r="AI129" s="17" t="s">
        <v>322</v>
      </c>
      <c r="AL129" s="15" t="s">
        <v>561</v>
      </c>
      <c r="AM129" s="17" t="s">
        <v>674</v>
      </c>
      <c r="AN129" s="17" t="s">
        <v>680</v>
      </c>
      <c r="AO129" s="17" t="s">
        <v>677</v>
      </c>
      <c r="AP129" s="17" t="s">
        <v>676</v>
      </c>
      <c r="AQ129" s="17" t="s">
        <v>677</v>
      </c>
      <c r="AS129" t="s">
        <v>543</v>
      </c>
      <c r="AT129" s="17" t="s">
        <v>322</v>
      </c>
      <c r="AU129" s="17" t="s">
        <v>235</v>
      </c>
      <c r="AV129" s="17" t="s">
        <v>322</v>
      </c>
      <c r="AW129" s="17" t="s">
        <v>265</v>
      </c>
      <c r="AX129" s="17" t="s">
        <v>322</v>
      </c>
      <c r="BA129" s="15" t="s">
        <v>561</v>
      </c>
      <c r="BB129" s="17" t="s">
        <v>674</v>
      </c>
      <c r="BC129" s="17" t="s">
        <v>680</v>
      </c>
      <c r="BD129" s="17" t="s">
        <v>677</v>
      </c>
      <c r="BE129" s="17" t="s">
        <v>676</v>
      </c>
      <c r="BF129" s="17" t="s">
        <v>677</v>
      </c>
      <c r="BH129" t="s">
        <v>552</v>
      </c>
      <c r="BI129" s="17" t="s">
        <v>322</v>
      </c>
      <c r="BJ129" s="17" t="s">
        <v>322</v>
      </c>
      <c r="BK129" s="17" t="s">
        <v>322</v>
      </c>
      <c r="BL129" s="17" t="s">
        <v>265</v>
      </c>
      <c r="BM129" s="17" t="s">
        <v>322</v>
      </c>
      <c r="CA129" s="136">
        <v>2</v>
      </c>
      <c r="CB129" s="136">
        <v>0</v>
      </c>
      <c r="CC129" s="136">
        <v>2</v>
      </c>
    </row>
    <row r="130" spans="2:82" x14ac:dyDescent="0.3">
      <c r="B130" s="15" t="s">
        <v>554</v>
      </c>
      <c r="C130" s="17" t="s">
        <v>768</v>
      </c>
      <c r="D130" s="17" t="s">
        <v>682</v>
      </c>
      <c r="E130" s="17" t="s">
        <v>933</v>
      </c>
      <c r="F130" s="17" t="s">
        <v>322</v>
      </c>
      <c r="G130" s="17" t="s">
        <v>735</v>
      </c>
      <c r="J130" s="154" t="s">
        <v>551</v>
      </c>
      <c r="K130" s="151" t="s">
        <v>768</v>
      </c>
      <c r="L130" s="151" t="s">
        <v>765</v>
      </c>
      <c r="M130" s="151" t="s">
        <v>767</v>
      </c>
      <c r="N130" s="151" t="s">
        <v>765</v>
      </c>
      <c r="O130" s="151" t="s">
        <v>940</v>
      </c>
      <c r="W130" s="15" t="s">
        <v>551</v>
      </c>
      <c r="X130" s="17" t="s">
        <v>674</v>
      </c>
      <c r="Y130" s="17" t="s">
        <v>680</v>
      </c>
      <c r="Z130" s="17" t="s">
        <v>677</v>
      </c>
      <c r="AA130" s="17" t="s">
        <v>676</v>
      </c>
      <c r="AB130" s="17" t="s">
        <v>677</v>
      </c>
      <c r="AD130" t="s">
        <v>552</v>
      </c>
      <c r="AE130" s="17" t="s">
        <v>322</v>
      </c>
      <c r="AF130" s="17" t="s">
        <v>322</v>
      </c>
      <c r="AG130" s="17" t="s">
        <v>322</v>
      </c>
      <c r="AH130" s="17" t="s">
        <v>265</v>
      </c>
      <c r="AI130" s="17" t="s">
        <v>322</v>
      </c>
      <c r="AL130" s="15" t="s">
        <v>551</v>
      </c>
      <c r="AM130" s="17" t="s">
        <v>674</v>
      </c>
      <c r="AN130" s="17" t="s">
        <v>680</v>
      </c>
      <c r="AO130" s="17" t="s">
        <v>677</v>
      </c>
      <c r="AP130" s="17" t="s">
        <v>676</v>
      </c>
      <c r="AQ130" s="17" t="s">
        <v>677</v>
      </c>
      <c r="AS130" t="s">
        <v>573</v>
      </c>
      <c r="AT130" s="17" t="s">
        <v>322</v>
      </c>
      <c r="AU130" s="17" t="s">
        <v>235</v>
      </c>
      <c r="AV130" s="17" t="s">
        <v>322</v>
      </c>
      <c r="AW130" s="17" t="s">
        <v>265</v>
      </c>
      <c r="AX130" s="17" t="s">
        <v>322</v>
      </c>
      <c r="BA130" s="15" t="s">
        <v>551</v>
      </c>
      <c r="BB130" s="17" t="s">
        <v>674</v>
      </c>
      <c r="BC130" s="17" t="s">
        <v>680</v>
      </c>
      <c r="BD130" s="17" t="s">
        <v>677</v>
      </c>
      <c r="BE130" s="17" t="s">
        <v>676</v>
      </c>
      <c r="BF130" s="17" t="s">
        <v>677</v>
      </c>
    </row>
    <row r="131" spans="2:82" x14ac:dyDescent="0.3">
      <c r="D131" s="17" t="s">
        <v>682</v>
      </c>
      <c r="J131" s="154" t="s">
        <v>552</v>
      </c>
      <c r="K131" s="151" t="s">
        <v>768</v>
      </c>
      <c r="L131" s="151" t="s">
        <v>765</v>
      </c>
      <c r="M131" s="151" t="s">
        <v>932</v>
      </c>
      <c r="N131" s="151" t="s">
        <v>765</v>
      </c>
      <c r="O131" s="151" t="s">
        <v>735</v>
      </c>
      <c r="W131" s="15" t="s">
        <v>552</v>
      </c>
      <c r="X131" s="17" t="s">
        <v>679</v>
      </c>
      <c r="Y131" s="17" t="s">
        <v>680</v>
      </c>
      <c r="Z131" s="17" t="s">
        <v>687</v>
      </c>
      <c r="AA131" s="17" t="s">
        <v>679</v>
      </c>
      <c r="AB131" s="17" t="s">
        <v>681</v>
      </c>
      <c r="AL131" s="15" t="s">
        <v>552</v>
      </c>
      <c r="AM131" s="17" t="s">
        <v>679</v>
      </c>
      <c r="AN131" s="17" t="s">
        <v>680</v>
      </c>
      <c r="AO131" s="17" t="s">
        <v>687</v>
      </c>
      <c r="AP131" s="17" t="s">
        <v>679</v>
      </c>
      <c r="AQ131" s="17" t="s">
        <v>681</v>
      </c>
      <c r="AS131" t="s">
        <v>561</v>
      </c>
      <c r="AT131" s="17" t="s">
        <v>322</v>
      </c>
      <c r="AU131" s="17" t="s">
        <v>235</v>
      </c>
      <c r="AV131" s="17" t="s">
        <v>322</v>
      </c>
      <c r="AW131" s="17" t="s">
        <v>265</v>
      </c>
      <c r="AX131" s="17" t="s">
        <v>322</v>
      </c>
      <c r="BA131" s="15" t="s">
        <v>552</v>
      </c>
      <c r="BB131" s="17" t="s">
        <v>679</v>
      </c>
      <c r="BC131" s="17" t="s">
        <v>680</v>
      </c>
      <c r="BD131" s="17" t="s">
        <v>687</v>
      </c>
      <c r="BE131" s="17" t="s">
        <v>679</v>
      </c>
      <c r="BF131" s="17" t="s">
        <v>681</v>
      </c>
      <c r="BH131" t="s">
        <v>666</v>
      </c>
    </row>
    <row r="132" spans="2:82" x14ac:dyDescent="0.3">
      <c r="B132" s="15" t="s">
        <v>770</v>
      </c>
      <c r="J132" s="154" t="s">
        <v>554</v>
      </c>
      <c r="K132" s="151" t="s">
        <v>768</v>
      </c>
      <c r="L132" s="151" t="s">
        <v>682</v>
      </c>
      <c r="M132" s="151" t="s">
        <v>933</v>
      </c>
      <c r="N132" s="151" t="s">
        <v>322</v>
      </c>
      <c r="O132" s="151" t="s">
        <v>735</v>
      </c>
      <c r="W132" s="15" t="s">
        <v>554</v>
      </c>
      <c r="X132" s="17" t="s">
        <v>679</v>
      </c>
      <c r="Y132" s="17" t="s">
        <v>682</v>
      </c>
      <c r="Z132" s="17" t="s">
        <v>687</v>
      </c>
      <c r="AA132" s="17" t="s">
        <v>679</v>
      </c>
      <c r="AB132" s="17" t="s">
        <v>681</v>
      </c>
      <c r="AD132" t="s">
        <v>666</v>
      </c>
      <c r="AL132" s="15" t="s">
        <v>554</v>
      </c>
      <c r="AM132" s="17" t="s">
        <v>679</v>
      </c>
      <c r="AN132" s="17" t="s">
        <v>682</v>
      </c>
      <c r="AO132" s="17" t="s">
        <v>687</v>
      </c>
      <c r="AP132" s="17" t="s">
        <v>679</v>
      </c>
      <c r="AQ132" s="17" t="s">
        <v>681</v>
      </c>
      <c r="AS132" t="s">
        <v>551</v>
      </c>
      <c r="AT132" s="17" t="s">
        <v>322</v>
      </c>
      <c r="AU132" s="17" t="s">
        <v>322</v>
      </c>
      <c r="AV132" s="17" t="s">
        <v>322</v>
      </c>
      <c r="AW132" s="17" t="s">
        <v>265</v>
      </c>
      <c r="AX132" s="17" t="s">
        <v>322</v>
      </c>
      <c r="BA132" s="15" t="s">
        <v>554</v>
      </c>
      <c r="BB132" s="17" t="s">
        <v>679</v>
      </c>
      <c r="BC132" s="17" t="s">
        <v>682</v>
      </c>
      <c r="BD132" s="17" t="s">
        <v>687</v>
      </c>
      <c r="BE132" s="17" t="s">
        <v>679</v>
      </c>
      <c r="BF132" s="17" t="s">
        <v>681</v>
      </c>
      <c r="BI132" s="17" t="s">
        <v>315</v>
      </c>
      <c r="BJ132" s="17" t="s">
        <v>316</v>
      </c>
      <c r="BK132" s="17" t="s">
        <v>317</v>
      </c>
      <c r="BL132" s="17" t="s">
        <v>318</v>
      </c>
      <c r="BM132" s="17" t="s">
        <v>319</v>
      </c>
    </row>
    <row r="133" spans="2:82" x14ac:dyDescent="0.3">
      <c r="C133" s="17" t="s">
        <v>315</v>
      </c>
      <c r="D133" s="17" t="s">
        <v>316</v>
      </c>
      <c r="E133" s="17" t="s">
        <v>317</v>
      </c>
      <c r="F133" s="17" t="s">
        <v>318</v>
      </c>
      <c r="G133" s="17" t="s">
        <v>319</v>
      </c>
      <c r="J133" s="154" t="s">
        <v>586</v>
      </c>
      <c r="K133" s="151" t="s">
        <v>322</v>
      </c>
      <c r="L133" s="151" t="s">
        <v>682</v>
      </c>
      <c r="M133" s="151" t="s">
        <v>322</v>
      </c>
      <c r="N133" s="151" t="s">
        <v>322</v>
      </c>
      <c r="O133" s="151" t="s">
        <v>322</v>
      </c>
      <c r="W133" s="15" t="s">
        <v>586</v>
      </c>
      <c r="X133" s="17" t="s">
        <v>322</v>
      </c>
      <c r="Y133" s="17" t="s">
        <v>682</v>
      </c>
      <c r="Z133" s="17" t="s">
        <v>687</v>
      </c>
      <c r="AA133" s="17" t="s">
        <v>322</v>
      </c>
      <c r="AB133" s="17" t="s">
        <v>322</v>
      </c>
      <c r="AE133" s="17" t="s">
        <v>315</v>
      </c>
      <c r="AF133" s="17" t="s">
        <v>316</v>
      </c>
      <c r="AG133" s="17" t="s">
        <v>317</v>
      </c>
      <c r="AH133" s="17" t="s">
        <v>318</v>
      </c>
      <c r="AI133" s="17" t="s">
        <v>319</v>
      </c>
      <c r="AL133" s="15" t="s">
        <v>586</v>
      </c>
      <c r="AM133" s="17" t="s">
        <v>322</v>
      </c>
      <c r="AN133" s="17" t="s">
        <v>682</v>
      </c>
      <c r="AO133" s="17" t="s">
        <v>687</v>
      </c>
      <c r="AP133" s="17" t="s">
        <v>322</v>
      </c>
      <c r="AQ133" s="17" t="s">
        <v>322</v>
      </c>
      <c r="BA133" s="15" t="s">
        <v>586</v>
      </c>
      <c r="BB133" s="17" t="s">
        <v>322</v>
      </c>
      <c r="BC133" s="17" t="s">
        <v>682</v>
      </c>
      <c r="BD133" s="17" t="s">
        <v>687</v>
      </c>
      <c r="BE133" s="17" t="s">
        <v>322</v>
      </c>
      <c r="BF133" s="17" t="s">
        <v>322</v>
      </c>
      <c r="BH133" t="s">
        <v>517</v>
      </c>
      <c r="BI133" s="17" t="s">
        <v>322</v>
      </c>
      <c r="BJ133" s="17" t="s">
        <v>156</v>
      </c>
      <c r="BK133" s="17" t="s">
        <v>322</v>
      </c>
      <c r="BL133" s="17" t="s">
        <v>156</v>
      </c>
      <c r="BM133" s="17" t="s">
        <v>322</v>
      </c>
    </row>
    <row r="134" spans="2:82" x14ac:dyDescent="0.3">
      <c r="B134" s="15" t="s">
        <v>539</v>
      </c>
      <c r="C134" s="17" t="s">
        <v>322</v>
      </c>
      <c r="D134" s="17" t="s">
        <v>322</v>
      </c>
      <c r="E134" s="17" t="s">
        <v>761</v>
      </c>
      <c r="F134" s="17" t="s">
        <v>762</v>
      </c>
      <c r="G134" s="17" t="s">
        <v>763</v>
      </c>
      <c r="AD134" t="s">
        <v>517</v>
      </c>
      <c r="AE134" s="17" t="s">
        <v>322</v>
      </c>
      <c r="AF134" s="17" t="s">
        <v>156</v>
      </c>
      <c r="AG134" s="17" t="s">
        <v>322</v>
      </c>
      <c r="AH134" s="17" t="s">
        <v>156</v>
      </c>
      <c r="AI134" s="17" t="s">
        <v>322</v>
      </c>
      <c r="AS134" t="s">
        <v>666</v>
      </c>
      <c r="BH134" t="s">
        <v>326</v>
      </c>
      <c r="BI134" s="17" t="s">
        <v>322</v>
      </c>
      <c r="BJ134" s="17" t="s">
        <v>156</v>
      </c>
      <c r="BK134" s="17" t="s">
        <v>322</v>
      </c>
      <c r="BL134" s="17" t="s">
        <v>156</v>
      </c>
      <c r="BM134" s="17" t="s">
        <v>322</v>
      </c>
    </row>
    <row r="135" spans="2:82" x14ac:dyDescent="0.3">
      <c r="B135" s="15" t="s">
        <v>543</v>
      </c>
      <c r="C135" s="17" t="s">
        <v>322</v>
      </c>
      <c r="D135" s="17" t="s">
        <v>322</v>
      </c>
      <c r="E135" s="17" t="s">
        <v>761</v>
      </c>
      <c r="F135" s="17" t="s">
        <v>762</v>
      </c>
      <c r="G135" s="17" t="s">
        <v>763</v>
      </c>
      <c r="J135" s="154" t="s">
        <v>770</v>
      </c>
      <c r="W135" s="15" t="s">
        <v>642</v>
      </c>
      <c r="AD135" t="s">
        <v>326</v>
      </c>
      <c r="AE135" s="17" t="s">
        <v>322</v>
      </c>
      <c r="AF135" s="17" t="s">
        <v>156</v>
      </c>
      <c r="AG135" s="17" t="s">
        <v>322</v>
      </c>
      <c r="AH135" s="17" t="s">
        <v>156</v>
      </c>
      <c r="AI135" s="17" t="s">
        <v>322</v>
      </c>
      <c r="AL135" s="15" t="s">
        <v>642</v>
      </c>
      <c r="AT135" s="17" t="s">
        <v>315</v>
      </c>
      <c r="AU135" s="17" t="s">
        <v>316</v>
      </c>
      <c r="AV135" s="17" t="s">
        <v>317</v>
      </c>
      <c r="AW135" s="17" t="s">
        <v>318</v>
      </c>
      <c r="AX135" s="17" t="s">
        <v>319</v>
      </c>
      <c r="BA135" s="15" t="s">
        <v>642</v>
      </c>
    </row>
    <row r="136" spans="2:82" x14ac:dyDescent="0.3">
      <c r="B136" s="15" t="s">
        <v>573</v>
      </c>
      <c r="C136" s="151" t="s">
        <v>949</v>
      </c>
      <c r="D136" s="17" t="s">
        <v>747</v>
      </c>
      <c r="E136" s="17" t="s">
        <v>946</v>
      </c>
      <c r="F136" s="17" t="s">
        <v>762</v>
      </c>
      <c r="G136" s="130" t="s">
        <v>322</v>
      </c>
      <c r="K136" s="151" t="s">
        <v>315</v>
      </c>
      <c r="L136" s="151" t="s">
        <v>316</v>
      </c>
      <c r="M136" s="151" t="s">
        <v>317</v>
      </c>
      <c r="N136" s="151" t="s">
        <v>318</v>
      </c>
      <c r="O136" s="151" t="s">
        <v>319</v>
      </c>
      <c r="X136" s="17" t="s">
        <v>315</v>
      </c>
      <c r="Y136" s="17" t="s">
        <v>316</v>
      </c>
      <c r="Z136" s="17" t="s">
        <v>317</v>
      </c>
      <c r="AA136" s="17" t="s">
        <v>318</v>
      </c>
      <c r="AB136" s="17" t="s">
        <v>319</v>
      </c>
      <c r="AM136" s="17" t="s">
        <v>315</v>
      </c>
      <c r="AN136" s="17" t="s">
        <v>316</v>
      </c>
      <c r="AO136" s="17" t="s">
        <v>317</v>
      </c>
      <c r="AP136" s="17" t="s">
        <v>318</v>
      </c>
      <c r="AQ136" s="17" t="s">
        <v>319</v>
      </c>
      <c r="AS136" t="s">
        <v>517</v>
      </c>
      <c r="AT136" s="17" t="s">
        <v>322</v>
      </c>
      <c r="AU136" s="17" t="s">
        <v>156</v>
      </c>
      <c r="AV136" s="17" t="s">
        <v>322</v>
      </c>
      <c r="AW136" s="17" t="s">
        <v>322</v>
      </c>
      <c r="AX136" s="17" t="s">
        <v>322</v>
      </c>
      <c r="BB136" s="17" t="s">
        <v>315</v>
      </c>
      <c r="BC136" s="17" t="s">
        <v>316</v>
      </c>
      <c r="BD136" s="17" t="s">
        <v>317</v>
      </c>
      <c r="BE136" s="17" t="s">
        <v>318</v>
      </c>
      <c r="BF136" s="17" t="s">
        <v>319</v>
      </c>
      <c r="BH136" t="s">
        <v>671</v>
      </c>
      <c r="BZ136" s="136">
        <v>1</v>
      </c>
      <c r="CA136" s="136">
        <v>0</v>
      </c>
      <c r="CB136" s="136">
        <v>1</v>
      </c>
      <c r="CC136" s="136">
        <v>0</v>
      </c>
      <c r="CD136" s="136">
        <v>0</v>
      </c>
    </row>
    <row r="137" spans="2:82" x14ac:dyDescent="0.3">
      <c r="B137" s="15" t="s">
        <v>561</v>
      </c>
      <c r="C137" s="17" t="s">
        <v>941</v>
      </c>
      <c r="D137" s="17" t="s">
        <v>747</v>
      </c>
      <c r="E137" s="17" t="s">
        <v>947</v>
      </c>
      <c r="F137" s="17" t="s">
        <v>762</v>
      </c>
      <c r="G137" s="130" t="s">
        <v>322</v>
      </c>
      <c r="J137" s="154" t="s">
        <v>539</v>
      </c>
      <c r="K137" s="151" t="s">
        <v>322</v>
      </c>
      <c r="L137" s="151" t="s">
        <v>322</v>
      </c>
      <c r="M137" s="151" t="s">
        <v>761</v>
      </c>
      <c r="N137" s="151" t="s">
        <v>762</v>
      </c>
      <c r="O137" s="151" t="s">
        <v>763</v>
      </c>
      <c r="W137" s="15" t="s">
        <v>512</v>
      </c>
      <c r="X137" s="17" t="s">
        <v>643</v>
      </c>
      <c r="Y137" s="17" t="s">
        <v>644</v>
      </c>
      <c r="Z137" s="17" t="s">
        <v>322</v>
      </c>
      <c r="AA137" s="17" t="s">
        <v>644</v>
      </c>
      <c r="AB137" s="17" t="s">
        <v>645</v>
      </c>
      <c r="AD137" t="s">
        <v>671</v>
      </c>
      <c r="AL137" s="15" t="s">
        <v>512</v>
      </c>
      <c r="AM137" s="17" t="s">
        <v>643</v>
      </c>
      <c r="AN137" s="17" t="s">
        <v>644</v>
      </c>
      <c r="AO137" s="17" t="s">
        <v>322</v>
      </c>
      <c r="AP137" s="17" t="s">
        <v>644</v>
      </c>
      <c r="AQ137" s="17" t="s">
        <v>645</v>
      </c>
      <c r="AS137" t="s">
        <v>326</v>
      </c>
      <c r="AT137" s="17" t="s">
        <v>322</v>
      </c>
      <c r="AU137" s="17" t="s">
        <v>156</v>
      </c>
      <c r="AV137" s="17" t="s">
        <v>322</v>
      </c>
      <c r="AW137" s="17" t="s">
        <v>156</v>
      </c>
      <c r="AX137" s="17" t="s">
        <v>322</v>
      </c>
      <c r="BA137" s="15" t="s">
        <v>512</v>
      </c>
      <c r="BB137" s="17" t="s">
        <v>643</v>
      </c>
      <c r="BC137" s="17" t="s">
        <v>644</v>
      </c>
      <c r="BD137" s="17" t="s">
        <v>322</v>
      </c>
      <c r="BE137" s="17" t="s">
        <v>644</v>
      </c>
      <c r="BF137" s="17" t="s">
        <v>645</v>
      </c>
      <c r="BI137" s="17" t="s">
        <v>315</v>
      </c>
      <c r="BJ137" s="17" t="s">
        <v>316</v>
      </c>
      <c r="BK137" s="17" t="s">
        <v>317</v>
      </c>
      <c r="BL137" s="17" t="s">
        <v>318</v>
      </c>
      <c r="BM137" s="17" t="s">
        <v>319</v>
      </c>
      <c r="BZ137" s="136">
        <v>1</v>
      </c>
      <c r="CA137" s="136">
        <v>0</v>
      </c>
      <c r="CB137" s="136">
        <v>1</v>
      </c>
      <c r="CC137" s="136">
        <v>0</v>
      </c>
      <c r="CD137" s="136">
        <v>0</v>
      </c>
    </row>
    <row r="138" spans="2:82" x14ac:dyDescent="0.3">
      <c r="B138" s="15" t="s">
        <v>551</v>
      </c>
      <c r="C138" s="17" t="s">
        <v>768</v>
      </c>
      <c r="D138" s="17" t="s">
        <v>719</v>
      </c>
      <c r="E138" s="17" t="s">
        <v>767</v>
      </c>
      <c r="F138" s="130" t="s">
        <v>719</v>
      </c>
      <c r="G138" s="17" t="s">
        <v>940</v>
      </c>
      <c r="J138" s="154" t="s">
        <v>543</v>
      </c>
      <c r="K138" s="151" t="s">
        <v>322</v>
      </c>
      <c r="L138" s="151" t="s">
        <v>322</v>
      </c>
      <c r="M138" s="151" t="s">
        <v>761</v>
      </c>
      <c r="N138" s="151" t="s">
        <v>762</v>
      </c>
      <c r="O138" s="151" t="s">
        <v>763</v>
      </c>
      <c r="W138" s="15" t="s">
        <v>514</v>
      </c>
      <c r="X138" s="17" t="s">
        <v>643</v>
      </c>
      <c r="Y138" s="17" t="s">
        <v>644</v>
      </c>
      <c r="Z138" s="17" t="s">
        <v>646</v>
      </c>
      <c r="AA138" s="17" t="s">
        <v>644</v>
      </c>
      <c r="AB138" s="17" t="s">
        <v>645</v>
      </c>
      <c r="AE138" s="17" t="s">
        <v>315</v>
      </c>
      <c r="AF138" s="17" t="s">
        <v>316</v>
      </c>
      <c r="AG138" s="17" t="s">
        <v>317</v>
      </c>
      <c r="AH138" s="17" t="s">
        <v>318</v>
      </c>
      <c r="AI138" s="17" t="s">
        <v>319</v>
      </c>
      <c r="AL138" s="15" t="s">
        <v>514</v>
      </c>
      <c r="AM138" s="17" t="s">
        <v>643</v>
      </c>
      <c r="AN138" s="17" t="s">
        <v>644</v>
      </c>
      <c r="AO138" s="17" t="s">
        <v>646</v>
      </c>
      <c r="AP138" s="17" t="s">
        <v>644</v>
      </c>
      <c r="AQ138" s="17" t="s">
        <v>645</v>
      </c>
      <c r="AS138" t="s">
        <v>328</v>
      </c>
      <c r="AT138" s="17" t="s">
        <v>322</v>
      </c>
      <c r="AU138" s="17" t="s">
        <v>322</v>
      </c>
      <c r="AV138" s="17" t="s">
        <v>322</v>
      </c>
      <c r="AW138" s="17" t="s">
        <v>156</v>
      </c>
      <c r="AX138" s="17" t="s">
        <v>322</v>
      </c>
      <c r="BA138" s="15" t="s">
        <v>514</v>
      </c>
      <c r="BB138" s="17" t="s">
        <v>643</v>
      </c>
      <c r="BC138" s="17" t="s">
        <v>644</v>
      </c>
      <c r="BD138" s="17" t="s">
        <v>646</v>
      </c>
      <c r="BE138" s="17" t="s">
        <v>644</v>
      </c>
      <c r="BF138" s="17" t="s">
        <v>645</v>
      </c>
      <c r="BH138" t="s">
        <v>517</v>
      </c>
      <c r="BI138" s="17" t="s">
        <v>322</v>
      </c>
      <c r="BJ138" s="17" t="s">
        <v>137</v>
      </c>
      <c r="BK138" s="17" t="s">
        <v>322</v>
      </c>
      <c r="BL138" s="17" t="s">
        <v>322</v>
      </c>
      <c r="BM138" s="17" t="s">
        <v>322</v>
      </c>
      <c r="BZ138" s="137">
        <v>2</v>
      </c>
      <c r="CA138" s="137">
        <v>2</v>
      </c>
      <c r="CB138" s="137">
        <v>2</v>
      </c>
      <c r="CC138" s="137">
        <v>2</v>
      </c>
      <c r="CD138" s="137">
        <v>0</v>
      </c>
    </row>
    <row r="139" spans="2:82" x14ac:dyDescent="0.3">
      <c r="B139" s="15" t="s">
        <v>552</v>
      </c>
      <c r="C139" s="17" t="s">
        <v>768</v>
      </c>
      <c r="D139" s="17" t="s">
        <v>719</v>
      </c>
      <c r="E139" s="151" t="s">
        <v>933</v>
      </c>
      <c r="F139" s="130" t="s">
        <v>719</v>
      </c>
      <c r="G139" s="17" t="s">
        <v>735</v>
      </c>
      <c r="J139" s="154" t="s">
        <v>573</v>
      </c>
      <c r="K139" s="151" t="s">
        <v>941</v>
      </c>
      <c r="L139" s="151" t="s">
        <v>747</v>
      </c>
      <c r="M139" s="151" t="s">
        <v>946</v>
      </c>
      <c r="N139" s="151" t="s">
        <v>762</v>
      </c>
      <c r="O139" s="151" t="s">
        <v>712</v>
      </c>
      <c r="W139" s="15" t="s">
        <v>517</v>
      </c>
      <c r="X139" s="17" t="s">
        <v>643</v>
      </c>
      <c r="Y139" s="17" t="s">
        <v>660</v>
      </c>
      <c r="Z139" s="17" t="s">
        <v>646</v>
      </c>
      <c r="AA139" s="17" t="s">
        <v>660</v>
      </c>
      <c r="AB139" s="17" t="s">
        <v>648</v>
      </c>
      <c r="AD139" t="s">
        <v>517</v>
      </c>
      <c r="AE139" s="17" t="s">
        <v>322</v>
      </c>
      <c r="AF139" s="17" t="s">
        <v>137</v>
      </c>
      <c r="AG139" s="17" t="s">
        <v>322</v>
      </c>
      <c r="AH139" s="17" t="s">
        <v>322</v>
      </c>
      <c r="AI139" s="17" t="s">
        <v>322</v>
      </c>
      <c r="AL139" s="15" t="s">
        <v>517</v>
      </c>
      <c r="AM139" s="17" t="s">
        <v>643</v>
      </c>
      <c r="AN139" s="17" t="s">
        <v>649</v>
      </c>
      <c r="AO139" s="17" t="s">
        <v>646</v>
      </c>
      <c r="AP139" s="17" t="s">
        <v>647</v>
      </c>
      <c r="AQ139" s="17" t="s">
        <v>648</v>
      </c>
      <c r="BA139" s="15" t="s">
        <v>517</v>
      </c>
      <c r="BB139" s="17" t="s">
        <v>643</v>
      </c>
      <c r="BC139" s="17" t="s">
        <v>660</v>
      </c>
      <c r="BD139" s="17" t="s">
        <v>646</v>
      </c>
      <c r="BE139" s="17" t="s">
        <v>660</v>
      </c>
      <c r="BF139" s="17" t="s">
        <v>648</v>
      </c>
      <c r="BH139" t="s">
        <v>326</v>
      </c>
      <c r="BI139" s="17" t="s">
        <v>322</v>
      </c>
      <c r="BJ139" s="17" t="s">
        <v>137</v>
      </c>
      <c r="BK139" s="17" t="s">
        <v>322</v>
      </c>
      <c r="BL139" s="17" t="s">
        <v>322</v>
      </c>
      <c r="BM139" s="17" t="s">
        <v>322</v>
      </c>
      <c r="BZ139" s="137">
        <v>2</v>
      </c>
      <c r="CA139" s="137">
        <v>2</v>
      </c>
      <c r="CB139" s="137">
        <v>2</v>
      </c>
      <c r="CC139" s="137">
        <v>2</v>
      </c>
      <c r="CD139" s="137">
        <v>0</v>
      </c>
    </row>
    <row r="140" spans="2:82" x14ac:dyDescent="0.3">
      <c r="B140" s="15" t="s">
        <v>554</v>
      </c>
      <c r="C140" s="17" t="s">
        <v>768</v>
      </c>
      <c r="D140" s="17" t="s">
        <v>682</v>
      </c>
      <c r="E140" s="17" t="s">
        <v>933</v>
      </c>
      <c r="F140" s="17" t="s">
        <v>322</v>
      </c>
      <c r="G140" s="17" t="s">
        <v>735</v>
      </c>
      <c r="J140" s="154" t="s">
        <v>561</v>
      </c>
      <c r="K140" s="151" t="s">
        <v>941</v>
      </c>
      <c r="L140" s="151" t="s">
        <v>747</v>
      </c>
      <c r="M140" s="151" t="s">
        <v>947</v>
      </c>
      <c r="N140" s="151" t="s">
        <v>762</v>
      </c>
      <c r="O140" s="151" t="s">
        <v>712</v>
      </c>
      <c r="W140" s="15" t="s">
        <v>326</v>
      </c>
      <c r="X140" s="17" t="s">
        <v>643</v>
      </c>
      <c r="Y140" s="17" t="s">
        <v>660</v>
      </c>
      <c r="Z140" s="17" t="s">
        <v>646</v>
      </c>
      <c r="AA140" s="17" t="s">
        <v>660</v>
      </c>
      <c r="AB140" s="17" t="s">
        <v>648</v>
      </c>
      <c r="AD140" t="s">
        <v>326</v>
      </c>
      <c r="AE140" s="17" t="s">
        <v>322</v>
      </c>
      <c r="AF140" s="17" t="s">
        <v>137</v>
      </c>
      <c r="AG140" s="17" t="s">
        <v>322</v>
      </c>
      <c r="AH140" s="17" t="s">
        <v>322</v>
      </c>
      <c r="AI140" s="17" t="s">
        <v>322</v>
      </c>
      <c r="AL140" s="15" t="s">
        <v>326</v>
      </c>
      <c r="AM140" s="17" t="s">
        <v>643</v>
      </c>
      <c r="AN140" s="17" t="s">
        <v>649</v>
      </c>
      <c r="AO140" s="17" t="s">
        <v>646</v>
      </c>
      <c r="AP140" s="17" t="s">
        <v>647</v>
      </c>
      <c r="AQ140" s="17" t="s">
        <v>648</v>
      </c>
      <c r="AS140" t="s">
        <v>671</v>
      </c>
      <c r="BA140" s="15" t="s">
        <v>326</v>
      </c>
      <c r="BB140" s="17" t="s">
        <v>643</v>
      </c>
      <c r="BC140" s="17" t="s">
        <v>660</v>
      </c>
      <c r="BD140" s="17" t="s">
        <v>646</v>
      </c>
      <c r="BE140" s="17" t="s">
        <v>660</v>
      </c>
      <c r="BF140" s="17" t="s">
        <v>648</v>
      </c>
      <c r="BH140" t="s">
        <v>328</v>
      </c>
      <c r="BI140" s="17" t="s">
        <v>322</v>
      </c>
      <c r="BJ140" s="17" t="s">
        <v>137</v>
      </c>
      <c r="BK140" s="17" t="s">
        <v>322</v>
      </c>
      <c r="BL140" s="17" t="s">
        <v>137</v>
      </c>
      <c r="BM140" s="17" t="s">
        <v>322</v>
      </c>
      <c r="BZ140" s="137">
        <v>0</v>
      </c>
      <c r="CA140" s="137">
        <v>3</v>
      </c>
      <c r="CB140" s="137">
        <v>3</v>
      </c>
      <c r="CC140" s="137">
        <v>3</v>
      </c>
      <c r="CD140" s="137">
        <v>0</v>
      </c>
    </row>
    <row r="141" spans="2:82" x14ac:dyDescent="0.3">
      <c r="D141" s="17" t="s">
        <v>682</v>
      </c>
      <c r="J141" s="154" t="s">
        <v>551</v>
      </c>
      <c r="K141" s="151" t="s">
        <v>768</v>
      </c>
      <c r="L141" s="151" t="s">
        <v>712</v>
      </c>
      <c r="M141" s="151" t="s">
        <v>767</v>
      </c>
      <c r="N141" s="151" t="s">
        <v>322</v>
      </c>
      <c r="O141" s="151" t="s">
        <v>940</v>
      </c>
      <c r="W141" s="15" t="s">
        <v>328</v>
      </c>
      <c r="X141" s="17" t="s">
        <v>643</v>
      </c>
      <c r="Y141" s="17" t="s">
        <v>649</v>
      </c>
      <c r="Z141" s="17" t="s">
        <v>648</v>
      </c>
      <c r="AA141" s="17" t="s">
        <v>649</v>
      </c>
      <c r="AB141" s="17" t="s">
        <v>648</v>
      </c>
      <c r="AD141" t="s">
        <v>328</v>
      </c>
      <c r="AE141" s="17" t="s">
        <v>322</v>
      </c>
      <c r="AF141" s="17" t="s">
        <v>137</v>
      </c>
      <c r="AG141" s="17" t="s">
        <v>322</v>
      </c>
      <c r="AH141" s="17" t="s">
        <v>137</v>
      </c>
      <c r="AI141" s="17" t="s">
        <v>322</v>
      </c>
      <c r="AL141" s="15" t="s">
        <v>328</v>
      </c>
      <c r="AM141" s="17" t="s">
        <v>643</v>
      </c>
      <c r="AN141" s="17" t="s">
        <v>647</v>
      </c>
      <c r="AO141" s="17" t="s">
        <v>648</v>
      </c>
      <c r="AP141" s="17" t="s">
        <v>322</v>
      </c>
      <c r="AQ141" s="17" t="s">
        <v>648</v>
      </c>
      <c r="AT141" s="17" t="s">
        <v>315</v>
      </c>
      <c r="AU141" s="17" t="s">
        <v>316</v>
      </c>
      <c r="AV141" s="17" t="s">
        <v>317</v>
      </c>
      <c r="AW141" s="17" t="s">
        <v>318</v>
      </c>
      <c r="AX141" s="17" t="s">
        <v>319</v>
      </c>
      <c r="BA141" s="15" t="s">
        <v>328</v>
      </c>
      <c r="BB141" s="17" t="s">
        <v>643</v>
      </c>
      <c r="BC141" s="17" t="s">
        <v>649</v>
      </c>
      <c r="BD141" s="17" t="s">
        <v>648</v>
      </c>
      <c r="BE141" s="17" t="s">
        <v>649</v>
      </c>
      <c r="BF141" s="17" t="s">
        <v>648</v>
      </c>
      <c r="BH141" t="s">
        <v>350</v>
      </c>
      <c r="BI141" s="17" t="s">
        <v>322</v>
      </c>
      <c r="BJ141" s="17" t="s">
        <v>322</v>
      </c>
      <c r="BK141" s="17" t="s">
        <v>322</v>
      </c>
      <c r="BL141" s="17" t="s">
        <v>137</v>
      </c>
      <c r="BM141" s="17" t="s">
        <v>322</v>
      </c>
      <c r="BZ141" s="137">
        <v>0</v>
      </c>
      <c r="CA141" s="137">
        <v>3</v>
      </c>
      <c r="CB141" s="137">
        <v>0</v>
      </c>
      <c r="CC141" s="137">
        <v>3</v>
      </c>
      <c r="CD141" s="137">
        <v>0</v>
      </c>
    </row>
    <row r="142" spans="2:82" x14ac:dyDescent="0.3">
      <c r="J142" s="154" t="s">
        <v>552</v>
      </c>
      <c r="K142" s="151" t="s">
        <v>768</v>
      </c>
      <c r="L142" s="151" t="s">
        <v>712</v>
      </c>
      <c r="M142" s="151" t="s">
        <v>932</v>
      </c>
      <c r="N142" s="151" t="s">
        <v>322</v>
      </c>
      <c r="O142" s="151" t="s">
        <v>735</v>
      </c>
      <c r="W142" s="15" t="s">
        <v>350</v>
      </c>
      <c r="X142" s="17" t="s">
        <v>643</v>
      </c>
      <c r="Y142" s="17" t="s">
        <v>649</v>
      </c>
      <c r="Z142" s="17" t="s">
        <v>648</v>
      </c>
      <c r="AA142" s="17" t="s">
        <v>322</v>
      </c>
      <c r="AB142" s="17" t="s">
        <v>322</v>
      </c>
      <c r="AD142" t="s">
        <v>350</v>
      </c>
      <c r="AE142" s="17" t="s">
        <v>322</v>
      </c>
      <c r="AF142" s="17" t="s">
        <v>322</v>
      </c>
      <c r="AG142" s="17" t="s">
        <v>322</v>
      </c>
      <c r="AH142" s="17" t="s">
        <v>137</v>
      </c>
      <c r="AI142" s="17" t="s">
        <v>322</v>
      </c>
      <c r="AL142" s="15" t="s">
        <v>350</v>
      </c>
      <c r="AM142" s="17" t="s">
        <v>643</v>
      </c>
      <c r="AN142" s="17" t="s">
        <v>647</v>
      </c>
      <c r="AO142" s="17" t="s">
        <v>648</v>
      </c>
      <c r="AP142" s="17" t="s">
        <v>322</v>
      </c>
      <c r="AQ142" s="17" t="s">
        <v>649</v>
      </c>
      <c r="AS142" t="s">
        <v>517</v>
      </c>
      <c r="AT142" s="17" t="s">
        <v>322</v>
      </c>
      <c r="AU142" s="17" t="s">
        <v>137</v>
      </c>
      <c r="AV142" s="17" t="s">
        <v>322</v>
      </c>
      <c r="AW142" s="17" t="s">
        <v>322</v>
      </c>
      <c r="AX142" s="17" t="s">
        <v>322</v>
      </c>
      <c r="BA142" s="15" t="s">
        <v>350</v>
      </c>
      <c r="BB142" s="17" t="s">
        <v>643</v>
      </c>
      <c r="BC142" s="17" t="s">
        <v>649</v>
      </c>
      <c r="BD142" s="17" t="s">
        <v>648</v>
      </c>
      <c r="BE142" s="17" t="s">
        <v>322</v>
      </c>
      <c r="BF142" s="17" t="s">
        <v>322</v>
      </c>
      <c r="BH142" t="s">
        <v>561</v>
      </c>
      <c r="BI142" s="17" t="s">
        <v>322</v>
      </c>
      <c r="BJ142" s="17" t="s">
        <v>52</v>
      </c>
      <c r="BK142" s="17" t="s">
        <v>322</v>
      </c>
      <c r="BL142" s="17" t="s">
        <v>52</v>
      </c>
      <c r="BM142" s="17" t="s">
        <v>322</v>
      </c>
      <c r="BZ142" s="137">
        <v>0</v>
      </c>
      <c r="CA142" s="137">
        <v>3</v>
      </c>
      <c r="CB142" s="137">
        <v>0</v>
      </c>
      <c r="CC142" s="137">
        <v>3</v>
      </c>
      <c r="CD142" s="137">
        <v>0</v>
      </c>
    </row>
    <row r="143" spans="2:82" x14ac:dyDescent="0.3">
      <c r="J143" s="154" t="s">
        <v>554</v>
      </c>
      <c r="K143" s="151" t="s">
        <v>768</v>
      </c>
      <c r="L143" s="151" t="s">
        <v>682</v>
      </c>
      <c r="M143" s="151" t="s">
        <v>933</v>
      </c>
      <c r="N143" s="151" t="s">
        <v>322</v>
      </c>
      <c r="O143" s="151" t="s">
        <v>735</v>
      </c>
      <c r="AD143" t="s">
        <v>561</v>
      </c>
      <c r="AE143" s="17" t="s">
        <v>322</v>
      </c>
      <c r="AF143" s="17" t="s">
        <v>52</v>
      </c>
      <c r="AG143" s="17" t="s">
        <v>322</v>
      </c>
      <c r="AH143" s="17" t="s">
        <v>52</v>
      </c>
      <c r="AI143" s="17" t="s">
        <v>322</v>
      </c>
      <c r="AS143" t="s">
        <v>326</v>
      </c>
      <c r="AT143" s="17" t="s">
        <v>322</v>
      </c>
      <c r="AU143" s="17" t="s">
        <v>137</v>
      </c>
      <c r="AV143" s="17" t="s">
        <v>322</v>
      </c>
      <c r="AW143" s="17" t="s">
        <v>322</v>
      </c>
      <c r="AX143" s="17" t="s">
        <v>322</v>
      </c>
      <c r="BH143" t="s">
        <v>551</v>
      </c>
      <c r="BI143" s="17" t="s">
        <v>322</v>
      </c>
      <c r="BJ143" s="17" t="s">
        <v>52</v>
      </c>
      <c r="BK143" s="17" t="s">
        <v>322</v>
      </c>
      <c r="BL143" s="17" t="s">
        <v>52</v>
      </c>
      <c r="BM143" s="17" t="s">
        <v>322</v>
      </c>
    </row>
    <row r="144" spans="2:82" x14ac:dyDescent="0.3">
      <c r="J144" s="154" t="s">
        <v>586</v>
      </c>
      <c r="K144" s="151" t="s">
        <v>322</v>
      </c>
      <c r="L144" s="151" t="s">
        <v>682</v>
      </c>
      <c r="M144" s="151" t="s">
        <v>322</v>
      </c>
      <c r="N144" s="151" t="s">
        <v>322</v>
      </c>
      <c r="O144" s="151" t="s">
        <v>322</v>
      </c>
      <c r="W144" s="15" t="s">
        <v>651</v>
      </c>
      <c r="AD144" t="s">
        <v>551</v>
      </c>
      <c r="AE144" s="17" t="s">
        <v>322</v>
      </c>
      <c r="AF144" s="17" t="s">
        <v>52</v>
      </c>
      <c r="AG144" s="17" t="s">
        <v>322</v>
      </c>
      <c r="AH144" s="17" t="s">
        <v>52</v>
      </c>
      <c r="AI144" s="17" t="s">
        <v>322</v>
      </c>
      <c r="AL144" s="15" t="s">
        <v>651</v>
      </c>
      <c r="AS144" t="s">
        <v>328</v>
      </c>
      <c r="AT144" s="17" t="s">
        <v>322</v>
      </c>
      <c r="AU144" s="17" t="s">
        <v>137</v>
      </c>
      <c r="AV144" s="17" t="s">
        <v>322</v>
      </c>
      <c r="AW144" s="17" t="s">
        <v>137</v>
      </c>
      <c r="AX144" s="17" t="s">
        <v>322</v>
      </c>
      <c r="BA144" s="15" t="s">
        <v>651</v>
      </c>
      <c r="BH144" t="s">
        <v>552</v>
      </c>
      <c r="BI144" s="17" t="s">
        <v>322</v>
      </c>
      <c r="BJ144" s="17" t="s">
        <v>52</v>
      </c>
      <c r="BK144" s="17" t="s">
        <v>322</v>
      </c>
      <c r="BL144" s="17" t="s">
        <v>322</v>
      </c>
      <c r="BM144" s="17" t="s">
        <v>322</v>
      </c>
    </row>
    <row r="145" spans="2:65" x14ac:dyDescent="0.3">
      <c r="X145" s="17" t="s">
        <v>315</v>
      </c>
      <c r="Y145" s="17" t="s">
        <v>316</v>
      </c>
      <c r="Z145" s="17" t="s">
        <v>317</v>
      </c>
      <c r="AA145" s="17" t="s">
        <v>318</v>
      </c>
      <c r="AB145" s="17" t="s">
        <v>319</v>
      </c>
      <c r="AD145" t="s">
        <v>552</v>
      </c>
      <c r="AE145" s="17" t="s">
        <v>322</v>
      </c>
      <c r="AF145" s="17" t="s">
        <v>322</v>
      </c>
      <c r="AG145" s="17" t="s">
        <v>322</v>
      </c>
      <c r="AH145" s="17" t="s">
        <v>52</v>
      </c>
      <c r="AI145" s="17" t="s">
        <v>322</v>
      </c>
      <c r="AM145" s="17" t="s">
        <v>315</v>
      </c>
      <c r="AN145" s="17" t="s">
        <v>316</v>
      </c>
      <c r="AO145" s="17" t="s">
        <v>317</v>
      </c>
      <c r="AP145" s="17" t="s">
        <v>318</v>
      </c>
      <c r="AQ145" s="17" t="s">
        <v>319</v>
      </c>
      <c r="AS145" t="s">
        <v>350</v>
      </c>
      <c r="AT145" s="17" t="s">
        <v>322</v>
      </c>
      <c r="AU145" s="17" t="s">
        <v>322</v>
      </c>
      <c r="AV145" s="17" t="s">
        <v>322</v>
      </c>
      <c r="AW145" s="17" t="s">
        <v>137</v>
      </c>
      <c r="AX145" s="17" t="s">
        <v>322</v>
      </c>
      <c r="BB145" s="17" t="s">
        <v>315</v>
      </c>
      <c r="BC145" s="17" t="s">
        <v>316</v>
      </c>
      <c r="BD145" s="17" t="s">
        <v>317</v>
      </c>
      <c r="BE145" s="17" t="s">
        <v>318</v>
      </c>
      <c r="BF145" s="17" t="s">
        <v>319</v>
      </c>
    </row>
    <row r="146" spans="2:65" x14ac:dyDescent="0.3">
      <c r="W146" s="15" t="s">
        <v>512</v>
      </c>
      <c r="X146" s="17" t="s">
        <v>653</v>
      </c>
      <c r="Y146" s="17" t="s">
        <v>644</v>
      </c>
      <c r="Z146" s="17" t="s">
        <v>652</v>
      </c>
      <c r="AA146" s="17" t="s">
        <v>644</v>
      </c>
      <c r="AB146" s="17" t="s">
        <v>652</v>
      </c>
      <c r="AL146" s="15" t="s">
        <v>512</v>
      </c>
      <c r="AM146" s="17" t="s">
        <v>653</v>
      </c>
      <c r="AN146" s="17" t="s">
        <v>644</v>
      </c>
      <c r="AO146" s="17" t="s">
        <v>652</v>
      </c>
      <c r="AP146" s="17" t="s">
        <v>644</v>
      </c>
      <c r="AQ146" s="17" t="s">
        <v>652</v>
      </c>
      <c r="AS146" t="s">
        <v>561</v>
      </c>
      <c r="AT146" s="17" t="s">
        <v>322</v>
      </c>
      <c r="AU146" s="17" t="s">
        <v>52</v>
      </c>
      <c r="AV146" s="17" t="s">
        <v>322</v>
      </c>
      <c r="AW146" s="17" t="s">
        <v>52</v>
      </c>
      <c r="AX146" s="17" t="s">
        <v>322</v>
      </c>
      <c r="BA146" s="15" t="s">
        <v>512</v>
      </c>
      <c r="BB146" s="17" t="s">
        <v>322</v>
      </c>
      <c r="BC146" s="17" t="s">
        <v>644</v>
      </c>
      <c r="BD146" s="17" t="s">
        <v>652</v>
      </c>
      <c r="BE146" s="17" t="s">
        <v>644</v>
      </c>
      <c r="BF146" s="17" t="s">
        <v>652</v>
      </c>
      <c r="BH146" t="s">
        <v>678</v>
      </c>
    </row>
    <row r="147" spans="2:65" x14ac:dyDescent="0.3">
      <c r="W147" s="15" t="s">
        <v>514</v>
      </c>
      <c r="X147" s="17" t="s">
        <v>653</v>
      </c>
      <c r="Y147" s="17" t="s">
        <v>644</v>
      </c>
      <c r="Z147" s="17" t="s">
        <v>652</v>
      </c>
      <c r="AA147" s="17" t="s">
        <v>644</v>
      </c>
      <c r="AB147" s="17" t="s">
        <v>652</v>
      </c>
      <c r="AD147" t="s">
        <v>678</v>
      </c>
      <c r="AL147" s="15" t="s">
        <v>514</v>
      </c>
      <c r="AM147" s="17" t="s">
        <v>653</v>
      </c>
      <c r="AN147" s="17" t="s">
        <v>644</v>
      </c>
      <c r="AO147" s="17" t="s">
        <v>652</v>
      </c>
      <c r="AP147" s="17" t="s">
        <v>644</v>
      </c>
      <c r="AQ147" s="17" t="s">
        <v>652</v>
      </c>
      <c r="AS147" t="s">
        <v>551</v>
      </c>
      <c r="AT147" s="17" t="s">
        <v>322</v>
      </c>
      <c r="AU147" s="17" t="s">
        <v>52</v>
      </c>
      <c r="AV147" s="17" t="s">
        <v>322</v>
      </c>
      <c r="AW147" s="17" t="s">
        <v>52</v>
      </c>
      <c r="AX147" s="17" t="s">
        <v>322</v>
      </c>
      <c r="BA147" s="15" t="s">
        <v>514</v>
      </c>
      <c r="BB147" s="17" t="s">
        <v>653</v>
      </c>
      <c r="BC147" s="17" t="s">
        <v>644</v>
      </c>
      <c r="BD147" s="17" t="s">
        <v>652</v>
      </c>
      <c r="BE147" s="17" t="s">
        <v>644</v>
      </c>
      <c r="BF147" s="17" t="s">
        <v>652</v>
      </c>
      <c r="BI147" s="17" t="s">
        <v>315</v>
      </c>
      <c r="BJ147" s="17" t="s">
        <v>316</v>
      </c>
      <c r="BK147" s="17" t="s">
        <v>317</v>
      </c>
      <c r="BL147" s="17" t="s">
        <v>318</v>
      </c>
      <c r="BM147" s="17" t="s">
        <v>319</v>
      </c>
    </row>
    <row r="148" spans="2:65" x14ac:dyDescent="0.3">
      <c r="W148" s="15" t="s">
        <v>517</v>
      </c>
      <c r="X148" s="17" t="s">
        <v>654</v>
      </c>
      <c r="Y148" s="17" t="s">
        <v>660</v>
      </c>
      <c r="Z148" s="17" t="s">
        <v>652</v>
      </c>
      <c r="AA148" s="17" t="s">
        <v>660</v>
      </c>
      <c r="AB148" s="17" t="s">
        <v>652</v>
      </c>
      <c r="AE148" s="17" t="s">
        <v>315</v>
      </c>
      <c r="AF148" s="17" t="s">
        <v>316</v>
      </c>
      <c r="AG148" s="17" t="s">
        <v>317</v>
      </c>
      <c r="AH148" s="17" t="s">
        <v>318</v>
      </c>
      <c r="AI148" s="17" t="s">
        <v>319</v>
      </c>
      <c r="AL148" s="15" t="s">
        <v>517</v>
      </c>
      <c r="AM148" s="17" t="s">
        <v>654</v>
      </c>
      <c r="AN148" s="17" t="s">
        <v>649</v>
      </c>
      <c r="AO148" s="17" t="s">
        <v>652</v>
      </c>
      <c r="AP148" s="17" t="s">
        <v>647</v>
      </c>
      <c r="AQ148" s="17" t="s">
        <v>652</v>
      </c>
      <c r="AS148" t="s">
        <v>552</v>
      </c>
      <c r="AT148" s="17" t="s">
        <v>322</v>
      </c>
      <c r="AU148" s="17" t="s">
        <v>52</v>
      </c>
      <c r="AV148" s="17" t="s">
        <v>322</v>
      </c>
      <c r="AW148" s="17" t="s">
        <v>322</v>
      </c>
      <c r="AX148" s="17" t="s">
        <v>322</v>
      </c>
      <c r="BA148" s="15" t="s">
        <v>517</v>
      </c>
      <c r="BB148" s="17" t="s">
        <v>653</v>
      </c>
      <c r="BC148" s="17" t="s">
        <v>660</v>
      </c>
      <c r="BD148" s="17" t="s">
        <v>652</v>
      </c>
      <c r="BE148" s="17" t="s">
        <v>660</v>
      </c>
      <c r="BF148" s="17" t="s">
        <v>652</v>
      </c>
      <c r="BH148" t="s">
        <v>539</v>
      </c>
      <c r="BI148" s="17" t="s">
        <v>322</v>
      </c>
      <c r="BJ148" s="17" t="s">
        <v>226</v>
      </c>
      <c r="BK148" s="17" t="s">
        <v>322</v>
      </c>
      <c r="BL148" s="17" t="s">
        <v>322</v>
      </c>
      <c r="BM148" s="17" t="s">
        <v>322</v>
      </c>
    </row>
    <row r="149" spans="2:65" x14ac:dyDescent="0.3">
      <c r="W149" s="15" t="s">
        <v>326</v>
      </c>
      <c r="X149" s="17" t="s">
        <v>654</v>
      </c>
      <c r="Y149" s="17" t="s">
        <v>660</v>
      </c>
      <c r="Z149" s="17" t="s">
        <v>654</v>
      </c>
      <c r="AA149" s="17" t="s">
        <v>660</v>
      </c>
      <c r="AB149" s="17" t="s">
        <v>653</v>
      </c>
      <c r="AD149" t="s">
        <v>539</v>
      </c>
      <c r="AE149" s="17" t="s">
        <v>322</v>
      </c>
      <c r="AF149" s="17" t="s">
        <v>226</v>
      </c>
      <c r="AG149" s="17" t="s">
        <v>322</v>
      </c>
      <c r="AH149" s="17" t="s">
        <v>322</v>
      </c>
      <c r="AI149" s="17" t="s">
        <v>322</v>
      </c>
      <c r="AL149" s="15" t="s">
        <v>326</v>
      </c>
      <c r="AM149" s="17" t="s">
        <v>654</v>
      </c>
      <c r="AN149" s="17" t="s">
        <v>649</v>
      </c>
      <c r="AO149" s="17" t="s">
        <v>654</v>
      </c>
      <c r="AP149" s="17" t="s">
        <v>647</v>
      </c>
      <c r="AQ149" s="17" t="s">
        <v>653</v>
      </c>
      <c r="BA149" s="15" t="s">
        <v>326</v>
      </c>
      <c r="BB149" s="17" t="s">
        <v>654</v>
      </c>
      <c r="BC149" s="17" t="s">
        <v>660</v>
      </c>
      <c r="BD149" s="17" t="s">
        <v>653</v>
      </c>
      <c r="BE149" s="17" t="s">
        <v>660</v>
      </c>
      <c r="BF149" s="17" t="s">
        <v>654</v>
      </c>
      <c r="BH149" t="s">
        <v>543</v>
      </c>
      <c r="BI149" s="17" t="s">
        <v>322</v>
      </c>
      <c r="BJ149" s="17" t="s">
        <v>226</v>
      </c>
      <c r="BK149" s="17" t="s">
        <v>322</v>
      </c>
      <c r="BL149" s="17" t="s">
        <v>322</v>
      </c>
      <c r="BM149" s="17" t="s">
        <v>322</v>
      </c>
    </row>
    <row r="150" spans="2:65" x14ac:dyDescent="0.3">
      <c r="W150" s="15" t="s">
        <v>328</v>
      </c>
      <c r="X150" s="17" t="s">
        <v>654</v>
      </c>
      <c r="Y150" s="17" t="s">
        <v>649</v>
      </c>
      <c r="Z150" s="17" t="s">
        <v>654</v>
      </c>
      <c r="AA150" s="17" t="s">
        <v>649</v>
      </c>
      <c r="AB150" s="17" t="s">
        <v>653</v>
      </c>
      <c r="AD150" t="s">
        <v>543</v>
      </c>
      <c r="AE150" s="17" t="s">
        <v>322</v>
      </c>
      <c r="AF150" s="17" t="s">
        <v>226</v>
      </c>
      <c r="AG150" s="17" t="s">
        <v>322</v>
      </c>
      <c r="AH150" s="17" t="s">
        <v>322</v>
      </c>
      <c r="AI150" s="17" t="s">
        <v>322</v>
      </c>
      <c r="AL150" s="15" t="s">
        <v>328</v>
      </c>
      <c r="AM150" s="17" t="s">
        <v>654</v>
      </c>
      <c r="AN150" s="17" t="s">
        <v>647</v>
      </c>
      <c r="AO150" s="17" t="s">
        <v>654</v>
      </c>
      <c r="AP150" s="17" t="s">
        <v>322</v>
      </c>
      <c r="AQ150" s="17" t="s">
        <v>653</v>
      </c>
      <c r="AS150" t="s">
        <v>678</v>
      </c>
      <c r="BA150" s="15" t="s">
        <v>328</v>
      </c>
      <c r="BB150" s="17" t="s">
        <v>654</v>
      </c>
      <c r="BC150" s="17" t="s">
        <v>649</v>
      </c>
      <c r="BD150" s="17" t="s">
        <v>653</v>
      </c>
      <c r="BE150" s="17" t="s">
        <v>649</v>
      </c>
      <c r="BF150" s="17" t="s">
        <v>654</v>
      </c>
      <c r="BH150" t="s">
        <v>573</v>
      </c>
      <c r="BI150" s="17" t="s">
        <v>322</v>
      </c>
      <c r="BJ150" s="17" t="s">
        <v>226</v>
      </c>
      <c r="BK150" s="17" t="s">
        <v>322</v>
      </c>
      <c r="BL150" s="17" t="s">
        <v>322</v>
      </c>
      <c r="BM150" s="17" t="s">
        <v>322</v>
      </c>
    </row>
    <row r="151" spans="2:65" x14ac:dyDescent="0.3">
      <c r="B151" s="15" t="s">
        <v>614</v>
      </c>
      <c r="W151" s="15" t="s">
        <v>350</v>
      </c>
      <c r="X151" s="17" t="s">
        <v>322</v>
      </c>
      <c r="Y151" s="17" t="s">
        <v>649</v>
      </c>
      <c r="Z151" s="17" t="s">
        <v>654</v>
      </c>
      <c r="AA151" s="17" t="s">
        <v>322</v>
      </c>
      <c r="AB151" s="17" t="s">
        <v>322</v>
      </c>
      <c r="AD151" t="s">
        <v>573</v>
      </c>
      <c r="AE151" s="17" t="s">
        <v>322</v>
      </c>
      <c r="AF151" s="17" t="s">
        <v>226</v>
      </c>
      <c r="AG151" s="17" t="s">
        <v>322</v>
      </c>
      <c r="AH151" s="17" t="s">
        <v>322</v>
      </c>
      <c r="AI151" s="17" t="s">
        <v>322</v>
      </c>
      <c r="AL151" s="15" t="s">
        <v>350</v>
      </c>
      <c r="AM151" s="17" t="s">
        <v>322</v>
      </c>
      <c r="AN151" s="17" t="s">
        <v>647</v>
      </c>
      <c r="AO151" s="17" t="s">
        <v>654</v>
      </c>
      <c r="AP151" s="17" t="s">
        <v>322</v>
      </c>
      <c r="AQ151" s="17" t="s">
        <v>649</v>
      </c>
      <c r="AT151" s="17" t="s">
        <v>315</v>
      </c>
      <c r="AU151" s="17" t="s">
        <v>316</v>
      </c>
      <c r="AV151" s="17" t="s">
        <v>317</v>
      </c>
      <c r="AW151" s="17" t="s">
        <v>318</v>
      </c>
      <c r="AX151" s="17" t="s">
        <v>319</v>
      </c>
      <c r="BA151" s="15" t="s">
        <v>350</v>
      </c>
      <c r="BB151" s="17" t="s">
        <v>654</v>
      </c>
      <c r="BC151" s="17" t="s">
        <v>649</v>
      </c>
      <c r="BD151" s="17" t="s">
        <v>322</v>
      </c>
      <c r="BE151" s="17" t="s">
        <v>322</v>
      </c>
      <c r="BF151" s="17" t="s">
        <v>654</v>
      </c>
      <c r="BH151" t="s">
        <v>561</v>
      </c>
      <c r="BI151" s="17" t="s">
        <v>322</v>
      </c>
      <c r="BJ151" s="17" t="s">
        <v>226</v>
      </c>
      <c r="BK151" s="17" t="s">
        <v>322</v>
      </c>
      <c r="BL151" s="17" t="s">
        <v>322</v>
      </c>
      <c r="BM151" s="17" t="s">
        <v>322</v>
      </c>
    </row>
    <row r="152" spans="2:65" x14ac:dyDescent="0.3">
      <c r="C152" s="17" t="s">
        <v>315</v>
      </c>
      <c r="D152" s="17" t="s">
        <v>316</v>
      </c>
      <c r="E152" s="17" t="s">
        <v>317</v>
      </c>
      <c r="F152" s="17" t="s">
        <v>318</v>
      </c>
      <c r="G152" s="17" t="s">
        <v>319</v>
      </c>
      <c r="AD152" t="s">
        <v>561</v>
      </c>
      <c r="AE152" s="17" t="s">
        <v>322</v>
      </c>
      <c r="AF152" s="17" t="s">
        <v>226</v>
      </c>
      <c r="AG152" s="17" t="s">
        <v>322</v>
      </c>
      <c r="AH152" s="17" t="s">
        <v>322</v>
      </c>
      <c r="AI152" s="17" t="s">
        <v>322</v>
      </c>
      <c r="AS152" t="s">
        <v>543</v>
      </c>
      <c r="AT152" s="17" t="s">
        <v>322</v>
      </c>
      <c r="AU152" s="17" t="s">
        <v>226</v>
      </c>
      <c r="AV152" s="17" t="s">
        <v>322</v>
      </c>
      <c r="AW152" s="17" t="s">
        <v>322</v>
      </c>
      <c r="AX152" s="17" t="s">
        <v>322</v>
      </c>
    </row>
    <row r="153" spans="2:65" x14ac:dyDescent="0.3">
      <c r="B153" s="15" t="s">
        <v>512</v>
      </c>
      <c r="C153" s="17" t="s">
        <v>616</v>
      </c>
      <c r="D153" s="17" t="s">
        <v>617</v>
      </c>
      <c r="E153" s="17" t="s">
        <v>616</v>
      </c>
      <c r="F153" s="17" t="s">
        <v>617</v>
      </c>
      <c r="G153" s="17" t="s">
        <v>619</v>
      </c>
      <c r="W153" s="15" t="s">
        <v>656</v>
      </c>
      <c r="AL153" s="15" t="s">
        <v>656</v>
      </c>
      <c r="AS153" t="s">
        <v>573</v>
      </c>
      <c r="AT153" s="17" t="s">
        <v>322</v>
      </c>
      <c r="AU153" s="17" t="s">
        <v>226</v>
      </c>
      <c r="AV153" s="17" t="s">
        <v>322</v>
      </c>
      <c r="AW153" s="17" t="s">
        <v>322</v>
      </c>
      <c r="AX153" s="17" t="s">
        <v>322</v>
      </c>
      <c r="BA153" s="15" t="s">
        <v>656</v>
      </c>
      <c r="BH153" t="s">
        <v>684</v>
      </c>
    </row>
    <row r="154" spans="2:65" x14ac:dyDescent="0.3">
      <c r="B154" s="15" t="s">
        <v>514</v>
      </c>
      <c r="C154" s="17" t="s">
        <v>616</v>
      </c>
      <c r="D154" s="17" t="s">
        <v>617</v>
      </c>
      <c r="E154" s="17" t="s">
        <v>616</v>
      </c>
      <c r="F154" s="17" t="s">
        <v>617</v>
      </c>
      <c r="G154" s="17" t="s">
        <v>619</v>
      </c>
      <c r="X154" s="17" t="s">
        <v>315</v>
      </c>
      <c r="Y154" s="17" t="s">
        <v>316</v>
      </c>
      <c r="Z154" s="17" t="s">
        <v>317</v>
      </c>
      <c r="AA154" s="17" t="s">
        <v>318</v>
      </c>
      <c r="AB154" s="17" t="s">
        <v>319</v>
      </c>
      <c r="AD154" t="s">
        <v>684</v>
      </c>
      <c r="AM154" s="17" t="s">
        <v>315</v>
      </c>
      <c r="AN154" s="17" t="s">
        <v>316</v>
      </c>
      <c r="AO154" s="17" t="s">
        <v>317</v>
      </c>
      <c r="AP154" s="17" t="s">
        <v>318</v>
      </c>
      <c r="AQ154" s="17" t="s">
        <v>319</v>
      </c>
      <c r="AS154" t="s">
        <v>561</v>
      </c>
      <c r="AT154" s="17" t="s">
        <v>322</v>
      </c>
      <c r="AU154" s="17" t="s">
        <v>226</v>
      </c>
      <c r="AV154" s="17" t="s">
        <v>322</v>
      </c>
      <c r="AW154" s="17" t="s">
        <v>322</v>
      </c>
      <c r="AX154" s="17" t="s">
        <v>322</v>
      </c>
      <c r="BB154" s="17" t="s">
        <v>315</v>
      </c>
      <c r="BC154" s="17" t="s">
        <v>316</v>
      </c>
      <c r="BD154" s="17" t="s">
        <v>317</v>
      </c>
      <c r="BE154" s="17" t="s">
        <v>318</v>
      </c>
      <c r="BF154" s="17" t="s">
        <v>319</v>
      </c>
      <c r="BI154" s="17" t="s">
        <v>315</v>
      </c>
      <c r="BJ154" s="17" t="s">
        <v>316</v>
      </c>
      <c r="BK154" s="17" t="s">
        <v>317</v>
      </c>
      <c r="BL154" s="17" t="s">
        <v>318</v>
      </c>
      <c r="BM154" s="17" t="s">
        <v>319</v>
      </c>
    </row>
    <row r="155" spans="2:65" x14ac:dyDescent="0.3">
      <c r="B155" s="15" t="s">
        <v>517</v>
      </c>
      <c r="C155" s="17" t="s">
        <v>616</v>
      </c>
      <c r="D155" s="17" t="s">
        <v>626</v>
      </c>
      <c r="E155" s="17" t="s">
        <v>616</v>
      </c>
      <c r="F155" s="17" t="s">
        <v>617</v>
      </c>
      <c r="G155" s="17" t="s">
        <v>626</v>
      </c>
      <c r="W155" s="15" t="s">
        <v>512</v>
      </c>
      <c r="X155" s="17" t="s">
        <v>664</v>
      </c>
      <c r="Y155" s="17" t="s">
        <v>657</v>
      </c>
      <c r="Z155" s="17" t="s">
        <v>659</v>
      </c>
      <c r="AA155" s="17" t="s">
        <v>657</v>
      </c>
      <c r="AB155" s="17" t="s">
        <v>664</v>
      </c>
      <c r="AE155" s="17" t="s">
        <v>315</v>
      </c>
      <c r="AF155" s="17" t="s">
        <v>316</v>
      </c>
      <c r="AG155" s="17" t="s">
        <v>317</v>
      </c>
      <c r="AH155" s="17" t="s">
        <v>318</v>
      </c>
      <c r="AI155" s="17" t="s">
        <v>319</v>
      </c>
      <c r="AL155" s="15" t="s">
        <v>512</v>
      </c>
      <c r="AM155" s="17" t="s">
        <v>664</v>
      </c>
      <c r="AN155" s="17" t="s">
        <v>657</v>
      </c>
      <c r="AO155" s="17" t="s">
        <v>322</v>
      </c>
      <c r="AP155" s="17" t="s">
        <v>657</v>
      </c>
      <c r="AQ155" s="17" t="s">
        <v>664</v>
      </c>
      <c r="AS155" t="s">
        <v>551</v>
      </c>
      <c r="AT155" s="17" t="s">
        <v>322</v>
      </c>
      <c r="AU155" s="17" t="s">
        <v>226</v>
      </c>
      <c r="AV155" s="17" t="s">
        <v>322</v>
      </c>
      <c r="AW155" s="17" t="s">
        <v>322</v>
      </c>
      <c r="AX155" s="17" t="s">
        <v>322</v>
      </c>
      <c r="BA155" s="15" t="s">
        <v>512</v>
      </c>
      <c r="BB155" s="17" t="s">
        <v>649</v>
      </c>
      <c r="BC155" s="17" t="s">
        <v>657</v>
      </c>
      <c r="BD155" s="17" t="s">
        <v>658</v>
      </c>
      <c r="BE155" s="17" t="s">
        <v>657</v>
      </c>
      <c r="BF155" s="17" t="s">
        <v>659</v>
      </c>
      <c r="BH155" t="s">
        <v>517</v>
      </c>
      <c r="BI155" s="17" t="s">
        <v>322</v>
      </c>
      <c r="BJ155" s="17" t="s">
        <v>322</v>
      </c>
      <c r="BK155" s="17" t="s">
        <v>322</v>
      </c>
      <c r="BL155" s="17" t="s">
        <v>322</v>
      </c>
      <c r="BM155" s="17" t="s">
        <v>91</v>
      </c>
    </row>
    <row r="156" spans="2:65" x14ac:dyDescent="0.3">
      <c r="B156" s="15" t="s">
        <v>326</v>
      </c>
      <c r="C156" s="17" t="s">
        <v>619</v>
      </c>
      <c r="D156" s="17" t="s">
        <v>626</v>
      </c>
      <c r="E156" s="162" t="s">
        <v>618</v>
      </c>
      <c r="F156" s="17" t="s">
        <v>609</v>
      </c>
      <c r="G156" s="17" t="s">
        <v>626</v>
      </c>
      <c r="W156" s="15" t="s">
        <v>514</v>
      </c>
      <c r="X156" s="17" t="s">
        <v>664</v>
      </c>
      <c r="Y156" s="17" t="s">
        <v>657</v>
      </c>
      <c r="Z156" s="17" t="s">
        <v>659</v>
      </c>
      <c r="AA156" s="17" t="s">
        <v>657</v>
      </c>
      <c r="AB156" s="17" t="s">
        <v>664</v>
      </c>
      <c r="AD156" t="s">
        <v>517</v>
      </c>
      <c r="AE156" s="17" t="s">
        <v>322</v>
      </c>
      <c r="AF156" s="17" t="s">
        <v>322</v>
      </c>
      <c r="AG156" s="17" t="s">
        <v>322</v>
      </c>
      <c r="AH156" s="17" t="s">
        <v>322</v>
      </c>
      <c r="AI156" s="17" t="s">
        <v>91</v>
      </c>
      <c r="AL156" s="15" t="s">
        <v>514</v>
      </c>
      <c r="AM156" s="17" t="s">
        <v>664</v>
      </c>
      <c r="AN156" s="17" t="s">
        <v>657</v>
      </c>
      <c r="AO156" s="17" t="s">
        <v>659</v>
      </c>
      <c r="AP156" s="17" t="s">
        <v>657</v>
      </c>
      <c r="AQ156" s="17" t="s">
        <v>664</v>
      </c>
      <c r="BA156" s="15" t="s">
        <v>514</v>
      </c>
      <c r="BB156" s="17" t="s">
        <v>658</v>
      </c>
      <c r="BC156" s="17" t="s">
        <v>657</v>
      </c>
      <c r="BD156" s="17" t="s">
        <v>658</v>
      </c>
      <c r="BE156" s="17" t="s">
        <v>657</v>
      </c>
      <c r="BF156" s="17" t="s">
        <v>659</v>
      </c>
      <c r="BH156" t="s">
        <v>326</v>
      </c>
      <c r="BI156" s="17" t="s">
        <v>322</v>
      </c>
      <c r="BJ156" s="17" t="s">
        <v>322</v>
      </c>
      <c r="BK156" s="17" t="s">
        <v>91</v>
      </c>
      <c r="BL156" s="17" t="s">
        <v>322</v>
      </c>
      <c r="BM156" s="17" t="s">
        <v>91</v>
      </c>
    </row>
    <row r="157" spans="2:65" x14ac:dyDescent="0.3">
      <c r="B157" s="15" t="s">
        <v>328</v>
      </c>
      <c r="C157" s="17" t="s">
        <v>619</v>
      </c>
      <c r="D157" s="17" t="s">
        <v>626</v>
      </c>
      <c r="E157" s="162" t="s">
        <v>618</v>
      </c>
      <c r="F157" s="17" t="s">
        <v>609</v>
      </c>
      <c r="G157" s="130" t="s">
        <v>622</v>
      </c>
      <c r="W157" s="15" t="s">
        <v>517</v>
      </c>
      <c r="X157" s="17" t="s">
        <v>654</v>
      </c>
      <c r="Y157" s="17" t="s">
        <v>649</v>
      </c>
      <c r="Z157" s="17" t="s">
        <v>659</v>
      </c>
      <c r="AA157" s="17" t="s">
        <v>657</v>
      </c>
      <c r="AB157" s="17" t="s">
        <v>659</v>
      </c>
      <c r="AD157" t="s">
        <v>326</v>
      </c>
      <c r="AE157" s="17" t="s">
        <v>322</v>
      </c>
      <c r="AF157" s="17" t="s">
        <v>322</v>
      </c>
      <c r="AG157" s="17" t="s">
        <v>91</v>
      </c>
      <c r="AH157" s="17" t="s">
        <v>322</v>
      </c>
      <c r="AI157" s="17" t="s">
        <v>91</v>
      </c>
      <c r="AL157" s="15" t="s">
        <v>517</v>
      </c>
      <c r="AM157" s="17" t="s">
        <v>654</v>
      </c>
      <c r="AN157" s="17" t="s">
        <v>660</v>
      </c>
      <c r="AO157" s="17" t="s">
        <v>659</v>
      </c>
      <c r="AP157" s="17" t="s">
        <v>657</v>
      </c>
      <c r="AQ157" s="17" t="s">
        <v>649</v>
      </c>
      <c r="AS157" t="s">
        <v>684</v>
      </c>
      <c r="BA157" s="15" t="s">
        <v>517</v>
      </c>
      <c r="BB157" s="17" t="s">
        <v>658</v>
      </c>
      <c r="BC157" s="17" t="s">
        <v>647</v>
      </c>
      <c r="BD157" s="17" t="s">
        <v>649</v>
      </c>
      <c r="BE157" s="17" t="s">
        <v>657</v>
      </c>
      <c r="BF157" s="17" t="s">
        <v>659</v>
      </c>
      <c r="BH157" t="s">
        <v>328</v>
      </c>
      <c r="BI157" s="17" t="s">
        <v>322</v>
      </c>
      <c r="BJ157" s="17" t="s">
        <v>322</v>
      </c>
      <c r="BK157" s="17" t="s">
        <v>91</v>
      </c>
      <c r="BL157" s="17" t="s">
        <v>322</v>
      </c>
      <c r="BM157" s="17" t="s">
        <v>322</v>
      </c>
    </row>
    <row r="158" spans="2:65" x14ac:dyDescent="0.3">
      <c r="B158" s="15" t="s">
        <v>350</v>
      </c>
      <c r="C158" s="17" t="s">
        <v>619</v>
      </c>
      <c r="D158" s="17" t="s">
        <v>609</v>
      </c>
      <c r="E158" s="17" t="s">
        <v>322</v>
      </c>
      <c r="F158" s="160" t="s">
        <v>618</v>
      </c>
      <c r="G158" s="130" t="s">
        <v>622</v>
      </c>
      <c r="W158" s="15" t="s">
        <v>326</v>
      </c>
      <c r="X158" s="17" t="s">
        <v>654</v>
      </c>
      <c r="Y158" s="17" t="s">
        <v>649</v>
      </c>
      <c r="Z158" s="17" t="s">
        <v>654</v>
      </c>
      <c r="AA158" s="17" t="s">
        <v>647</v>
      </c>
      <c r="AB158" s="17" t="s">
        <v>659</v>
      </c>
      <c r="AD158" t="s">
        <v>328</v>
      </c>
      <c r="AE158" s="17" t="s">
        <v>322</v>
      </c>
      <c r="AF158" s="17" t="s">
        <v>322</v>
      </c>
      <c r="AG158" s="17" t="s">
        <v>91</v>
      </c>
      <c r="AH158" s="17" t="s">
        <v>322</v>
      </c>
      <c r="AI158" s="17" t="s">
        <v>322</v>
      </c>
      <c r="AL158" s="15" t="s">
        <v>326</v>
      </c>
      <c r="AM158" s="17" t="s">
        <v>654</v>
      </c>
      <c r="AN158" s="17" t="s">
        <v>660</v>
      </c>
      <c r="AO158" s="17" t="s">
        <v>654</v>
      </c>
      <c r="AP158" s="17" t="s">
        <v>660</v>
      </c>
      <c r="AQ158" s="17" t="s">
        <v>659</v>
      </c>
      <c r="AT158" s="17" t="s">
        <v>315</v>
      </c>
      <c r="AU158" s="17" t="s">
        <v>316</v>
      </c>
      <c r="AV158" s="17" t="s">
        <v>317</v>
      </c>
      <c r="AW158" s="17" t="s">
        <v>318</v>
      </c>
      <c r="AX158" s="17" t="s">
        <v>319</v>
      </c>
      <c r="BA158" s="15" t="s">
        <v>326</v>
      </c>
      <c r="BB158" s="17" t="s">
        <v>654</v>
      </c>
      <c r="BC158" s="17" t="s">
        <v>647</v>
      </c>
      <c r="BD158" s="17" t="s">
        <v>649</v>
      </c>
      <c r="BE158" s="17" t="s">
        <v>647</v>
      </c>
      <c r="BF158" s="17" t="s">
        <v>654</v>
      </c>
      <c r="BH158" t="s">
        <v>350</v>
      </c>
      <c r="BI158" s="17" t="s">
        <v>322</v>
      </c>
      <c r="BJ158" s="17" t="s">
        <v>322</v>
      </c>
      <c r="BK158" s="17" t="s">
        <v>91</v>
      </c>
      <c r="BL158" s="17" t="s">
        <v>322</v>
      </c>
      <c r="BM158" s="17" t="s">
        <v>322</v>
      </c>
    </row>
    <row r="159" spans="2:65" x14ac:dyDescent="0.3">
      <c r="B159" s="156" t="s">
        <v>776</v>
      </c>
      <c r="C159" s="17" t="s">
        <v>322</v>
      </c>
      <c r="D159" s="17" t="s">
        <v>609</v>
      </c>
      <c r="E159" s="17" t="s">
        <v>322</v>
      </c>
      <c r="F159" s="160" t="s">
        <v>618</v>
      </c>
      <c r="G159" s="17" t="s">
        <v>322</v>
      </c>
      <c r="W159" s="15" t="s">
        <v>328</v>
      </c>
      <c r="X159" s="17" t="s">
        <v>654</v>
      </c>
      <c r="Y159" s="17" t="s">
        <v>647</v>
      </c>
      <c r="Z159" s="17" t="s">
        <v>654</v>
      </c>
      <c r="AA159" s="17" t="s">
        <v>647</v>
      </c>
      <c r="AB159" s="17" t="s">
        <v>322</v>
      </c>
      <c r="AD159" t="s">
        <v>350</v>
      </c>
      <c r="AE159" s="17" t="s">
        <v>322</v>
      </c>
      <c r="AF159" s="17" t="s">
        <v>322</v>
      </c>
      <c r="AG159" s="17" t="s">
        <v>91</v>
      </c>
      <c r="AH159" s="17" t="s">
        <v>322</v>
      </c>
      <c r="AI159" s="17" t="s">
        <v>322</v>
      </c>
      <c r="AL159" s="15" t="s">
        <v>328</v>
      </c>
      <c r="AM159" s="17" t="s">
        <v>654</v>
      </c>
      <c r="AN159" s="17" t="s">
        <v>649</v>
      </c>
      <c r="AO159" s="17" t="s">
        <v>654</v>
      </c>
      <c r="AP159" s="17" t="s">
        <v>660</v>
      </c>
      <c r="AQ159" s="17" t="s">
        <v>659</v>
      </c>
      <c r="AS159" t="s">
        <v>517</v>
      </c>
      <c r="AT159" s="17" t="s">
        <v>322</v>
      </c>
      <c r="AU159" s="17" t="s">
        <v>322</v>
      </c>
      <c r="AV159" s="17" t="s">
        <v>322</v>
      </c>
      <c r="AW159" s="17" t="s">
        <v>322</v>
      </c>
      <c r="AX159" s="17" t="s">
        <v>91</v>
      </c>
      <c r="BA159" s="15" t="s">
        <v>328</v>
      </c>
      <c r="BB159" s="17" t="s">
        <v>654</v>
      </c>
      <c r="BC159" s="17" t="s">
        <v>322</v>
      </c>
      <c r="BD159" s="17" t="s">
        <v>659</v>
      </c>
      <c r="BE159" s="17" t="s">
        <v>647</v>
      </c>
      <c r="BF159" s="17" t="s">
        <v>654</v>
      </c>
      <c r="BH159" t="s">
        <v>561</v>
      </c>
      <c r="BI159" s="17" t="s">
        <v>322</v>
      </c>
      <c r="BJ159" s="17" t="s">
        <v>322</v>
      </c>
      <c r="BK159" s="17" t="s">
        <v>16</v>
      </c>
      <c r="BL159" s="17" t="s">
        <v>322</v>
      </c>
      <c r="BM159" s="17" t="s">
        <v>16</v>
      </c>
    </row>
    <row r="160" spans="2:65" x14ac:dyDescent="0.3">
      <c r="W160" s="15" t="s">
        <v>350</v>
      </c>
      <c r="X160" s="17" t="s">
        <v>322</v>
      </c>
      <c r="Y160" s="17" t="s">
        <v>647</v>
      </c>
      <c r="Z160" s="17" t="s">
        <v>654</v>
      </c>
      <c r="AA160" s="17" t="s">
        <v>649</v>
      </c>
      <c r="AB160" s="17" t="s">
        <v>322</v>
      </c>
      <c r="AD160" t="s">
        <v>561</v>
      </c>
      <c r="AE160" s="17" t="s">
        <v>322</v>
      </c>
      <c r="AF160" s="17" t="s">
        <v>322</v>
      </c>
      <c r="AG160" s="17" t="s">
        <v>16</v>
      </c>
      <c r="AH160" s="17" t="s">
        <v>322</v>
      </c>
      <c r="AI160" s="17" t="s">
        <v>16</v>
      </c>
      <c r="AL160" s="15" t="s">
        <v>350</v>
      </c>
      <c r="AM160" s="17" t="s">
        <v>322</v>
      </c>
      <c r="AN160" s="17" t="s">
        <v>649</v>
      </c>
      <c r="AO160" s="17" t="s">
        <v>654</v>
      </c>
      <c r="AP160" s="17" t="s">
        <v>322</v>
      </c>
      <c r="AQ160" s="17" t="s">
        <v>659</v>
      </c>
      <c r="AS160" t="s">
        <v>326</v>
      </c>
      <c r="AT160" s="17" t="s">
        <v>322</v>
      </c>
      <c r="AU160" s="17" t="s">
        <v>322</v>
      </c>
      <c r="AV160" s="17" t="s">
        <v>91</v>
      </c>
      <c r="AW160" s="17" t="s">
        <v>322</v>
      </c>
      <c r="AX160" s="17" t="s">
        <v>91</v>
      </c>
      <c r="BA160" s="15" t="s">
        <v>350</v>
      </c>
      <c r="BB160" s="17" t="s">
        <v>654</v>
      </c>
      <c r="BC160" s="17" t="s">
        <v>322</v>
      </c>
      <c r="BD160" s="17" t="s">
        <v>659</v>
      </c>
      <c r="BE160" s="17" t="s">
        <v>322</v>
      </c>
      <c r="BF160" s="17" t="s">
        <v>654</v>
      </c>
      <c r="BH160" t="s">
        <v>551</v>
      </c>
      <c r="BI160" s="17" t="s">
        <v>322</v>
      </c>
      <c r="BJ160" s="17" t="s">
        <v>322</v>
      </c>
      <c r="BK160" s="17" t="s">
        <v>16</v>
      </c>
      <c r="BL160" s="17" t="s">
        <v>322</v>
      </c>
      <c r="BM160" s="17" t="s">
        <v>16</v>
      </c>
    </row>
    <row r="161" spans="2:65" x14ac:dyDescent="0.3">
      <c r="B161" s="15" t="s">
        <v>624</v>
      </c>
      <c r="AD161" t="s">
        <v>551</v>
      </c>
      <c r="AE161" s="17" t="s">
        <v>322</v>
      </c>
      <c r="AF161" s="17" t="s">
        <v>322</v>
      </c>
      <c r="AG161" s="17" t="s">
        <v>16</v>
      </c>
      <c r="AH161" s="17" t="s">
        <v>322</v>
      </c>
      <c r="AI161" s="17" t="s">
        <v>16</v>
      </c>
      <c r="AS161" t="s">
        <v>328</v>
      </c>
      <c r="AT161" s="17" t="s">
        <v>322</v>
      </c>
      <c r="AU161" s="17" t="s">
        <v>322</v>
      </c>
      <c r="AV161" s="17" t="s">
        <v>91</v>
      </c>
      <c r="AW161" s="17" t="s">
        <v>322</v>
      </c>
      <c r="AX161" s="17" t="s">
        <v>322</v>
      </c>
      <c r="BH161" t="s">
        <v>552</v>
      </c>
      <c r="BI161" s="17" t="s">
        <v>322</v>
      </c>
      <c r="BJ161" s="17" t="s">
        <v>322</v>
      </c>
      <c r="BK161" s="17" t="s">
        <v>16</v>
      </c>
      <c r="BL161" s="17" t="s">
        <v>322</v>
      </c>
      <c r="BM161" s="17" t="s">
        <v>16</v>
      </c>
    </row>
    <row r="162" spans="2:65" x14ac:dyDescent="0.3">
      <c r="C162" s="17" t="s">
        <v>315</v>
      </c>
      <c r="D162" s="17" t="s">
        <v>316</v>
      </c>
      <c r="E162" s="17" t="s">
        <v>317</v>
      </c>
      <c r="F162" s="17" t="s">
        <v>318</v>
      </c>
      <c r="G162" s="17" t="s">
        <v>319</v>
      </c>
      <c r="W162" s="15" t="s">
        <v>669</v>
      </c>
      <c r="AD162" t="s">
        <v>552</v>
      </c>
      <c r="AE162" s="17" t="s">
        <v>322</v>
      </c>
      <c r="AF162" s="17" t="s">
        <v>322</v>
      </c>
      <c r="AG162" s="17" t="s">
        <v>16</v>
      </c>
      <c r="AH162" s="17" t="s">
        <v>322</v>
      </c>
      <c r="AI162" s="17" t="s">
        <v>16</v>
      </c>
      <c r="AL162" s="15" t="s">
        <v>669</v>
      </c>
      <c r="AS162" t="s">
        <v>350</v>
      </c>
      <c r="AT162" s="17" t="s">
        <v>322</v>
      </c>
      <c r="AU162" s="17" t="s">
        <v>322</v>
      </c>
      <c r="AV162" s="17" t="s">
        <v>91</v>
      </c>
      <c r="AW162" s="17" t="s">
        <v>322</v>
      </c>
      <c r="AX162" s="17" t="s">
        <v>322</v>
      </c>
      <c r="BA162" s="15" t="s">
        <v>669</v>
      </c>
    </row>
    <row r="163" spans="2:65" x14ac:dyDescent="0.3">
      <c r="B163" s="15" t="s">
        <v>512</v>
      </c>
      <c r="C163" s="17" t="s">
        <v>625</v>
      </c>
      <c r="D163" s="17" t="s">
        <v>928</v>
      </c>
      <c r="E163" s="17" t="s">
        <v>627</v>
      </c>
      <c r="F163" s="17" t="s">
        <v>928</v>
      </c>
      <c r="G163" s="162" t="s">
        <v>618</v>
      </c>
      <c r="X163" s="17" t="s">
        <v>315</v>
      </c>
      <c r="Y163" s="17" t="s">
        <v>316</v>
      </c>
      <c r="Z163" s="17" t="s">
        <v>317</v>
      </c>
      <c r="AA163" s="17" t="s">
        <v>318</v>
      </c>
      <c r="AB163" s="17" t="s">
        <v>319</v>
      </c>
      <c r="AM163" s="17" t="s">
        <v>315</v>
      </c>
      <c r="AN163" s="17" t="s">
        <v>316</v>
      </c>
      <c r="AO163" s="17" t="s">
        <v>317</v>
      </c>
      <c r="AP163" s="17" t="s">
        <v>318</v>
      </c>
      <c r="AQ163" s="17" t="s">
        <v>319</v>
      </c>
      <c r="AS163" t="s">
        <v>561</v>
      </c>
      <c r="AT163" s="17" t="s">
        <v>322</v>
      </c>
      <c r="AU163" s="17" t="s">
        <v>322</v>
      </c>
      <c r="AV163" s="17" t="s">
        <v>16</v>
      </c>
      <c r="AW163" s="17" t="s">
        <v>322</v>
      </c>
      <c r="AX163" s="17" t="s">
        <v>16</v>
      </c>
      <c r="BB163" s="17" t="s">
        <v>315</v>
      </c>
      <c r="BC163" s="17" t="s">
        <v>316</v>
      </c>
      <c r="BD163" s="17" t="s">
        <v>317</v>
      </c>
      <c r="BE163" s="17" t="s">
        <v>318</v>
      </c>
      <c r="BF163" s="17" t="s">
        <v>319</v>
      </c>
      <c r="BH163" t="s">
        <v>704</v>
      </c>
    </row>
    <row r="164" spans="2:65" x14ac:dyDescent="0.3">
      <c r="B164" s="15" t="s">
        <v>514</v>
      </c>
      <c r="C164" s="17" t="s">
        <v>625</v>
      </c>
      <c r="D164" s="17" t="s">
        <v>928</v>
      </c>
      <c r="E164" s="17" t="s">
        <v>627</v>
      </c>
      <c r="F164" s="17" t="s">
        <v>928</v>
      </c>
      <c r="G164" s="162" t="s">
        <v>618</v>
      </c>
      <c r="W164" s="15" t="s">
        <v>512</v>
      </c>
      <c r="X164" s="17" t="s">
        <v>664</v>
      </c>
      <c r="Y164" s="17" t="s">
        <v>670</v>
      </c>
      <c r="Z164" s="17" t="s">
        <v>659</v>
      </c>
      <c r="AA164" s="17" t="s">
        <v>670</v>
      </c>
      <c r="AB164" s="17" t="s">
        <v>664</v>
      </c>
      <c r="AD164" t="s">
        <v>704</v>
      </c>
      <c r="AL164" s="15" t="s">
        <v>512</v>
      </c>
      <c r="AM164" s="17" t="s">
        <v>664</v>
      </c>
      <c r="AN164" s="17" t="s">
        <v>670</v>
      </c>
      <c r="AO164" s="17" t="s">
        <v>322</v>
      </c>
      <c r="AP164" s="17" t="s">
        <v>670</v>
      </c>
      <c r="AQ164" s="17" t="s">
        <v>664</v>
      </c>
      <c r="AS164" t="s">
        <v>551</v>
      </c>
      <c r="AT164" s="17" t="s">
        <v>322</v>
      </c>
      <c r="AU164" s="17" t="s">
        <v>322</v>
      </c>
      <c r="AV164" s="17" t="s">
        <v>16</v>
      </c>
      <c r="AW164" s="17" t="s">
        <v>322</v>
      </c>
      <c r="AX164" s="17" t="s">
        <v>16</v>
      </c>
      <c r="BA164" s="15" t="s">
        <v>512</v>
      </c>
      <c r="BB164" s="17" t="s">
        <v>649</v>
      </c>
      <c r="BC164" s="17" t="s">
        <v>670</v>
      </c>
      <c r="BD164" s="17" t="s">
        <v>658</v>
      </c>
      <c r="BE164" s="17" t="s">
        <v>670</v>
      </c>
      <c r="BF164" s="17" t="s">
        <v>659</v>
      </c>
      <c r="BI164" s="17" t="s">
        <v>315</v>
      </c>
      <c r="BJ164" s="17" t="s">
        <v>316</v>
      </c>
      <c r="BK164" s="17" t="s">
        <v>317</v>
      </c>
      <c r="BL164" s="17" t="s">
        <v>318</v>
      </c>
      <c r="BM164" s="17" t="s">
        <v>319</v>
      </c>
    </row>
    <row r="165" spans="2:65" x14ac:dyDescent="0.3">
      <c r="B165" s="15" t="s">
        <v>517</v>
      </c>
      <c r="C165" s="17" t="s">
        <v>625</v>
      </c>
      <c r="D165" s="17" t="s">
        <v>609</v>
      </c>
      <c r="E165" s="17" t="s">
        <v>625</v>
      </c>
      <c r="F165" s="17" t="s">
        <v>928</v>
      </c>
      <c r="G165" s="17" t="s">
        <v>627</v>
      </c>
      <c r="W165" s="15" t="s">
        <v>514</v>
      </c>
      <c r="X165" s="17" t="s">
        <v>664</v>
      </c>
      <c r="Y165" s="17" t="s">
        <v>670</v>
      </c>
      <c r="Z165" s="17" t="s">
        <v>659</v>
      </c>
      <c r="AA165" s="17" t="s">
        <v>670</v>
      </c>
      <c r="AB165" s="17" t="s">
        <v>664</v>
      </c>
      <c r="AE165" s="17" t="s">
        <v>315</v>
      </c>
      <c r="AF165" s="17" t="s">
        <v>316</v>
      </c>
      <c r="AG165" s="17" t="s">
        <v>317</v>
      </c>
      <c r="AH165" s="17" t="s">
        <v>318</v>
      </c>
      <c r="AI165" s="17" t="s">
        <v>319</v>
      </c>
      <c r="AL165" s="15" t="s">
        <v>514</v>
      </c>
      <c r="AM165" s="17" t="s">
        <v>664</v>
      </c>
      <c r="AN165" s="17" t="s">
        <v>670</v>
      </c>
      <c r="AO165" s="17" t="s">
        <v>659</v>
      </c>
      <c r="AP165" s="17" t="s">
        <v>670</v>
      </c>
      <c r="AQ165" s="17" t="s">
        <v>664</v>
      </c>
      <c r="AS165" t="s">
        <v>552</v>
      </c>
      <c r="AT165" s="17" t="s">
        <v>322</v>
      </c>
      <c r="AU165" s="17" t="s">
        <v>322</v>
      </c>
      <c r="AV165" s="17" t="s">
        <v>16</v>
      </c>
      <c r="AW165" s="17" t="s">
        <v>322</v>
      </c>
      <c r="AX165" s="17" t="s">
        <v>16</v>
      </c>
      <c r="BA165" s="15" t="s">
        <v>514</v>
      </c>
      <c r="BB165" s="17" t="s">
        <v>658</v>
      </c>
      <c r="BC165" s="17" t="s">
        <v>670</v>
      </c>
      <c r="BD165" s="17" t="s">
        <v>658</v>
      </c>
      <c r="BE165" s="17" t="s">
        <v>670</v>
      </c>
      <c r="BF165" s="17" t="s">
        <v>659</v>
      </c>
      <c r="BH165" t="s">
        <v>512</v>
      </c>
      <c r="BI165" s="17" t="s">
        <v>173</v>
      </c>
      <c r="BJ165" s="17" t="s">
        <v>322</v>
      </c>
      <c r="BK165" s="17" t="s">
        <v>322</v>
      </c>
      <c r="BL165" s="17" t="s">
        <v>322</v>
      </c>
      <c r="BM165" s="17" t="s">
        <v>322</v>
      </c>
    </row>
    <row r="166" spans="2:65" x14ac:dyDescent="0.3">
      <c r="B166" s="15" t="s">
        <v>326</v>
      </c>
      <c r="C166" s="17" t="s">
        <v>621</v>
      </c>
      <c r="D166" s="17" t="s">
        <v>609</v>
      </c>
      <c r="E166" s="17" t="s">
        <v>625</v>
      </c>
      <c r="F166" s="17" t="s">
        <v>621</v>
      </c>
      <c r="G166" s="17" t="s">
        <v>627</v>
      </c>
      <c r="W166" s="15" t="s">
        <v>517</v>
      </c>
      <c r="X166" s="17" t="s">
        <v>322</v>
      </c>
      <c r="Y166" s="17" t="s">
        <v>649</v>
      </c>
      <c r="Z166" s="17" t="s">
        <v>659</v>
      </c>
      <c r="AA166" s="17" t="s">
        <v>670</v>
      </c>
      <c r="AB166" s="17" t="s">
        <v>659</v>
      </c>
      <c r="AD166" t="s">
        <v>512</v>
      </c>
      <c r="AE166" s="17" t="s">
        <v>173</v>
      </c>
      <c r="AF166" s="17" t="s">
        <v>322</v>
      </c>
      <c r="AG166" s="17" t="s">
        <v>322</v>
      </c>
      <c r="AH166" s="17" t="s">
        <v>322</v>
      </c>
      <c r="AI166" s="17" t="s">
        <v>322</v>
      </c>
      <c r="AL166" s="15" t="s">
        <v>517</v>
      </c>
      <c r="AM166" s="17" t="s">
        <v>672</v>
      </c>
      <c r="AN166" s="17" t="s">
        <v>660</v>
      </c>
      <c r="AO166" s="17" t="s">
        <v>659</v>
      </c>
      <c r="AP166" s="17" t="s">
        <v>670</v>
      </c>
      <c r="AQ166" s="17" t="s">
        <v>649</v>
      </c>
      <c r="BA166" s="15" t="s">
        <v>517</v>
      </c>
      <c r="BB166" s="17" t="s">
        <v>658</v>
      </c>
      <c r="BC166" s="17" t="s">
        <v>647</v>
      </c>
      <c r="BD166" s="17" t="s">
        <v>649</v>
      </c>
      <c r="BE166" s="17" t="s">
        <v>670</v>
      </c>
      <c r="BF166" s="17" t="s">
        <v>659</v>
      </c>
      <c r="BH166" t="s">
        <v>514</v>
      </c>
      <c r="BI166" s="17" t="s">
        <v>173</v>
      </c>
      <c r="BJ166" s="17" t="s">
        <v>322</v>
      </c>
      <c r="BK166" s="17" t="s">
        <v>322</v>
      </c>
      <c r="BL166" s="17" t="s">
        <v>322</v>
      </c>
      <c r="BM166" s="17" t="s">
        <v>322</v>
      </c>
    </row>
    <row r="167" spans="2:65" x14ac:dyDescent="0.3">
      <c r="B167" s="15" t="s">
        <v>328</v>
      </c>
      <c r="C167" s="17" t="s">
        <v>621</v>
      </c>
      <c r="D167" s="162" t="s">
        <v>618</v>
      </c>
      <c r="E167" s="17" t="s">
        <v>625</v>
      </c>
      <c r="F167" s="17" t="s">
        <v>621</v>
      </c>
      <c r="G167" s="17" t="s">
        <v>627</v>
      </c>
      <c r="W167" s="15" t="s">
        <v>326</v>
      </c>
      <c r="X167" s="17" t="s">
        <v>322</v>
      </c>
      <c r="Y167" s="17" t="s">
        <v>649</v>
      </c>
      <c r="Z167" s="17" t="s">
        <v>672</v>
      </c>
      <c r="AA167" s="17" t="s">
        <v>647</v>
      </c>
      <c r="AB167" s="17" t="s">
        <v>659</v>
      </c>
      <c r="AD167" t="s">
        <v>514</v>
      </c>
      <c r="AE167" s="17" t="s">
        <v>173</v>
      </c>
      <c r="AF167" s="17" t="s">
        <v>322</v>
      </c>
      <c r="AG167" s="17" t="s">
        <v>322</v>
      </c>
      <c r="AH167" s="17" t="s">
        <v>322</v>
      </c>
      <c r="AI167" s="17" t="s">
        <v>322</v>
      </c>
      <c r="AL167" s="15" t="s">
        <v>326</v>
      </c>
      <c r="AM167" s="17" t="s">
        <v>672</v>
      </c>
      <c r="AN167" s="17" t="s">
        <v>660</v>
      </c>
      <c r="AO167" s="17" t="s">
        <v>672</v>
      </c>
      <c r="AP167" s="17" t="s">
        <v>660</v>
      </c>
      <c r="AQ167" s="17" t="s">
        <v>659</v>
      </c>
      <c r="AS167" t="s">
        <v>704</v>
      </c>
      <c r="BA167" s="15" t="s">
        <v>326</v>
      </c>
      <c r="BB167" s="17" t="s">
        <v>322</v>
      </c>
      <c r="BC167" s="17" t="s">
        <v>647</v>
      </c>
      <c r="BD167" s="17" t="s">
        <v>649</v>
      </c>
      <c r="BE167" s="17" t="s">
        <v>647</v>
      </c>
      <c r="BF167" s="17" t="s">
        <v>672</v>
      </c>
      <c r="BH167" t="s">
        <v>517</v>
      </c>
      <c r="BI167" s="17" t="s">
        <v>173</v>
      </c>
      <c r="BJ167" s="17" t="s">
        <v>322</v>
      </c>
      <c r="BK167" s="17" t="s">
        <v>322</v>
      </c>
      <c r="BL167" s="17" t="s">
        <v>322</v>
      </c>
      <c r="BM167" s="17" t="s">
        <v>322</v>
      </c>
    </row>
    <row r="168" spans="2:65" x14ac:dyDescent="0.3">
      <c r="B168" s="15" t="s">
        <v>350</v>
      </c>
      <c r="C168" s="17" t="s">
        <v>621</v>
      </c>
      <c r="D168" s="162" t="s">
        <v>618</v>
      </c>
      <c r="E168" s="130" t="s">
        <v>622</v>
      </c>
      <c r="F168" s="17" t="s">
        <v>609</v>
      </c>
      <c r="G168" s="17" t="s">
        <v>322</v>
      </c>
      <c r="W168" s="15" t="s">
        <v>328</v>
      </c>
      <c r="X168" s="17" t="s">
        <v>322</v>
      </c>
      <c r="Y168" s="17" t="s">
        <v>647</v>
      </c>
      <c r="Z168" s="17" t="s">
        <v>672</v>
      </c>
      <c r="AA168" s="17" t="s">
        <v>647</v>
      </c>
      <c r="AB168" s="17" t="s">
        <v>672</v>
      </c>
      <c r="AD168" t="s">
        <v>517</v>
      </c>
      <c r="AE168" s="17" t="s">
        <v>173</v>
      </c>
      <c r="AF168" s="17" t="s">
        <v>322</v>
      </c>
      <c r="AG168" s="17" t="s">
        <v>322</v>
      </c>
      <c r="AH168" s="17" t="s">
        <v>322</v>
      </c>
      <c r="AI168" s="17" t="s">
        <v>322</v>
      </c>
      <c r="AL168" s="15" t="s">
        <v>328</v>
      </c>
      <c r="AM168" s="17" t="s">
        <v>322</v>
      </c>
      <c r="AN168" s="17" t="s">
        <v>649</v>
      </c>
      <c r="AO168" s="17" t="s">
        <v>672</v>
      </c>
      <c r="AP168" s="17" t="s">
        <v>660</v>
      </c>
      <c r="AQ168" s="17" t="s">
        <v>659</v>
      </c>
      <c r="AT168" s="17" t="s">
        <v>315</v>
      </c>
      <c r="AU168" s="17" t="s">
        <v>316</v>
      </c>
      <c r="AV168" s="17" t="s">
        <v>317</v>
      </c>
      <c r="AW168" s="17" t="s">
        <v>318</v>
      </c>
      <c r="AX168" s="17" t="s">
        <v>319</v>
      </c>
      <c r="BA168" s="15" t="s">
        <v>328</v>
      </c>
      <c r="BB168" s="17" t="s">
        <v>322</v>
      </c>
      <c r="BC168" s="17" t="s">
        <v>672</v>
      </c>
      <c r="BD168" s="17" t="s">
        <v>659</v>
      </c>
      <c r="BE168" s="17" t="s">
        <v>647</v>
      </c>
      <c r="BF168" s="17" t="s">
        <v>672</v>
      </c>
      <c r="BH168" t="s">
        <v>326</v>
      </c>
      <c r="BI168" s="17" t="s">
        <v>173</v>
      </c>
      <c r="BJ168" s="17" t="s">
        <v>322</v>
      </c>
      <c r="BK168" s="17" t="s">
        <v>322</v>
      </c>
      <c r="BL168" s="17" t="s">
        <v>322</v>
      </c>
      <c r="BM168" s="17" t="s">
        <v>322</v>
      </c>
    </row>
    <row r="169" spans="2:65" x14ac:dyDescent="0.3">
      <c r="B169" s="156" t="s">
        <v>776</v>
      </c>
      <c r="C169" s="17" t="s">
        <v>322</v>
      </c>
      <c r="D169" s="17" t="s">
        <v>322</v>
      </c>
      <c r="E169" s="130" t="s">
        <v>622</v>
      </c>
      <c r="F169" s="17" t="s">
        <v>609</v>
      </c>
      <c r="G169" s="17" t="s">
        <v>322</v>
      </c>
      <c r="W169" s="15" t="s">
        <v>350</v>
      </c>
      <c r="X169" s="17" t="s">
        <v>322</v>
      </c>
      <c r="Y169" s="17" t="s">
        <v>647</v>
      </c>
      <c r="Z169" s="17" t="s">
        <v>322</v>
      </c>
      <c r="AA169" s="17" t="s">
        <v>649</v>
      </c>
      <c r="AB169" s="17" t="s">
        <v>672</v>
      </c>
      <c r="AD169" t="s">
        <v>326</v>
      </c>
      <c r="AE169" s="17" t="s">
        <v>173</v>
      </c>
      <c r="AF169" s="17" t="s">
        <v>322</v>
      </c>
      <c r="AG169" s="17" t="s">
        <v>322</v>
      </c>
      <c r="AH169" s="17" t="s">
        <v>322</v>
      </c>
      <c r="AI169" s="17" t="s">
        <v>322</v>
      </c>
      <c r="AL169" s="15" t="s">
        <v>350</v>
      </c>
      <c r="AM169" s="17" t="s">
        <v>322</v>
      </c>
      <c r="AN169" s="17" t="s">
        <v>649</v>
      </c>
      <c r="AO169" s="17" t="s">
        <v>322</v>
      </c>
      <c r="AP169" s="17" t="s">
        <v>322</v>
      </c>
      <c r="AQ169" s="17" t="s">
        <v>659</v>
      </c>
      <c r="AS169" t="s">
        <v>512</v>
      </c>
      <c r="AT169" s="17" t="s">
        <v>173</v>
      </c>
      <c r="AU169" s="17" t="s">
        <v>322</v>
      </c>
      <c r="AV169" s="17" t="s">
        <v>322</v>
      </c>
      <c r="AW169" s="17" t="s">
        <v>322</v>
      </c>
      <c r="AX169" s="17" t="s">
        <v>322</v>
      </c>
      <c r="BA169" s="15" t="s">
        <v>350</v>
      </c>
      <c r="BB169" s="17" t="s">
        <v>322</v>
      </c>
      <c r="BC169" s="17" t="s">
        <v>672</v>
      </c>
      <c r="BD169" s="17" t="s">
        <v>659</v>
      </c>
      <c r="BE169" s="17" t="s">
        <v>322</v>
      </c>
      <c r="BF169" s="17" t="s">
        <v>322</v>
      </c>
      <c r="BH169" t="s">
        <v>328</v>
      </c>
      <c r="BI169" s="17" t="s">
        <v>173</v>
      </c>
      <c r="BJ169" s="17" t="s">
        <v>322</v>
      </c>
      <c r="BK169" s="17" t="s">
        <v>322</v>
      </c>
      <c r="BL169" s="17" t="s">
        <v>322</v>
      </c>
      <c r="BM169" s="17" t="s">
        <v>322</v>
      </c>
    </row>
    <row r="170" spans="2:65" x14ac:dyDescent="0.3">
      <c r="AD170" t="s">
        <v>328</v>
      </c>
      <c r="AE170" s="17" t="s">
        <v>173</v>
      </c>
      <c r="AF170" s="17" t="s">
        <v>322</v>
      </c>
      <c r="AG170" s="17" t="s">
        <v>322</v>
      </c>
      <c r="AH170" s="17" t="s">
        <v>322</v>
      </c>
      <c r="AI170" s="17" t="s">
        <v>322</v>
      </c>
      <c r="AS170" t="s">
        <v>514</v>
      </c>
      <c r="AT170" s="17" t="s">
        <v>173</v>
      </c>
      <c r="AU170" s="17" t="s">
        <v>322</v>
      </c>
      <c r="AV170" s="17" t="s">
        <v>322</v>
      </c>
      <c r="AW170" s="17" t="s">
        <v>322</v>
      </c>
      <c r="AX170" s="17" t="s">
        <v>322</v>
      </c>
      <c r="BH170" t="s">
        <v>350</v>
      </c>
      <c r="BI170" s="17" t="s">
        <v>173</v>
      </c>
      <c r="BJ170" s="17" t="s">
        <v>322</v>
      </c>
      <c r="BK170" s="17" t="s">
        <v>322</v>
      </c>
      <c r="BL170" s="17" t="s">
        <v>322</v>
      </c>
      <c r="BM170" s="17" t="s">
        <v>322</v>
      </c>
    </row>
    <row r="171" spans="2:65" x14ac:dyDescent="0.3">
      <c r="W171" s="15" t="s">
        <v>662</v>
      </c>
      <c r="AD171" t="s">
        <v>350</v>
      </c>
      <c r="AE171" s="17" t="s">
        <v>173</v>
      </c>
      <c r="AF171" s="17" t="s">
        <v>322</v>
      </c>
      <c r="AG171" s="17" t="s">
        <v>322</v>
      </c>
      <c r="AH171" s="17" t="s">
        <v>322</v>
      </c>
      <c r="AI171" s="17" t="s">
        <v>322</v>
      </c>
      <c r="AL171" s="15" t="s">
        <v>662</v>
      </c>
      <c r="AS171" t="s">
        <v>517</v>
      </c>
      <c r="AT171" s="17" t="s">
        <v>173</v>
      </c>
      <c r="AU171" s="17" t="s">
        <v>322</v>
      </c>
      <c r="AV171" s="17" t="s">
        <v>322</v>
      </c>
      <c r="AW171" s="17" t="s">
        <v>322</v>
      </c>
      <c r="AX171" s="17" t="s">
        <v>322</v>
      </c>
      <c r="BA171" s="15" t="s">
        <v>662</v>
      </c>
    </row>
    <row r="172" spans="2:65" x14ac:dyDescent="0.3">
      <c r="X172" s="17" t="s">
        <v>315</v>
      </c>
      <c r="Y172" s="17" t="s">
        <v>316</v>
      </c>
      <c r="Z172" s="17" t="s">
        <v>317</v>
      </c>
      <c r="AA172" s="17" t="s">
        <v>318</v>
      </c>
      <c r="AB172" s="17" t="s">
        <v>319</v>
      </c>
      <c r="AM172" s="17" t="s">
        <v>315</v>
      </c>
      <c r="AN172" s="17" t="s">
        <v>316</v>
      </c>
      <c r="AO172" s="17" t="s">
        <v>317</v>
      </c>
      <c r="AP172" s="17" t="s">
        <v>318</v>
      </c>
      <c r="AQ172" s="17" t="s">
        <v>319</v>
      </c>
      <c r="AS172" t="s">
        <v>326</v>
      </c>
      <c r="AT172" s="17" t="s">
        <v>173</v>
      </c>
      <c r="AU172" s="17" t="s">
        <v>322</v>
      </c>
      <c r="AV172" s="17" t="s">
        <v>322</v>
      </c>
      <c r="AW172" s="17" t="s">
        <v>322</v>
      </c>
      <c r="AX172" s="17" t="s">
        <v>322</v>
      </c>
      <c r="BB172" s="17" t="s">
        <v>315</v>
      </c>
      <c r="BC172" s="17" t="s">
        <v>316</v>
      </c>
      <c r="BD172" s="17" t="s">
        <v>317</v>
      </c>
      <c r="BE172" s="17" t="s">
        <v>318</v>
      </c>
      <c r="BF172" s="17" t="s">
        <v>319</v>
      </c>
      <c r="BH172" t="s">
        <v>711</v>
      </c>
    </row>
    <row r="173" spans="2:65" x14ac:dyDescent="0.3">
      <c r="W173" s="15" t="s">
        <v>512</v>
      </c>
      <c r="X173" s="17" t="s">
        <v>663</v>
      </c>
      <c r="Y173" s="17" t="s">
        <v>668</v>
      </c>
      <c r="Z173" s="17" t="s">
        <v>658</v>
      </c>
      <c r="AA173" s="17" t="s">
        <v>663</v>
      </c>
      <c r="AB173" s="17" t="s">
        <v>322</v>
      </c>
      <c r="AD173" t="s">
        <v>711</v>
      </c>
      <c r="AL173" s="15" t="s">
        <v>512</v>
      </c>
      <c r="AM173" s="17" t="s">
        <v>663</v>
      </c>
      <c r="AN173" s="17" t="s">
        <v>665</v>
      </c>
      <c r="AO173" s="17" t="s">
        <v>658</v>
      </c>
      <c r="AP173" s="17" t="s">
        <v>663</v>
      </c>
      <c r="AQ173" s="17" t="s">
        <v>322</v>
      </c>
      <c r="AS173" t="s">
        <v>328</v>
      </c>
      <c r="AT173" s="17" t="s">
        <v>173</v>
      </c>
      <c r="AU173" s="17" t="s">
        <v>322</v>
      </c>
      <c r="AV173" s="17" t="s">
        <v>322</v>
      </c>
      <c r="AW173" s="17" t="s">
        <v>322</v>
      </c>
      <c r="AX173" s="17" t="s">
        <v>322</v>
      </c>
      <c r="BA173" s="15" t="s">
        <v>512</v>
      </c>
      <c r="BB173" s="17" t="s">
        <v>663</v>
      </c>
      <c r="BC173" s="17" t="s">
        <v>322</v>
      </c>
      <c r="BD173" s="17" t="s">
        <v>668</v>
      </c>
      <c r="BE173" s="17" t="s">
        <v>663</v>
      </c>
      <c r="BF173" s="17" t="s">
        <v>664</v>
      </c>
      <c r="BI173" s="17" t="s">
        <v>315</v>
      </c>
      <c r="BJ173" s="17" t="s">
        <v>316</v>
      </c>
      <c r="BK173" s="17" t="s">
        <v>317</v>
      </c>
      <c r="BL173" s="17" t="s">
        <v>318</v>
      </c>
      <c r="BM173" s="17" t="s">
        <v>319</v>
      </c>
    </row>
    <row r="174" spans="2:65" x14ac:dyDescent="0.3">
      <c r="W174" s="15" t="s">
        <v>514</v>
      </c>
      <c r="X174" s="17" t="s">
        <v>663</v>
      </c>
      <c r="Y174" s="17" t="s">
        <v>668</v>
      </c>
      <c r="Z174" s="17" t="s">
        <v>658</v>
      </c>
      <c r="AA174" s="17" t="s">
        <v>663</v>
      </c>
      <c r="AB174" s="17" t="s">
        <v>658</v>
      </c>
      <c r="AE174" s="17" t="s">
        <v>315</v>
      </c>
      <c r="AF174" s="17" t="s">
        <v>316</v>
      </c>
      <c r="AG174" s="17" t="s">
        <v>317</v>
      </c>
      <c r="AH174" s="17" t="s">
        <v>318</v>
      </c>
      <c r="AI174" s="17" t="s">
        <v>319</v>
      </c>
      <c r="AL174" s="15" t="s">
        <v>514</v>
      </c>
      <c r="AM174" s="17" t="s">
        <v>663</v>
      </c>
      <c r="AN174" s="17" t="s">
        <v>665</v>
      </c>
      <c r="AO174" s="17" t="s">
        <v>658</v>
      </c>
      <c r="AP174" s="17" t="s">
        <v>663</v>
      </c>
      <c r="AQ174" s="17" t="s">
        <v>658</v>
      </c>
      <c r="AS174" t="s">
        <v>350</v>
      </c>
      <c r="AT174" s="17" t="s">
        <v>173</v>
      </c>
      <c r="AU174" s="17" t="s">
        <v>322</v>
      </c>
      <c r="AV174" s="17" t="s">
        <v>322</v>
      </c>
      <c r="AW174" s="17" t="s">
        <v>322</v>
      </c>
      <c r="AX174" s="17" t="s">
        <v>322</v>
      </c>
      <c r="BA174" s="15" t="s">
        <v>514</v>
      </c>
      <c r="BB174" s="17" t="s">
        <v>663</v>
      </c>
      <c r="BC174" s="17" t="s">
        <v>649</v>
      </c>
      <c r="BD174" s="17" t="s">
        <v>668</v>
      </c>
      <c r="BE174" s="17" t="s">
        <v>663</v>
      </c>
      <c r="BF174" s="17" t="s">
        <v>664</v>
      </c>
      <c r="BH174" t="s">
        <v>573</v>
      </c>
      <c r="BI174" s="17" t="s">
        <v>206</v>
      </c>
      <c r="BJ174" s="17" t="s">
        <v>322</v>
      </c>
      <c r="BK174" s="17" t="s">
        <v>322</v>
      </c>
      <c r="BL174" s="17" t="s">
        <v>206</v>
      </c>
      <c r="BM174" s="17" t="s">
        <v>322</v>
      </c>
    </row>
    <row r="175" spans="2:65" x14ac:dyDescent="0.3">
      <c r="B175" s="15" t="s">
        <v>685</v>
      </c>
      <c r="J175" s="15" t="s">
        <v>685</v>
      </c>
      <c r="K175" s="17"/>
      <c r="L175" s="17"/>
      <c r="M175" s="17"/>
      <c r="N175" s="17"/>
      <c r="O175" s="17"/>
      <c r="W175" s="15" t="s">
        <v>517</v>
      </c>
      <c r="X175" s="17" t="s">
        <v>649</v>
      </c>
      <c r="Y175" s="17" t="s">
        <v>665</v>
      </c>
      <c r="Z175" s="17" t="s">
        <v>649</v>
      </c>
      <c r="AA175" s="17" t="s">
        <v>665</v>
      </c>
      <c r="AB175" s="17" t="s">
        <v>658</v>
      </c>
      <c r="AD175" t="s">
        <v>573</v>
      </c>
      <c r="AE175" s="17" t="s">
        <v>206</v>
      </c>
      <c r="AF175" s="17" t="s">
        <v>322</v>
      </c>
      <c r="AG175" s="17" t="s">
        <v>322</v>
      </c>
      <c r="AH175" s="17" t="s">
        <v>206</v>
      </c>
      <c r="AI175" s="17" t="s">
        <v>322</v>
      </c>
      <c r="AL175" s="15" t="s">
        <v>517</v>
      </c>
      <c r="AM175" s="17" t="s">
        <v>649</v>
      </c>
      <c r="AN175" s="17" t="s">
        <v>665</v>
      </c>
      <c r="AO175" s="17" t="s">
        <v>649</v>
      </c>
      <c r="AP175" s="17" t="s">
        <v>667</v>
      </c>
      <c r="AQ175" s="17" t="s">
        <v>658</v>
      </c>
      <c r="BA175" s="15" t="s">
        <v>517</v>
      </c>
      <c r="BB175" s="17" t="s">
        <v>664</v>
      </c>
      <c r="BC175" s="17" t="s">
        <v>649</v>
      </c>
      <c r="BD175" s="17" t="s">
        <v>665</v>
      </c>
      <c r="BE175" s="17" t="s">
        <v>667</v>
      </c>
      <c r="BF175" s="17" t="s">
        <v>665</v>
      </c>
      <c r="BH175" t="s">
        <v>561</v>
      </c>
      <c r="BI175" s="17" t="s">
        <v>206</v>
      </c>
      <c r="BJ175" s="17" t="s">
        <v>322</v>
      </c>
      <c r="BK175" s="17" t="s">
        <v>322</v>
      </c>
      <c r="BL175" s="17" t="s">
        <v>206</v>
      </c>
      <c r="BM175" s="17" t="s">
        <v>322</v>
      </c>
    </row>
    <row r="176" spans="2:65" x14ac:dyDescent="0.3">
      <c r="C176" s="17" t="s">
        <v>315</v>
      </c>
      <c r="D176" s="17" t="s">
        <v>316</v>
      </c>
      <c r="E176" s="17" t="s">
        <v>317</v>
      </c>
      <c r="F176" s="17" t="s">
        <v>318</v>
      </c>
      <c r="G176" s="17" t="s">
        <v>319</v>
      </c>
      <c r="J176" s="15"/>
      <c r="K176" s="17" t="s">
        <v>315</v>
      </c>
      <c r="L176" s="17" t="s">
        <v>316</v>
      </c>
      <c r="M176" s="17" t="s">
        <v>317</v>
      </c>
      <c r="N176" s="17" t="s">
        <v>318</v>
      </c>
      <c r="O176" s="17" t="s">
        <v>319</v>
      </c>
      <c r="W176" s="15" t="s">
        <v>326</v>
      </c>
      <c r="X176" s="17" t="s">
        <v>667</v>
      </c>
      <c r="Y176" s="17" t="s">
        <v>665</v>
      </c>
      <c r="Z176" s="17" t="s">
        <v>649</v>
      </c>
      <c r="AA176" s="17" t="s">
        <v>665</v>
      </c>
      <c r="AB176" s="17" t="s">
        <v>667</v>
      </c>
      <c r="AD176" t="s">
        <v>561</v>
      </c>
      <c r="AE176" s="17" t="s">
        <v>206</v>
      </c>
      <c r="AF176" s="17" t="s">
        <v>322</v>
      </c>
      <c r="AG176" s="17" t="s">
        <v>322</v>
      </c>
      <c r="AH176" s="17" t="s">
        <v>206</v>
      </c>
      <c r="AI176" s="17" t="s">
        <v>322</v>
      </c>
      <c r="AL176" s="15" t="s">
        <v>326</v>
      </c>
      <c r="AM176" s="17" t="s">
        <v>649</v>
      </c>
      <c r="AN176" s="17" t="s">
        <v>667</v>
      </c>
      <c r="AO176" s="17" t="s">
        <v>668</v>
      </c>
      <c r="AP176" s="17" t="s">
        <v>667</v>
      </c>
      <c r="AQ176" s="17" t="s">
        <v>665</v>
      </c>
      <c r="AS176" t="s">
        <v>711</v>
      </c>
      <c r="BA176" s="15" t="s">
        <v>326</v>
      </c>
      <c r="BB176" s="17" t="s">
        <v>664</v>
      </c>
      <c r="BC176" s="17" t="s">
        <v>667</v>
      </c>
      <c r="BD176" s="17" t="s">
        <v>665</v>
      </c>
      <c r="BE176" s="17" t="s">
        <v>667</v>
      </c>
      <c r="BF176" s="17" t="s">
        <v>665</v>
      </c>
    </row>
    <row r="177" spans="2:66" x14ac:dyDescent="0.3">
      <c r="B177" s="15" t="s">
        <v>539</v>
      </c>
      <c r="C177" s="17" t="s">
        <v>322</v>
      </c>
      <c r="D177" s="160" t="s">
        <v>686</v>
      </c>
      <c r="E177" s="17" t="s">
        <v>687</v>
      </c>
      <c r="F177" s="162" t="s">
        <v>686</v>
      </c>
      <c r="G177" s="17" t="s">
        <v>322</v>
      </c>
      <c r="J177" s="15" t="s">
        <v>539</v>
      </c>
      <c r="K177" s="17" t="s">
        <v>686</v>
      </c>
      <c r="L177" s="17" t="s">
        <v>322</v>
      </c>
      <c r="M177" s="17" t="s">
        <v>687</v>
      </c>
      <c r="N177" s="17" t="s">
        <v>686</v>
      </c>
      <c r="O177" s="17" t="s">
        <v>322</v>
      </c>
      <c r="W177" s="15" t="s">
        <v>328</v>
      </c>
      <c r="X177" s="17" t="s">
        <v>667</v>
      </c>
      <c r="Y177" s="17" t="s">
        <v>665</v>
      </c>
      <c r="Z177" s="17" t="s">
        <v>322</v>
      </c>
      <c r="AA177" s="17" t="s">
        <v>668</v>
      </c>
      <c r="AB177" s="17" t="s">
        <v>667</v>
      </c>
      <c r="AL177" s="15" t="s">
        <v>328</v>
      </c>
      <c r="AM177" s="17" t="s">
        <v>668</v>
      </c>
      <c r="AN177" s="17" t="s">
        <v>667</v>
      </c>
      <c r="AO177" s="17" t="s">
        <v>668</v>
      </c>
      <c r="AP177" s="17" t="s">
        <v>667</v>
      </c>
      <c r="AQ177" s="17" t="s">
        <v>665</v>
      </c>
      <c r="AT177" s="17" t="s">
        <v>315</v>
      </c>
      <c r="AU177" s="17" t="s">
        <v>316</v>
      </c>
      <c r="AV177" s="17" t="s">
        <v>317</v>
      </c>
      <c r="AW177" s="17" t="s">
        <v>318</v>
      </c>
      <c r="AX177" s="17" t="s">
        <v>319</v>
      </c>
      <c r="BA177" s="15" t="s">
        <v>328</v>
      </c>
      <c r="BB177" s="17" t="s">
        <v>668</v>
      </c>
      <c r="BC177" s="17" t="s">
        <v>667</v>
      </c>
      <c r="BD177" s="17" t="s">
        <v>322</v>
      </c>
      <c r="BE177" s="17" t="s">
        <v>667</v>
      </c>
      <c r="BF177" s="17" t="s">
        <v>665</v>
      </c>
      <c r="BH177" t="s">
        <v>715</v>
      </c>
    </row>
    <row r="178" spans="2:66" x14ac:dyDescent="0.3">
      <c r="B178" s="15" t="s">
        <v>543</v>
      </c>
      <c r="C178" s="17" t="s">
        <v>322</v>
      </c>
      <c r="D178" s="162" t="s">
        <v>951</v>
      </c>
      <c r="E178" s="17" t="s">
        <v>687</v>
      </c>
      <c r="F178" s="162" t="s">
        <v>686</v>
      </c>
      <c r="G178" s="17" t="s">
        <v>688</v>
      </c>
      <c r="J178" s="15" t="s">
        <v>543</v>
      </c>
      <c r="K178" s="17" t="s">
        <v>686</v>
      </c>
      <c r="L178" s="17" t="s">
        <v>688</v>
      </c>
      <c r="M178" s="17" t="s">
        <v>687</v>
      </c>
      <c r="N178" s="17" t="s">
        <v>686</v>
      </c>
      <c r="O178" s="17" t="s">
        <v>322</v>
      </c>
      <c r="W178" s="15" t="s">
        <v>350</v>
      </c>
      <c r="X178" s="17" t="s">
        <v>322</v>
      </c>
      <c r="Y178" s="17" t="s">
        <v>322</v>
      </c>
      <c r="Z178" s="17" t="s">
        <v>322</v>
      </c>
      <c r="AA178" s="17" t="s">
        <v>668</v>
      </c>
      <c r="AB178" s="17" t="s">
        <v>667</v>
      </c>
      <c r="AD178" t="s">
        <v>715</v>
      </c>
      <c r="AL178" s="15" t="s">
        <v>350</v>
      </c>
      <c r="AM178" s="17" t="s">
        <v>668</v>
      </c>
      <c r="AN178" s="17" t="s">
        <v>322</v>
      </c>
      <c r="AO178" s="17" t="s">
        <v>322</v>
      </c>
      <c r="AP178" s="17" t="s">
        <v>322</v>
      </c>
      <c r="AQ178" s="17" t="s">
        <v>322</v>
      </c>
      <c r="AS178" t="s">
        <v>573</v>
      </c>
      <c r="AT178" s="17" t="s">
        <v>206</v>
      </c>
      <c r="AU178" s="17" t="s">
        <v>322</v>
      </c>
      <c r="AV178" s="17" t="s">
        <v>322</v>
      </c>
      <c r="AW178" s="17" t="s">
        <v>206</v>
      </c>
      <c r="AX178" s="17" t="s">
        <v>322</v>
      </c>
      <c r="BA178" s="15" t="s">
        <v>350</v>
      </c>
      <c r="BB178" s="17" t="s">
        <v>668</v>
      </c>
      <c r="BC178" s="17" t="s">
        <v>322</v>
      </c>
      <c r="BD178" s="17" t="s">
        <v>322</v>
      </c>
      <c r="BE178" s="17" t="s">
        <v>322</v>
      </c>
      <c r="BF178" s="17" t="s">
        <v>649</v>
      </c>
      <c r="BI178" s="17" t="s">
        <v>315</v>
      </c>
      <c r="BJ178" s="17" t="s">
        <v>316</v>
      </c>
      <c r="BK178" s="17" t="s">
        <v>317</v>
      </c>
      <c r="BL178" s="17" t="s">
        <v>318</v>
      </c>
      <c r="BM178" s="17" t="s">
        <v>319</v>
      </c>
    </row>
    <row r="179" spans="2:66" x14ac:dyDescent="0.3">
      <c r="B179" s="15" t="s">
        <v>573</v>
      </c>
      <c r="C179" s="17" t="s">
        <v>689</v>
      </c>
      <c r="D179" s="17" t="s">
        <v>688</v>
      </c>
      <c r="E179" s="17" t="s">
        <v>689</v>
      </c>
      <c r="F179" s="17" t="s">
        <v>690</v>
      </c>
      <c r="G179" s="17" t="s">
        <v>691</v>
      </c>
      <c r="J179" s="15" t="s">
        <v>573</v>
      </c>
      <c r="K179" s="17" t="s">
        <v>689</v>
      </c>
      <c r="L179" s="17" t="s">
        <v>688</v>
      </c>
      <c r="M179" s="17" t="s">
        <v>689</v>
      </c>
      <c r="N179" s="17" t="s">
        <v>690</v>
      </c>
      <c r="O179" s="17" t="s">
        <v>691</v>
      </c>
      <c r="AE179" s="17" t="s">
        <v>315</v>
      </c>
      <c r="AF179" s="17" t="s">
        <v>316</v>
      </c>
      <c r="AG179" s="17" t="s">
        <v>317</v>
      </c>
      <c r="AH179" s="17" t="s">
        <v>318</v>
      </c>
      <c r="AI179" s="17" t="s">
        <v>319</v>
      </c>
      <c r="AS179" t="s">
        <v>561</v>
      </c>
      <c r="AT179" s="17" t="s">
        <v>206</v>
      </c>
      <c r="AU179" s="17" t="s">
        <v>322</v>
      </c>
      <c r="AV179" s="17" t="s">
        <v>322</v>
      </c>
      <c r="AW179" s="17" t="s">
        <v>206</v>
      </c>
      <c r="AX179" s="17" t="s">
        <v>322</v>
      </c>
      <c r="BH179" t="s">
        <v>512</v>
      </c>
      <c r="BI179" s="17" t="s">
        <v>322</v>
      </c>
      <c r="BJ179" s="17" t="s">
        <v>322</v>
      </c>
      <c r="BK179" s="17" t="s">
        <v>322</v>
      </c>
      <c r="BL179" s="17" t="s">
        <v>138</v>
      </c>
      <c r="BM179" s="17" t="s">
        <v>322</v>
      </c>
    </row>
    <row r="180" spans="2:66" x14ac:dyDescent="0.3">
      <c r="B180" s="15" t="s">
        <v>561</v>
      </c>
      <c r="C180" s="17" t="s">
        <v>689</v>
      </c>
      <c r="D180" s="17" t="s">
        <v>692</v>
      </c>
      <c r="E180" s="17" t="s">
        <v>689</v>
      </c>
      <c r="F180" s="17" t="s">
        <v>690</v>
      </c>
      <c r="G180" s="17" t="s">
        <v>693</v>
      </c>
      <c r="J180" s="15" t="s">
        <v>561</v>
      </c>
      <c r="K180" s="17" t="s">
        <v>689</v>
      </c>
      <c r="L180" s="17" t="s">
        <v>692</v>
      </c>
      <c r="M180" s="17" t="s">
        <v>689</v>
      </c>
      <c r="N180" s="17" t="s">
        <v>690</v>
      </c>
      <c r="O180" s="17" t="s">
        <v>691</v>
      </c>
      <c r="W180" s="31" t="s">
        <v>505</v>
      </c>
      <c r="AD180" t="s">
        <v>512</v>
      </c>
      <c r="AE180" s="17" t="s">
        <v>322</v>
      </c>
      <c r="AF180" s="17" t="s">
        <v>322</v>
      </c>
      <c r="AG180" s="17" t="s">
        <v>322</v>
      </c>
      <c r="AH180" s="17" t="s">
        <v>138</v>
      </c>
      <c r="AI180" s="17" t="s">
        <v>322</v>
      </c>
      <c r="AL180" s="31" t="s">
        <v>505</v>
      </c>
      <c r="BA180" s="31" t="s">
        <v>505</v>
      </c>
      <c r="BH180" t="s">
        <v>514</v>
      </c>
      <c r="BI180" s="17" t="s">
        <v>322</v>
      </c>
      <c r="BJ180" s="17" t="s">
        <v>322</v>
      </c>
      <c r="BK180" s="17" t="s">
        <v>322</v>
      </c>
      <c r="BL180" s="17" t="s">
        <v>138</v>
      </c>
      <c r="BM180" s="17" t="s">
        <v>322</v>
      </c>
      <c r="BN180" s="31"/>
    </row>
    <row r="181" spans="2:66" x14ac:dyDescent="0.3">
      <c r="B181" s="15" t="s">
        <v>551</v>
      </c>
      <c r="C181" s="17" t="s">
        <v>693</v>
      </c>
      <c r="D181" s="17" t="s">
        <v>692</v>
      </c>
      <c r="E181" s="17" t="s">
        <v>694</v>
      </c>
      <c r="F181" s="17" t="s">
        <v>690</v>
      </c>
      <c r="G181" s="17" t="s">
        <v>694</v>
      </c>
      <c r="J181" s="15" t="s">
        <v>551</v>
      </c>
      <c r="K181" s="17" t="s">
        <v>693</v>
      </c>
      <c r="L181" s="17" t="s">
        <v>692</v>
      </c>
      <c r="M181" s="17" t="s">
        <v>694</v>
      </c>
      <c r="N181" s="17" t="s">
        <v>690</v>
      </c>
      <c r="O181" s="17" t="s">
        <v>694</v>
      </c>
      <c r="W181" s="73" t="s">
        <v>683</v>
      </c>
      <c r="AD181" t="s">
        <v>514</v>
      </c>
      <c r="AE181" s="17" t="s">
        <v>322</v>
      </c>
      <c r="AF181" s="17" t="s">
        <v>322</v>
      </c>
      <c r="AG181" s="17" t="s">
        <v>322</v>
      </c>
      <c r="AH181" s="17" t="s">
        <v>138</v>
      </c>
      <c r="AI181" s="17" t="s">
        <v>322</v>
      </c>
      <c r="AL181" s="73" t="s">
        <v>683</v>
      </c>
      <c r="AS181" t="s">
        <v>715</v>
      </c>
      <c r="BA181" s="73" t="s">
        <v>683</v>
      </c>
      <c r="BH181" t="s">
        <v>517</v>
      </c>
      <c r="BI181" s="17" t="s">
        <v>322</v>
      </c>
      <c r="BJ181" s="17" t="s">
        <v>322</v>
      </c>
      <c r="BK181" s="17" t="s">
        <v>322</v>
      </c>
      <c r="BL181" s="17" t="s">
        <v>138</v>
      </c>
      <c r="BM181" s="17" t="s">
        <v>322</v>
      </c>
      <c r="BN181" s="73"/>
    </row>
    <row r="182" spans="2:66" x14ac:dyDescent="0.3">
      <c r="B182" s="15" t="s">
        <v>552</v>
      </c>
      <c r="C182" s="17" t="s">
        <v>695</v>
      </c>
      <c r="D182" s="17" t="s">
        <v>692</v>
      </c>
      <c r="E182" s="17" t="s">
        <v>694</v>
      </c>
      <c r="F182" s="17" t="s">
        <v>696</v>
      </c>
      <c r="G182" s="17" t="s">
        <v>694</v>
      </c>
      <c r="J182" s="15" t="s">
        <v>552</v>
      </c>
      <c r="K182" s="17" t="s">
        <v>695</v>
      </c>
      <c r="L182" s="17" t="s">
        <v>692</v>
      </c>
      <c r="M182" s="17" t="s">
        <v>694</v>
      </c>
      <c r="N182" s="17" t="s">
        <v>696</v>
      </c>
      <c r="O182" s="17" t="s">
        <v>694</v>
      </c>
      <c r="AD182" t="s">
        <v>517</v>
      </c>
      <c r="AE182" s="17" t="s">
        <v>322</v>
      </c>
      <c r="AF182" s="17" t="s">
        <v>322</v>
      </c>
      <c r="AG182" s="17" t="s">
        <v>322</v>
      </c>
      <c r="AH182" s="17" t="s">
        <v>138</v>
      </c>
      <c r="AI182" s="17" t="s">
        <v>322</v>
      </c>
      <c r="AT182" s="17" t="s">
        <v>315</v>
      </c>
      <c r="AU182" s="17" t="s">
        <v>316</v>
      </c>
      <c r="AV182" s="17" t="s">
        <v>317</v>
      </c>
      <c r="AW182" s="17" t="s">
        <v>318</v>
      </c>
      <c r="AX182" s="17" t="s">
        <v>319</v>
      </c>
    </row>
    <row r="183" spans="2:66" x14ac:dyDescent="0.3">
      <c r="B183" s="15" t="s">
        <v>554</v>
      </c>
      <c r="C183" s="17" t="s">
        <v>696</v>
      </c>
      <c r="D183" s="17" t="s">
        <v>697</v>
      </c>
      <c r="E183" s="17" t="s">
        <v>698</v>
      </c>
      <c r="F183" s="17" t="s">
        <v>696</v>
      </c>
      <c r="G183" s="17" t="s">
        <v>322</v>
      </c>
      <c r="J183" s="15" t="s">
        <v>554</v>
      </c>
      <c r="K183" s="17" t="s">
        <v>696</v>
      </c>
      <c r="L183" s="17" t="s">
        <v>697</v>
      </c>
      <c r="M183" s="17" t="s">
        <v>698</v>
      </c>
      <c r="N183" s="17" t="s">
        <v>696</v>
      </c>
      <c r="O183" s="17" t="s">
        <v>322</v>
      </c>
      <c r="W183" s="15" t="s">
        <v>724</v>
      </c>
      <c r="AL183" s="15" t="s">
        <v>724</v>
      </c>
      <c r="AS183" t="s">
        <v>512</v>
      </c>
      <c r="AT183" s="17" t="s">
        <v>322</v>
      </c>
      <c r="AU183" s="17" t="s">
        <v>322</v>
      </c>
      <c r="AV183" s="17" t="s">
        <v>322</v>
      </c>
      <c r="AW183" s="17" t="s">
        <v>138</v>
      </c>
      <c r="AX183" s="17" t="s">
        <v>322</v>
      </c>
      <c r="BA183" s="15" t="s">
        <v>724</v>
      </c>
      <c r="BH183" t="s">
        <v>723</v>
      </c>
    </row>
    <row r="184" spans="2:66" x14ac:dyDescent="0.3">
      <c r="E184" s="17" t="s">
        <v>698</v>
      </c>
      <c r="J184" s="156" t="s">
        <v>586</v>
      </c>
      <c r="K184" s="17" t="s">
        <v>322</v>
      </c>
      <c r="L184" s="17" t="s">
        <v>322</v>
      </c>
      <c r="M184" s="17" t="s">
        <v>698</v>
      </c>
      <c r="N184" s="17" t="s">
        <v>322</v>
      </c>
      <c r="O184" s="17" t="s">
        <v>322</v>
      </c>
      <c r="X184" s="17" t="s">
        <v>315</v>
      </c>
      <c r="Y184" s="17" t="s">
        <v>316</v>
      </c>
      <c r="Z184" s="17" t="s">
        <v>317</v>
      </c>
      <c r="AA184" s="17" t="s">
        <v>318</v>
      </c>
      <c r="AB184" s="17" t="s">
        <v>319</v>
      </c>
      <c r="AD184" t="s">
        <v>723</v>
      </c>
      <c r="AM184" s="17" t="s">
        <v>315</v>
      </c>
      <c r="AN184" s="17" t="s">
        <v>316</v>
      </c>
      <c r="AO184" s="17" t="s">
        <v>317</v>
      </c>
      <c r="AP184" s="17" t="s">
        <v>318</v>
      </c>
      <c r="AQ184" s="17" t="s">
        <v>319</v>
      </c>
      <c r="AS184" t="s">
        <v>514</v>
      </c>
      <c r="AT184" s="17" t="s">
        <v>322</v>
      </c>
      <c r="AU184" s="17" t="s">
        <v>322</v>
      </c>
      <c r="AV184" s="17" t="s">
        <v>322</v>
      </c>
      <c r="AW184" s="17" t="s">
        <v>138</v>
      </c>
      <c r="AX184" s="17" t="s">
        <v>322</v>
      </c>
      <c r="BB184" s="17" t="s">
        <v>315</v>
      </c>
      <c r="BC184" s="17" t="s">
        <v>316</v>
      </c>
      <c r="BD184" s="17" t="s">
        <v>317</v>
      </c>
      <c r="BE184" s="17" t="s">
        <v>318</v>
      </c>
      <c r="BF184" s="17" t="s">
        <v>319</v>
      </c>
      <c r="BI184" s="17" t="s">
        <v>315</v>
      </c>
      <c r="BJ184" s="17" t="s">
        <v>316</v>
      </c>
      <c r="BK184" s="17" t="s">
        <v>317</v>
      </c>
      <c r="BL184" s="17" t="s">
        <v>318</v>
      </c>
      <c r="BM184" s="17" t="s">
        <v>319</v>
      </c>
    </row>
    <row r="185" spans="2:66" x14ac:dyDescent="0.3">
      <c r="W185" s="15" t="s">
        <v>561</v>
      </c>
      <c r="X185" s="17" t="s">
        <v>728</v>
      </c>
      <c r="Y185" s="17" t="s">
        <v>322</v>
      </c>
      <c r="Z185" s="17" t="s">
        <v>725</v>
      </c>
      <c r="AA185" s="17" t="s">
        <v>728</v>
      </c>
      <c r="AB185" s="17" t="s">
        <v>725</v>
      </c>
      <c r="AE185" s="17" t="s">
        <v>315</v>
      </c>
      <c r="AF185" s="17" t="s">
        <v>316</v>
      </c>
      <c r="AG185" s="17" t="s">
        <v>317</v>
      </c>
      <c r="AH185" s="17" t="s">
        <v>318</v>
      </c>
      <c r="AI185" s="17" t="s">
        <v>319</v>
      </c>
      <c r="AL185" s="15" t="s">
        <v>561</v>
      </c>
      <c r="AM185" s="17" t="s">
        <v>728</v>
      </c>
      <c r="AN185" s="17" t="s">
        <v>733</v>
      </c>
      <c r="AO185" s="17" t="s">
        <v>725</v>
      </c>
      <c r="AP185" s="17" t="s">
        <v>728</v>
      </c>
      <c r="AQ185" s="17" t="s">
        <v>725</v>
      </c>
      <c r="AS185" t="s">
        <v>517</v>
      </c>
      <c r="AT185" s="17" t="s">
        <v>322</v>
      </c>
      <c r="AU185" s="17" t="s">
        <v>322</v>
      </c>
      <c r="AV185" s="17" t="s">
        <v>322</v>
      </c>
      <c r="AW185" s="17" t="s">
        <v>138</v>
      </c>
      <c r="AX185" s="17" t="s">
        <v>322</v>
      </c>
      <c r="BA185" s="15" t="s">
        <v>561</v>
      </c>
      <c r="BB185" s="17" t="s">
        <v>728</v>
      </c>
      <c r="BC185" s="17" t="s">
        <v>322</v>
      </c>
      <c r="BD185" s="17" t="s">
        <v>725</v>
      </c>
      <c r="BE185" s="17" t="s">
        <v>728</v>
      </c>
      <c r="BF185" s="17" t="s">
        <v>725</v>
      </c>
      <c r="BH185" t="s">
        <v>512</v>
      </c>
      <c r="BI185" s="17" t="s">
        <v>50</v>
      </c>
      <c r="BJ185" s="17" t="s">
        <v>322</v>
      </c>
      <c r="BK185" s="17" t="s">
        <v>322</v>
      </c>
      <c r="BL185" s="17" t="s">
        <v>50</v>
      </c>
      <c r="BM185" s="17" t="s">
        <v>322</v>
      </c>
    </row>
    <row r="186" spans="2:66" x14ac:dyDescent="0.3">
      <c r="B186" s="15" t="s">
        <v>738</v>
      </c>
      <c r="J186" s="15" t="s">
        <v>738</v>
      </c>
      <c r="K186" s="17"/>
      <c r="L186" s="17"/>
      <c r="M186" s="17"/>
      <c r="N186" s="17"/>
      <c r="O186" s="17"/>
      <c r="W186" s="15" t="s">
        <v>551</v>
      </c>
      <c r="X186" s="17" t="s">
        <v>728</v>
      </c>
      <c r="Y186" s="17" t="s">
        <v>730</v>
      </c>
      <c r="Z186" s="17" t="s">
        <v>725</v>
      </c>
      <c r="AA186" s="17" t="s">
        <v>728</v>
      </c>
      <c r="AB186" s="17" t="s">
        <v>725</v>
      </c>
      <c r="AD186" t="s">
        <v>512</v>
      </c>
      <c r="AE186" s="17" t="s">
        <v>50</v>
      </c>
      <c r="AF186" s="17" t="s">
        <v>322</v>
      </c>
      <c r="AG186" s="17" t="s">
        <v>322</v>
      </c>
      <c r="AH186" s="17" t="s">
        <v>50</v>
      </c>
      <c r="AI186" s="17" t="s">
        <v>322</v>
      </c>
      <c r="AL186" s="15" t="s">
        <v>551</v>
      </c>
      <c r="AM186" s="17" t="s">
        <v>728</v>
      </c>
      <c r="AN186" s="17" t="s">
        <v>730</v>
      </c>
      <c r="AO186" s="17" t="s">
        <v>725</v>
      </c>
      <c r="AP186" s="17" t="s">
        <v>728</v>
      </c>
      <c r="AQ186" s="17" t="s">
        <v>725</v>
      </c>
      <c r="BA186" s="15" t="s">
        <v>551</v>
      </c>
      <c r="BB186" s="17" t="s">
        <v>728</v>
      </c>
      <c r="BC186" s="17" t="s">
        <v>730</v>
      </c>
      <c r="BD186" s="17" t="s">
        <v>725</v>
      </c>
      <c r="BE186" s="17" t="s">
        <v>728</v>
      </c>
      <c r="BF186" s="17" t="s">
        <v>725</v>
      </c>
      <c r="BH186" t="s">
        <v>514</v>
      </c>
      <c r="BI186" s="17" t="s">
        <v>50</v>
      </c>
      <c r="BJ186" s="17" t="s">
        <v>322</v>
      </c>
      <c r="BK186" s="17" t="s">
        <v>322</v>
      </c>
      <c r="BL186" s="17" t="s">
        <v>50</v>
      </c>
      <c r="BM186" s="17" t="s">
        <v>322</v>
      </c>
    </row>
    <row r="187" spans="2:66" x14ac:dyDescent="0.3">
      <c r="C187" s="17" t="s">
        <v>315</v>
      </c>
      <c r="D187" s="17" t="s">
        <v>316</v>
      </c>
      <c r="E187" s="17" t="s">
        <v>317</v>
      </c>
      <c r="F187" s="17" t="s">
        <v>318</v>
      </c>
      <c r="G187" s="17" t="s">
        <v>319</v>
      </c>
      <c r="J187" s="15"/>
      <c r="K187" s="17" t="s">
        <v>315</v>
      </c>
      <c r="L187" s="17" t="s">
        <v>316</v>
      </c>
      <c r="M187" s="17" t="s">
        <v>317</v>
      </c>
      <c r="N187" s="17" t="s">
        <v>318</v>
      </c>
      <c r="O187" s="17" t="s">
        <v>319</v>
      </c>
      <c r="W187" s="15" t="s">
        <v>552</v>
      </c>
      <c r="X187" s="17" t="s">
        <v>728</v>
      </c>
      <c r="Y187" s="17" t="s">
        <v>730</v>
      </c>
      <c r="Z187" s="17" t="s">
        <v>322</v>
      </c>
      <c r="AA187" s="17" t="s">
        <v>322</v>
      </c>
      <c r="AB187" s="17" t="s">
        <v>733</v>
      </c>
      <c r="AD187" t="s">
        <v>514</v>
      </c>
      <c r="AE187" s="17" t="s">
        <v>50</v>
      </c>
      <c r="AF187" s="17" t="s">
        <v>322</v>
      </c>
      <c r="AG187" s="17" t="s">
        <v>322</v>
      </c>
      <c r="AH187" s="17" t="s">
        <v>50</v>
      </c>
      <c r="AI187" s="17" t="s">
        <v>322</v>
      </c>
      <c r="AL187" s="15" t="s">
        <v>552</v>
      </c>
      <c r="AM187" s="17" t="s">
        <v>728</v>
      </c>
      <c r="AN187" s="17" t="s">
        <v>730</v>
      </c>
      <c r="AO187" s="17" t="s">
        <v>322</v>
      </c>
      <c r="AP187" s="17" t="s">
        <v>322</v>
      </c>
      <c r="AQ187" s="17" t="s">
        <v>733</v>
      </c>
      <c r="AS187" t="s">
        <v>723</v>
      </c>
      <c r="BA187" s="15" t="s">
        <v>552</v>
      </c>
      <c r="BB187" s="17" t="s">
        <v>728</v>
      </c>
      <c r="BC187" s="17" t="s">
        <v>730</v>
      </c>
      <c r="BD187" s="17" t="s">
        <v>322</v>
      </c>
      <c r="BE187" s="17" t="s">
        <v>733</v>
      </c>
      <c r="BF187" s="17" t="s">
        <v>322</v>
      </c>
      <c r="BH187" t="s">
        <v>517</v>
      </c>
      <c r="BI187" s="17" t="s">
        <v>50</v>
      </c>
      <c r="BJ187" s="17" t="s">
        <v>322</v>
      </c>
      <c r="BK187" s="17" t="s">
        <v>322</v>
      </c>
      <c r="BL187" s="17" t="s">
        <v>322</v>
      </c>
      <c r="BM187" s="17" t="s">
        <v>322</v>
      </c>
    </row>
    <row r="188" spans="2:66" x14ac:dyDescent="0.3">
      <c r="B188" s="15" t="s">
        <v>539</v>
      </c>
      <c r="C188" s="17" t="s">
        <v>322</v>
      </c>
      <c r="D188" s="17" t="s">
        <v>322</v>
      </c>
      <c r="E188" s="17" t="s">
        <v>739</v>
      </c>
      <c r="F188" s="17" t="s">
        <v>740</v>
      </c>
      <c r="G188" s="17" t="s">
        <v>322</v>
      </c>
      <c r="J188" s="15" t="s">
        <v>539</v>
      </c>
      <c r="K188" s="17" t="s">
        <v>322</v>
      </c>
      <c r="L188" s="17" t="s">
        <v>322</v>
      </c>
      <c r="M188" s="17" t="s">
        <v>739</v>
      </c>
      <c r="N188" s="17" t="s">
        <v>740</v>
      </c>
      <c r="O188" s="17" t="s">
        <v>741</v>
      </c>
      <c r="W188" s="15" t="s">
        <v>554</v>
      </c>
      <c r="X188" s="17" t="s">
        <v>733</v>
      </c>
      <c r="Y188" s="17" t="s">
        <v>730</v>
      </c>
      <c r="Z188" s="17" t="s">
        <v>322</v>
      </c>
      <c r="AA188" s="17" t="s">
        <v>322</v>
      </c>
      <c r="AB188" s="17" t="s">
        <v>733</v>
      </c>
      <c r="AD188" t="s">
        <v>517</v>
      </c>
      <c r="AE188" s="17" t="s">
        <v>50</v>
      </c>
      <c r="AF188" s="17" t="s">
        <v>322</v>
      </c>
      <c r="AG188" s="17" t="s">
        <v>322</v>
      </c>
      <c r="AH188" s="17" t="s">
        <v>322</v>
      </c>
      <c r="AI188" s="17" t="s">
        <v>322</v>
      </c>
      <c r="AL188" s="15" t="s">
        <v>554</v>
      </c>
      <c r="AM188" s="17" t="s">
        <v>322</v>
      </c>
      <c r="AN188" s="17" t="s">
        <v>730</v>
      </c>
      <c r="AO188" s="17" t="s">
        <v>322</v>
      </c>
      <c r="AP188" s="17" t="s">
        <v>322</v>
      </c>
      <c r="AQ188" s="17" t="s">
        <v>733</v>
      </c>
      <c r="AT188" s="17" t="s">
        <v>315</v>
      </c>
      <c r="AU188" s="17" t="s">
        <v>316</v>
      </c>
      <c r="AV188" s="17" t="s">
        <v>317</v>
      </c>
      <c r="AW188" s="17" t="s">
        <v>318</v>
      </c>
      <c r="AX188" s="17" t="s">
        <v>319</v>
      </c>
      <c r="BA188" s="15" t="s">
        <v>554</v>
      </c>
      <c r="BB188" s="17" t="s">
        <v>733</v>
      </c>
      <c r="BC188" s="17" t="s">
        <v>730</v>
      </c>
      <c r="BD188" s="17" t="s">
        <v>322</v>
      </c>
      <c r="BE188" s="17" t="s">
        <v>322</v>
      </c>
      <c r="BF188" s="17" t="s">
        <v>322</v>
      </c>
    </row>
    <row r="189" spans="2:66" x14ac:dyDescent="0.3">
      <c r="B189" s="15" t="s">
        <v>543</v>
      </c>
      <c r="C189" s="17" t="s">
        <v>322</v>
      </c>
      <c r="D189" s="17" t="s">
        <v>688</v>
      </c>
      <c r="E189" s="162" t="s">
        <v>742</v>
      </c>
      <c r="F189" s="17" t="s">
        <v>740</v>
      </c>
      <c r="G189" s="130" t="s">
        <v>688</v>
      </c>
      <c r="J189" s="15" t="s">
        <v>543</v>
      </c>
      <c r="K189" s="17" t="s">
        <v>322</v>
      </c>
      <c r="L189" s="17" t="s">
        <v>688</v>
      </c>
      <c r="M189" s="17" t="s">
        <v>742</v>
      </c>
      <c r="N189" s="17" t="s">
        <v>740</v>
      </c>
      <c r="O189" s="17" t="s">
        <v>741</v>
      </c>
      <c r="W189" s="15" t="s">
        <v>586</v>
      </c>
      <c r="X189" s="17" t="s">
        <v>322</v>
      </c>
      <c r="Y189" s="17" t="s">
        <v>322</v>
      </c>
      <c r="Z189" s="17" t="s">
        <v>322</v>
      </c>
      <c r="AA189" s="17" t="s">
        <v>322</v>
      </c>
      <c r="AB189" s="17" t="s">
        <v>322</v>
      </c>
      <c r="AL189" s="15" t="s">
        <v>586</v>
      </c>
      <c r="AM189" s="17" t="s">
        <v>322</v>
      </c>
      <c r="AN189" s="17" t="s">
        <v>322</v>
      </c>
      <c r="AO189" s="17" t="s">
        <v>322</v>
      </c>
      <c r="AP189" s="17" t="s">
        <v>322</v>
      </c>
      <c r="AQ189" s="17" t="s">
        <v>322</v>
      </c>
      <c r="AS189" t="s">
        <v>512</v>
      </c>
      <c r="AT189" s="17" t="s">
        <v>50</v>
      </c>
      <c r="AU189" s="17" t="s">
        <v>322</v>
      </c>
      <c r="AV189" s="17" t="s">
        <v>322</v>
      </c>
      <c r="AW189" s="17" t="s">
        <v>50</v>
      </c>
      <c r="AX189" s="17" t="s">
        <v>322</v>
      </c>
      <c r="BA189" s="15" t="s">
        <v>586</v>
      </c>
      <c r="BB189" s="17" t="s">
        <v>733</v>
      </c>
      <c r="BC189" s="17" t="s">
        <v>322</v>
      </c>
      <c r="BD189" s="17" t="s">
        <v>322</v>
      </c>
      <c r="BE189" s="17" t="s">
        <v>322</v>
      </c>
      <c r="BF189" s="17" t="s">
        <v>322</v>
      </c>
      <c r="BH189" t="s">
        <v>727</v>
      </c>
    </row>
    <row r="190" spans="2:66" x14ac:dyDescent="0.3">
      <c r="B190" s="15" t="s">
        <v>573</v>
      </c>
      <c r="C190" s="17" t="s">
        <v>744</v>
      </c>
      <c r="D190" s="162" t="s">
        <v>952</v>
      </c>
      <c r="E190" s="162" t="s">
        <v>742</v>
      </c>
      <c r="F190" s="17" t="s">
        <v>740</v>
      </c>
      <c r="G190" s="17" t="s">
        <v>691</v>
      </c>
      <c r="J190" s="15" t="s">
        <v>573</v>
      </c>
      <c r="K190" s="17" t="s">
        <v>744</v>
      </c>
      <c r="L190" s="17" t="s">
        <v>745</v>
      </c>
      <c r="M190" s="17" t="s">
        <v>742</v>
      </c>
      <c r="N190" s="17" t="s">
        <v>740</v>
      </c>
      <c r="O190" s="17" t="s">
        <v>691</v>
      </c>
      <c r="AD190" t="s">
        <v>727</v>
      </c>
      <c r="AS190" t="s">
        <v>514</v>
      </c>
      <c r="AT190" s="17" t="s">
        <v>50</v>
      </c>
      <c r="AU190" s="17" t="s">
        <v>322</v>
      </c>
      <c r="AV190" s="17" t="s">
        <v>322</v>
      </c>
      <c r="AW190" s="17" t="s">
        <v>50</v>
      </c>
      <c r="AX190" s="17" t="s">
        <v>322</v>
      </c>
      <c r="BI190" s="17" t="s">
        <v>315</v>
      </c>
      <c r="BJ190" s="17" t="s">
        <v>316</v>
      </c>
      <c r="BK190" s="17" t="s">
        <v>317</v>
      </c>
      <c r="BL190" s="17" t="s">
        <v>318</v>
      </c>
      <c r="BM190" s="17" t="s">
        <v>319</v>
      </c>
    </row>
    <row r="191" spans="2:66" x14ac:dyDescent="0.3">
      <c r="B191" s="15" t="s">
        <v>561</v>
      </c>
      <c r="C191" s="17" t="s">
        <v>744</v>
      </c>
      <c r="D191" s="162" t="s">
        <v>953</v>
      </c>
      <c r="E191" s="17" t="s">
        <v>748</v>
      </c>
      <c r="F191" s="17" t="s">
        <v>744</v>
      </c>
      <c r="G191" s="17" t="s">
        <v>693</v>
      </c>
      <c r="J191" s="15" t="s">
        <v>561</v>
      </c>
      <c r="K191" s="17" t="s">
        <v>744</v>
      </c>
      <c r="L191" s="17" t="s">
        <v>747</v>
      </c>
      <c r="M191" s="17" t="s">
        <v>748</v>
      </c>
      <c r="N191" s="17" t="s">
        <v>744</v>
      </c>
      <c r="O191" s="17" t="s">
        <v>691</v>
      </c>
      <c r="W191" s="15" t="s">
        <v>685</v>
      </c>
      <c r="AE191" s="17" t="s">
        <v>315</v>
      </c>
      <c r="AF191" s="17" t="s">
        <v>316</v>
      </c>
      <c r="AG191" s="17" t="s">
        <v>317</v>
      </c>
      <c r="AH191" s="17" t="s">
        <v>318</v>
      </c>
      <c r="AI191" s="17" t="s">
        <v>319</v>
      </c>
      <c r="AL191" s="15" t="s">
        <v>685</v>
      </c>
      <c r="AS191" t="s">
        <v>517</v>
      </c>
      <c r="AT191" s="17" t="s">
        <v>50</v>
      </c>
      <c r="AU191" s="17" t="s">
        <v>322</v>
      </c>
      <c r="AV191" s="17" t="s">
        <v>322</v>
      </c>
      <c r="AW191" s="17" t="s">
        <v>322</v>
      </c>
      <c r="AX191" s="17" t="s">
        <v>322</v>
      </c>
      <c r="BA191" s="15" t="s">
        <v>685</v>
      </c>
      <c r="BH191" t="s">
        <v>517</v>
      </c>
      <c r="BI191" s="17" t="s">
        <v>322</v>
      </c>
      <c r="BJ191" s="17" t="s">
        <v>127</v>
      </c>
      <c r="BK191" s="17" t="s">
        <v>322</v>
      </c>
      <c r="BL191" s="17" t="s">
        <v>322</v>
      </c>
      <c r="BM191" s="17" t="s">
        <v>322</v>
      </c>
    </row>
    <row r="192" spans="2:66" x14ac:dyDescent="0.3">
      <c r="B192" s="15" t="s">
        <v>551</v>
      </c>
      <c r="C192" s="17" t="s">
        <v>693</v>
      </c>
      <c r="D192" s="17" t="s">
        <v>748</v>
      </c>
      <c r="E192" s="17" t="s">
        <v>748</v>
      </c>
      <c r="F192" s="17" t="s">
        <v>744</v>
      </c>
      <c r="G192" s="17" t="s">
        <v>749</v>
      </c>
      <c r="J192" s="15" t="s">
        <v>551</v>
      </c>
      <c r="K192" s="17" t="s">
        <v>693</v>
      </c>
      <c r="L192" s="17" t="s">
        <v>748</v>
      </c>
      <c r="M192" s="17" t="s">
        <v>748</v>
      </c>
      <c r="N192" s="17" t="s">
        <v>744</v>
      </c>
      <c r="O192" s="17" t="s">
        <v>749</v>
      </c>
      <c r="X192" s="17" t="s">
        <v>315</v>
      </c>
      <c r="Y192" s="17" t="s">
        <v>316</v>
      </c>
      <c r="Z192" s="17" t="s">
        <v>317</v>
      </c>
      <c r="AA192" s="17" t="s">
        <v>318</v>
      </c>
      <c r="AB192" s="17" t="s">
        <v>319</v>
      </c>
      <c r="AD192" t="s">
        <v>517</v>
      </c>
      <c r="AE192" s="17" t="s">
        <v>177</v>
      </c>
      <c r="AF192" s="17" t="s">
        <v>127</v>
      </c>
      <c r="AG192" s="17" t="s">
        <v>322</v>
      </c>
      <c r="AH192" s="17" t="s">
        <v>322</v>
      </c>
      <c r="AI192" s="17" t="s">
        <v>322</v>
      </c>
      <c r="AM192" s="17" t="s">
        <v>315</v>
      </c>
      <c r="AN192" s="17" t="s">
        <v>316</v>
      </c>
      <c r="AO192" s="17" t="s">
        <v>317</v>
      </c>
      <c r="AP192" s="17" t="s">
        <v>318</v>
      </c>
      <c r="AQ192" s="17" t="s">
        <v>319</v>
      </c>
      <c r="BB192" s="17" t="s">
        <v>315</v>
      </c>
      <c r="BC192" s="17" t="s">
        <v>316</v>
      </c>
      <c r="BD192" s="17" t="s">
        <v>317</v>
      </c>
      <c r="BE192" s="17" t="s">
        <v>318</v>
      </c>
      <c r="BF192" s="17" t="s">
        <v>319</v>
      </c>
      <c r="BH192" t="s">
        <v>326</v>
      </c>
      <c r="BI192" s="17" t="s">
        <v>177</v>
      </c>
      <c r="BJ192" s="17" t="s">
        <v>127</v>
      </c>
      <c r="BK192" s="17" t="s">
        <v>322</v>
      </c>
      <c r="BL192" s="17" t="s">
        <v>127</v>
      </c>
      <c r="BM192" s="17" t="s">
        <v>177</v>
      </c>
    </row>
    <row r="193" spans="2:65" x14ac:dyDescent="0.3">
      <c r="B193" s="15" t="s">
        <v>552</v>
      </c>
      <c r="C193" s="17" t="s">
        <v>695</v>
      </c>
      <c r="D193" s="17" t="s">
        <v>748</v>
      </c>
      <c r="E193" s="17" t="s">
        <v>749</v>
      </c>
      <c r="F193" s="17" t="s">
        <v>696</v>
      </c>
      <c r="G193" s="17" t="s">
        <v>749</v>
      </c>
      <c r="J193" s="15" t="s">
        <v>552</v>
      </c>
      <c r="K193" s="17" t="s">
        <v>695</v>
      </c>
      <c r="L193" s="17" t="s">
        <v>748</v>
      </c>
      <c r="M193" s="17" t="s">
        <v>749</v>
      </c>
      <c r="N193" s="17" t="s">
        <v>696</v>
      </c>
      <c r="O193" s="17" t="s">
        <v>749</v>
      </c>
      <c r="W193" s="15" t="s">
        <v>539</v>
      </c>
      <c r="X193" s="17" t="s">
        <v>322</v>
      </c>
      <c r="Y193" s="17" t="s">
        <v>322</v>
      </c>
      <c r="Z193" s="17" t="s">
        <v>322</v>
      </c>
      <c r="AA193" s="17" t="s">
        <v>322</v>
      </c>
      <c r="AB193" s="17" t="s">
        <v>322</v>
      </c>
      <c r="AD193" t="s">
        <v>326</v>
      </c>
      <c r="AE193" s="17" t="s">
        <v>177</v>
      </c>
      <c r="AF193" s="17" t="s">
        <v>127</v>
      </c>
      <c r="AG193" s="17" t="s">
        <v>177</v>
      </c>
      <c r="AH193" s="17" t="s">
        <v>127</v>
      </c>
      <c r="AI193" s="17" t="s">
        <v>322</v>
      </c>
      <c r="AL193" s="15" t="s">
        <v>539</v>
      </c>
      <c r="AM193" s="17" t="s">
        <v>322</v>
      </c>
      <c r="AN193" s="17" t="s">
        <v>322</v>
      </c>
      <c r="AO193" s="17" t="s">
        <v>322</v>
      </c>
      <c r="AP193" s="17" t="s">
        <v>322</v>
      </c>
      <c r="AQ193" s="17" t="s">
        <v>322</v>
      </c>
      <c r="AS193" t="s">
        <v>727</v>
      </c>
      <c r="BA193" s="15" t="s">
        <v>539</v>
      </c>
      <c r="BB193" s="17" t="s">
        <v>322</v>
      </c>
      <c r="BC193" s="17" t="s">
        <v>322</v>
      </c>
      <c r="BD193" s="17" t="s">
        <v>322</v>
      </c>
      <c r="BE193" s="17" t="s">
        <v>322</v>
      </c>
      <c r="BF193" s="17" t="s">
        <v>322</v>
      </c>
      <c r="BH193" t="s">
        <v>328</v>
      </c>
      <c r="BI193" s="17" t="s">
        <v>177</v>
      </c>
      <c r="BJ193" s="17" t="s">
        <v>322</v>
      </c>
      <c r="BK193" s="17" t="s">
        <v>322</v>
      </c>
      <c r="BL193" s="17" t="s">
        <v>127</v>
      </c>
      <c r="BM193" s="17" t="s">
        <v>177</v>
      </c>
    </row>
    <row r="194" spans="2:65" x14ac:dyDescent="0.3">
      <c r="B194" s="15" t="s">
        <v>554</v>
      </c>
      <c r="C194" s="17" t="s">
        <v>696</v>
      </c>
      <c r="D194" s="17" t="s">
        <v>322</v>
      </c>
      <c r="E194" s="17" t="s">
        <v>749</v>
      </c>
      <c r="F194" s="17" t="s">
        <v>696</v>
      </c>
      <c r="G194" s="17" t="s">
        <v>749</v>
      </c>
      <c r="J194" s="15" t="s">
        <v>554</v>
      </c>
      <c r="K194" s="17" t="s">
        <v>696</v>
      </c>
      <c r="L194" s="17" t="s">
        <v>322</v>
      </c>
      <c r="M194" s="17" t="s">
        <v>749</v>
      </c>
      <c r="N194" s="17" t="s">
        <v>696</v>
      </c>
      <c r="O194" s="17" t="s">
        <v>749</v>
      </c>
      <c r="W194" s="15" t="s">
        <v>543</v>
      </c>
      <c r="X194" s="17" t="s">
        <v>322</v>
      </c>
      <c r="Y194" s="17" t="s">
        <v>322</v>
      </c>
      <c r="Z194" s="17" t="s">
        <v>675</v>
      </c>
      <c r="AA194" s="17" t="s">
        <v>322</v>
      </c>
      <c r="AB194" s="17" t="s">
        <v>322</v>
      </c>
      <c r="AD194" t="s">
        <v>328</v>
      </c>
      <c r="AE194" s="17" t="s">
        <v>177</v>
      </c>
      <c r="AF194" s="17" t="s">
        <v>322</v>
      </c>
      <c r="AG194" s="17" t="s">
        <v>177</v>
      </c>
      <c r="AH194" s="17" t="s">
        <v>127</v>
      </c>
      <c r="AI194" s="17" t="s">
        <v>322</v>
      </c>
      <c r="AL194" s="15" t="s">
        <v>543</v>
      </c>
      <c r="AM194" s="17" t="s">
        <v>322</v>
      </c>
      <c r="AN194" s="17" t="s">
        <v>322</v>
      </c>
      <c r="AO194" s="17" t="s">
        <v>675</v>
      </c>
      <c r="AP194" s="17" t="s">
        <v>322</v>
      </c>
      <c r="AQ194" s="17" t="s">
        <v>322</v>
      </c>
      <c r="AT194" s="17" t="s">
        <v>315</v>
      </c>
      <c r="AU194" s="17" t="s">
        <v>316</v>
      </c>
      <c r="AV194" s="17" t="s">
        <v>317</v>
      </c>
      <c r="AW194" s="17" t="s">
        <v>318</v>
      </c>
      <c r="AX194" s="17" t="s">
        <v>319</v>
      </c>
      <c r="BA194" s="15" t="s">
        <v>543</v>
      </c>
      <c r="BB194" s="17" t="s">
        <v>322</v>
      </c>
      <c r="BC194" s="17" t="s">
        <v>322</v>
      </c>
      <c r="BD194" s="17" t="s">
        <v>675</v>
      </c>
      <c r="BE194" s="17" t="s">
        <v>322</v>
      </c>
      <c r="BF194" s="17" t="s">
        <v>322</v>
      </c>
      <c r="BH194" t="s">
        <v>350</v>
      </c>
      <c r="BI194" s="17" t="s">
        <v>177</v>
      </c>
      <c r="BJ194" s="17" t="s">
        <v>322</v>
      </c>
      <c r="BK194" s="17" t="s">
        <v>322</v>
      </c>
      <c r="BL194" s="17" t="s">
        <v>127</v>
      </c>
      <c r="BM194" s="17" t="s">
        <v>177</v>
      </c>
    </row>
    <row r="195" spans="2:65" x14ac:dyDescent="0.3">
      <c r="W195" s="15" t="s">
        <v>573</v>
      </c>
      <c r="X195" s="17" t="s">
        <v>689</v>
      </c>
      <c r="Y195" s="17" t="s">
        <v>692</v>
      </c>
      <c r="Z195" s="17" t="s">
        <v>675</v>
      </c>
      <c r="AA195" s="17" t="s">
        <v>689</v>
      </c>
      <c r="AB195" s="17" t="s">
        <v>690</v>
      </c>
      <c r="AD195" t="s">
        <v>350</v>
      </c>
      <c r="AE195" s="17" t="s">
        <v>322</v>
      </c>
      <c r="AF195" s="17" t="s">
        <v>322</v>
      </c>
      <c r="AG195" s="17" t="s">
        <v>177</v>
      </c>
      <c r="AH195" s="17" t="s">
        <v>127</v>
      </c>
      <c r="AI195" s="17" t="s">
        <v>322</v>
      </c>
      <c r="AL195" s="15" t="s">
        <v>573</v>
      </c>
      <c r="AM195" s="17" t="s">
        <v>689</v>
      </c>
      <c r="AN195" s="17" t="s">
        <v>692</v>
      </c>
      <c r="AO195" s="17" t="s">
        <v>675</v>
      </c>
      <c r="AP195" s="17" t="s">
        <v>689</v>
      </c>
      <c r="AQ195" s="17" t="s">
        <v>690</v>
      </c>
      <c r="AS195" t="s">
        <v>517</v>
      </c>
      <c r="AT195" s="17" t="s">
        <v>177</v>
      </c>
      <c r="AU195" s="17" t="s">
        <v>127</v>
      </c>
      <c r="AV195" s="17" t="s">
        <v>322</v>
      </c>
      <c r="AW195" s="17" t="s">
        <v>322</v>
      </c>
      <c r="AX195" s="17" t="s">
        <v>322</v>
      </c>
      <c r="BA195" s="15" t="s">
        <v>573</v>
      </c>
      <c r="BB195" s="17" t="s">
        <v>689</v>
      </c>
      <c r="BC195" s="17" t="s">
        <v>322</v>
      </c>
      <c r="BD195" s="17" t="s">
        <v>675</v>
      </c>
      <c r="BE195" s="17" t="s">
        <v>689</v>
      </c>
      <c r="BF195" s="17" t="s">
        <v>690</v>
      </c>
    </row>
    <row r="196" spans="2:65" x14ac:dyDescent="0.3">
      <c r="W196" s="15" t="s">
        <v>561</v>
      </c>
      <c r="X196" s="17" t="s">
        <v>689</v>
      </c>
      <c r="Y196" s="17" t="s">
        <v>692</v>
      </c>
      <c r="Z196" s="17" t="s">
        <v>675</v>
      </c>
      <c r="AA196" s="17" t="s">
        <v>689</v>
      </c>
      <c r="AB196" s="17" t="s">
        <v>690</v>
      </c>
      <c r="AL196" s="15" t="s">
        <v>561</v>
      </c>
      <c r="AM196" s="17" t="s">
        <v>689</v>
      </c>
      <c r="AN196" s="17" t="s">
        <v>692</v>
      </c>
      <c r="AO196" s="17" t="s">
        <v>675</v>
      </c>
      <c r="AP196" s="17" t="s">
        <v>689</v>
      </c>
      <c r="AQ196" s="17" t="s">
        <v>690</v>
      </c>
      <c r="AS196" t="s">
        <v>326</v>
      </c>
      <c r="AT196" s="17" t="s">
        <v>177</v>
      </c>
      <c r="AU196" s="17" t="s">
        <v>127</v>
      </c>
      <c r="AV196" s="17" t="s">
        <v>177</v>
      </c>
      <c r="AW196" s="17" t="s">
        <v>127</v>
      </c>
      <c r="AX196" s="17" t="s">
        <v>322</v>
      </c>
      <c r="BA196" s="15" t="s">
        <v>561</v>
      </c>
      <c r="BB196" s="17" t="s">
        <v>689</v>
      </c>
      <c r="BC196" s="17" t="s">
        <v>692</v>
      </c>
      <c r="BD196" s="17" t="s">
        <v>675</v>
      </c>
      <c r="BE196" s="17" t="s">
        <v>689</v>
      </c>
      <c r="BF196" s="17" t="s">
        <v>690</v>
      </c>
      <c r="BH196" t="s">
        <v>737</v>
      </c>
    </row>
    <row r="197" spans="2:65" x14ac:dyDescent="0.3">
      <c r="W197" s="15" t="s">
        <v>551</v>
      </c>
      <c r="X197" s="17" t="s">
        <v>694</v>
      </c>
      <c r="Y197" s="17" t="s">
        <v>692</v>
      </c>
      <c r="Z197" s="17" t="s">
        <v>698</v>
      </c>
      <c r="AA197" s="17" t="s">
        <v>694</v>
      </c>
      <c r="AB197" s="17" t="s">
        <v>690</v>
      </c>
      <c r="AD197" t="s">
        <v>737</v>
      </c>
      <c r="AL197" s="15" t="s">
        <v>551</v>
      </c>
      <c r="AM197" s="17" t="s">
        <v>694</v>
      </c>
      <c r="AN197" s="17" t="s">
        <v>692</v>
      </c>
      <c r="AO197" s="17" t="s">
        <v>698</v>
      </c>
      <c r="AP197" s="17" t="s">
        <v>694</v>
      </c>
      <c r="AQ197" s="17" t="s">
        <v>690</v>
      </c>
      <c r="AS197" t="s">
        <v>328</v>
      </c>
      <c r="AT197" s="17" t="s">
        <v>177</v>
      </c>
      <c r="AU197" s="17" t="s">
        <v>322</v>
      </c>
      <c r="AV197" s="17" t="s">
        <v>177</v>
      </c>
      <c r="AW197" s="17" t="s">
        <v>127</v>
      </c>
      <c r="AX197" s="17" t="s">
        <v>322</v>
      </c>
      <c r="BA197" s="15" t="s">
        <v>551</v>
      </c>
      <c r="BB197" s="17" t="s">
        <v>694</v>
      </c>
      <c r="BC197" s="17" t="s">
        <v>692</v>
      </c>
      <c r="BD197" s="17" t="s">
        <v>698</v>
      </c>
      <c r="BE197" s="17" t="s">
        <v>694</v>
      </c>
      <c r="BF197" s="17" t="s">
        <v>690</v>
      </c>
      <c r="BI197" s="17" t="s">
        <v>315</v>
      </c>
      <c r="BJ197" s="17" t="s">
        <v>316</v>
      </c>
      <c r="BK197" s="17" t="s">
        <v>317</v>
      </c>
      <c r="BL197" s="17" t="s">
        <v>318</v>
      </c>
      <c r="BM197" s="17" t="s">
        <v>319</v>
      </c>
    </row>
    <row r="198" spans="2:65" x14ac:dyDescent="0.3">
      <c r="W198" s="15" t="s">
        <v>552</v>
      </c>
      <c r="X198" s="17" t="s">
        <v>694</v>
      </c>
      <c r="Y198" s="17" t="s">
        <v>322</v>
      </c>
      <c r="Z198" s="17" t="s">
        <v>698</v>
      </c>
      <c r="AA198" s="17" t="s">
        <v>694</v>
      </c>
      <c r="AB198" s="17" t="s">
        <v>322</v>
      </c>
      <c r="AE198" s="17" t="s">
        <v>315</v>
      </c>
      <c r="AF198" s="17" t="s">
        <v>316</v>
      </c>
      <c r="AG198" s="17" t="s">
        <v>317</v>
      </c>
      <c r="AH198" s="17" t="s">
        <v>318</v>
      </c>
      <c r="AI198" s="17" t="s">
        <v>319</v>
      </c>
      <c r="AL198" s="15" t="s">
        <v>552</v>
      </c>
      <c r="AM198" s="17" t="s">
        <v>694</v>
      </c>
      <c r="AN198" s="17" t="s">
        <v>322</v>
      </c>
      <c r="AO198" s="17" t="s">
        <v>698</v>
      </c>
      <c r="AP198" s="17" t="s">
        <v>694</v>
      </c>
      <c r="AQ198" s="17" t="s">
        <v>322</v>
      </c>
      <c r="AS198" t="s">
        <v>350</v>
      </c>
      <c r="AT198" s="17" t="s">
        <v>322</v>
      </c>
      <c r="AU198" s="17" t="s">
        <v>322</v>
      </c>
      <c r="AV198" s="17" t="s">
        <v>177</v>
      </c>
      <c r="AW198" s="17" t="s">
        <v>127</v>
      </c>
      <c r="AX198" s="17" t="s">
        <v>322</v>
      </c>
      <c r="BA198" s="15" t="s">
        <v>552</v>
      </c>
      <c r="BB198" s="17" t="s">
        <v>694</v>
      </c>
      <c r="BC198" s="17" t="s">
        <v>692</v>
      </c>
      <c r="BD198" s="17" t="s">
        <v>698</v>
      </c>
      <c r="BE198" s="17" t="s">
        <v>694</v>
      </c>
      <c r="BF198" s="17" t="s">
        <v>322</v>
      </c>
      <c r="BH198" t="s">
        <v>512</v>
      </c>
      <c r="BI198" s="17" t="s">
        <v>322</v>
      </c>
      <c r="BJ198" s="17" t="s">
        <v>322</v>
      </c>
      <c r="BK198" s="17" t="s">
        <v>188</v>
      </c>
      <c r="BL198" s="17" t="s">
        <v>322</v>
      </c>
      <c r="BM198" s="17" t="s">
        <v>322</v>
      </c>
    </row>
    <row r="199" spans="2:65" x14ac:dyDescent="0.3">
      <c r="W199" s="15" t="s">
        <v>554</v>
      </c>
      <c r="X199" s="17" t="s">
        <v>322</v>
      </c>
      <c r="Y199" s="17" t="s">
        <v>322</v>
      </c>
      <c r="Z199" s="17" t="s">
        <v>322</v>
      </c>
      <c r="AA199" s="17" t="s">
        <v>322</v>
      </c>
      <c r="AB199" s="17" t="s">
        <v>322</v>
      </c>
      <c r="AD199" t="s">
        <v>512</v>
      </c>
      <c r="AE199" s="17" t="s">
        <v>322</v>
      </c>
      <c r="AF199" s="17" t="s">
        <v>322</v>
      </c>
      <c r="AG199" s="17" t="s">
        <v>188</v>
      </c>
      <c r="AH199" s="17" t="s">
        <v>322</v>
      </c>
      <c r="AI199" s="17" t="s">
        <v>322</v>
      </c>
      <c r="AL199" s="15" t="s">
        <v>554</v>
      </c>
      <c r="AM199" s="17" t="s">
        <v>322</v>
      </c>
      <c r="AN199" s="17" t="s">
        <v>322</v>
      </c>
      <c r="AO199" s="17" t="s">
        <v>322</v>
      </c>
      <c r="AP199" s="17" t="s">
        <v>322</v>
      </c>
      <c r="AQ199" s="17" t="s">
        <v>322</v>
      </c>
      <c r="BA199" s="15" t="s">
        <v>554</v>
      </c>
      <c r="BB199" s="17" t="s">
        <v>322</v>
      </c>
      <c r="BC199" s="17" t="s">
        <v>322</v>
      </c>
      <c r="BD199" s="17" t="s">
        <v>322</v>
      </c>
      <c r="BE199" s="17" t="s">
        <v>322</v>
      </c>
      <c r="BF199" s="17" t="s">
        <v>322</v>
      </c>
      <c r="BH199" t="s">
        <v>514</v>
      </c>
      <c r="BI199" s="17" t="s">
        <v>188</v>
      </c>
      <c r="BJ199" s="17" t="s">
        <v>322</v>
      </c>
      <c r="BK199" s="17" t="s">
        <v>188</v>
      </c>
      <c r="BL199" s="17" t="s">
        <v>322</v>
      </c>
      <c r="BM199" s="17" t="s">
        <v>322</v>
      </c>
    </row>
    <row r="200" spans="2:65" x14ac:dyDescent="0.3">
      <c r="AD200" t="s">
        <v>514</v>
      </c>
      <c r="AE200" s="17" t="s">
        <v>322</v>
      </c>
      <c r="AF200" s="17" t="s">
        <v>322</v>
      </c>
      <c r="AG200" s="17" t="s">
        <v>188</v>
      </c>
      <c r="AH200" s="17" t="s">
        <v>322</v>
      </c>
      <c r="AI200" s="17" t="s">
        <v>188</v>
      </c>
      <c r="AS200" t="s">
        <v>737</v>
      </c>
      <c r="BH200" t="s">
        <v>517</v>
      </c>
      <c r="BI200" s="17" t="s">
        <v>188</v>
      </c>
      <c r="BJ200" s="17" t="s">
        <v>322</v>
      </c>
      <c r="BK200" s="17" t="s">
        <v>322</v>
      </c>
      <c r="BL200" s="17" t="s">
        <v>322</v>
      </c>
      <c r="BM200" s="17" t="s">
        <v>322</v>
      </c>
    </row>
    <row r="201" spans="2:65" x14ac:dyDescent="0.3">
      <c r="W201" s="15" t="s">
        <v>700</v>
      </c>
      <c r="AD201" t="s">
        <v>517</v>
      </c>
      <c r="AE201" s="17" t="s">
        <v>322</v>
      </c>
      <c r="AF201" s="17" t="s">
        <v>322</v>
      </c>
      <c r="AG201" s="17" t="s">
        <v>322</v>
      </c>
      <c r="AH201" s="17" t="s">
        <v>322</v>
      </c>
      <c r="AI201" s="17" t="s">
        <v>188</v>
      </c>
      <c r="AL201" s="15" t="s">
        <v>700</v>
      </c>
      <c r="AT201" s="17" t="s">
        <v>315</v>
      </c>
      <c r="AU201" s="17" t="s">
        <v>316</v>
      </c>
      <c r="AV201" s="17" t="s">
        <v>317</v>
      </c>
      <c r="AW201" s="17" t="s">
        <v>318</v>
      </c>
      <c r="AX201" s="17" t="s">
        <v>319</v>
      </c>
      <c r="BA201" s="15" t="s">
        <v>700</v>
      </c>
    </row>
    <row r="202" spans="2:65" x14ac:dyDescent="0.3">
      <c r="X202" s="17" t="s">
        <v>315</v>
      </c>
      <c r="Y202" s="17" t="s">
        <v>316</v>
      </c>
      <c r="Z202" s="17" t="s">
        <v>317</v>
      </c>
      <c r="AA202" s="17" t="s">
        <v>318</v>
      </c>
      <c r="AB202" s="17" t="s">
        <v>319</v>
      </c>
      <c r="AM202" s="17" t="s">
        <v>315</v>
      </c>
      <c r="AN202" s="17" t="s">
        <v>316</v>
      </c>
      <c r="AO202" s="17" t="s">
        <v>317</v>
      </c>
      <c r="AP202" s="17" t="s">
        <v>318</v>
      </c>
      <c r="AQ202" s="17" t="s">
        <v>319</v>
      </c>
      <c r="AS202" t="s">
        <v>512</v>
      </c>
      <c r="AT202" s="17" t="s">
        <v>322</v>
      </c>
      <c r="AU202" s="17" t="s">
        <v>322</v>
      </c>
      <c r="AV202" s="17" t="s">
        <v>188</v>
      </c>
      <c r="AW202" s="17" t="s">
        <v>322</v>
      </c>
      <c r="AX202" s="17" t="s">
        <v>322</v>
      </c>
      <c r="BB202" s="17" t="s">
        <v>315</v>
      </c>
      <c r="BC202" s="17" t="s">
        <v>316</v>
      </c>
      <c r="BD202" s="17" t="s">
        <v>317</v>
      </c>
      <c r="BE202" s="17" t="s">
        <v>318</v>
      </c>
      <c r="BF202" s="17" t="s">
        <v>319</v>
      </c>
      <c r="BH202" t="s">
        <v>746</v>
      </c>
    </row>
    <row r="203" spans="2:65" x14ac:dyDescent="0.3">
      <c r="W203" s="15" t="s">
        <v>539</v>
      </c>
      <c r="X203" s="17" t="s">
        <v>701</v>
      </c>
      <c r="Y203" s="17" t="s">
        <v>703</v>
      </c>
      <c r="Z203" s="17" t="s">
        <v>322</v>
      </c>
      <c r="AA203" s="17" t="s">
        <v>322</v>
      </c>
      <c r="AB203" s="17" t="s">
        <v>701</v>
      </c>
      <c r="AD203" t="s">
        <v>746</v>
      </c>
      <c r="AL203" s="15" t="s">
        <v>539</v>
      </c>
      <c r="AM203" s="17" t="s">
        <v>701</v>
      </c>
      <c r="AN203" s="17" t="s">
        <v>322</v>
      </c>
      <c r="AO203" s="17" t="s">
        <v>322</v>
      </c>
      <c r="AP203" s="17" t="s">
        <v>322</v>
      </c>
      <c r="AQ203" s="17" t="s">
        <v>701</v>
      </c>
      <c r="AS203" t="s">
        <v>514</v>
      </c>
      <c r="AT203" s="17" t="s">
        <v>322</v>
      </c>
      <c r="AU203" s="17" t="s">
        <v>322</v>
      </c>
      <c r="AV203" s="17" t="s">
        <v>188</v>
      </c>
      <c r="AW203" s="17" t="s">
        <v>322</v>
      </c>
      <c r="AX203" s="17" t="s">
        <v>188</v>
      </c>
      <c r="BA203" s="15" t="s">
        <v>539</v>
      </c>
      <c r="BB203" s="17" t="s">
        <v>701</v>
      </c>
      <c r="BC203" s="17" t="s">
        <v>703</v>
      </c>
      <c r="BD203" s="17" t="s">
        <v>322</v>
      </c>
      <c r="BE203" s="17" t="s">
        <v>322</v>
      </c>
      <c r="BF203" s="17" t="s">
        <v>701</v>
      </c>
      <c r="BI203" s="17" t="s">
        <v>315</v>
      </c>
      <c r="BJ203" s="17" t="s">
        <v>316</v>
      </c>
      <c r="BK203" s="17" t="s">
        <v>317</v>
      </c>
      <c r="BL203" s="17" t="s">
        <v>318</v>
      </c>
      <c r="BM203" s="17" t="s">
        <v>319</v>
      </c>
    </row>
    <row r="204" spans="2:65" x14ac:dyDescent="0.3">
      <c r="W204" s="15" t="s">
        <v>543</v>
      </c>
      <c r="X204" s="17" t="s">
        <v>701</v>
      </c>
      <c r="Y204" s="17" t="s">
        <v>703</v>
      </c>
      <c r="Z204" s="17" t="s">
        <v>675</v>
      </c>
      <c r="AA204" s="17" t="s">
        <v>322</v>
      </c>
      <c r="AB204" s="17" t="s">
        <v>701</v>
      </c>
      <c r="AE204" s="17" t="s">
        <v>315</v>
      </c>
      <c r="AF204" s="17" t="s">
        <v>316</v>
      </c>
      <c r="AG204" s="17" t="s">
        <v>317</v>
      </c>
      <c r="AH204" s="17" t="s">
        <v>318</v>
      </c>
      <c r="AI204" s="17" t="s">
        <v>319</v>
      </c>
      <c r="AL204" s="15" t="s">
        <v>543</v>
      </c>
      <c r="AM204" s="17" t="s">
        <v>701</v>
      </c>
      <c r="AN204" s="17" t="s">
        <v>703</v>
      </c>
      <c r="AO204" s="17" t="s">
        <v>675</v>
      </c>
      <c r="AP204" s="17" t="s">
        <v>322</v>
      </c>
      <c r="AQ204" s="17" t="s">
        <v>701</v>
      </c>
      <c r="AS204" t="s">
        <v>517</v>
      </c>
      <c r="AT204" s="17" t="s">
        <v>322</v>
      </c>
      <c r="AU204" s="17" t="s">
        <v>322</v>
      </c>
      <c r="AV204" s="17" t="s">
        <v>322</v>
      </c>
      <c r="AW204" s="17" t="s">
        <v>322</v>
      </c>
      <c r="AX204" s="17" t="s">
        <v>188</v>
      </c>
      <c r="BA204" s="15" t="s">
        <v>543</v>
      </c>
      <c r="BB204" s="17" t="s">
        <v>701</v>
      </c>
      <c r="BC204" s="17" t="s">
        <v>703</v>
      </c>
      <c r="BD204" s="17" t="s">
        <v>675</v>
      </c>
      <c r="BE204" s="17" t="s">
        <v>322</v>
      </c>
      <c r="BF204" s="17" t="s">
        <v>701</v>
      </c>
      <c r="BH204" t="s">
        <v>517</v>
      </c>
      <c r="BI204" s="17" t="s">
        <v>322</v>
      </c>
      <c r="BJ204" s="17" t="s">
        <v>322</v>
      </c>
      <c r="BK204" s="17" t="s">
        <v>322</v>
      </c>
      <c r="BL204" s="17" t="s">
        <v>81</v>
      </c>
      <c r="BM204" s="17" t="s">
        <v>322</v>
      </c>
    </row>
    <row r="205" spans="2:65" x14ac:dyDescent="0.3">
      <c r="W205" s="15" t="s">
        <v>573</v>
      </c>
      <c r="X205" s="17" t="s">
        <v>689</v>
      </c>
      <c r="Y205" s="17" t="s">
        <v>703</v>
      </c>
      <c r="Z205" s="17" t="s">
        <v>675</v>
      </c>
      <c r="AA205" s="17" t="s">
        <v>689</v>
      </c>
      <c r="AB205" s="17" t="s">
        <v>701</v>
      </c>
      <c r="AD205" t="s">
        <v>326</v>
      </c>
      <c r="AE205" s="17" t="s">
        <v>322</v>
      </c>
      <c r="AF205" s="17" t="s">
        <v>81</v>
      </c>
      <c r="AG205" s="17" t="s">
        <v>322</v>
      </c>
      <c r="AH205" s="17" t="s">
        <v>322</v>
      </c>
      <c r="AI205" s="17" t="s">
        <v>322</v>
      </c>
      <c r="AL205" s="15" t="s">
        <v>573</v>
      </c>
      <c r="AM205" s="17" t="s">
        <v>689</v>
      </c>
      <c r="AN205" s="17" t="s">
        <v>703</v>
      </c>
      <c r="AO205" s="17" t="s">
        <v>675</v>
      </c>
      <c r="AP205" s="17" t="s">
        <v>689</v>
      </c>
      <c r="AQ205" s="17" t="s">
        <v>701</v>
      </c>
      <c r="BA205" s="15" t="s">
        <v>573</v>
      </c>
      <c r="BB205" s="17" t="s">
        <v>689</v>
      </c>
      <c r="BC205" s="17" t="s">
        <v>703</v>
      </c>
      <c r="BD205" s="17" t="s">
        <v>675</v>
      </c>
      <c r="BE205" s="17" t="s">
        <v>689</v>
      </c>
      <c r="BF205" s="17" t="s">
        <v>701</v>
      </c>
      <c r="BH205" t="s">
        <v>326</v>
      </c>
      <c r="BI205" s="17" t="s">
        <v>322</v>
      </c>
      <c r="BJ205" s="17" t="s">
        <v>81</v>
      </c>
      <c r="BK205" s="17" t="s">
        <v>322</v>
      </c>
      <c r="BL205" s="17" t="s">
        <v>81</v>
      </c>
      <c r="BM205" s="17" t="s">
        <v>322</v>
      </c>
    </row>
    <row r="206" spans="2:65" x14ac:dyDescent="0.3">
      <c r="W206" s="15" t="s">
        <v>561</v>
      </c>
      <c r="X206" s="17" t="s">
        <v>689</v>
      </c>
      <c r="Y206" s="17" t="s">
        <v>703</v>
      </c>
      <c r="Z206" s="17" t="s">
        <v>675</v>
      </c>
      <c r="AA206" s="17" t="s">
        <v>689</v>
      </c>
      <c r="AB206" s="17" t="s">
        <v>706</v>
      </c>
      <c r="AD206" t="s">
        <v>328</v>
      </c>
      <c r="AE206" s="17" t="s">
        <v>322</v>
      </c>
      <c r="AF206" s="17" t="s">
        <v>81</v>
      </c>
      <c r="AG206" s="17" t="s">
        <v>322</v>
      </c>
      <c r="AH206" s="17" t="s">
        <v>81</v>
      </c>
      <c r="AI206" s="17" t="s">
        <v>322</v>
      </c>
      <c r="AL206" s="15" t="s">
        <v>561</v>
      </c>
      <c r="AM206" s="17" t="s">
        <v>689</v>
      </c>
      <c r="AN206" s="17" t="s">
        <v>703</v>
      </c>
      <c r="AO206" s="17" t="s">
        <v>675</v>
      </c>
      <c r="AP206" s="17" t="s">
        <v>689</v>
      </c>
      <c r="AQ206" s="17" t="s">
        <v>706</v>
      </c>
      <c r="AS206" t="s">
        <v>746</v>
      </c>
      <c r="BA206" s="15" t="s">
        <v>561</v>
      </c>
      <c r="BB206" s="17" t="s">
        <v>689</v>
      </c>
      <c r="BC206" s="17" t="s">
        <v>703</v>
      </c>
      <c r="BD206" s="17" t="s">
        <v>675</v>
      </c>
      <c r="BE206" s="17" t="s">
        <v>689</v>
      </c>
      <c r="BF206" s="17" t="s">
        <v>706</v>
      </c>
      <c r="BH206" t="s">
        <v>328</v>
      </c>
      <c r="BI206" s="17" t="s">
        <v>322</v>
      </c>
      <c r="BJ206" s="17" t="s">
        <v>81</v>
      </c>
      <c r="BK206" s="17" t="s">
        <v>322</v>
      </c>
      <c r="BL206" s="17" t="s">
        <v>322</v>
      </c>
      <c r="BM206" s="17" t="s">
        <v>322</v>
      </c>
    </row>
    <row r="207" spans="2:65" x14ac:dyDescent="0.3">
      <c r="W207" s="15" t="s">
        <v>551</v>
      </c>
      <c r="X207" s="17" t="s">
        <v>706</v>
      </c>
      <c r="Y207" s="17" t="s">
        <v>322</v>
      </c>
      <c r="Z207" s="17" t="s">
        <v>322</v>
      </c>
      <c r="AA207" s="17" t="s">
        <v>322</v>
      </c>
      <c r="AB207" s="17" t="s">
        <v>706</v>
      </c>
      <c r="AD207" t="s">
        <v>350</v>
      </c>
      <c r="AE207" s="17" t="s">
        <v>322</v>
      </c>
      <c r="AF207" s="17" t="s">
        <v>81</v>
      </c>
      <c r="AG207" s="17" t="s">
        <v>322</v>
      </c>
      <c r="AH207" s="17" t="s">
        <v>81</v>
      </c>
      <c r="AI207" s="17" t="s">
        <v>322</v>
      </c>
      <c r="AL207" s="15" t="s">
        <v>551</v>
      </c>
      <c r="AM207" s="17" t="s">
        <v>706</v>
      </c>
      <c r="AN207" s="17" t="s">
        <v>703</v>
      </c>
      <c r="AO207" s="17" t="s">
        <v>322</v>
      </c>
      <c r="AP207" s="17" t="s">
        <v>322</v>
      </c>
      <c r="AQ207" s="17" t="s">
        <v>706</v>
      </c>
      <c r="AT207" s="17" t="s">
        <v>315</v>
      </c>
      <c r="AU207" s="17" t="s">
        <v>316</v>
      </c>
      <c r="AV207" s="17" t="s">
        <v>317</v>
      </c>
      <c r="AW207" s="17" t="s">
        <v>318</v>
      </c>
      <c r="AX207" s="17" t="s">
        <v>319</v>
      </c>
      <c r="BA207" s="15" t="s">
        <v>551</v>
      </c>
      <c r="BB207" s="17" t="s">
        <v>706</v>
      </c>
      <c r="BC207" s="17" t="s">
        <v>322</v>
      </c>
      <c r="BD207" s="17" t="s">
        <v>322</v>
      </c>
      <c r="BE207" s="17" t="s">
        <v>322</v>
      </c>
      <c r="BF207" s="17" t="s">
        <v>706</v>
      </c>
      <c r="BH207" t="s">
        <v>350</v>
      </c>
      <c r="BI207" s="17" t="s">
        <v>322</v>
      </c>
      <c r="BJ207" s="17" t="s">
        <v>81</v>
      </c>
      <c r="BK207" s="17" t="s">
        <v>322</v>
      </c>
      <c r="BL207" s="17" t="s">
        <v>322</v>
      </c>
      <c r="BM207" s="17" t="s">
        <v>322</v>
      </c>
    </row>
    <row r="208" spans="2:65" x14ac:dyDescent="0.3">
      <c r="W208" s="15" t="s">
        <v>552</v>
      </c>
      <c r="X208" s="17" t="s">
        <v>706</v>
      </c>
      <c r="Y208" s="17" t="s">
        <v>322</v>
      </c>
      <c r="Z208" s="17" t="s">
        <v>322</v>
      </c>
      <c r="AA208" s="17" t="s">
        <v>322</v>
      </c>
      <c r="AB208" s="17" t="s">
        <v>706</v>
      </c>
      <c r="AD208" t="s">
        <v>536</v>
      </c>
      <c r="AE208" s="17" t="s">
        <v>322</v>
      </c>
      <c r="AF208" s="17" t="s">
        <v>108</v>
      </c>
      <c r="AG208" s="17" t="s">
        <v>322</v>
      </c>
      <c r="AH208" s="17" t="s">
        <v>108</v>
      </c>
      <c r="AI208" s="17" t="s">
        <v>322</v>
      </c>
      <c r="AL208" s="15" t="s">
        <v>552</v>
      </c>
      <c r="AM208" s="17" t="s">
        <v>706</v>
      </c>
      <c r="AN208" s="17" t="s">
        <v>322</v>
      </c>
      <c r="AO208" s="17" t="s">
        <v>322</v>
      </c>
      <c r="AP208" s="17" t="s">
        <v>322</v>
      </c>
      <c r="AQ208" s="17" t="s">
        <v>706</v>
      </c>
      <c r="AS208" t="s">
        <v>517</v>
      </c>
      <c r="AT208" s="17" t="s">
        <v>322</v>
      </c>
      <c r="AU208" s="17" t="s">
        <v>322</v>
      </c>
      <c r="AV208" s="17" t="s">
        <v>322</v>
      </c>
      <c r="AW208" s="17" t="s">
        <v>81</v>
      </c>
      <c r="AX208" s="17" t="s">
        <v>322</v>
      </c>
      <c r="BA208" s="15" t="s">
        <v>552</v>
      </c>
      <c r="BB208" s="17" t="s">
        <v>706</v>
      </c>
      <c r="BC208" s="17" t="s">
        <v>322</v>
      </c>
      <c r="BD208" s="17" t="s">
        <v>322</v>
      </c>
      <c r="BE208" s="17" t="s">
        <v>322</v>
      </c>
      <c r="BF208" s="17" t="s">
        <v>706</v>
      </c>
      <c r="BH208" t="s">
        <v>536</v>
      </c>
      <c r="BI208" s="17" t="s">
        <v>322</v>
      </c>
      <c r="BJ208" s="17" t="s">
        <v>108</v>
      </c>
      <c r="BK208" s="17" t="s">
        <v>322</v>
      </c>
      <c r="BL208" s="17" t="s">
        <v>108</v>
      </c>
      <c r="BM208" s="17" t="s">
        <v>322</v>
      </c>
    </row>
    <row r="209" spans="23:65" x14ac:dyDescent="0.3">
      <c r="W209" s="15" t="s">
        <v>554</v>
      </c>
      <c r="X209" s="17" t="s">
        <v>322</v>
      </c>
      <c r="Y209" s="17" t="s">
        <v>322</v>
      </c>
      <c r="Z209" s="17" t="s">
        <v>322</v>
      </c>
      <c r="AA209" s="17" t="s">
        <v>322</v>
      </c>
      <c r="AB209" s="17" t="s">
        <v>322</v>
      </c>
      <c r="AD209" t="s">
        <v>539</v>
      </c>
      <c r="AE209" s="17" t="s">
        <v>322</v>
      </c>
      <c r="AF209" s="17" t="s">
        <v>108</v>
      </c>
      <c r="AG209" s="17" t="s">
        <v>322</v>
      </c>
      <c r="AH209" s="17" t="s">
        <v>108</v>
      </c>
      <c r="AI209" s="17" t="s">
        <v>322</v>
      </c>
      <c r="AL209" s="15" t="s">
        <v>554</v>
      </c>
      <c r="AM209" s="17" t="s">
        <v>322</v>
      </c>
      <c r="AN209" s="17" t="s">
        <v>322</v>
      </c>
      <c r="AO209" s="17" t="s">
        <v>322</v>
      </c>
      <c r="AP209" s="17" t="s">
        <v>322</v>
      </c>
      <c r="AQ209" s="17" t="s">
        <v>322</v>
      </c>
      <c r="AS209" t="s">
        <v>326</v>
      </c>
      <c r="AT209" s="17" t="s">
        <v>322</v>
      </c>
      <c r="AU209" s="17" t="s">
        <v>81</v>
      </c>
      <c r="AV209" s="17" t="s">
        <v>322</v>
      </c>
      <c r="AW209" s="17" t="s">
        <v>81</v>
      </c>
      <c r="AX209" s="17" t="s">
        <v>322</v>
      </c>
      <c r="BA209" s="15" t="s">
        <v>554</v>
      </c>
      <c r="BB209" s="17" t="s">
        <v>322</v>
      </c>
      <c r="BC209" s="17" t="s">
        <v>322</v>
      </c>
      <c r="BD209" s="17" t="s">
        <v>322</v>
      </c>
      <c r="BE209" s="17" t="s">
        <v>322</v>
      </c>
      <c r="BF209" s="17" t="s">
        <v>322</v>
      </c>
      <c r="BH209" t="s">
        <v>539</v>
      </c>
      <c r="BI209" s="17" t="s">
        <v>322</v>
      </c>
      <c r="BJ209" s="17" t="s">
        <v>108</v>
      </c>
      <c r="BK209" s="17" t="s">
        <v>322</v>
      </c>
      <c r="BL209" s="17" t="s">
        <v>108</v>
      </c>
      <c r="BM209" s="17" t="s">
        <v>322</v>
      </c>
    </row>
    <row r="210" spans="23:65" x14ac:dyDescent="0.3">
      <c r="AD210" t="s">
        <v>543</v>
      </c>
      <c r="AE210" s="17" t="s">
        <v>322</v>
      </c>
      <c r="AF210" s="17" t="s">
        <v>111</v>
      </c>
      <c r="AG210" s="17" t="s">
        <v>322</v>
      </c>
      <c r="AH210" s="17" t="s">
        <v>108</v>
      </c>
      <c r="AI210" s="17" t="s">
        <v>322</v>
      </c>
      <c r="AS210" t="s">
        <v>328</v>
      </c>
      <c r="AT210" s="17" t="s">
        <v>322</v>
      </c>
      <c r="AU210" s="17" t="s">
        <v>81</v>
      </c>
      <c r="AV210" s="17" t="s">
        <v>322</v>
      </c>
      <c r="AW210" s="17" t="s">
        <v>322</v>
      </c>
      <c r="AX210" s="17" t="s">
        <v>322</v>
      </c>
      <c r="BH210" t="s">
        <v>543</v>
      </c>
      <c r="BI210" s="17" t="s">
        <v>322</v>
      </c>
      <c r="BJ210" s="17" t="s">
        <v>111</v>
      </c>
      <c r="BK210" s="17" t="s">
        <v>322</v>
      </c>
      <c r="BL210" s="17" t="s">
        <v>108</v>
      </c>
      <c r="BM210" s="17" t="s">
        <v>322</v>
      </c>
    </row>
    <row r="211" spans="23:65" x14ac:dyDescent="0.3">
      <c r="W211" s="15" t="s">
        <v>709</v>
      </c>
      <c r="AD211" t="s">
        <v>573</v>
      </c>
      <c r="AE211" s="17" t="s">
        <v>322</v>
      </c>
      <c r="AF211" s="17" t="s">
        <v>111</v>
      </c>
      <c r="AG211" s="17" t="s">
        <v>322</v>
      </c>
      <c r="AH211" s="17" t="s">
        <v>322</v>
      </c>
      <c r="AI211" s="17" t="s">
        <v>322</v>
      </c>
      <c r="AL211" s="15" t="s">
        <v>709</v>
      </c>
      <c r="AS211" t="s">
        <v>350</v>
      </c>
      <c r="AT211" s="17" t="s">
        <v>322</v>
      </c>
      <c r="AU211" s="17" t="s">
        <v>81</v>
      </c>
      <c r="AV211" s="17" t="s">
        <v>322</v>
      </c>
      <c r="AW211" s="17" t="s">
        <v>322</v>
      </c>
      <c r="AX211" s="17" t="s">
        <v>322</v>
      </c>
      <c r="BA211" s="15" t="s">
        <v>709</v>
      </c>
      <c r="BH211" t="s">
        <v>573</v>
      </c>
      <c r="BI211" s="17" t="s">
        <v>322</v>
      </c>
      <c r="BJ211" s="17" t="s">
        <v>111</v>
      </c>
      <c r="BK211" s="17" t="s">
        <v>322</v>
      </c>
      <c r="BL211" s="17" t="s">
        <v>322</v>
      </c>
      <c r="BM211" s="17" t="s">
        <v>322</v>
      </c>
    </row>
    <row r="212" spans="23:65" x14ac:dyDescent="0.3">
      <c r="X212" s="17" t="s">
        <v>315</v>
      </c>
      <c r="Y212" s="17" t="s">
        <v>316</v>
      </c>
      <c r="Z212" s="17" t="s">
        <v>317</v>
      </c>
      <c r="AA212" s="17" t="s">
        <v>318</v>
      </c>
      <c r="AB212" s="17" t="s">
        <v>319</v>
      </c>
      <c r="AM212" s="17" t="s">
        <v>315</v>
      </c>
      <c r="AN212" s="17" t="s">
        <v>316</v>
      </c>
      <c r="AO212" s="17" t="s">
        <v>317</v>
      </c>
      <c r="AP212" s="17" t="s">
        <v>318</v>
      </c>
      <c r="AQ212" s="17" t="s">
        <v>319</v>
      </c>
      <c r="AS212" t="s">
        <v>536</v>
      </c>
      <c r="AT212" s="17" t="s">
        <v>322</v>
      </c>
      <c r="AU212" s="17" t="s">
        <v>108</v>
      </c>
      <c r="AV212" s="17" t="s">
        <v>322</v>
      </c>
      <c r="AW212" s="17" t="s">
        <v>111</v>
      </c>
      <c r="AX212" s="17" t="s">
        <v>322</v>
      </c>
      <c r="BB212" s="17" t="s">
        <v>315</v>
      </c>
      <c r="BC212" s="17" t="s">
        <v>316</v>
      </c>
      <c r="BD212" s="17" t="s">
        <v>317</v>
      </c>
      <c r="BE212" s="17" t="s">
        <v>318</v>
      </c>
      <c r="BF212" s="17" t="s">
        <v>319</v>
      </c>
    </row>
    <row r="213" spans="23:65" x14ac:dyDescent="0.3">
      <c r="W213" s="15" t="s">
        <v>539</v>
      </c>
      <c r="X213" s="17" t="s">
        <v>322</v>
      </c>
      <c r="Y213" s="17" t="s">
        <v>710</v>
      </c>
      <c r="Z213" s="17" t="s">
        <v>322</v>
      </c>
      <c r="AA213" s="17" t="s">
        <v>322</v>
      </c>
      <c r="AB213" s="17" t="s">
        <v>322</v>
      </c>
      <c r="AD213" t="s">
        <v>757</v>
      </c>
      <c r="AL213" s="15" t="s">
        <v>539</v>
      </c>
      <c r="AM213" s="17" t="s">
        <v>322</v>
      </c>
      <c r="AN213" s="17" t="s">
        <v>710</v>
      </c>
      <c r="AO213" s="17" t="s">
        <v>322</v>
      </c>
      <c r="AP213" s="17" t="s">
        <v>322</v>
      </c>
      <c r="AQ213" s="17" t="s">
        <v>322</v>
      </c>
      <c r="AS213" t="s">
        <v>539</v>
      </c>
      <c r="AT213" s="17" t="s">
        <v>322</v>
      </c>
      <c r="AU213" s="17" t="s">
        <v>108</v>
      </c>
      <c r="AV213" s="17" t="s">
        <v>322</v>
      </c>
      <c r="AW213" s="17" t="s">
        <v>111</v>
      </c>
      <c r="AX213" s="17" t="s">
        <v>322</v>
      </c>
      <c r="BA213" s="15" t="s">
        <v>539</v>
      </c>
      <c r="BB213" s="17" t="s">
        <v>322</v>
      </c>
      <c r="BC213" s="17" t="s">
        <v>710</v>
      </c>
      <c r="BD213" s="17" t="s">
        <v>322</v>
      </c>
      <c r="BE213" s="17" t="s">
        <v>322</v>
      </c>
      <c r="BF213" s="17" t="s">
        <v>322</v>
      </c>
      <c r="BH213" t="s">
        <v>757</v>
      </c>
    </row>
    <row r="214" spans="23:65" x14ac:dyDescent="0.3">
      <c r="W214" s="15" t="s">
        <v>543</v>
      </c>
      <c r="X214" s="17" t="s">
        <v>322</v>
      </c>
      <c r="Y214" s="17" t="s">
        <v>710</v>
      </c>
      <c r="Z214" s="17" t="s">
        <v>675</v>
      </c>
      <c r="AA214" s="17" t="s">
        <v>322</v>
      </c>
      <c r="AB214" s="17" t="s">
        <v>322</v>
      </c>
      <c r="AE214" s="17" t="s">
        <v>315</v>
      </c>
      <c r="AF214" s="17" t="s">
        <v>316</v>
      </c>
      <c r="AG214" s="17" t="s">
        <v>317</v>
      </c>
      <c r="AH214" s="17" t="s">
        <v>318</v>
      </c>
      <c r="AI214" s="17" t="s">
        <v>319</v>
      </c>
      <c r="AL214" s="15" t="s">
        <v>543</v>
      </c>
      <c r="AM214" s="17" t="s">
        <v>322</v>
      </c>
      <c r="AN214" s="17" t="s">
        <v>710</v>
      </c>
      <c r="AO214" s="17" t="s">
        <v>675</v>
      </c>
      <c r="AP214" s="17" t="s">
        <v>322</v>
      </c>
      <c r="AQ214" s="17" t="s">
        <v>322</v>
      </c>
      <c r="AS214" t="s">
        <v>543</v>
      </c>
      <c r="AT214" s="17" t="s">
        <v>322</v>
      </c>
      <c r="AU214" s="17" t="s">
        <v>108</v>
      </c>
      <c r="AV214" s="17" t="s">
        <v>322</v>
      </c>
      <c r="AW214" s="17" t="s">
        <v>108</v>
      </c>
      <c r="AX214" s="17" t="s">
        <v>322</v>
      </c>
      <c r="BA214" s="15" t="s">
        <v>543</v>
      </c>
      <c r="BB214" s="17" t="s">
        <v>322</v>
      </c>
      <c r="BC214" s="17" t="s">
        <v>710</v>
      </c>
      <c r="BD214" s="17" t="s">
        <v>675</v>
      </c>
      <c r="BE214" s="17" t="s">
        <v>322</v>
      </c>
      <c r="BF214" s="17" t="s">
        <v>322</v>
      </c>
      <c r="BI214" s="17" t="s">
        <v>315</v>
      </c>
      <c r="BJ214" s="17" t="s">
        <v>316</v>
      </c>
      <c r="BK214" s="17" t="s">
        <v>317</v>
      </c>
      <c r="BL214" s="17" t="s">
        <v>318</v>
      </c>
      <c r="BM214" s="17" t="s">
        <v>319</v>
      </c>
    </row>
    <row r="215" spans="23:65" x14ac:dyDescent="0.3">
      <c r="W215" s="15" t="s">
        <v>573</v>
      </c>
      <c r="X215" s="17" t="s">
        <v>689</v>
      </c>
      <c r="Y215" s="17" t="s">
        <v>710</v>
      </c>
      <c r="Z215" s="17" t="s">
        <v>675</v>
      </c>
      <c r="AA215" s="17" t="s">
        <v>689</v>
      </c>
      <c r="AB215" s="17" t="s">
        <v>712</v>
      </c>
      <c r="AD215" t="s">
        <v>573</v>
      </c>
      <c r="AE215" s="17" t="s">
        <v>246</v>
      </c>
      <c r="AF215" s="17" t="s">
        <v>322</v>
      </c>
      <c r="AG215" s="17" t="s">
        <v>322</v>
      </c>
      <c r="AH215" s="17" t="s">
        <v>246</v>
      </c>
      <c r="AI215" s="17" t="s">
        <v>322</v>
      </c>
      <c r="AL215" s="15" t="s">
        <v>573</v>
      </c>
      <c r="AM215" s="17" t="s">
        <v>689</v>
      </c>
      <c r="AN215" s="17" t="s">
        <v>710</v>
      </c>
      <c r="AO215" s="17" t="s">
        <v>675</v>
      </c>
      <c r="AP215" s="17" t="s">
        <v>689</v>
      </c>
      <c r="AQ215" s="17" t="s">
        <v>712</v>
      </c>
      <c r="AS215" t="s">
        <v>573</v>
      </c>
      <c r="AT215" s="17" t="s">
        <v>322</v>
      </c>
      <c r="AU215" s="17" t="s">
        <v>322</v>
      </c>
      <c r="AV215" s="17" t="s">
        <v>322</v>
      </c>
      <c r="AW215" s="17" t="s">
        <v>108</v>
      </c>
      <c r="AX215" s="17" t="s">
        <v>322</v>
      </c>
      <c r="BA215" s="15" t="s">
        <v>573</v>
      </c>
      <c r="BB215" s="17" t="s">
        <v>689</v>
      </c>
      <c r="BC215" s="17" t="s">
        <v>710</v>
      </c>
      <c r="BD215" s="17" t="s">
        <v>675</v>
      </c>
      <c r="BE215" s="17" t="s">
        <v>689</v>
      </c>
      <c r="BF215" s="17" t="s">
        <v>712</v>
      </c>
      <c r="BH215" t="s">
        <v>573</v>
      </c>
      <c r="BI215" s="17" t="s">
        <v>246</v>
      </c>
      <c r="BJ215" s="17" t="s">
        <v>322</v>
      </c>
      <c r="BK215" s="17" t="s">
        <v>322</v>
      </c>
      <c r="BL215" s="17" t="s">
        <v>322</v>
      </c>
      <c r="BM215" s="17" t="s">
        <v>322</v>
      </c>
    </row>
    <row r="216" spans="23:65" x14ac:dyDescent="0.3">
      <c r="W216" s="15" t="s">
        <v>561</v>
      </c>
      <c r="X216" s="17" t="s">
        <v>689</v>
      </c>
      <c r="Y216" s="17" t="s">
        <v>710</v>
      </c>
      <c r="Z216" s="17" t="s">
        <v>675</v>
      </c>
      <c r="AA216" s="17" t="s">
        <v>689</v>
      </c>
      <c r="AB216" s="17" t="s">
        <v>712</v>
      </c>
      <c r="AD216" t="s">
        <v>561</v>
      </c>
      <c r="AE216" s="17" t="s">
        <v>246</v>
      </c>
      <c r="AF216" s="17" t="s">
        <v>322</v>
      </c>
      <c r="AG216" s="17" t="s">
        <v>322</v>
      </c>
      <c r="AH216" s="17" t="s">
        <v>246</v>
      </c>
      <c r="AI216" s="17" t="s">
        <v>322</v>
      </c>
      <c r="AL216" s="15" t="s">
        <v>561</v>
      </c>
      <c r="AM216" s="17" t="s">
        <v>689</v>
      </c>
      <c r="AN216" s="17" t="s">
        <v>710</v>
      </c>
      <c r="AO216" s="17" t="s">
        <v>675</v>
      </c>
      <c r="AP216" s="17" t="s">
        <v>689</v>
      </c>
      <c r="AQ216" s="17" t="s">
        <v>712</v>
      </c>
      <c r="BA216" s="15" t="s">
        <v>561</v>
      </c>
      <c r="BB216" s="17" t="s">
        <v>689</v>
      </c>
      <c r="BC216" s="17" t="s">
        <v>710</v>
      </c>
      <c r="BD216" s="17" t="s">
        <v>675</v>
      </c>
      <c r="BE216" s="17" t="s">
        <v>689</v>
      </c>
      <c r="BF216" s="17" t="s">
        <v>712</v>
      </c>
      <c r="BH216" t="s">
        <v>561</v>
      </c>
      <c r="BI216" s="17" t="s">
        <v>246</v>
      </c>
      <c r="BJ216" s="17" t="s">
        <v>322</v>
      </c>
      <c r="BK216" s="17" t="s">
        <v>322</v>
      </c>
      <c r="BL216" s="17" t="s">
        <v>246</v>
      </c>
      <c r="BM216" s="17" t="s">
        <v>322</v>
      </c>
    </row>
    <row r="217" spans="23:65" x14ac:dyDescent="0.3">
      <c r="W217" s="15" t="s">
        <v>551</v>
      </c>
      <c r="X217" s="17" t="s">
        <v>713</v>
      </c>
      <c r="Y217" s="17" t="s">
        <v>712</v>
      </c>
      <c r="Z217" s="17" t="s">
        <v>714</v>
      </c>
      <c r="AA217" s="17" t="s">
        <v>713</v>
      </c>
      <c r="AB217" s="17" t="s">
        <v>714</v>
      </c>
      <c r="AL217" s="15" t="s">
        <v>551</v>
      </c>
      <c r="AM217" s="17" t="s">
        <v>713</v>
      </c>
      <c r="AN217" s="17" t="s">
        <v>712</v>
      </c>
      <c r="AO217" s="17" t="s">
        <v>714</v>
      </c>
      <c r="AP217" s="17" t="s">
        <v>713</v>
      </c>
      <c r="AQ217" s="17" t="s">
        <v>714</v>
      </c>
      <c r="AS217" t="s">
        <v>757</v>
      </c>
      <c r="BA217" s="15" t="s">
        <v>551</v>
      </c>
      <c r="BB217" s="17" t="s">
        <v>713</v>
      </c>
      <c r="BC217" s="17" t="s">
        <v>712</v>
      </c>
      <c r="BD217" s="17" t="s">
        <v>714</v>
      </c>
      <c r="BE217" s="17" t="s">
        <v>713</v>
      </c>
      <c r="BF217" s="17" t="s">
        <v>714</v>
      </c>
      <c r="BH217" t="s">
        <v>551</v>
      </c>
      <c r="BI217" s="17" t="s">
        <v>322</v>
      </c>
      <c r="BJ217" s="17" t="s">
        <v>322</v>
      </c>
      <c r="BK217" s="17" t="s">
        <v>322</v>
      </c>
      <c r="BL217" s="17" t="s">
        <v>246</v>
      </c>
      <c r="BM217" s="17" t="s">
        <v>322</v>
      </c>
    </row>
    <row r="218" spans="23:65" x14ac:dyDescent="0.3">
      <c r="W218" s="15" t="s">
        <v>552</v>
      </c>
      <c r="X218" s="17" t="s">
        <v>713</v>
      </c>
      <c r="Y218" s="17" t="s">
        <v>712</v>
      </c>
      <c r="Z218" s="17" t="s">
        <v>714</v>
      </c>
      <c r="AA218" s="17" t="s">
        <v>713</v>
      </c>
      <c r="AB218" s="17" t="s">
        <v>714</v>
      </c>
      <c r="AD218" t="s">
        <v>760</v>
      </c>
      <c r="AL218" s="15" t="s">
        <v>552</v>
      </c>
      <c r="AM218" s="17" t="s">
        <v>713</v>
      </c>
      <c r="AN218" s="17" t="s">
        <v>712</v>
      </c>
      <c r="AO218" s="17" t="s">
        <v>714</v>
      </c>
      <c r="AP218" s="17" t="s">
        <v>713</v>
      </c>
      <c r="AQ218" s="17" t="s">
        <v>714</v>
      </c>
      <c r="AT218" s="17" t="s">
        <v>315</v>
      </c>
      <c r="AU218" s="17" t="s">
        <v>316</v>
      </c>
      <c r="AV218" s="17" t="s">
        <v>317</v>
      </c>
      <c r="AW218" s="17" t="s">
        <v>318</v>
      </c>
      <c r="AX218" s="17" t="s">
        <v>319</v>
      </c>
      <c r="BA218" s="15" t="s">
        <v>552</v>
      </c>
      <c r="BB218" s="17" t="s">
        <v>713</v>
      </c>
      <c r="BC218" s="17" t="s">
        <v>712</v>
      </c>
      <c r="BD218" s="17" t="s">
        <v>714</v>
      </c>
      <c r="BE218" s="17" t="s">
        <v>713</v>
      </c>
      <c r="BF218" s="17" t="s">
        <v>714</v>
      </c>
    </row>
    <row r="219" spans="23:65" x14ac:dyDescent="0.3">
      <c r="W219" s="15" t="s">
        <v>554</v>
      </c>
      <c r="X219" s="17" t="s">
        <v>713</v>
      </c>
      <c r="Y219" s="17" t="s">
        <v>322</v>
      </c>
      <c r="Z219" s="17" t="s">
        <v>322</v>
      </c>
      <c r="AA219" s="17" t="s">
        <v>322</v>
      </c>
      <c r="AB219" s="17" t="s">
        <v>714</v>
      </c>
      <c r="AE219" s="17" t="s">
        <v>315</v>
      </c>
      <c r="AF219" s="17" t="s">
        <v>316</v>
      </c>
      <c r="AG219" s="17" t="s">
        <v>317</v>
      </c>
      <c r="AH219" s="17" t="s">
        <v>318</v>
      </c>
      <c r="AI219" s="17" t="s">
        <v>319</v>
      </c>
      <c r="AL219" s="15" t="s">
        <v>554</v>
      </c>
      <c r="AM219" s="17" t="s">
        <v>322</v>
      </c>
      <c r="AN219" s="17" t="s">
        <v>322</v>
      </c>
      <c r="AO219" s="17" t="s">
        <v>714</v>
      </c>
      <c r="AP219" s="17" t="s">
        <v>713</v>
      </c>
      <c r="AQ219" s="17" t="s">
        <v>322</v>
      </c>
      <c r="AS219" t="s">
        <v>573</v>
      </c>
      <c r="AT219" s="17" t="s">
        <v>246</v>
      </c>
      <c r="AU219" s="17" t="s">
        <v>322</v>
      </c>
      <c r="AV219" s="17" t="s">
        <v>322</v>
      </c>
      <c r="AW219" s="17" t="s">
        <v>246</v>
      </c>
      <c r="AX219" s="17" t="s">
        <v>322</v>
      </c>
      <c r="BA219" s="15" t="s">
        <v>554</v>
      </c>
      <c r="BB219" s="17" t="s">
        <v>713</v>
      </c>
      <c r="BC219" s="17" t="s">
        <v>322</v>
      </c>
      <c r="BD219" s="17" t="s">
        <v>714</v>
      </c>
      <c r="BE219" s="17" t="s">
        <v>322</v>
      </c>
      <c r="BF219" s="17" t="s">
        <v>322</v>
      </c>
      <c r="BH219" t="s">
        <v>760</v>
      </c>
    </row>
    <row r="220" spans="23:65" x14ac:dyDescent="0.3">
      <c r="AD220" t="s">
        <v>512</v>
      </c>
      <c r="AE220" s="17" t="s">
        <v>322</v>
      </c>
      <c r="AF220" s="17" t="s">
        <v>164</v>
      </c>
      <c r="AG220" s="17" t="s">
        <v>322</v>
      </c>
      <c r="AH220" s="17" t="s">
        <v>164</v>
      </c>
      <c r="AI220" s="17" t="s">
        <v>322</v>
      </c>
      <c r="AS220" t="s">
        <v>561</v>
      </c>
      <c r="AT220" s="17" t="s">
        <v>246</v>
      </c>
      <c r="AU220" s="17" t="s">
        <v>322</v>
      </c>
      <c r="AV220" s="17" t="s">
        <v>322</v>
      </c>
      <c r="AW220" s="17" t="s">
        <v>246</v>
      </c>
      <c r="AX220" s="17" t="s">
        <v>322</v>
      </c>
      <c r="BI220" s="17" t="s">
        <v>315</v>
      </c>
      <c r="BJ220" s="17" t="s">
        <v>316</v>
      </c>
      <c r="BK220" s="17" t="s">
        <v>317</v>
      </c>
      <c r="BL220" s="17" t="s">
        <v>318</v>
      </c>
      <c r="BM220" s="17" t="s">
        <v>319</v>
      </c>
    </row>
    <row r="221" spans="23:65" x14ac:dyDescent="0.3">
      <c r="W221" s="15" t="s">
        <v>716</v>
      </c>
      <c r="AD221" t="s">
        <v>514</v>
      </c>
      <c r="AE221" s="17" t="s">
        <v>322</v>
      </c>
      <c r="AF221" s="17" t="s">
        <v>164</v>
      </c>
      <c r="AG221" s="17" t="s">
        <v>322</v>
      </c>
      <c r="AH221" s="17" t="s">
        <v>164</v>
      </c>
      <c r="AI221" s="17" t="s">
        <v>322</v>
      </c>
      <c r="AL221" s="15" t="s">
        <v>716</v>
      </c>
      <c r="BA221" s="15" t="s">
        <v>716</v>
      </c>
      <c r="BH221" t="s">
        <v>512</v>
      </c>
      <c r="BI221" s="17" t="s">
        <v>322</v>
      </c>
      <c r="BJ221" s="17" t="s">
        <v>164</v>
      </c>
      <c r="BK221" s="17" t="s">
        <v>322</v>
      </c>
      <c r="BL221" s="17" t="s">
        <v>164</v>
      </c>
      <c r="BM221" s="17" t="s">
        <v>322</v>
      </c>
    </row>
    <row r="222" spans="23:65" x14ac:dyDescent="0.3">
      <c r="X222" s="17" t="s">
        <v>315</v>
      </c>
      <c r="Y222" s="17" t="s">
        <v>316</v>
      </c>
      <c r="Z222" s="17" t="s">
        <v>317</v>
      </c>
      <c r="AA222" s="17" t="s">
        <v>318</v>
      </c>
      <c r="AB222" s="17" t="s">
        <v>319</v>
      </c>
      <c r="AM222" s="17" t="s">
        <v>315</v>
      </c>
      <c r="AN222" s="17" t="s">
        <v>316</v>
      </c>
      <c r="AO222" s="17" t="s">
        <v>317</v>
      </c>
      <c r="AP222" s="17" t="s">
        <v>318</v>
      </c>
      <c r="AQ222" s="17" t="s">
        <v>319</v>
      </c>
      <c r="AS222" t="s">
        <v>760</v>
      </c>
      <c r="BB222" s="17" t="s">
        <v>315</v>
      </c>
      <c r="BC222" s="17" t="s">
        <v>316</v>
      </c>
      <c r="BD222" s="17" t="s">
        <v>317</v>
      </c>
      <c r="BE222" s="17" t="s">
        <v>318</v>
      </c>
      <c r="BF222" s="17" t="s">
        <v>319</v>
      </c>
      <c r="BH222" t="s">
        <v>514</v>
      </c>
      <c r="BI222" s="17" t="s">
        <v>322</v>
      </c>
      <c r="BJ222" s="17" t="s">
        <v>164</v>
      </c>
      <c r="BK222" s="17" t="s">
        <v>322</v>
      </c>
      <c r="BL222" s="17" t="s">
        <v>164</v>
      </c>
      <c r="BM222" s="17" t="s">
        <v>322</v>
      </c>
    </row>
    <row r="223" spans="23:65" x14ac:dyDescent="0.3">
      <c r="W223" s="15" t="s">
        <v>539</v>
      </c>
      <c r="X223" s="17" t="s">
        <v>717</v>
      </c>
      <c r="Y223" s="17" t="s">
        <v>710</v>
      </c>
      <c r="Z223" s="17" t="s">
        <v>687</v>
      </c>
      <c r="AA223" s="17" t="s">
        <v>322</v>
      </c>
      <c r="AB223" s="17" t="s">
        <v>322</v>
      </c>
      <c r="AD223" t="s">
        <v>769</v>
      </c>
      <c r="AL223" s="15" t="s">
        <v>539</v>
      </c>
      <c r="AM223" s="17" t="s">
        <v>717</v>
      </c>
      <c r="AN223" s="17" t="s">
        <v>710</v>
      </c>
      <c r="AO223" s="17" t="s">
        <v>687</v>
      </c>
      <c r="AP223" s="17" t="s">
        <v>322</v>
      </c>
      <c r="AQ223" s="17" t="s">
        <v>717</v>
      </c>
      <c r="AT223" s="17" t="s">
        <v>315</v>
      </c>
      <c r="AU223" s="17" t="s">
        <v>316</v>
      </c>
      <c r="AV223" s="17" t="s">
        <v>317</v>
      </c>
      <c r="AW223" s="17" t="s">
        <v>318</v>
      </c>
      <c r="AX223" s="17" t="s">
        <v>319</v>
      </c>
      <c r="BA223" s="15" t="s">
        <v>539</v>
      </c>
      <c r="BB223" s="17" t="s">
        <v>717</v>
      </c>
      <c r="BC223" s="17" t="s">
        <v>710</v>
      </c>
      <c r="BD223" s="17" t="s">
        <v>687</v>
      </c>
      <c r="BE223" s="17" t="s">
        <v>717</v>
      </c>
      <c r="BF223" s="17" t="s">
        <v>322</v>
      </c>
    </row>
    <row r="224" spans="23:65" x14ac:dyDescent="0.3">
      <c r="W224" s="15" t="s">
        <v>543</v>
      </c>
      <c r="X224" s="17" t="s">
        <v>717</v>
      </c>
      <c r="Y224" s="17" t="s">
        <v>710</v>
      </c>
      <c r="Z224" s="17" t="s">
        <v>687</v>
      </c>
      <c r="AA224" s="17" t="s">
        <v>322</v>
      </c>
      <c r="AB224" s="17" t="s">
        <v>322</v>
      </c>
      <c r="AE224" s="17" t="s">
        <v>315</v>
      </c>
      <c r="AF224" s="17" t="s">
        <v>316</v>
      </c>
      <c r="AG224" s="17" t="s">
        <v>317</v>
      </c>
      <c r="AH224" s="17" t="s">
        <v>318</v>
      </c>
      <c r="AI224" s="17" t="s">
        <v>319</v>
      </c>
      <c r="AL224" s="15" t="s">
        <v>543</v>
      </c>
      <c r="AM224" s="17" t="s">
        <v>717</v>
      </c>
      <c r="AN224" s="17" t="s">
        <v>710</v>
      </c>
      <c r="AO224" s="17" t="s">
        <v>687</v>
      </c>
      <c r="AP224" s="17" t="s">
        <v>322</v>
      </c>
      <c r="AQ224" s="17" t="s">
        <v>717</v>
      </c>
      <c r="AS224" t="s">
        <v>512</v>
      </c>
      <c r="AT224" s="17" t="s">
        <v>322</v>
      </c>
      <c r="AU224" s="17" t="s">
        <v>164</v>
      </c>
      <c r="AV224" s="17" t="s">
        <v>322</v>
      </c>
      <c r="AW224" s="17" t="s">
        <v>164</v>
      </c>
      <c r="AX224" s="17" t="s">
        <v>322</v>
      </c>
      <c r="BA224" s="15" t="s">
        <v>543</v>
      </c>
      <c r="BB224" s="17" t="s">
        <v>717</v>
      </c>
      <c r="BC224" s="17" t="s">
        <v>710</v>
      </c>
      <c r="BD224" s="17" t="s">
        <v>687</v>
      </c>
      <c r="BE224" s="17" t="s">
        <v>717</v>
      </c>
      <c r="BF224" s="17" t="s">
        <v>322</v>
      </c>
      <c r="BH224" t="s">
        <v>769</v>
      </c>
    </row>
    <row r="225" spans="23:65" x14ac:dyDescent="0.3">
      <c r="W225" s="15" t="s">
        <v>573</v>
      </c>
      <c r="X225" s="17" t="s">
        <v>689</v>
      </c>
      <c r="Y225" s="17" t="s">
        <v>710</v>
      </c>
      <c r="Z225" s="17" t="s">
        <v>687</v>
      </c>
      <c r="AA225" s="17" t="s">
        <v>689</v>
      </c>
      <c r="AB225" s="17" t="s">
        <v>719</v>
      </c>
      <c r="AD225" t="s">
        <v>573</v>
      </c>
      <c r="AE225" s="17" t="s">
        <v>322</v>
      </c>
      <c r="AF225" s="17" t="s">
        <v>322</v>
      </c>
      <c r="AG225" s="17" t="s">
        <v>322</v>
      </c>
      <c r="AH225" s="17" t="s">
        <v>322</v>
      </c>
      <c r="AI225" s="17" t="s">
        <v>228</v>
      </c>
      <c r="AL225" s="15" t="s">
        <v>573</v>
      </c>
      <c r="AM225" s="17" t="s">
        <v>689</v>
      </c>
      <c r="AN225" s="17" t="s">
        <v>710</v>
      </c>
      <c r="AO225" s="17" t="s">
        <v>687</v>
      </c>
      <c r="AP225" s="17" t="s">
        <v>689</v>
      </c>
      <c r="AQ225" s="17" t="s">
        <v>719</v>
      </c>
      <c r="AS225" t="s">
        <v>514</v>
      </c>
      <c r="AT225" s="17" t="s">
        <v>322</v>
      </c>
      <c r="AU225" s="17" t="s">
        <v>164</v>
      </c>
      <c r="AV225" s="17" t="s">
        <v>322</v>
      </c>
      <c r="AW225" s="17" t="s">
        <v>164</v>
      </c>
      <c r="AX225" s="17" t="s">
        <v>322</v>
      </c>
      <c r="BA225" s="15" t="s">
        <v>573</v>
      </c>
      <c r="BB225" s="17" t="s">
        <v>689</v>
      </c>
      <c r="BC225" s="17" t="s">
        <v>710</v>
      </c>
      <c r="BD225" s="17" t="s">
        <v>687</v>
      </c>
      <c r="BE225" s="17" t="s">
        <v>689</v>
      </c>
      <c r="BF225" s="17" t="s">
        <v>719</v>
      </c>
      <c r="BI225" s="17" t="s">
        <v>315</v>
      </c>
      <c r="BJ225" s="17" t="s">
        <v>316</v>
      </c>
      <c r="BK225" s="17" t="s">
        <v>317</v>
      </c>
      <c r="BL225" s="17" t="s">
        <v>318</v>
      </c>
      <c r="BM225" s="17" t="s">
        <v>319</v>
      </c>
    </row>
    <row r="226" spans="23:65" x14ac:dyDescent="0.3">
      <c r="W226" s="15" t="s">
        <v>561</v>
      </c>
      <c r="X226" s="17" t="s">
        <v>689</v>
      </c>
      <c r="Y226" s="17" t="s">
        <v>710</v>
      </c>
      <c r="Z226" s="17" t="s">
        <v>719</v>
      </c>
      <c r="AA226" s="17" t="s">
        <v>689</v>
      </c>
      <c r="AB226" s="17" t="s">
        <v>719</v>
      </c>
      <c r="AD226" t="s">
        <v>561</v>
      </c>
      <c r="AE226" s="17" t="s">
        <v>322</v>
      </c>
      <c r="AF226" s="17" t="s">
        <v>322</v>
      </c>
      <c r="AG226" s="17" t="s">
        <v>228</v>
      </c>
      <c r="AH226" s="17" t="s">
        <v>322</v>
      </c>
      <c r="AI226" s="17" t="s">
        <v>228</v>
      </c>
      <c r="AL226" s="15" t="s">
        <v>561</v>
      </c>
      <c r="AM226" s="17" t="s">
        <v>689</v>
      </c>
      <c r="AN226" s="17" t="s">
        <v>710</v>
      </c>
      <c r="AO226" s="17" t="s">
        <v>719</v>
      </c>
      <c r="AP226" s="17" t="s">
        <v>689</v>
      </c>
      <c r="AQ226" s="17" t="s">
        <v>719</v>
      </c>
      <c r="BA226" s="15" t="s">
        <v>561</v>
      </c>
      <c r="BB226" s="17" t="s">
        <v>689</v>
      </c>
      <c r="BC226" s="17" t="s">
        <v>710</v>
      </c>
      <c r="BD226" s="17" t="s">
        <v>719</v>
      </c>
      <c r="BE226" s="17" t="s">
        <v>689</v>
      </c>
      <c r="BF226" s="17" t="s">
        <v>719</v>
      </c>
      <c r="BH226" t="s">
        <v>573</v>
      </c>
      <c r="BI226" s="17" t="s">
        <v>322</v>
      </c>
      <c r="BJ226" s="17" t="s">
        <v>322</v>
      </c>
      <c r="BK226" s="17" t="s">
        <v>322</v>
      </c>
      <c r="BL226" s="17" t="s">
        <v>322</v>
      </c>
      <c r="BM226" s="17" t="s">
        <v>228</v>
      </c>
    </row>
    <row r="227" spans="23:65" x14ac:dyDescent="0.3">
      <c r="W227" s="15" t="s">
        <v>551</v>
      </c>
      <c r="X227" s="17" t="s">
        <v>718</v>
      </c>
      <c r="Y227" s="17" t="s">
        <v>682</v>
      </c>
      <c r="Z227" s="17" t="s">
        <v>719</v>
      </c>
      <c r="AA227" s="17" t="s">
        <v>717</v>
      </c>
      <c r="AB227" s="17" t="s">
        <v>322</v>
      </c>
      <c r="AD227" t="s">
        <v>551</v>
      </c>
      <c r="AE227" s="17" t="s">
        <v>322</v>
      </c>
      <c r="AF227" s="17" t="s">
        <v>322</v>
      </c>
      <c r="AG227" s="17" t="s">
        <v>228</v>
      </c>
      <c r="AH227" s="17" t="s">
        <v>322</v>
      </c>
      <c r="AI227" s="17" t="s">
        <v>322</v>
      </c>
      <c r="AL227" s="15" t="s">
        <v>551</v>
      </c>
      <c r="AM227" s="17" t="s">
        <v>718</v>
      </c>
      <c r="AN227" s="17" t="s">
        <v>682</v>
      </c>
      <c r="AO227" s="17" t="s">
        <v>719</v>
      </c>
      <c r="AP227" s="17" t="s">
        <v>322</v>
      </c>
      <c r="AQ227" s="17" t="s">
        <v>322</v>
      </c>
      <c r="AS227" t="s">
        <v>769</v>
      </c>
      <c r="BA227" s="15" t="s">
        <v>551</v>
      </c>
      <c r="BB227" s="17" t="s">
        <v>718</v>
      </c>
      <c r="BC227" s="17" t="s">
        <v>682</v>
      </c>
      <c r="BD227" s="17" t="s">
        <v>719</v>
      </c>
      <c r="BE227" s="17" t="s">
        <v>322</v>
      </c>
      <c r="BF227" s="17" t="s">
        <v>322</v>
      </c>
      <c r="BH227" t="s">
        <v>561</v>
      </c>
      <c r="BI227" s="17" t="s">
        <v>322</v>
      </c>
      <c r="BJ227" s="17" t="s">
        <v>322</v>
      </c>
      <c r="BK227" s="17" t="s">
        <v>228</v>
      </c>
      <c r="BL227" s="17" t="s">
        <v>322</v>
      </c>
      <c r="BM227" s="17" t="s">
        <v>228</v>
      </c>
    </row>
    <row r="228" spans="23:65" x14ac:dyDescent="0.3">
      <c r="W228" s="15" t="s">
        <v>552</v>
      </c>
      <c r="X228" s="17" t="s">
        <v>718</v>
      </c>
      <c r="Y228" s="17" t="s">
        <v>682</v>
      </c>
      <c r="Z228" s="17" t="s">
        <v>718</v>
      </c>
      <c r="AA228" s="17" t="s">
        <v>717</v>
      </c>
      <c r="AB228" s="17" t="s">
        <v>322</v>
      </c>
      <c r="AL228" s="15" t="s">
        <v>552</v>
      </c>
      <c r="AM228" s="17" t="s">
        <v>718</v>
      </c>
      <c r="AN228" s="17" t="s">
        <v>682</v>
      </c>
      <c r="AO228" s="17" t="s">
        <v>718</v>
      </c>
      <c r="AP228" s="17" t="s">
        <v>322</v>
      </c>
      <c r="AQ228" s="17" t="s">
        <v>322</v>
      </c>
      <c r="AT228" s="17" t="s">
        <v>315</v>
      </c>
      <c r="AU228" s="17" t="s">
        <v>316</v>
      </c>
      <c r="AV228" s="17" t="s">
        <v>317</v>
      </c>
      <c r="AW228" s="17" t="s">
        <v>318</v>
      </c>
      <c r="AX228" s="17" t="s">
        <v>319</v>
      </c>
      <c r="BA228" s="15" t="s">
        <v>552</v>
      </c>
      <c r="BB228" s="17" t="s">
        <v>718</v>
      </c>
      <c r="BC228" s="17" t="s">
        <v>682</v>
      </c>
      <c r="BD228" s="17" t="s">
        <v>718</v>
      </c>
      <c r="BE228" s="17" t="s">
        <v>322</v>
      </c>
      <c r="BF228" s="17" t="s">
        <v>322</v>
      </c>
      <c r="BH228" t="s">
        <v>551</v>
      </c>
      <c r="BI228" s="17" t="s">
        <v>322</v>
      </c>
      <c r="BJ228" s="17" t="s">
        <v>322</v>
      </c>
      <c r="BK228" s="17" t="s">
        <v>228</v>
      </c>
      <c r="BL228" s="17" t="s">
        <v>322</v>
      </c>
      <c r="BM228" s="17" t="s">
        <v>322</v>
      </c>
    </row>
    <row r="229" spans="23:65" x14ac:dyDescent="0.3">
      <c r="W229" s="15" t="s">
        <v>554</v>
      </c>
      <c r="X229" s="17" t="s">
        <v>322</v>
      </c>
      <c r="Y229" s="17" t="s">
        <v>322</v>
      </c>
      <c r="Z229" s="17" t="s">
        <v>718</v>
      </c>
      <c r="AA229" s="17" t="s">
        <v>322</v>
      </c>
      <c r="AB229" s="17" t="s">
        <v>322</v>
      </c>
      <c r="AD229" t="s">
        <v>772</v>
      </c>
      <c r="AL229" s="15" t="s">
        <v>554</v>
      </c>
      <c r="AM229" s="17" t="s">
        <v>322</v>
      </c>
      <c r="AN229" s="17" t="s">
        <v>322</v>
      </c>
      <c r="AO229" s="17" t="s">
        <v>718</v>
      </c>
      <c r="AP229" s="17" t="s">
        <v>322</v>
      </c>
      <c r="AQ229" s="17" t="s">
        <v>322</v>
      </c>
      <c r="AS229" t="s">
        <v>573</v>
      </c>
      <c r="AT229" s="17" t="s">
        <v>322</v>
      </c>
      <c r="AU229" s="17" t="s">
        <v>322</v>
      </c>
      <c r="AV229" s="17" t="s">
        <v>322</v>
      </c>
      <c r="AW229" s="17" t="s">
        <v>322</v>
      </c>
      <c r="AX229" s="17" t="s">
        <v>228</v>
      </c>
      <c r="BA229" s="15" t="s">
        <v>554</v>
      </c>
      <c r="BB229" s="17" t="s">
        <v>322</v>
      </c>
      <c r="BC229" s="17" t="s">
        <v>322</v>
      </c>
      <c r="BD229" s="17" t="s">
        <v>718</v>
      </c>
      <c r="BE229" s="17" t="s">
        <v>322</v>
      </c>
      <c r="BF229" s="17" t="s">
        <v>322</v>
      </c>
    </row>
    <row r="230" spans="23:65" x14ac:dyDescent="0.3">
      <c r="AE230" s="17" t="s">
        <v>315</v>
      </c>
      <c r="AF230" s="17" t="s">
        <v>316</v>
      </c>
      <c r="AG230" s="17" t="s">
        <v>317</v>
      </c>
      <c r="AH230" s="17" t="s">
        <v>318</v>
      </c>
      <c r="AI230" s="17" t="s">
        <v>319</v>
      </c>
      <c r="AS230" t="s">
        <v>561</v>
      </c>
      <c r="AT230" s="17" t="s">
        <v>322</v>
      </c>
      <c r="AU230" s="17" t="s">
        <v>322</v>
      </c>
      <c r="AV230" s="17" t="s">
        <v>228</v>
      </c>
      <c r="AW230" s="17" t="s">
        <v>322</v>
      </c>
      <c r="AX230" s="17" t="s">
        <v>228</v>
      </c>
      <c r="BH230" t="s">
        <v>772</v>
      </c>
    </row>
    <row r="231" spans="23:65" x14ac:dyDescent="0.3">
      <c r="W231" s="15" t="s">
        <v>721</v>
      </c>
      <c r="AD231" t="s">
        <v>551</v>
      </c>
      <c r="AE231" s="17" t="s">
        <v>322</v>
      </c>
      <c r="AF231" s="17" t="s">
        <v>322</v>
      </c>
      <c r="AG231" s="17" t="s">
        <v>322</v>
      </c>
      <c r="AH231" s="17" t="s">
        <v>322</v>
      </c>
      <c r="AI231" s="17" t="s">
        <v>254</v>
      </c>
      <c r="AL231" s="15" t="s">
        <v>721</v>
      </c>
      <c r="AS231" t="s">
        <v>551</v>
      </c>
      <c r="AT231" s="17" t="s">
        <v>322</v>
      </c>
      <c r="AU231" s="17" t="s">
        <v>322</v>
      </c>
      <c r="AV231" s="17" t="s">
        <v>228</v>
      </c>
      <c r="AW231" s="17" t="s">
        <v>322</v>
      </c>
      <c r="AX231" s="17" t="s">
        <v>322</v>
      </c>
      <c r="BA231" s="15" t="s">
        <v>721</v>
      </c>
      <c r="BI231" s="17" t="s">
        <v>315</v>
      </c>
      <c r="BJ231" s="17" t="s">
        <v>316</v>
      </c>
      <c r="BK231" s="17" t="s">
        <v>317</v>
      </c>
      <c r="BL231" s="17" t="s">
        <v>318</v>
      </c>
      <c r="BM231" s="17" t="s">
        <v>319</v>
      </c>
    </row>
    <row r="232" spans="23:65" x14ac:dyDescent="0.3">
      <c r="X232" s="17" t="s">
        <v>315</v>
      </c>
      <c r="Y232" s="17" t="s">
        <v>316</v>
      </c>
      <c r="Z232" s="17" t="s">
        <v>317</v>
      </c>
      <c r="AA232" s="17" t="s">
        <v>318</v>
      </c>
      <c r="AB232" s="17" t="s">
        <v>319</v>
      </c>
      <c r="AD232" t="s">
        <v>552</v>
      </c>
      <c r="AE232" s="17" t="s">
        <v>322</v>
      </c>
      <c r="AF232" s="17" t="s">
        <v>322</v>
      </c>
      <c r="AG232" s="17" t="s">
        <v>254</v>
      </c>
      <c r="AH232" s="17" t="s">
        <v>322</v>
      </c>
      <c r="AI232" s="17" t="s">
        <v>254</v>
      </c>
      <c r="AM232" s="17" t="s">
        <v>315</v>
      </c>
      <c r="AN232" s="17" t="s">
        <v>316</v>
      </c>
      <c r="AO232" s="17" t="s">
        <v>317</v>
      </c>
      <c r="AP232" s="17" t="s">
        <v>318</v>
      </c>
      <c r="AQ232" s="17" t="s">
        <v>319</v>
      </c>
      <c r="BB232" s="17" t="s">
        <v>315</v>
      </c>
      <c r="BC232" s="17" t="s">
        <v>316</v>
      </c>
      <c r="BD232" s="17" t="s">
        <v>317</v>
      </c>
      <c r="BE232" s="17" t="s">
        <v>318</v>
      </c>
      <c r="BF232" s="17" t="s">
        <v>319</v>
      </c>
      <c r="BH232" t="s">
        <v>551</v>
      </c>
      <c r="BI232" s="17" t="s">
        <v>322</v>
      </c>
      <c r="BJ232" s="17" t="s">
        <v>322</v>
      </c>
      <c r="BK232" s="17" t="s">
        <v>322</v>
      </c>
      <c r="BL232" s="17" t="s">
        <v>322</v>
      </c>
      <c r="BM232" s="17" t="s">
        <v>254</v>
      </c>
    </row>
    <row r="233" spans="23:65" x14ac:dyDescent="0.3">
      <c r="W233" s="15" t="s">
        <v>539</v>
      </c>
      <c r="X233" s="17" t="s">
        <v>717</v>
      </c>
      <c r="Y233" s="17" t="s">
        <v>710</v>
      </c>
      <c r="Z233" s="17" t="s">
        <v>687</v>
      </c>
      <c r="AA233" s="17" t="s">
        <v>322</v>
      </c>
      <c r="AB233" s="17" t="s">
        <v>322</v>
      </c>
      <c r="AD233" t="s">
        <v>554</v>
      </c>
      <c r="AE233" s="17" t="s">
        <v>322</v>
      </c>
      <c r="AF233" s="17" t="s">
        <v>322</v>
      </c>
      <c r="AG233" s="17" t="s">
        <v>254</v>
      </c>
      <c r="AH233" s="17" t="s">
        <v>322</v>
      </c>
      <c r="AI233" s="17" t="s">
        <v>254</v>
      </c>
      <c r="AL233" s="15" t="s">
        <v>539</v>
      </c>
      <c r="AM233" s="17" t="s">
        <v>717</v>
      </c>
      <c r="AN233" s="17" t="s">
        <v>710</v>
      </c>
      <c r="AO233" s="17" t="s">
        <v>687</v>
      </c>
      <c r="AP233" s="17" t="s">
        <v>322</v>
      </c>
      <c r="AQ233" s="17" t="s">
        <v>717</v>
      </c>
      <c r="AS233" t="s">
        <v>772</v>
      </c>
      <c r="BA233" s="15" t="s">
        <v>539</v>
      </c>
      <c r="BB233" s="17" t="s">
        <v>717</v>
      </c>
      <c r="BC233" s="17" t="s">
        <v>710</v>
      </c>
      <c r="BD233" s="17" t="s">
        <v>687</v>
      </c>
      <c r="BE233" s="17" t="s">
        <v>717</v>
      </c>
      <c r="BF233" s="17" t="s">
        <v>322</v>
      </c>
      <c r="BH233" t="s">
        <v>552</v>
      </c>
      <c r="BI233" s="17" t="s">
        <v>322</v>
      </c>
      <c r="BJ233" s="17" t="s">
        <v>322</v>
      </c>
      <c r="BK233" s="17" t="s">
        <v>254</v>
      </c>
      <c r="BL233" s="17" t="s">
        <v>322</v>
      </c>
      <c r="BM233" s="17" t="s">
        <v>254</v>
      </c>
    </row>
    <row r="234" spans="23:65" x14ac:dyDescent="0.3">
      <c r="W234" s="15" t="s">
        <v>543</v>
      </c>
      <c r="X234" s="17" t="s">
        <v>717</v>
      </c>
      <c r="Y234" s="17" t="s">
        <v>710</v>
      </c>
      <c r="Z234" s="17" t="s">
        <v>687</v>
      </c>
      <c r="AA234" s="17" t="s">
        <v>322</v>
      </c>
      <c r="AB234" s="17" t="s">
        <v>322</v>
      </c>
      <c r="AL234" s="15" t="s">
        <v>543</v>
      </c>
      <c r="AM234" s="17" t="s">
        <v>717</v>
      </c>
      <c r="AN234" s="17" t="s">
        <v>710</v>
      </c>
      <c r="AO234" s="17" t="s">
        <v>687</v>
      </c>
      <c r="AP234" s="17" t="s">
        <v>322</v>
      </c>
      <c r="AQ234" s="17" t="s">
        <v>717</v>
      </c>
      <c r="AT234" s="17" t="s">
        <v>315</v>
      </c>
      <c r="AU234" s="17" t="s">
        <v>316</v>
      </c>
      <c r="AV234" s="17" t="s">
        <v>317</v>
      </c>
      <c r="AW234" s="17" t="s">
        <v>318</v>
      </c>
      <c r="AX234" s="17" t="s">
        <v>319</v>
      </c>
      <c r="BA234" s="15" t="s">
        <v>543</v>
      </c>
      <c r="BB234" s="17" t="s">
        <v>717</v>
      </c>
      <c r="BC234" s="17" t="s">
        <v>710</v>
      </c>
      <c r="BD234" s="17" t="s">
        <v>687</v>
      </c>
      <c r="BE234" s="17" t="s">
        <v>717</v>
      </c>
      <c r="BF234" s="17" t="s">
        <v>322</v>
      </c>
      <c r="BH234" t="s">
        <v>554</v>
      </c>
      <c r="BI234" s="17" t="s">
        <v>322</v>
      </c>
      <c r="BJ234" s="17" t="s">
        <v>322</v>
      </c>
      <c r="BK234" s="17" t="s">
        <v>254</v>
      </c>
      <c r="BL234" s="17" t="s">
        <v>322</v>
      </c>
      <c r="BM234" s="17" t="s">
        <v>254</v>
      </c>
    </row>
    <row r="235" spans="23:65" x14ac:dyDescent="0.3">
      <c r="W235" s="15" t="s">
        <v>573</v>
      </c>
      <c r="X235" s="17" t="s">
        <v>689</v>
      </c>
      <c r="Y235" s="17" t="s">
        <v>710</v>
      </c>
      <c r="Z235" s="17" t="s">
        <v>687</v>
      </c>
      <c r="AA235" s="17" t="s">
        <v>689</v>
      </c>
      <c r="AB235" s="17" t="s">
        <v>719</v>
      </c>
      <c r="AD235" t="s">
        <v>773</v>
      </c>
      <c r="AL235" s="15" t="s">
        <v>573</v>
      </c>
      <c r="AM235" s="17" t="s">
        <v>689</v>
      </c>
      <c r="AN235" s="17" t="s">
        <v>710</v>
      </c>
      <c r="AO235" s="17" t="s">
        <v>687</v>
      </c>
      <c r="AP235" s="17" t="s">
        <v>689</v>
      </c>
      <c r="AQ235" s="17" t="s">
        <v>719</v>
      </c>
      <c r="AS235" t="s">
        <v>551</v>
      </c>
      <c r="AT235" s="17" t="s">
        <v>322</v>
      </c>
      <c r="AU235" s="17" t="s">
        <v>322</v>
      </c>
      <c r="AV235" s="17" t="s">
        <v>322</v>
      </c>
      <c r="AW235" s="17" t="s">
        <v>322</v>
      </c>
      <c r="AX235" s="17" t="s">
        <v>254</v>
      </c>
      <c r="BA235" s="15" t="s">
        <v>573</v>
      </c>
      <c r="BB235" s="17" t="s">
        <v>689</v>
      </c>
      <c r="BC235" s="17" t="s">
        <v>710</v>
      </c>
      <c r="BD235" s="17" t="s">
        <v>687</v>
      </c>
      <c r="BE235" s="17" t="s">
        <v>689</v>
      </c>
      <c r="BF235" s="17" t="s">
        <v>719</v>
      </c>
    </row>
    <row r="236" spans="23:65" x14ac:dyDescent="0.3">
      <c r="W236" s="15" t="s">
        <v>561</v>
      </c>
      <c r="X236" s="17" t="s">
        <v>689</v>
      </c>
      <c r="Y236" s="17" t="s">
        <v>710</v>
      </c>
      <c r="Z236" s="17" t="s">
        <v>719</v>
      </c>
      <c r="AA236" s="17" t="s">
        <v>689</v>
      </c>
      <c r="AB236" s="17" t="s">
        <v>719</v>
      </c>
      <c r="AE236" s="17" t="s">
        <v>315</v>
      </c>
      <c r="AF236" s="17" t="s">
        <v>316</v>
      </c>
      <c r="AG236" s="17" t="s">
        <v>317</v>
      </c>
      <c r="AH236" s="17" t="s">
        <v>318</v>
      </c>
      <c r="AI236" s="17" t="s">
        <v>319</v>
      </c>
      <c r="AL236" s="15" t="s">
        <v>561</v>
      </c>
      <c r="AM236" s="17" t="s">
        <v>689</v>
      </c>
      <c r="AN236" s="17" t="s">
        <v>710</v>
      </c>
      <c r="AO236" s="17" t="s">
        <v>719</v>
      </c>
      <c r="AP236" s="17" t="s">
        <v>689</v>
      </c>
      <c r="AQ236" s="17" t="s">
        <v>719</v>
      </c>
      <c r="AS236" t="s">
        <v>552</v>
      </c>
      <c r="AT236" s="17" t="s">
        <v>322</v>
      </c>
      <c r="AU236" s="17" t="s">
        <v>322</v>
      </c>
      <c r="AV236" s="17" t="s">
        <v>254</v>
      </c>
      <c r="AW236" s="17" t="s">
        <v>322</v>
      </c>
      <c r="AX236" s="17" t="s">
        <v>254</v>
      </c>
      <c r="BA236" s="15" t="s">
        <v>561</v>
      </c>
      <c r="BB236" s="17" t="s">
        <v>689</v>
      </c>
      <c r="BC236" s="17" t="s">
        <v>710</v>
      </c>
      <c r="BD236" s="17" t="s">
        <v>719</v>
      </c>
      <c r="BE236" s="17" t="s">
        <v>689</v>
      </c>
      <c r="BF236" s="17" t="s">
        <v>719</v>
      </c>
      <c r="BH236" t="s">
        <v>773</v>
      </c>
    </row>
    <row r="237" spans="23:65" x14ac:dyDescent="0.3">
      <c r="W237" s="15" t="s">
        <v>551</v>
      </c>
      <c r="X237" s="17" t="s">
        <v>718</v>
      </c>
      <c r="Y237" s="17" t="s">
        <v>682</v>
      </c>
      <c r="Z237" s="17" t="s">
        <v>719</v>
      </c>
      <c r="AA237" s="17" t="s">
        <v>717</v>
      </c>
      <c r="AB237" s="17" t="s">
        <v>322</v>
      </c>
      <c r="AD237" t="s">
        <v>326</v>
      </c>
      <c r="AE237" s="17" t="s">
        <v>183</v>
      </c>
      <c r="AF237" s="17" t="s">
        <v>322</v>
      </c>
      <c r="AG237" s="17" t="s">
        <v>322</v>
      </c>
      <c r="AH237" s="17" t="s">
        <v>322</v>
      </c>
      <c r="AI237" s="17" t="s">
        <v>183</v>
      </c>
      <c r="AL237" s="15" t="s">
        <v>551</v>
      </c>
      <c r="AM237" s="17" t="s">
        <v>718</v>
      </c>
      <c r="AN237" s="17" t="s">
        <v>682</v>
      </c>
      <c r="AO237" s="17" t="s">
        <v>719</v>
      </c>
      <c r="AP237" s="17" t="s">
        <v>322</v>
      </c>
      <c r="AQ237" s="17" t="s">
        <v>322</v>
      </c>
      <c r="AS237" t="s">
        <v>554</v>
      </c>
      <c r="AT237" s="17" t="s">
        <v>322</v>
      </c>
      <c r="AU237" s="17" t="s">
        <v>322</v>
      </c>
      <c r="AV237" s="17" t="s">
        <v>254</v>
      </c>
      <c r="AW237" s="17" t="s">
        <v>322</v>
      </c>
      <c r="AX237" s="17" t="s">
        <v>254</v>
      </c>
      <c r="BA237" s="15" t="s">
        <v>551</v>
      </c>
      <c r="BB237" s="17" t="s">
        <v>718</v>
      </c>
      <c r="BC237" s="17" t="s">
        <v>682</v>
      </c>
      <c r="BD237" s="17" t="s">
        <v>719</v>
      </c>
      <c r="BE237" s="17" t="s">
        <v>322</v>
      </c>
      <c r="BF237" s="17" t="s">
        <v>322</v>
      </c>
      <c r="BI237" s="17" t="s">
        <v>315</v>
      </c>
      <c r="BJ237" s="17" t="s">
        <v>316</v>
      </c>
      <c r="BK237" s="17" t="s">
        <v>317</v>
      </c>
      <c r="BL237" s="17" t="s">
        <v>318</v>
      </c>
      <c r="BM237" s="17" t="s">
        <v>319</v>
      </c>
    </row>
    <row r="238" spans="23:65" x14ac:dyDescent="0.3">
      <c r="W238" s="15" t="s">
        <v>552</v>
      </c>
      <c r="X238" s="17" t="s">
        <v>718</v>
      </c>
      <c r="Y238" s="17" t="s">
        <v>682</v>
      </c>
      <c r="Z238" s="17" t="s">
        <v>718</v>
      </c>
      <c r="AA238" s="17" t="s">
        <v>717</v>
      </c>
      <c r="AB238" s="17" t="s">
        <v>322</v>
      </c>
      <c r="AD238" t="s">
        <v>328</v>
      </c>
      <c r="AE238" s="17" t="s">
        <v>183</v>
      </c>
      <c r="AF238" s="17" t="s">
        <v>322</v>
      </c>
      <c r="AG238" s="17" t="s">
        <v>322</v>
      </c>
      <c r="AH238" s="17" t="s">
        <v>322</v>
      </c>
      <c r="AI238" s="17" t="s">
        <v>183</v>
      </c>
      <c r="AL238" s="15" t="s">
        <v>552</v>
      </c>
      <c r="AM238" s="17" t="s">
        <v>718</v>
      </c>
      <c r="AN238" s="17" t="s">
        <v>682</v>
      </c>
      <c r="AO238" s="17" t="s">
        <v>718</v>
      </c>
      <c r="AP238" s="17" t="s">
        <v>322</v>
      </c>
      <c r="AQ238" s="17" t="s">
        <v>322</v>
      </c>
      <c r="BA238" s="15" t="s">
        <v>552</v>
      </c>
      <c r="BB238" s="17" t="s">
        <v>718</v>
      </c>
      <c r="BC238" s="17" t="s">
        <v>682</v>
      </c>
      <c r="BD238" s="17" t="s">
        <v>718</v>
      </c>
      <c r="BE238" s="17" t="s">
        <v>322</v>
      </c>
      <c r="BF238" s="17" t="s">
        <v>322</v>
      </c>
      <c r="BH238" t="s">
        <v>517</v>
      </c>
      <c r="BI238" s="17" t="s">
        <v>322</v>
      </c>
      <c r="BJ238" s="17" t="s">
        <v>322</v>
      </c>
      <c r="BK238" s="17" t="s">
        <v>322</v>
      </c>
      <c r="BL238" s="17" t="s">
        <v>183</v>
      </c>
      <c r="BM238" s="17" t="s">
        <v>322</v>
      </c>
    </row>
    <row r="239" spans="23:65" x14ac:dyDescent="0.3">
      <c r="W239" s="15" t="s">
        <v>554</v>
      </c>
      <c r="X239" s="17" t="s">
        <v>322</v>
      </c>
      <c r="Y239" s="17" t="s">
        <v>322</v>
      </c>
      <c r="Z239" s="17" t="s">
        <v>718</v>
      </c>
      <c r="AA239" s="17" t="s">
        <v>322</v>
      </c>
      <c r="AB239" s="17" t="s">
        <v>322</v>
      </c>
      <c r="AD239" t="s">
        <v>350</v>
      </c>
      <c r="AE239" s="17" t="s">
        <v>322</v>
      </c>
      <c r="AF239" s="17" t="s">
        <v>322</v>
      </c>
      <c r="AG239" s="17" t="s">
        <v>322</v>
      </c>
      <c r="AH239" s="17" t="s">
        <v>322</v>
      </c>
      <c r="AI239" s="17" t="s">
        <v>183</v>
      </c>
      <c r="AL239" s="15" t="s">
        <v>554</v>
      </c>
      <c r="AM239" s="17" t="s">
        <v>322</v>
      </c>
      <c r="AN239" s="17" t="s">
        <v>322</v>
      </c>
      <c r="AO239" s="17" t="s">
        <v>718</v>
      </c>
      <c r="AP239" s="17" t="s">
        <v>322</v>
      </c>
      <c r="AQ239" s="17" t="s">
        <v>322</v>
      </c>
      <c r="AS239" t="s">
        <v>773</v>
      </c>
      <c r="BA239" s="15" t="s">
        <v>554</v>
      </c>
      <c r="BB239" s="17" t="s">
        <v>322</v>
      </c>
      <c r="BC239" s="17" t="s">
        <v>322</v>
      </c>
      <c r="BD239" s="17" t="s">
        <v>718</v>
      </c>
      <c r="BE239" s="17" t="s">
        <v>322</v>
      </c>
      <c r="BF239" s="17" t="s">
        <v>322</v>
      </c>
      <c r="BH239" t="s">
        <v>326</v>
      </c>
      <c r="BI239" s="17" t="s">
        <v>322</v>
      </c>
      <c r="BJ239" s="17" t="s">
        <v>183</v>
      </c>
      <c r="BK239" s="17" t="s">
        <v>322</v>
      </c>
      <c r="BL239" s="17" t="s">
        <v>183</v>
      </c>
      <c r="BM239" s="17" t="s">
        <v>322</v>
      </c>
    </row>
    <row r="240" spans="23:65" x14ac:dyDescent="0.3">
      <c r="AT240" s="17" t="s">
        <v>315</v>
      </c>
      <c r="AU240" s="17" t="s">
        <v>316</v>
      </c>
      <c r="AV240" s="17" t="s">
        <v>317</v>
      </c>
      <c r="AW240" s="17" t="s">
        <v>318</v>
      </c>
      <c r="AX240" s="17" t="s">
        <v>319</v>
      </c>
      <c r="BH240" t="s">
        <v>328</v>
      </c>
      <c r="BI240" s="17" t="s">
        <v>322</v>
      </c>
      <c r="BJ240" s="17" t="s">
        <v>183</v>
      </c>
      <c r="BK240" s="17" t="s">
        <v>322</v>
      </c>
      <c r="BL240" s="17" t="s">
        <v>183</v>
      </c>
      <c r="BM240" s="17" t="s">
        <v>322</v>
      </c>
    </row>
    <row r="241" spans="8:66" x14ac:dyDescent="0.3">
      <c r="W241" s="31" t="s">
        <v>505</v>
      </c>
      <c r="AD241" t="s">
        <v>774</v>
      </c>
      <c r="AL241" s="31" t="s">
        <v>505</v>
      </c>
      <c r="AS241" t="s">
        <v>517</v>
      </c>
      <c r="AT241" s="17" t="s">
        <v>322</v>
      </c>
      <c r="AU241" s="17" t="s">
        <v>322</v>
      </c>
      <c r="AV241" s="17" t="s">
        <v>322</v>
      </c>
      <c r="AW241" s="17" t="s">
        <v>183</v>
      </c>
      <c r="AX241" s="17" t="s">
        <v>322</v>
      </c>
      <c r="BA241" s="31" t="s">
        <v>505</v>
      </c>
      <c r="BN241" s="31"/>
    </row>
    <row r="242" spans="8:66" x14ac:dyDescent="0.3">
      <c r="W242" s="73" t="s">
        <v>736</v>
      </c>
      <c r="AE242" s="17" t="s">
        <v>315</v>
      </c>
      <c r="AF242" s="17" t="s">
        <v>316</v>
      </c>
      <c r="AG242" s="17" t="s">
        <v>317</v>
      </c>
      <c r="AH242" s="17" t="s">
        <v>318</v>
      </c>
      <c r="AI242" s="17" t="s">
        <v>319</v>
      </c>
      <c r="AL242" s="73" t="s">
        <v>736</v>
      </c>
      <c r="AS242" t="s">
        <v>326</v>
      </c>
      <c r="AT242" s="17" t="s">
        <v>322</v>
      </c>
      <c r="AU242" s="17" t="s">
        <v>183</v>
      </c>
      <c r="AV242" s="17" t="s">
        <v>322</v>
      </c>
      <c r="AW242" s="17" t="s">
        <v>183</v>
      </c>
      <c r="AX242" s="17" t="s">
        <v>322</v>
      </c>
      <c r="BA242" s="73" t="s">
        <v>736</v>
      </c>
      <c r="BH242" t="s">
        <v>774</v>
      </c>
      <c r="BN242" s="73"/>
    </row>
    <row r="243" spans="8:66" x14ac:dyDescent="0.3">
      <c r="AD243" t="s">
        <v>512</v>
      </c>
      <c r="AE243" s="17" t="s">
        <v>322</v>
      </c>
      <c r="AF243" s="17" t="s">
        <v>191</v>
      </c>
      <c r="AG243" s="17" t="s">
        <v>322</v>
      </c>
      <c r="AH243" s="17" t="s">
        <v>191</v>
      </c>
      <c r="AI243" s="17" t="s">
        <v>322</v>
      </c>
      <c r="AS243" t="s">
        <v>328</v>
      </c>
      <c r="AT243" s="17" t="s">
        <v>322</v>
      </c>
      <c r="AU243" s="17" t="s">
        <v>183</v>
      </c>
      <c r="AV243" s="17" t="s">
        <v>322</v>
      </c>
      <c r="AW243" s="17" t="s">
        <v>183</v>
      </c>
      <c r="AX243" s="17" t="s">
        <v>322</v>
      </c>
      <c r="BI243" s="17" t="s">
        <v>315</v>
      </c>
      <c r="BJ243" s="17" t="s">
        <v>316</v>
      </c>
      <c r="BK243" s="17" t="s">
        <v>317</v>
      </c>
      <c r="BL243" s="17" t="s">
        <v>318</v>
      </c>
      <c r="BM243" s="17" t="s">
        <v>319</v>
      </c>
    </row>
    <row r="244" spans="8:66" x14ac:dyDescent="0.3">
      <c r="W244" s="15" t="s">
        <v>738</v>
      </c>
      <c r="AD244" t="s">
        <v>514</v>
      </c>
      <c r="AE244" s="17" t="s">
        <v>322</v>
      </c>
      <c r="AF244" s="17" t="s">
        <v>191</v>
      </c>
      <c r="AG244" s="17" t="s">
        <v>322</v>
      </c>
      <c r="AH244" s="17" t="s">
        <v>191</v>
      </c>
      <c r="AI244" s="17" t="s">
        <v>322</v>
      </c>
      <c r="AL244" s="15" t="s">
        <v>738</v>
      </c>
      <c r="BA244" s="15" t="s">
        <v>738</v>
      </c>
      <c r="BH244" t="s">
        <v>512</v>
      </c>
      <c r="BI244" s="17" t="s">
        <v>322</v>
      </c>
      <c r="BJ244" s="17" t="s">
        <v>191</v>
      </c>
      <c r="BK244" s="17" t="s">
        <v>322</v>
      </c>
      <c r="BL244" s="17" t="s">
        <v>191</v>
      </c>
      <c r="BM244" s="17" t="s">
        <v>322</v>
      </c>
    </row>
    <row r="245" spans="8:66" x14ac:dyDescent="0.3">
      <c r="X245" s="17" t="s">
        <v>315</v>
      </c>
      <c r="Y245" s="17" t="s">
        <v>316</v>
      </c>
      <c r="Z245" s="17" t="s">
        <v>317</v>
      </c>
      <c r="AA245" s="17" t="s">
        <v>318</v>
      </c>
      <c r="AB245" s="17" t="s">
        <v>319</v>
      </c>
      <c r="AD245" t="s">
        <v>517</v>
      </c>
      <c r="AE245" s="17" t="s">
        <v>322</v>
      </c>
      <c r="AF245" s="17" t="s">
        <v>322</v>
      </c>
      <c r="AG245" s="17" t="s">
        <v>322</v>
      </c>
      <c r="AH245" s="17" t="s">
        <v>191</v>
      </c>
      <c r="AI245" s="17" t="s">
        <v>322</v>
      </c>
      <c r="AM245" s="17" t="s">
        <v>315</v>
      </c>
      <c r="AN245" s="17" t="s">
        <v>316</v>
      </c>
      <c r="AO245" s="17" t="s">
        <v>317</v>
      </c>
      <c r="AP245" s="17" t="s">
        <v>318</v>
      </c>
      <c r="AQ245" s="17" t="s">
        <v>319</v>
      </c>
      <c r="AS245" t="s">
        <v>774</v>
      </c>
      <c r="BB245" s="17" t="s">
        <v>315</v>
      </c>
      <c r="BC245" s="17" t="s">
        <v>316</v>
      </c>
      <c r="BD245" s="17" t="s">
        <v>317</v>
      </c>
      <c r="BE245" s="17" t="s">
        <v>318</v>
      </c>
      <c r="BF245" s="17" t="s">
        <v>319</v>
      </c>
      <c r="BH245" t="s">
        <v>514</v>
      </c>
      <c r="BI245" s="17" t="s">
        <v>322</v>
      </c>
      <c r="BJ245" s="17" t="s">
        <v>191</v>
      </c>
      <c r="BK245" s="17" t="s">
        <v>322</v>
      </c>
      <c r="BL245" s="17" t="s">
        <v>191</v>
      </c>
      <c r="BM245" s="17" t="s">
        <v>322</v>
      </c>
    </row>
    <row r="246" spans="8:66" x14ac:dyDescent="0.3">
      <c r="W246" s="15" t="s">
        <v>539</v>
      </c>
      <c r="X246" s="17" t="s">
        <v>322</v>
      </c>
      <c r="Y246" s="17" t="s">
        <v>322</v>
      </c>
      <c r="Z246" s="17" t="s">
        <v>322</v>
      </c>
      <c r="AA246" s="17" t="s">
        <v>322</v>
      </c>
      <c r="AB246" s="17" t="s">
        <v>322</v>
      </c>
      <c r="AD246" t="s">
        <v>552</v>
      </c>
      <c r="AE246" s="17" t="s">
        <v>322</v>
      </c>
      <c r="AF246" s="17" t="s">
        <v>46</v>
      </c>
      <c r="AG246" s="17" t="s">
        <v>322</v>
      </c>
      <c r="AH246" s="17" t="s">
        <v>322</v>
      </c>
      <c r="AI246" s="17" t="s">
        <v>46</v>
      </c>
      <c r="AL246" s="15" t="s">
        <v>539</v>
      </c>
      <c r="AM246" s="17" t="s">
        <v>322</v>
      </c>
      <c r="AN246" s="17" t="s">
        <v>322</v>
      </c>
      <c r="AO246" s="17" t="s">
        <v>322</v>
      </c>
      <c r="AP246" s="17" t="s">
        <v>322</v>
      </c>
      <c r="AQ246" s="17" t="s">
        <v>322</v>
      </c>
      <c r="AT246" s="17" t="s">
        <v>315</v>
      </c>
      <c r="AU246" s="17" t="s">
        <v>316</v>
      </c>
      <c r="AV246" s="17" t="s">
        <v>317</v>
      </c>
      <c r="AW246" s="17" t="s">
        <v>318</v>
      </c>
      <c r="AX246" s="17" t="s">
        <v>319</v>
      </c>
      <c r="BA246" s="15" t="s">
        <v>539</v>
      </c>
      <c r="BB246" s="17" t="s">
        <v>322</v>
      </c>
      <c r="BC246" s="17" t="s">
        <v>322</v>
      </c>
      <c r="BD246" s="17" t="s">
        <v>322</v>
      </c>
      <c r="BE246" s="17" t="s">
        <v>322</v>
      </c>
      <c r="BF246" s="17" t="s">
        <v>322</v>
      </c>
      <c r="BH246" t="s">
        <v>517</v>
      </c>
      <c r="BI246" s="17" t="s">
        <v>322</v>
      </c>
      <c r="BJ246" s="17" t="s">
        <v>322</v>
      </c>
      <c r="BK246" s="17" t="s">
        <v>322</v>
      </c>
      <c r="BL246" s="17" t="s">
        <v>191</v>
      </c>
      <c r="BM246" s="17" t="s">
        <v>322</v>
      </c>
    </row>
    <row r="247" spans="8:66" x14ac:dyDescent="0.3">
      <c r="W247" s="15" t="s">
        <v>543</v>
      </c>
      <c r="X247" s="17" t="s">
        <v>322</v>
      </c>
      <c r="Y247" s="17" t="s">
        <v>322</v>
      </c>
      <c r="Z247" s="17" t="s">
        <v>322</v>
      </c>
      <c r="AA247" s="17" t="s">
        <v>322</v>
      </c>
      <c r="AB247" s="17" t="s">
        <v>322</v>
      </c>
      <c r="AD247" t="s">
        <v>554</v>
      </c>
      <c r="AE247" s="17" t="s">
        <v>322</v>
      </c>
      <c r="AF247" s="17" t="s">
        <v>46</v>
      </c>
      <c r="AG247" s="17" t="s">
        <v>322</v>
      </c>
      <c r="AH247" s="17" t="s">
        <v>322</v>
      </c>
      <c r="AI247" s="17" t="s">
        <v>46</v>
      </c>
      <c r="AL247" s="15" t="s">
        <v>543</v>
      </c>
      <c r="AM247" s="17" t="s">
        <v>322</v>
      </c>
      <c r="AN247" s="17" t="s">
        <v>322</v>
      </c>
      <c r="AO247" s="17" t="s">
        <v>322</v>
      </c>
      <c r="AP247" s="17" t="s">
        <v>322</v>
      </c>
      <c r="AQ247" s="17" t="s">
        <v>322</v>
      </c>
      <c r="AS247" t="s">
        <v>512</v>
      </c>
      <c r="AT247" s="17" t="s">
        <v>322</v>
      </c>
      <c r="AU247" s="17" t="s">
        <v>191</v>
      </c>
      <c r="AV247" s="17" t="s">
        <v>322</v>
      </c>
      <c r="AW247" s="17" t="s">
        <v>191</v>
      </c>
      <c r="AX247" s="17" t="s">
        <v>322</v>
      </c>
      <c r="BA247" s="15" t="s">
        <v>543</v>
      </c>
      <c r="BB247" s="17" t="s">
        <v>322</v>
      </c>
      <c r="BC247" s="17" t="s">
        <v>322</v>
      </c>
      <c r="BD247" s="17" t="s">
        <v>322</v>
      </c>
      <c r="BE247" s="17" t="s">
        <v>322</v>
      </c>
      <c r="BF247" s="17" t="s">
        <v>322</v>
      </c>
      <c r="BH247" t="s">
        <v>552</v>
      </c>
      <c r="BI247" s="17" t="s">
        <v>322</v>
      </c>
      <c r="BJ247" s="17" t="s">
        <v>322</v>
      </c>
      <c r="BK247" s="17" t="s">
        <v>322</v>
      </c>
      <c r="BL247" s="17" t="s">
        <v>46</v>
      </c>
      <c r="BM247" s="17" t="s">
        <v>322</v>
      </c>
    </row>
    <row r="248" spans="8:66" x14ac:dyDescent="0.3">
      <c r="W248" s="15" t="s">
        <v>573</v>
      </c>
      <c r="X248" s="17" t="s">
        <v>744</v>
      </c>
      <c r="Y248" s="17" t="s">
        <v>322</v>
      </c>
      <c r="Z248" s="17" t="s">
        <v>322</v>
      </c>
      <c r="AA248" s="17" t="s">
        <v>744</v>
      </c>
      <c r="AB248" s="17" t="s">
        <v>322</v>
      </c>
      <c r="AD248" t="s">
        <v>586</v>
      </c>
      <c r="AE248" s="17" t="s">
        <v>322</v>
      </c>
      <c r="AF248" s="17" t="s">
        <v>46</v>
      </c>
      <c r="AG248" s="17" t="s">
        <v>322</v>
      </c>
      <c r="AH248" s="17" t="s">
        <v>322</v>
      </c>
      <c r="AI248" s="17" t="s">
        <v>322</v>
      </c>
      <c r="AL248" s="15" t="s">
        <v>573</v>
      </c>
      <c r="AM248" s="17" t="s">
        <v>744</v>
      </c>
      <c r="AN248" s="17" t="s">
        <v>322</v>
      </c>
      <c r="AO248" s="17" t="s">
        <v>322</v>
      </c>
      <c r="AP248" s="17" t="s">
        <v>744</v>
      </c>
      <c r="AQ248" s="17" t="s">
        <v>322</v>
      </c>
      <c r="AS248" t="s">
        <v>514</v>
      </c>
      <c r="AT248" s="17" t="s">
        <v>322</v>
      </c>
      <c r="AU248" s="17" t="s">
        <v>191</v>
      </c>
      <c r="AV248" s="17" t="s">
        <v>322</v>
      </c>
      <c r="AW248" s="17" t="s">
        <v>191</v>
      </c>
      <c r="AX248" s="17" t="s">
        <v>322</v>
      </c>
      <c r="BA248" s="15" t="s">
        <v>573</v>
      </c>
      <c r="BB248" s="17" t="s">
        <v>744</v>
      </c>
      <c r="BC248" s="17" t="s">
        <v>322</v>
      </c>
      <c r="BD248" s="17" t="s">
        <v>322</v>
      </c>
      <c r="BE248" s="17" t="s">
        <v>322</v>
      </c>
      <c r="BF248" s="17" t="s">
        <v>322</v>
      </c>
      <c r="BH248" t="s">
        <v>554</v>
      </c>
      <c r="BI248" s="17" t="s">
        <v>322</v>
      </c>
      <c r="BJ248" s="17" t="s">
        <v>46</v>
      </c>
      <c r="BK248" s="17" t="s">
        <v>322</v>
      </c>
      <c r="BL248" s="17" t="s">
        <v>46</v>
      </c>
      <c r="BM248" s="17" t="s">
        <v>322</v>
      </c>
    </row>
    <row r="249" spans="8:66" x14ac:dyDescent="0.3">
      <c r="W249" s="15" t="s">
        <v>561</v>
      </c>
      <c r="X249" s="17" t="s">
        <v>744</v>
      </c>
      <c r="Y249" s="17" t="s">
        <v>748</v>
      </c>
      <c r="Z249" s="17" t="s">
        <v>748</v>
      </c>
      <c r="AA249" s="17" t="s">
        <v>744</v>
      </c>
      <c r="AB249" s="17" t="s">
        <v>322</v>
      </c>
      <c r="AL249" s="15" t="s">
        <v>561</v>
      </c>
      <c r="AM249" s="17" t="s">
        <v>744</v>
      </c>
      <c r="AN249" s="17" t="s">
        <v>322</v>
      </c>
      <c r="AO249" s="17" t="s">
        <v>748</v>
      </c>
      <c r="AP249" s="17" t="s">
        <v>744</v>
      </c>
      <c r="AQ249" s="17" t="s">
        <v>322</v>
      </c>
      <c r="AS249" t="s">
        <v>517</v>
      </c>
      <c r="AT249" s="17" t="s">
        <v>322</v>
      </c>
      <c r="AU249" s="17" t="s">
        <v>322</v>
      </c>
      <c r="AV249" s="17" t="s">
        <v>322</v>
      </c>
      <c r="AW249" s="17" t="s">
        <v>191</v>
      </c>
      <c r="AX249" s="17" t="s">
        <v>322</v>
      </c>
      <c r="BA249" s="15" t="s">
        <v>561</v>
      </c>
      <c r="BB249" s="17" t="s">
        <v>744</v>
      </c>
      <c r="BC249" s="17" t="s">
        <v>748</v>
      </c>
      <c r="BD249" s="17" t="s">
        <v>748</v>
      </c>
      <c r="BE249" s="17" t="s">
        <v>744</v>
      </c>
      <c r="BF249" s="17" t="s">
        <v>322</v>
      </c>
      <c r="BH249" t="s">
        <v>586</v>
      </c>
      <c r="BI249" s="17" t="s">
        <v>322</v>
      </c>
      <c r="BJ249" s="17" t="s">
        <v>46</v>
      </c>
      <c r="BK249" s="17" t="s">
        <v>322</v>
      </c>
      <c r="BL249" s="17" t="s">
        <v>46</v>
      </c>
      <c r="BM249" s="17" t="s">
        <v>322</v>
      </c>
    </row>
    <row r="250" spans="8:66" x14ac:dyDescent="0.3">
      <c r="W250" s="15" t="s">
        <v>551</v>
      </c>
      <c r="X250" s="17" t="s">
        <v>768</v>
      </c>
      <c r="Y250" s="17" t="s">
        <v>748</v>
      </c>
      <c r="Z250" s="17" t="s">
        <v>748</v>
      </c>
      <c r="AA250" s="17" t="s">
        <v>322</v>
      </c>
      <c r="AB250" s="17" t="s">
        <v>749</v>
      </c>
      <c r="AD250" t="s">
        <v>775</v>
      </c>
      <c r="AL250" s="15" t="s">
        <v>551</v>
      </c>
      <c r="AM250" s="17" t="s">
        <v>768</v>
      </c>
      <c r="AN250" s="17" t="s">
        <v>748</v>
      </c>
      <c r="AO250" s="17" t="s">
        <v>748</v>
      </c>
      <c r="AP250" s="17" t="s">
        <v>322</v>
      </c>
      <c r="AQ250" s="17" t="s">
        <v>749</v>
      </c>
      <c r="AS250" t="s">
        <v>552</v>
      </c>
      <c r="AT250" s="17" t="s">
        <v>322</v>
      </c>
      <c r="AU250" s="17" t="s">
        <v>322</v>
      </c>
      <c r="AV250" s="17" t="s">
        <v>322</v>
      </c>
      <c r="AW250" s="17" t="s">
        <v>46</v>
      </c>
      <c r="AX250" s="17" t="s">
        <v>322</v>
      </c>
      <c r="BA250" s="15" t="s">
        <v>551</v>
      </c>
      <c r="BB250" s="17" t="s">
        <v>768</v>
      </c>
      <c r="BC250" s="17" t="s">
        <v>748</v>
      </c>
      <c r="BD250" s="17" t="s">
        <v>748</v>
      </c>
      <c r="BE250" s="17" t="s">
        <v>744</v>
      </c>
      <c r="BF250" s="17" t="s">
        <v>749</v>
      </c>
    </row>
    <row r="251" spans="8:66" x14ac:dyDescent="0.3">
      <c r="H251" s="130"/>
      <c r="W251" s="15" t="s">
        <v>552</v>
      </c>
      <c r="X251" s="17" t="s">
        <v>768</v>
      </c>
      <c r="Y251" s="17" t="s">
        <v>322</v>
      </c>
      <c r="Z251" s="17" t="s">
        <v>749</v>
      </c>
      <c r="AA251" s="17" t="s">
        <v>322</v>
      </c>
      <c r="AB251" s="17" t="s">
        <v>749</v>
      </c>
      <c r="AE251" s="17" t="s">
        <v>315</v>
      </c>
      <c r="AF251" s="17" t="s">
        <v>316</v>
      </c>
      <c r="AG251" s="17" t="s">
        <v>317</v>
      </c>
      <c r="AH251" s="17" t="s">
        <v>318</v>
      </c>
      <c r="AI251" s="17" t="s">
        <v>319</v>
      </c>
      <c r="AL251" s="15" t="s">
        <v>552</v>
      </c>
      <c r="AM251" s="17" t="s">
        <v>768</v>
      </c>
      <c r="AN251" s="17" t="s">
        <v>748</v>
      </c>
      <c r="AO251" s="17" t="s">
        <v>749</v>
      </c>
      <c r="AP251" s="17" t="s">
        <v>322</v>
      </c>
      <c r="AQ251" s="17" t="s">
        <v>749</v>
      </c>
      <c r="AS251" t="s">
        <v>554</v>
      </c>
      <c r="AT251" s="17" t="s">
        <v>322</v>
      </c>
      <c r="AU251" s="17" t="s">
        <v>46</v>
      </c>
      <c r="AV251" s="17" t="s">
        <v>322</v>
      </c>
      <c r="AW251" s="17" t="s">
        <v>46</v>
      </c>
      <c r="AX251" s="17" t="s">
        <v>322</v>
      </c>
      <c r="BA251" s="15" t="s">
        <v>552</v>
      </c>
      <c r="BB251" s="17" t="s">
        <v>768</v>
      </c>
      <c r="BC251" s="17" t="s">
        <v>322</v>
      </c>
      <c r="BD251" s="17" t="s">
        <v>749</v>
      </c>
      <c r="BE251" s="17" t="s">
        <v>322</v>
      </c>
      <c r="BF251" s="17" t="s">
        <v>749</v>
      </c>
      <c r="BH251" t="s">
        <v>775</v>
      </c>
    </row>
    <row r="252" spans="8:66" x14ac:dyDescent="0.3">
      <c r="W252" s="15" t="s">
        <v>554</v>
      </c>
      <c r="X252" s="17" t="s">
        <v>768</v>
      </c>
      <c r="Y252" s="17" t="s">
        <v>322</v>
      </c>
      <c r="Z252" s="17" t="s">
        <v>749</v>
      </c>
      <c r="AA252" s="17" t="s">
        <v>322</v>
      </c>
      <c r="AB252" s="17" t="s">
        <v>749</v>
      </c>
      <c r="AD252" t="s">
        <v>517</v>
      </c>
      <c r="AE252" s="17" t="s">
        <v>322</v>
      </c>
      <c r="AF252" s="17" t="s">
        <v>126</v>
      </c>
      <c r="AG252" s="17" t="s">
        <v>322</v>
      </c>
      <c r="AH252" s="17" t="s">
        <v>126</v>
      </c>
      <c r="AI252" s="17" t="s">
        <v>322</v>
      </c>
      <c r="AL252" s="15" t="s">
        <v>554</v>
      </c>
      <c r="AM252" s="17" t="s">
        <v>768</v>
      </c>
      <c r="AN252" s="17" t="s">
        <v>322</v>
      </c>
      <c r="AO252" s="17" t="s">
        <v>749</v>
      </c>
      <c r="AP252" s="17" t="s">
        <v>322</v>
      </c>
      <c r="AQ252" s="17" t="s">
        <v>749</v>
      </c>
      <c r="AS252" t="s">
        <v>586</v>
      </c>
      <c r="AT252" s="17" t="s">
        <v>322</v>
      </c>
      <c r="AU252" s="17" t="s">
        <v>46</v>
      </c>
      <c r="AV252" s="17" t="s">
        <v>322</v>
      </c>
      <c r="AW252" s="17" t="s">
        <v>46</v>
      </c>
      <c r="AX252" s="17" t="s">
        <v>322</v>
      </c>
      <c r="BA252" s="15" t="s">
        <v>554</v>
      </c>
      <c r="BB252" s="17" t="s">
        <v>768</v>
      </c>
      <c r="BC252" s="17" t="s">
        <v>322</v>
      </c>
      <c r="BD252" s="17" t="s">
        <v>749</v>
      </c>
      <c r="BE252" s="17" t="s">
        <v>322</v>
      </c>
      <c r="BF252" s="17" t="s">
        <v>749</v>
      </c>
      <c r="BI252" s="17" t="s">
        <v>315</v>
      </c>
      <c r="BJ252" s="17" t="s">
        <v>316</v>
      </c>
      <c r="BK252" s="17" t="s">
        <v>317</v>
      </c>
      <c r="BL252" s="17" t="s">
        <v>318</v>
      </c>
      <c r="BM252" s="17" t="s">
        <v>319</v>
      </c>
    </row>
    <row r="253" spans="8:66" x14ac:dyDescent="0.3">
      <c r="AD253" t="s">
        <v>326</v>
      </c>
      <c r="AE253" s="17" t="s">
        <v>322</v>
      </c>
      <c r="AF253" s="17" t="s">
        <v>126</v>
      </c>
      <c r="AG253" s="17" t="s">
        <v>322</v>
      </c>
      <c r="AH253" s="17" t="s">
        <v>126</v>
      </c>
      <c r="AI253" s="17" t="s">
        <v>322</v>
      </c>
      <c r="BH253" t="s">
        <v>517</v>
      </c>
      <c r="BI253" s="17" t="s">
        <v>322</v>
      </c>
      <c r="BJ253" s="17" t="s">
        <v>126</v>
      </c>
      <c r="BK253" s="17" t="s">
        <v>322</v>
      </c>
      <c r="BL253" s="17" t="s">
        <v>126</v>
      </c>
      <c r="BM253" s="17" t="s">
        <v>322</v>
      </c>
    </row>
    <row r="254" spans="8:66" x14ac:dyDescent="0.3">
      <c r="W254" s="15" t="s">
        <v>750</v>
      </c>
      <c r="AD254" t="s">
        <v>328</v>
      </c>
      <c r="AE254" s="17" t="s">
        <v>126</v>
      </c>
      <c r="AF254" s="17" t="s">
        <v>322</v>
      </c>
      <c r="AG254" s="17" t="s">
        <v>126</v>
      </c>
      <c r="AH254" s="17" t="s">
        <v>322</v>
      </c>
      <c r="AI254" s="17" t="s">
        <v>322</v>
      </c>
      <c r="AL254" s="15" t="s">
        <v>750</v>
      </c>
      <c r="AS254" t="s">
        <v>775</v>
      </c>
      <c r="BA254" s="15" t="s">
        <v>750</v>
      </c>
      <c r="BH254" t="s">
        <v>326</v>
      </c>
      <c r="BI254" s="17" t="s">
        <v>322</v>
      </c>
      <c r="BJ254" s="17" t="s">
        <v>126</v>
      </c>
      <c r="BK254" s="17" t="s">
        <v>322</v>
      </c>
      <c r="BL254" s="17" t="s">
        <v>126</v>
      </c>
      <c r="BM254" s="17" t="s">
        <v>322</v>
      </c>
    </row>
    <row r="255" spans="8:66" x14ac:dyDescent="0.3">
      <c r="X255" s="17" t="s">
        <v>315</v>
      </c>
      <c r="Y255" s="17" t="s">
        <v>316</v>
      </c>
      <c r="Z255" s="17" t="s">
        <v>317</v>
      </c>
      <c r="AA255" s="17" t="s">
        <v>318</v>
      </c>
      <c r="AB255" s="17" t="s">
        <v>319</v>
      </c>
      <c r="AD255" t="s">
        <v>350</v>
      </c>
      <c r="AE255" s="17" t="s">
        <v>126</v>
      </c>
      <c r="AF255" s="17" t="s">
        <v>126</v>
      </c>
      <c r="AG255" s="17" t="s">
        <v>126</v>
      </c>
      <c r="AH255" s="17" t="s">
        <v>126</v>
      </c>
      <c r="AI255" s="17" t="s">
        <v>322</v>
      </c>
      <c r="AM255" s="17" t="s">
        <v>315</v>
      </c>
      <c r="AN255" s="17" t="s">
        <v>316</v>
      </c>
      <c r="AO255" s="17" t="s">
        <v>317</v>
      </c>
      <c r="AP255" s="17" t="s">
        <v>318</v>
      </c>
      <c r="AQ255" s="17" t="s">
        <v>319</v>
      </c>
      <c r="AT255" s="17" t="s">
        <v>315</v>
      </c>
      <c r="AU255" s="17" t="s">
        <v>316</v>
      </c>
      <c r="AV255" s="17" t="s">
        <v>317</v>
      </c>
      <c r="AW255" s="17" t="s">
        <v>318</v>
      </c>
      <c r="AX255" s="17" t="s">
        <v>319</v>
      </c>
      <c r="BB255" s="17" t="s">
        <v>315</v>
      </c>
      <c r="BC255" s="17" t="s">
        <v>316</v>
      </c>
      <c r="BD255" s="17" t="s">
        <v>317</v>
      </c>
      <c r="BE255" s="17" t="s">
        <v>318</v>
      </c>
      <c r="BF255" s="17" t="s">
        <v>319</v>
      </c>
      <c r="BH255" t="s">
        <v>328</v>
      </c>
      <c r="BI255" s="17" t="s">
        <v>126</v>
      </c>
      <c r="BJ255" s="17" t="s">
        <v>322</v>
      </c>
      <c r="BK255" s="17" t="s">
        <v>126</v>
      </c>
      <c r="BL255" s="17" t="s">
        <v>322</v>
      </c>
      <c r="BM255" s="17" t="s">
        <v>322</v>
      </c>
    </row>
    <row r="256" spans="8:66" x14ac:dyDescent="0.3">
      <c r="W256" s="15" t="s">
        <v>539</v>
      </c>
      <c r="X256" s="17" t="s">
        <v>322</v>
      </c>
      <c r="Y256" s="17" t="s">
        <v>322</v>
      </c>
      <c r="Z256" s="17" t="s">
        <v>322</v>
      </c>
      <c r="AA256" s="17" t="s">
        <v>322</v>
      </c>
      <c r="AB256" s="17" t="s">
        <v>751</v>
      </c>
      <c r="AL256" s="15" t="s">
        <v>539</v>
      </c>
      <c r="AM256" s="17" t="s">
        <v>322</v>
      </c>
      <c r="AN256" s="17" t="s">
        <v>322</v>
      </c>
      <c r="AO256" s="17" t="s">
        <v>322</v>
      </c>
      <c r="AP256" s="17" t="s">
        <v>322</v>
      </c>
      <c r="AQ256" s="17" t="s">
        <v>751</v>
      </c>
      <c r="AS256" t="s">
        <v>517</v>
      </c>
      <c r="AT256" s="17" t="s">
        <v>322</v>
      </c>
      <c r="AU256" s="17" t="s">
        <v>126</v>
      </c>
      <c r="AV256" s="17" t="s">
        <v>322</v>
      </c>
      <c r="AW256" s="17" t="s">
        <v>126</v>
      </c>
      <c r="AX256" s="17" t="s">
        <v>322</v>
      </c>
      <c r="BA256" s="15" t="s">
        <v>539</v>
      </c>
      <c r="BB256" s="17" t="s">
        <v>751</v>
      </c>
      <c r="BC256" s="17" t="s">
        <v>322</v>
      </c>
      <c r="BD256" s="17" t="s">
        <v>751</v>
      </c>
      <c r="BE256" s="17" t="s">
        <v>322</v>
      </c>
      <c r="BF256" s="17" t="s">
        <v>322</v>
      </c>
      <c r="BH256" t="s">
        <v>350</v>
      </c>
      <c r="BI256" s="17" t="s">
        <v>126</v>
      </c>
      <c r="BJ256" s="17" t="s">
        <v>126</v>
      </c>
      <c r="BK256" s="17" t="s">
        <v>126</v>
      </c>
      <c r="BL256" s="17" t="s">
        <v>126</v>
      </c>
      <c r="BM256" s="17" t="s">
        <v>322</v>
      </c>
    </row>
    <row r="257" spans="23:65" x14ac:dyDescent="0.3">
      <c r="W257" s="15" t="s">
        <v>543</v>
      </c>
      <c r="X257" s="17" t="s">
        <v>322</v>
      </c>
      <c r="Y257" s="17" t="s">
        <v>756</v>
      </c>
      <c r="Z257" s="17" t="s">
        <v>751</v>
      </c>
      <c r="AA257" s="17" t="s">
        <v>322</v>
      </c>
      <c r="AB257" s="17" t="s">
        <v>751</v>
      </c>
      <c r="AD257" t="s">
        <v>777</v>
      </c>
      <c r="AL257" s="15" t="s">
        <v>543</v>
      </c>
      <c r="AM257" s="17" t="s">
        <v>322</v>
      </c>
      <c r="AN257" s="17" t="s">
        <v>756</v>
      </c>
      <c r="AO257" s="17" t="s">
        <v>751</v>
      </c>
      <c r="AP257" s="17" t="s">
        <v>756</v>
      </c>
      <c r="AQ257" s="17" t="s">
        <v>751</v>
      </c>
      <c r="AS257" t="s">
        <v>326</v>
      </c>
      <c r="AT257" s="17" t="s">
        <v>322</v>
      </c>
      <c r="AU257" s="17" t="s">
        <v>126</v>
      </c>
      <c r="AV257" s="17" t="s">
        <v>322</v>
      </c>
      <c r="AW257" s="17" t="s">
        <v>126</v>
      </c>
      <c r="AX257" s="17" t="s">
        <v>322</v>
      </c>
      <c r="BA257" s="15" t="s">
        <v>543</v>
      </c>
      <c r="BB257" s="17" t="s">
        <v>751</v>
      </c>
      <c r="BC257" s="17" t="s">
        <v>756</v>
      </c>
      <c r="BD257" s="17" t="s">
        <v>751</v>
      </c>
      <c r="BE257" s="17" t="s">
        <v>756</v>
      </c>
      <c r="BF257" s="17" t="s">
        <v>322</v>
      </c>
    </row>
    <row r="258" spans="23:65" x14ac:dyDescent="0.3">
      <c r="W258" s="15" t="s">
        <v>573</v>
      </c>
      <c r="X258" s="17" t="s">
        <v>755</v>
      </c>
      <c r="Y258" s="17" t="s">
        <v>756</v>
      </c>
      <c r="Z258" s="17" t="s">
        <v>751</v>
      </c>
      <c r="AA258" s="17" t="s">
        <v>756</v>
      </c>
      <c r="AB258" s="17" t="s">
        <v>755</v>
      </c>
      <c r="AE258" s="17" t="s">
        <v>315</v>
      </c>
      <c r="AF258" s="17" t="s">
        <v>316</v>
      </c>
      <c r="AG258" s="17" t="s">
        <v>317</v>
      </c>
      <c r="AH258" s="17" t="s">
        <v>318</v>
      </c>
      <c r="AI258" s="17" t="s">
        <v>319</v>
      </c>
      <c r="AL258" s="15" t="s">
        <v>573</v>
      </c>
      <c r="AM258" s="17" t="s">
        <v>755</v>
      </c>
      <c r="AN258" s="17" t="s">
        <v>756</v>
      </c>
      <c r="AO258" s="17" t="s">
        <v>751</v>
      </c>
      <c r="AP258" s="17" t="s">
        <v>756</v>
      </c>
      <c r="AQ258" s="17" t="s">
        <v>755</v>
      </c>
      <c r="AS258" t="s">
        <v>328</v>
      </c>
      <c r="AT258" s="17" t="s">
        <v>126</v>
      </c>
      <c r="AU258" s="17" t="s">
        <v>322</v>
      </c>
      <c r="AV258" s="17" t="s">
        <v>126</v>
      </c>
      <c r="AW258" s="17" t="s">
        <v>322</v>
      </c>
      <c r="AX258" s="17" t="s">
        <v>322</v>
      </c>
      <c r="BA258" s="15" t="s">
        <v>573</v>
      </c>
      <c r="BB258" s="17" t="s">
        <v>755</v>
      </c>
      <c r="BC258" s="17" t="s">
        <v>756</v>
      </c>
      <c r="BD258" s="17" t="s">
        <v>751</v>
      </c>
      <c r="BE258" s="17" t="s">
        <v>756</v>
      </c>
      <c r="BF258" s="17" t="s">
        <v>755</v>
      </c>
      <c r="BH258" t="s">
        <v>777</v>
      </c>
    </row>
    <row r="259" spans="23:65" x14ac:dyDescent="0.3">
      <c r="W259" s="15" t="s">
        <v>561</v>
      </c>
      <c r="X259" s="17" t="s">
        <v>755</v>
      </c>
      <c r="Y259" s="17" t="s">
        <v>756</v>
      </c>
      <c r="Z259" s="17" t="s">
        <v>751</v>
      </c>
      <c r="AA259" s="17" t="s">
        <v>756</v>
      </c>
      <c r="AB259" s="17" t="s">
        <v>755</v>
      </c>
      <c r="AD259" t="s">
        <v>512</v>
      </c>
      <c r="AE259" s="17" t="s">
        <v>322</v>
      </c>
      <c r="AF259" s="17" t="s">
        <v>322</v>
      </c>
      <c r="AG259" s="17" t="s">
        <v>183</v>
      </c>
      <c r="AH259" s="17" t="s">
        <v>322</v>
      </c>
      <c r="AI259" s="17" t="s">
        <v>322</v>
      </c>
      <c r="AL259" s="15" t="s">
        <v>561</v>
      </c>
      <c r="AM259" s="17" t="s">
        <v>755</v>
      </c>
      <c r="AN259" s="17" t="s">
        <v>756</v>
      </c>
      <c r="AO259" s="17" t="s">
        <v>751</v>
      </c>
      <c r="AP259" s="17" t="s">
        <v>322</v>
      </c>
      <c r="AQ259" s="17" t="s">
        <v>755</v>
      </c>
      <c r="AS259" t="s">
        <v>350</v>
      </c>
      <c r="AT259" s="17" t="s">
        <v>126</v>
      </c>
      <c r="AU259" s="17" t="s">
        <v>126</v>
      </c>
      <c r="AV259" s="17" t="s">
        <v>126</v>
      </c>
      <c r="AW259" s="17" t="s">
        <v>126</v>
      </c>
      <c r="AX259" s="17" t="s">
        <v>322</v>
      </c>
      <c r="BA259" s="15" t="s">
        <v>561</v>
      </c>
      <c r="BB259" s="17" t="s">
        <v>755</v>
      </c>
      <c r="BC259" s="17" t="s">
        <v>322</v>
      </c>
      <c r="BD259" s="17" t="s">
        <v>322</v>
      </c>
      <c r="BE259" s="17" t="s">
        <v>756</v>
      </c>
      <c r="BF259" s="17" t="s">
        <v>755</v>
      </c>
      <c r="BI259" s="17" t="s">
        <v>315</v>
      </c>
      <c r="BJ259" s="17" t="s">
        <v>316</v>
      </c>
      <c r="BK259" s="17" t="s">
        <v>317</v>
      </c>
      <c r="BL259" s="17" t="s">
        <v>318</v>
      </c>
      <c r="BM259" s="17" t="s">
        <v>319</v>
      </c>
    </row>
    <row r="260" spans="23:65" x14ac:dyDescent="0.3">
      <c r="W260" s="15" t="s">
        <v>551</v>
      </c>
      <c r="X260" s="17" t="s">
        <v>768</v>
      </c>
      <c r="Y260" s="17" t="s">
        <v>322</v>
      </c>
      <c r="Z260" s="17" t="s">
        <v>322</v>
      </c>
      <c r="AA260" s="17" t="s">
        <v>322</v>
      </c>
      <c r="AB260" s="17" t="s">
        <v>322</v>
      </c>
      <c r="AD260" t="s">
        <v>514</v>
      </c>
      <c r="AE260" s="17" t="s">
        <v>322</v>
      </c>
      <c r="AF260" s="17" t="s">
        <v>322</v>
      </c>
      <c r="AG260" s="17" t="s">
        <v>183</v>
      </c>
      <c r="AH260" s="17" t="s">
        <v>322</v>
      </c>
      <c r="AI260" s="17" t="s">
        <v>322</v>
      </c>
      <c r="AL260" s="15" t="s">
        <v>551</v>
      </c>
      <c r="AM260" s="17" t="s">
        <v>768</v>
      </c>
      <c r="AN260" s="17" t="s">
        <v>322</v>
      </c>
      <c r="AO260" s="17" t="s">
        <v>322</v>
      </c>
      <c r="AP260" s="17" t="s">
        <v>322</v>
      </c>
      <c r="AQ260" s="17" t="s">
        <v>322</v>
      </c>
      <c r="BA260" s="15" t="s">
        <v>551</v>
      </c>
      <c r="BB260" s="17" t="s">
        <v>768</v>
      </c>
      <c r="BC260" s="17" t="s">
        <v>322</v>
      </c>
      <c r="BD260" s="17" t="s">
        <v>322</v>
      </c>
      <c r="BE260" s="17" t="s">
        <v>322</v>
      </c>
      <c r="BF260" s="17" t="s">
        <v>322</v>
      </c>
      <c r="BH260" t="s">
        <v>512</v>
      </c>
      <c r="BI260" s="17" t="s">
        <v>322</v>
      </c>
      <c r="BJ260" s="17" t="s">
        <v>322</v>
      </c>
      <c r="BK260" s="17" t="s">
        <v>322</v>
      </c>
      <c r="BL260" s="17" t="s">
        <v>322</v>
      </c>
      <c r="BM260" s="17" t="s">
        <v>183</v>
      </c>
    </row>
    <row r="261" spans="23:65" x14ac:dyDescent="0.3">
      <c r="W261" s="15" t="s">
        <v>552</v>
      </c>
      <c r="X261" s="17" t="s">
        <v>768</v>
      </c>
      <c r="Y261" s="17" t="s">
        <v>322</v>
      </c>
      <c r="Z261" s="17" t="s">
        <v>322</v>
      </c>
      <c r="AA261" s="17" t="s">
        <v>322</v>
      </c>
      <c r="AB261" s="17" t="s">
        <v>322</v>
      </c>
      <c r="AD261" t="s">
        <v>517</v>
      </c>
      <c r="AE261" s="17" t="s">
        <v>322</v>
      </c>
      <c r="AF261" s="17" t="s">
        <v>322</v>
      </c>
      <c r="AG261" s="17" t="s">
        <v>183</v>
      </c>
      <c r="AH261" s="17" t="s">
        <v>322</v>
      </c>
      <c r="AI261" s="17" t="s">
        <v>183</v>
      </c>
      <c r="AL261" s="15" t="s">
        <v>552</v>
      </c>
      <c r="AM261" s="17" t="s">
        <v>768</v>
      </c>
      <c r="AN261" s="17" t="s">
        <v>322</v>
      </c>
      <c r="AO261" s="17" t="s">
        <v>322</v>
      </c>
      <c r="AP261" s="17" t="s">
        <v>322</v>
      </c>
      <c r="AQ261" s="17" t="s">
        <v>322</v>
      </c>
      <c r="AS261" t="s">
        <v>777</v>
      </c>
      <c r="BA261" s="15" t="s">
        <v>552</v>
      </c>
      <c r="BB261" s="17" t="s">
        <v>768</v>
      </c>
      <c r="BC261" s="17" t="s">
        <v>322</v>
      </c>
      <c r="BD261" s="17" t="s">
        <v>322</v>
      </c>
      <c r="BE261" s="17" t="s">
        <v>322</v>
      </c>
      <c r="BF261" s="17" t="s">
        <v>322</v>
      </c>
      <c r="BH261" t="s">
        <v>514</v>
      </c>
      <c r="BI261" s="17" t="s">
        <v>322</v>
      </c>
      <c r="BJ261" s="17" t="s">
        <v>322</v>
      </c>
      <c r="BK261" s="17" t="s">
        <v>322</v>
      </c>
      <c r="BL261" s="17" t="s">
        <v>322</v>
      </c>
      <c r="BM261" s="17" t="s">
        <v>183</v>
      </c>
    </row>
    <row r="262" spans="23:65" x14ac:dyDescent="0.3">
      <c r="W262" s="15" t="s">
        <v>554</v>
      </c>
      <c r="X262" s="17" t="s">
        <v>768</v>
      </c>
      <c r="Y262" s="17" t="s">
        <v>322</v>
      </c>
      <c r="Z262" s="17" t="s">
        <v>322</v>
      </c>
      <c r="AA262" s="17" t="s">
        <v>322</v>
      </c>
      <c r="AB262" s="17" t="s">
        <v>322</v>
      </c>
      <c r="AD262" t="s">
        <v>326</v>
      </c>
      <c r="AE262" s="17" t="s">
        <v>322</v>
      </c>
      <c r="AF262" s="17" t="s">
        <v>322</v>
      </c>
      <c r="AG262" s="17" t="s">
        <v>322</v>
      </c>
      <c r="AH262" s="17" t="s">
        <v>322</v>
      </c>
      <c r="AI262" s="17" t="s">
        <v>183</v>
      </c>
      <c r="AL262" s="15" t="s">
        <v>554</v>
      </c>
      <c r="AM262" s="17" t="s">
        <v>768</v>
      </c>
      <c r="AN262" s="17" t="s">
        <v>322</v>
      </c>
      <c r="AO262" s="17" t="s">
        <v>322</v>
      </c>
      <c r="AP262" s="17" t="s">
        <v>322</v>
      </c>
      <c r="AQ262" s="17" t="s">
        <v>322</v>
      </c>
      <c r="AT262" s="17" t="s">
        <v>315</v>
      </c>
      <c r="AU262" s="17" t="s">
        <v>316</v>
      </c>
      <c r="AV262" s="17" t="s">
        <v>317</v>
      </c>
      <c r="AW262" s="17" t="s">
        <v>318</v>
      </c>
      <c r="AX262" s="17" t="s">
        <v>319</v>
      </c>
      <c r="BA262" s="15" t="s">
        <v>554</v>
      </c>
      <c r="BB262" s="17" t="s">
        <v>768</v>
      </c>
      <c r="BC262" s="17" t="s">
        <v>322</v>
      </c>
      <c r="BD262" s="17" t="s">
        <v>322</v>
      </c>
      <c r="BE262" s="17" t="s">
        <v>322</v>
      </c>
      <c r="BF262" s="17" t="s">
        <v>322</v>
      </c>
      <c r="BH262" t="s">
        <v>517</v>
      </c>
      <c r="BI262" s="17" t="s">
        <v>322</v>
      </c>
      <c r="BJ262" s="17" t="s">
        <v>322</v>
      </c>
      <c r="BK262" s="17" t="s">
        <v>322</v>
      </c>
      <c r="BL262" s="17" t="s">
        <v>322</v>
      </c>
      <c r="BM262" s="17" t="s">
        <v>183</v>
      </c>
    </row>
    <row r="263" spans="23:65" x14ac:dyDescent="0.3">
      <c r="AS263" t="s">
        <v>514</v>
      </c>
      <c r="AT263" s="17" t="s">
        <v>322</v>
      </c>
      <c r="AU263" s="17" t="s">
        <v>322</v>
      </c>
      <c r="AV263" s="17" t="s">
        <v>183</v>
      </c>
      <c r="AW263" s="17" t="s">
        <v>322</v>
      </c>
      <c r="AX263" s="17" t="s">
        <v>322</v>
      </c>
      <c r="BH263" t="s">
        <v>328</v>
      </c>
      <c r="BI263" s="17" t="s">
        <v>322</v>
      </c>
      <c r="BJ263" s="17" t="s">
        <v>322</v>
      </c>
      <c r="BK263" s="17" t="s">
        <v>183</v>
      </c>
      <c r="BL263" s="17" t="s">
        <v>322</v>
      </c>
      <c r="BM263" s="17" t="s">
        <v>322</v>
      </c>
    </row>
    <row r="264" spans="23:65" x14ac:dyDescent="0.3">
      <c r="W264" s="15" t="s">
        <v>759</v>
      </c>
      <c r="AD264" t="s">
        <v>778</v>
      </c>
      <c r="AL264" s="15" t="s">
        <v>759</v>
      </c>
      <c r="AS264" t="s">
        <v>517</v>
      </c>
      <c r="AT264" s="17" t="s">
        <v>322</v>
      </c>
      <c r="AU264" s="17" t="s">
        <v>322</v>
      </c>
      <c r="AV264" s="17" t="s">
        <v>183</v>
      </c>
      <c r="AW264" s="17" t="s">
        <v>322</v>
      </c>
      <c r="AX264" s="17" t="s">
        <v>322</v>
      </c>
      <c r="BA264" s="15" t="s">
        <v>759</v>
      </c>
      <c r="BH264" t="s">
        <v>350</v>
      </c>
      <c r="BI264" s="17" t="s">
        <v>322</v>
      </c>
      <c r="BJ264" s="17" t="s">
        <v>322</v>
      </c>
      <c r="BK264" s="17" t="s">
        <v>183</v>
      </c>
      <c r="BL264" s="17" t="s">
        <v>322</v>
      </c>
      <c r="BM264" s="17" t="s">
        <v>322</v>
      </c>
    </row>
    <row r="265" spans="23:65" x14ac:dyDescent="0.3">
      <c r="X265" s="17" t="s">
        <v>315</v>
      </c>
      <c r="Y265" s="17" t="s">
        <v>316</v>
      </c>
      <c r="Z265" s="17" t="s">
        <v>317</v>
      </c>
      <c r="AA265" s="17" t="s">
        <v>318</v>
      </c>
      <c r="AB265" s="17" t="s">
        <v>319</v>
      </c>
      <c r="AE265" s="17" t="s">
        <v>315</v>
      </c>
      <c r="AF265" s="17" t="s">
        <v>316</v>
      </c>
      <c r="AG265" s="17" t="s">
        <v>317</v>
      </c>
      <c r="AH265" s="17" t="s">
        <v>318</v>
      </c>
      <c r="AI265" s="17" t="s">
        <v>319</v>
      </c>
      <c r="AM265" s="17" t="s">
        <v>315</v>
      </c>
      <c r="AN265" s="17" t="s">
        <v>316</v>
      </c>
      <c r="AO265" s="17" t="s">
        <v>317</v>
      </c>
      <c r="AP265" s="17" t="s">
        <v>318</v>
      </c>
      <c r="AQ265" s="17" t="s">
        <v>319</v>
      </c>
      <c r="AS265" t="s">
        <v>326</v>
      </c>
      <c r="AT265" s="17" t="s">
        <v>322</v>
      </c>
      <c r="AU265" s="17" t="s">
        <v>322</v>
      </c>
      <c r="AV265" s="17" t="s">
        <v>322</v>
      </c>
      <c r="AW265" s="17" t="s">
        <v>322</v>
      </c>
      <c r="AX265" s="17" t="s">
        <v>183</v>
      </c>
      <c r="BB265" s="17" t="s">
        <v>315</v>
      </c>
      <c r="BC265" s="17" t="s">
        <v>316</v>
      </c>
      <c r="BD265" s="17" t="s">
        <v>317</v>
      </c>
      <c r="BE265" s="17" t="s">
        <v>318</v>
      </c>
      <c r="BF265" s="17" t="s">
        <v>319</v>
      </c>
    </row>
    <row r="266" spans="23:65" x14ac:dyDescent="0.3">
      <c r="W266" s="15" t="s">
        <v>539</v>
      </c>
      <c r="X266" s="17" t="s">
        <v>740</v>
      </c>
      <c r="Y266" s="17" t="s">
        <v>322</v>
      </c>
      <c r="Z266" s="17" t="s">
        <v>322</v>
      </c>
      <c r="AA266" s="17" t="s">
        <v>322</v>
      </c>
      <c r="AB266" s="17" t="s">
        <v>322</v>
      </c>
      <c r="AD266" t="s">
        <v>543</v>
      </c>
      <c r="AE266" s="17" t="s">
        <v>322</v>
      </c>
      <c r="AF266" s="17" t="s">
        <v>258</v>
      </c>
      <c r="AG266" s="17" t="s">
        <v>322</v>
      </c>
      <c r="AH266" s="17" t="s">
        <v>322</v>
      </c>
      <c r="AI266" s="17" t="s">
        <v>322</v>
      </c>
      <c r="AL266" s="15" t="s">
        <v>539</v>
      </c>
      <c r="AM266" s="17" t="s">
        <v>740</v>
      </c>
      <c r="AN266" s="17" t="s">
        <v>322</v>
      </c>
      <c r="AO266" s="17" t="s">
        <v>322</v>
      </c>
      <c r="AP266" s="17" t="s">
        <v>322</v>
      </c>
      <c r="AQ266" s="17" t="s">
        <v>322</v>
      </c>
      <c r="AS266" t="s">
        <v>328</v>
      </c>
      <c r="AT266" s="17" t="s">
        <v>322</v>
      </c>
      <c r="AU266" s="17" t="s">
        <v>322</v>
      </c>
      <c r="AV266" s="17" t="s">
        <v>322</v>
      </c>
      <c r="AW266" s="17" t="s">
        <v>322</v>
      </c>
      <c r="AX266" s="17" t="s">
        <v>183</v>
      </c>
      <c r="BA266" s="15" t="s">
        <v>539</v>
      </c>
      <c r="BB266" s="17" t="s">
        <v>740</v>
      </c>
      <c r="BC266" s="17" t="s">
        <v>322</v>
      </c>
      <c r="BD266" s="17" t="s">
        <v>322</v>
      </c>
      <c r="BE266" s="17" t="s">
        <v>322</v>
      </c>
      <c r="BF266" s="17" t="s">
        <v>322</v>
      </c>
      <c r="BH266" t="s">
        <v>778</v>
      </c>
    </row>
    <row r="267" spans="23:65" x14ac:dyDescent="0.3">
      <c r="W267" s="15" t="s">
        <v>543</v>
      </c>
      <c r="X267" s="17" t="s">
        <v>740</v>
      </c>
      <c r="Y267" s="17" t="s">
        <v>322</v>
      </c>
      <c r="Z267" s="17" t="s">
        <v>322</v>
      </c>
      <c r="AA267" s="17" t="s">
        <v>322</v>
      </c>
      <c r="AB267" s="17" t="s">
        <v>322</v>
      </c>
      <c r="AD267" t="s">
        <v>573</v>
      </c>
      <c r="AE267" s="17" t="s">
        <v>322</v>
      </c>
      <c r="AF267" s="17" t="s">
        <v>258</v>
      </c>
      <c r="AG267" s="17" t="s">
        <v>322</v>
      </c>
      <c r="AH267" s="17" t="s">
        <v>258</v>
      </c>
      <c r="AI267" s="17" t="s">
        <v>322</v>
      </c>
      <c r="AL267" s="15" t="s">
        <v>543</v>
      </c>
      <c r="AM267" s="17" t="s">
        <v>740</v>
      </c>
      <c r="AN267" s="17" t="s">
        <v>322</v>
      </c>
      <c r="AO267" s="17" t="s">
        <v>322</v>
      </c>
      <c r="AP267" s="17" t="s">
        <v>762</v>
      </c>
      <c r="AQ267" s="17" t="s">
        <v>322</v>
      </c>
      <c r="AS267" t="s">
        <v>350</v>
      </c>
      <c r="AT267" s="17" t="s">
        <v>322</v>
      </c>
      <c r="AU267" s="17" t="s">
        <v>322</v>
      </c>
      <c r="AV267" s="17" t="s">
        <v>322</v>
      </c>
      <c r="AW267" s="17" t="s">
        <v>322</v>
      </c>
      <c r="AX267" s="17" t="s">
        <v>183</v>
      </c>
      <c r="BA267" s="15" t="s">
        <v>543</v>
      </c>
      <c r="BB267" s="17" t="s">
        <v>740</v>
      </c>
      <c r="BC267" s="17" t="s">
        <v>322</v>
      </c>
      <c r="BD267" s="17" t="s">
        <v>322</v>
      </c>
      <c r="BE267" s="17" t="s">
        <v>322</v>
      </c>
      <c r="BF267" s="17" t="s">
        <v>322</v>
      </c>
      <c r="BI267" s="17" t="s">
        <v>315</v>
      </c>
      <c r="BJ267" s="17" t="s">
        <v>316</v>
      </c>
      <c r="BK267" s="17" t="s">
        <v>317</v>
      </c>
      <c r="BL267" s="17" t="s">
        <v>318</v>
      </c>
      <c r="BM267" s="17" t="s">
        <v>319</v>
      </c>
    </row>
    <row r="268" spans="23:65" x14ac:dyDescent="0.3">
      <c r="W268" s="15" t="s">
        <v>573</v>
      </c>
      <c r="X268" s="17" t="s">
        <v>740</v>
      </c>
      <c r="Y268" s="17" t="s">
        <v>322</v>
      </c>
      <c r="Z268" s="17" t="s">
        <v>322</v>
      </c>
      <c r="AA268" s="17" t="s">
        <v>762</v>
      </c>
      <c r="AB268" s="17" t="s">
        <v>322</v>
      </c>
      <c r="AD268" t="s">
        <v>561</v>
      </c>
      <c r="AE268" s="17" t="s">
        <v>322</v>
      </c>
      <c r="AF268" s="17" t="s">
        <v>258</v>
      </c>
      <c r="AG268" s="17" t="s">
        <v>322</v>
      </c>
      <c r="AH268" s="17" t="s">
        <v>258</v>
      </c>
      <c r="AI268" s="17" t="s">
        <v>322</v>
      </c>
      <c r="AL268" s="15" t="s">
        <v>573</v>
      </c>
      <c r="AM268" s="17" t="s">
        <v>740</v>
      </c>
      <c r="AN268" s="17" t="s">
        <v>322</v>
      </c>
      <c r="AO268" s="17" t="s">
        <v>322</v>
      </c>
      <c r="AP268" s="17" t="s">
        <v>762</v>
      </c>
      <c r="AQ268" s="17" t="s">
        <v>322</v>
      </c>
      <c r="BA268" s="15" t="s">
        <v>573</v>
      </c>
      <c r="BB268" s="17" t="s">
        <v>740</v>
      </c>
      <c r="BC268" s="17" t="s">
        <v>322</v>
      </c>
      <c r="BD268" s="17" t="s">
        <v>322</v>
      </c>
      <c r="BE268" s="17" t="s">
        <v>762</v>
      </c>
      <c r="BF268" s="17" t="s">
        <v>322</v>
      </c>
      <c r="BH268" t="s">
        <v>543</v>
      </c>
      <c r="BI268" s="17" t="s">
        <v>322</v>
      </c>
      <c r="BJ268" s="17" t="s">
        <v>258</v>
      </c>
      <c r="BK268" s="17" t="s">
        <v>322</v>
      </c>
      <c r="BL268" s="17" t="s">
        <v>258</v>
      </c>
      <c r="BM268" s="17" t="s">
        <v>322</v>
      </c>
    </row>
    <row r="269" spans="23:65" x14ac:dyDescent="0.3">
      <c r="W269" s="15" t="s">
        <v>561</v>
      </c>
      <c r="X269" s="17" t="s">
        <v>765</v>
      </c>
      <c r="Y269" s="17" t="s">
        <v>322</v>
      </c>
      <c r="Z269" s="17" t="s">
        <v>765</v>
      </c>
      <c r="AA269" s="17" t="s">
        <v>762</v>
      </c>
      <c r="AB269" s="17" t="s">
        <v>322</v>
      </c>
      <c r="AL269" s="15" t="s">
        <v>561</v>
      </c>
      <c r="AM269" s="17" t="s">
        <v>765</v>
      </c>
      <c r="AN269" s="17" t="s">
        <v>322</v>
      </c>
      <c r="AO269" s="17" t="s">
        <v>765</v>
      </c>
      <c r="AP269" s="17" t="s">
        <v>762</v>
      </c>
      <c r="AQ269" s="17" t="s">
        <v>322</v>
      </c>
      <c r="AS269" t="s">
        <v>778</v>
      </c>
      <c r="BA269" s="15" t="s">
        <v>561</v>
      </c>
      <c r="BB269" s="17" t="s">
        <v>765</v>
      </c>
      <c r="BC269" s="17" t="s">
        <v>322</v>
      </c>
      <c r="BD269" s="17" t="s">
        <v>765</v>
      </c>
      <c r="BE269" s="17" t="s">
        <v>762</v>
      </c>
      <c r="BF269" s="17" t="s">
        <v>322</v>
      </c>
      <c r="BH269" t="s">
        <v>573</v>
      </c>
      <c r="BI269" s="17" t="s">
        <v>322</v>
      </c>
      <c r="BJ269" s="17" t="s">
        <v>258</v>
      </c>
      <c r="BK269" s="17" t="s">
        <v>322</v>
      </c>
      <c r="BL269" s="17" t="s">
        <v>258</v>
      </c>
      <c r="BM269" s="17" t="s">
        <v>322</v>
      </c>
    </row>
    <row r="270" spans="23:65" x14ac:dyDescent="0.3">
      <c r="W270" s="15" t="s">
        <v>551</v>
      </c>
      <c r="X270" s="17" t="s">
        <v>765</v>
      </c>
      <c r="Y270" s="17" t="s">
        <v>322</v>
      </c>
      <c r="Z270" s="17" t="s">
        <v>765</v>
      </c>
      <c r="AA270" s="17" t="s">
        <v>762</v>
      </c>
      <c r="AB270" s="17" t="s">
        <v>322</v>
      </c>
      <c r="AD270" t="s">
        <v>779</v>
      </c>
      <c r="AL270" s="15" t="s">
        <v>551</v>
      </c>
      <c r="AM270" s="17" t="s">
        <v>765</v>
      </c>
      <c r="AN270" s="17" t="s">
        <v>322</v>
      </c>
      <c r="AO270" s="17" t="s">
        <v>765</v>
      </c>
      <c r="AP270" s="17" t="s">
        <v>762</v>
      </c>
      <c r="AQ270" s="17" t="s">
        <v>322</v>
      </c>
      <c r="AT270" s="17" t="s">
        <v>315</v>
      </c>
      <c r="AU270" s="17" t="s">
        <v>316</v>
      </c>
      <c r="AV270" s="17" t="s">
        <v>317</v>
      </c>
      <c r="AW270" s="17" t="s">
        <v>318</v>
      </c>
      <c r="AX270" s="17" t="s">
        <v>319</v>
      </c>
      <c r="BA270" s="15" t="s">
        <v>551</v>
      </c>
      <c r="BB270" s="17" t="s">
        <v>765</v>
      </c>
      <c r="BC270" s="17" t="s">
        <v>322</v>
      </c>
      <c r="BD270" s="17" t="s">
        <v>765</v>
      </c>
      <c r="BE270" s="17" t="s">
        <v>762</v>
      </c>
      <c r="BF270" s="17" t="s">
        <v>322</v>
      </c>
      <c r="BH270" t="s">
        <v>561</v>
      </c>
      <c r="BI270" s="17" t="s">
        <v>322</v>
      </c>
      <c r="BJ270" s="17" t="s">
        <v>322</v>
      </c>
      <c r="BK270" s="17" t="s">
        <v>322</v>
      </c>
      <c r="BL270" s="17" t="s">
        <v>258</v>
      </c>
      <c r="BM270" s="17" t="s">
        <v>322</v>
      </c>
    </row>
    <row r="271" spans="23:65" x14ac:dyDescent="0.3">
      <c r="W271" s="15" t="s">
        <v>552</v>
      </c>
      <c r="X271" s="17" t="s">
        <v>322</v>
      </c>
      <c r="Y271" s="17" t="s">
        <v>322</v>
      </c>
      <c r="Z271" s="17" t="s">
        <v>322</v>
      </c>
      <c r="AA271" s="17" t="s">
        <v>762</v>
      </c>
      <c r="AB271" s="17" t="s">
        <v>322</v>
      </c>
      <c r="AE271" s="17" t="s">
        <v>315</v>
      </c>
      <c r="AF271" s="17" t="s">
        <v>316</v>
      </c>
      <c r="AG271" s="17" t="s">
        <v>317</v>
      </c>
      <c r="AH271" s="17" t="s">
        <v>318</v>
      </c>
      <c r="AI271" s="17" t="s">
        <v>319</v>
      </c>
      <c r="AL271" s="15" t="s">
        <v>552</v>
      </c>
      <c r="AM271" s="17" t="s">
        <v>322</v>
      </c>
      <c r="AN271" s="17" t="s">
        <v>322</v>
      </c>
      <c r="AO271" s="17" t="s">
        <v>322</v>
      </c>
      <c r="AP271" s="17" t="s">
        <v>322</v>
      </c>
      <c r="AQ271" s="17" t="s">
        <v>322</v>
      </c>
      <c r="AS271" t="s">
        <v>543</v>
      </c>
      <c r="AT271" s="17" t="s">
        <v>322</v>
      </c>
      <c r="AU271" s="17" t="s">
        <v>258</v>
      </c>
      <c r="AV271" s="17" t="s">
        <v>322</v>
      </c>
      <c r="AW271" s="17" t="s">
        <v>258</v>
      </c>
      <c r="AX271" s="17" t="s">
        <v>322</v>
      </c>
      <c r="BA271" s="15" t="s">
        <v>552</v>
      </c>
      <c r="BB271" s="17" t="s">
        <v>322</v>
      </c>
      <c r="BC271" s="17" t="s">
        <v>322</v>
      </c>
      <c r="BD271" s="17" t="s">
        <v>322</v>
      </c>
      <c r="BE271" s="17" t="s">
        <v>762</v>
      </c>
      <c r="BF271" s="17" t="s">
        <v>322</v>
      </c>
    </row>
    <row r="272" spans="23:65" x14ac:dyDescent="0.3">
      <c r="W272" s="15" t="s">
        <v>554</v>
      </c>
      <c r="X272" s="17" t="s">
        <v>322</v>
      </c>
      <c r="Y272" s="17" t="s">
        <v>682</v>
      </c>
      <c r="Z272" s="17" t="s">
        <v>322</v>
      </c>
      <c r="AA272" s="17" t="s">
        <v>322</v>
      </c>
      <c r="AB272" s="17" t="s">
        <v>322</v>
      </c>
      <c r="AD272" t="s">
        <v>552</v>
      </c>
      <c r="AE272" s="17" t="s">
        <v>322</v>
      </c>
      <c r="AF272" s="17" t="s">
        <v>322</v>
      </c>
      <c r="AG272" s="17" t="s">
        <v>322</v>
      </c>
      <c r="AH272" s="17" t="s">
        <v>322</v>
      </c>
      <c r="AI272" s="17" t="s">
        <v>79</v>
      </c>
      <c r="AL272" s="15" t="s">
        <v>554</v>
      </c>
      <c r="AM272" s="17" t="s">
        <v>322</v>
      </c>
      <c r="AN272" s="17" t="s">
        <v>682</v>
      </c>
      <c r="AO272" s="17" t="s">
        <v>322</v>
      </c>
      <c r="AP272" s="17" t="s">
        <v>322</v>
      </c>
      <c r="AQ272" s="17" t="s">
        <v>322</v>
      </c>
      <c r="AS272" t="s">
        <v>573</v>
      </c>
      <c r="AT272" s="17" t="s">
        <v>322</v>
      </c>
      <c r="AU272" s="17" t="s">
        <v>258</v>
      </c>
      <c r="AV272" s="17" t="s">
        <v>322</v>
      </c>
      <c r="AW272" s="17" t="s">
        <v>258</v>
      </c>
      <c r="AX272" s="17" t="s">
        <v>322</v>
      </c>
      <c r="BA272" s="15" t="s">
        <v>554</v>
      </c>
      <c r="BB272" s="17" t="s">
        <v>322</v>
      </c>
      <c r="BC272" s="17" t="s">
        <v>682</v>
      </c>
      <c r="BD272" s="17" t="s">
        <v>322</v>
      </c>
      <c r="BE272" s="17" t="s">
        <v>322</v>
      </c>
      <c r="BF272" s="17" t="s">
        <v>322</v>
      </c>
      <c r="BH272" t="s">
        <v>779</v>
      </c>
    </row>
    <row r="273" spans="23:77" x14ac:dyDescent="0.3">
      <c r="AD273" t="s">
        <v>554</v>
      </c>
      <c r="AE273" s="17" t="s">
        <v>79</v>
      </c>
      <c r="AF273" s="17" t="s">
        <v>322</v>
      </c>
      <c r="AG273" s="17" t="s">
        <v>54</v>
      </c>
      <c r="AH273" s="17" t="s">
        <v>322</v>
      </c>
      <c r="AI273" s="17" t="s">
        <v>79</v>
      </c>
      <c r="AS273" t="s">
        <v>561</v>
      </c>
      <c r="AT273" s="17" t="s">
        <v>322</v>
      </c>
      <c r="AU273" s="17" t="s">
        <v>258</v>
      </c>
      <c r="AV273" s="17" t="s">
        <v>322</v>
      </c>
      <c r="AW273" s="17" t="s">
        <v>322</v>
      </c>
      <c r="AX273" s="17" t="s">
        <v>322</v>
      </c>
      <c r="BI273" s="17" t="s">
        <v>315</v>
      </c>
      <c r="BJ273" s="17" t="s">
        <v>316</v>
      </c>
      <c r="BK273" s="17" t="s">
        <v>317</v>
      </c>
      <c r="BL273" s="17" t="s">
        <v>318</v>
      </c>
      <c r="BM273" s="17" t="s">
        <v>319</v>
      </c>
    </row>
    <row r="274" spans="23:77" x14ac:dyDescent="0.3">
      <c r="W274" s="15" t="s">
        <v>770</v>
      </c>
      <c r="AD274" t="s">
        <v>586</v>
      </c>
      <c r="AE274" s="17" t="s">
        <v>322</v>
      </c>
      <c r="AF274" s="17" t="s">
        <v>322</v>
      </c>
      <c r="AG274" s="17" t="s">
        <v>54</v>
      </c>
      <c r="AH274" s="17" t="s">
        <v>322</v>
      </c>
      <c r="AI274" s="17" t="s">
        <v>54</v>
      </c>
      <c r="AL274" s="15" t="s">
        <v>770</v>
      </c>
      <c r="BA274" s="15" t="s">
        <v>770</v>
      </c>
      <c r="BH274" t="s">
        <v>552</v>
      </c>
      <c r="BI274" s="17" t="s">
        <v>322</v>
      </c>
      <c r="BJ274" s="17" t="s">
        <v>322</v>
      </c>
      <c r="BK274" s="17" t="s">
        <v>322</v>
      </c>
      <c r="BL274" s="17" t="s">
        <v>79</v>
      </c>
      <c r="BM274" s="17" t="s">
        <v>54</v>
      </c>
      <c r="BT274" s="17" t="s">
        <v>505</v>
      </c>
    </row>
    <row r="275" spans="23:77" x14ac:dyDescent="0.3">
      <c r="X275" s="17" t="s">
        <v>315</v>
      </c>
      <c r="Y275" s="17" t="s">
        <v>316</v>
      </c>
      <c r="Z275" s="17" t="s">
        <v>317</v>
      </c>
      <c r="AA275" s="17" t="s">
        <v>318</v>
      </c>
      <c r="AB275" s="17" t="s">
        <v>319</v>
      </c>
      <c r="AM275" s="17" t="s">
        <v>315</v>
      </c>
      <c r="AN275" s="17" t="s">
        <v>316</v>
      </c>
      <c r="AO275" s="17" t="s">
        <v>317</v>
      </c>
      <c r="AP275" s="17" t="s">
        <v>318</v>
      </c>
      <c r="AQ275" s="17" t="s">
        <v>319</v>
      </c>
      <c r="AS275" t="s">
        <v>779</v>
      </c>
      <c r="BB275" s="17" t="s">
        <v>315</v>
      </c>
      <c r="BC275" s="17" t="s">
        <v>316</v>
      </c>
      <c r="BD275" s="17" t="s">
        <v>317</v>
      </c>
      <c r="BE275" s="17" t="s">
        <v>318</v>
      </c>
      <c r="BF275" s="17" t="s">
        <v>319</v>
      </c>
      <c r="BH275" t="s">
        <v>554</v>
      </c>
      <c r="BI275" s="17" t="s">
        <v>79</v>
      </c>
      <c r="BJ275" s="17" t="s">
        <v>322</v>
      </c>
      <c r="BK275" s="17" t="s">
        <v>54</v>
      </c>
      <c r="BL275" s="17" t="s">
        <v>322</v>
      </c>
      <c r="BM275" s="17" t="s">
        <v>322</v>
      </c>
      <c r="BT275" s="17" t="s">
        <v>736</v>
      </c>
    </row>
    <row r="276" spans="23:77" x14ac:dyDescent="0.3">
      <c r="W276" s="15" t="s">
        <v>539</v>
      </c>
      <c r="X276" s="17" t="s">
        <v>740</v>
      </c>
      <c r="Y276" s="17" t="s">
        <v>322</v>
      </c>
      <c r="Z276" s="17" t="s">
        <v>322</v>
      </c>
      <c r="AA276" s="17" t="s">
        <v>322</v>
      </c>
      <c r="AB276" s="17" t="s">
        <v>322</v>
      </c>
      <c r="AD276" t="s">
        <v>780</v>
      </c>
      <c r="AL276" s="15" t="s">
        <v>539</v>
      </c>
      <c r="AM276" s="17" t="s">
        <v>740</v>
      </c>
      <c r="AN276" s="17" t="s">
        <v>322</v>
      </c>
      <c r="AO276" s="17" t="s">
        <v>322</v>
      </c>
      <c r="AP276" s="17" t="s">
        <v>322</v>
      </c>
      <c r="AQ276" s="17" t="s">
        <v>322</v>
      </c>
      <c r="AT276" s="17" t="s">
        <v>315</v>
      </c>
      <c r="AU276" s="17" t="s">
        <v>316</v>
      </c>
      <c r="AV276" s="17" t="s">
        <v>317</v>
      </c>
      <c r="AW276" s="17" t="s">
        <v>318</v>
      </c>
      <c r="AX276" s="17" t="s">
        <v>319</v>
      </c>
      <c r="BA276" s="15" t="s">
        <v>539</v>
      </c>
      <c r="BB276" s="17" t="s">
        <v>740</v>
      </c>
      <c r="BC276" s="17" t="s">
        <v>322</v>
      </c>
      <c r="BD276" s="17" t="s">
        <v>322</v>
      </c>
      <c r="BE276" s="17" t="s">
        <v>322</v>
      </c>
      <c r="BF276" s="17" t="s">
        <v>322</v>
      </c>
      <c r="BH276" t="s">
        <v>586</v>
      </c>
      <c r="BI276" s="17" t="s">
        <v>79</v>
      </c>
      <c r="BJ276" s="17" t="s">
        <v>322</v>
      </c>
      <c r="BK276" s="17" t="s">
        <v>54</v>
      </c>
      <c r="BL276" s="17" t="s">
        <v>322</v>
      </c>
      <c r="BM276" s="17" t="s">
        <v>322</v>
      </c>
    </row>
    <row r="277" spans="23:77" x14ac:dyDescent="0.3">
      <c r="W277" s="15" t="s">
        <v>543</v>
      </c>
      <c r="X277" s="17" t="s">
        <v>740</v>
      </c>
      <c r="Y277" s="17" t="s">
        <v>322</v>
      </c>
      <c r="Z277" s="17" t="s">
        <v>322</v>
      </c>
      <c r="AA277" s="17" t="s">
        <v>322</v>
      </c>
      <c r="AB277" s="17" t="s">
        <v>322</v>
      </c>
      <c r="AE277" s="17" t="s">
        <v>315</v>
      </c>
      <c r="AF277" s="17" t="s">
        <v>316</v>
      </c>
      <c r="AG277" s="17" t="s">
        <v>317</v>
      </c>
      <c r="AH277" s="17" t="s">
        <v>318</v>
      </c>
      <c r="AI277" s="17" t="s">
        <v>319</v>
      </c>
      <c r="AL277" s="15" t="s">
        <v>543</v>
      </c>
      <c r="AM277" s="17" t="s">
        <v>740</v>
      </c>
      <c r="AN277" s="17" t="s">
        <v>322</v>
      </c>
      <c r="AO277" s="17" t="s">
        <v>322</v>
      </c>
      <c r="AP277" s="17" t="s">
        <v>762</v>
      </c>
      <c r="AQ277" s="17" t="s">
        <v>322</v>
      </c>
      <c r="AS277" t="s">
        <v>561</v>
      </c>
      <c r="AT277" s="17" t="s">
        <v>322</v>
      </c>
      <c r="AU277" s="17" t="s">
        <v>79</v>
      </c>
      <c r="AV277" s="17" t="s">
        <v>322</v>
      </c>
      <c r="AW277" s="17" t="s">
        <v>322</v>
      </c>
      <c r="AX277" s="17" t="s">
        <v>54</v>
      </c>
      <c r="BA277" s="15" t="s">
        <v>543</v>
      </c>
      <c r="BB277" s="17" t="s">
        <v>740</v>
      </c>
      <c r="BC277" s="17" t="s">
        <v>322</v>
      </c>
      <c r="BD277" s="17" t="s">
        <v>322</v>
      </c>
      <c r="BE277" s="17" t="s">
        <v>322</v>
      </c>
      <c r="BF277" s="17" t="s">
        <v>322</v>
      </c>
      <c r="BT277" s="17" t="s">
        <v>738</v>
      </c>
    </row>
    <row r="278" spans="23:77" x14ac:dyDescent="0.3">
      <c r="W278" s="15" t="s">
        <v>573</v>
      </c>
      <c r="X278" s="17" t="s">
        <v>740</v>
      </c>
      <c r="Y278" s="17" t="s">
        <v>322</v>
      </c>
      <c r="Z278" s="17" t="s">
        <v>322</v>
      </c>
      <c r="AA278" s="17" t="s">
        <v>762</v>
      </c>
      <c r="AB278" s="17" t="s">
        <v>712</v>
      </c>
      <c r="AD278" t="s">
        <v>517</v>
      </c>
      <c r="AE278" s="17" t="s">
        <v>79</v>
      </c>
      <c r="AF278" s="17" t="s">
        <v>79</v>
      </c>
      <c r="AG278" s="17" t="s">
        <v>79</v>
      </c>
      <c r="AH278" s="17" t="s">
        <v>322</v>
      </c>
      <c r="AI278" s="17" t="s">
        <v>322</v>
      </c>
      <c r="AL278" s="15" t="s">
        <v>573</v>
      </c>
      <c r="AM278" s="17" t="s">
        <v>740</v>
      </c>
      <c r="AN278" s="17" t="s">
        <v>322</v>
      </c>
      <c r="AO278" s="17" t="s">
        <v>322</v>
      </c>
      <c r="AP278" s="17" t="s">
        <v>762</v>
      </c>
      <c r="AQ278" s="17" t="s">
        <v>712</v>
      </c>
      <c r="AS278" t="s">
        <v>552</v>
      </c>
      <c r="AT278" s="17" t="s">
        <v>322</v>
      </c>
      <c r="AU278" s="17" t="s">
        <v>322</v>
      </c>
      <c r="AV278" s="17" t="s">
        <v>322</v>
      </c>
      <c r="AW278" s="17" t="s">
        <v>322</v>
      </c>
      <c r="AX278" s="17" t="s">
        <v>79</v>
      </c>
      <c r="BA278" s="15" t="s">
        <v>573</v>
      </c>
      <c r="BB278" s="17" t="s">
        <v>740</v>
      </c>
      <c r="BC278" s="17" t="s">
        <v>322</v>
      </c>
      <c r="BD278" s="17" t="s">
        <v>322</v>
      </c>
      <c r="BE278" s="17" t="s">
        <v>762</v>
      </c>
      <c r="BF278" s="17" t="s">
        <v>712</v>
      </c>
      <c r="BH278" t="s">
        <v>780</v>
      </c>
      <c r="BU278" s="17" t="s">
        <v>315</v>
      </c>
      <c r="BV278" s="17" t="s">
        <v>316</v>
      </c>
      <c r="BW278" s="17" t="s">
        <v>317</v>
      </c>
      <c r="BX278" s="17" t="s">
        <v>318</v>
      </c>
      <c r="BY278" s="17" t="s">
        <v>319</v>
      </c>
    </row>
    <row r="279" spans="23:77" x14ac:dyDescent="0.3">
      <c r="W279" s="15" t="s">
        <v>561</v>
      </c>
      <c r="X279" s="17" t="s">
        <v>322</v>
      </c>
      <c r="Y279" s="17" t="s">
        <v>322</v>
      </c>
      <c r="Z279" s="17" t="s">
        <v>322</v>
      </c>
      <c r="AA279" s="17" t="s">
        <v>762</v>
      </c>
      <c r="AB279" s="17" t="s">
        <v>712</v>
      </c>
      <c r="AD279" t="s">
        <v>326</v>
      </c>
      <c r="AE279" s="17" t="s">
        <v>322</v>
      </c>
      <c r="AF279" s="17" t="s">
        <v>79</v>
      </c>
      <c r="AG279" s="17" t="s">
        <v>79</v>
      </c>
      <c r="AH279" s="17" t="s">
        <v>322</v>
      </c>
      <c r="AI279" s="17" t="s">
        <v>322</v>
      </c>
      <c r="AL279" s="15" t="s">
        <v>561</v>
      </c>
      <c r="AM279" s="17" t="s">
        <v>322</v>
      </c>
      <c r="AN279" s="17" t="s">
        <v>322</v>
      </c>
      <c r="AO279" s="17" t="s">
        <v>322</v>
      </c>
      <c r="AP279" s="17" t="s">
        <v>762</v>
      </c>
      <c r="AQ279" s="17" t="s">
        <v>712</v>
      </c>
      <c r="AS279" t="s">
        <v>554</v>
      </c>
      <c r="AT279" s="17" t="s">
        <v>322</v>
      </c>
      <c r="AU279" s="17" t="s">
        <v>322</v>
      </c>
      <c r="AV279" s="17" t="s">
        <v>54</v>
      </c>
      <c r="AW279" s="17" t="s">
        <v>322</v>
      </c>
      <c r="AX279" s="17" t="s">
        <v>79</v>
      </c>
      <c r="BA279" s="15" t="s">
        <v>561</v>
      </c>
      <c r="BB279" s="17" t="s">
        <v>322</v>
      </c>
      <c r="BC279" s="17" t="s">
        <v>322</v>
      </c>
      <c r="BD279" s="17" t="s">
        <v>322</v>
      </c>
      <c r="BE279" s="17" t="s">
        <v>762</v>
      </c>
      <c r="BF279" s="17" t="s">
        <v>712</v>
      </c>
      <c r="BI279" s="17" t="s">
        <v>315</v>
      </c>
      <c r="BJ279" s="17" t="s">
        <v>316</v>
      </c>
      <c r="BK279" s="17" t="s">
        <v>317</v>
      </c>
      <c r="BL279" s="17" t="s">
        <v>318</v>
      </c>
      <c r="BM279" s="17" t="s">
        <v>319</v>
      </c>
      <c r="BT279" s="17" t="s">
        <v>539</v>
      </c>
      <c r="BU279" s="17" t="s">
        <v>322</v>
      </c>
      <c r="BV279" s="108" t="s">
        <v>280</v>
      </c>
      <c r="BW279" s="108" t="s">
        <v>280</v>
      </c>
      <c r="BX279" s="17" t="s">
        <v>248</v>
      </c>
      <c r="BY279" s="17" t="s">
        <v>322</v>
      </c>
    </row>
    <row r="280" spans="23:77" x14ac:dyDescent="0.3">
      <c r="W280" s="15" t="s">
        <v>551</v>
      </c>
      <c r="X280" s="17" t="s">
        <v>322</v>
      </c>
      <c r="Y280" s="17" t="s">
        <v>712</v>
      </c>
      <c r="Z280" s="17" t="s">
        <v>322</v>
      </c>
      <c r="AA280" s="17" t="s">
        <v>762</v>
      </c>
      <c r="AB280" s="17" t="s">
        <v>322</v>
      </c>
      <c r="AD280" t="s">
        <v>328</v>
      </c>
      <c r="AE280" s="17" t="s">
        <v>322</v>
      </c>
      <c r="AF280" s="17" t="s">
        <v>79</v>
      </c>
      <c r="AG280" s="17" t="s">
        <v>322</v>
      </c>
      <c r="AH280" s="17" t="s">
        <v>79</v>
      </c>
      <c r="AI280" s="17" t="s">
        <v>322</v>
      </c>
      <c r="AL280" s="15" t="s">
        <v>551</v>
      </c>
      <c r="AM280" s="17" t="s">
        <v>322</v>
      </c>
      <c r="AN280" s="17" t="s">
        <v>712</v>
      </c>
      <c r="AO280" s="17" t="s">
        <v>322</v>
      </c>
      <c r="AP280" s="17" t="s">
        <v>762</v>
      </c>
      <c r="AQ280" s="17" t="s">
        <v>322</v>
      </c>
      <c r="AS280" t="s">
        <v>586</v>
      </c>
      <c r="AT280" s="17" t="s">
        <v>322</v>
      </c>
      <c r="AU280" s="17" t="s">
        <v>322</v>
      </c>
      <c r="AV280" s="17" t="s">
        <v>54</v>
      </c>
      <c r="AW280" s="17" t="s">
        <v>322</v>
      </c>
      <c r="AX280" s="17" t="s">
        <v>322</v>
      </c>
      <c r="BA280" s="15" t="s">
        <v>551</v>
      </c>
      <c r="BB280" s="17" t="s">
        <v>322</v>
      </c>
      <c r="BC280" s="17" t="s">
        <v>712</v>
      </c>
      <c r="BD280" s="17" t="s">
        <v>322</v>
      </c>
      <c r="BE280" s="17" t="s">
        <v>762</v>
      </c>
      <c r="BF280" s="17" t="s">
        <v>322</v>
      </c>
      <c r="BH280" t="s">
        <v>512</v>
      </c>
      <c r="BI280" s="17" t="s">
        <v>79</v>
      </c>
      <c r="BJ280" s="17" t="s">
        <v>322</v>
      </c>
      <c r="BK280" s="17" t="s">
        <v>322</v>
      </c>
      <c r="BL280" s="17" t="s">
        <v>322</v>
      </c>
      <c r="BM280" s="17" t="s">
        <v>322</v>
      </c>
      <c r="BT280" s="17" t="s">
        <v>543</v>
      </c>
      <c r="BU280" s="17" t="s">
        <v>281</v>
      </c>
      <c r="BV280" s="108" t="s">
        <v>280</v>
      </c>
      <c r="BW280" s="108" t="s">
        <v>280</v>
      </c>
      <c r="BX280" s="17" t="s">
        <v>248</v>
      </c>
      <c r="BY280" s="17" t="s">
        <v>293</v>
      </c>
    </row>
    <row r="281" spans="23:77" x14ac:dyDescent="0.3">
      <c r="W281" s="15" t="s">
        <v>552</v>
      </c>
      <c r="X281" s="17" t="s">
        <v>322</v>
      </c>
      <c r="Y281" s="17" t="s">
        <v>712</v>
      </c>
      <c r="Z281" s="17" t="s">
        <v>322</v>
      </c>
      <c r="AA281" s="17" t="s">
        <v>762</v>
      </c>
      <c r="AB281" s="17" t="s">
        <v>322</v>
      </c>
      <c r="AD281" t="s">
        <v>350</v>
      </c>
      <c r="AE281" s="17" t="s">
        <v>322</v>
      </c>
      <c r="AF281" s="17" t="s">
        <v>79</v>
      </c>
      <c r="AG281" s="17" t="s">
        <v>322</v>
      </c>
      <c r="AH281" s="17" t="s">
        <v>79</v>
      </c>
      <c r="AI281" s="17" t="s">
        <v>322</v>
      </c>
      <c r="AL281" s="15" t="s">
        <v>552</v>
      </c>
      <c r="AM281" s="17" t="s">
        <v>322</v>
      </c>
      <c r="AN281" s="17" t="s">
        <v>712</v>
      </c>
      <c r="AO281" s="17" t="s">
        <v>322</v>
      </c>
      <c r="AP281" s="17" t="s">
        <v>322</v>
      </c>
      <c r="AQ281" s="17" t="s">
        <v>322</v>
      </c>
      <c r="BA281" s="15" t="s">
        <v>552</v>
      </c>
      <c r="BB281" s="17" t="s">
        <v>322</v>
      </c>
      <c r="BC281" s="17" t="s">
        <v>712</v>
      </c>
      <c r="BD281" s="17" t="s">
        <v>322</v>
      </c>
      <c r="BE281" s="17" t="s">
        <v>762</v>
      </c>
      <c r="BF281" s="17" t="s">
        <v>322</v>
      </c>
      <c r="BH281" t="s">
        <v>514</v>
      </c>
      <c r="BI281" s="17" t="s">
        <v>322</v>
      </c>
      <c r="BJ281" s="17" t="s">
        <v>79</v>
      </c>
      <c r="BK281" s="17" t="s">
        <v>322</v>
      </c>
      <c r="BL281" s="17" t="s">
        <v>322</v>
      </c>
      <c r="BM281" s="17" t="s">
        <v>322</v>
      </c>
      <c r="BT281" s="17" t="s">
        <v>573</v>
      </c>
      <c r="BU281" s="17" t="s">
        <v>888</v>
      </c>
      <c r="BV281" s="17" t="s">
        <v>246</v>
      </c>
      <c r="BW281" s="17" t="s">
        <v>322</v>
      </c>
      <c r="BX281" s="17" t="s">
        <v>248</v>
      </c>
      <c r="BY281" s="17" t="s">
        <v>889</v>
      </c>
    </row>
    <row r="282" spans="23:77" x14ac:dyDescent="0.3">
      <c r="W282" s="15" t="s">
        <v>554</v>
      </c>
      <c r="X282" s="17" t="s">
        <v>322</v>
      </c>
      <c r="Y282" s="17" t="s">
        <v>682</v>
      </c>
      <c r="Z282" s="17" t="s">
        <v>322</v>
      </c>
      <c r="AA282" s="17" t="s">
        <v>322</v>
      </c>
      <c r="AB282" s="17" t="s">
        <v>322</v>
      </c>
      <c r="AL282" s="15" t="s">
        <v>554</v>
      </c>
      <c r="AM282" s="17" t="s">
        <v>322</v>
      </c>
      <c r="AN282" s="17" t="s">
        <v>682</v>
      </c>
      <c r="AO282" s="17" t="s">
        <v>322</v>
      </c>
      <c r="AP282" s="17" t="s">
        <v>322</v>
      </c>
      <c r="AQ282" s="17" t="s">
        <v>322</v>
      </c>
      <c r="AS282" t="s">
        <v>780</v>
      </c>
      <c r="BA282" s="15" t="s">
        <v>554</v>
      </c>
      <c r="BB282" s="17" t="s">
        <v>322</v>
      </c>
      <c r="BC282" s="17" t="s">
        <v>682</v>
      </c>
      <c r="BD282" s="17" t="s">
        <v>322</v>
      </c>
      <c r="BE282" s="17" t="s">
        <v>322</v>
      </c>
      <c r="BF282" s="17" t="s">
        <v>322</v>
      </c>
      <c r="BH282" t="s">
        <v>517</v>
      </c>
      <c r="BI282" s="17" t="s">
        <v>322</v>
      </c>
      <c r="BJ282" s="17" t="s">
        <v>79</v>
      </c>
      <c r="BK282" s="17" t="s">
        <v>79</v>
      </c>
      <c r="BL282" s="17" t="s">
        <v>322</v>
      </c>
      <c r="BM282" s="17" t="s">
        <v>322</v>
      </c>
      <c r="BT282" s="17" t="s">
        <v>561</v>
      </c>
      <c r="BU282" s="17" t="s">
        <v>890</v>
      </c>
      <c r="BV282" s="17" t="s">
        <v>246</v>
      </c>
      <c r="BW282" s="17" t="s">
        <v>242</v>
      </c>
      <c r="BX282" s="17" t="s">
        <v>246</v>
      </c>
      <c r="BY282" s="17" t="s">
        <v>889</v>
      </c>
    </row>
    <row r="283" spans="23:77" x14ac:dyDescent="0.3">
      <c r="AD283" t="s">
        <v>781</v>
      </c>
      <c r="AT283" s="17" t="s">
        <v>315</v>
      </c>
      <c r="AU283" s="17" t="s">
        <v>316</v>
      </c>
      <c r="AV283" s="17" t="s">
        <v>317</v>
      </c>
      <c r="AW283" s="17" t="s">
        <v>318</v>
      </c>
      <c r="AX283" s="17" t="s">
        <v>319</v>
      </c>
      <c r="BH283" t="s">
        <v>326</v>
      </c>
      <c r="BI283" s="17" t="s">
        <v>322</v>
      </c>
      <c r="BJ283" s="17" t="s">
        <v>322</v>
      </c>
      <c r="BK283" s="17" t="s">
        <v>79</v>
      </c>
      <c r="BL283" s="17" t="s">
        <v>322</v>
      </c>
      <c r="BM283" s="17" t="s">
        <v>322</v>
      </c>
      <c r="BT283" s="17" t="s">
        <v>551</v>
      </c>
      <c r="BU283" s="17" t="s">
        <v>860</v>
      </c>
      <c r="BV283" s="17" t="s">
        <v>242</v>
      </c>
      <c r="BW283" s="17" t="s">
        <v>242</v>
      </c>
      <c r="BX283" s="17" t="s">
        <v>246</v>
      </c>
      <c r="BY283" s="17" t="s">
        <v>254</v>
      </c>
    </row>
    <row r="284" spans="23:77" x14ac:dyDescent="0.3">
      <c r="AE284" s="17" t="s">
        <v>315</v>
      </c>
      <c r="AF284" s="17" t="s">
        <v>316</v>
      </c>
      <c r="AG284" s="17" t="s">
        <v>317</v>
      </c>
      <c r="AH284" s="17" t="s">
        <v>318</v>
      </c>
      <c r="AI284" s="17" t="s">
        <v>319</v>
      </c>
      <c r="AS284" t="s">
        <v>517</v>
      </c>
      <c r="AT284" s="17" t="s">
        <v>79</v>
      </c>
      <c r="AU284" s="17" t="s">
        <v>79</v>
      </c>
      <c r="AV284" s="17" t="s">
        <v>79</v>
      </c>
      <c r="AW284" s="17" t="s">
        <v>322</v>
      </c>
      <c r="AX284" s="17" t="s">
        <v>79</v>
      </c>
      <c r="BH284" t="s">
        <v>328</v>
      </c>
      <c r="BI284" s="17" t="s">
        <v>322</v>
      </c>
      <c r="BJ284" s="17" t="s">
        <v>79</v>
      </c>
      <c r="BK284" s="17" t="s">
        <v>322</v>
      </c>
      <c r="BL284" s="17" t="s">
        <v>79</v>
      </c>
      <c r="BM284" s="17" t="s">
        <v>322</v>
      </c>
      <c r="BT284" s="17" t="s">
        <v>552</v>
      </c>
      <c r="BU284" s="17" t="s">
        <v>254</v>
      </c>
      <c r="BV284" s="17" t="s">
        <v>242</v>
      </c>
      <c r="BW284" s="17" t="s">
        <v>274</v>
      </c>
      <c r="BX284" s="17" t="s">
        <v>277</v>
      </c>
      <c r="BY284" s="17" t="s">
        <v>254</v>
      </c>
    </row>
    <row r="285" spans="23:77" x14ac:dyDescent="0.3">
      <c r="AD285" t="s">
        <v>539</v>
      </c>
      <c r="AE285" s="17" t="s">
        <v>322</v>
      </c>
      <c r="AF285" s="17" t="s">
        <v>322</v>
      </c>
      <c r="AG285" s="17" t="s">
        <v>59</v>
      </c>
      <c r="AH285" s="17" t="s">
        <v>322</v>
      </c>
      <c r="AI285" s="17" t="s">
        <v>322</v>
      </c>
      <c r="AS285" t="s">
        <v>326</v>
      </c>
      <c r="AT285" s="17" t="s">
        <v>79</v>
      </c>
      <c r="AU285" s="17" t="s">
        <v>79</v>
      </c>
      <c r="AV285" s="17" t="s">
        <v>322</v>
      </c>
      <c r="AW285" s="17" t="s">
        <v>322</v>
      </c>
      <c r="AX285" s="17" t="s">
        <v>322</v>
      </c>
      <c r="BH285" t="s">
        <v>350</v>
      </c>
      <c r="BI285" s="17" t="s">
        <v>322</v>
      </c>
      <c r="BJ285" s="17" t="s">
        <v>79</v>
      </c>
      <c r="BK285" s="17" t="s">
        <v>322</v>
      </c>
      <c r="BL285" s="17" t="s">
        <v>322</v>
      </c>
      <c r="BM285" s="17" t="s">
        <v>79</v>
      </c>
      <c r="BT285" s="17" t="s">
        <v>554</v>
      </c>
      <c r="BU285" s="17" t="s">
        <v>254</v>
      </c>
      <c r="BV285" s="17" t="s">
        <v>322</v>
      </c>
      <c r="BW285" s="17" t="s">
        <v>274</v>
      </c>
      <c r="BX285" s="17" t="s">
        <v>277</v>
      </c>
      <c r="BY285" s="17" t="s">
        <v>254</v>
      </c>
    </row>
    <row r="286" spans="23:77" x14ac:dyDescent="0.3">
      <c r="AD286" t="s">
        <v>543</v>
      </c>
      <c r="AE286" s="17" t="s">
        <v>322</v>
      </c>
      <c r="AF286" s="17" t="s">
        <v>322</v>
      </c>
      <c r="AG286" s="17" t="s">
        <v>59</v>
      </c>
      <c r="AH286" s="17" t="s">
        <v>322</v>
      </c>
      <c r="AI286" s="17" t="s">
        <v>322</v>
      </c>
      <c r="AS286" t="s">
        <v>328</v>
      </c>
      <c r="AT286" s="17" t="s">
        <v>322</v>
      </c>
      <c r="AU286" s="17" t="s">
        <v>79</v>
      </c>
      <c r="AV286" s="17" t="s">
        <v>322</v>
      </c>
      <c r="AW286" s="17" t="s">
        <v>322</v>
      </c>
      <c r="AX286" s="17" t="s">
        <v>322</v>
      </c>
    </row>
    <row r="287" spans="23:77" x14ac:dyDescent="0.3">
      <c r="AD287" t="s">
        <v>573</v>
      </c>
      <c r="AE287" s="17" t="s">
        <v>322</v>
      </c>
      <c r="AF287" s="17" t="s">
        <v>322</v>
      </c>
      <c r="AG287" s="17" t="s">
        <v>59</v>
      </c>
      <c r="AH287" s="17" t="s">
        <v>322</v>
      </c>
      <c r="AI287" s="17" t="s">
        <v>322</v>
      </c>
      <c r="AS287" t="s">
        <v>350</v>
      </c>
      <c r="AT287" s="17" t="s">
        <v>322</v>
      </c>
      <c r="AU287" s="17" t="s">
        <v>79</v>
      </c>
      <c r="AV287" s="17" t="s">
        <v>322</v>
      </c>
      <c r="AW287" s="17" t="s">
        <v>322</v>
      </c>
      <c r="AX287" s="17" t="s">
        <v>79</v>
      </c>
      <c r="BH287" t="s">
        <v>781</v>
      </c>
    </row>
    <row r="288" spans="23:77" x14ac:dyDescent="0.3">
      <c r="AD288" t="s">
        <v>552</v>
      </c>
      <c r="AE288" s="17" t="s">
        <v>322</v>
      </c>
      <c r="AF288" s="17" t="s">
        <v>322</v>
      </c>
      <c r="AG288" s="17" t="s">
        <v>59</v>
      </c>
      <c r="AH288" s="17" t="s">
        <v>322</v>
      </c>
      <c r="AI288" s="17" t="s">
        <v>322</v>
      </c>
      <c r="BI288" s="17" t="s">
        <v>315</v>
      </c>
      <c r="BJ288" s="17" t="s">
        <v>316</v>
      </c>
      <c r="BK288" s="17" t="s">
        <v>317</v>
      </c>
      <c r="BL288" s="17" t="s">
        <v>318</v>
      </c>
      <c r="BM288" s="17" t="s">
        <v>319</v>
      </c>
    </row>
    <row r="289" spans="30:85" x14ac:dyDescent="0.3">
      <c r="AD289" t="s">
        <v>554</v>
      </c>
      <c r="AE289" s="17" t="s">
        <v>322</v>
      </c>
      <c r="AF289" s="17" t="s">
        <v>322</v>
      </c>
      <c r="AG289" s="17" t="s">
        <v>59</v>
      </c>
      <c r="AH289" s="17" t="s">
        <v>322</v>
      </c>
      <c r="AI289" s="17" t="s">
        <v>322</v>
      </c>
      <c r="AS289" t="s">
        <v>781</v>
      </c>
      <c r="BH289" t="s">
        <v>539</v>
      </c>
      <c r="BI289" s="17" t="s">
        <v>322</v>
      </c>
      <c r="BJ289" s="17" t="s">
        <v>322</v>
      </c>
      <c r="BK289" s="17" t="s">
        <v>59</v>
      </c>
      <c r="BL289" s="17" t="s">
        <v>322</v>
      </c>
      <c r="BM289" s="17" t="s">
        <v>322</v>
      </c>
    </row>
    <row r="290" spans="30:85" x14ac:dyDescent="0.3">
      <c r="AD290" t="s">
        <v>586</v>
      </c>
      <c r="AE290" s="17" t="s">
        <v>322</v>
      </c>
      <c r="AF290" s="17" t="s">
        <v>322</v>
      </c>
      <c r="AG290" s="17" t="s">
        <v>59</v>
      </c>
      <c r="AH290" s="17" t="s">
        <v>322</v>
      </c>
      <c r="AI290" s="17" t="s">
        <v>322</v>
      </c>
      <c r="AT290" s="17" t="s">
        <v>315</v>
      </c>
      <c r="AU290" s="17" t="s">
        <v>316</v>
      </c>
      <c r="AV290" s="17" t="s">
        <v>317</v>
      </c>
      <c r="AW290" s="17" t="s">
        <v>318</v>
      </c>
      <c r="AX290" s="17" t="s">
        <v>319</v>
      </c>
      <c r="BH290" t="s">
        <v>543</v>
      </c>
      <c r="BI290" s="17" t="s">
        <v>322</v>
      </c>
      <c r="BJ290" s="17" t="s">
        <v>322</v>
      </c>
      <c r="BK290" s="17" t="s">
        <v>59</v>
      </c>
      <c r="BL290" s="17" t="s">
        <v>322</v>
      </c>
      <c r="BM290" s="17" t="s">
        <v>322</v>
      </c>
    </row>
    <row r="291" spans="30:85" x14ac:dyDescent="0.3">
      <c r="AS291" t="s">
        <v>539</v>
      </c>
      <c r="AT291" s="17" t="s">
        <v>322</v>
      </c>
      <c r="AU291" s="17" t="s">
        <v>322</v>
      </c>
      <c r="AV291" s="17" t="s">
        <v>59</v>
      </c>
      <c r="AW291" s="17" t="s">
        <v>322</v>
      </c>
      <c r="AX291" s="17" t="s">
        <v>322</v>
      </c>
      <c r="BH291" t="s">
        <v>573</v>
      </c>
      <c r="BI291" s="17" t="s">
        <v>322</v>
      </c>
      <c r="BJ291" s="17" t="s">
        <v>322</v>
      </c>
      <c r="BK291" s="17" t="s">
        <v>59</v>
      </c>
      <c r="BL291" s="17" t="s">
        <v>322</v>
      </c>
      <c r="BM291" s="17" t="s">
        <v>322</v>
      </c>
    </row>
    <row r="292" spans="30:85" x14ac:dyDescent="0.3">
      <c r="AD292" t="s">
        <v>782</v>
      </c>
      <c r="AS292" t="s">
        <v>543</v>
      </c>
      <c r="AT292" s="17" t="s">
        <v>322</v>
      </c>
      <c r="AU292" s="17" t="s">
        <v>322</v>
      </c>
      <c r="AV292" s="17" t="s">
        <v>59</v>
      </c>
      <c r="AW292" s="17" t="s">
        <v>322</v>
      </c>
      <c r="AX292" s="17" t="s">
        <v>322</v>
      </c>
      <c r="BH292" t="s">
        <v>552</v>
      </c>
      <c r="BI292" s="17" t="s">
        <v>322</v>
      </c>
      <c r="BJ292" s="17" t="s">
        <v>322</v>
      </c>
      <c r="BK292" s="17" t="s">
        <v>59</v>
      </c>
      <c r="BL292" s="17" t="s">
        <v>322</v>
      </c>
      <c r="BM292" s="17" t="s">
        <v>322</v>
      </c>
    </row>
    <row r="293" spans="30:85" x14ac:dyDescent="0.3">
      <c r="AE293" s="17" t="s">
        <v>315</v>
      </c>
      <c r="AF293" s="17" t="s">
        <v>316</v>
      </c>
      <c r="AG293" s="17" t="s">
        <v>317</v>
      </c>
      <c r="AH293" s="17" t="s">
        <v>318</v>
      </c>
      <c r="AI293" s="17" t="s">
        <v>319</v>
      </c>
      <c r="AS293" t="s">
        <v>573</v>
      </c>
      <c r="AT293" s="17" t="s">
        <v>322</v>
      </c>
      <c r="AU293" s="17" t="s">
        <v>322</v>
      </c>
      <c r="AV293" s="17" t="s">
        <v>59</v>
      </c>
      <c r="AW293" s="17" t="s">
        <v>322</v>
      </c>
      <c r="AX293" s="17" t="s">
        <v>322</v>
      </c>
      <c r="BH293" t="s">
        <v>554</v>
      </c>
      <c r="BI293" s="17" t="s">
        <v>322</v>
      </c>
      <c r="BJ293" s="17" t="s">
        <v>322</v>
      </c>
      <c r="BK293" s="17" t="s">
        <v>59</v>
      </c>
      <c r="BL293" s="17" t="s">
        <v>322</v>
      </c>
      <c r="BM293" s="17" t="s">
        <v>322</v>
      </c>
      <c r="BT293" s="17" t="s">
        <v>505</v>
      </c>
      <c r="BV293" s="17" t="s">
        <v>891</v>
      </c>
    </row>
    <row r="294" spans="30:85" x14ac:dyDescent="0.3">
      <c r="AD294" t="s">
        <v>561</v>
      </c>
      <c r="AE294" s="17" t="s">
        <v>36</v>
      </c>
      <c r="AF294" s="17" t="s">
        <v>322</v>
      </c>
      <c r="AG294" s="17" t="s">
        <v>322</v>
      </c>
      <c r="AH294" s="17" t="s">
        <v>322</v>
      </c>
      <c r="AI294" s="17" t="s">
        <v>322</v>
      </c>
      <c r="AS294" t="s">
        <v>552</v>
      </c>
      <c r="AT294" s="17" t="s">
        <v>322</v>
      </c>
      <c r="AU294" s="17" t="s">
        <v>322</v>
      </c>
      <c r="AV294" s="17" t="s">
        <v>59</v>
      </c>
      <c r="AW294" s="17" t="s">
        <v>322</v>
      </c>
      <c r="AX294" s="17" t="s">
        <v>322</v>
      </c>
      <c r="BH294" t="s">
        <v>586</v>
      </c>
      <c r="BI294" s="17" t="s">
        <v>322</v>
      </c>
      <c r="BJ294" s="17" t="s">
        <v>322</v>
      </c>
      <c r="BK294" s="17" t="s">
        <v>59</v>
      </c>
      <c r="BL294" s="17" t="s">
        <v>322</v>
      </c>
      <c r="BM294" s="17" t="s">
        <v>322</v>
      </c>
      <c r="BT294" s="17" t="s">
        <v>685</v>
      </c>
    </row>
    <row r="295" spans="30:85" x14ac:dyDescent="0.3">
      <c r="AD295" t="s">
        <v>551</v>
      </c>
      <c r="AE295" s="17" t="s">
        <v>36</v>
      </c>
      <c r="AF295" s="17" t="s">
        <v>322</v>
      </c>
      <c r="AG295" s="17" t="s">
        <v>322</v>
      </c>
      <c r="AH295" s="17" t="s">
        <v>322</v>
      </c>
      <c r="AI295" s="17" t="s">
        <v>322</v>
      </c>
      <c r="AS295" t="s">
        <v>554</v>
      </c>
      <c r="AT295" s="17" t="s">
        <v>322</v>
      </c>
      <c r="AU295" s="17" t="s">
        <v>322</v>
      </c>
      <c r="AV295" s="17" t="s">
        <v>59</v>
      </c>
      <c r="AW295" s="17" t="s">
        <v>322</v>
      </c>
      <c r="AX295" s="17" t="s">
        <v>322</v>
      </c>
      <c r="BU295" s="17" t="s">
        <v>315</v>
      </c>
      <c r="BV295" s="17" t="s">
        <v>316</v>
      </c>
      <c r="BW295" s="17" t="s">
        <v>317</v>
      </c>
      <c r="BX295" s="17" t="s">
        <v>318</v>
      </c>
      <c r="BY295" s="17" t="s">
        <v>319</v>
      </c>
    </row>
    <row r="296" spans="30:85" x14ac:dyDescent="0.3">
      <c r="AS296" t="s">
        <v>586</v>
      </c>
      <c r="AT296" s="17" t="s">
        <v>322</v>
      </c>
      <c r="AU296" s="17" t="s">
        <v>322</v>
      </c>
      <c r="AV296" s="17" t="s">
        <v>59</v>
      </c>
      <c r="AW296" s="17" t="s">
        <v>322</v>
      </c>
      <c r="AX296" s="17" t="s">
        <v>322</v>
      </c>
      <c r="BH296" t="s">
        <v>782</v>
      </c>
      <c r="BT296" s="17" t="s">
        <v>539</v>
      </c>
      <c r="BU296" s="131" t="s">
        <v>59</v>
      </c>
      <c r="BV296" s="17" t="s">
        <v>272</v>
      </c>
      <c r="BW296" s="17" t="s">
        <v>322</v>
      </c>
      <c r="BX296" s="17" t="s">
        <v>322</v>
      </c>
      <c r="BY296" s="17" t="s">
        <v>322</v>
      </c>
      <c r="CA296" s="17" t="s">
        <v>276</v>
      </c>
    </row>
    <row r="297" spans="30:85" x14ac:dyDescent="0.3">
      <c r="AD297" t="s">
        <v>783</v>
      </c>
      <c r="BI297" s="17" t="s">
        <v>315</v>
      </c>
      <c r="BJ297" s="17" t="s">
        <v>316</v>
      </c>
      <c r="BK297" s="17" t="s">
        <v>317</v>
      </c>
      <c r="BL297" s="17" t="s">
        <v>318</v>
      </c>
      <c r="BM297" s="17" t="s">
        <v>319</v>
      </c>
      <c r="BT297" s="17" t="s">
        <v>543</v>
      </c>
      <c r="BU297" s="131" t="s">
        <v>59</v>
      </c>
      <c r="BV297" s="17" t="s">
        <v>272</v>
      </c>
      <c r="BW297" s="17" t="s">
        <v>322</v>
      </c>
      <c r="BX297" s="17" t="s">
        <v>59</v>
      </c>
      <c r="BY297" s="17" t="s">
        <v>322</v>
      </c>
      <c r="BZ297" s="17" t="s">
        <v>543</v>
      </c>
      <c r="CA297" s="136">
        <v>3</v>
      </c>
      <c r="CB297" s="136">
        <v>3</v>
      </c>
      <c r="CC297" s="136">
        <v>0</v>
      </c>
      <c r="CD297" s="136">
        <v>3</v>
      </c>
      <c r="CE297" s="53">
        <v>3</v>
      </c>
    </row>
    <row r="298" spans="30:85" x14ac:dyDescent="0.3">
      <c r="AE298" s="17" t="s">
        <v>315</v>
      </c>
      <c r="AF298" s="17" t="s">
        <v>316</v>
      </c>
      <c r="AG298" s="17" t="s">
        <v>317</v>
      </c>
      <c r="AH298" s="17" t="s">
        <v>318</v>
      </c>
      <c r="AI298" s="17" t="s">
        <v>319</v>
      </c>
      <c r="AS298" t="s">
        <v>782</v>
      </c>
      <c r="BH298" t="s">
        <v>561</v>
      </c>
      <c r="BI298" s="17" t="s">
        <v>36</v>
      </c>
      <c r="BJ298" s="17" t="s">
        <v>322</v>
      </c>
      <c r="BK298" s="17" t="s">
        <v>322</v>
      </c>
      <c r="BL298" s="17" t="s">
        <v>322</v>
      </c>
      <c r="BM298" s="17" t="s">
        <v>322</v>
      </c>
      <c r="BT298" s="17" t="s">
        <v>573</v>
      </c>
      <c r="BU298" s="108" t="s">
        <v>859</v>
      </c>
      <c r="BV298" s="131" t="s">
        <v>213</v>
      </c>
      <c r="BW298" s="108" t="s">
        <v>859</v>
      </c>
      <c r="BX298" s="131" t="s">
        <v>213</v>
      </c>
      <c r="BY298" s="17" t="s">
        <v>322</v>
      </c>
      <c r="BZ298" s="17" t="s">
        <v>573</v>
      </c>
      <c r="CA298" s="136">
        <v>1</v>
      </c>
      <c r="CB298" s="136">
        <v>1</v>
      </c>
      <c r="CC298" s="136">
        <v>0</v>
      </c>
      <c r="CD298" s="136">
        <v>1</v>
      </c>
      <c r="CE298" s="53">
        <v>1</v>
      </c>
    </row>
    <row r="299" spans="30:85" x14ac:dyDescent="0.3">
      <c r="AD299" t="s">
        <v>512</v>
      </c>
      <c r="AE299" s="17" t="s">
        <v>322</v>
      </c>
      <c r="AF299" s="17" t="s">
        <v>118</v>
      </c>
      <c r="AG299" s="17" t="s">
        <v>322</v>
      </c>
      <c r="AH299" s="17" t="s">
        <v>322</v>
      </c>
      <c r="AI299" s="17" t="s">
        <v>118</v>
      </c>
      <c r="AT299" s="17" t="s">
        <v>315</v>
      </c>
      <c r="AU299" s="17" t="s">
        <v>316</v>
      </c>
      <c r="AV299" s="17" t="s">
        <v>317</v>
      </c>
      <c r="AW299" s="17" t="s">
        <v>318</v>
      </c>
      <c r="AX299" s="17" t="s">
        <v>319</v>
      </c>
      <c r="BH299" t="s">
        <v>551</v>
      </c>
      <c r="BI299" s="17" t="s">
        <v>36</v>
      </c>
      <c r="BJ299" s="17" t="s">
        <v>322</v>
      </c>
      <c r="BK299" s="17" t="s">
        <v>322</v>
      </c>
      <c r="BL299" s="17" t="s">
        <v>322</v>
      </c>
      <c r="BM299" s="17" t="s">
        <v>322</v>
      </c>
      <c r="BT299" s="17" t="s">
        <v>561</v>
      </c>
      <c r="BU299" s="108" t="s">
        <v>859</v>
      </c>
      <c r="BV299" s="108" t="s">
        <v>213</v>
      </c>
      <c r="BW299" s="108" t="s">
        <v>859</v>
      </c>
      <c r="BX299" s="131" t="s">
        <v>213</v>
      </c>
      <c r="BY299" s="131" t="s">
        <v>199</v>
      </c>
      <c r="BZ299" s="17" t="s">
        <v>561</v>
      </c>
      <c r="CA299" s="137">
        <v>1</v>
      </c>
      <c r="CB299" s="137">
        <v>1</v>
      </c>
      <c r="CC299" s="137">
        <v>0</v>
      </c>
      <c r="CD299" s="137">
        <v>1</v>
      </c>
      <c r="CE299" s="54">
        <v>1</v>
      </c>
    </row>
    <row r="300" spans="30:85" x14ac:dyDescent="0.3">
      <c r="AD300" t="s">
        <v>514</v>
      </c>
      <c r="AE300" s="17" t="s">
        <v>322</v>
      </c>
      <c r="AF300" s="17" t="s">
        <v>118</v>
      </c>
      <c r="AG300" s="17" t="s">
        <v>322</v>
      </c>
      <c r="AH300" s="17" t="s">
        <v>322</v>
      </c>
      <c r="AI300" s="17" t="s">
        <v>118</v>
      </c>
      <c r="AS300" t="s">
        <v>561</v>
      </c>
      <c r="AT300" s="17" t="s">
        <v>36</v>
      </c>
      <c r="AU300" s="17" t="s">
        <v>322</v>
      </c>
      <c r="AV300" s="17" t="s">
        <v>322</v>
      </c>
      <c r="AW300" s="17" t="s">
        <v>322</v>
      </c>
      <c r="AX300" s="17" t="s">
        <v>322</v>
      </c>
      <c r="BT300" s="17" t="s">
        <v>551</v>
      </c>
      <c r="BU300" s="17" t="s">
        <v>272</v>
      </c>
      <c r="BV300" s="108" t="s">
        <v>213</v>
      </c>
      <c r="BW300" s="131" t="s">
        <v>199</v>
      </c>
      <c r="BX300" s="131" t="s">
        <v>213</v>
      </c>
      <c r="BY300" s="131" t="s">
        <v>199</v>
      </c>
      <c r="BZ300" s="17" t="s">
        <v>551</v>
      </c>
      <c r="CA300" s="138">
        <v>2</v>
      </c>
      <c r="CB300" s="138">
        <v>2</v>
      </c>
      <c r="CC300" s="137">
        <v>0</v>
      </c>
      <c r="CD300" s="138">
        <v>2</v>
      </c>
      <c r="CE300" s="64">
        <v>2</v>
      </c>
    </row>
    <row r="301" spans="30:85" x14ac:dyDescent="0.3">
      <c r="AD301" t="s">
        <v>517</v>
      </c>
      <c r="AE301" s="17" t="s">
        <v>322</v>
      </c>
      <c r="AF301" s="17" t="s">
        <v>322</v>
      </c>
      <c r="AG301" s="17" t="s">
        <v>322</v>
      </c>
      <c r="AH301" s="17" t="s">
        <v>322</v>
      </c>
      <c r="AI301" s="17" t="s">
        <v>118</v>
      </c>
      <c r="AS301" t="s">
        <v>551</v>
      </c>
      <c r="AT301" s="17" t="s">
        <v>36</v>
      </c>
      <c r="AU301" s="17" t="s">
        <v>322</v>
      </c>
      <c r="AV301" s="17" t="s">
        <v>322</v>
      </c>
      <c r="AW301" s="17" t="s">
        <v>322</v>
      </c>
      <c r="AX301" s="17" t="s">
        <v>322</v>
      </c>
      <c r="BH301" t="s">
        <v>783</v>
      </c>
      <c r="BT301" s="17" t="s">
        <v>552</v>
      </c>
      <c r="BU301" s="17" t="s">
        <v>892</v>
      </c>
      <c r="BV301" s="17" t="s">
        <v>277</v>
      </c>
      <c r="BW301" s="131" t="s">
        <v>199</v>
      </c>
      <c r="BX301" s="131" t="s">
        <v>202</v>
      </c>
      <c r="BY301" s="17" t="s">
        <v>274</v>
      </c>
      <c r="CG301" t="s">
        <v>893</v>
      </c>
    </row>
    <row r="302" spans="30:85" x14ac:dyDescent="0.3">
      <c r="AD302" t="s">
        <v>536</v>
      </c>
      <c r="AE302" s="17" t="s">
        <v>81</v>
      </c>
      <c r="AF302" s="17" t="s">
        <v>322</v>
      </c>
      <c r="AG302" s="17" t="s">
        <v>81</v>
      </c>
      <c r="AH302" s="17" t="s">
        <v>322</v>
      </c>
      <c r="AI302" s="17" t="s">
        <v>322</v>
      </c>
      <c r="BI302" s="17" t="s">
        <v>315</v>
      </c>
      <c r="BJ302" s="17" t="s">
        <v>316</v>
      </c>
      <c r="BK302" s="17" t="s">
        <v>317</v>
      </c>
      <c r="BL302" s="17" t="s">
        <v>318</v>
      </c>
      <c r="BM302" s="17" t="s">
        <v>319</v>
      </c>
      <c r="BT302" s="17" t="s">
        <v>554</v>
      </c>
      <c r="BU302" s="17" t="s">
        <v>862</v>
      </c>
      <c r="BV302" s="17" t="s">
        <v>277</v>
      </c>
      <c r="BW302" s="17" t="s">
        <v>322</v>
      </c>
      <c r="BX302" s="131" t="s">
        <v>202</v>
      </c>
      <c r="BY302" s="17" t="s">
        <v>274</v>
      </c>
    </row>
    <row r="303" spans="30:85" x14ac:dyDescent="0.3">
      <c r="AD303" t="s">
        <v>539</v>
      </c>
      <c r="AE303" s="17" t="s">
        <v>81</v>
      </c>
      <c r="AF303" s="17" t="s">
        <v>322</v>
      </c>
      <c r="AG303" s="17" t="s">
        <v>81</v>
      </c>
      <c r="AH303" s="17" t="s">
        <v>322</v>
      </c>
      <c r="AI303" s="17" t="s">
        <v>322</v>
      </c>
      <c r="AS303" t="s">
        <v>783</v>
      </c>
      <c r="BH303" t="s">
        <v>512</v>
      </c>
      <c r="BI303" s="17" t="s">
        <v>322</v>
      </c>
      <c r="BJ303" s="17" t="s">
        <v>118</v>
      </c>
      <c r="BK303" s="17" t="s">
        <v>322</v>
      </c>
      <c r="BL303" s="17" t="s">
        <v>322</v>
      </c>
      <c r="BM303" s="17" t="s">
        <v>118</v>
      </c>
      <c r="CG303" t="s">
        <v>894</v>
      </c>
    </row>
    <row r="304" spans="30:85" x14ac:dyDescent="0.3">
      <c r="AD304" t="s">
        <v>543</v>
      </c>
      <c r="AE304" s="17" t="s">
        <v>81</v>
      </c>
      <c r="AF304" s="17" t="s">
        <v>322</v>
      </c>
      <c r="AG304" s="17" t="s">
        <v>322</v>
      </c>
      <c r="AH304" s="17" t="s">
        <v>322</v>
      </c>
      <c r="AI304" s="17" t="s">
        <v>322</v>
      </c>
      <c r="AT304" s="17" t="s">
        <v>315</v>
      </c>
      <c r="AU304" s="17" t="s">
        <v>316</v>
      </c>
      <c r="AV304" s="17" t="s">
        <v>317</v>
      </c>
      <c r="AW304" s="17" t="s">
        <v>318</v>
      </c>
      <c r="AX304" s="17" t="s">
        <v>319</v>
      </c>
      <c r="BH304" t="s">
        <v>514</v>
      </c>
      <c r="BI304" s="17" t="s">
        <v>322</v>
      </c>
      <c r="BJ304" s="17" t="s">
        <v>118</v>
      </c>
      <c r="BK304" s="17" t="s">
        <v>322</v>
      </c>
      <c r="BL304" s="17" t="s">
        <v>322</v>
      </c>
      <c r="BM304" s="17" t="s">
        <v>118</v>
      </c>
    </row>
    <row r="305" spans="30:83" x14ac:dyDescent="0.3">
      <c r="AS305" t="s">
        <v>512</v>
      </c>
      <c r="AT305" s="17" t="s">
        <v>322</v>
      </c>
      <c r="AU305" s="17" t="s">
        <v>118</v>
      </c>
      <c r="AV305" s="17" t="s">
        <v>322</v>
      </c>
      <c r="AW305" s="17" t="s">
        <v>322</v>
      </c>
      <c r="AX305" s="17" t="s">
        <v>118</v>
      </c>
      <c r="BH305" t="s">
        <v>517</v>
      </c>
      <c r="BI305" s="17" t="s">
        <v>322</v>
      </c>
      <c r="BJ305" s="17" t="s">
        <v>322</v>
      </c>
      <c r="BK305" s="17" t="s">
        <v>322</v>
      </c>
      <c r="BL305" s="17" t="s">
        <v>322</v>
      </c>
      <c r="BM305" s="17" t="s">
        <v>118</v>
      </c>
      <c r="BT305" s="17" t="s">
        <v>505</v>
      </c>
      <c r="BV305" s="17" t="s">
        <v>895</v>
      </c>
    </row>
    <row r="306" spans="30:83" x14ac:dyDescent="0.3">
      <c r="AD306" t="s">
        <v>784</v>
      </c>
      <c r="AS306" t="s">
        <v>514</v>
      </c>
      <c r="AT306" s="17" t="s">
        <v>322</v>
      </c>
      <c r="AU306" s="17" t="s">
        <v>118</v>
      </c>
      <c r="AV306" s="17" t="s">
        <v>322</v>
      </c>
      <c r="AW306" s="17" t="s">
        <v>322</v>
      </c>
      <c r="AX306" s="17" t="s">
        <v>118</v>
      </c>
      <c r="BH306" t="s">
        <v>536</v>
      </c>
      <c r="BI306" s="17" t="s">
        <v>81</v>
      </c>
      <c r="BJ306" s="17" t="s">
        <v>322</v>
      </c>
      <c r="BK306" s="17" t="s">
        <v>81</v>
      </c>
      <c r="BL306" s="17" t="s">
        <v>322</v>
      </c>
      <c r="BM306" s="17" t="s">
        <v>322</v>
      </c>
      <c r="BT306" s="17" t="s">
        <v>685</v>
      </c>
    </row>
    <row r="307" spans="30:83" x14ac:dyDescent="0.3">
      <c r="AE307" s="17" t="s">
        <v>315</v>
      </c>
      <c r="AF307" s="17" t="s">
        <v>316</v>
      </c>
      <c r="AG307" s="17" t="s">
        <v>317</v>
      </c>
      <c r="AH307" s="17" t="s">
        <v>318</v>
      </c>
      <c r="AI307" s="17" t="s">
        <v>319</v>
      </c>
      <c r="AS307" t="s">
        <v>517</v>
      </c>
      <c r="AT307" s="17" t="s">
        <v>322</v>
      </c>
      <c r="AU307" s="17" t="s">
        <v>322</v>
      </c>
      <c r="AV307" s="17" t="s">
        <v>322</v>
      </c>
      <c r="AW307" s="17" t="s">
        <v>322</v>
      </c>
      <c r="AX307" s="17" t="s">
        <v>118</v>
      </c>
      <c r="BH307" t="s">
        <v>539</v>
      </c>
      <c r="BI307" s="17" t="s">
        <v>81</v>
      </c>
      <c r="BJ307" s="17" t="s">
        <v>322</v>
      </c>
      <c r="BK307" s="17" t="s">
        <v>81</v>
      </c>
      <c r="BL307" s="17" t="s">
        <v>322</v>
      </c>
      <c r="BM307" s="17" t="s">
        <v>322</v>
      </c>
      <c r="BU307" s="17" t="s">
        <v>315</v>
      </c>
      <c r="BV307" s="17" t="s">
        <v>316</v>
      </c>
      <c r="BW307" s="17" t="s">
        <v>317</v>
      </c>
      <c r="BX307" s="17" t="s">
        <v>318</v>
      </c>
      <c r="BY307" s="17" t="s">
        <v>319</v>
      </c>
    </row>
    <row r="308" spans="30:83" x14ac:dyDescent="0.3">
      <c r="AD308" t="s">
        <v>512</v>
      </c>
      <c r="AE308" s="17" t="s">
        <v>188</v>
      </c>
      <c r="AF308" s="17" t="s">
        <v>322</v>
      </c>
      <c r="AG308" s="17" t="s">
        <v>322</v>
      </c>
      <c r="AH308" s="17" t="s">
        <v>322</v>
      </c>
      <c r="AI308" s="17" t="s">
        <v>188</v>
      </c>
      <c r="AS308" t="s">
        <v>536</v>
      </c>
      <c r="AT308" s="17" t="s">
        <v>322</v>
      </c>
      <c r="AU308" s="17" t="s">
        <v>81</v>
      </c>
      <c r="AV308" s="17" t="s">
        <v>322</v>
      </c>
      <c r="AW308" s="17" t="s">
        <v>81</v>
      </c>
      <c r="AX308" s="17" t="s">
        <v>322</v>
      </c>
      <c r="BH308" t="s">
        <v>543</v>
      </c>
      <c r="BI308" s="17" t="s">
        <v>81</v>
      </c>
      <c r="BJ308" s="17" t="s">
        <v>322</v>
      </c>
      <c r="BK308" s="17" t="s">
        <v>322</v>
      </c>
      <c r="BL308" s="17" t="s">
        <v>322</v>
      </c>
      <c r="BM308" s="17" t="s">
        <v>322</v>
      </c>
      <c r="BT308" s="17" t="s">
        <v>539</v>
      </c>
      <c r="BU308" s="131" t="s">
        <v>59</v>
      </c>
      <c r="BV308" s="17" t="s">
        <v>322</v>
      </c>
      <c r="BW308" s="17" t="s">
        <v>322</v>
      </c>
      <c r="BX308" s="17" t="s">
        <v>322</v>
      </c>
      <c r="BY308" s="17" t="s">
        <v>272</v>
      </c>
    </row>
    <row r="309" spans="30:83" x14ac:dyDescent="0.3">
      <c r="AD309" t="s">
        <v>514</v>
      </c>
      <c r="AE309" s="17" t="s">
        <v>188</v>
      </c>
      <c r="AF309" s="17" t="s">
        <v>322</v>
      </c>
      <c r="AG309" s="17" t="s">
        <v>322</v>
      </c>
      <c r="AH309" s="17" t="s">
        <v>322</v>
      </c>
      <c r="AI309" s="17" t="s">
        <v>188</v>
      </c>
      <c r="AS309" t="s">
        <v>539</v>
      </c>
      <c r="AT309" s="17" t="s">
        <v>322</v>
      </c>
      <c r="AU309" s="17" t="s">
        <v>81</v>
      </c>
      <c r="AV309" s="17" t="s">
        <v>322</v>
      </c>
      <c r="AW309" s="17" t="s">
        <v>81</v>
      </c>
      <c r="AX309" s="17" t="s">
        <v>322</v>
      </c>
      <c r="BT309" s="17" t="s">
        <v>543</v>
      </c>
      <c r="BU309" s="131" t="s">
        <v>59</v>
      </c>
      <c r="BV309" s="17" t="s">
        <v>276</v>
      </c>
      <c r="BW309" s="17" t="s">
        <v>322</v>
      </c>
      <c r="BX309" s="17" t="s">
        <v>322</v>
      </c>
      <c r="BY309" s="17" t="s">
        <v>272</v>
      </c>
      <c r="CA309" s="17" t="s">
        <v>896</v>
      </c>
    </row>
    <row r="310" spans="30:83" x14ac:dyDescent="0.3">
      <c r="AS310" t="s">
        <v>543</v>
      </c>
      <c r="AT310" s="17" t="s">
        <v>322</v>
      </c>
      <c r="AU310" s="17" t="s">
        <v>81</v>
      </c>
      <c r="AV310" s="17" t="s">
        <v>322</v>
      </c>
      <c r="AW310" s="17" t="s">
        <v>322</v>
      </c>
      <c r="AX310" s="17" t="s">
        <v>322</v>
      </c>
      <c r="BH310" t="s">
        <v>784</v>
      </c>
      <c r="BT310" s="17" t="s">
        <v>573</v>
      </c>
      <c r="BU310" s="108" t="s">
        <v>859</v>
      </c>
      <c r="BV310" s="17" t="s">
        <v>276</v>
      </c>
      <c r="BW310" s="108" t="s">
        <v>859</v>
      </c>
      <c r="BX310" s="17" t="s">
        <v>276</v>
      </c>
      <c r="BY310" s="131" t="s">
        <v>213</v>
      </c>
      <c r="BZ310" s="17" t="s">
        <v>573</v>
      </c>
      <c r="CA310" s="108">
        <v>3</v>
      </c>
      <c r="CB310" s="136">
        <v>0</v>
      </c>
      <c r="CC310" s="108">
        <v>3</v>
      </c>
      <c r="CD310" s="136">
        <v>0</v>
      </c>
      <c r="CE310" s="57">
        <v>3</v>
      </c>
    </row>
    <row r="311" spans="30:83" x14ac:dyDescent="0.3">
      <c r="AD311" t="s">
        <v>785</v>
      </c>
      <c r="BI311" s="17" t="s">
        <v>315</v>
      </c>
      <c r="BJ311" s="17" t="s">
        <v>316</v>
      </c>
      <c r="BK311" s="17" t="s">
        <v>317</v>
      </c>
      <c r="BL311" s="17" t="s">
        <v>318</v>
      </c>
      <c r="BM311" s="17" t="s">
        <v>319</v>
      </c>
      <c r="BT311" s="17" t="s">
        <v>561</v>
      </c>
      <c r="BU311" s="108" t="s">
        <v>859</v>
      </c>
      <c r="BV311" s="108" t="s">
        <v>213</v>
      </c>
      <c r="BW311" s="108" t="s">
        <v>859</v>
      </c>
      <c r="BX311" s="17" t="s">
        <v>897</v>
      </c>
      <c r="BY311" s="131" t="s">
        <v>213</v>
      </c>
      <c r="BZ311" s="17" t="s">
        <v>561</v>
      </c>
      <c r="CA311" s="137">
        <v>1</v>
      </c>
      <c r="CB311" s="137">
        <v>0</v>
      </c>
      <c r="CC311" s="137">
        <v>1</v>
      </c>
      <c r="CD311" s="137">
        <v>0</v>
      </c>
      <c r="CE311" s="54">
        <v>2</v>
      </c>
    </row>
    <row r="312" spans="30:83" x14ac:dyDescent="0.3">
      <c r="AE312" s="17" t="s">
        <v>315</v>
      </c>
      <c r="AF312" s="17" t="s">
        <v>316</v>
      </c>
      <c r="AG312" s="17" t="s">
        <v>317</v>
      </c>
      <c r="AH312" s="17" t="s">
        <v>318</v>
      </c>
      <c r="AI312" s="17" t="s">
        <v>319</v>
      </c>
      <c r="AS312" t="s">
        <v>784</v>
      </c>
      <c r="BH312" t="s">
        <v>512</v>
      </c>
      <c r="BI312" s="17" t="s">
        <v>322</v>
      </c>
      <c r="BJ312" s="17" t="s">
        <v>322</v>
      </c>
      <c r="BK312" s="17" t="s">
        <v>322</v>
      </c>
      <c r="BL312" s="17" t="s">
        <v>322</v>
      </c>
      <c r="BM312" s="17" t="s">
        <v>188</v>
      </c>
      <c r="BT312" s="17" t="s">
        <v>551</v>
      </c>
      <c r="BU312" s="17" t="s">
        <v>272</v>
      </c>
      <c r="BV312" s="108" t="s">
        <v>213</v>
      </c>
      <c r="BW312" s="131" t="s">
        <v>199</v>
      </c>
      <c r="BX312" s="17" t="s">
        <v>277</v>
      </c>
      <c r="BY312" s="131" t="s">
        <v>213</v>
      </c>
      <c r="BZ312" s="17" t="s">
        <v>551</v>
      </c>
      <c r="CA312" s="137">
        <v>1</v>
      </c>
      <c r="CB312" s="137">
        <v>0</v>
      </c>
      <c r="CC312" s="137">
        <v>1</v>
      </c>
      <c r="CD312" s="137">
        <v>0</v>
      </c>
      <c r="CE312" s="54">
        <v>2</v>
      </c>
    </row>
    <row r="313" spans="30:83" x14ac:dyDescent="0.3">
      <c r="AD313" t="s">
        <v>512</v>
      </c>
      <c r="AE313" s="17" t="s">
        <v>322</v>
      </c>
      <c r="AF313" s="17" t="s">
        <v>322</v>
      </c>
      <c r="AG313" s="17" t="s">
        <v>322</v>
      </c>
      <c r="AH313" s="17" t="s">
        <v>322</v>
      </c>
      <c r="AI313" s="17" t="s">
        <v>93</v>
      </c>
      <c r="AT313" s="17" t="s">
        <v>315</v>
      </c>
      <c r="AU313" s="17" t="s">
        <v>316</v>
      </c>
      <c r="AV313" s="17" t="s">
        <v>317</v>
      </c>
      <c r="AW313" s="17" t="s">
        <v>318</v>
      </c>
      <c r="AX313" s="17" t="s">
        <v>319</v>
      </c>
      <c r="BH313" t="s">
        <v>514</v>
      </c>
      <c r="BI313" s="17" t="s">
        <v>322</v>
      </c>
      <c r="BJ313" s="17" t="s">
        <v>322</v>
      </c>
      <c r="BK313" s="17" t="s">
        <v>322</v>
      </c>
      <c r="BL313" s="17" t="s">
        <v>322</v>
      </c>
      <c r="BM313" s="17" t="s">
        <v>188</v>
      </c>
      <c r="BT313" s="17" t="s">
        <v>552</v>
      </c>
      <c r="BU313" s="17" t="s">
        <v>898</v>
      </c>
      <c r="BV313" s="131" t="s">
        <v>213</v>
      </c>
      <c r="BW313" s="131" t="s">
        <v>199</v>
      </c>
      <c r="BX313" s="131" t="s">
        <v>202</v>
      </c>
      <c r="BY313" s="131" t="s">
        <v>199</v>
      </c>
      <c r="BZ313" s="17" t="s">
        <v>552</v>
      </c>
      <c r="CA313" s="137">
        <v>2</v>
      </c>
      <c r="CB313" s="137">
        <v>0</v>
      </c>
      <c r="CC313" s="137">
        <v>2</v>
      </c>
      <c r="CD313" s="137">
        <v>0</v>
      </c>
      <c r="CE313" s="54">
        <v>2</v>
      </c>
    </row>
    <row r="314" spans="30:83" x14ac:dyDescent="0.3">
      <c r="AD314" t="s">
        <v>514</v>
      </c>
      <c r="AE314" s="17" t="s">
        <v>322</v>
      </c>
      <c r="AF314" s="17" t="s">
        <v>322</v>
      </c>
      <c r="AG314" s="17" t="s">
        <v>322</v>
      </c>
      <c r="AH314" s="17" t="s">
        <v>322</v>
      </c>
      <c r="AI314" s="17" t="s">
        <v>93</v>
      </c>
      <c r="AS314" t="s">
        <v>512</v>
      </c>
      <c r="AT314" s="17" t="s">
        <v>188</v>
      </c>
      <c r="AU314" s="17" t="s">
        <v>322</v>
      </c>
      <c r="AV314" s="17" t="s">
        <v>322</v>
      </c>
      <c r="AW314" s="17" t="s">
        <v>322</v>
      </c>
      <c r="AX314" s="17" t="s">
        <v>188</v>
      </c>
      <c r="BH314" t="s">
        <v>517</v>
      </c>
      <c r="BI314" s="17" t="s">
        <v>188</v>
      </c>
      <c r="BJ314" s="17" t="s">
        <v>322</v>
      </c>
      <c r="BK314" s="17" t="s">
        <v>322</v>
      </c>
      <c r="BL314" s="17" t="s">
        <v>322</v>
      </c>
      <c r="BM314" s="17" t="s">
        <v>322</v>
      </c>
      <c r="BT314" s="17" t="s">
        <v>554</v>
      </c>
      <c r="BU314" s="17" t="s">
        <v>277</v>
      </c>
      <c r="BV314" s="131" t="s">
        <v>59</v>
      </c>
      <c r="BW314" s="17" t="s">
        <v>322</v>
      </c>
      <c r="BX314" s="131" t="s">
        <v>202</v>
      </c>
      <c r="BY314" s="131" t="s">
        <v>199</v>
      </c>
      <c r="BZ314" s="17" t="s">
        <v>554</v>
      </c>
      <c r="CA314" s="137">
        <v>3</v>
      </c>
      <c r="CB314" s="137">
        <v>0</v>
      </c>
      <c r="CC314" s="137">
        <v>3</v>
      </c>
      <c r="CD314" s="137">
        <v>0</v>
      </c>
      <c r="CE314" s="54">
        <v>3</v>
      </c>
    </row>
    <row r="315" spans="30:83" x14ac:dyDescent="0.3">
      <c r="AD315" t="s">
        <v>517</v>
      </c>
      <c r="AE315" s="17" t="s">
        <v>322</v>
      </c>
      <c r="AF315" s="17" t="s">
        <v>322</v>
      </c>
      <c r="AG315" s="17" t="s">
        <v>322</v>
      </c>
      <c r="AH315" s="17" t="s">
        <v>322</v>
      </c>
      <c r="AI315" s="17" t="s">
        <v>93</v>
      </c>
      <c r="AS315" t="s">
        <v>514</v>
      </c>
      <c r="AT315" s="17" t="s">
        <v>188</v>
      </c>
      <c r="AU315" s="17" t="s">
        <v>322</v>
      </c>
      <c r="AV315" s="17" t="s">
        <v>322</v>
      </c>
      <c r="AW315" s="17" t="s">
        <v>322</v>
      </c>
      <c r="AX315" s="17" t="s">
        <v>188</v>
      </c>
      <c r="BH315" t="s">
        <v>326</v>
      </c>
      <c r="BI315" s="17" t="s">
        <v>188</v>
      </c>
      <c r="BJ315" s="17" t="s">
        <v>322</v>
      </c>
      <c r="BK315" s="17" t="s">
        <v>322</v>
      </c>
      <c r="BL315" s="17" t="s">
        <v>322</v>
      </c>
      <c r="BM315" s="17" t="s">
        <v>322</v>
      </c>
    </row>
    <row r="316" spans="30:83" x14ac:dyDescent="0.3">
      <c r="AD316" t="s">
        <v>326</v>
      </c>
      <c r="AE316" s="17" t="s">
        <v>322</v>
      </c>
      <c r="AF316" s="17" t="s">
        <v>322</v>
      </c>
      <c r="AG316" s="17" t="s">
        <v>322</v>
      </c>
      <c r="AH316" s="17" t="s">
        <v>322</v>
      </c>
      <c r="AI316" s="17" t="s">
        <v>93</v>
      </c>
    </row>
    <row r="317" spans="30:83" x14ac:dyDescent="0.3">
      <c r="AD317" t="s">
        <v>328</v>
      </c>
      <c r="AE317" s="17" t="s">
        <v>322</v>
      </c>
      <c r="AF317" s="17" t="s">
        <v>322</v>
      </c>
      <c r="AG317" s="17" t="s">
        <v>322</v>
      </c>
      <c r="AH317" s="17" t="s">
        <v>322</v>
      </c>
      <c r="AI317" s="17" t="s">
        <v>93</v>
      </c>
      <c r="AS317" t="s">
        <v>785</v>
      </c>
      <c r="BH317" t="s">
        <v>785</v>
      </c>
      <c r="BT317" s="17" t="s">
        <v>505</v>
      </c>
      <c r="BV317" s="17" t="s">
        <v>899</v>
      </c>
    </row>
    <row r="318" spans="30:83" x14ac:dyDescent="0.3">
      <c r="AD318" t="s">
        <v>350</v>
      </c>
      <c r="AE318" s="17" t="s">
        <v>322</v>
      </c>
      <c r="AF318" s="17" t="s">
        <v>322</v>
      </c>
      <c r="AG318" s="17" t="s">
        <v>322</v>
      </c>
      <c r="AH318" s="17" t="s">
        <v>322</v>
      </c>
      <c r="AI318" s="17" t="s">
        <v>93</v>
      </c>
      <c r="AT318" s="17" t="s">
        <v>315</v>
      </c>
      <c r="AU318" s="17" t="s">
        <v>316</v>
      </c>
      <c r="AV318" s="17" t="s">
        <v>317</v>
      </c>
      <c r="AW318" s="17" t="s">
        <v>318</v>
      </c>
      <c r="AX318" s="17" t="s">
        <v>319</v>
      </c>
      <c r="BI318" s="17" t="s">
        <v>315</v>
      </c>
      <c r="BJ318" s="17" t="s">
        <v>316</v>
      </c>
      <c r="BK318" s="17" t="s">
        <v>317</v>
      </c>
      <c r="BL318" s="17" t="s">
        <v>318</v>
      </c>
      <c r="BM318" s="17" t="s">
        <v>319</v>
      </c>
      <c r="BT318" s="17" t="s">
        <v>685</v>
      </c>
    </row>
    <row r="319" spans="30:83" x14ac:dyDescent="0.3">
      <c r="AD319" t="s">
        <v>536</v>
      </c>
      <c r="AE319" s="17" t="s">
        <v>322</v>
      </c>
      <c r="AF319" s="17" t="s">
        <v>322</v>
      </c>
      <c r="AG319" s="17" t="s">
        <v>322</v>
      </c>
      <c r="AH319" s="17" t="s">
        <v>322</v>
      </c>
      <c r="AI319" s="17" t="s">
        <v>93</v>
      </c>
      <c r="AS319" t="s">
        <v>512</v>
      </c>
      <c r="AT319" s="17" t="s">
        <v>322</v>
      </c>
      <c r="AU319" s="17" t="s">
        <v>322</v>
      </c>
      <c r="AV319" s="17" t="s">
        <v>322</v>
      </c>
      <c r="AW319" s="17" t="s">
        <v>322</v>
      </c>
      <c r="AX319" s="17" t="s">
        <v>93</v>
      </c>
      <c r="BH319" t="s">
        <v>512</v>
      </c>
      <c r="BI319" s="17" t="s">
        <v>322</v>
      </c>
      <c r="BJ319" s="17" t="s">
        <v>322</v>
      </c>
      <c r="BK319" s="17" t="s">
        <v>322</v>
      </c>
      <c r="BL319" s="17" t="s">
        <v>322</v>
      </c>
      <c r="BM319" s="17" t="s">
        <v>93</v>
      </c>
      <c r="BU319" s="17" t="s">
        <v>315</v>
      </c>
      <c r="BV319" s="17" t="s">
        <v>316</v>
      </c>
      <c r="BW319" s="17" t="s">
        <v>317</v>
      </c>
      <c r="BX319" s="17" t="s">
        <v>318</v>
      </c>
      <c r="BY319" s="17" t="s">
        <v>319</v>
      </c>
    </row>
    <row r="320" spans="30:83" x14ac:dyDescent="0.3">
      <c r="AD320" t="s">
        <v>539</v>
      </c>
      <c r="AE320" s="17" t="s">
        <v>322</v>
      </c>
      <c r="AF320" s="17" t="s">
        <v>322</v>
      </c>
      <c r="AG320" s="17" t="s">
        <v>322</v>
      </c>
      <c r="AH320" s="17" t="s">
        <v>322</v>
      </c>
      <c r="AI320" s="17" t="s">
        <v>93</v>
      </c>
      <c r="AS320" t="s">
        <v>514</v>
      </c>
      <c r="AT320" s="17" t="s">
        <v>322</v>
      </c>
      <c r="AU320" s="17" t="s">
        <v>322</v>
      </c>
      <c r="AV320" s="17" t="s">
        <v>322</v>
      </c>
      <c r="AW320" s="17" t="s">
        <v>322</v>
      </c>
      <c r="AX320" s="17" t="s">
        <v>93</v>
      </c>
      <c r="BH320" t="s">
        <v>514</v>
      </c>
      <c r="BI320" s="17" t="s">
        <v>322</v>
      </c>
      <c r="BJ320" s="17" t="s">
        <v>322</v>
      </c>
      <c r="BK320" s="17" t="s">
        <v>322</v>
      </c>
      <c r="BL320" s="17" t="s">
        <v>322</v>
      </c>
      <c r="BM320" s="17" t="s">
        <v>93</v>
      </c>
      <c r="BT320" s="17" t="s">
        <v>539</v>
      </c>
      <c r="BU320" s="17" t="s">
        <v>272</v>
      </c>
      <c r="BV320" s="17" t="s">
        <v>322</v>
      </c>
      <c r="BW320" s="17" t="s">
        <v>272</v>
      </c>
      <c r="BX320" s="131" t="s">
        <v>59</v>
      </c>
      <c r="BY320" s="17" t="s">
        <v>322</v>
      </c>
    </row>
    <row r="321" spans="30:83" x14ac:dyDescent="0.3">
      <c r="AS321" t="s">
        <v>517</v>
      </c>
      <c r="AT321" s="17" t="s">
        <v>322</v>
      </c>
      <c r="AU321" s="17" t="s">
        <v>322</v>
      </c>
      <c r="AV321" s="17" t="s">
        <v>322</v>
      </c>
      <c r="AW321" s="17" t="s">
        <v>322</v>
      </c>
      <c r="AX321" s="17" t="s">
        <v>93</v>
      </c>
      <c r="BH321" t="s">
        <v>517</v>
      </c>
      <c r="BI321" s="17" t="s">
        <v>322</v>
      </c>
      <c r="BJ321" s="17" t="s">
        <v>322</v>
      </c>
      <c r="BK321" s="17" t="s">
        <v>322</v>
      </c>
      <c r="BL321" s="17" t="s">
        <v>322</v>
      </c>
      <c r="BM321" s="17" t="s">
        <v>93</v>
      </c>
      <c r="BT321" s="17" t="s">
        <v>543</v>
      </c>
      <c r="BU321" s="17" t="s">
        <v>272</v>
      </c>
      <c r="BV321" s="17" t="s">
        <v>276</v>
      </c>
      <c r="BW321" s="17" t="s">
        <v>272</v>
      </c>
      <c r="BX321" s="131" t="s">
        <v>59</v>
      </c>
      <c r="BY321" s="17" t="s">
        <v>276</v>
      </c>
      <c r="CA321" s="17" t="s">
        <v>277</v>
      </c>
    </row>
    <row r="322" spans="30:83" x14ac:dyDescent="0.3">
      <c r="AD322" t="s">
        <v>786</v>
      </c>
      <c r="AS322" t="s">
        <v>326</v>
      </c>
      <c r="AT322" s="17" t="s">
        <v>322</v>
      </c>
      <c r="AU322" s="17" t="s">
        <v>322</v>
      </c>
      <c r="AV322" s="17" t="s">
        <v>322</v>
      </c>
      <c r="AW322" s="17" t="s">
        <v>322</v>
      </c>
      <c r="AX322" s="17" t="s">
        <v>93</v>
      </c>
      <c r="BH322" t="s">
        <v>326</v>
      </c>
      <c r="BI322" s="17" t="s">
        <v>322</v>
      </c>
      <c r="BJ322" s="17" t="s">
        <v>322</v>
      </c>
      <c r="BK322" s="17" t="s">
        <v>322</v>
      </c>
      <c r="BL322" s="17" t="s">
        <v>322</v>
      </c>
      <c r="BM322" s="17" t="s">
        <v>93</v>
      </c>
      <c r="BT322" s="17" t="s">
        <v>573</v>
      </c>
      <c r="BU322" s="108" t="s">
        <v>859</v>
      </c>
      <c r="BV322" s="17" t="s">
        <v>276</v>
      </c>
      <c r="BW322" s="108" t="s">
        <v>859</v>
      </c>
      <c r="BX322" s="131" t="s">
        <v>213</v>
      </c>
      <c r="BY322" s="17" t="s">
        <v>276</v>
      </c>
      <c r="BZ322" s="17" t="s">
        <v>573</v>
      </c>
      <c r="CA322" s="136">
        <v>1</v>
      </c>
      <c r="CB322" s="136">
        <v>1</v>
      </c>
      <c r="CC322" s="136">
        <v>0</v>
      </c>
      <c r="CD322" s="136">
        <v>1</v>
      </c>
      <c r="CE322" s="53">
        <v>0</v>
      </c>
    </row>
    <row r="323" spans="30:83" x14ac:dyDescent="0.3">
      <c r="AE323" s="17" t="s">
        <v>315</v>
      </c>
      <c r="AF323" s="17" t="s">
        <v>316</v>
      </c>
      <c r="AG323" s="17" t="s">
        <v>317</v>
      </c>
      <c r="AH323" s="17" t="s">
        <v>318</v>
      </c>
      <c r="AI323" s="17" t="s">
        <v>319</v>
      </c>
      <c r="AS323" t="s">
        <v>328</v>
      </c>
      <c r="AT323" s="17" t="s">
        <v>322</v>
      </c>
      <c r="AU323" s="17" t="s">
        <v>322</v>
      </c>
      <c r="AV323" s="17" t="s">
        <v>322</v>
      </c>
      <c r="AW323" s="17" t="s">
        <v>322</v>
      </c>
      <c r="AX323" s="17" t="s">
        <v>93</v>
      </c>
      <c r="BH323" t="s">
        <v>328</v>
      </c>
      <c r="BI323" s="17" t="s">
        <v>322</v>
      </c>
      <c r="BJ323" s="17" t="s">
        <v>322</v>
      </c>
      <c r="BK323" s="17" t="s">
        <v>322</v>
      </c>
      <c r="BL323" s="17" t="s">
        <v>322</v>
      </c>
      <c r="BM323" s="17" t="s">
        <v>93</v>
      </c>
      <c r="BT323" s="17" t="s">
        <v>561</v>
      </c>
      <c r="BU323" s="108" t="s">
        <v>859</v>
      </c>
      <c r="BV323" s="108" t="s">
        <v>213</v>
      </c>
      <c r="BW323" s="108" t="s">
        <v>859</v>
      </c>
      <c r="BX323" s="131" t="s">
        <v>213</v>
      </c>
      <c r="BY323" s="131" t="s">
        <v>202</v>
      </c>
      <c r="BZ323" s="17" t="s">
        <v>561</v>
      </c>
      <c r="CA323" s="137">
        <v>1</v>
      </c>
      <c r="CB323" s="137">
        <v>1</v>
      </c>
      <c r="CC323" s="137">
        <v>0</v>
      </c>
      <c r="CD323" s="137">
        <v>1</v>
      </c>
      <c r="CE323" s="54">
        <v>0</v>
      </c>
    </row>
    <row r="324" spans="30:83" x14ac:dyDescent="0.3">
      <c r="AD324" t="s">
        <v>552</v>
      </c>
      <c r="AE324" s="17" t="s">
        <v>322</v>
      </c>
      <c r="AF324" s="17" t="s">
        <v>322</v>
      </c>
      <c r="AG324" s="17" t="s">
        <v>322</v>
      </c>
      <c r="AH324" s="17" t="s">
        <v>322</v>
      </c>
      <c r="AI324" s="17" t="s">
        <v>37</v>
      </c>
      <c r="AS324" t="s">
        <v>350</v>
      </c>
      <c r="AT324" s="17" t="s">
        <v>322</v>
      </c>
      <c r="AU324" s="17" t="s">
        <v>322</v>
      </c>
      <c r="AV324" s="17" t="s">
        <v>322</v>
      </c>
      <c r="AW324" s="17" t="s">
        <v>322</v>
      </c>
      <c r="AX324" s="17" t="s">
        <v>93</v>
      </c>
      <c r="BH324" t="s">
        <v>350</v>
      </c>
      <c r="BI324" s="17" t="s">
        <v>322</v>
      </c>
      <c r="BJ324" s="17" t="s">
        <v>322</v>
      </c>
      <c r="BK324" s="17" t="s">
        <v>322</v>
      </c>
      <c r="BL324" s="17" t="s">
        <v>322</v>
      </c>
      <c r="BM324" s="17" t="s">
        <v>93</v>
      </c>
      <c r="BT324" s="17" t="s">
        <v>551</v>
      </c>
      <c r="BU324" s="131" t="s">
        <v>199</v>
      </c>
      <c r="BV324" s="108" t="s">
        <v>213</v>
      </c>
      <c r="BW324" s="17" t="s">
        <v>274</v>
      </c>
      <c r="BX324" s="131" t="s">
        <v>213</v>
      </c>
      <c r="BY324" s="131" t="s">
        <v>202</v>
      </c>
      <c r="BZ324" s="17" t="s">
        <v>551</v>
      </c>
      <c r="CA324" s="137">
        <v>2</v>
      </c>
      <c r="CB324" s="137">
        <v>2</v>
      </c>
      <c r="CC324" s="137">
        <v>0</v>
      </c>
      <c r="CD324" s="137">
        <v>2</v>
      </c>
      <c r="CE324" s="54">
        <v>0</v>
      </c>
    </row>
    <row r="325" spans="30:83" x14ac:dyDescent="0.3">
      <c r="AD325" t="s">
        <v>554</v>
      </c>
      <c r="AE325" s="17" t="s">
        <v>322</v>
      </c>
      <c r="AF325" s="17" t="s">
        <v>322</v>
      </c>
      <c r="AG325" s="17" t="s">
        <v>322</v>
      </c>
      <c r="AH325" s="17" t="s">
        <v>322</v>
      </c>
      <c r="AI325" s="17" t="s">
        <v>37</v>
      </c>
      <c r="AS325" t="s">
        <v>543</v>
      </c>
      <c r="AT325" s="17" t="s">
        <v>322</v>
      </c>
      <c r="AU325" s="17" t="s">
        <v>322</v>
      </c>
      <c r="AV325" s="17" t="s">
        <v>322</v>
      </c>
      <c r="AW325" s="17" t="s">
        <v>322</v>
      </c>
      <c r="AX325" s="17" t="s">
        <v>93</v>
      </c>
      <c r="BH325" t="s">
        <v>536</v>
      </c>
      <c r="BI325" s="17" t="s">
        <v>322</v>
      </c>
      <c r="BJ325" s="17" t="s">
        <v>322</v>
      </c>
      <c r="BK325" s="17" t="s">
        <v>322</v>
      </c>
      <c r="BL325" s="17" t="s">
        <v>322</v>
      </c>
      <c r="BM325" s="17" t="s">
        <v>93</v>
      </c>
      <c r="BT325" s="17" t="s">
        <v>552</v>
      </c>
      <c r="BU325" s="131" t="s">
        <v>199</v>
      </c>
      <c r="BV325" s="108" t="s">
        <v>213</v>
      </c>
      <c r="BW325" s="17" t="s">
        <v>274</v>
      </c>
      <c r="BX325" s="131" t="s">
        <v>199</v>
      </c>
      <c r="BY325" s="17" t="s">
        <v>274</v>
      </c>
      <c r="BZ325" s="17" t="s">
        <v>552</v>
      </c>
      <c r="CA325" s="137">
        <v>2</v>
      </c>
      <c r="CB325" s="137">
        <v>2</v>
      </c>
      <c r="CC325" s="137">
        <v>0</v>
      </c>
      <c r="CD325" s="137">
        <v>2</v>
      </c>
      <c r="CE325" s="54">
        <v>0</v>
      </c>
    </row>
    <row r="326" spans="30:83" x14ac:dyDescent="0.3">
      <c r="AS326" t="s">
        <v>573</v>
      </c>
      <c r="AT326" s="17" t="s">
        <v>322</v>
      </c>
      <c r="AU326" s="17" t="s">
        <v>322</v>
      </c>
      <c r="AV326" s="17" t="s">
        <v>322</v>
      </c>
      <c r="AW326" s="17" t="s">
        <v>322</v>
      </c>
      <c r="AX326" s="17" t="s">
        <v>93</v>
      </c>
      <c r="BH326" t="s">
        <v>539</v>
      </c>
      <c r="BI326" s="17" t="s">
        <v>322</v>
      </c>
      <c r="BJ326" s="17" t="s">
        <v>322</v>
      </c>
      <c r="BK326" s="17" t="s">
        <v>322</v>
      </c>
      <c r="BL326" s="17" t="s">
        <v>322</v>
      </c>
      <c r="BM326" s="17" t="s">
        <v>93</v>
      </c>
      <c r="BT326" s="17" t="s">
        <v>554</v>
      </c>
      <c r="BU326" s="131" t="s">
        <v>59</v>
      </c>
      <c r="BV326" s="17" t="s">
        <v>322</v>
      </c>
      <c r="BW326" s="17" t="s">
        <v>322</v>
      </c>
      <c r="BX326" s="131" t="s">
        <v>199</v>
      </c>
      <c r="BY326" s="17" t="s">
        <v>274</v>
      </c>
      <c r="BZ326" s="17" t="s">
        <v>554</v>
      </c>
      <c r="CA326" s="137">
        <v>3</v>
      </c>
      <c r="CB326" s="137">
        <v>3</v>
      </c>
      <c r="CC326" s="137">
        <v>0</v>
      </c>
      <c r="CD326" s="137">
        <v>3</v>
      </c>
      <c r="CE326" s="54">
        <v>0</v>
      </c>
    </row>
    <row r="327" spans="30:83" x14ac:dyDescent="0.3">
      <c r="AD327" t="s">
        <v>787</v>
      </c>
    </row>
    <row r="328" spans="30:83" x14ac:dyDescent="0.3">
      <c r="AE328" s="17" t="s">
        <v>315</v>
      </c>
      <c r="AF328" s="17" t="s">
        <v>316</v>
      </c>
      <c r="AG328" s="17" t="s">
        <v>317</v>
      </c>
      <c r="AH328" s="17" t="s">
        <v>318</v>
      </c>
      <c r="AI328" s="17" t="s">
        <v>319</v>
      </c>
      <c r="AS328" t="s">
        <v>786</v>
      </c>
      <c r="BH328" t="s">
        <v>786</v>
      </c>
    </row>
    <row r="329" spans="30:83" x14ac:dyDescent="0.3">
      <c r="AD329" t="s">
        <v>512</v>
      </c>
      <c r="AE329" s="17" t="s">
        <v>72</v>
      </c>
      <c r="AF329" s="17" t="s">
        <v>322</v>
      </c>
      <c r="AG329" s="17" t="s">
        <v>322</v>
      </c>
      <c r="AH329" s="17" t="s">
        <v>72</v>
      </c>
      <c r="AI329" s="17" t="s">
        <v>322</v>
      </c>
      <c r="AT329" s="17" t="s">
        <v>315</v>
      </c>
      <c r="AU329" s="17" t="s">
        <v>316</v>
      </c>
      <c r="AV329" s="17" t="s">
        <v>317</v>
      </c>
      <c r="AW329" s="17" t="s">
        <v>318</v>
      </c>
      <c r="AX329" s="17" t="s">
        <v>319</v>
      </c>
      <c r="BI329" s="17" t="s">
        <v>315</v>
      </c>
      <c r="BJ329" s="17" t="s">
        <v>316</v>
      </c>
      <c r="BK329" s="17" t="s">
        <v>317</v>
      </c>
      <c r="BL329" s="17" t="s">
        <v>318</v>
      </c>
      <c r="BM329" s="17" t="s">
        <v>319</v>
      </c>
    </row>
    <row r="330" spans="30:83" x14ac:dyDescent="0.3">
      <c r="AD330" t="s">
        <v>514</v>
      </c>
      <c r="AE330" s="17" t="s">
        <v>72</v>
      </c>
      <c r="AF330" s="17" t="s">
        <v>322</v>
      </c>
      <c r="AG330" s="17" t="s">
        <v>322</v>
      </c>
      <c r="AH330" s="17" t="s">
        <v>72</v>
      </c>
      <c r="AI330" s="17" t="s">
        <v>322</v>
      </c>
      <c r="AS330" t="s">
        <v>552</v>
      </c>
      <c r="AT330" s="17" t="s">
        <v>322</v>
      </c>
      <c r="AU330" s="17" t="s">
        <v>322</v>
      </c>
      <c r="AV330" s="17" t="s">
        <v>322</v>
      </c>
      <c r="AW330" s="17" t="s">
        <v>322</v>
      </c>
      <c r="AX330" s="17" t="s">
        <v>37</v>
      </c>
      <c r="BH330" t="s">
        <v>552</v>
      </c>
      <c r="BI330" s="17" t="s">
        <v>322</v>
      </c>
      <c r="BJ330" s="17" t="s">
        <v>322</v>
      </c>
      <c r="BK330" s="17" t="s">
        <v>322</v>
      </c>
      <c r="BL330" s="17" t="s">
        <v>322</v>
      </c>
      <c r="BM330" s="17" t="s">
        <v>37</v>
      </c>
      <c r="CA330" s="17" t="s">
        <v>272</v>
      </c>
    </row>
    <row r="331" spans="30:83" x14ac:dyDescent="0.3">
      <c r="AS331" t="s">
        <v>554</v>
      </c>
      <c r="AT331" s="17" t="s">
        <v>322</v>
      </c>
      <c r="AU331" s="17" t="s">
        <v>322</v>
      </c>
      <c r="AV331" s="17" t="s">
        <v>322</v>
      </c>
      <c r="AW331" s="17" t="s">
        <v>322</v>
      </c>
      <c r="AX331" s="17" t="s">
        <v>37</v>
      </c>
      <c r="BH331" t="s">
        <v>554</v>
      </c>
      <c r="BI331" s="17" t="s">
        <v>322</v>
      </c>
      <c r="BJ331" s="17" t="s">
        <v>322</v>
      </c>
      <c r="BK331" s="17" t="s">
        <v>322</v>
      </c>
      <c r="BL331" s="17" t="s">
        <v>322</v>
      </c>
      <c r="BM331" s="17" t="s">
        <v>37</v>
      </c>
      <c r="BZ331" s="17" t="s">
        <v>539</v>
      </c>
      <c r="CA331" s="136">
        <v>1</v>
      </c>
      <c r="CB331" s="136">
        <v>1</v>
      </c>
      <c r="CC331" s="136">
        <v>1</v>
      </c>
      <c r="CD331" s="136">
        <v>1</v>
      </c>
      <c r="CE331" s="53">
        <v>1</v>
      </c>
    </row>
    <row r="332" spans="30:83" x14ac:dyDescent="0.3">
      <c r="AD332" t="s">
        <v>788</v>
      </c>
      <c r="BZ332" s="17" t="s">
        <v>543</v>
      </c>
      <c r="CA332" s="136">
        <v>1</v>
      </c>
      <c r="CB332" s="136">
        <v>1</v>
      </c>
      <c r="CC332" s="136">
        <v>1</v>
      </c>
      <c r="CD332" s="136">
        <v>1</v>
      </c>
      <c r="CE332" s="53">
        <v>1</v>
      </c>
    </row>
    <row r="333" spans="30:83" x14ac:dyDescent="0.3">
      <c r="AE333" s="17" t="s">
        <v>315</v>
      </c>
      <c r="AF333" s="17" t="s">
        <v>316</v>
      </c>
      <c r="AG333" s="17" t="s">
        <v>317</v>
      </c>
      <c r="AH333" s="17" t="s">
        <v>318</v>
      </c>
      <c r="AI333" s="17" t="s">
        <v>319</v>
      </c>
      <c r="AS333" t="s">
        <v>787</v>
      </c>
      <c r="BH333" t="s">
        <v>787</v>
      </c>
      <c r="BZ333" s="17" t="s">
        <v>573</v>
      </c>
      <c r="CA333" s="136">
        <v>1</v>
      </c>
      <c r="CB333" s="136">
        <v>1</v>
      </c>
      <c r="CC333" s="136">
        <v>1</v>
      </c>
      <c r="CD333" s="136">
        <v>1</v>
      </c>
      <c r="CE333" s="53">
        <v>1</v>
      </c>
    </row>
    <row r="334" spans="30:83" x14ac:dyDescent="0.3">
      <c r="AD334" t="s">
        <v>512</v>
      </c>
      <c r="AE334" s="17" t="s">
        <v>322</v>
      </c>
      <c r="AF334" s="17" t="s">
        <v>322</v>
      </c>
      <c r="AG334" s="17" t="s">
        <v>129</v>
      </c>
      <c r="AH334" s="17" t="s">
        <v>322</v>
      </c>
      <c r="AI334" s="17" t="s">
        <v>322</v>
      </c>
      <c r="AT334" s="17" t="s">
        <v>315</v>
      </c>
      <c r="AU334" s="17" t="s">
        <v>316</v>
      </c>
      <c r="AV334" s="17" t="s">
        <v>317</v>
      </c>
      <c r="AW334" s="17" t="s">
        <v>318</v>
      </c>
      <c r="AX334" s="17" t="s">
        <v>319</v>
      </c>
      <c r="BI334" s="17" t="s">
        <v>315</v>
      </c>
      <c r="BJ334" s="17" t="s">
        <v>316</v>
      </c>
      <c r="BK334" s="17" t="s">
        <v>317</v>
      </c>
      <c r="BL334" s="17" t="s">
        <v>318</v>
      </c>
      <c r="BM334" s="17" t="s">
        <v>319</v>
      </c>
      <c r="BZ334" s="17" t="s">
        <v>561</v>
      </c>
      <c r="CA334" s="137">
        <v>1</v>
      </c>
      <c r="CB334" s="137">
        <v>1</v>
      </c>
      <c r="CC334" s="137">
        <v>1</v>
      </c>
      <c r="CD334" s="137">
        <v>1</v>
      </c>
      <c r="CE334" s="54">
        <v>1</v>
      </c>
    </row>
    <row r="335" spans="30:83" x14ac:dyDescent="0.3">
      <c r="AD335" t="s">
        <v>514</v>
      </c>
      <c r="AE335" s="17" t="s">
        <v>322</v>
      </c>
      <c r="AF335" s="17" t="s">
        <v>322</v>
      </c>
      <c r="AG335" s="17" t="s">
        <v>129</v>
      </c>
      <c r="AH335" s="17" t="s">
        <v>322</v>
      </c>
      <c r="AI335" s="17" t="s">
        <v>322</v>
      </c>
      <c r="AS335" t="s">
        <v>512</v>
      </c>
      <c r="AT335" s="17" t="s">
        <v>72</v>
      </c>
      <c r="AU335" s="17" t="s">
        <v>322</v>
      </c>
      <c r="AV335" s="17" t="s">
        <v>322</v>
      </c>
      <c r="AW335" s="17" t="s">
        <v>72</v>
      </c>
      <c r="AX335" s="17" t="s">
        <v>322</v>
      </c>
      <c r="BH335" t="s">
        <v>512</v>
      </c>
      <c r="BI335" s="17" t="s">
        <v>72</v>
      </c>
      <c r="BJ335" s="17" t="s">
        <v>322</v>
      </c>
      <c r="BK335" s="17" t="s">
        <v>322</v>
      </c>
      <c r="BL335" s="17" t="s">
        <v>72</v>
      </c>
      <c r="BM335" s="17" t="s">
        <v>322</v>
      </c>
      <c r="BZ335" s="17" t="s">
        <v>551</v>
      </c>
      <c r="CA335" s="137">
        <v>1</v>
      </c>
      <c r="CB335" s="137">
        <v>1</v>
      </c>
      <c r="CC335" s="137">
        <v>1</v>
      </c>
      <c r="CD335" s="137">
        <v>0</v>
      </c>
      <c r="CE335" s="54">
        <v>0</v>
      </c>
    </row>
    <row r="336" spans="30:83" x14ac:dyDescent="0.3">
      <c r="AD336" t="s">
        <v>517</v>
      </c>
      <c r="AE336" s="17" t="s">
        <v>322</v>
      </c>
      <c r="AF336" s="17" t="s">
        <v>322</v>
      </c>
      <c r="AG336" s="17" t="s">
        <v>322</v>
      </c>
      <c r="AH336" s="17" t="s">
        <v>322</v>
      </c>
      <c r="AI336" s="17" t="s">
        <v>129</v>
      </c>
      <c r="AS336" t="s">
        <v>514</v>
      </c>
      <c r="AT336" s="17" t="s">
        <v>72</v>
      </c>
      <c r="AU336" s="17" t="s">
        <v>322</v>
      </c>
      <c r="AV336" s="17" t="s">
        <v>322</v>
      </c>
      <c r="AW336" s="17" t="s">
        <v>72</v>
      </c>
      <c r="AX336" s="17" t="s">
        <v>322</v>
      </c>
      <c r="BH336" t="s">
        <v>514</v>
      </c>
      <c r="BI336" s="17" t="s">
        <v>72</v>
      </c>
      <c r="BJ336" s="17" t="s">
        <v>322</v>
      </c>
      <c r="BK336" s="17" t="s">
        <v>322</v>
      </c>
      <c r="BL336" s="17" t="s">
        <v>72</v>
      </c>
      <c r="BM336" s="17" t="s">
        <v>322</v>
      </c>
      <c r="BZ336" s="17" t="s">
        <v>552</v>
      </c>
      <c r="CA336" s="137">
        <v>1</v>
      </c>
      <c r="CB336" s="137">
        <v>1</v>
      </c>
      <c r="CC336" s="137">
        <v>1</v>
      </c>
      <c r="CD336" s="137">
        <v>0</v>
      </c>
      <c r="CE336" s="54">
        <v>0</v>
      </c>
    </row>
    <row r="337" spans="30:72" x14ac:dyDescent="0.3">
      <c r="AD337" t="s">
        <v>326</v>
      </c>
      <c r="AE337" s="17" t="s">
        <v>322</v>
      </c>
      <c r="AF337" s="17" t="s">
        <v>322</v>
      </c>
      <c r="AG337" s="17" t="s">
        <v>322</v>
      </c>
      <c r="AH337" s="17" t="s">
        <v>322</v>
      </c>
      <c r="AI337" s="17" t="s">
        <v>129</v>
      </c>
    </row>
    <row r="338" spans="30:72" x14ac:dyDescent="0.3">
      <c r="AD338" t="s">
        <v>328</v>
      </c>
      <c r="AE338" s="17" t="s">
        <v>322</v>
      </c>
      <c r="AF338" s="17" t="s">
        <v>322</v>
      </c>
      <c r="AG338" s="17" t="s">
        <v>322</v>
      </c>
      <c r="AH338" s="17" t="s">
        <v>322</v>
      </c>
      <c r="AI338" s="17" t="s">
        <v>129</v>
      </c>
      <c r="AS338" t="s">
        <v>788</v>
      </c>
      <c r="BH338" t="s">
        <v>788</v>
      </c>
    </row>
    <row r="339" spans="30:72" x14ac:dyDescent="0.3">
      <c r="AD339" t="s">
        <v>350</v>
      </c>
      <c r="AE339" s="17" t="s">
        <v>322</v>
      </c>
      <c r="AF339" s="17" t="s">
        <v>322</v>
      </c>
      <c r="AG339" s="17" t="s">
        <v>131</v>
      </c>
      <c r="AH339" s="17" t="s">
        <v>322</v>
      </c>
      <c r="AI339" s="17" t="s">
        <v>131</v>
      </c>
      <c r="AT339" s="17" t="s">
        <v>315</v>
      </c>
      <c r="AU339" s="17" t="s">
        <v>316</v>
      </c>
      <c r="AV339" s="17" t="s">
        <v>317</v>
      </c>
      <c r="AW339" s="17" t="s">
        <v>318</v>
      </c>
      <c r="AX339" s="17" t="s">
        <v>319</v>
      </c>
      <c r="BI339" s="17" t="s">
        <v>315</v>
      </c>
      <c r="BJ339" s="17" t="s">
        <v>316</v>
      </c>
      <c r="BK339" s="17" t="s">
        <v>317</v>
      </c>
      <c r="BL339" s="17" t="s">
        <v>318</v>
      </c>
      <c r="BM339" s="17" t="s">
        <v>319</v>
      </c>
    </row>
    <row r="340" spans="30:72" x14ac:dyDescent="0.3">
      <c r="AD340" t="s">
        <v>536</v>
      </c>
      <c r="AE340" s="17" t="s">
        <v>322</v>
      </c>
      <c r="AF340" s="17" t="s">
        <v>322</v>
      </c>
      <c r="AG340" s="17" t="s">
        <v>112</v>
      </c>
      <c r="AH340" s="17" t="s">
        <v>322</v>
      </c>
      <c r="AI340" s="17" t="s">
        <v>112</v>
      </c>
      <c r="AS340" t="s">
        <v>512</v>
      </c>
      <c r="AT340" s="17" t="s">
        <v>322</v>
      </c>
      <c r="AU340" s="17" t="s">
        <v>322</v>
      </c>
      <c r="AV340" s="17" t="s">
        <v>129</v>
      </c>
      <c r="AW340" s="17" t="s">
        <v>322</v>
      </c>
      <c r="AX340" s="17" t="s">
        <v>322</v>
      </c>
      <c r="BH340" t="s">
        <v>512</v>
      </c>
      <c r="BI340" s="17" t="s">
        <v>322</v>
      </c>
      <c r="BJ340" s="17" t="s">
        <v>322</v>
      </c>
      <c r="BK340" s="17" t="s">
        <v>129</v>
      </c>
      <c r="BL340" s="17" t="s">
        <v>322</v>
      </c>
      <c r="BM340" s="17" t="s">
        <v>322</v>
      </c>
    </row>
    <row r="341" spans="30:72" x14ac:dyDescent="0.3">
      <c r="AD341" t="s">
        <v>539</v>
      </c>
      <c r="AE341" s="17" t="s">
        <v>322</v>
      </c>
      <c r="AF341" s="17" t="s">
        <v>322</v>
      </c>
      <c r="AG341" s="17" t="s">
        <v>112</v>
      </c>
      <c r="AH341" s="17" t="s">
        <v>322</v>
      </c>
      <c r="AI341" s="17" t="s">
        <v>112</v>
      </c>
      <c r="AS341" t="s">
        <v>514</v>
      </c>
      <c r="AT341" s="17" t="s">
        <v>322</v>
      </c>
      <c r="AU341" s="17" t="s">
        <v>322</v>
      </c>
      <c r="AV341" s="17" t="s">
        <v>129</v>
      </c>
      <c r="AW341" s="17" t="s">
        <v>322</v>
      </c>
      <c r="AX341" s="17" t="s">
        <v>322</v>
      </c>
      <c r="BH341" t="s">
        <v>514</v>
      </c>
      <c r="BI341" s="17" t="s">
        <v>322</v>
      </c>
      <c r="BJ341" s="17" t="s">
        <v>322</v>
      </c>
      <c r="BK341" s="17" t="s">
        <v>129</v>
      </c>
      <c r="BL341" s="17" t="s">
        <v>322</v>
      </c>
      <c r="BM341" s="17" t="s">
        <v>322</v>
      </c>
      <c r="BT341" s="17" t="s">
        <v>900</v>
      </c>
    </row>
    <row r="342" spans="30:72" x14ac:dyDescent="0.3">
      <c r="AD342" t="s">
        <v>543</v>
      </c>
      <c r="AE342" s="17" t="s">
        <v>322</v>
      </c>
      <c r="AF342" s="17" t="s">
        <v>322</v>
      </c>
      <c r="AG342" s="17" t="s">
        <v>112</v>
      </c>
      <c r="AH342" s="17" t="s">
        <v>322</v>
      </c>
      <c r="AI342" s="17" t="s">
        <v>113</v>
      </c>
      <c r="AS342" t="s">
        <v>517</v>
      </c>
      <c r="AT342" s="17" t="s">
        <v>322</v>
      </c>
      <c r="AU342" s="17" t="s">
        <v>322</v>
      </c>
      <c r="AV342" s="17" t="s">
        <v>322</v>
      </c>
      <c r="AW342" s="17" t="s">
        <v>322</v>
      </c>
      <c r="AX342" s="17" t="s">
        <v>129</v>
      </c>
      <c r="BH342" t="s">
        <v>517</v>
      </c>
      <c r="BI342" s="17" t="s">
        <v>322</v>
      </c>
      <c r="BJ342" s="17" t="s">
        <v>322</v>
      </c>
      <c r="BK342" s="17" t="s">
        <v>322</v>
      </c>
      <c r="BL342" s="17" t="s">
        <v>322</v>
      </c>
      <c r="BM342" s="17" t="s">
        <v>129</v>
      </c>
      <c r="BT342" s="130" t="s">
        <v>901</v>
      </c>
    </row>
    <row r="343" spans="30:72" x14ac:dyDescent="0.3">
      <c r="AD343" t="s">
        <v>573</v>
      </c>
      <c r="AE343" s="17" t="s">
        <v>322</v>
      </c>
      <c r="AF343" s="17" t="s">
        <v>322</v>
      </c>
      <c r="AG343" s="17" t="s">
        <v>322</v>
      </c>
      <c r="AH343" s="17" t="s">
        <v>322</v>
      </c>
      <c r="AI343" s="17" t="s">
        <v>113</v>
      </c>
      <c r="AS343" t="s">
        <v>326</v>
      </c>
      <c r="AT343" s="17" t="s">
        <v>322</v>
      </c>
      <c r="AU343" s="17" t="s">
        <v>322</v>
      </c>
      <c r="AV343" s="17" t="s">
        <v>322</v>
      </c>
      <c r="AW343" s="17" t="s">
        <v>322</v>
      </c>
      <c r="AX343" s="17" t="s">
        <v>129</v>
      </c>
      <c r="BH343" t="s">
        <v>326</v>
      </c>
      <c r="BI343" s="17" t="s">
        <v>322</v>
      </c>
      <c r="BJ343" s="17" t="s">
        <v>322</v>
      </c>
      <c r="BK343" s="17" t="s">
        <v>322</v>
      </c>
      <c r="BL343" s="17" t="s">
        <v>322</v>
      </c>
      <c r="BM343" s="17" t="s">
        <v>129</v>
      </c>
    </row>
    <row r="344" spans="30:72" x14ac:dyDescent="0.3">
      <c r="AS344" t="s">
        <v>328</v>
      </c>
      <c r="AT344" s="17" t="s">
        <v>322</v>
      </c>
      <c r="AU344" s="17" t="s">
        <v>322</v>
      </c>
      <c r="AV344" s="17" t="s">
        <v>322</v>
      </c>
      <c r="AW344" s="17" t="s">
        <v>322</v>
      </c>
      <c r="AX344" s="17" t="s">
        <v>129</v>
      </c>
      <c r="BH344" t="s">
        <v>328</v>
      </c>
      <c r="BI344" s="17" t="s">
        <v>322</v>
      </c>
      <c r="BJ344" s="17" t="s">
        <v>322</v>
      </c>
      <c r="BK344" s="17" t="s">
        <v>322</v>
      </c>
      <c r="BL344" s="17" t="s">
        <v>322</v>
      </c>
      <c r="BM344" s="17" t="s">
        <v>129</v>
      </c>
    </row>
    <row r="345" spans="30:72" x14ac:dyDescent="0.3">
      <c r="AD345" t="s">
        <v>789</v>
      </c>
      <c r="AS345" t="s">
        <v>350</v>
      </c>
      <c r="AT345" s="17" t="s">
        <v>322</v>
      </c>
      <c r="AU345" s="17" t="s">
        <v>322</v>
      </c>
      <c r="AV345" s="17" t="s">
        <v>131</v>
      </c>
      <c r="AW345" s="17" t="s">
        <v>322</v>
      </c>
      <c r="AX345" s="17" t="s">
        <v>131</v>
      </c>
      <c r="BH345" t="s">
        <v>350</v>
      </c>
      <c r="BI345" s="17" t="s">
        <v>322</v>
      </c>
      <c r="BJ345" s="17" t="s">
        <v>322</v>
      </c>
      <c r="BK345" s="17" t="s">
        <v>131</v>
      </c>
      <c r="BL345" s="17" t="s">
        <v>322</v>
      </c>
      <c r="BM345" s="17" t="s">
        <v>131</v>
      </c>
    </row>
    <row r="346" spans="30:72" x14ac:dyDescent="0.3">
      <c r="AE346" s="17" t="s">
        <v>315</v>
      </c>
      <c r="AF346" s="17" t="s">
        <v>316</v>
      </c>
      <c r="AG346" s="17" t="s">
        <v>317</v>
      </c>
      <c r="AH346" s="17" t="s">
        <v>318</v>
      </c>
      <c r="AI346" s="17" t="s">
        <v>319</v>
      </c>
      <c r="AS346" t="s">
        <v>536</v>
      </c>
      <c r="AT346" s="17" t="s">
        <v>322</v>
      </c>
      <c r="AU346" s="17" t="s">
        <v>322</v>
      </c>
      <c r="AV346" s="17" t="s">
        <v>112</v>
      </c>
      <c r="AW346" s="17" t="s">
        <v>322</v>
      </c>
      <c r="AX346" s="17" t="s">
        <v>112</v>
      </c>
      <c r="BH346" t="s">
        <v>536</v>
      </c>
      <c r="BI346" s="17" t="s">
        <v>322</v>
      </c>
      <c r="BJ346" s="17" t="s">
        <v>322</v>
      </c>
      <c r="BK346" s="17" t="s">
        <v>112</v>
      </c>
      <c r="BL346" s="17" t="s">
        <v>322</v>
      </c>
      <c r="BM346" s="17" t="s">
        <v>112</v>
      </c>
    </row>
    <row r="347" spans="30:72" x14ac:dyDescent="0.3">
      <c r="AD347" t="s">
        <v>551</v>
      </c>
      <c r="AE347" s="17" t="s">
        <v>322</v>
      </c>
      <c r="AF347" s="17" t="s">
        <v>45</v>
      </c>
      <c r="AG347" s="17" t="s">
        <v>322</v>
      </c>
      <c r="AH347" s="17" t="s">
        <v>322</v>
      </c>
      <c r="AI347" s="17" t="s">
        <v>322</v>
      </c>
      <c r="AS347" t="s">
        <v>539</v>
      </c>
      <c r="AT347" s="17" t="s">
        <v>322</v>
      </c>
      <c r="AU347" s="17" t="s">
        <v>322</v>
      </c>
      <c r="AV347" s="17" t="s">
        <v>112</v>
      </c>
      <c r="AW347" s="17" t="s">
        <v>322</v>
      </c>
      <c r="AX347" s="17" t="s">
        <v>112</v>
      </c>
      <c r="BH347" t="s">
        <v>539</v>
      </c>
      <c r="BI347" s="17" t="s">
        <v>322</v>
      </c>
      <c r="BJ347" s="17" t="s">
        <v>322</v>
      </c>
      <c r="BK347" s="17" t="s">
        <v>112</v>
      </c>
      <c r="BL347" s="17" t="s">
        <v>322</v>
      </c>
      <c r="BM347" s="17" t="s">
        <v>112</v>
      </c>
    </row>
    <row r="348" spans="30:72" x14ac:dyDescent="0.3">
      <c r="AD348" t="s">
        <v>552</v>
      </c>
      <c r="AE348" s="17" t="s">
        <v>322</v>
      </c>
      <c r="AF348" s="17" t="s">
        <v>45</v>
      </c>
      <c r="AG348" s="17" t="s">
        <v>322</v>
      </c>
      <c r="AH348" s="17" t="s">
        <v>322</v>
      </c>
      <c r="AI348" s="17" t="s">
        <v>322</v>
      </c>
      <c r="AS348" t="s">
        <v>543</v>
      </c>
      <c r="AT348" s="17" t="s">
        <v>322</v>
      </c>
      <c r="AU348" s="17" t="s">
        <v>322</v>
      </c>
      <c r="AV348" s="17" t="s">
        <v>113</v>
      </c>
      <c r="AW348" s="17" t="s">
        <v>322</v>
      </c>
      <c r="AX348" s="17" t="s">
        <v>112</v>
      </c>
      <c r="BH348" t="s">
        <v>543</v>
      </c>
      <c r="BI348" s="17" t="s">
        <v>322</v>
      </c>
      <c r="BJ348" s="17" t="s">
        <v>322</v>
      </c>
      <c r="BK348" s="17" t="s">
        <v>112</v>
      </c>
      <c r="BL348" s="17" t="s">
        <v>322</v>
      </c>
      <c r="BM348" s="17" t="s">
        <v>113</v>
      </c>
    </row>
    <row r="349" spans="30:72" x14ac:dyDescent="0.3">
      <c r="AD349" t="s">
        <v>554</v>
      </c>
      <c r="AE349" s="17" t="s">
        <v>322</v>
      </c>
      <c r="AF349" s="17" t="s">
        <v>45</v>
      </c>
      <c r="AG349" s="17" t="s">
        <v>322</v>
      </c>
      <c r="AH349" s="17" t="s">
        <v>322</v>
      </c>
      <c r="AI349" s="17" t="s">
        <v>322</v>
      </c>
      <c r="AS349" t="s">
        <v>573</v>
      </c>
      <c r="AT349" s="17" t="s">
        <v>322</v>
      </c>
      <c r="AU349" s="17" t="s">
        <v>322</v>
      </c>
      <c r="AV349" s="17" t="s">
        <v>113</v>
      </c>
      <c r="AW349" s="17" t="s">
        <v>322</v>
      </c>
      <c r="AX349" s="17" t="s">
        <v>322</v>
      </c>
      <c r="BH349" t="s">
        <v>573</v>
      </c>
      <c r="BI349" s="17" t="s">
        <v>322</v>
      </c>
      <c r="BJ349" s="17" t="s">
        <v>322</v>
      </c>
      <c r="BK349" s="17" t="s">
        <v>322</v>
      </c>
      <c r="BL349" s="17" t="s">
        <v>322</v>
      </c>
      <c r="BM349" s="17" t="s">
        <v>113</v>
      </c>
    </row>
    <row r="350" spans="30:72" x14ac:dyDescent="0.3">
      <c r="AD350" t="s">
        <v>586</v>
      </c>
      <c r="AE350" s="17" t="s">
        <v>322</v>
      </c>
      <c r="AF350" s="17" t="s">
        <v>45</v>
      </c>
      <c r="AG350" s="17" t="s">
        <v>322</v>
      </c>
      <c r="AH350" s="17" t="s">
        <v>322</v>
      </c>
      <c r="AI350" s="17" t="s">
        <v>322</v>
      </c>
    </row>
    <row r="351" spans="30:72" x14ac:dyDescent="0.3">
      <c r="AS351" t="s">
        <v>789</v>
      </c>
      <c r="BH351" t="s">
        <v>789</v>
      </c>
    </row>
    <row r="352" spans="30:72" x14ac:dyDescent="0.3">
      <c r="AD352" t="s">
        <v>790</v>
      </c>
      <c r="AT352" s="17" t="s">
        <v>315</v>
      </c>
      <c r="AU352" s="17" t="s">
        <v>316</v>
      </c>
      <c r="AV352" s="17" t="s">
        <v>317</v>
      </c>
      <c r="AW352" s="17" t="s">
        <v>318</v>
      </c>
      <c r="AX352" s="17" t="s">
        <v>319</v>
      </c>
      <c r="BI352" s="17" t="s">
        <v>315</v>
      </c>
      <c r="BJ352" s="17" t="s">
        <v>316</v>
      </c>
      <c r="BK352" s="17" t="s">
        <v>317</v>
      </c>
      <c r="BL352" s="17" t="s">
        <v>318</v>
      </c>
      <c r="BM352" s="17" t="s">
        <v>319</v>
      </c>
    </row>
    <row r="353" spans="30:65" x14ac:dyDescent="0.3">
      <c r="AE353" s="17" t="s">
        <v>315</v>
      </c>
      <c r="AF353" s="17" t="s">
        <v>316</v>
      </c>
      <c r="AG353" s="17" t="s">
        <v>317</v>
      </c>
      <c r="AH353" s="17" t="s">
        <v>318</v>
      </c>
      <c r="AI353" s="17" t="s">
        <v>319</v>
      </c>
      <c r="AS353" t="s">
        <v>551</v>
      </c>
      <c r="AT353" s="17" t="s">
        <v>322</v>
      </c>
      <c r="AU353" s="17" t="s">
        <v>45</v>
      </c>
      <c r="AV353" s="17" t="s">
        <v>322</v>
      </c>
      <c r="AW353" s="17" t="s">
        <v>322</v>
      </c>
      <c r="AX353" s="17" t="s">
        <v>322</v>
      </c>
      <c r="BH353" t="s">
        <v>551</v>
      </c>
      <c r="BI353" s="17" t="s">
        <v>322</v>
      </c>
      <c r="BJ353" s="17" t="s">
        <v>45</v>
      </c>
      <c r="BK353" s="17" t="s">
        <v>322</v>
      </c>
      <c r="BL353" s="17" t="s">
        <v>322</v>
      </c>
      <c r="BM353" s="17" t="s">
        <v>322</v>
      </c>
    </row>
    <row r="354" spans="30:65" x14ac:dyDescent="0.3">
      <c r="AD354" t="s">
        <v>573</v>
      </c>
      <c r="AE354" s="17" t="s">
        <v>246</v>
      </c>
      <c r="AF354" s="17" t="s">
        <v>213</v>
      </c>
      <c r="AG354" s="17" t="s">
        <v>322</v>
      </c>
      <c r="AH354" s="17" t="s">
        <v>246</v>
      </c>
      <c r="AI354" s="17" t="s">
        <v>322</v>
      </c>
      <c r="AS354" t="s">
        <v>552</v>
      </c>
      <c r="AT354" s="17" t="s">
        <v>322</v>
      </c>
      <c r="AU354" s="17" t="s">
        <v>45</v>
      </c>
      <c r="AV354" s="17" t="s">
        <v>322</v>
      </c>
      <c r="AW354" s="17" t="s">
        <v>322</v>
      </c>
      <c r="AX354" s="17" t="s">
        <v>322</v>
      </c>
      <c r="BH354" t="s">
        <v>552</v>
      </c>
      <c r="BI354" s="17" t="s">
        <v>322</v>
      </c>
      <c r="BJ354" s="17" t="s">
        <v>45</v>
      </c>
      <c r="BK354" s="17" t="s">
        <v>322</v>
      </c>
      <c r="BL354" s="17" t="s">
        <v>322</v>
      </c>
      <c r="BM354" s="17" t="s">
        <v>322</v>
      </c>
    </row>
    <row r="355" spans="30:65" x14ac:dyDescent="0.3">
      <c r="AD355" t="s">
        <v>561</v>
      </c>
      <c r="AE355" s="17" t="s">
        <v>246</v>
      </c>
      <c r="AF355" s="17" t="s">
        <v>213</v>
      </c>
      <c r="AG355" s="17" t="s">
        <v>322</v>
      </c>
      <c r="AH355" s="17" t="s">
        <v>246</v>
      </c>
      <c r="AI355" s="17" t="s">
        <v>322</v>
      </c>
      <c r="AS355" t="s">
        <v>554</v>
      </c>
      <c r="AT355" s="17" t="s">
        <v>322</v>
      </c>
      <c r="AU355" s="17" t="s">
        <v>45</v>
      </c>
      <c r="AV355" s="17" t="s">
        <v>322</v>
      </c>
      <c r="AW355" s="17" t="s">
        <v>322</v>
      </c>
      <c r="AX355" s="17" t="s">
        <v>322</v>
      </c>
      <c r="BH355" t="s">
        <v>554</v>
      </c>
      <c r="BI355" s="17" t="s">
        <v>322</v>
      </c>
      <c r="BJ355" s="17" t="s">
        <v>45</v>
      </c>
      <c r="BK355" s="17" t="s">
        <v>322</v>
      </c>
      <c r="BL355" s="17" t="s">
        <v>322</v>
      </c>
      <c r="BM355" s="17" t="s">
        <v>322</v>
      </c>
    </row>
    <row r="356" spans="30:65" x14ac:dyDescent="0.3">
      <c r="AD356" t="s">
        <v>551</v>
      </c>
      <c r="AE356" s="17" t="s">
        <v>322</v>
      </c>
      <c r="AF356" s="17" t="s">
        <v>213</v>
      </c>
      <c r="AG356" s="17" t="s">
        <v>322</v>
      </c>
      <c r="AH356" s="17" t="s">
        <v>322</v>
      </c>
      <c r="AI356" s="17" t="s">
        <v>322</v>
      </c>
      <c r="AS356" t="s">
        <v>586</v>
      </c>
      <c r="AT356" s="17" t="s">
        <v>322</v>
      </c>
      <c r="AU356" s="17" t="s">
        <v>45</v>
      </c>
      <c r="AV356" s="17" t="s">
        <v>322</v>
      </c>
      <c r="AW356" s="17" t="s">
        <v>322</v>
      </c>
      <c r="AX356" s="17" t="s">
        <v>322</v>
      </c>
      <c r="BH356" t="s">
        <v>586</v>
      </c>
      <c r="BI356" s="17" t="s">
        <v>322</v>
      </c>
      <c r="BJ356" s="17" t="s">
        <v>45</v>
      </c>
      <c r="BK356" s="17" t="s">
        <v>322</v>
      </c>
      <c r="BL356" s="17" t="s">
        <v>322</v>
      </c>
      <c r="BM356" s="17" t="s">
        <v>322</v>
      </c>
    </row>
    <row r="358" spans="30:65" x14ac:dyDescent="0.3">
      <c r="AD358" t="s">
        <v>791</v>
      </c>
      <c r="AS358" t="s">
        <v>790</v>
      </c>
      <c r="BH358" t="s">
        <v>790</v>
      </c>
    </row>
    <row r="359" spans="30:65" x14ac:dyDescent="0.3">
      <c r="AE359" s="17" t="s">
        <v>315</v>
      </c>
      <c r="AF359" s="17" t="s">
        <v>316</v>
      </c>
      <c r="AG359" s="17" t="s">
        <v>317</v>
      </c>
      <c r="AH359" s="17" t="s">
        <v>318</v>
      </c>
      <c r="AI359" s="17" t="s">
        <v>319</v>
      </c>
      <c r="AT359" s="17" t="s">
        <v>315</v>
      </c>
      <c r="AU359" s="17" t="s">
        <v>316</v>
      </c>
      <c r="AV359" s="17" t="s">
        <v>317</v>
      </c>
      <c r="AW359" s="17" t="s">
        <v>318</v>
      </c>
      <c r="AX359" s="17" t="s">
        <v>319</v>
      </c>
      <c r="BI359" s="17" t="s">
        <v>315</v>
      </c>
      <c r="BJ359" s="17" t="s">
        <v>316</v>
      </c>
      <c r="BK359" s="17" t="s">
        <v>317</v>
      </c>
      <c r="BL359" s="17" t="s">
        <v>318</v>
      </c>
      <c r="BM359" s="17" t="s">
        <v>319</v>
      </c>
    </row>
    <row r="360" spans="30:65" x14ac:dyDescent="0.3">
      <c r="AD360" t="s">
        <v>573</v>
      </c>
      <c r="AE360" s="17" t="s">
        <v>256</v>
      </c>
      <c r="AF360" s="17" t="s">
        <v>322</v>
      </c>
      <c r="AG360" s="17" t="s">
        <v>322</v>
      </c>
      <c r="AH360" s="17" t="s">
        <v>322</v>
      </c>
      <c r="AI360" s="17" t="s">
        <v>256</v>
      </c>
      <c r="AS360" t="s">
        <v>573</v>
      </c>
      <c r="AT360" s="17" t="s">
        <v>246</v>
      </c>
      <c r="AU360" s="17" t="s">
        <v>213</v>
      </c>
      <c r="AV360" s="17" t="s">
        <v>322</v>
      </c>
      <c r="AW360" s="17" t="s">
        <v>246</v>
      </c>
      <c r="AX360" s="17" t="s">
        <v>322</v>
      </c>
      <c r="BH360" t="s">
        <v>573</v>
      </c>
      <c r="BI360" s="17" t="s">
        <v>246</v>
      </c>
      <c r="BJ360" s="17" t="s">
        <v>322</v>
      </c>
      <c r="BK360" s="17" t="s">
        <v>322</v>
      </c>
      <c r="BL360" s="17" t="s">
        <v>322</v>
      </c>
      <c r="BM360" s="17" t="s">
        <v>322</v>
      </c>
    </row>
    <row r="361" spans="30:65" x14ac:dyDescent="0.3">
      <c r="AD361" t="s">
        <v>561</v>
      </c>
      <c r="AE361" s="17" t="s">
        <v>256</v>
      </c>
      <c r="AF361" s="17" t="s">
        <v>322</v>
      </c>
      <c r="AG361" s="17" t="s">
        <v>322</v>
      </c>
      <c r="AH361" s="17" t="s">
        <v>322</v>
      </c>
      <c r="AI361" s="17" t="s">
        <v>256</v>
      </c>
      <c r="AS361" t="s">
        <v>561</v>
      </c>
      <c r="AT361" s="17" t="s">
        <v>246</v>
      </c>
      <c r="AU361" s="17" t="s">
        <v>213</v>
      </c>
      <c r="AV361" s="17" t="s">
        <v>322</v>
      </c>
      <c r="AW361" s="17" t="s">
        <v>246</v>
      </c>
      <c r="AX361" s="17" t="s">
        <v>322</v>
      </c>
      <c r="BH361" t="s">
        <v>561</v>
      </c>
      <c r="BI361" s="17" t="s">
        <v>246</v>
      </c>
      <c r="BJ361" s="17" t="s">
        <v>213</v>
      </c>
      <c r="BK361" s="17" t="s">
        <v>322</v>
      </c>
      <c r="BL361" s="17" t="s">
        <v>246</v>
      </c>
      <c r="BM361" s="17" t="s">
        <v>322</v>
      </c>
    </row>
    <row r="362" spans="30:65" x14ac:dyDescent="0.3">
      <c r="AS362" t="s">
        <v>551</v>
      </c>
      <c r="AT362" s="17" t="s">
        <v>322</v>
      </c>
      <c r="AU362" s="17" t="s">
        <v>213</v>
      </c>
      <c r="AV362" s="17" t="s">
        <v>322</v>
      </c>
      <c r="AW362" s="17" t="s">
        <v>322</v>
      </c>
      <c r="AX362" s="17" t="s">
        <v>322</v>
      </c>
      <c r="BH362" t="s">
        <v>551</v>
      </c>
      <c r="BI362" s="17" t="s">
        <v>322</v>
      </c>
      <c r="BJ362" s="17" t="s">
        <v>213</v>
      </c>
      <c r="BK362" s="17" t="s">
        <v>322</v>
      </c>
      <c r="BL362" s="17" t="s">
        <v>246</v>
      </c>
      <c r="BM362" s="17" t="s">
        <v>322</v>
      </c>
    </row>
    <row r="363" spans="30:65" x14ac:dyDescent="0.3">
      <c r="AD363" t="s">
        <v>792</v>
      </c>
      <c r="BH363" t="s">
        <v>552</v>
      </c>
      <c r="BI363" s="17" t="s">
        <v>322</v>
      </c>
      <c r="BJ363" s="17" t="s">
        <v>213</v>
      </c>
      <c r="BK363" s="17" t="s">
        <v>322</v>
      </c>
      <c r="BL363" s="17" t="s">
        <v>322</v>
      </c>
      <c r="BM363" s="17" t="s">
        <v>322</v>
      </c>
    </row>
    <row r="364" spans="30:65" x14ac:dyDescent="0.3">
      <c r="AE364" s="17" t="s">
        <v>315</v>
      </c>
      <c r="AF364" s="17" t="s">
        <v>316</v>
      </c>
      <c r="AG364" s="17" t="s">
        <v>317</v>
      </c>
      <c r="AH364" s="17" t="s">
        <v>318</v>
      </c>
      <c r="AI364" s="17" t="s">
        <v>319</v>
      </c>
      <c r="AS364" t="s">
        <v>791</v>
      </c>
    </row>
    <row r="365" spans="30:65" x14ac:dyDescent="0.3">
      <c r="AD365" t="s">
        <v>551</v>
      </c>
      <c r="AE365" s="17" t="s">
        <v>199</v>
      </c>
      <c r="AF365" s="17" t="s">
        <v>322</v>
      </c>
      <c r="AG365" s="17" t="s">
        <v>202</v>
      </c>
      <c r="AH365" s="17" t="s">
        <v>199</v>
      </c>
      <c r="AI365" s="17" t="s">
        <v>322</v>
      </c>
      <c r="AT365" s="17" t="s">
        <v>315</v>
      </c>
      <c r="AU365" s="17" t="s">
        <v>316</v>
      </c>
      <c r="AV365" s="17" t="s">
        <v>317</v>
      </c>
      <c r="AW365" s="17" t="s">
        <v>318</v>
      </c>
      <c r="AX365" s="17" t="s">
        <v>319</v>
      </c>
      <c r="BH365" t="s">
        <v>791</v>
      </c>
    </row>
    <row r="366" spans="30:65" x14ac:dyDescent="0.3">
      <c r="AD366" t="s">
        <v>552</v>
      </c>
      <c r="AE366" s="17" t="s">
        <v>199</v>
      </c>
      <c r="AF366" s="17" t="s">
        <v>322</v>
      </c>
      <c r="AG366" s="17" t="s">
        <v>202</v>
      </c>
      <c r="AH366" s="17" t="s">
        <v>199</v>
      </c>
      <c r="AI366" s="17" t="s">
        <v>322</v>
      </c>
      <c r="AS366" t="s">
        <v>573</v>
      </c>
      <c r="AT366" s="17" t="s">
        <v>256</v>
      </c>
      <c r="AU366" s="17" t="s">
        <v>322</v>
      </c>
      <c r="AV366" s="17" t="s">
        <v>322</v>
      </c>
      <c r="AW366" s="17" t="s">
        <v>322</v>
      </c>
      <c r="AX366" s="17" t="s">
        <v>256</v>
      </c>
      <c r="BI366" s="17" t="s">
        <v>315</v>
      </c>
      <c r="BJ366" s="17" t="s">
        <v>316</v>
      </c>
      <c r="BK366" s="17" t="s">
        <v>317</v>
      </c>
      <c r="BL366" s="17" t="s">
        <v>318</v>
      </c>
      <c r="BM366" s="17" t="s">
        <v>319</v>
      </c>
    </row>
    <row r="367" spans="30:65" x14ac:dyDescent="0.3">
      <c r="AS367" t="s">
        <v>561</v>
      </c>
      <c r="AT367" s="17" t="s">
        <v>256</v>
      </c>
      <c r="AU367" s="17" t="s">
        <v>322</v>
      </c>
      <c r="AV367" s="17" t="s">
        <v>322</v>
      </c>
      <c r="AW367" s="17" t="s">
        <v>322</v>
      </c>
      <c r="AX367" s="17" t="s">
        <v>256</v>
      </c>
      <c r="BH367" t="s">
        <v>573</v>
      </c>
      <c r="BI367" s="17" t="s">
        <v>256</v>
      </c>
      <c r="BJ367" s="17" t="s">
        <v>322</v>
      </c>
      <c r="BK367" s="17" t="s">
        <v>322</v>
      </c>
      <c r="BL367" s="17" t="s">
        <v>322</v>
      </c>
      <c r="BM367" s="17" t="s">
        <v>256</v>
      </c>
    </row>
    <row r="368" spans="30:65" x14ac:dyDescent="0.3">
      <c r="AD368" t="s">
        <v>793</v>
      </c>
      <c r="BH368" t="s">
        <v>561</v>
      </c>
      <c r="BI368" s="17" t="s">
        <v>256</v>
      </c>
      <c r="BJ368" s="17" t="s">
        <v>322</v>
      </c>
      <c r="BK368" s="17" t="s">
        <v>322</v>
      </c>
      <c r="BL368" s="17" t="s">
        <v>322</v>
      </c>
      <c r="BM368" s="17" t="s">
        <v>256</v>
      </c>
    </row>
    <row r="369" spans="30:65" x14ac:dyDescent="0.3">
      <c r="AE369" s="17" t="s">
        <v>315</v>
      </c>
      <c r="AF369" s="17" t="s">
        <v>316</v>
      </c>
      <c r="AG369" s="17" t="s">
        <v>317</v>
      </c>
      <c r="AH369" s="17" t="s">
        <v>318</v>
      </c>
      <c r="AI369" s="17" t="s">
        <v>319</v>
      </c>
      <c r="AS369" t="s">
        <v>792</v>
      </c>
    </row>
    <row r="370" spans="30:65" x14ac:dyDescent="0.3">
      <c r="AD370" t="s">
        <v>552</v>
      </c>
      <c r="AE370" s="17" t="s">
        <v>32</v>
      </c>
      <c r="AF370" s="17" t="s">
        <v>322</v>
      </c>
      <c r="AG370" s="17" t="s">
        <v>322</v>
      </c>
      <c r="AH370" s="17" t="s">
        <v>32</v>
      </c>
      <c r="AI370" s="17" t="s">
        <v>322</v>
      </c>
      <c r="AT370" s="17" t="s">
        <v>315</v>
      </c>
      <c r="AU370" s="17" t="s">
        <v>316</v>
      </c>
      <c r="AV370" s="17" t="s">
        <v>317</v>
      </c>
      <c r="AW370" s="17" t="s">
        <v>318</v>
      </c>
      <c r="AX370" s="17" t="s">
        <v>319</v>
      </c>
      <c r="BH370" t="s">
        <v>792</v>
      </c>
    </row>
    <row r="371" spans="30:65" x14ac:dyDescent="0.3">
      <c r="AD371" t="s">
        <v>554</v>
      </c>
      <c r="AE371" s="17" t="s">
        <v>32</v>
      </c>
      <c r="AF371" s="17" t="s">
        <v>322</v>
      </c>
      <c r="AG371" s="17" t="s">
        <v>322</v>
      </c>
      <c r="AH371" s="17" t="s">
        <v>32</v>
      </c>
      <c r="AI371" s="17" t="s">
        <v>322</v>
      </c>
      <c r="AS371" t="s">
        <v>551</v>
      </c>
      <c r="AT371" s="17" t="s">
        <v>199</v>
      </c>
      <c r="AU371" s="17" t="s">
        <v>322</v>
      </c>
      <c r="AV371" s="17" t="s">
        <v>202</v>
      </c>
      <c r="AW371" s="17" t="s">
        <v>199</v>
      </c>
      <c r="AX371" s="17" t="s">
        <v>322</v>
      </c>
      <c r="BI371" s="17" t="s">
        <v>315</v>
      </c>
      <c r="BJ371" s="17" t="s">
        <v>316</v>
      </c>
      <c r="BK371" s="17" t="s">
        <v>317</v>
      </c>
      <c r="BL371" s="17" t="s">
        <v>318</v>
      </c>
      <c r="BM371" s="17" t="s">
        <v>319</v>
      </c>
    </row>
    <row r="372" spans="30:65" x14ac:dyDescent="0.3">
      <c r="AS372" t="s">
        <v>552</v>
      </c>
      <c r="AT372" s="17" t="s">
        <v>199</v>
      </c>
      <c r="AU372" s="17" t="s">
        <v>322</v>
      </c>
      <c r="AV372" s="17" t="s">
        <v>202</v>
      </c>
      <c r="AW372" s="17" t="s">
        <v>199</v>
      </c>
      <c r="AX372" s="17" t="s">
        <v>322</v>
      </c>
      <c r="BH372" t="s">
        <v>551</v>
      </c>
      <c r="BI372" s="17" t="s">
        <v>199</v>
      </c>
      <c r="BJ372" s="17" t="s">
        <v>322</v>
      </c>
      <c r="BK372" s="17" t="s">
        <v>202</v>
      </c>
      <c r="BL372" s="17" t="s">
        <v>199</v>
      </c>
      <c r="BM372" s="17" t="s">
        <v>322</v>
      </c>
    </row>
    <row r="373" spans="30:65" x14ac:dyDescent="0.3">
      <c r="AD373" t="s">
        <v>794</v>
      </c>
      <c r="BH373" t="s">
        <v>552</v>
      </c>
      <c r="BI373" s="17" t="s">
        <v>199</v>
      </c>
      <c r="BJ373" s="17" t="s">
        <v>322</v>
      </c>
      <c r="BK373" s="17" t="s">
        <v>202</v>
      </c>
      <c r="BL373" s="17" t="s">
        <v>199</v>
      </c>
      <c r="BM373" s="17" t="s">
        <v>322</v>
      </c>
    </row>
    <row r="374" spans="30:65" x14ac:dyDescent="0.3">
      <c r="AE374" s="17" t="s">
        <v>315</v>
      </c>
      <c r="AF374" s="17" t="s">
        <v>316</v>
      </c>
      <c r="AG374" s="17" t="s">
        <v>317</v>
      </c>
      <c r="AH374" s="17" t="s">
        <v>318</v>
      </c>
      <c r="AI374" s="17" t="s">
        <v>319</v>
      </c>
      <c r="AS374" t="s">
        <v>793</v>
      </c>
    </row>
    <row r="375" spans="30:65" x14ac:dyDescent="0.3">
      <c r="AD375" t="s">
        <v>514</v>
      </c>
      <c r="AE375" s="17" t="s">
        <v>130</v>
      </c>
      <c r="AF375" s="17" t="s">
        <v>322</v>
      </c>
      <c r="AG375" s="17" t="s">
        <v>322</v>
      </c>
      <c r="AH375" s="17" t="s">
        <v>322</v>
      </c>
      <c r="AI375" s="17" t="s">
        <v>322</v>
      </c>
      <c r="AT375" s="17" t="s">
        <v>315</v>
      </c>
      <c r="AU375" s="17" t="s">
        <v>316</v>
      </c>
      <c r="AV375" s="17" t="s">
        <v>317</v>
      </c>
      <c r="AW375" s="17" t="s">
        <v>318</v>
      </c>
      <c r="AX375" s="17" t="s">
        <v>319</v>
      </c>
      <c r="BH375" t="s">
        <v>793</v>
      </c>
    </row>
    <row r="376" spans="30:65" x14ac:dyDescent="0.3">
      <c r="AD376" t="s">
        <v>517</v>
      </c>
      <c r="AE376" s="17" t="s">
        <v>130</v>
      </c>
      <c r="AF376" s="17" t="s">
        <v>322</v>
      </c>
      <c r="AG376" s="17" t="s">
        <v>130</v>
      </c>
      <c r="AH376" s="17" t="s">
        <v>322</v>
      </c>
      <c r="AI376" s="17" t="s">
        <v>322</v>
      </c>
      <c r="AS376" t="s">
        <v>552</v>
      </c>
      <c r="AT376" s="17" t="s">
        <v>32</v>
      </c>
      <c r="AU376" s="17" t="s">
        <v>322</v>
      </c>
      <c r="AV376" s="17" t="s">
        <v>322</v>
      </c>
      <c r="AW376" s="17" t="s">
        <v>32</v>
      </c>
      <c r="AX376" s="17" t="s">
        <v>322</v>
      </c>
      <c r="BI376" s="17" t="s">
        <v>315</v>
      </c>
      <c r="BJ376" s="17" t="s">
        <v>316</v>
      </c>
      <c r="BK376" s="17" t="s">
        <v>317</v>
      </c>
      <c r="BL376" s="17" t="s">
        <v>318</v>
      </c>
      <c r="BM376" s="17" t="s">
        <v>319</v>
      </c>
    </row>
    <row r="377" spans="30:65" x14ac:dyDescent="0.3">
      <c r="AD377" t="s">
        <v>326</v>
      </c>
      <c r="AE377" s="17" t="s">
        <v>130</v>
      </c>
      <c r="AF377" s="17" t="s">
        <v>322</v>
      </c>
      <c r="AG377" s="17" t="s">
        <v>130</v>
      </c>
      <c r="AH377" s="17" t="s">
        <v>322</v>
      </c>
      <c r="AI377" s="17" t="s">
        <v>322</v>
      </c>
      <c r="AS377" t="s">
        <v>554</v>
      </c>
      <c r="AT377" s="17" t="s">
        <v>32</v>
      </c>
      <c r="AU377" s="17" t="s">
        <v>322</v>
      </c>
      <c r="AV377" s="17" t="s">
        <v>322</v>
      </c>
      <c r="AW377" s="17" t="s">
        <v>32</v>
      </c>
      <c r="AX377" s="17" t="s">
        <v>322</v>
      </c>
      <c r="BH377" t="s">
        <v>552</v>
      </c>
      <c r="BI377" s="17" t="s">
        <v>32</v>
      </c>
      <c r="BJ377" s="17" t="s">
        <v>322</v>
      </c>
      <c r="BK377" s="17" t="s">
        <v>322</v>
      </c>
      <c r="BL377" s="17" t="s">
        <v>32</v>
      </c>
      <c r="BM377" s="17" t="s">
        <v>322</v>
      </c>
    </row>
    <row r="378" spans="30:65" x14ac:dyDescent="0.3">
      <c r="AD378" t="s">
        <v>539</v>
      </c>
      <c r="AE378" s="17" t="s">
        <v>115</v>
      </c>
      <c r="AF378" s="17" t="s">
        <v>322</v>
      </c>
      <c r="AG378" s="17" t="s">
        <v>322</v>
      </c>
      <c r="AH378" s="17" t="s">
        <v>322</v>
      </c>
      <c r="AI378" s="17" t="s">
        <v>322</v>
      </c>
      <c r="BH378" t="s">
        <v>554</v>
      </c>
      <c r="BI378" s="17" t="s">
        <v>32</v>
      </c>
      <c r="BJ378" s="17" t="s">
        <v>322</v>
      </c>
      <c r="BK378" s="17" t="s">
        <v>322</v>
      </c>
      <c r="BL378" s="17" t="s">
        <v>32</v>
      </c>
      <c r="BM378" s="17" t="s">
        <v>322</v>
      </c>
    </row>
    <row r="379" spans="30:65" x14ac:dyDescent="0.3">
      <c r="AD379" t="s">
        <v>543</v>
      </c>
      <c r="AE379" s="17" t="s">
        <v>115</v>
      </c>
      <c r="AF379" s="17" t="s">
        <v>322</v>
      </c>
      <c r="AG379" s="17" t="s">
        <v>322</v>
      </c>
      <c r="AH379" s="17" t="s">
        <v>322</v>
      </c>
      <c r="AI379" s="17" t="s">
        <v>322</v>
      </c>
      <c r="AS379" t="s">
        <v>794</v>
      </c>
    </row>
    <row r="380" spans="30:65" x14ac:dyDescent="0.3">
      <c r="AD380" t="s">
        <v>573</v>
      </c>
      <c r="AE380" s="17" t="s">
        <v>115</v>
      </c>
      <c r="AF380" s="17" t="s">
        <v>322</v>
      </c>
      <c r="AG380" s="17" t="s">
        <v>322</v>
      </c>
      <c r="AH380" s="17" t="s">
        <v>115</v>
      </c>
      <c r="AI380" s="17" t="s">
        <v>322</v>
      </c>
      <c r="AT380" s="17" t="s">
        <v>315</v>
      </c>
      <c r="AU380" s="17" t="s">
        <v>316</v>
      </c>
      <c r="AV380" s="17" t="s">
        <v>317</v>
      </c>
      <c r="AW380" s="17" t="s">
        <v>318</v>
      </c>
      <c r="AX380" s="17" t="s">
        <v>319</v>
      </c>
      <c r="BH380" t="s">
        <v>794</v>
      </c>
    </row>
    <row r="381" spans="30:65" x14ac:dyDescent="0.3">
      <c r="AD381" t="s">
        <v>561</v>
      </c>
      <c r="AE381" s="17" t="s">
        <v>322</v>
      </c>
      <c r="AF381" s="17" t="s">
        <v>322</v>
      </c>
      <c r="AG381" s="17" t="s">
        <v>322</v>
      </c>
      <c r="AH381" s="17" t="s">
        <v>115</v>
      </c>
      <c r="AI381" s="17" t="s">
        <v>322</v>
      </c>
      <c r="AS381" t="s">
        <v>514</v>
      </c>
      <c r="AT381" s="17" t="s">
        <v>130</v>
      </c>
      <c r="AU381" s="17" t="s">
        <v>322</v>
      </c>
      <c r="AV381" s="17" t="s">
        <v>322</v>
      </c>
      <c r="AW381" s="17" t="s">
        <v>322</v>
      </c>
      <c r="AX381" s="17" t="s">
        <v>322</v>
      </c>
      <c r="BI381" s="17" t="s">
        <v>315</v>
      </c>
      <c r="BJ381" s="17" t="s">
        <v>316</v>
      </c>
      <c r="BK381" s="17" t="s">
        <v>317</v>
      </c>
      <c r="BL381" s="17" t="s">
        <v>318</v>
      </c>
      <c r="BM381" s="17" t="s">
        <v>319</v>
      </c>
    </row>
    <row r="382" spans="30:65" x14ac:dyDescent="0.3">
      <c r="AS382" t="s">
        <v>517</v>
      </c>
      <c r="AT382" s="17" t="s">
        <v>130</v>
      </c>
      <c r="AU382" s="17" t="s">
        <v>322</v>
      </c>
      <c r="AV382" s="17" t="s">
        <v>130</v>
      </c>
      <c r="AW382" s="17" t="s">
        <v>322</v>
      </c>
      <c r="AX382" s="17" t="s">
        <v>322</v>
      </c>
      <c r="BH382" t="s">
        <v>514</v>
      </c>
      <c r="BI382" s="17" t="s">
        <v>130</v>
      </c>
      <c r="BJ382" s="17" t="s">
        <v>322</v>
      </c>
      <c r="BK382" s="17" t="s">
        <v>322</v>
      </c>
      <c r="BL382" s="17" t="s">
        <v>322</v>
      </c>
      <c r="BM382" s="17" t="s">
        <v>322</v>
      </c>
    </row>
    <row r="383" spans="30:65" x14ac:dyDescent="0.3">
      <c r="AD383" t="s">
        <v>795</v>
      </c>
      <c r="AS383" t="s">
        <v>326</v>
      </c>
      <c r="AT383" s="17" t="s">
        <v>130</v>
      </c>
      <c r="AU383" s="17" t="s">
        <v>322</v>
      </c>
      <c r="AV383" s="17" t="s">
        <v>130</v>
      </c>
      <c r="AW383" s="17" t="s">
        <v>322</v>
      </c>
      <c r="AX383" s="17" t="s">
        <v>322</v>
      </c>
      <c r="BH383" t="s">
        <v>517</v>
      </c>
      <c r="BI383" s="17" t="s">
        <v>130</v>
      </c>
      <c r="BJ383" s="17" t="s">
        <v>322</v>
      </c>
      <c r="BK383" s="17" t="s">
        <v>130</v>
      </c>
      <c r="BL383" s="17" t="s">
        <v>322</v>
      </c>
      <c r="BM383" s="17" t="s">
        <v>322</v>
      </c>
    </row>
    <row r="384" spans="30:65" x14ac:dyDescent="0.3">
      <c r="AE384" s="17" t="s">
        <v>315</v>
      </c>
      <c r="AF384" s="17" t="s">
        <v>316</v>
      </c>
      <c r="AG384" s="17" t="s">
        <v>317</v>
      </c>
      <c r="AH384" s="17" t="s">
        <v>318</v>
      </c>
      <c r="AI384" s="17" t="s">
        <v>319</v>
      </c>
      <c r="AS384" t="s">
        <v>539</v>
      </c>
      <c r="AT384" s="17" t="s">
        <v>115</v>
      </c>
      <c r="AU384" s="17" t="s">
        <v>322</v>
      </c>
      <c r="AV384" s="17" t="s">
        <v>322</v>
      </c>
      <c r="AW384" s="17" t="s">
        <v>322</v>
      </c>
      <c r="AX384" s="17" t="s">
        <v>322</v>
      </c>
      <c r="BH384" t="s">
        <v>326</v>
      </c>
      <c r="BI384" s="17" t="s">
        <v>130</v>
      </c>
      <c r="BJ384" s="17" t="s">
        <v>322</v>
      </c>
      <c r="BK384" s="17" t="s">
        <v>130</v>
      </c>
      <c r="BL384" s="17" t="s">
        <v>322</v>
      </c>
      <c r="BM384" s="17" t="s">
        <v>322</v>
      </c>
    </row>
    <row r="385" spans="30:65" x14ac:dyDescent="0.3">
      <c r="AD385" t="s">
        <v>561</v>
      </c>
      <c r="AE385" s="17" t="s">
        <v>263</v>
      </c>
      <c r="AF385" s="17" t="s">
        <v>322</v>
      </c>
      <c r="AG385" s="17" t="s">
        <v>263</v>
      </c>
      <c r="AH385" s="17" t="s">
        <v>322</v>
      </c>
      <c r="AI385" s="17" t="s">
        <v>322</v>
      </c>
      <c r="AS385" t="s">
        <v>543</v>
      </c>
      <c r="AT385" s="17" t="s">
        <v>115</v>
      </c>
      <c r="AU385" s="17" t="s">
        <v>322</v>
      </c>
      <c r="AV385" s="17" t="s">
        <v>322</v>
      </c>
      <c r="AW385" s="17" t="s">
        <v>322</v>
      </c>
      <c r="AX385" s="17" t="s">
        <v>322</v>
      </c>
      <c r="BH385" t="s">
        <v>539</v>
      </c>
      <c r="BI385" s="17" t="s">
        <v>115</v>
      </c>
      <c r="BJ385" s="17" t="s">
        <v>322</v>
      </c>
      <c r="BK385" s="17" t="s">
        <v>322</v>
      </c>
      <c r="BL385" s="17" t="s">
        <v>322</v>
      </c>
      <c r="BM385" s="17" t="s">
        <v>322</v>
      </c>
    </row>
    <row r="386" spans="30:65" x14ac:dyDescent="0.3">
      <c r="AD386" t="s">
        <v>551</v>
      </c>
      <c r="AE386" s="17" t="s">
        <v>263</v>
      </c>
      <c r="AF386" s="17" t="s">
        <v>322</v>
      </c>
      <c r="AG386" s="17" t="s">
        <v>263</v>
      </c>
      <c r="AH386" s="17" t="s">
        <v>322</v>
      </c>
      <c r="AI386" s="17" t="s">
        <v>322</v>
      </c>
      <c r="AS386" t="s">
        <v>573</v>
      </c>
      <c r="AT386" s="17" t="s">
        <v>115</v>
      </c>
      <c r="AU386" s="17" t="s">
        <v>322</v>
      </c>
      <c r="AV386" s="17" t="s">
        <v>322</v>
      </c>
      <c r="AW386" s="17" t="s">
        <v>322</v>
      </c>
      <c r="AX386" s="17" t="s">
        <v>115</v>
      </c>
      <c r="BH386" t="s">
        <v>543</v>
      </c>
      <c r="BI386" s="17" t="s">
        <v>115</v>
      </c>
      <c r="BJ386" s="17" t="s">
        <v>322</v>
      </c>
      <c r="BK386" s="17" t="s">
        <v>322</v>
      </c>
      <c r="BL386" s="17" t="s">
        <v>322</v>
      </c>
      <c r="BM386" s="17" t="s">
        <v>322</v>
      </c>
    </row>
    <row r="387" spans="30:65" x14ac:dyDescent="0.3">
      <c r="AS387" t="s">
        <v>561</v>
      </c>
      <c r="AT387" s="17" t="s">
        <v>322</v>
      </c>
      <c r="AU387" s="17" t="s">
        <v>322</v>
      </c>
      <c r="AV387" s="17" t="s">
        <v>322</v>
      </c>
      <c r="AW387" s="17" t="s">
        <v>322</v>
      </c>
      <c r="AX387" s="17" t="s">
        <v>115</v>
      </c>
      <c r="BH387" t="s">
        <v>573</v>
      </c>
      <c r="BI387" s="17" t="s">
        <v>115</v>
      </c>
      <c r="BJ387" s="17" t="s">
        <v>322</v>
      </c>
      <c r="BK387" s="17" t="s">
        <v>322</v>
      </c>
      <c r="BL387" s="17" t="s">
        <v>115</v>
      </c>
      <c r="BM387" s="17" t="s">
        <v>322</v>
      </c>
    </row>
    <row r="388" spans="30:65" x14ac:dyDescent="0.3">
      <c r="AD388" t="s">
        <v>796</v>
      </c>
      <c r="BH388" t="s">
        <v>561</v>
      </c>
      <c r="BI388" s="17" t="s">
        <v>322</v>
      </c>
      <c r="BJ388" s="17" t="s">
        <v>322</v>
      </c>
      <c r="BK388" s="17" t="s">
        <v>322</v>
      </c>
      <c r="BL388" s="17" t="s">
        <v>115</v>
      </c>
      <c r="BM388" s="17" t="s">
        <v>322</v>
      </c>
    </row>
    <row r="389" spans="30:65" x14ac:dyDescent="0.3">
      <c r="AE389" s="17" t="s">
        <v>315</v>
      </c>
      <c r="AF389" s="17" t="s">
        <v>316</v>
      </c>
      <c r="AG389" s="17" t="s">
        <v>317</v>
      </c>
      <c r="AH389" s="17" t="s">
        <v>318</v>
      </c>
      <c r="AI389" s="17" t="s">
        <v>319</v>
      </c>
      <c r="AS389" t="s">
        <v>795</v>
      </c>
    </row>
    <row r="390" spans="30:65" x14ac:dyDescent="0.3">
      <c r="AD390" t="s">
        <v>552</v>
      </c>
      <c r="AE390" s="17" t="s">
        <v>322</v>
      </c>
      <c r="AF390" s="17" t="s">
        <v>29</v>
      </c>
      <c r="AG390" s="17" t="s">
        <v>322</v>
      </c>
      <c r="AH390" s="17" t="s">
        <v>322</v>
      </c>
      <c r="AI390" s="17" t="s">
        <v>322</v>
      </c>
      <c r="AT390" s="17" t="s">
        <v>315</v>
      </c>
      <c r="AU390" s="17" t="s">
        <v>316</v>
      </c>
      <c r="AV390" s="17" t="s">
        <v>317</v>
      </c>
      <c r="AW390" s="17" t="s">
        <v>318</v>
      </c>
      <c r="AX390" s="17" t="s">
        <v>319</v>
      </c>
      <c r="BH390" t="s">
        <v>795</v>
      </c>
    </row>
    <row r="391" spans="30:65" x14ac:dyDescent="0.3">
      <c r="AD391" t="s">
        <v>554</v>
      </c>
      <c r="AE391" s="17" t="s">
        <v>322</v>
      </c>
      <c r="AF391" s="17" t="s">
        <v>29</v>
      </c>
      <c r="AG391" s="17" t="s">
        <v>322</v>
      </c>
      <c r="AH391" s="17" t="s">
        <v>322</v>
      </c>
      <c r="AI391" s="17" t="s">
        <v>322</v>
      </c>
      <c r="AS391" t="s">
        <v>561</v>
      </c>
      <c r="AT391" s="17" t="s">
        <v>263</v>
      </c>
      <c r="AU391" s="17" t="s">
        <v>322</v>
      </c>
      <c r="AV391" s="17" t="s">
        <v>263</v>
      </c>
      <c r="AW391" s="17" t="s">
        <v>322</v>
      </c>
      <c r="AX391" s="17" t="s">
        <v>322</v>
      </c>
      <c r="BI391" s="17" t="s">
        <v>315</v>
      </c>
      <c r="BJ391" s="17" t="s">
        <v>316</v>
      </c>
      <c r="BK391" s="17" t="s">
        <v>317</v>
      </c>
      <c r="BL391" s="17" t="s">
        <v>318</v>
      </c>
      <c r="BM391" s="17" t="s">
        <v>319</v>
      </c>
    </row>
    <row r="392" spans="30:65" x14ac:dyDescent="0.3">
      <c r="AS392" t="s">
        <v>551</v>
      </c>
      <c r="AT392" s="17" t="s">
        <v>263</v>
      </c>
      <c r="AU392" s="17" t="s">
        <v>322</v>
      </c>
      <c r="AV392" s="17" t="s">
        <v>263</v>
      </c>
      <c r="AW392" s="17" t="s">
        <v>322</v>
      </c>
      <c r="AX392" s="17" t="s">
        <v>322</v>
      </c>
      <c r="BH392" t="s">
        <v>561</v>
      </c>
      <c r="BI392" s="17" t="s">
        <v>263</v>
      </c>
      <c r="BJ392" s="17" t="s">
        <v>322</v>
      </c>
      <c r="BK392" s="17" t="s">
        <v>263</v>
      </c>
      <c r="BL392" s="17" t="s">
        <v>322</v>
      </c>
      <c r="BM392" s="17" t="s">
        <v>322</v>
      </c>
    </row>
    <row r="393" spans="30:65" x14ac:dyDescent="0.3">
      <c r="AD393" t="s">
        <v>797</v>
      </c>
      <c r="BH393" t="s">
        <v>551</v>
      </c>
      <c r="BI393" s="17" t="s">
        <v>263</v>
      </c>
      <c r="BJ393" s="17" t="s">
        <v>322</v>
      </c>
      <c r="BK393" s="17" t="s">
        <v>263</v>
      </c>
      <c r="BL393" s="17" t="s">
        <v>322</v>
      </c>
      <c r="BM393" s="17" t="s">
        <v>322</v>
      </c>
    </row>
    <row r="394" spans="30:65" x14ac:dyDescent="0.3">
      <c r="AE394" s="17" t="s">
        <v>315</v>
      </c>
      <c r="AF394" s="17" t="s">
        <v>316</v>
      </c>
      <c r="AG394" s="17" t="s">
        <v>317</v>
      </c>
      <c r="AH394" s="17" t="s">
        <v>318</v>
      </c>
      <c r="AI394" s="17" t="s">
        <v>319</v>
      </c>
      <c r="AS394" t="s">
        <v>796</v>
      </c>
    </row>
    <row r="395" spans="30:65" x14ac:dyDescent="0.3">
      <c r="AD395" t="s">
        <v>517</v>
      </c>
      <c r="AE395" s="17" t="s">
        <v>322</v>
      </c>
      <c r="AF395" s="17" t="s">
        <v>322</v>
      </c>
      <c r="AG395" s="17" t="s">
        <v>322</v>
      </c>
      <c r="AH395" s="17" t="s">
        <v>91</v>
      </c>
      <c r="AI395" s="17" t="s">
        <v>81</v>
      </c>
      <c r="AT395" s="17" t="s">
        <v>315</v>
      </c>
      <c r="AU395" s="17" t="s">
        <v>316</v>
      </c>
      <c r="AV395" s="17" t="s">
        <v>317</v>
      </c>
      <c r="AW395" s="17" t="s">
        <v>318</v>
      </c>
      <c r="AX395" s="17" t="s">
        <v>319</v>
      </c>
      <c r="BH395" t="s">
        <v>796</v>
      </c>
    </row>
    <row r="396" spans="30:65" x14ac:dyDescent="0.3">
      <c r="AD396" t="s">
        <v>326</v>
      </c>
      <c r="AE396" s="17" t="s">
        <v>91</v>
      </c>
      <c r="AF396" s="17" t="s">
        <v>322</v>
      </c>
      <c r="AG396" s="17" t="s">
        <v>81</v>
      </c>
      <c r="AH396" s="17" t="s">
        <v>91</v>
      </c>
      <c r="AI396" s="17" t="s">
        <v>81</v>
      </c>
      <c r="AS396" t="s">
        <v>552</v>
      </c>
      <c r="AT396" s="17" t="s">
        <v>322</v>
      </c>
      <c r="AU396" s="17" t="s">
        <v>29</v>
      </c>
      <c r="AV396" s="17" t="s">
        <v>322</v>
      </c>
      <c r="AW396" s="17" t="s">
        <v>322</v>
      </c>
      <c r="AX396" s="17" t="s">
        <v>322</v>
      </c>
      <c r="BI396" s="17" t="s">
        <v>315</v>
      </c>
      <c r="BJ396" s="17" t="s">
        <v>316</v>
      </c>
      <c r="BK396" s="17" t="s">
        <v>317</v>
      </c>
      <c r="BL396" s="17" t="s">
        <v>318</v>
      </c>
      <c r="BM396" s="17" t="s">
        <v>319</v>
      </c>
    </row>
    <row r="397" spans="30:65" x14ac:dyDescent="0.3">
      <c r="AD397" t="s">
        <v>328</v>
      </c>
      <c r="AE397" s="17" t="s">
        <v>91</v>
      </c>
      <c r="AF397" s="17" t="s">
        <v>322</v>
      </c>
      <c r="AG397" s="17" t="s">
        <v>81</v>
      </c>
      <c r="AH397" s="17" t="s">
        <v>322</v>
      </c>
      <c r="AI397" s="17" t="s">
        <v>322</v>
      </c>
      <c r="AS397" t="s">
        <v>554</v>
      </c>
      <c r="AT397" s="17" t="s">
        <v>322</v>
      </c>
      <c r="AU397" s="17" t="s">
        <v>29</v>
      </c>
      <c r="AV397" s="17" t="s">
        <v>322</v>
      </c>
      <c r="AW397" s="17" t="s">
        <v>322</v>
      </c>
      <c r="AX397" s="17" t="s">
        <v>322</v>
      </c>
      <c r="BH397" t="s">
        <v>552</v>
      </c>
      <c r="BI397" s="17" t="s">
        <v>322</v>
      </c>
      <c r="BJ397" s="17" t="s">
        <v>29</v>
      </c>
      <c r="BK397" s="17" t="s">
        <v>322</v>
      </c>
      <c r="BL397" s="17" t="s">
        <v>322</v>
      </c>
      <c r="BM397" s="17" t="s">
        <v>322</v>
      </c>
    </row>
    <row r="398" spans="30:65" x14ac:dyDescent="0.3">
      <c r="AD398" t="s">
        <v>350</v>
      </c>
      <c r="AE398" s="17" t="s">
        <v>91</v>
      </c>
      <c r="AF398" s="17" t="s">
        <v>322</v>
      </c>
      <c r="AG398" s="17" t="s">
        <v>81</v>
      </c>
      <c r="AH398" s="17" t="s">
        <v>322</v>
      </c>
      <c r="AI398" s="17" t="s">
        <v>322</v>
      </c>
      <c r="BH398" t="s">
        <v>554</v>
      </c>
      <c r="BI398" s="17" t="s">
        <v>322</v>
      </c>
      <c r="BJ398" s="17" t="s">
        <v>29</v>
      </c>
      <c r="BK398" s="17" t="s">
        <v>322</v>
      </c>
      <c r="BL398" s="17" t="s">
        <v>322</v>
      </c>
      <c r="BM398" s="17" t="s">
        <v>322</v>
      </c>
    </row>
    <row r="399" spans="30:65" x14ac:dyDescent="0.3">
      <c r="AS399" t="s">
        <v>797</v>
      </c>
    </row>
    <row r="400" spans="30:65" x14ac:dyDescent="0.3">
      <c r="AD400" t="s">
        <v>799</v>
      </c>
      <c r="AT400" s="17" t="s">
        <v>315</v>
      </c>
      <c r="AU400" s="17" t="s">
        <v>316</v>
      </c>
      <c r="AV400" s="17" t="s">
        <v>317</v>
      </c>
      <c r="AW400" s="17" t="s">
        <v>318</v>
      </c>
      <c r="AX400" s="17" t="s">
        <v>319</v>
      </c>
      <c r="BH400" t="s">
        <v>797</v>
      </c>
    </row>
    <row r="401" spans="30:65" x14ac:dyDescent="0.3">
      <c r="AE401" s="17" t="s">
        <v>315</v>
      </c>
      <c r="AF401" s="17" t="s">
        <v>316</v>
      </c>
      <c r="AG401" s="17" t="s">
        <v>317</v>
      </c>
      <c r="AH401" s="17" t="s">
        <v>318</v>
      </c>
      <c r="AI401" s="17" t="s">
        <v>319</v>
      </c>
      <c r="AS401" t="s">
        <v>517</v>
      </c>
      <c r="AT401" s="17" t="s">
        <v>322</v>
      </c>
      <c r="AU401" s="17" t="s">
        <v>322</v>
      </c>
      <c r="AV401" s="17" t="s">
        <v>322</v>
      </c>
      <c r="AW401" s="17" t="s">
        <v>322</v>
      </c>
      <c r="AX401" s="17" t="s">
        <v>81</v>
      </c>
      <c r="BI401" s="17" t="s">
        <v>315</v>
      </c>
      <c r="BJ401" s="17" t="s">
        <v>316</v>
      </c>
      <c r="BK401" s="17" t="s">
        <v>317</v>
      </c>
      <c r="BL401" s="17" t="s">
        <v>318</v>
      </c>
      <c r="BM401" s="17" t="s">
        <v>319</v>
      </c>
    </row>
    <row r="402" spans="30:65" x14ac:dyDescent="0.3">
      <c r="AD402" t="s">
        <v>539</v>
      </c>
      <c r="AE402" s="17" t="s">
        <v>217</v>
      </c>
      <c r="AF402" s="17" t="s">
        <v>322</v>
      </c>
      <c r="AG402" s="17" t="s">
        <v>322</v>
      </c>
      <c r="AH402" s="17" t="s">
        <v>322</v>
      </c>
      <c r="AI402" s="17" t="s">
        <v>217</v>
      </c>
      <c r="AS402" t="s">
        <v>326</v>
      </c>
      <c r="AT402" s="17" t="s">
        <v>91</v>
      </c>
      <c r="AU402" s="17" t="s">
        <v>322</v>
      </c>
      <c r="AV402" s="17" t="s">
        <v>81</v>
      </c>
      <c r="AW402" s="17" t="s">
        <v>322</v>
      </c>
      <c r="AX402" s="17" t="s">
        <v>81</v>
      </c>
      <c r="BH402" t="s">
        <v>517</v>
      </c>
      <c r="BI402" s="17" t="s">
        <v>322</v>
      </c>
      <c r="BJ402" s="17" t="s">
        <v>322</v>
      </c>
      <c r="BK402" s="17" t="s">
        <v>322</v>
      </c>
      <c r="BL402" s="17" t="s">
        <v>322</v>
      </c>
      <c r="BM402" s="17" t="s">
        <v>91</v>
      </c>
    </row>
    <row r="403" spans="30:65" x14ac:dyDescent="0.3">
      <c r="AD403" t="s">
        <v>543</v>
      </c>
      <c r="AE403" s="17" t="s">
        <v>217</v>
      </c>
      <c r="AF403" s="17" t="s">
        <v>322</v>
      </c>
      <c r="AG403" s="17" t="s">
        <v>322</v>
      </c>
      <c r="AH403" s="17" t="s">
        <v>322</v>
      </c>
      <c r="AI403" s="17" t="s">
        <v>217</v>
      </c>
      <c r="AS403" t="s">
        <v>328</v>
      </c>
      <c r="AT403" s="17" t="s">
        <v>91</v>
      </c>
      <c r="AU403" s="17" t="s">
        <v>322</v>
      </c>
      <c r="AV403" s="17" t="s">
        <v>81</v>
      </c>
      <c r="AW403" s="17" t="s">
        <v>91</v>
      </c>
      <c r="AX403" s="17" t="s">
        <v>322</v>
      </c>
      <c r="BH403" t="s">
        <v>326</v>
      </c>
      <c r="BI403" s="17" t="s">
        <v>322</v>
      </c>
      <c r="BJ403" s="17" t="s">
        <v>322</v>
      </c>
      <c r="BK403" s="17" t="s">
        <v>91</v>
      </c>
      <c r="BL403" s="17" t="s">
        <v>81</v>
      </c>
      <c r="BM403" s="17" t="s">
        <v>91</v>
      </c>
    </row>
    <row r="404" spans="30:65" x14ac:dyDescent="0.3">
      <c r="AD404" t="s">
        <v>573</v>
      </c>
      <c r="AE404" s="17" t="s">
        <v>322</v>
      </c>
      <c r="AF404" s="17" t="s">
        <v>322</v>
      </c>
      <c r="AG404" s="17" t="s">
        <v>322</v>
      </c>
      <c r="AH404" s="17" t="s">
        <v>322</v>
      </c>
      <c r="AI404" s="17" t="s">
        <v>217</v>
      </c>
      <c r="AS404" t="s">
        <v>350</v>
      </c>
      <c r="AT404" s="17" t="s">
        <v>91</v>
      </c>
      <c r="AU404" s="17" t="s">
        <v>322</v>
      </c>
      <c r="AV404" s="17" t="s">
        <v>81</v>
      </c>
      <c r="AW404" s="17" t="s">
        <v>91</v>
      </c>
      <c r="AX404" s="17" t="s">
        <v>322</v>
      </c>
      <c r="BH404" t="s">
        <v>328</v>
      </c>
      <c r="BI404" s="17" t="s">
        <v>81</v>
      </c>
      <c r="BJ404" s="17" t="s">
        <v>322</v>
      </c>
      <c r="BK404" s="17" t="s">
        <v>91</v>
      </c>
      <c r="BL404" s="17" t="s">
        <v>81</v>
      </c>
      <c r="BM404" s="17" t="s">
        <v>322</v>
      </c>
    </row>
    <row r="405" spans="30:65" x14ac:dyDescent="0.3">
      <c r="BH405" t="s">
        <v>350</v>
      </c>
      <c r="BI405" s="17" t="s">
        <v>81</v>
      </c>
      <c r="BJ405" s="17" t="s">
        <v>322</v>
      </c>
      <c r="BK405" s="17" t="s">
        <v>91</v>
      </c>
      <c r="BL405" s="17" t="s">
        <v>81</v>
      </c>
      <c r="BM405" s="17" t="s">
        <v>322</v>
      </c>
    </row>
    <row r="406" spans="30:65" x14ac:dyDescent="0.3">
      <c r="AD406" t="s">
        <v>800</v>
      </c>
      <c r="AS406" t="s">
        <v>799</v>
      </c>
    </row>
    <row r="407" spans="30:65" x14ac:dyDescent="0.3">
      <c r="AE407" s="17" t="s">
        <v>315</v>
      </c>
      <c r="AF407" s="17" t="s">
        <v>316</v>
      </c>
      <c r="AG407" s="17" t="s">
        <v>317</v>
      </c>
      <c r="AH407" s="17" t="s">
        <v>318</v>
      </c>
      <c r="AI407" s="17" t="s">
        <v>319</v>
      </c>
      <c r="AT407" s="17" t="s">
        <v>315</v>
      </c>
      <c r="AU407" s="17" t="s">
        <v>316</v>
      </c>
      <c r="AV407" s="17" t="s">
        <v>317</v>
      </c>
      <c r="AW407" s="17" t="s">
        <v>318</v>
      </c>
      <c r="AX407" s="17" t="s">
        <v>319</v>
      </c>
      <c r="BH407" t="s">
        <v>799</v>
      </c>
    </row>
    <row r="408" spans="30:65" x14ac:dyDescent="0.3">
      <c r="AD408" t="s">
        <v>561</v>
      </c>
      <c r="AE408" s="17" t="s">
        <v>322</v>
      </c>
      <c r="AF408" s="17" t="s">
        <v>322</v>
      </c>
      <c r="AG408" s="17" t="s">
        <v>322</v>
      </c>
      <c r="AH408" s="17" t="s">
        <v>36</v>
      </c>
      <c r="AI408" s="17" t="s">
        <v>322</v>
      </c>
      <c r="AS408" t="s">
        <v>539</v>
      </c>
      <c r="AT408" s="17" t="s">
        <v>217</v>
      </c>
      <c r="AU408" s="17" t="s">
        <v>322</v>
      </c>
      <c r="AV408" s="17" t="s">
        <v>322</v>
      </c>
      <c r="AW408" s="17" t="s">
        <v>322</v>
      </c>
      <c r="AX408" s="17" t="s">
        <v>217</v>
      </c>
      <c r="BI408" s="17" t="s">
        <v>315</v>
      </c>
      <c r="BJ408" s="17" t="s">
        <v>316</v>
      </c>
      <c r="BK408" s="17" t="s">
        <v>317</v>
      </c>
      <c r="BL408" s="17" t="s">
        <v>318</v>
      </c>
      <c r="BM408" s="17" t="s">
        <v>319</v>
      </c>
    </row>
    <row r="409" spans="30:65" x14ac:dyDescent="0.3">
      <c r="AD409" t="s">
        <v>551</v>
      </c>
      <c r="AE409" s="17" t="s">
        <v>322</v>
      </c>
      <c r="AF409" s="17" t="s">
        <v>322</v>
      </c>
      <c r="AG409" s="17" t="s">
        <v>322</v>
      </c>
      <c r="AH409" s="17" t="s">
        <v>36</v>
      </c>
      <c r="AI409" s="17" t="s">
        <v>322</v>
      </c>
      <c r="AS409" t="s">
        <v>543</v>
      </c>
      <c r="AT409" s="17" t="s">
        <v>217</v>
      </c>
      <c r="AU409" s="17" t="s">
        <v>322</v>
      </c>
      <c r="AV409" s="17" t="s">
        <v>322</v>
      </c>
      <c r="AW409" s="17" t="s">
        <v>322</v>
      </c>
      <c r="AX409" s="17" t="s">
        <v>217</v>
      </c>
      <c r="BH409" t="s">
        <v>539</v>
      </c>
      <c r="BI409" s="17" t="s">
        <v>217</v>
      </c>
      <c r="BJ409" s="17" t="s">
        <v>322</v>
      </c>
      <c r="BK409" s="17" t="s">
        <v>322</v>
      </c>
      <c r="BL409" s="17" t="s">
        <v>322</v>
      </c>
      <c r="BM409" s="17" t="s">
        <v>217</v>
      </c>
    </row>
    <row r="410" spans="30:65" x14ac:dyDescent="0.3">
      <c r="AS410" t="s">
        <v>573</v>
      </c>
      <c r="AT410" s="17" t="s">
        <v>322</v>
      </c>
      <c r="AU410" s="17" t="s">
        <v>322</v>
      </c>
      <c r="AV410" s="17" t="s">
        <v>322</v>
      </c>
      <c r="AW410" s="17" t="s">
        <v>322</v>
      </c>
      <c r="AX410" s="17" t="s">
        <v>217</v>
      </c>
      <c r="BH410" t="s">
        <v>543</v>
      </c>
      <c r="BI410" s="17" t="s">
        <v>217</v>
      </c>
      <c r="BJ410" s="17" t="s">
        <v>322</v>
      </c>
      <c r="BK410" s="17" t="s">
        <v>322</v>
      </c>
      <c r="BL410" s="17" t="s">
        <v>322</v>
      </c>
      <c r="BM410" s="17" t="s">
        <v>217</v>
      </c>
    </row>
    <row r="411" spans="30:65" x14ac:dyDescent="0.3">
      <c r="AD411" t="s">
        <v>801</v>
      </c>
      <c r="BH411" t="s">
        <v>573</v>
      </c>
      <c r="BI411" s="17" t="s">
        <v>322</v>
      </c>
      <c r="BJ411" s="17" t="s">
        <v>322</v>
      </c>
      <c r="BK411" s="17" t="s">
        <v>322</v>
      </c>
      <c r="BL411" s="17" t="s">
        <v>322</v>
      </c>
      <c r="BM411" s="17" t="s">
        <v>217</v>
      </c>
    </row>
    <row r="412" spans="30:65" x14ac:dyDescent="0.3">
      <c r="AE412" s="17" t="s">
        <v>315</v>
      </c>
      <c r="AF412" s="17" t="s">
        <v>316</v>
      </c>
      <c r="AG412" s="17" t="s">
        <v>317</v>
      </c>
      <c r="AH412" s="17" t="s">
        <v>318</v>
      </c>
      <c r="AI412" s="17" t="s">
        <v>319</v>
      </c>
      <c r="AS412" t="s">
        <v>800</v>
      </c>
    </row>
    <row r="413" spans="30:65" x14ac:dyDescent="0.3">
      <c r="AD413" t="s">
        <v>543</v>
      </c>
      <c r="AE413" s="17" t="s">
        <v>322</v>
      </c>
      <c r="AF413" s="17" t="s">
        <v>258</v>
      </c>
      <c r="AG413" s="17" t="s">
        <v>322</v>
      </c>
      <c r="AH413" s="17" t="s">
        <v>322</v>
      </c>
      <c r="AI413" s="17" t="s">
        <v>322</v>
      </c>
      <c r="AT413" s="17" t="s">
        <v>315</v>
      </c>
      <c r="AU413" s="17" t="s">
        <v>316</v>
      </c>
      <c r="AV413" s="17" t="s">
        <v>317</v>
      </c>
      <c r="AW413" s="17" t="s">
        <v>318</v>
      </c>
      <c r="AX413" s="17" t="s">
        <v>319</v>
      </c>
      <c r="BH413" t="s">
        <v>800</v>
      </c>
    </row>
    <row r="414" spans="30:65" x14ac:dyDescent="0.3">
      <c r="AD414" t="s">
        <v>573</v>
      </c>
      <c r="AE414" s="17" t="s">
        <v>322</v>
      </c>
      <c r="AF414" s="17" t="s">
        <v>258</v>
      </c>
      <c r="AG414" s="17" t="s">
        <v>322</v>
      </c>
      <c r="AH414" s="17" t="s">
        <v>258</v>
      </c>
      <c r="AI414" s="17" t="s">
        <v>322</v>
      </c>
      <c r="AS414" t="s">
        <v>561</v>
      </c>
      <c r="AT414" s="17" t="s">
        <v>322</v>
      </c>
      <c r="AU414" s="17" t="s">
        <v>322</v>
      </c>
      <c r="AV414" s="17" t="s">
        <v>322</v>
      </c>
      <c r="AW414" s="17" t="s">
        <v>36</v>
      </c>
      <c r="AX414" s="17" t="s">
        <v>322</v>
      </c>
      <c r="BI414" s="17" t="s">
        <v>315</v>
      </c>
      <c r="BJ414" s="17" t="s">
        <v>316</v>
      </c>
      <c r="BK414" s="17" t="s">
        <v>317</v>
      </c>
      <c r="BL414" s="17" t="s">
        <v>318</v>
      </c>
      <c r="BM414" s="17" t="s">
        <v>319</v>
      </c>
    </row>
    <row r="415" spans="30:65" x14ac:dyDescent="0.3">
      <c r="AD415" t="s">
        <v>561</v>
      </c>
      <c r="AE415" s="17" t="s">
        <v>322</v>
      </c>
      <c r="AF415" s="17" t="s">
        <v>258</v>
      </c>
      <c r="AG415" s="17" t="s">
        <v>322</v>
      </c>
      <c r="AH415" s="17" t="s">
        <v>258</v>
      </c>
      <c r="AI415" s="17" t="s">
        <v>322</v>
      </c>
      <c r="AS415" t="s">
        <v>551</v>
      </c>
      <c r="AT415" s="17" t="s">
        <v>322</v>
      </c>
      <c r="AU415" s="17" t="s">
        <v>322</v>
      </c>
      <c r="AV415" s="17" t="s">
        <v>322</v>
      </c>
      <c r="AW415" s="17" t="s">
        <v>36</v>
      </c>
      <c r="AX415" s="17" t="s">
        <v>322</v>
      </c>
      <c r="BH415" t="s">
        <v>561</v>
      </c>
      <c r="BI415" s="17" t="s">
        <v>322</v>
      </c>
      <c r="BJ415" s="17" t="s">
        <v>322</v>
      </c>
      <c r="BK415" s="17" t="s">
        <v>322</v>
      </c>
      <c r="BL415" s="17" t="s">
        <v>36</v>
      </c>
      <c r="BM415" s="17" t="s">
        <v>322</v>
      </c>
    </row>
    <row r="416" spans="30:65" x14ac:dyDescent="0.3">
      <c r="BH416" t="s">
        <v>551</v>
      </c>
      <c r="BI416" s="17" t="s">
        <v>322</v>
      </c>
      <c r="BJ416" s="17" t="s">
        <v>322</v>
      </c>
      <c r="BK416" s="17" t="s">
        <v>322</v>
      </c>
      <c r="BL416" s="17" t="s">
        <v>36</v>
      </c>
      <c r="BM416" s="17" t="s">
        <v>322</v>
      </c>
    </row>
    <row r="417" spans="30:65" x14ac:dyDescent="0.3">
      <c r="AD417" t="s">
        <v>802</v>
      </c>
      <c r="AS417" t="s">
        <v>801</v>
      </c>
    </row>
    <row r="418" spans="30:65" x14ac:dyDescent="0.3">
      <c r="AE418" s="17" t="s">
        <v>315</v>
      </c>
      <c r="AF418" s="17" t="s">
        <v>316</v>
      </c>
      <c r="AG418" s="17" t="s">
        <v>317</v>
      </c>
      <c r="AH418" s="17" t="s">
        <v>318</v>
      </c>
      <c r="AI418" s="17" t="s">
        <v>319</v>
      </c>
      <c r="AT418" s="17" t="s">
        <v>315</v>
      </c>
      <c r="AU418" s="17" t="s">
        <v>316</v>
      </c>
      <c r="AV418" s="17" t="s">
        <v>317</v>
      </c>
      <c r="AW418" s="17" t="s">
        <v>318</v>
      </c>
      <c r="AX418" s="17" t="s">
        <v>319</v>
      </c>
      <c r="BH418" t="s">
        <v>801</v>
      </c>
    </row>
    <row r="419" spans="30:65" x14ac:dyDescent="0.3">
      <c r="AD419" t="s">
        <v>539</v>
      </c>
      <c r="AE419" s="17" t="s">
        <v>248</v>
      </c>
      <c r="AF419" s="17" t="s">
        <v>322</v>
      </c>
      <c r="AG419" s="17" t="s">
        <v>322</v>
      </c>
      <c r="AH419" s="17" t="s">
        <v>322</v>
      </c>
      <c r="AI419" s="17" t="s">
        <v>322</v>
      </c>
      <c r="AS419" t="s">
        <v>543</v>
      </c>
      <c r="AT419" s="17" t="s">
        <v>322</v>
      </c>
      <c r="AU419" s="17" t="s">
        <v>258</v>
      </c>
      <c r="AV419" s="17" t="s">
        <v>322</v>
      </c>
      <c r="AW419" s="17" t="s">
        <v>258</v>
      </c>
      <c r="AX419" s="17" t="s">
        <v>322</v>
      </c>
      <c r="BI419" s="17" t="s">
        <v>315</v>
      </c>
      <c r="BJ419" s="17" t="s">
        <v>316</v>
      </c>
      <c r="BK419" s="17" t="s">
        <v>317</v>
      </c>
      <c r="BL419" s="17" t="s">
        <v>318</v>
      </c>
      <c r="BM419" s="17" t="s">
        <v>319</v>
      </c>
    </row>
    <row r="420" spans="30:65" x14ac:dyDescent="0.3">
      <c r="AD420" t="s">
        <v>543</v>
      </c>
      <c r="AE420" s="17" t="s">
        <v>248</v>
      </c>
      <c r="AF420" s="17" t="s">
        <v>322</v>
      </c>
      <c r="AG420" s="17" t="s">
        <v>322</v>
      </c>
      <c r="AH420" s="17" t="s">
        <v>322</v>
      </c>
      <c r="AI420" s="17" t="s">
        <v>322</v>
      </c>
      <c r="AS420" t="s">
        <v>573</v>
      </c>
      <c r="AT420" s="17" t="s">
        <v>322</v>
      </c>
      <c r="AU420" s="17" t="s">
        <v>258</v>
      </c>
      <c r="AV420" s="17" t="s">
        <v>322</v>
      </c>
      <c r="AW420" s="17" t="s">
        <v>258</v>
      </c>
      <c r="AX420" s="17" t="s">
        <v>322</v>
      </c>
      <c r="BH420" t="s">
        <v>543</v>
      </c>
      <c r="BI420" s="17" t="s">
        <v>322</v>
      </c>
      <c r="BJ420" s="17" t="s">
        <v>258</v>
      </c>
      <c r="BK420" s="17" t="s">
        <v>322</v>
      </c>
      <c r="BL420" s="17" t="s">
        <v>258</v>
      </c>
      <c r="BM420" s="17" t="s">
        <v>322</v>
      </c>
    </row>
    <row r="421" spans="30:65" x14ac:dyDescent="0.3">
      <c r="AD421" t="s">
        <v>573</v>
      </c>
      <c r="AE421" s="17" t="s">
        <v>248</v>
      </c>
      <c r="AF421" s="17" t="s">
        <v>322</v>
      </c>
      <c r="AG421" s="17" t="s">
        <v>322</v>
      </c>
      <c r="AH421" s="17" t="s">
        <v>322</v>
      </c>
      <c r="AI421" s="17" t="s">
        <v>322</v>
      </c>
      <c r="AS421" t="s">
        <v>561</v>
      </c>
      <c r="AT421" s="17" t="s">
        <v>322</v>
      </c>
      <c r="AU421" s="17" t="s">
        <v>258</v>
      </c>
      <c r="AV421" s="17" t="s">
        <v>322</v>
      </c>
      <c r="AW421" s="17" t="s">
        <v>322</v>
      </c>
      <c r="AX421" s="17" t="s">
        <v>322</v>
      </c>
      <c r="BH421" t="s">
        <v>573</v>
      </c>
      <c r="BI421" s="17" t="s">
        <v>322</v>
      </c>
      <c r="BJ421" s="17" t="s">
        <v>258</v>
      </c>
      <c r="BK421" s="17" t="s">
        <v>322</v>
      </c>
      <c r="BL421" s="17" t="s">
        <v>258</v>
      </c>
      <c r="BM421" s="17" t="s">
        <v>322</v>
      </c>
    </row>
    <row r="422" spans="30:65" x14ac:dyDescent="0.3">
      <c r="BH422" t="s">
        <v>561</v>
      </c>
      <c r="BI422" s="17" t="s">
        <v>322</v>
      </c>
      <c r="BJ422" s="17" t="s">
        <v>322</v>
      </c>
      <c r="BK422" s="17" t="s">
        <v>322</v>
      </c>
      <c r="BL422" s="17" t="s">
        <v>258</v>
      </c>
      <c r="BM422" s="17" t="s">
        <v>322</v>
      </c>
    </row>
    <row r="423" spans="30:65" x14ac:dyDescent="0.3">
      <c r="AD423" t="s">
        <v>803</v>
      </c>
      <c r="AS423" t="s">
        <v>802</v>
      </c>
    </row>
    <row r="424" spans="30:65" x14ac:dyDescent="0.3">
      <c r="AE424" s="17" t="s">
        <v>315</v>
      </c>
      <c r="AF424" s="17" t="s">
        <v>316</v>
      </c>
      <c r="AG424" s="17" t="s">
        <v>317</v>
      </c>
      <c r="AH424" s="17" t="s">
        <v>318</v>
      </c>
      <c r="AI424" s="17" t="s">
        <v>319</v>
      </c>
      <c r="AT424" s="17" t="s">
        <v>315</v>
      </c>
      <c r="AU424" s="17" t="s">
        <v>316</v>
      </c>
      <c r="AV424" s="17" t="s">
        <v>317</v>
      </c>
      <c r="AW424" s="17" t="s">
        <v>318</v>
      </c>
      <c r="AX424" s="17" t="s">
        <v>319</v>
      </c>
      <c r="BH424" t="s">
        <v>802</v>
      </c>
    </row>
    <row r="425" spans="30:65" x14ac:dyDescent="0.3">
      <c r="AD425" t="s">
        <v>512</v>
      </c>
      <c r="AE425" s="17" t="s">
        <v>322</v>
      </c>
      <c r="AF425" s="17" t="s">
        <v>75</v>
      </c>
      <c r="AG425" s="17" t="s">
        <v>322</v>
      </c>
      <c r="AH425" s="17" t="s">
        <v>75</v>
      </c>
      <c r="AI425" s="17" t="s">
        <v>322</v>
      </c>
      <c r="AS425" t="s">
        <v>539</v>
      </c>
      <c r="AT425" s="17" t="s">
        <v>248</v>
      </c>
      <c r="AU425" s="17" t="s">
        <v>322</v>
      </c>
      <c r="AV425" s="17" t="s">
        <v>322</v>
      </c>
      <c r="AW425" s="17" t="s">
        <v>322</v>
      </c>
      <c r="AX425" s="17" t="s">
        <v>322</v>
      </c>
      <c r="BI425" s="17" t="s">
        <v>315</v>
      </c>
      <c r="BJ425" s="17" t="s">
        <v>316</v>
      </c>
      <c r="BK425" s="17" t="s">
        <v>317</v>
      </c>
      <c r="BL425" s="17" t="s">
        <v>318</v>
      </c>
      <c r="BM425" s="17" t="s">
        <v>319</v>
      </c>
    </row>
    <row r="426" spans="30:65" x14ac:dyDescent="0.3">
      <c r="AD426" t="s">
        <v>514</v>
      </c>
      <c r="AE426" s="17" t="s">
        <v>322</v>
      </c>
      <c r="AF426" s="17" t="s">
        <v>75</v>
      </c>
      <c r="AG426" s="17" t="s">
        <v>322</v>
      </c>
      <c r="AH426" s="17" t="s">
        <v>75</v>
      </c>
      <c r="AI426" s="17" t="s">
        <v>322</v>
      </c>
      <c r="AS426" t="s">
        <v>543</v>
      </c>
      <c r="AT426" s="17" t="s">
        <v>248</v>
      </c>
      <c r="AU426" s="17" t="s">
        <v>322</v>
      </c>
      <c r="AV426" s="17" t="s">
        <v>322</v>
      </c>
      <c r="AW426" s="17" t="s">
        <v>322</v>
      </c>
      <c r="AX426" s="17" t="s">
        <v>322</v>
      </c>
      <c r="BH426" t="s">
        <v>539</v>
      </c>
      <c r="BI426" s="17" t="s">
        <v>248</v>
      </c>
      <c r="BJ426" s="17" t="s">
        <v>322</v>
      </c>
      <c r="BK426" s="17" t="s">
        <v>322</v>
      </c>
      <c r="BL426" s="17" t="s">
        <v>322</v>
      </c>
      <c r="BM426" s="17" t="s">
        <v>322</v>
      </c>
    </row>
    <row r="427" spans="30:65" x14ac:dyDescent="0.3">
      <c r="AD427" t="s">
        <v>517</v>
      </c>
      <c r="AE427" s="17" t="s">
        <v>322</v>
      </c>
      <c r="AF427" s="17" t="s">
        <v>322</v>
      </c>
      <c r="AG427" s="17" t="s">
        <v>322</v>
      </c>
      <c r="AH427" s="17" t="s">
        <v>75</v>
      </c>
      <c r="AI427" s="17" t="s">
        <v>322</v>
      </c>
      <c r="AS427" t="s">
        <v>573</v>
      </c>
      <c r="AT427" s="17" t="s">
        <v>248</v>
      </c>
      <c r="AU427" s="17" t="s">
        <v>322</v>
      </c>
      <c r="AV427" s="17" t="s">
        <v>322</v>
      </c>
      <c r="AW427" s="17" t="s">
        <v>322</v>
      </c>
      <c r="AX427" s="17" t="s">
        <v>322</v>
      </c>
      <c r="BH427" t="s">
        <v>543</v>
      </c>
      <c r="BI427" s="17" t="s">
        <v>248</v>
      </c>
      <c r="BJ427" s="17" t="s">
        <v>322</v>
      </c>
      <c r="BK427" s="17" t="s">
        <v>322</v>
      </c>
      <c r="BL427" s="17" t="s">
        <v>322</v>
      </c>
      <c r="BM427" s="17" t="s">
        <v>322</v>
      </c>
    </row>
    <row r="428" spans="30:65" x14ac:dyDescent="0.3">
      <c r="BH428" t="s">
        <v>573</v>
      </c>
      <c r="BI428" s="17" t="s">
        <v>248</v>
      </c>
      <c r="BJ428" s="17" t="s">
        <v>322</v>
      </c>
      <c r="BK428" s="17" t="s">
        <v>322</v>
      </c>
      <c r="BL428" s="17" t="s">
        <v>322</v>
      </c>
      <c r="BM428" s="17" t="s">
        <v>322</v>
      </c>
    </row>
    <row r="429" spans="30:65" x14ac:dyDescent="0.3">
      <c r="AD429" t="s">
        <v>805</v>
      </c>
      <c r="AS429" t="s">
        <v>803</v>
      </c>
    </row>
    <row r="430" spans="30:65" x14ac:dyDescent="0.3">
      <c r="AE430" s="17" t="s">
        <v>315</v>
      </c>
      <c r="AF430" s="17" t="s">
        <v>316</v>
      </c>
      <c r="AG430" s="17" t="s">
        <v>317</v>
      </c>
      <c r="AH430" s="17" t="s">
        <v>318</v>
      </c>
      <c r="AI430" s="17" t="s">
        <v>319</v>
      </c>
      <c r="AT430" s="17" t="s">
        <v>315</v>
      </c>
      <c r="AU430" s="17" t="s">
        <v>316</v>
      </c>
      <c r="AV430" s="17" t="s">
        <v>317</v>
      </c>
      <c r="AW430" s="17" t="s">
        <v>318</v>
      </c>
      <c r="AX430" s="17" t="s">
        <v>319</v>
      </c>
      <c r="BH430" t="s">
        <v>803</v>
      </c>
    </row>
    <row r="431" spans="30:65" x14ac:dyDescent="0.3">
      <c r="AD431" t="s">
        <v>512</v>
      </c>
      <c r="AE431" s="17" t="s">
        <v>322</v>
      </c>
      <c r="AF431" s="17" t="s">
        <v>191</v>
      </c>
      <c r="AG431" s="17" t="s">
        <v>322</v>
      </c>
      <c r="AH431" s="17" t="s">
        <v>191</v>
      </c>
      <c r="AI431" s="17" t="s">
        <v>322</v>
      </c>
      <c r="AS431" t="s">
        <v>512</v>
      </c>
      <c r="AT431" s="17" t="s">
        <v>322</v>
      </c>
      <c r="AU431" s="17" t="s">
        <v>75</v>
      </c>
      <c r="AV431" s="17" t="s">
        <v>322</v>
      </c>
      <c r="AW431" s="17" t="s">
        <v>75</v>
      </c>
      <c r="AX431" s="17" t="s">
        <v>322</v>
      </c>
      <c r="BI431" s="17" t="s">
        <v>315</v>
      </c>
      <c r="BJ431" s="17" t="s">
        <v>316</v>
      </c>
      <c r="BK431" s="17" t="s">
        <v>317</v>
      </c>
      <c r="BL431" s="17" t="s">
        <v>318</v>
      </c>
      <c r="BM431" s="17" t="s">
        <v>319</v>
      </c>
    </row>
    <row r="432" spans="30:65" x14ac:dyDescent="0.3">
      <c r="AD432" t="s">
        <v>514</v>
      </c>
      <c r="AE432" s="17" t="s">
        <v>322</v>
      </c>
      <c r="AF432" s="17" t="s">
        <v>191</v>
      </c>
      <c r="AG432" s="17" t="s">
        <v>322</v>
      </c>
      <c r="AH432" s="17" t="s">
        <v>191</v>
      </c>
      <c r="AI432" s="17" t="s">
        <v>322</v>
      </c>
      <c r="AS432" t="s">
        <v>514</v>
      </c>
      <c r="AT432" s="17" t="s">
        <v>322</v>
      </c>
      <c r="AU432" s="17" t="s">
        <v>75</v>
      </c>
      <c r="AV432" s="17" t="s">
        <v>322</v>
      </c>
      <c r="AW432" s="17" t="s">
        <v>75</v>
      </c>
      <c r="AX432" s="17" t="s">
        <v>322</v>
      </c>
      <c r="BH432" t="s">
        <v>512</v>
      </c>
      <c r="BI432" s="17" t="s">
        <v>322</v>
      </c>
      <c r="BJ432" s="17" t="s">
        <v>75</v>
      </c>
      <c r="BK432" s="17" t="s">
        <v>322</v>
      </c>
      <c r="BL432" s="17" t="s">
        <v>75</v>
      </c>
      <c r="BM432" s="17" t="s">
        <v>322</v>
      </c>
    </row>
    <row r="433" spans="30:65" x14ac:dyDescent="0.3">
      <c r="AD433" t="s">
        <v>517</v>
      </c>
      <c r="AE433" s="17" t="s">
        <v>322</v>
      </c>
      <c r="AF433" s="17" t="s">
        <v>322</v>
      </c>
      <c r="AG433" s="17" t="s">
        <v>322</v>
      </c>
      <c r="AH433" s="17" t="s">
        <v>191</v>
      </c>
      <c r="AI433" s="17" t="s">
        <v>322</v>
      </c>
      <c r="AS433" t="s">
        <v>517</v>
      </c>
      <c r="AT433" s="17" t="s">
        <v>322</v>
      </c>
      <c r="AU433" s="17" t="s">
        <v>322</v>
      </c>
      <c r="AV433" s="17" t="s">
        <v>322</v>
      </c>
      <c r="AW433" s="17" t="s">
        <v>75</v>
      </c>
      <c r="AX433" s="17" t="s">
        <v>322</v>
      </c>
      <c r="BH433" t="s">
        <v>514</v>
      </c>
      <c r="BI433" s="17" t="s">
        <v>322</v>
      </c>
      <c r="BJ433" s="17" t="s">
        <v>75</v>
      </c>
      <c r="BK433" s="17" t="s">
        <v>322</v>
      </c>
      <c r="BL433" s="17" t="s">
        <v>75</v>
      </c>
      <c r="BM433" s="17" t="s">
        <v>322</v>
      </c>
    </row>
    <row r="434" spans="30:65" x14ac:dyDescent="0.3">
      <c r="AD434" t="s">
        <v>552</v>
      </c>
      <c r="AE434" s="17" t="s">
        <v>322</v>
      </c>
      <c r="AF434" s="17" t="s">
        <v>46</v>
      </c>
      <c r="AG434" s="17" t="s">
        <v>322</v>
      </c>
      <c r="AH434" s="17" t="s">
        <v>322</v>
      </c>
      <c r="AI434" s="17" t="s">
        <v>46</v>
      </c>
      <c r="BH434" t="s">
        <v>517</v>
      </c>
      <c r="BI434" s="17" t="s">
        <v>322</v>
      </c>
      <c r="BJ434" s="17" t="s">
        <v>322</v>
      </c>
      <c r="BK434" s="17" t="s">
        <v>322</v>
      </c>
      <c r="BL434" s="17" t="s">
        <v>75</v>
      </c>
      <c r="BM434" s="17" t="s">
        <v>322</v>
      </c>
    </row>
    <row r="435" spans="30:65" x14ac:dyDescent="0.3">
      <c r="AD435" t="s">
        <v>554</v>
      </c>
      <c r="AE435" s="17" t="s">
        <v>322</v>
      </c>
      <c r="AF435" s="17" t="s">
        <v>46</v>
      </c>
      <c r="AG435" s="17" t="s">
        <v>322</v>
      </c>
      <c r="AH435" s="17" t="s">
        <v>322</v>
      </c>
      <c r="AI435" s="17" t="s">
        <v>46</v>
      </c>
      <c r="AS435" t="s">
        <v>805</v>
      </c>
    </row>
    <row r="436" spans="30:65" x14ac:dyDescent="0.3">
      <c r="AD436" t="s">
        <v>586</v>
      </c>
      <c r="AE436" s="17" t="s">
        <v>322</v>
      </c>
      <c r="AF436" s="17" t="s">
        <v>46</v>
      </c>
      <c r="AG436" s="17" t="s">
        <v>322</v>
      </c>
      <c r="AH436" s="17" t="s">
        <v>322</v>
      </c>
      <c r="AI436" s="17" t="s">
        <v>322</v>
      </c>
      <c r="AT436" s="17" t="s">
        <v>315</v>
      </c>
      <c r="AU436" s="17" t="s">
        <v>316</v>
      </c>
      <c r="AV436" s="17" t="s">
        <v>317</v>
      </c>
      <c r="AW436" s="17" t="s">
        <v>318</v>
      </c>
      <c r="AX436" s="17" t="s">
        <v>319</v>
      </c>
      <c r="BH436" t="s">
        <v>805</v>
      </c>
    </row>
    <row r="437" spans="30:65" x14ac:dyDescent="0.3">
      <c r="AS437" t="s">
        <v>512</v>
      </c>
      <c r="AT437" s="17" t="s">
        <v>322</v>
      </c>
      <c r="AU437" s="17" t="s">
        <v>191</v>
      </c>
      <c r="AV437" s="17" t="s">
        <v>322</v>
      </c>
      <c r="AW437" s="17" t="s">
        <v>191</v>
      </c>
      <c r="AX437" s="17" t="s">
        <v>322</v>
      </c>
      <c r="BI437" s="17" t="s">
        <v>315</v>
      </c>
      <c r="BJ437" s="17" t="s">
        <v>316</v>
      </c>
      <c r="BK437" s="17" t="s">
        <v>317</v>
      </c>
      <c r="BL437" s="17" t="s">
        <v>318</v>
      </c>
      <c r="BM437" s="17" t="s">
        <v>319</v>
      </c>
    </row>
    <row r="438" spans="30:65" x14ac:dyDescent="0.3">
      <c r="AD438" t="s">
        <v>806</v>
      </c>
      <c r="AS438" t="s">
        <v>514</v>
      </c>
      <c r="AT438" s="17" t="s">
        <v>322</v>
      </c>
      <c r="AU438" s="17" t="s">
        <v>191</v>
      </c>
      <c r="AV438" s="17" t="s">
        <v>322</v>
      </c>
      <c r="AW438" s="17" t="s">
        <v>191</v>
      </c>
      <c r="AX438" s="17" t="s">
        <v>322</v>
      </c>
      <c r="BH438" t="s">
        <v>512</v>
      </c>
      <c r="BI438" s="17" t="s">
        <v>322</v>
      </c>
      <c r="BJ438" s="17" t="s">
        <v>191</v>
      </c>
      <c r="BK438" s="17" t="s">
        <v>322</v>
      </c>
      <c r="BL438" s="17" t="s">
        <v>191</v>
      </c>
      <c r="BM438" s="17" t="s">
        <v>322</v>
      </c>
    </row>
    <row r="439" spans="30:65" x14ac:dyDescent="0.3">
      <c r="AE439" s="17" t="s">
        <v>315</v>
      </c>
      <c r="AF439" s="17" t="s">
        <v>316</v>
      </c>
      <c r="AG439" s="17" t="s">
        <v>317</v>
      </c>
      <c r="AH439" s="17" t="s">
        <v>318</v>
      </c>
      <c r="AI439" s="17" t="s">
        <v>319</v>
      </c>
      <c r="AS439" t="s">
        <v>517</v>
      </c>
      <c r="AT439" s="17" t="s">
        <v>322</v>
      </c>
      <c r="AU439" s="17" t="s">
        <v>322</v>
      </c>
      <c r="AV439" s="17" t="s">
        <v>322</v>
      </c>
      <c r="AW439" s="17" t="s">
        <v>191</v>
      </c>
      <c r="AX439" s="17" t="s">
        <v>322</v>
      </c>
      <c r="BH439" t="s">
        <v>514</v>
      </c>
      <c r="BI439" s="17" t="s">
        <v>322</v>
      </c>
      <c r="BJ439" s="17" t="s">
        <v>191</v>
      </c>
      <c r="BK439" s="17" t="s">
        <v>322</v>
      </c>
      <c r="BL439" s="17" t="s">
        <v>191</v>
      </c>
      <c r="BM439" s="17" t="s">
        <v>322</v>
      </c>
    </row>
    <row r="440" spans="30:65" x14ac:dyDescent="0.3">
      <c r="AD440" t="s">
        <v>573</v>
      </c>
      <c r="AE440" s="17" t="s">
        <v>322</v>
      </c>
      <c r="AF440" s="17" t="s">
        <v>322</v>
      </c>
      <c r="AG440" s="17" t="s">
        <v>322</v>
      </c>
      <c r="AH440" s="17" t="s">
        <v>322</v>
      </c>
      <c r="AI440" s="17" t="s">
        <v>213</v>
      </c>
      <c r="AS440" t="s">
        <v>552</v>
      </c>
      <c r="AT440" s="17" t="s">
        <v>322</v>
      </c>
      <c r="AU440" s="17" t="s">
        <v>322</v>
      </c>
      <c r="AV440" s="17" t="s">
        <v>322</v>
      </c>
      <c r="AW440" s="17" t="s">
        <v>46</v>
      </c>
      <c r="AX440" s="17" t="s">
        <v>322</v>
      </c>
      <c r="BH440" t="s">
        <v>517</v>
      </c>
      <c r="BI440" s="17" t="s">
        <v>322</v>
      </c>
      <c r="BJ440" s="17" t="s">
        <v>322</v>
      </c>
      <c r="BK440" s="17" t="s">
        <v>322</v>
      </c>
      <c r="BL440" s="17" t="s">
        <v>191</v>
      </c>
      <c r="BM440" s="17" t="s">
        <v>322</v>
      </c>
    </row>
    <row r="441" spans="30:65" x14ac:dyDescent="0.3">
      <c r="AD441" t="s">
        <v>561</v>
      </c>
      <c r="AE441" s="17" t="s">
        <v>322</v>
      </c>
      <c r="AF441" s="17" t="s">
        <v>322</v>
      </c>
      <c r="AG441" s="17" t="s">
        <v>322</v>
      </c>
      <c r="AH441" s="17" t="s">
        <v>322</v>
      </c>
      <c r="AI441" s="17" t="s">
        <v>213</v>
      </c>
      <c r="AS441" t="s">
        <v>554</v>
      </c>
      <c r="AT441" s="17" t="s">
        <v>322</v>
      </c>
      <c r="AU441" s="17" t="s">
        <v>46</v>
      </c>
      <c r="AV441" s="17" t="s">
        <v>322</v>
      </c>
      <c r="AW441" s="17" t="s">
        <v>46</v>
      </c>
      <c r="AX441" s="17" t="s">
        <v>322</v>
      </c>
      <c r="BH441" t="s">
        <v>552</v>
      </c>
      <c r="BI441" s="17" t="s">
        <v>322</v>
      </c>
      <c r="BJ441" s="17" t="s">
        <v>322</v>
      </c>
      <c r="BK441" s="17" t="s">
        <v>322</v>
      </c>
      <c r="BL441" s="17" t="s">
        <v>46</v>
      </c>
      <c r="BM441" s="17" t="s">
        <v>322</v>
      </c>
    </row>
    <row r="442" spans="30:65" x14ac:dyDescent="0.3">
      <c r="AD442" t="s">
        <v>551</v>
      </c>
      <c r="AE442" s="17" t="s">
        <v>322</v>
      </c>
      <c r="AF442" s="17" t="s">
        <v>322</v>
      </c>
      <c r="AG442" s="17" t="s">
        <v>322</v>
      </c>
      <c r="AH442" s="17" t="s">
        <v>322</v>
      </c>
      <c r="AI442" s="17" t="s">
        <v>213</v>
      </c>
      <c r="AS442" t="s">
        <v>586</v>
      </c>
      <c r="AT442" s="17" t="s">
        <v>322</v>
      </c>
      <c r="AU442" s="17" t="s">
        <v>46</v>
      </c>
      <c r="AV442" s="17" t="s">
        <v>322</v>
      </c>
      <c r="AW442" s="17" t="s">
        <v>46</v>
      </c>
      <c r="AX442" s="17" t="s">
        <v>322</v>
      </c>
      <c r="BH442" t="s">
        <v>554</v>
      </c>
      <c r="BI442" s="17" t="s">
        <v>322</v>
      </c>
      <c r="BJ442" s="17" t="s">
        <v>46</v>
      </c>
      <c r="BK442" s="17" t="s">
        <v>322</v>
      </c>
      <c r="BL442" s="17" t="s">
        <v>46</v>
      </c>
      <c r="BM442" s="17" t="s">
        <v>322</v>
      </c>
    </row>
    <row r="443" spans="30:65" x14ac:dyDescent="0.3">
      <c r="BH443" t="s">
        <v>586</v>
      </c>
      <c r="BI443" s="17" t="s">
        <v>322</v>
      </c>
      <c r="BJ443" s="17" t="s">
        <v>46</v>
      </c>
      <c r="BK443" s="17" t="s">
        <v>322</v>
      </c>
      <c r="BL443" s="17" t="s">
        <v>46</v>
      </c>
      <c r="BM443" s="17" t="s">
        <v>322</v>
      </c>
    </row>
    <row r="444" spans="30:65" x14ac:dyDescent="0.3">
      <c r="AD444" t="s">
        <v>807</v>
      </c>
      <c r="AS444" t="s">
        <v>806</v>
      </c>
    </row>
    <row r="445" spans="30:65" x14ac:dyDescent="0.3">
      <c r="AE445" s="17" t="s">
        <v>315</v>
      </c>
      <c r="AF445" s="17" t="s">
        <v>316</v>
      </c>
      <c r="AG445" s="17" t="s">
        <v>317</v>
      </c>
      <c r="AH445" s="17" t="s">
        <v>318</v>
      </c>
      <c r="AI445" s="17" t="s">
        <v>319</v>
      </c>
      <c r="AT445" s="17" t="s">
        <v>315</v>
      </c>
      <c r="AU445" s="17" t="s">
        <v>316</v>
      </c>
      <c r="AV445" s="17" t="s">
        <v>317</v>
      </c>
      <c r="AW445" s="17" t="s">
        <v>318</v>
      </c>
      <c r="AX445" s="17" t="s">
        <v>319</v>
      </c>
      <c r="BH445" t="s">
        <v>806</v>
      </c>
    </row>
    <row r="446" spans="30:65" x14ac:dyDescent="0.3">
      <c r="AD446" t="s">
        <v>512</v>
      </c>
      <c r="AE446" s="17" t="s">
        <v>322</v>
      </c>
      <c r="AF446" s="17" t="s">
        <v>322</v>
      </c>
      <c r="AG446" s="17" t="s">
        <v>129</v>
      </c>
      <c r="AH446" s="17" t="s">
        <v>322</v>
      </c>
      <c r="AI446" s="17" t="s">
        <v>129</v>
      </c>
      <c r="AS446" t="s">
        <v>573</v>
      </c>
      <c r="AT446" s="17" t="s">
        <v>322</v>
      </c>
      <c r="AU446" s="17" t="s">
        <v>322</v>
      </c>
      <c r="AV446" s="17" t="s">
        <v>322</v>
      </c>
      <c r="AW446" s="17" t="s">
        <v>322</v>
      </c>
      <c r="AX446" s="17" t="s">
        <v>213</v>
      </c>
      <c r="BI446" s="17" t="s">
        <v>315</v>
      </c>
      <c r="BJ446" s="17" t="s">
        <v>316</v>
      </c>
      <c r="BK446" s="17" t="s">
        <v>317</v>
      </c>
      <c r="BL446" s="17" t="s">
        <v>318</v>
      </c>
      <c r="BM446" s="17" t="s">
        <v>319</v>
      </c>
    </row>
    <row r="447" spans="30:65" x14ac:dyDescent="0.3">
      <c r="AD447" t="s">
        <v>514</v>
      </c>
      <c r="AE447" s="17" t="s">
        <v>322</v>
      </c>
      <c r="AF447" s="17" t="s">
        <v>322</v>
      </c>
      <c r="AG447" s="17" t="s">
        <v>129</v>
      </c>
      <c r="AH447" s="17" t="s">
        <v>322</v>
      </c>
      <c r="AI447" s="17" t="s">
        <v>129</v>
      </c>
      <c r="AS447" t="s">
        <v>561</v>
      </c>
      <c r="AT447" s="17" t="s">
        <v>322</v>
      </c>
      <c r="AU447" s="17" t="s">
        <v>322</v>
      </c>
      <c r="AV447" s="17" t="s">
        <v>322</v>
      </c>
      <c r="AW447" s="17" t="s">
        <v>322</v>
      </c>
      <c r="AX447" s="17" t="s">
        <v>213</v>
      </c>
      <c r="BH447" t="s">
        <v>573</v>
      </c>
      <c r="BI447" s="17" t="s">
        <v>322</v>
      </c>
      <c r="BJ447" s="17" t="s">
        <v>322</v>
      </c>
      <c r="BK447" s="17" t="s">
        <v>322</v>
      </c>
      <c r="BL447" s="17" t="s">
        <v>322</v>
      </c>
      <c r="BM447" s="17" t="s">
        <v>213</v>
      </c>
    </row>
    <row r="448" spans="30:65" x14ac:dyDescent="0.3">
      <c r="AD448" t="s">
        <v>517</v>
      </c>
      <c r="AE448" s="17" t="s">
        <v>322</v>
      </c>
      <c r="AF448" s="17" t="s">
        <v>322</v>
      </c>
      <c r="AG448" s="17" t="s">
        <v>322</v>
      </c>
      <c r="AH448" s="17" t="s">
        <v>322</v>
      </c>
      <c r="AI448" s="17" t="s">
        <v>129</v>
      </c>
      <c r="AS448" t="s">
        <v>551</v>
      </c>
      <c r="AT448" s="17" t="s">
        <v>322</v>
      </c>
      <c r="AU448" s="17" t="s">
        <v>322</v>
      </c>
      <c r="AV448" s="17" t="s">
        <v>322</v>
      </c>
      <c r="AW448" s="17" t="s">
        <v>322</v>
      </c>
      <c r="AX448" s="17" t="s">
        <v>213</v>
      </c>
      <c r="BH448" t="s">
        <v>561</v>
      </c>
      <c r="BI448" s="17" t="s">
        <v>322</v>
      </c>
      <c r="BJ448" s="17" t="s">
        <v>322</v>
      </c>
      <c r="BK448" s="17" t="s">
        <v>322</v>
      </c>
      <c r="BL448" s="17" t="s">
        <v>322</v>
      </c>
      <c r="BM448" s="17" t="s">
        <v>213</v>
      </c>
    </row>
    <row r="449" spans="30:65" x14ac:dyDescent="0.3">
      <c r="BH449" t="s">
        <v>551</v>
      </c>
      <c r="BI449" s="17" t="s">
        <v>322</v>
      </c>
      <c r="BJ449" s="17" t="s">
        <v>322</v>
      </c>
      <c r="BK449" s="17" t="s">
        <v>322</v>
      </c>
      <c r="BL449" s="17" t="s">
        <v>322</v>
      </c>
      <c r="BM449" s="17" t="s">
        <v>213</v>
      </c>
    </row>
    <row r="450" spans="30:65" x14ac:dyDescent="0.3">
      <c r="AD450" t="s">
        <v>808</v>
      </c>
      <c r="AS450" t="s">
        <v>807</v>
      </c>
    </row>
    <row r="451" spans="30:65" x14ac:dyDescent="0.3">
      <c r="AE451" s="17" t="s">
        <v>315</v>
      </c>
      <c r="AF451" s="17" t="s">
        <v>316</v>
      </c>
      <c r="AG451" s="17" t="s">
        <v>317</v>
      </c>
      <c r="AH451" s="17" t="s">
        <v>318</v>
      </c>
      <c r="AI451" s="17" t="s">
        <v>319</v>
      </c>
      <c r="AT451" s="17" t="s">
        <v>315</v>
      </c>
      <c r="AU451" s="17" t="s">
        <v>316</v>
      </c>
      <c r="AV451" s="17" t="s">
        <v>317</v>
      </c>
      <c r="AW451" s="17" t="s">
        <v>318</v>
      </c>
      <c r="AX451" s="17" t="s">
        <v>319</v>
      </c>
      <c r="BH451" t="s">
        <v>807</v>
      </c>
    </row>
    <row r="452" spans="30:65" x14ac:dyDescent="0.3">
      <c r="AD452" t="s">
        <v>517</v>
      </c>
      <c r="AE452" s="17" t="s">
        <v>322</v>
      </c>
      <c r="AF452" s="17" t="s">
        <v>322</v>
      </c>
      <c r="AG452" s="17" t="s">
        <v>322</v>
      </c>
      <c r="AH452" s="17" t="s">
        <v>322</v>
      </c>
      <c r="AI452" s="17" t="s">
        <v>170</v>
      </c>
      <c r="AS452" t="s">
        <v>512</v>
      </c>
      <c r="AT452" s="17" t="s">
        <v>322</v>
      </c>
      <c r="AU452" s="17" t="s">
        <v>322</v>
      </c>
      <c r="AV452" s="17" t="s">
        <v>129</v>
      </c>
      <c r="AW452" s="17" t="s">
        <v>322</v>
      </c>
      <c r="AX452" s="17" t="s">
        <v>129</v>
      </c>
      <c r="BI452" s="17" t="s">
        <v>315</v>
      </c>
      <c r="BJ452" s="17" t="s">
        <v>316</v>
      </c>
      <c r="BK452" s="17" t="s">
        <v>317</v>
      </c>
      <c r="BL452" s="17" t="s">
        <v>318</v>
      </c>
      <c r="BM452" s="17" t="s">
        <v>319</v>
      </c>
    </row>
    <row r="453" spans="30:65" x14ac:dyDescent="0.3">
      <c r="AD453" t="s">
        <v>326</v>
      </c>
      <c r="AE453" s="17" t="s">
        <v>322</v>
      </c>
      <c r="AF453" s="17" t="s">
        <v>322</v>
      </c>
      <c r="AG453" s="17" t="s">
        <v>322</v>
      </c>
      <c r="AH453" s="17" t="s">
        <v>322</v>
      </c>
      <c r="AI453" s="17" t="s">
        <v>170</v>
      </c>
      <c r="AS453" t="s">
        <v>514</v>
      </c>
      <c r="AT453" s="17" t="s">
        <v>322</v>
      </c>
      <c r="AU453" s="17" t="s">
        <v>322</v>
      </c>
      <c r="AV453" s="17" t="s">
        <v>129</v>
      </c>
      <c r="AW453" s="17" t="s">
        <v>322</v>
      </c>
      <c r="AX453" s="17" t="s">
        <v>129</v>
      </c>
      <c r="BH453" t="s">
        <v>512</v>
      </c>
      <c r="BI453" s="17" t="s">
        <v>322</v>
      </c>
      <c r="BJ453" s="17" t="s">
        <v>322</v>
      </c>
      <c r="BK453" s="17" t="s">
        <v>129</v>
      </c>
      <c r="BL453" s="17" t="s">
        <v>322</v>
      </c>
      <c r="BM453" s="17" t="s">
        <v>129</v>
      </c>
    </row>
    <row r="454" spans="30:65" x14ac:dyDescent="0.3">
      <c r="AD454" t="s">
        <v>328</v>
      </c>
      <c r="AE454" s="17" t="s">
        <v>322</v>
      </c>
      <c r="AF454" s="17" t="s">
        <v>322</v>
      </c>
      <c r="AG454" s="17" t="s">
        <v>170</v>
      </c>
      <c r="AH454" s="17" t="s">
        <v>322</v>
      </c>
      <c r="AI454" s="17" t="s">
        <v>170</v>
      </c>
      <c r="AS454" t="s">
        <v>517</v>
      </c>
      <c r="AT454" s="17" t="s">
        <v>322</v>
      </c>
      <c r="AU454" s="17" t="s">
        <v>322</v>
      </c>
      <c r="AV454" s="17" t="s">
        <v>322</v>
      </c>
      <c r="AW454" s="17" t="s">
        <v>322</v>
      </c>
      <c r="AX454" s="17" t="s">
        <v>129</v>
      </c>
      <c r="BH454" t="s">
        <v>514</v>
      </c>
      <c r="BI454" s="17" t="s">
        <v>322</v>
      </c>
      <c r="BJ454" s="17" t="s">
        <v>322</v>
      </c>
      <c r="BK454" s="17" t="s">
        <v>129</v>
      </c>
      <c r="BL454" s="17" t="s">
        <v>322</v>
      </c>
      <c r="BM454" s="17" t="s">
        <v>129</v>
      </c>
    </row>
    <row r="455" spans="30:65" x14ac:dyDescent="0.3">
      <c r="AD455" t="s">
        <v>350</v>
      </c>
      <c r="AE455" s="17" t="s">
        <v>322</v>
      </c>
      <c r="AF455" s="17" t="s">
        <v>322</v>
      </c>
      <c r="AG455" s="17" t="s">
        <v>170</v>
      </c>
      <c r="AH455" s="17" t="s">
        <v>322</v>
      </c>
      <c r="AI455" s="17" t="s">
        <v>322</v>
      </c>
      <c r="BH455" t="s">
        <v>517</v>
      </c>
      <c r="BI455" s="17" t="s">
        <v>322</v>
      </c>
      <c r="BJ455" s="17" t="s">
        <v>322</v>
      </c>
      <c r="BK455" s="17" t="s">
        <v>322</v>
      </c>
      <c r="BL455" s="17" t="s">
        <v>322</v>
      </c>
      <c r="BM455" s="17" t="s">
        <v>129</v>
      </c>
    </row>
    <row r="456" spans="30:65" x14ac:dyDescent="0.3">
      <c r="AS456" t="s">
        <v>808</v>
      </c>
    </row>
    <row r="457" spans="30:65" x14ac:dyDescent="0.3">
      <c r="AD457" t="s">
        <v>809</v>
      </c>
      <c r="AT457" s="17" t="s">
        <v>315</v>
      </c>
      <c r="AU457" s="17" t="s">
        <v>316</v>
      </c>
      <c r="AV457" s="17" t="s">
        <v>317</v>
      </c>
      <c r="AW457" s="17" t="s">
        <v>318</v>
      </c>
      <c r="AX457" s="17" t="s">
        <v>319</v>
      </c>
      <c r="BH457" t="s">
        <v>808</v>
      </c>
    </row>
    <row r="458" spans="30:65" x14ac:dyDescent="0.3">
      <c r="AE458" s="17" t="s">
        <v>315</v>
      </c>
      <c r="AF458" s="17" t="s">
        <v>316</v>
      </c>
      <c r="AG458" s="17" t="s">
        <v>317</v>
      </c>
      <c r="AH458" s="17" t="s">
        <v>318</v>
      </c>
      <c r="AI458" s="17" t="s">
        <v>319</v>
      </c>
      <c r="AS458" t="s">
        <v>517</v>
      </c>
      <c r="AT458" s="17" t="s">
        <v>322</v>
      </c>
      <c r="AU458" s="17" t="s">
        <v>322</v>
      </c>
      <c r="AV458" s="17" t="s">
        <v>322</v>
      </c>
      <c r="AW458" s="17" t="s">
        <v>322</v>
      </c>
      <c r="AX458" s="17" t="s">
        <v>170</v>
      </c>
      <c r="BI458" s="17" t="s">
        <v>315</v>
      </c>
      <c r="BJ458" s="17" t="s">
        <v>316</v>
      </c>
      <c r="BK458" s="17" t="s">
        <v>317</v>
      </c>
      <c r="BL458" s="17" t="s">
        <v>318</v>
      </c>
      <c r="BM458" s="17" t="s">
        <v>319</v>
      </c>
    </row>
    <row r="459" spans="30:65" x14ac:dyDescent="0.3">
      <c r="AD459" t="s">
        <v>551</v>
      </c>
      <c r="AE459" s="17" t="s">
        <v>322</v>
      </c>
      <c r="AF459" s="17" t="s">
        <v>322</v>
      </c>
      <c r="AG459" s="17" t="s">
        <v>202</v>
      </c>
      <c r="AH459" s="17" t="s">
        <v>322</v>
      </c>
      <c r="AI459" s="17" t="s">
        <v>322</v>
      </c>
      <c r="AS459" t="s">
        <v>326</v>
      </c>
      <c r="AT459" s="17" t="s">
        <v>322</v>
      </c>
      <c r="AU459" s="17" t="s">
        <v>322</v>
      </c>
      <c r="AV459" s="17" t="s">
        <v>322</v>
      </c>
      <c r="AW459" s="17" t="s">
        <v>322</v>
      </c>
      <c r="AX459" s="17" t="s">
        <v>170</v>
      </c>
      <c r="BH459" t="s">
        <v>517</v>
      </c>
      <c r="BI459" s="17" t="s">
        <v>322</v>
      </c>
      <c r="BJ459" s="17" t="s">
        <v>322</v>
      </c>
      <c r="BK459" s="17" t="s">
        <v>322</v>
      </c>
      <c r="BL459" s="17" t="s">
        <v>322</v>
      </c>
      <c r="BM459" s="17" t="s">
        <v>170</v>
      </c>
    </row>
    <row r="460" spans="30:65" x14ac:dyDescent="0.3">
      <c r="AD460" t="s">
        <v>552</v>
      </c>
      <c r="AE460" s="17" t="s">
        <v>322</v>
      </c>
      <c r="AF460" s="17" t="s">
        <v>322</v>
      </c>
      <c r="AG460" s="17" t="s">
        <v>202</v>
      </c>
      <c r="AH460" s="17" t="s">
        <v>322</v>
      </c>
      <c r="AI460" s="17" t="s">
        <v>322</v>
      </c>
      <c r="AS460" t="s">
        <v>328</v>
      </c>
      <c r="AT460" s="17" t="s">
        <v>322</v>
      </c>
      <c r="AU460" s="17" t="s">
        <v>322</v>
      </c>
      <c r="AV460" s="17" t="s">
        <v>170</v>
      </c>
      <c r="AW460" s="17" t="s">
        <v>322</v>
      </c>
      <c r="AX460" s="17" t="s">
        <v>170</v>
      </c>
      <c r="BH460" t="s">
        <v>326</v>
      </c>
      <c r="BI460" s="17" t="s">
        <v>322</v>
      </c>
      <c r="BJ460" s="17" t="s">
        <v>322</v>
      </c>
      <c r="BK460" s="17" t="s">
        <v>322</v>
      </c>
      <c r="BL460" s="17" t="s">
        <v>322</v>
      </c>
      <c r="BM460" s="17" t="s">
        <v>170</v>
      </c>
    </row>
    <row r="461" spans="30:65" x14ac:dyDescent="0.3">
      <c r="AS461" t="s">
        <v>350</v>
      </c>
      <c r="AT461" s="17" t="s">
        <v>322</v>
      </c>
      <c r="AU461" s="17" t="s">
        <v>322</v>
      </c>
      <c r="AV461" s="17" t="s">
        <v>170</v>
      </c>
      <c r="AW461" s="17" t="s">
        <v>322</v>
      </c>
      <c r="AX461" s="17" t="s">
        <v>322</v>
      </c>
      <c r="BH461" t="s">
        <v>328</v>
      </c>
      <c r="BI461" s="17" t="s">
        <v>322</v>
      </c>
      <c r="BJ461" s="17" t="s">
        <v>322</v>
      </c>
      <c r="BK461" s="17" t="s">
        <v>170</v>
      </c>
      <c r="BL461" s="17" t="s">
        <v>322</v>
      </c>
      <c r="BM461" s="17" t="s">
        <v>170</v>
      </c>
    </row>
    <row r="462" spans="30:65" x14ac:dyDescent="0.3">
      <c r="AD462" t="s">
        <v>810</v>
      </c>
      <c r="BH462" t="s">
        <v>350</v>
      </c>
      <c r="BI462" s="17" t="s">
        <v>322</v>
      </c>
      <c r="BJ462" s="17" t="s">
        <v>322</v>
      </c>
      <c r="BK462" s="17" t="s">
        <v>170</v>
      </c>
      <c r="BL462" s="17" t="s">
        <v>322</v>
      </c>
      <c r="BM462" s="17" t="s">
        <v>322</v>
      </c>
    </row>
    <row r="463" spans="30:65" x14ac:dyDescent="0.3">
      <c r="AE463" s="17" t="s">
        <v>315</v>
      </c>
      <c r="AF463" s="17" t="s">
        <v>316</v>
      </c>
      <c r="AG463" s="17" t="s">
        <v>317</v>
      </c>
      <c r="AH463" s="17" t="s">
        <v>318</v>
      </c>
      <c r="AI463" s="17" t="s">
        <v>319</v>
      </c>
      <c r="AS463" t="s">
        <v>809</v>
      </c>
    </row>
    <row r="464" spans="30:65" x14ac:dyDescent="0.3">
      <c r="AD464" t="s">
        <v>512</v>
      </c>
      <c r="AE464" s="17" t="s">
        <v>322</v>
      </c>
      <c r="AF464" s="17" t="s">
        <v>322</v>
      </c>
      <c r="AG464" s="17" t="s">
        <v>179</v>
      </c>
      <c r="AH464" s="17" t="s">
        <v>322</v>
      </c>
      <c r="AI464" s="17" t="s">
        <v>179</v>
      </c>
      <c r="AT464" s="17" t="s">
        <v>315</v>
      </c>
      <c r="AU464" s="17" t="s">
        <v>316</v>
      </c>
      <c r="AV464" s="17" t="s">
        <v>317</v>
      </c>
      <c r="AW464" s="17" t="s">
        <v>318</v>
      </c>
      <c r="AX464" s="17" t="s">
        <v>319</v>
      </c>
      <c r="BH464" t="s">
        <v>809</v>
      </c>
    </row>
    <row r="465" spans="30:65" x14ac:dyDescent="0.3">
      <c r="AD465" t="s">
        <v>514</v>
      </c>
      <c r="AE465" s="17" t="s">
        <v>322</v>
      </c>
      <c r="AF465" s="17" t="s">
        <v>322</v>
      </c>
      <c r="AG465" s="17" t="s">
        <v>179</v>
      </c>
      <c r="AH465" s="17" t="s">
        <v>322</v>
      </c>
      <c r="AI465" s="17" t="s">
        <v>179</v>
      </c>
      <c r="AS465" t="s">
        <v>551</v>
      </c>
      <c r="AT465" s="17" t="s">
        <v>322</v>
      </c>
      <c r="AU465" s="17" t="s">
        <v>322</v>
      </c>
      <c r="AV465" s="17" t="s">
        <v>202</v>
      </c>
      <c r="AW465" s="17" t="s">
        <v>322</v>
      </c>
      <c r="AX465" s="17" t="s">
        <v>322</v>
      </c>
      <c r="BI465" s="17" t="s">
        <v>315</v>
      </c>
      <c r="BJ465" s="17" t="s">
        <v>316</v>
      </c>
      <c r="BK465" s="17" t="s">
        <v>317</v>
      </c>
      <c r="BL465" s="17" t="s">
        <v>318</v>
      </c>
      <c r="BM465" s="17" t="s">
        <v>319</v>
      </c>
    </row>
    <row r="466" spans="30:65" x14ac:dyDescent="0.3">
      <c r="AD466" t="s">
        <v>517</v>
      </c>
      <c r="AE466" s="17" t="s">
        <v>322</v>
      </c>
      <c r="AF466" s="17" t="s">
        <v>322</v>
      </c>
      <c r="AG466" s="17" t="s">
        <v>179</v>
      </c>
      <c r="AH466" s="17" t="s">
        <v>322</v>
      </c>
      <c r="AI466" s="17" t="s">
        <v>179</v>
      </c>
      <c r="AS466" t="s">
        <v>552</v>
      </c>
      <c r="AT466" s="17" t="s">
        <v>322</v>
      </c>
      <c r="AU466" s="17" t="s">
        <v>322</v>
      </c>
      <c r="AV466" s="17" t="s">
        <v>202</v>
      </c>
      <c r="AW466" s="17" t="s">
        <v>322</v>
      </c>
      <c r="AX466" s="17" t="s">
        <v>322</v>
      </c>
      <c r="BH466" t="s">
        <v>551</v>
      </c>
      <c r="BI466" s="17" t="s">
        <v>322</v>
      </c>
      <c r="BJ466" s="17" t="s">
        <v>322</v>
      </c>
      <c r="BK466" s="17" t="s">
        <v>202</v>
      </c>
      <c r="BL466" s="17" t="s">
        <v>322</v>
      </c>
      <c r="BM466" s="17" t="s">
        <v>322</v>
      </c>
    </row>
    <row r="467" spans="30:65" x14ac:dyDescent="0.3">
      <c r="BH467" t="s">
        <v>552</v>
      </c>
      <c r="BI467" s="17" t="s">
        <v>322</v>
      </c>
      <c r="BJ467" s="17" t="s">
        <v>322</v>
      </c>
      <c r="BK467" s="17" t="s">
        <v>202</v>
      </c>
      <c r="BL467" s="17" t="s">
        <v>322</v>
      </c>
      <c r="BM467" s="17" t="s">
        <v>322</v>
      </c>
    </row>
    <row r="468" spans="30:65" x14ac:dyDescent="0.3">
      <c r="AD468" t="s">
        <v>811</v>
      </c>
      <c r="AS468" t="s">
        <v>810</v>
      </c>
    </row>
    <row r="469" spans="30:65" x14ac:dyDescent="0.3">
      <c r="AE469" s="17" t="s">
        <v>315</v>
      </c>
      <c r="AF469" s="17" t="s">
        <v>316</v>
      </c>
      <c r="AG469" s="17" t="s">
        <v>317</v>
      </c>
      <c r="AH469" s="17" t="s">
        <v>318</v>
      </c>
      <c r="AI469" s="17" t="s">
        <v>319</v>
      </c>
      <c r="AT469" s="17" t="s">
        <v>315</v>
      </c>
      <c r="AU469" s="17" t="s">
        <v>316</v>
      </c>
      <c r="AV469" s="17" t="s">
        <v>317</v>
      </c>
      <c r="AW469" s="17" t="s">
        <v>318</v>
      </c>
      <c r="AX469" s="17" t="s">
        <v>319</v>
      </c>
      <c r="BH469" t="s">
        <v>810</v>
      </c>
    </row>
    <row r="470" spans="30:65" x14ac:dyDescent="0.3">
      <c r="AD470" t="s">
        <v>551</v>
      </c>
      <c r="AE470" s="17" t="s">
        <v>248</v>
      </c>
      <c r="AF470" s="17" t="s">
        <v>322</v>
      </c>
      <c r="AG470" s="17" t="s">
        <v>322</v>
      </c>
      <c r="AH470" s="17" t="s">
        <v>322</v>
      </c>
      <c r="AI470" s="17" t="s">
        <v>322</v>
      </c>
      <c r="AS470" t="s">
        <v>512</v>
      </c>
      <c r="AT470" s="17" t="s">
        <v>322</v>
      </c>
      <c r="AU470" s="17" t="s">
        <v>322</v>
      </c>
      <c r="AV470" s="17" t="s">
        <v>179</v>
      </c>
      <c r="AW470" s="17" t="s">
        <v>322</v>
      </c>
      <c r="AX470" s="17" t="s">
        <v>179</v>
      </c>
      <c r="BI470" s="17" t="s">
        <v>315</v>
      </c>
      <c r="BJ470" s="17" t="s">
        <v>316</v>
      </c>
      <c r="BK470" s="17" t="s">
        <v>317</v>
      </c>
      <c r="BL470" s="17" t="s">
        <v>318</v>
      </c>
      <c r="BM470" s="17" t="s">
        <v>319</v>
      </c>
    </row>
    <row r="471" spans="30:65" x14ac:dyDescent="0.3">
      <c r="AD471" t="s">
        <v>552</v>
      </c>
      <c r="AE471" s="17" t="s">
        <v>248</v>
      </c>
      <c r="AF471" s="17" t="s">
        <v>322</v>
      </c>
      <c r="AG471" s="17" t="s">
        <v>322</v>
      </c>
      <c r="AH471" s="17" t="s">
        <v>322</v>
      </c>
      <c r="AI471" s="17" t="s">
        <v>322</v>
      </c>
      <c r="AS471" t="s">
        <v>514</v>
      </c>
      <c r="AT471" s="17" t="s">
        <v>322</v>
      </c>
      <c r="AU471" s="17" t="s">
        <v>322</v>
      </c>
      <c r="AV471" s="17" t="s">
        <v>179</v>
      </c>
      <c r="AW471" s="17" t="s">
        <v>322</v>
      </c>
      <c r="AX471" s="17" t="s">
        <v>179</v>
      </c>
      <c r="BH471" t="s">
        <v>512</v>
      </c>
      <c r="BI471" s="17" t="s">
        <v>322</v>
      </c>
      <c r="BJ471" s="17" t="s">
        <v>322</v>
      </c>
      <c r="BK471" s="17" t="s">
        <v>179</v>
      </c>
      <c r="BL471" s="17" t="s">
        <v>322</v>
      </c>
      <c r="BM471" s="17" t="s">
        <v>179</v>
      </c>
    </row>
    <row r="472" spans="30:65" x14ac:dyDescent="0.3">
      <c r="AD472" t="s">
        <v>554</v>
      </c>
      <c r="AE472" s="17" t="s">
        <v>248</v>
      </c>
      <c r="AF472" s="17" t="s">
        <v>322</v>
      </c>
      <c r="AG472" s="17" t="s">
        <v>322</v>
      </c>
      <c r="AH472" s="17" t="s">
        <v>322</v>
      </c>
      <c r="AI472" s="17" t="s">
        <v>322</v>
      </c>
      <c r="AS472" t="s">
        <v>517</v>
      </c>
      <c r="AT472" s="17" t="s">
        <v>322</v>
      </c>
      <c r="AU472" s="17" t="s">
        <v>322</v>
      </c>
      <c r="AV472" s="17" t="s">
        <v>179</v>
      </c>
      <c r="AW472" s="17" t="s">
        <v>322</v>
      </c>
      <c r="AX472" s="17" t="s">
        <v>179</v>
      </c>
      <c r="BH472" t="s">
        <v>514</v>
      </c>
      <c r="BI472" s="17" t="s">
        <v>322</v>
      </c>
      <c r="BJ472" s="17" t="s">
        <v>322</v>
      </c>
      <c r="BK472" s="17" t="s">
        <v>179</v>
      </c>
      <c r="BL472" s="17" t="s">
        <v>322</v>
      </c>
      <c r="BM472" s="17" t="s">
        <v>179</v>
      </c>
    </row>
    <row r="473" spans="30:65" x14ac:dyDescent="0.3">
      <c r="BH473" t="s">
        <v>517</v>
      </c>
      <c r="BI473" s="17" t="s">
        <v>322</v>
      </c>
      <c r="BJ473" s="17" t="s">
        <v>322</v>
      </c>
      <c r="BK473" s="17" t="s">
        <v>179</v>
      </c>
      <c r="BL473" s="17" t="s">
        <v>322</v>
      </c>
      <c r="BM473" s="17" t="s">
        <v>179</v>
      </c>
    </row>
    <row r="474" spans="30:65" x14ac:dyDescent="0.3">
      <c r="AD474" t="s">
        <v>813</v>
      </c>
      <c r="AS474" t="s">
        <v>811</v>
      </c>
    </row>
    <row r="475" spans="30:65" x14ac:dyDescent="0.3">
      <c r="AE475" s="17" t="s">
        <v>315</v>
      </c>
      <c r="AF475" s="17" t="s">
        <v>316</v>
      </c>
      <c r="AG475" s="17" t="s">
        <v>317</v>
      </c>
      <c r="AH475" s="17" t="s">
        <v>318</v>
      </c>
      <c r="AI475" s="17" t="s">
        <v>319</v>
      </c>
      <c r="AT475" s="17" t="s">
        <v>315</v>
      </c>
      <c r="AU475" s="17" t="s">
        <v>316</v>
      </c>
      <c r="AV475" s="17" t="s">
        <v>317</v>
      </c>
      <c r="AW475" s="17" t="s">
        <v>318</v>
      </c>
      <c r="AX475" s="17" t="s">
        <v>319</v>
      </c>
      <c r="BH475" t="s">
        <v>811</v>
      </c>
    </row>
    <row r="476" spans="30:65" x14ac:dyDescent="0.3">
      <c r="AD476" t="s">
        <v>512</v>
      </c>
      <c r="AE476" s="17" t="s">
        <v>322</v>
      </c>
      <c r="AF476" s="17" t="s">
        <v>322</v>
      </c>
      <c r="AG476" s="17" t="s">
        <v>122</v>
      </c>
      <c r="AH476" s="17" t="s">
        <v>322</v>
      </c>
      <c r="AI476" s="17" t="s">
        <v>322</v>
      </c>
      <c r="AS476" t="s">
        <v>551</v>
      </c>
      <c r="AT476" s="17" t="s">
        <v>248</v>
      </c>
      <c r="AU476" s="17" t="s">
        <v>322</v>
      </c>
      <c r="AV476" s="17" t="s">
        <v>322</v>
      </c>
      <c r="AW476" s="17" t="s">
        <v>322</v>
      </c>
      <c r="AX476" s="17" t="s">
        <v>322</v>
      </c>
      <c r="BI476" s="17" t="s">
        <v>315</v>
      </c>
      <c r="BJ476" s="17" t="s">
        <v>316</v>
      </c>
      <c r="BK476" s="17" t="s">
        <v>317</v>
      </c>
      <c r="BL476" s="17" t="s">
        <v>318</v>
      </c>
      <c r="BM476" s="17" t="s">
        <v>319</v>
      </c>
    </row>
    <row r="477" spans="30:65" x14ac:dyDescent="0.3">
      <c r="AD477" t="s">
        <v>514</v>
      </c>
      <c r="AE477" s="17" t="s">
        <v>322</v>
      </c>
      <c r="AF477" s="17" t="s">
        <v>322</v>
      </c>
      <c r="AG477" s="17" t="s">
        <v>122</v>
      </c>
      <c r="AH477" s="17" t="s">
        <v>322</v>
      </c>
      <c r="AI477" s="17" t="s">
        <v>322</v>
      </c>
      <c r="AS477" t="s">
        <v>552</v>
      </c>
      <c r="AT477" s="17" t="s">
        <v>248</v>
      </c>
      <c r="AU477" s="17" t="s">
        <v>322</v>
      </c>
      <c r="AV477" s="17" t="s">
        <v>322</v>
      </c>
      <c r="AW477" s="17" t="s">
        <v>322</v>
      </c>
      <c r="AX477" s="17" t="s">
        <v>322</v>
      </c>
      <c r="BH477" t="s">
        <v>551</v>
      </c>
      <c r="BI477" s="17" t="s">
        <v>248</v>
      </c>
      <c r="BJ477" s="17" t="s">
        <v>322</v>
      </c>
      <c r="BK477" s="17" t="s">
        <v>322</v>
      </c>
      <c r="BL477" s="17" t="s">
        <v>322</v>
      </c>
      <c r="BM477" s="17" t="s">
        <v>322</v>
      </c>
    </row>
    <row r="478" spans="30:65" x14ac:dyDescent="0.3">
      <c r="AD478" t="s">
        <v>328</v>
      </c>
      <c r="AE478" s="17" t="s">
        <v>322</v>
      </c>
      <c r="AF478" s="17" t="s">
        <v>122</v>
      </c>
      <c r="AG478" s="17" t="s">
        <v>322</v>
      </c>
      <c r="AH478" s="17" t="s">
        <v>322</v>
      </c>
      <c r="AI478" s="17" t="s">
        <v>322</v>
      </c>
      <c r="AS478" t="s">
        <v>554</v>
      </c>
      <c r="AT478" s="17" t="s">
        <v>248</v>
      </c>
      <c r="AU478" s="17" t="s">
        <v>322</v>
      </c>
      <c r="AV478" s="17" t="s">
        <v>322</v>
      </c>
      <c r="AW478" s="17" t="s">
        <v>322</v>
      </c>
      <c r="AX478" s="17" t="s">
        <v>322</v>
      </c>
      <c r="BH478" t="s">
        <v>552</v>
      </c>
      <c r="BI478" s="17" t="s">
        <v>248</v>
      </c>
      <c r="BJ478" s="17" t="s">
        <v>322</v>
      </c>
      <c r="BK478" s="17" t="s">
        <v>322</v>
      </c>
      <c r="BL478" s="17" t="s">
        <v>322</v>
      </c>
      <c r="BM478" s="17" t="s">
        <v>322</v>
      </c>
    </row>
    <row r="479" spans="30:65" x14ac:dyDescent="0.3">
      <c r="AD479" t="s">
        <v>350</v>
      </c>
      <c r="AE479" s="17" t="s">
        <v>322</v>
      </c>
      <c r="AF479" s="17" t="s">
        <v>122</v>
      </c>
      <c r="AG479" s="17" t="s">
        <v>322</v>
      </c>
      <c r="AH479" s="17" t="s">
        <v>322</v>
      </c>
      <c r="AI479" s="17" t="s">
        <v>322</v>
      </c>
      <c r="BH479" t="s">
        <v>554</v>
      </c>
      <c r="BI479" s="17" t="s">
        <v>248</v>
      </c>
      <c r="BJ479" s="17" t="s">
        <v>322</v>
      </c>
      <c r="BK479" s="17" t="s">
        <v>322</v>
      </c>
      <c r="BL479" s="17" t="s">
        <v>322</v>
      </c>
      <c r="BM479" s="17" t="s">
        <v>322</v>
      </c>
    </row>
    <row r="480" spans="30:65" x14ac:dyDescent="0.3">
      <c r="AS480" t="s">
        <v>813</v>
      </c>
    </row>
    <row r="481" spans="30:65" x14ac:dyDescent="0.3">
      <c r="AD481" t="s">
        <v>814</v>
      </c>
      <c r="AT481" s="17" t="s">
        <v>315</v>
      </c>
      <c r="AU481" s="17" t="s">
        <v>316</v>
      </c>
      <c r="AV481" s="17" t="s">
        <v>317</v>
      </c>
      <c r="AW481" s="17" t="s">
        <v>318</v>
      </c>
      <c r="AX481" s="17" t="s">
        <v>319</v>
      </c>
      <c r="BH481" t="s">
        <v>813</v>
      </c>
    </row>
    <row r="482" spans="30:65" x14ac:dyDescent="0.3">
      <c r="AE482" s="17" t="s">
        <v>315</v>
      </c>
      <c r="AF482" s="17" t="s">
        <v>316</v>
      </c>
      <c r="AG482" s="17" t="s">
        <v>317</v>
      </c>
      <c r="AH482" s="17" t="s">
        <v>318</v>
      </c>
      <c r="AI482" s="17" t="s">
        <v>319</v>
      </c>
      <c r="AS482" t="s">
        <v>512</v>
      </c>
      <c r="AT482" s="17" t="s">
        <v>322</v>
      </c>
      <c r="AU482" s="17" t="s">
        <v>322</v>
      </c>
      <c r="AV482" s="17" t="s">
        <v>122</v>
      </c>
      <c r="AW482" s="17" t="s">
        <v>322</v>
      </c>
      <c r="AX482" s="17" t="s">
        <v>322</v>
      </c>
      <c r="BI482" s="17" t="s">
        <v>315</v>
      </c>
      <c r="BJ482" s="17" t="s">
        <v>316</v>
      </c>
      <c r="BK482" s="17" t="s">
        <v>317</v>
      </c>
      <c r="BL482" s="17" t="s">
        <v>318</v>
      </c>
      <c r="BM482" s="17" t="s">
        <v>319</v>
      </c>
    </row>
    <row r="483" spans="30:65" x14ac:dyDescent="0.3">
      <c r="AD483" t="s">
        <v>512</v>
      </c>
      <c r="AE483" s="17" t="s">
        <v>173</v>
      </c>
      <c r="AF483" s="17" t="s">
        <v>322</v>
      </c>
      <c r="AG483" s="17" t="s">
        <v>322</v>
      </c>
      <c r="AH483" s="17" t="s">
        <v>322</v>
      </c>
      <c r="AI483" s="17" t="s">
        <v>322</v>
      </c>
      <c r="AS483" t="s">
        <v>514</v>
      </c>
      <c r="AT483" s="17" t="s">
        <v>322</v>
      </c>
      <c r="AU483" s="17" t="s">
        <v>322</v>
      </c>
      <c r="AV483" s="17" t="s">
        <v>122</v>
      </c>
      <c r="AW483" s="17" t="s">
        <v>322</v>
      </c>
      <c r="AX483" s="17" t="s">
        <v>322</v>
      </c>
      <c r="BH483" t="s">
        <v>512</v>
      </c>
      <c r="BI483" s="17" t="s">
        <v>322</v>
      </c>
      <c r="BJ483" s="17" t="s">
        <v>322</v>
      </c>
      <c r="BK483" s="17" t="s">
        <v>122</v>
      </c>
      <c r="BL483" s="17" t="s">
        <v>322</v>
      </c>
      <c r="BM483" s="17" t="s">
        <v>322</v>
      </c>
    </row>
    <row r="484" spans="30:65" x14ac:dyDescent="0.3">
      <c r="AD484" t="s">
        <v>514</v>
      </c>
      <c r="AE484" s="17" t="s">
        <v>173</v>
      </c>
      <c r="AF484" s="17" t="s">
        <v>322</v>
      </c>
      <c r="AG484" s="17" t="s">
        <v>322</v>
      </c>
      <c r="AH484" s="17" t="s">
        <v>322</v>
      </c>
      <c r="AI484" s="17" t="s">
        <v>322</v>
      </c>
      <c r="AS484" t="s">
        <v>328</v>
      </c>
      <c r="AT484" s="17" t="s">
        <v>322</v>
      </c>
      <c r="AU484" s="17" t="s">
        <v>122</v>
      </c>
      <c r="AV484" s="17" t="s">
        <v>322</v>
      </c>
      <c r="AW484" s="17" t="s">
        <v>322</v>
      </c>
      <c r="AX484" s="17" t="s">
        <v>322</v>
      </c>
      <c r="BH484" t="s">
        <v>514</v>
      </c>
      <c r="BI484" s="17" t="s">
        <v>322</v>
      </c>
      <c r="BJ484" s="17" t="s">
        <v>322</v>
      </c>
      <c r="BK484" s="17" t="s">
        <v>122</v>
      </c>
      <c r="BL484" s="17" t="s">
        <v>322</v>
      </c>
      <c r="BM484" s="17" t="s">
        <v>322</v>
      </c>
    </row>
    <row r="485" spans="30:65" x14ac:dyDescent="0.3">
      <c r="AD485" t="s">
        <v>517</v>
      </c>
      <c r="AE485" s="17" t="s">
        <v>173</v>
      </c>
      <c r="AF485" s="17" t="s">
        <v>322</v>
      </c>
      <c r="AG485" s="17" t="s">
        <v>322</v>
      </c>
      <c r="AH485" s="17" t="s">
        <v>322</v>
      </c>
      <c r="AI485" s="17" t="s">
        <v>322</v>
      </c>
      <c r="AS485" t="s">
        <v>350</v>
      </c>
      <c r="AT485" s="17" t="s">
        <v>322</v>
      </c>
      <c r="AU485" s="17" t="s">
        <v>122</v>
      </c>
      <c r="AV485" s="17" t="s">
        <v>322</v>
      </c>
      <c r="AW485" s="17" t="s">
        <v>322</v>
      </c>
      <c r="AX485" s="17" t="s">
        <v>322</v>
      </c>
      <c r="BH485" t="s">
        <v>328</v>
      </c>
      <c r="BI485" s="17" t="s">
        <v>322</v>
      </c>
      <c r="BJ485" s="17" t="s">
        <v>122</v>
      </c>
      <c r="BK485" s="17" t="s">
        <v>322</v>
      </c>
      <c r="BL485" s="17" t="s">
        <v>322</v>
      </c>
      <c r="BM485" s="17" t="s">
        <v>322</v>
      </c>
    </row>
    <row r="486" spans="30:65" x14ac:dyDescent="0.3">
      <c r="AD486" t="s">
        <v>326</v>
      </c>
      <c r="AE486" s="17" t="s">
        <v>173</v>
      </c>
      <c r="AF486" s="17" t="s">
        <v>322</v>
      </c>
      <c r="AG486" s="17" t="s">
        <v>322</v>
      </c>
      <c r="AH486" s="17" t="s">
        <v>322</v>
      </c>
      <c r="AI486" s="17" t="s">
        <v>322</v>
      </c>
      <c r="BH486" t="s">
        <v>350</v>
      </c>
      <c r="BI486" s="17" t="s">
        <v>322</v>
      </c>
      <c r="BJ486" s="17" t="s">
        <v>122</v>
      </c>
      <c r="BK486" s="17" t="s">
        <v>322</v>
      </c>
      <c r="BL486" s="17" t="s">
        <v>322</v>
      </c>
      <c r="BM486" s="17" t="s">
        <v>322</v>
      </c>
    </row>
    <row r="487" spans="30:65" x14ac:dyDescent="0.3">
      <c r="AD487" t="s">
        <v>328</v>
      </c>
      <c r="AE487" s="17" t="s">
        <v>173</v>
      </c>
      <c r="AF487" s="17" t="s">
        <v>322</v>
      </c>
      <c r="AG487" s="17" t="s">
        <v>322</v>
      </c>
      <c r="AH487" s="17" t="s">
        <v>322</v>
      </c>
      <c r="AI487" s="17" t="s">
        <v>322</v>
      </c>
      <c r="AS487" t="s">
        <v>814</v>
      </c>
    </row>
    <row r="488" spans="30:65" x14ac:dyDescent="0.3">
      <c r="AD488" t="s">
        <v>350</v>
      </c>
      <c r="AE488" s="17" t="s">
        <v>173</v>
      </c>
      <c r="AF488" s="17" t="s">
        <v>322</v>
      </c>
      <c r="AG488" s="17" t="s">
        <v>322</v>
      </c>
      <c r="AH488" s="17" t="s">
        <v>322</v>
      </c>
      <c r="AI488" s="17" t="s">
        <v>322</v>
      </c>
      <c r="AT488" s="17" t="s">
        <v>315</v>
      </c>
      <c r="AU488" s="17" t="s">
        <v>316</v>
      </c>
      <c r="AV488" s="17" t="s">
        <v>317</v>
      </c>
      <c r="AW488" s="17" t="s">
        <v>318</v>
      </c>
      <c r="AX488" s="17" t="s">
        <v>319</v>
      </c>
      <c r="BH488" t="s">
        <v>814</v>
      </c>
    </row>
    <row r="489" spans="30:65" x14ac:dyDescent="0.3">
      <c r="AS489" t="s">
        <v>512</v>
      </c>
      <c r="AT489" s="17" t="s">
        <v>173</v>
      </c>
      <c r="AU489" s="17" t="s">
        <v>322</v>
      </c>
      <c r="AV489" s="17" t="s">
        <v>322</v>
      </c>
      <c r="AW489" s="17" t="s">
        <v>322</v>
      </c>
      <c r="AX489" s="17" t="s">
        <v>322</v>
      </c>
      <c r="BI489" s="17" t="s">
        <v>315</v>
      </c>
      <c r="BJ489" s="17" t="s">
        <v>316</v>
      </c>
      <c r="BK489" s="17" t="s">
        <v>317</v>
      </c>
      <c r="BL489" s="17" t="s">
        <v>318</v>
      </c>
      <c r="BM489" s="17" t="s">
        <v>319</v>
      </c>
    </row>
    <row r="490" spans="30:65" x14ac:dyDescent="0.3">
      <c r="AD490" t="s">
        <v>815</v>
      </c>
      <c r="AS490" t="s">
        <v>514</v>
      </c>
      <c r="AT490" s="17" t="s">
        <v>173</v>
      </c>
      <c r="AU490" s="17" t="s">
        <v>322</v>
      </c>
      <c r="AV490" s="17" t="s">
        <v>322</v>
      </c>
      <c r="AW490" s="17" t="s">
        <v>322</v>
      </c>
      <c r="AX490" s="17" t="s">
        <v>322</v>
      </c>
      <c r="BH490" t="s">
        <v>512</v>
      </c>
      <c r="BI490" s="17" t="s">
        <v>173</v>
      </c>
      <c r="BJ490" s="17" t="s">
        <v>322</v>
      </c>
      <c r="BK490" s="17" t="s">
        <v>322</v>
      </c>
      <c r="BL490" s="17" t="s">
        <v>322</v>
      </c>
      <c r="BM490" s="17" t="s">
        <v>322</v>
      </c>
    </row>
    <row r="491" spans="30:65" x14ac:dyDescent="0.3">
      <c r="AE491" s="17" t="s">
        <v>315</v>
      </c>
      <c r="AF491" s="17" t="s">
        <v>316</v>
      </c>
      <c r="AG491" s="17" t="s">
        <v>317</v>
      </c>
      <c r="AH491" s="17" t="s">
        <v>318</v>
      </c>
      <c r="AI491" s="17" t="s">
        <v>319</v>
      </c>
      <c r="AS491" t="s">
        <v>517</v>
      </c>
      <c r="AT491" s="17" t="s">
        <v>173</v>
      </c>
      <c r="AU491" s="17" t="s">
        <v>322</v>
      </c>
      <c r="AV491" s="17" t="s">
        <v>322</v>
      </c>
      <c r="AW491" s="17" t="s">
        <v>322</v>
      </c>
      <c r="AX491" s="17" t="s">
        <v>322</v>
      </c>
      <c r="BH491" t="s">
        <v>514</v>
      </c>
      <c r="BI491" s="17" t="s">
        <v>173</v>
      </c>
      <c r="BJ491" s="17" t="s">
        <v>322</v>
      </c>
      <c r="BK491" s="17" t="s">
        <v>322</v>
      </c>
      <c r="BL491" s="17" t="s">
        <v>322</v>
      </c>
      <c r="BM491" s="17" t="s">
        <v>322</v>
      </c>
    </row>
    <row r="492" spans="30:65" x14ac:dyDescent="0.3">
      <c r="AD492" t="s">
        <v>561</v>
      </c>
      <c r="AE492" s="17" t="s">
        <v>50</v>
      </c>
      <c r="AF492" s="17" t="s">
        <v>322</v>
      </c>
      <c r="AG492" s="17" t="s">
        <v>322</v>
      </c>
      <c r="AH492" s="17" t="s">
        <v>322</v>
      </c>
      <c r="AI492" s="17" t="s">
        <v>50</v>
      </c>
      <c r="AS492" t="s">
        <v>326</v>
      </c>
      <c r="AT492" s="17" t="s">
        <v>173</v>
      </c>
      <c r="AU492" s="17" t="s">
        <v>322</v>
      </c>
      <c r="AV492" s="17" t="s">
        <v>322</v>
      </c>
      <c r="AW492" s="17" t="s">
        <v>322</v>
      </c>
      <c r="AX492" s="17" t="s">
        <v>322</v>
      </c>
      <c r="BH492" t="s">
        <v>517</v>
      </c>
      <c r="BI492" s="17" t="s">
        <v>173</v>
      </c>
      <c r="BJ492" s="17" t="s">
        <v>322</v>
      </c>
      <c r="BK492" s="17" t="s">
        <v>322</v>
      </c>
      <c r="BL492" s="17" t="s">
        <v>322</v>
      </c>
      <c r="BM492" s="17" t="s">
        <v>322</v>
      </c>
    </row>
    <row r="493" spans="30:65" x14ac:dyDescent="0.3">
      <c r="AD493" t="s">
        <v>551</v>
      </c>
      <c r="AE493" s="17" t="s">
        <v>50</v>
      </c>
      <c r="AF493" s="17" t="s">
        <v>322</v>
      </c>
      <c r="AG493" s="17" t="s">
        <v>322</v>
      </c>
      <c r="AH493" s="17" t="s">
        <v>322</v>
      </c>
      <c r="AI493" s="17" t="s">
        <v>50</v>
      </c>
      <c r="AS493" t="s">
        <v>328</v>
      </c>
      <c r="AT493" s="17" t="s">
        <v>173</v>
      </c>
      <c r="AU493" s="17" t="s">
        <v>322</v>
      </c>
      <c r="AV493" s="17" t="s">
        <v>322</v>
      </c>
      <c r="AW493" s="17" t="s">
        <v>322</v>
      </c>
      <c r="AX493" s="17" t="s">
        <v>322</v>
      </c>
      <c r="BH493" t="s">
        <v>326</v>
      </c>
      <c r="BI493" s="17" t="s">
        <v>173</v>
      </c>
      <c r="BJ493" s="17" t="s">
        <v>322</v>
      </c>
      <c r="BK493" s="17" t="s">
        <v>322</v>
      </c>
      <c r="BL493" s="17" t="s">
        <v>322</v>
      </c>
      <c r="BM493" s="17" t="s">
        <v>322</v>
      </c>
    </row>
    <row r="494" spans="30:65" x14ac:dyDescent="0.3">
      <c r="AD494" t="s">
        <v>552</v>
      </c>
      <c r="AE494" s="17" t="s">
        <v>50</v>
      </c>
      <c r="AF494" s="17" t="s">
        <v>322</v>
      </c>
      <c r="AG494" s="17" t="s">
        <v>322</v>
      </c>
      <c r="AH494" s="17" t="s">
        <v>322</v>
      </c>
      <c r="AI494" s="17" t="s">
        <v>322</v>
      </c>
      <c r="AS494" t="s">
        <v>350</v>
      </c>
      <c r="AT494" s="17" t="s">
        <v>173</v>
      </c>
      <c r="AU494" s="17" t="s">
        <v>322</v>
      </c>
      <c r="AV494" s="17" t="s">
        <v>322</v>
      </c>
      <c r="AW494" s="17" t="s">
        <v>322</v>
      </c>
      <c r="AX494" s="17" t="s">
        <v>322</v>
      </c>
      <c r="BH494" t="s">
        <v>328</v>
      </c>
      <c r="BI494" s="17" t="s">
        <v>173</v>
      </c>
      <c r="BJ494" s="17" t="s">
        <v>322</v>
      </c>
      <c r="BK494" s="17" t="s">
        <v>322</v>
      </c>
      <c r="BL494" s="17" t="s">
        <v>322</v>
      </c>
      <c r="BM494" s="17" t="s">
        <v>322</v>
      </c>
    </row>
    <row r="495" spans="30:65" x14ac:dyDescent="0.3">
      <c r="BH495" t="s">
        <v>350</v>
      </c>
      <c r="BI495" s="17" t="s">
        <v>173</v>
      </c>
      <c r="BJ495" s="17" t="s">
        <v>322</v>
      </c>
      <c r="BK495" s="17" t="s">
        <v>322</v>
      </c>
      <c r="BL495" s="17" t="s">
        <v>322</v>
      </c>
      <c r="BM495" s="17" t="s">
        <v>322</v>
      </c>
    </row>
    <row r="496" spans="30:65" x14ac:dyDescent="0.3">
      <c r="AD496" t="s">
        <v>816</v>
      </c>
      <c r="AS496" t="s">
        <v>815</v>
      </c>
    </row>
    <row r="497" spans="30:65" x14ac:dyDescent="0.3">
      <c r="AE497" s="17" t="s">
        <v>315</v>
      </c>
      <c r="AF497" s="17" t="s">
        <v>316</v>
      </c>
      <c r="AG497" s="17" t="s">
        <v>317</v>
      </c>
      <c r="AH497" s="17" t="s">
        <v>318</v>
      </c>
      <c r="AI497" s="17" t="s">
        <v>319</v>
      </c>
      <c r="AT497" s="17" t="s">
        <v>315</v>
      </c>
      <c r="AU497" s="17" t="s">
        <v>316</v>
      </c>
      <c r="AV497" s="17" t="s">
        <v>317</v>
      </c>
      <c r="AW497" s="17" t="s">
        <v>318</v>
      </c>
      <c r="AX497" s="17" t="s">
        <v>319</v>
      </c>
      <c r="BH497" t="s">
        <v>815</v>
      </c>
    </row>
    <row r="498" spans="30:65" x14ac:dyDescent="0.3">
      <c r="AD498" t="s">
        <v>539</v>
      </c>
      <c r="AE498" s="17" t="s">
        <v>322</v>
      </c>
      <c r="AF498" s="17" t="s">
        <v>235</v>
      </c>
      <c r="AG498" s="17" t="s">
        <v>322</v>
      </c>
      <c r="AH498" s="17" t="s">
        <v>322</v>
      </c>
      <c r="AI498" s="17" t="s">
        <v>322</v>
      </c>
      <c r="AS498" t="s">
        <v>561</v>
      </c>
      <c r="AT498" s="17" t="s">
        <v>50</v>
      </c>
      <c r="AU498" s="17" t="s">
        <v>322</v>
      </c>
      <c r="AV498" s="17" t="s">
        <v>322</v>
      </c>
      <c r="AW498" s="17" t="s">
        <v>322</v>
      </c>
      <c r="AX498" s="17" t="s">
        <v>322</v>
      </c>
      <c r="BI498" s="17" t="s">
        <v>315</v>
      </c>
      <c r="BJ498" s="17" t="s">
        <v>316</v>
      </c>
      <c r="BK498" s="17" t="s">
        <v>317</v>
      </c>
      <c r="BL498" s="17" t="s">
        <v>318</v>
      </c>
      <c r="BM498" s="17" t="s">
        <v>319</v>
      </c>
    </row>
    <row r="499" spans="30:65" x14ac:dyDescent="0.3">
      <c r="AD499" t="s">
        <v>543</v>
      </c>
      <c r="AE499" s="17" t="s">
        <v>322</v>
      </c>
      <c r="AF499" s="17" t="s">
        <v>235</v>
      </c>
      <c r="AG499" s="17" t="s">
        <v>322</v>
      </c>
      <c r="AH499" s="17" t="s">
        <v>322</v>
      </c>
      <c r="AI499" s="17" t="s">
        <v>322</v>
      </c>
      <c r="AS499" t="s">
        <v>551</v>
      </c>
      <c r="AT499" s="17" t="s">
        <v>50</v>
      </c>
      <c r="AU499" s="17" t="s">
        <v>322</v>
      </c>
      <c r="AV499" s="17" t="s">
        <v>322</v>
      </c>
      <c r="AW499" s="17" t="s">
        <v>322</v>
      </c>
      <c r="AX499" s="17" t="s">
        <v>50</v>
      </c>
      <c r="BH499" t="s">
        <v>561</v>
      </c>
      <c r="BI499" s="17" t="s">
        <v>50</v>
      </c>
      <c r="BJ499" s="17" t="s">
        <v>322</v>
      </c>
      <c r="BK499" s="17" t="s">
        <v>322</v>
      </c>
      <c r="BL499" s="17" t="s">
        <v>322</v>
      </c>
      <c r="BM499" s="17" t="s">
        <v>50</v>
      </c>
    </row>
    <row r="500" spans="30:65" x14ac:dyDescent="0.3">
      <c r="AD500" t="s">
        <v>573</v>
      </c>
      <c r="AE500" s="17" t="s">
        <v>322</v>
      </c>
      <c r="AF500" s="17" t="s">
        <v>235</v>
      </c>
      <c r="AG500" s="17" t="s">
        <v>322</v>
      </c>
      <c r="AH500" s="17" t="s">
        <v>265</v>
      </c>
      <c r="AI500" s="17" t="s">
        <v>322</v>
      </c>
      <c r="AS500" t="s">
        <v>552</v>
      </c>
      <c r="AT500" s="17" t="s">
        <v>50</v>
      </c>
      <c r="AU500" s="17" t="s">
        <v>322</v>
      </c>
      <c r="AV500" s="17" t="s">
        <v>322</v>
      </c>
      <c r="AW500" s="17" t="s">
        <v>322</v>
      </c>
      <c r="AX500" s="17" t="s">
        <v>50</v>
      </c>
      <c r="BH500" t="s">
        <v>551</v>
      </c>
      <c r="BI500" s="17" t="s">
        <v>50</v>
      </c>
      <c r="BJ500" s="17" t="s">
        <v>322</v>
      </c>
      <c r="BK500" s="17" t="s">
        <v>322</v>
      </c>
      <c r="BL500" s="17" t="s">
        <v>322</v>
      </c>
      <c r="BM500" s="17" t="s">
        <v>50</v>
      </c>
    </row>
    <row r="501" spans="30:65" x14ac:dyDescent="0.3">
      <c r="AD501" t="s">
        <v>561</v>
      </c>
      <c r="AE501" s="17" t="s">
        <v>322</v>
      </c>
      <c r="AF501" s="17" t="s">
        <v>235</v>
      </c>
      <c r="AG501" s="17" t="s">
        <v>322</v>
      </c>
      <c r="AH501" s="17" t="s">
        <v>265</v>
      </c>
      <c r="AI501" s="17" t="s">
        <v>322</v>
      </c>
      <c r="BH501" t="s">
        <v>552</v>
      </c>
      <c r="BI501" s="17" t="s">
        <v>50</v>
      </c>
      <c r="BJ501" s="17" t="s">
        <v>322</v>
      </c>
      <c r="BK501" s="17" t="s">
        <v>322</v>
      </c>
      <c r="BL501" s="17" t="s">
        <v>322</v>
      </c>
      <c r="BM501" s="17" t="s">
        <v>322</v>
      </c>
    </row>
    <row r="502" spans="30:65" x14ac:dyDescent="0.3">
      <c r="AD502" t="s">
        <v>551</v>
      </c>
      <c r="AE502" s="17" t="s">
        <v>322</v>
      </c>
      <c r="AF502" s="17" t="s">
        <v>322</v>
      </c>
      <c r="AG502" s="17" t="s">
        <v>322</v>
      </c>
      <c r="AH502" s="17" t="s">
        <v>265</v>
      </c>
      <c r="AI502" s="17" t="s">
        <v>322</v>
      </c>
      <c r="AS502" t="s">
        <v>816</v>
      </c>
    </row>
    <row r="503" spans="30:65" x14ac:dyDescent="0.3">
      <c r="AD503" t="s">
        <v>552</v>
      </c>
      <c r="AE503" s="17" t="s">
        <v>322</v>
      </c>
      <c r="AF503" s="17" t="s">
        <v>322</v>
      </c>
      <c r="AG503" s="17" t="s">
        <v>322</v>
      </c>
      <c r="AH503" s="17" t="s">
        <v>265</v>
      </c>
      <c r="AI503" s="17" t="s">
        <v>322</v>
      </c>
      <c r="AT503" s="17" t="s">
        <v>315</v>
      </c>
      <c r="AU503" s="17" t="s">
        <v>316</v>
      </c>
      <c r="AV503" s="17" t="s">
        <v>317</v>
      </c>
      <c r="AW503" s="17" t="s">
        <v>318</v>
      </c>
      <c r="AX503" s="17" t="s">
        <v>319</v>
      </c>
      <c r="BH503" t="s">
        <v>816</v>
      </c>
    </row>
    <row r="504" spans="30:65" x14ac:dyDescent="0.3">
      <c r="AS504" t="s">
        <v>539</v>
      </c>
      <c r="AT504" s="17" t="s">
        <v>322</v>
      </c>
      <c r="AU504" s="17" t="s">
        <v>235</v>
      </c>
      <c r="AV504" s="17" t="s">
        <v>322</v>
      </c>
      <c r="AW504" s="17" t="s">
        <v>322</v>
      </c>
      <c r="AX504" s="17" t="s">
        <v>322</v>
      </c>
      <c r="BI504" s="17" t="s">
        <v>315</v>
      </c>
      <c r="BJ504" s="17" t="s">
        <v>316</v>
      </c>
      <c r="BK504" s="17" t="s">
        <v>317</v>
      </c>
      <c r="BL504" s="17" t="s">
        <v>318</v>
      </c>
      <c r="BM504" s="17" t="s">
        <v>319</v>
      </c>
    </row>
    <row r="505" spans="30:65" x14ac:dyDescent="0.3">
      <c r="AD505" t="s">
        <v>817</v>
      </c>
      <c r="AS505" t="s">
        <v>543</v>
      </c>
      <c r="AT505" s="17" t="s">
        <v>322</v>
      </c>
      <c r="AU505" s="17" t="s">
        <v>235</v>
      </c>
      <c r="AV505" s="17" t="s">
        <v>322</v>
      </c>
      <c r="AW505" s="17" t="s">
        <v>265</v>
      </c>
      <c r="AX505" s="17" t="s">
        <v>322</v>
      </c>
      <c r="BH505" t="s">
        <v>539</v>
      </c>
      <c r="BI505" s="17" t="s">
        <v>322</v>
      </c>
      <c r="BJ505" s="17" t="s">
        <v>235</v>
      </c>
      <c r="BK505" s="17" t="s">
        <v>322</v>
      </c>
      <c r="BL505" s="17" t="s">
        <v>322</v>
      </c>
      <c r="BM505" s="17" t="s">
        <v>322</v>
      </c>
    </row>
    <row r="506" spans="30:65" x14ac:dyDescent="0.3">
      <c r="AE506" s="17" t="s">
        <v>315</v>
      </c>
      <c r="AF506" s="17" t="s">
        <v>316</v>
      </c>
      <c r="AG506" s="17" t="s">
        <v>317</v>
      </c>
      <c r="AH506" s="17" t="s">
        <v>318</v>
      </c>
      <c r="AI506" s="17" t="s">
        <v>319</v>
      </c>
      <c r="AS506" t="s">
        <v>573</v>
      </c>
      <c r="AT506" s="17" t="s">
        <v>322</v>
      </c>
      <c r="AU506" s="17" t="s">
        <v>235</v>
      </c>
      <c r="AV506" s="17" t="s">
        <v>322</v>
      </c>
      <c r="AW506" s="17" t="s">
        <v>265</v>
      </c>
      <c r="AX506" s="17" t="s">
        <v>322</v>
      </c>
      <c r="BH506" t="s">
        <v>543</v>
      </c>
      <c r="BI506" s="17" t="s">
        <v>322</v>
      </c>
      <c r="BJ506" s="17" t="s">
        <v>235</v>
      </c>
      <c r="BK506" s="17" t="s">
        <v>322</v>
      </c>
      <c r="BL506" s="17" t="s">
        <v>322</v>
      </c>
      <c r="BM506" s="17" t="s">
        <v>322</v>
      </c>
    </row>
    <row r="507" spans="30:65" x14ac:dyDescent="0.3">
      <c r="AD507" t="s">
        <v>539</v>
      </c>
      <c r="AE507" s="17" t="s">
        <v>322</v>
      </c>
      <c r="AF507" s="17" t="s">
        <v>322</v>
      </c>
      <c r="AG507" s="17" t="s">
        <v>322</v>
      </c>
      <c r="AH507" s="17" t="s">
        <v>322</v>
      </c>
      <c r="AI507" s="17" t="s">
        <v>261</v>
      </c>
      <c r="AS507" t="s">
        <v>561</v>
      </c>
      <c r="AT507" s="17" t="s">
        <v>322</v>
      </c>
      <c r="AU507" s="17" t="s">
        <v>235</v>
      </c>
      <c r="AV507" s="17" t="s">
        <v>322</v>
      </c>
      <c r="AW507" s="17" t="s">
        <v>265</v>
      </c>
      <c r="AX507" s="17" t="s">
        <v>322</v>
      </c>
      <c r="BH507" t="s">
        <v>573</v>
      </c>
      <c r="BI507" s="17" t="s">
        <v>322</v>
      </c>
      <c r="BJ507" s="17" t="s">
        <v>235</v>
      </c>
      <c r="BK507" s="17" t="s">
        <v>322</v>
      </c>
      <c r="BL507" s="17" t="s">
        <v>265</v>
      </c>
      <c r="BM507" s="17" t="s">
        <v>322</v>
      </c>
    </row>
    <row r="508" spans="30:65" x14ac:dyDescent="0.3">
      <c r="AD508" t="s">
        <v>543</v>
      </c>
      <c r="AE508" s="17" t="s">
        <v>322</v>
      </c>
      <c r="AF508" s="17" t="s">
        <v>322</v>
      </c>
      <c r="AG508" s="17" t="s">
        <v>261</v>
      </c>
      <c r="AH508" s="17" t="s">
        <v>322</v>
      </c>
      <c r="AI508" s="17" t="s">
        <v>261</v>
      </c>
      <c r="AS508" t="s">
        <v>551</v>
      </c>
      <c r="AT508" s="17" t="s">
        <v>322</v>
      </c>
      <c r="AU508" s="17" t="s">
        <v>322</v>
      </c>
      <c r="AV508" s="17" t="s">
        <v>322</v>
      </c>
      <c r="AW508" s="17" t="s">
        <v>265</v>
      </c>
      <c r="AX508" s="17" t="s">
        <v>322</v>
      </c>
      <c r="BH508" t="s">
        <v>561</v>
      </c>
      <c r="BI508" s="17" t="s">
        <v>322</v>
      </c>
      <c r="BJ508" s="17" t="s">
        <v>235</v>
      </c>
      <c r="BK508" s="17" t="s">
        <v>322</v>
      </c>
      <c r="BL508" s="17" t="s">
        <v>265</v>
      </c>
      <c r="BM508" s="17" t="s">
        <v>322</v>
      </c>
    </row>
    <row r="509" spans="30:65" x14ac:dyDescent="0.3">
      <c r="AD509" t="s">
        <v>573</v>
      </c>
      <c r="AE509" s="17" t="s">
        <v>322</v>
      </c>
      <c r="AF509" s="17" t="s">
        <v>322</v>
      </c>
      <c r="AG509" s="17" t="s">
        <v>261</v>
      </c>
      <c r="AH509" s="17" t="s">
        <v>322</v>
      </c>
      <c r="AI509" s="17" t="s">
        <v>322</v>
      </c>
      <c r="BH509" t="s">
        <v>551</v>
      </c>
      <c r="BI509" s="17" t="s">
        <v>322</v>
      </c>
      <c r="BJ509" s="17" t="s">
        <v>322</v>
      </c>
      <c r="BK509" s="17" t="s">
        <v>322</v>
      </c>
      <c r="BL509" s="17" t="s">
        <v>265</v>
      </c>
      <c r="BM509" s="17" t="s">
        <v>322</v>
      </c>
    </row>
    <row r="510" spans="30:65" x14ac:dyDescent="0.3">
      <c r="AD510" t="s">
        <v>561</v>
      </c>
      <c r="AE510" s="17" t="s">
        <v>322</v>
      </c>
      <c r="AF510" s="17" t="s">
        <v>322</v>
      </c>
      <c r="AG510" s="17" t="s">
        <v>261</v>
      </c>
      <c r="AH510" s="17" t="s">
        <v>322</v>
      </c>
      <c r="AI510" s="17" t="s">
        <v>322</v>
      </c>
      <c r="AS510" t="s">
        <v>817</v>
      </c>
      <c r="BH510" t="s">
        <v>552</v>
      </c>
      <c r="BI510" s="17" t="s">
        <v>322</v>
      </c>
      <c r="BJ510" s="17" t="s">
        <v>322</v>
      </c>
      <c r="BK510" s="17" t="s">
        <v>322</v>
      </c>
      <c r="BL510" s="17" t="s">
        <v>265</v>
      </c>
      <c r="BM510" s="17" t="s">
        <v>322</v>
      </c>
    </row>
    <row r="511" spans="30:65" x14ac:dyDescent="0.3">
      <c r="AT511" s="17" t="s">
        <v>315</v>
      </c>
      <c r="AU511" s="17" t="s">
        <v>316</v>
      </c>
      <c r="AV511" s="17" t="s">
        <v>317</v>
      </c>
      <c r="AW511" s="17" t="s">
        <v>318</v>
      </c>
      <c r="AX511" s="17" t="s">
        <v>319</v>
      </c>
    </row>
    <row r="512" spans="30:65" x14ac:dyDescent="0.3">
      <c r="AD512" t="s">
        <v>818</v>
      </c>
      <c r="AS512" t="s">
        <v>539</v>
      </c>
      <c r="AT512" s="17" t="s">
        <v>322</v>
      </c>
      <c r="AU512" s="17" t="s">
        <v>322</v>
      </c>
      <c r="AV512" s="17" t="s">
        <v>322</v>
      </c>
      <c r="AW512" s="17" t="s">
        <v>322</v>
      </c>
      <c r="AX512" s="17" t="s">
        <v>261</v>
      </c>
      <c r="BH512" t="s">
        <v>817</v>
      </c>
    </row>
    <row r="513" spans="30:65" x14ac:dyDescent="0.3">
      <c r="AE513" s="17" t="s">
        <v>315</v>
      </c>
      <c r="AF513" s="17" t="s">
        <v>316</v>
      </c>
      <c r="AG513" s="17" t="s">
        <v>317</v>
      </c>
      <c r="AH513" s="17" t="s">
        <v>318</v>
      </c>
      <c r="AI513" s="17" t="s">
        <v>319</v>
      </c>
      <c r="AS513" t="s">
        <v>543</v>
      </c>
      <c r="AT513" s="17" t="s">
        <v>322</v>
      </c>
      <c r="AU513" s="17" t="s">
        <v>322</v>
      </c>
      <c r="AV513" s="17" t="s">
        <v>261</v>
      </c>
      <c r="AW513" s="17" t="s">
        <v>322</v>
      </c>
      <c r="AX513" s="17" t="s">
        <v>261</v>
      </c>
      <c r="BI513" s="17" t="s">
        <v>315</v>
      </c>
      <c r="BJ513" s="17" t="s">
        <v>316</v>
      </c>
      <c r="BK513" s="17" t="s">
        <v>317</v>
      </c>
      <c r="BL513" s="17" t="s">
        <v>318</v>
      </c>
      <c r="BM513" s="17" t="s">
        <v>319</v>
      </c>
    </row>
    <row r="514" spans="30:65" x14ac:dyDescent="0.3">
      <c r="AD514" t="s">
        <v>512</v>
      </c>
      <c r="AE514" s="17" t="s">
        <v>94</v>
      </c>
      <c r="AF514" s="17" t="s">
        <v>322</v>
      </c>
      <c r="AG514" s="17" t="s">
        <v>322</v>
      </c>
      <c r="AH514" s="17" t="s">
        <v>94</v>
      </c>
      <c r="AI514" s="17" t="s">
        <v>322</v>
      </c>
      <c r="AS514" t="s">
        <v>573</v>
      </c>
      <c r="AT514" s="17" t="s">
        <v>322</v>
      </c>
      <c r="AU514" s="17" t="s">
        <v>322</v>
      </c>
      <c r="AV514" s="17" t="s">
        <v>261</v>
      </c>
      <c r="AW514" s="17" t="s">
        <v>322</v>
      </c>
      <c r="AX514" s="17" t="s">
        <v>322</v>
      </c>
      <c r="BH514" t="s">
        <v>539</v>
      </c>
      <c r="BI514" s="17" t="s">
        <v>261</v>
      </c>
      <c r="BJ514" s="17" t="s">
        <v>322</v>
      </c>
      <c r="BK514" s="17" t="s">
        <v>261</v>
      </c>
      <c r="BL514" s="17" t="s">
        <v>322</v>
      </c>
      <c r="BM514" s="17" t="s">
        <v>322</v>
      </c>
    </row>
    <row r="515" spans="30:65" x14ac:dyDescent="0.3">
      <c r="AD515" t="s">
        <v>514</v>
      </c>
      <c r="AE515" s="17" t="s">
        <v>94</v>
      </c>
      <c r="AF515" s="17" t="s">
        <v>322</v>
      </c>
      <c r="AG515" s="17" t="s">
        <v>322</v>
      </c>
      <c r="AH515" s="17" t="s">
        <v>94</v>
      </c>
      <c r="AI515" s="17" t="s">
        <v>322</v>
      </c>
      <c r="AS515" t="s">
        <v>561</v>
      </c>
      <c r="AT515" s="17" t="s">
        <v>322</v>
      </c>
      <c r="AU515" s="17" t="s">
        <v>322</v>
      </c>
      <c r="AV515" s="17" t="s">
        <v>261</v>
      </c>
      <c r="AW515" s="17" t="s">
        <v>322</v>
      </c>
      <c r="AX515" s="17" t="s">
        <v>322</v>
      </c>
      <c r="BH515" t="s">
        <v>543</v>
      </c>
      <c r="BI515" s="17" t="s">
        <v>261</v>
      </c>
      <c r="BJ515" s="17" t="s">
        <v>322</v>
      </c>
      <c r="BK515" s="17" t="s">
        <v>261</v>
      </c>
      <c r="BL515" s="17" t="s">
        <v>322</v>
      </c>
      <c r="BM515" s="17" t="s">
        <v>322</v>
      </c>
    </row>
    <row r="516" spans="30:65" x14ac:dyDescent="0.3">
      <c r="AD516" t="s">
        <v>517</v>
      </c>
      <c r="AE516" s="17" t="s">
        <v>94</v>
      </c>
      <c r="AF516" s="17" t="s">
        <v>322</v>
      </c>
      <c r="AG516" s="17" t="s">
        <v>322</v>
      </c>
      <c r="AH516" s="17" t="s">
        <v>322</v>
      </c>
      <c r="AI516" s="17" t="s">
        <v>322</v>
      </c>
      <c r="BH516" t="s">
        <v>573</v>
      </c>
      <c r="BI516" s="17" t="s">
        <v>322</v>
      </c>
      <c r="BJ516" s="17" t="s">
        <v>322</v>
      </c>
      <c r="BK516" s="17" t="s">
        <v>261</v>
      </c>
      <c r="BL516" s="17" t="s">
        <v>322</v>
      </c>
      <c r="BM516" s="17" t="s">
        <v>322</v>
      </c>
    </row>
    <row r="517" spans="30:65" x14ac:dyDescent="0.3">
      <c r="AS517" t="s">
        <v>818</v>
      </c>
    </row>
    <row r="518" spans="30:65" x14ac:dyDescent="0.3">
      <c r="AD518" t="s">
        <v>819</v>
      </c>
      <c r="AT518" s="17" t="s">
        <v>315</v>
      </c>
      <c r="AU518" s="17" t="s">
        <v>316</v>
      </c>
      <c r="AV518" s="17" t="s">
        <v>317</v>
      </c>
      <c r="AW518" s="17" t="s">
        <v>318</v>
      </c>
      <c r="AX518" s="17" t="s">
        <v>319</v>
      </c>
      <c r="BH518" t="s">
        <v>818</v>
      </c>
    </row>
    <row r="519" spans="30:65" x14ac:dyDescent="0.3">
      <c r="AE519" s="17" t="s">
        <v>315</v>
      </c>
      <c r="AF519" s="17" t="s">
        <v>316</v>
      </c>
      <c r="AG519" s="17" t="s">
        <v>317</v>
      </c>
      <c r="AH519" s="17" t="s">
        <v>318</v>
      </c>
      <c r="AI519" s="17" t="s">
        <v>319</v>
      </c>
      <c r="AS519" t="s">
        <v>512</v>
      </c>
      <c r="AT519" s="17" t="s">
        <v>322</v>
      </c>
      <c r="AU519" s="17" t="s">
        <v>322</v>
      </c>
      <c r="AV519" s="17" t="s">
        <v>94</v>
      </c>
      <c r="AW519" s="17" t="s">
        <v>322</v>
      </c>
      <c r="AX519" s="17" t="s">
        <v>94</v>
      </c>
      <c r="BI519" s="17" t="s">
        <v>315</v>
      </c>
      <c r="BJ519" s="17" t="s">
        <v>316</v>
      </c>
      <c r="BK519" s="17" t="s">
        <v>317</v>
      </c>
      <c r="BL519" s="17" t="s">
        <v>318</v>
      </c>
      <c r="BM519" s="17" t="s">
        <v>319</v>
      </c>
    </row>
    <row r="520" spans="30:65" x14ac:dyDescent="0.3">
      <c r="AD520" t="s">
        <v>536</v>
      </c>
      <c r="AE520" s="17" t="s">
        <v>322</v>
      </c>
      <c r="AF520" s="17" t="s">
        <v>94</v>
      </c>
      <c r="AG520" s="17" t="s">
        <v>322</v>
      </c>
      <c r="AH520" s="17" t="s">
        <v>322</v>
      </c>
      <c r="AI520" s="17" t="s">
        <v>322</v>
      </c>
      <c r="AS520" t="s">
        <v>514</v>
      </c>
      <c r="AT520" s="17" t="s">
        <v>322</v>
      </c>
      <c r="AU520" s="17" t="s">
        <v>322</v>
      </c>
      <c r="AV520" s="17" t="s">
        <v>94</v>
      </c>
      <c r="AW520" s="17" t="s">
        <v>322</v>
      </c>
      <c r="AX520" s="17" t="s">
        <v>94</v>
      </c>
      <c r="BH520" t="s">
        <v>512</v>
      </c>
      <c r="BI520" s="17" t="s">
        <v>94</v>
      </c>
      <c r="BJ520" s="17" t="s">
        <v>322</v>
      </c>
      <c r="BK520" s="17" t="s">
        <v>322</v>
      </c>
      <c r="BL520" s="17" t="s">
        <v>94</v>
      </c>
      <c r="BM520" s="17" t="s">
        <v>322</v>
      </c>
    </row>
    <row r="521" spans="30:65" x14ac:dyDescent="0.3">
      <c r="AD521" t="s">
        <v>539</v>
      </c>
      <c r="AE521" s="17" t="s">
        <v>322</v>
      </c>
      <c r="AF521" s="17" t="s">
        <v>94</v>
      </c>
      <c r="AG521" s="17" t="s">
        <v>322</v>
      </c>
      <c r="AH521" s="17" t="s">
        <v>322</v>
      </c>
      <c r="AI521" s="17" t="s">
        <v>322</v>
      </c>
      <c r="AS521" t="s">
        <v>517</v>
      </c>
      <c r="AT521" s="17" t="s">
        <v>322</v>
      </c>
      <c r="AU521" s="17" t="s">
        <v>322</v>
      </c>
      <c r="AV521" s="17" t="s">
        <v>94</v>
      </c>
      <c r="AW521" s="17" t="s">
        <v>322</v>
      </c>
      <c r="AX521" s="17" t="s">
        <v>322</v>
      </c>
      <c r="BH521" t="s">
        <v>514</v>
      </c>
      <c r="BI521" s="17" t="s">
        <v>94</v>
      </c>
      <c r="BJ521" s="17" t="s">
        <v>322</v>
      </c>
      <c r="BK521" s="17" t="s">
        <v>322</v>
      </c>
      <c r="BL521" s="17" t="s">
        <v>94</v>
      </c>
      <c r="BM521" s="17" t="s">
        <v>322</v>
      </c>
    </row>
    <row r="522" spans="30:65" x14ac:dyDescent="0.3">
      <c r="AD522" t="s">
        <v>543</v>
      </c>
      <c r="AE522" s="17" t="s">
        <v>322</v>
      </c>
      <c r="AF522" s="17" t="s">
        <v>94</v>
      </c>
      <c r="AG522" s="17" t="s">
        <v>322</v>
      </c>
      <c r="AH522" s="17" t="s">
        <v>322</v>
      </c>
      <c r="AI522" s="17" t="s">
        <v>322</v>
      </c>
      <c r="BH522" t="s">
        <v>517</v>
      </c>
      <c r="BI522" s="17" t="s">
        <v>322</v>
      </c>
      <c r="BJ522" s="17" t="s">
        <v>322</v>
      </c>
      <c r="BK522" s="17" t="s">
        <v>322</v>
      </c>
      <c r="BL522" s="17" t="s">
        <v>94</v>
      </c>
      <c r="BM522" s="17" t="s">
        <v>322</v>
      </c>
    </row>
    <row r="523" spans="30:65" x14ac:dyDescent="0.3">
      <c r="AD523" t="s">
        <v>561</v>
      </c>
      <c r="AE523" s="17" t="s">
        <v>322</v>
      </c>
      <c r="AF523" s="17" t="s">
        <v>322</v>
      </c>
      <c r="AG523" s="17" t="s">
        <v>322</v>
      </c>
      <c r="AH523" s="17" t="s">
        <v>322</v>
      </c>
      <c r="AI523" s="17" t="s">
        <v>94</v>
      </c>
      <c r="AS523" t="s">
        <v>819</v>
      </c>
    </row>
    <row r="524" spans="30:65" x14ac:dyDescent="0.3">
      <c r="AD524" t="s">
        <v>551</v>
      </c>
      <c r="AE524" s="17" t="s">
        <v>322</v>
      </c>
      <c r="AF524" s="17" t="s">
        <v>322</v>
      </c>
      <c r="AG524" s="17" t="s">
        <v>322</v>
      </c>
      <c r="AH524" s="17" t="s">
        <v>322</v>
      </c>
      <c r="AI524" s="17" t="s">
        <v>94</v>
      </c>
      <c r="AT524" s="17" t="s">
        <v>315</v>
      </c>
      <c r="AU524" s="17" t="s">
        <v>316</v>
      </c>
      <c r="AV524" s="17" t="s">
        <v>317</v>
      </c>
      <c r="AW524" s="17" t="s">
        <v>318</v>
      </c>
      <c r="AX524" s="17" t="s">
        <v>319</v>
      </c>
      <c r="BH524" t="s">
        <v>819</v>
      </c>
    </row>
    <row r="525" spans="30:65" x14ac:dyDescent="0.3">
      <c r="AS525" t="s">
        <v>536</v>
      </c>
      <c r="AT525" s="17" t="s">
        <v>94</v>
      </c>
      <c r="AU525" s="17" t="s">
        <v>322</v>
      </c>
      <c r="AV525" s="17" t="s">
        <v>322</v>
      </c>
      <c r="AW525" s="17" t="s">
        <v>322</v>
      </c>
      <c r="AX525" s="17" t="s">
        <v>322</v>
      </c>
      <c r="BI525" s="17" t="s">
        <v>315</v>
      </c>
      <c r="BJ525" s="17" t="s">
        <v>316</v>
      </c>
      <c r="BK525" s="17" t="s">
        <v>317</v>
      </c>
      <c r="BL525" s="17" t="s">
        <v>318</v>
      </c>
      <c r="BM525" s="17" t="s">
        <v>319</v>
      </c>
    </row>
    <row r="526" spans="30:65" x14ac:dyDescent="0.3">
      <c r="AD526" t="s">
        <v>820</v>
      </c>
      <c r="AS526" t="s">
        <v>539</v>
      </c>
      <c r="AT526" s="17" t="s">
        <v>94</v>
      </c>
      <c r="AU526" s="17" t="s">
        <v>322</v>
      </c>
      <c r="AV526" s="17" t="s">
        <v>322</v>
      </c>
      <c r="AW526" s="17" t="s">
        <v>322</v>
      </c>
      <c r="AX526" s="17" t="s">
        <v>322</v>
      </c>
      <c r="BH526" t="s">
        <v>543</v>
      </c>
      <c r="BI526" s="17" t="s">
        <v>322</v>
      </c>
      <c r="BJ526" s="17" t="s">
        <v>94</v>
      </c>
      <c r="BK526" s="17" t="s">
        <v>322</v>
      </c>
      <c r="BL526" s="17" t="s">
        <v>322</v>
      </c>
      <c r="BM526" s="17" t="s">
        <v>322</v>
      </c>
    </row>
    <row r="527" spans="30:65" x14ac:dyDescent="0.3">
      <c r="AE527" s="17" t="s">
        <v>315</v>
      </c>
      <c r="AF527" s="17" t="s">
        <v>316</v>
      </c>
      <c r="AG527" s="17" t="s">
        <v>317</v>
      </c>
      <c r="AH527" s="17" t="s">
        <v>318</v>
      </c>
      <c r="AI527" s="17" t="s">
        <v>319</v>
      </c>
      <c r="AS527" t="s">
        <v>543</v>
      </c>
      <c r="AT527" s="17" t="s">
        <v>94</v>
      </c>
      <c r="AU527" s="17" t="s">
        <v>322</v>
      </c>
      <c r="AV527" s="17" t="s">
        <v>322</v>
      </c>
      <c r="AW527" s="17" t="s">
        <v>322</v>
      </c>
      <c r="AX527" s="17" t="s">
        <v>322</v>
      </c>
      <c r="BH527" t="s">
        <v>573</v>
      </c>
      <c r="BI527" s="17" t="s">
        <v>322</v>
      </c>
      <c r="BJ527" s="17" t="s">
        <v>94</v>
      </c>
      <c r="BK527" s="17" t="s">
        <v>322</v>
      </c>
      <c r="BL527" s="17" t="s">
        <v>322</v>
      </c>
      <c r="BM527" s="17" t="s">
        <v>322</v>
      </c>
    </row>
    <row r="528" spans="30:65" x14ac:dyDescent="0.3">
      <c r="AD528" t="s">
        <v>326</v>
      </c>
      <c r="AE528" s="17" t="s">
        <v>322</v>
      </c>
      <c r="AF528" s="17" t="s">
        <v>322</v>
      </c>
      <c r="AG528" s="17" t="s">
        <v>94</v>
      </c>
      <c r="AH528" s="17" t="s">
        <v>322</v>
      </c>
      <c r="AI528" s="17" t="s">
        <v>322</v>
      </c>
      <c r="AS528" t="s">
        <v>561</v>
      </c>
      <c r="AT528" s="17" t="s">
        <v>322</v>
      </c>
      <c r="AU528" s="17" t="s">
        <v>322</v>
      </c>
      <c r="AV528" s="17" t="s">
        <v>322</v>
      </c>
      <c r="AW528" s="17" t="s">
        <v>322</v>
      </c>
      <c r="AX528" s="17" t="s">
        <v>94</v>
      </c>
      <c r="BH528" t="s">
        <v>561</v>
      </c>
      <c r="BI528" s="17" t="s">
        <v>322</v>
      </c>
      <c r="BJ528" s="17" t="s">
        <v>94</v>
      </c>
      <c r="BK528" s="17" t="s">
        <v>322</v>
      </c>
      <c r="BL528" s="17" t="s">
        <v>322</v>
      </c>
      <c r="BM528" s="17" t="s">
        <v>94</v>
      </c>
    </row>
    <row r="529" spans="30:65" x14ac:dyDescent="0.3">
      <c r="AD529" t="s">
        <v>328</v>
      </c>
      <c r="AE529" s="17" t="s">
        <v>322</v>
      </c>
      <c r="AF529" s="17" t="s">
        <v>322</v>
      </c>
      <c r="AG529" s="17" t="s">
        <v>94</v>
      </c>
      <c r="AH529" s="17" t="s">
        <v>322</v>
      </c>
      <c r="AI529" s="17" t="s">
        <v>94</v>
      </c>
      <c r="AS529" t="s">
        <v>551</v>
      </c>
      <c r="AT529" s="17" t="s">
        <v>322</v>
      </c>
      <c r="AU529" s="17" t="s">
        <v>322</v>
      </c>
      <c r="AV529" s="17" t="s">
        <v>322</v>
      </c>
      <c r="AW529" s="17" t="s">
        <v>322</v>
      </c>
      <c r="AX529" s="17" t="s">
        <v>94</v>
      </c>
      <c r="BH529" t="s">
        <v>551</v>
      </c>
      <c r="BI529" s="17" t="s">
        <v>322</v>
      </c>
      <c r="BJ529" s="17" t="s">
        <v>322</v>
      </c>
      <c r="BK529" s="17" t="s">
        <v>322</v>
      </c>
      <c r="BL529" s="17" t="s">
        <v>322</v>
      </c>
      <c r="BM529" s="17" t="s">
        <v>94</v>
      </c>
    </row>
    <row r="530" spans="30:65" x14ac:dyDescent="0.3">
      <c r="AD530" t="s">
        <v>350</v>
      </c>
      <c r="AE530" s="17" t="s">
        <v>322</v>
      </c>
      <c r="AF530" s="17" t="s">
        <v>322</v>
      </c>
      <c r="AG530" s="17" t="s">
        <v>94</v>
      </c>
      <c r="AH530" s="17" t="s">
        <v>322</v>
      </c>
      <c r="AI530" s="17" t="s">
        <v>94</v>
      </c>
    </row>
    <row r="531" spans="30:65" x14ac:dyDescent="0.3">
      <c r="AS531" t="s">
        <v>820</v>
      </c>
      <c r="BH531" t="s">
        <v>820</v>
      </c>
    </row>
    <row r="532" spans="30:65" x14ac:dyDescent="0.3">
      <c r="AD532" t="s">
        <v>821</v>
      </c>
      <c r="AT532" s="17" t="s">
        <v>315</v>
      </c>
      <c r="AU532" s="17" t="s">
        <v>316</v>
      </c>
      <c r="AV532" s="17" t="s">
        <v>317</v>
      </c>
      <c r="AW532" s="17" t="s">
        <v>318</v>
      </c>
      <c r="AX532" s="17" t="s">
        <v>319</v>
      </c>
      <c r="BI532" s="17" t="s">
        <v>315</v>
      </c>
      <c r="BJ532" s="17" t="s">
        <v>316</v>
      </c>
      <c r="BK532" s="17" t="s">
        <v>317</v>
      </c>
      <c r="BL532" s="17" t="s">
        <v>318</v>
      </c>
      <c r="BM532" s="17" t="s">
        <v>319</v>
      </c>
    </row>
    <row r="533" spans="30:65" x14ac:dyDescent="0.3">
      <c r="AE533" s="17" t="s">
        <v>315</v>
      </c>
      <c r="AF533" s="17" t="s">
        <v>316</v>
      </c>
      <c r="AG533" s="17" t="s">
        <v>317</v>
      </c>
      <c r="AH533" s="17" t="s">
        <v>318</v>
      </c>
      <c r="AI533" s="17" t="s">
        <v>319</v>
      </c>
      <c r="AS533" t="s">
        <v>326</v>
      </c>
      <c r="AT533" s="17" t="s">
        <v>322</v>
      </c>
      <c r="AU533" s="17" t="s">
        <v>322</v>
      </c>
      <c r="AV533" s="17" t="s">
        <v>94</v>
      </c>
      <c r="AW533" s="17" t="s">
        <v>322</v>
      </c>
      <c r="AX533" s="17" t="s">
        <v>322</v>
      </c>
      <c r="BH533" t="s">
        <v>326</v>
      </c>
      <c r="BI533" s="17" t="s">
        <v>94</v>
      </c>
      <c r="BJ533" s="17" t="s">
        <v>322</v>
      </c>
      <c r="BK533" s="17" t="s">
        <v>322</v>
      </c>
      <c r="BL533" s="17" t="s">
        <v>322</v>
      </c>
      <c r="BM533" s="17" t="s">
        <v>322</v>
      </c>
    </row>
    <row r="534" spans="30:65" x14ac:dyDescent="0.3">
      <c r="AD534" t="s">
        <v>561</v>
      </c>
      <c r="AE534" s="17" t="s">
        <v>75</v>
      </c>
      <c r="AF534" s="17" t="s">
        <v>322</v>
      </c>
      <c r="AG534" s="17" t="s">
        <v>322</v>
      </c>
      <c r="AH534" s="17" t="s">
        <v>75</v>
      </c>
      <c r="AI534" s="17" t="s">
        <v>322</v>
      </c>
      <c r="AS534" t="s">
        <v>328</v>
      </c>
      <c r="AT534" s="17" t="s">
        <v>322</v>
      </c>
      <c r="AU534" s="17" t="s">
        <v>322</v>
      </c>
      <c r="AV534" s="17" t="s">
        <v>94</v>
      </c>
      <c r="AW534" s="17" t="s">
        <v>322</v>
      </c>
      <c r="AX534" s="17" t="s">
        <v>94</v>
      </c>
      <c r="BH534" t="s">
        <v>328</v>
      </c>
      <c r="BI534" s="17" t="s">
        <v>94</v>
      </c>
      <c r="BJ534" s="17" t="s">
        <v>322</v>
      </c>
      <c r="BK534" s="17" t="s">
        <v>322</v>
      </c>
      <c r="BL534" s="17" t="s">
        <v>322</v>
      </c>
      <c r="BM534" s="17" t="s">
        <v>94</v>
      </c>
    </row>
    <row r="535" spans="30:65" x14ac:dyDescent="0.3">
      <c r="AD535" t="s">
        <v>551</v>
      </c>
      <c r="AE535" s="17" t="s">
        <v>75</v>
      </c>
      <c r="AF535" s="17" t="s">
        <v>322</v>
      </c>
      <c r="AG535" s="17" t="s">
        <v>322</v>
      </c>
      <c r="AH535" s="17" t="s">
        <v>75</v>
      </c>
      <c r="AI535" s="17" t="s">
        <v>322</v>
      </c>
      <c r="AS535" t="s">
        <v>350</v>
      </c>
      <c r="AT535" s="17" t="s">
        <v>322</v>
      </c>
      <c r="AU535" s="17" t="s">
        <v>322</v>
      </c>
      <c r="AV535" s="17" t="s">
        <v>94</v>
      </c>
      <c r="AW535" s="17" t="s">
        <v>322</v>
      </c>
      <c r="AX535" s="17" t="s">
        <v>94</v>
      </c>
      <c r="BH535" t="s">
        <v>350</v>
      </c>
      <c r="BI535" s="17" t="s">
        <v>94</v>
      </c>
      <c r="BJ535" s="17" t="s">
        <v>322</v>
      </c>
      <c r="BK535" s="17" t="s">
        <v>322</v>
      </c>
      <c r="BL535" s="17" t="s">
        <v>322</v>
      </c>
      <c r="BM535" s="17" t="s">
        <v>94</v>
      </c>
    </row>
    <row r="536" spans="30:65" x14ac:dyDescent="0.3">
      <c r="AD536" t="s">
        <v>552</v>
      </c>
      <c r="AE536" s="17" t="s">
        <v>75</v>
      </c>
      <c r="AF536" s="17" t="s">
        <v>322</v>
      </c>
      <c r="AG536" s="17" t="s">
        <v>322</v>
      </c>
      <c r="AH536" s="17" t="s">
        <v>39</v>
      </c>
      <c r="AI536" s="17" t="s">
        <v>322</v>
      </c>
    </row>
    <row r="537" spans="30:65" x14ac:dyDescent="0.3">
      <c r="AD537" t="s">
        <v>554</v>
      </c>
      <c r="AE537" s="17" t="s">
        <v>39</v>
      </c>
      <c r="AF537" s="17" t="s">
        <v>322</v>
      </c>
      <c r="AG537" s="17" t="s">
        <v>322</v>
      </c>
      <c r="AH537" s="17" t="s">
        <v>39</v>
      </c>
      <c r="AI537" s="17" t="s">
        <v>322</v>
      </c>
      <c r="AS537" t="s">
        <v>821</v>
      </c>
      <c r="BH537" t="s">
        <v>821</v>
      </c>
    </row>
    <row r="538" spans="30:65" x14ac:dyDescent="0.3">
      <c r="AD538" t="s">
        <v>586</v>
      </c>
      <c r="AE538" s="17" t="s">
        <v>39</v>
      </c>
      <c r="AF538" s="17" t="s">
        <v>322</v>
      </c>
      <c r="AG538" s="17" t="s">
        <v>322</v>
      </c>
      <c r="AH538" s="17" t="s">
        <v>322</v>
      </c>
      <c r="AI538" s="17" t="s">
        <v>322</v>
      </c>
      <c r="AT538" s="17" t="s">
        <v>315</v>
      </c>
      <c r="AU538" s="17" t="s">
        <v>316</v>
      </c>
      <c r="AV538" s="17" t="s">
        <v>317</v>
      </c>
      <c r="AW538" s="17" t="s">
        <v>318</v>
      </c>
      <c r="AX538" s="17" t="s">
        <v>319</v>
      </c>
      <c r="BI538" s="17" t="s">
        <v>315</v>
      </c>
      <c r="BJ538" s="17" t="s">
        <v>316</v>
      </c>
      <c r="BK538" s="17" t="s">
        <v>317</v>
      </c>
      <c r="BL538" s="17" t="s">
        <v>318</v>
      </c>
      <c r="BM538" s="17" t="s">
        <v>319</v>
      </c>
    </row>
    <row r="539" spans="30:65" x14ac:dyDescent="0.3">
      <c r="AS539" t="s">
        <v>561</v>
      </c>
      <c r="AT539" s="17" t="s">
        <v>75</v>
      </c>
      <c r="AU539" s="17" t="s">
        <v>322</v>
      </c>
      <c r="AV539" s="17" t="s">
        <v>322</v>
      </c>
      <c r="AW539" s="17" t="s">
        <v>75</v>
      </c>
      <c r="AX539" s="17" t="s">
        <v>322</v>
      </c>
      <c r="BH539" t="s">
        <v>561</v>
      </c>
      <c r="BI539" s="17" t="s">
        <v>75</v>
      </c>
      <c r="BJ539" s="17" t="s">
        <v>322</v>
      </c>
      <c r="BK539" s="17" t="s">
        <v>322</v>
      </c>
      <c r="BL539" s="17" t="s">
        <v>75</v>
      </c>
      <c r="BM539" s="17" t="s">
        <v>322</v>
      </c>
    </row>
    <row r="540" spans="30:65" x14ac:dyDescent="0.3">
      <c r="AD540" t="s">
        <v>822</v>
      </c>
      <c r="AS540" t="s">
        <v>551</v>
      </c>
      <c r="AT540" s="17" t="s">
        <v>75</v>
      </c>
      <c r="AU540" s="17" t="s">
        <v>322</v>
      </c>
      <c r="AV540" s="17" t="s">
        <v>322</v>
      </c>
      <c r="AW540" s="17" t="s">
        <v>75</v>
      </c>
      <c r="AX540" s="17" t="s">
        <v>322</v>
      </c>
      <c r="BH540" t="s">
        <v>551</v>
      </c>
      <c r="BI540" s="17" t="s">
        <v>75</v>
      </c>
      <c r="BJ540" s="17" t="s">
        <v>322</v>
      </c>
      <c r="BK540" s="17" t="s">
        <v>322</v>
      </c>
      <c r="BL540" s="17" t="s">
        <v>75</v>
      </c>
      <c r="BM540" s="17" t="s">
        <v>322</v>
      </c>
    </row>
    <row r="541" spans="30:65" x14ac:dyDescent="0.3">
      <c r="AE541" s="17" t="s">
        <v>315</v>
      </c>
      <c r="AF541" s="17" t="s">
        <v>316</v>
      </c>
      <c r="AG541" s="17" t="s">
        <v>317</v>
      </c>
      <c r="AH541" s="17" t="s">
        <v>318</v>
      </c>
      <c r="AI541" s="17" t="s">
        <v>319</v>
      </c>
      <c r="AS541" t="s">
        <v>552</v>
      </c>
      <c r="AT541" s="17" t="s">
        <v>75</v>
      </c>
      <c r="AU541" s="17" t="s">
        <v>322</v>
      </c>
      <c r="AV541" s="17" t="s">
        <v>322</v>
      </c>
      <c r="AW541" s="17" t="s">
        <v>39</v>
      </c>
      <c r="AX541" s="17" t="s">
        <v>322</v>
      </c>
      <c r="BH541" t="s">
        <v>552</v>
      </c>
      <c r="BI541" s="17" t="s">
        <v>75</v>
      </c>
      <c r="BJ541" s="17" t="s">
        <v>322</v>
      </c>
      <c r="BK541" s="17" t="s">
        <v>322</v>
      </c>
      <c r="BL541" s="17" t="s">
        <v>39</v>
      </c>
      <c r="BM541" s="17" t="s">
        <v>322</v>
      </c>
    </row>
    <row r="542" spans="30:65" x14ac:dyDescent="0.3">
      <c r="AD542" t="s">
        <v>512</v>
      </c>
      <c r="AE542" s="17" t="s">
        <v>322</v>
      </c>
      <c r="AF542" s="17" t="s">
        <v>134</v>
      </c>
      <c r="AG542" s="17" t="s">
        <v>322</v>
      </c>
      <c r="AH542" s="17" t="s">
        <v>322</v>
      </c>
      <c r="AI542" s="17" t="s">
        <v>134</v>
      </c>
      <c r="AS542" t="s">
        <v>554</v>
      </c>
      <c r="AT542" s="17" t="s">
        <v>39</v>
      </c>
      <c r="AU542" s="17" t="s">
        <v>322</v>
      </c>
      <c r="AV542" s="17" t="s">
        <v>322</v>
      </c>
      <c r="AW542" s="17" t="s">
        <v>39</v>
      </c>
      <c r="AX542" s="17" t="s">
        <v>322</v>
      </c>
      <c r="BH542" t="s">
        <v>554</v>
      </c>
      <c r="BI542" s="17" t="s">
        <v>39</v>
      </c>
      <c r="BJ542" s="17" t="s">
        <v>322</v>
      </c>
      <c r="BK542" s="17" t="s">
        <v>322</v>
      </c>
      <c r="BL542" s="17" t="s">
        <v>39</v>
      </c>
      <c r="BM542" s="17" t="s">
        <v>322</v>
      </c>
    </row>
    <row r="543" spans="30:65" x14ac:dyDescent="0.3">
      <c r="AD543" t="s">
        <v>514</v>
      </c>
      <c r="AE543" s="17" t="s">
        <v>322</v>
      </c>
      <c r="AF543" s="17" t="s">
        <v>134</v>
      </c>
      <c r="AG543" s="17" t="s">
        <v>322</v>
      </c>
      <c r="AH543" s="17" t="s">
        <v>322</v>
      </c>
      <c r="AI543" s="17" t="s">
        <v>134</v>
      </c>
      <c r="AS543" t="s">
        <v>586</v>
      </c>
      <c r="AT543" s="17" t="s">
        <v>39</v>
      </c>
      <c r="AU543" s="17" t="s">
        <v>322</v>
      </c>
      <c r="AV543" s="17" t="s">
        <v>322</v>
      </c>
      <c r="AW543" s="17" t="s">
        <v>322</v>
      </c>
      <c r="AX543" s="17" t="s">
        <v>322</v>
      </c>
      <c r="BH543" t="s">
        <v>586</v>
      </c>
      <c r="BI543" s="17" t="s">
        <v>39</v>
      </c>
      <c r="BJ543" s="17" t="s">
        <v>322</v>
      </c>
      <c r="BK543" s="17" t="s">
        <v>322</v>
      </c>
      <c r="BL543" s="17" t="s">
        <v>322</v>
      </c>
      <c r="BM543" s="17" t="s">
        <v>322</v>
      </c>
    </row>
    <row r="544" spans="30:65" x14ac:dyDescent="0.3">
      <c r="AD544" t="s">
        <v>326</v>
      </c>
      <c r="AE544" s="17" t="s">
        <v>322</v>
      </c>
      <c r="AF544" s="17" t="s">
        <v>322</v>
      </c>
      <c r="AG544" s="17" t="s">
        <v>322</v>
      </c>
      <c r="AH544" s="17" t="s">
        <v>322</v>
      </c>
      <c r="AI544" s="17" t="s">
        <v>134</v>
      </c>
    </row>
    <row r="545" spans="30:65" x14ac:dyDescent="0.3">
      <c r="AD545" t="s">
        <v>328</v>
      </c>
      <c r="AE545" s="17" t="s">
        <v>322</v>
      </c>
      <c r="AF545" s="17" t="s">
        <v>134</v>
      </c>
      <c r="AG545" s="17" t="s">
        <v>322</v>
      </c>
      <c r="AH545" s="17" t="s">
        <v>322</v>
      </c>
      <c r="AI545" s="17" t="s">
        <v>134</v>
      </c>
      <c r="AS545" t="s">
        <v>822</v>
      </c>
      <c r="BH545" t="s">
        <v>822</v>
      </c>
    </row>
    <row r="546" spans="30:65" x14ac:dyDescent="0.3">
      <c r="AD546" t="s">
        <v>350</v>
      </c>
      <c r="AE546" s="17" t="s">
        <v>322</v>
      </c>
      <c r="AF546" s="17" t="s">
        <v>134</v>
      </c>
      <c r="AG546" s="17" t="s">
        <v>322</v>
      </c>
      <c r="AH546" s="17" t="s">
        <v>322</v>
      </c>
      <c r="AI546" s="17" t="s">
        <v>322</v>
      </c>
      <c r="AT546" s="17" t="s">
        <v>315</v>
      </c>
      <c r="AU546" s="17" t="s">
        <v>316</v>
      </c>
      <c r="AV546" s="17" t="s">
        <v>317</v>
      </c>
      <c r="AW546" s="17" t="s">
        <v>318</v>
      </c>
      <c r="AX546" s="17" t="s">
        <v>319</v>
      </c>
      <c r="BI546" s="17" t="s">
        <v>315</v>
      </c>
      <c r="BJ546" s="17" t="s">
        <v>316</v>
      </c>
      <c r="BK546" s="17" t="s">
        <v>317</v>
      </c>
      <c r="BL546" s="17" t="s">
        <v>318</v>
      </c>
      <c r="BM546" s="17" t="s">
        <v>319</v>
      </c>
    </row>
    <row r="547" spans="30:65" x14ac:dyDescent="0.3">
      <c r="AS547" t="s">
        <v>512</v>
      </c>
      <c r="AT547" s="17" t="s">
        <v>322</v>
      </c>
      <c r="AU547" s="17" t="s">
        <v>134</v>
      </c>
      <c r="AV547" s="17" t="s">
        <v>322</v>
      </c>
      <c r="AW547" s="17" t="s">
        <v>322</v>
      </c>
      <c r="AX547" s="17" t="s">
        <v>134</v>
      </c>
      <c r="BH547" t="s">
        <v>512</v>
      </c>
      <c r="BI547" s="17" t="s">
        <v>322</v>
      </c>
      <c r="BJ547" s="17" t="s">
        <v>134</v>
      </c>
      <c r="BK547" s="17" t="s">
        <v>322</v>
      </c>
      <c r="BL547" s="17" t="s">
        <v>322</v>
      </c>
      <c r="BM547" s="17" t="s">
        <v>134</v>
      </c>
    </row>
    <row r="548" spans="30:65" x14ac:dyDescent="0.3">
      <c r="AD548" t="s">
        <v>824</v>
      </c>
      <c r="AS548" t="s">
        <v>514</v>
      </c>
      <c r="AT548" s="17" t="s">
        <v>322</v>
      </c>
      <c r="AU548" s="17" t="s">
        <v>134</v>
      </c>
      <c r="AV548" s="17" t="s">
        <v>322</v>
      </c>
      <c r="AW548" s="17" t="s">
        <v>322</v>
      </c>
      <c r="AX548" s="17" t="s">
        <v>134</v>
      </c>
      <c r="BH548" t="s">
        <v>514</v>
      </c>
      <c r="BI548" s="17" t="s">
        <v>322</v>
      </c>
      <c r="BJ548" s="17" t="s">
        <v>134</v>
      </c>
      <c r="BK548" s="17" t="s">
        <v>322</v>
      </c>
      <c r="BL548" s="17" t="s">
        <v>322</v>
      </c>
      <c r="BM548" s="17" t="s">
        <v>134</v>
      </c>
    </row>
    <row r="549" spans="30:65" x14ac:dyDescent="0.3">
      <c r="AE549" s="17" t="s">
        <v>315</v>
      </c>
      <c r="AF549" s="17" t="s">
        <v>316</v>
      </c>
      <c r="AG549" s="17" t="s">
        <v>317</v>
      </c>
      <c r="AH549" s="17" t="s">
        <v>318</v>
      </c>
      <c r="AI549" s="17" t="s">
        <v>319</v>
      </c>
      <c r="AS549" t="s">
        <v>326</v>
      </c>
      <c r="AT549" s="17" t="s">
        <v>322</v>
      </c>
      <c r="AU549" s="17" t="s">
        <v>322</v>
      </c>
      <c r="AV549" s="17" t="s">
        <v>322</v>
      </c>
      <c r="AW549" s="17" t="s">
        <v>322</v>
      </c>
      <c r="AX549" s="17" t="s">
        <v>134</v>
      </c>
      <c r="BH549" t="s">
        <v>326</v>
      </c>
      <c r="BI549" s="17" t="s">
        <v>322</v>
      </c>
      <c r="BJ549" s="17" t="s">
        <v>322</v>
      </c>
      <c r="BK549" s="17" t="s">
        <v>322</v>
      </c>
      <c r="BL549" s="17" t="s">
        <v>322</v>
      </c>
      <c r="BM549" s="17" t="s">
        <v>134</v>
      </c>
    </row>
    <row r="550" spans="30:65" x14ac:dyDescent="0.3">
      <c r="AD550" t="s">
        <v>512</v>
      </c>
      <c r="AE550" s="17" t="s">
        <v>322</v>
      </c>
      <c r="AF550" s="17" t="s">
        <v>322</v>
      </c>
      <c r="AG550" s="17" t="s">
        <v>322</v>
      </c>
      <c r="AH550" s="17" t="s">
        <v>322</v>
      </c>
      <c r="AI550" s="17" t="s">
        <v>89</v>
      </c>
      <c r="AS550" t="s">
        <v>328</v>
      </c>
      <c r="AT550" s="17" t="s">
        <v>322</v>
      </c>
      <c r="AU550" s="17" t="s">
        <v>134</v>
      </c>
      <c r="AV550" s="17" t="s">
        <v>322</v>
      </c>
      <c r="AW550" s="17" t="s">
        <v>322</v>
      </c>
      <c r="AX550" s="17" t="s">
        <v>134</v>
      </c>
      <c r="BH550" t="s">
        <v>328</v>
      </c>
      <c r="BI550" s="17" t="s">
        <v>322</v>
      </c>
      <c r="BJ550" s="17" t="s">
        <v>134</v>
      </c>
      <c r="BK550" s="17" t="s">
        <v>322</v>
      </c>
      <c r="BL550" s="17" t="s">
        <v>322</v>
      </c>
      <c r="BM550" s="17" t="s">
        <v>134</v>
      </c>
    </row>
    <row r="551" spans="30:65" x14ac:dyDescent="0.3">
      <c r="AD551" t="s">
        <v>514</v>
      </c>
      <c r="AE551" s="17" t="s">
        <v>322</v>
      </c>
      <c r="AF551" s="17" t="s">
        <v>322</v>
      </c>
      <c r="AG551" s="17" t="s">
        <v>322</v>
      </c>
      <c r="AH551" s="17" t="s">
        <v>322</v>
      </c>
      <c r="AI551" s="17" t="s">
        <v>89</v>
      </c>
      <c r="AS551" t="s">
        <v>350</v>
      </c>
      <c r="AT551" s="17" t="s">
        <v>322</v>
      </c>
      <c r="AU551" s="17" t="s">
        <v>134</v>
      </c>
      <c r="AV551" s="17" t="s">
        <v>322</v>
      </c>
      <c r="AW551" s="17" t="s">
        <v>322</v>
      </c>
      <c r="AX551" s="17" t="s">
        <v>322</v>
      </c>
      <c r="BH551" t="s">
        <v>350</v>
      </c>
      <c r="BI551" s="17" t="s">
        <v>322</v>
      </c>
      <c r="BJ551" s="17" t="s">
        <v>134</v>
      </c>
      <c r="BK551" s="17" t="s">
        <v>322</v>
      </c>
      <c r="BL551" s="17" t="s">
        <v>322</v>
      </c>
      <c r="BM551" s="17" t="s">
        <v>322</v>
      </c>
    </row>
    <row r="552" spans="30:65" x14ac:dyDescent="0.3">
      <c r="AD552" t="s">
        <v>328</v>
      </c>
      <c r="AE552" s="17" t="s">
        <v>322</v>
      </c>
      <c r="AF552" s="17" t="s">
        <v>322</v>
      </c>
      <c r="AG552" s="17" t="s">
        <v>322</v>
      </c>
      <c r="AH552" s="17" t="s">
        <v>89</v>
      </c>
      <c r="AI552" s="17" t="s">
        <v>89</v>
      </c>
    </row>
    <row r="553" spans="30:65" x14ac:dyDescent="0.3">
      <c r="AD553" t="s">
        <v>350</v>
      </c>
      <c r="AE553" s="17" t="s">
        <v>322</v>
      </c>
      <c r="AF553" s="17" t="s">
        <v>322</v>
      </c>
      <c r="AG553" s="17" t="s">
        <v>322</v>
      </c>
      <c r="AH553" s="17" t="s">
        <v>89</v>
      </c>
      <c r="AI553" s="17" t="s">
        <v>89</v>
      </c>
      <c r="AS553" t="s">
        <v>824</v>
      </c>
      <c r="BH553" t="s">
        <v>824</v>
      </c>
    </row>
    <row r="554" spans="30:65" x14ac:dyDescent="0.3">
      <c r="AD554" t="s">
        <v>543</v>
      </c>
      <c r="AE554" s="17" t="s">
        <v>322</v>
      </c>
      <c r="AF554" s="17" t="s">
        <v>322</v>
      </c>
      <c r="AG554" s="17" t="s">
        <v>322</v>
      </c>
      <c r="AH554" s="17" t="s">
        <v>322</v>
      </c>
      <c r="AI554" s="17" t="s">
        <v>89</v>
      </c>
      <c r="AT554" s="17" t="s">
        <v>315</v>
      </c>
      <c r="AU554" s="17" t="s">
        <v>316</v>
      </c>
      <c r="AV554" s="17" t="s">
        <v>317</v>
      </c>
      <c r="AW554" s="17" t="s">
        <v>318</v>
      </c>
      <c r="AX554" s="17" t="s">
        <v>319</v>
      </c>
      <c r="BI554" s="17" t="s">
        <v>315</v>
      </c>
      <c r="BJ554" s="17" t="s">
        <v>316</v>
      </c>
      <c r="BK554" s="17" t="s">
        <v>317</v>
      </c>
      <c r="BL554" s="17" t="s">
        <v>318</v>
      </c>
      <c r="BM554" s="17" t="s">
        <v>319</v>
      </c>
    </row>
    <row r="555" spans="30:65" x14ac:dyDescent="0.3">
      <c r="AD555" t="s">
        <v>573</v>
      </c>
      <c r="AE555" s="17" t="s">
        <v>322</v>
      </c>
      <c r="AF555" s="17" t="s">
        <v>322</v>
      </c>
      <c r="AG555" s="17" t="s">
        <v>322</v>
      </c>
      <c r="AH555" s="17" t="s">
        <v>322</v>
      </c>
      <c r="AI555" s="17" t="s">
        <v>89</v>
      </c>
      <c r="AS555" t="s">
        <v>512</v>
      </c>
      <c r="AT555" s="17" t="s">
        <v>322</v>
      </c>
      <c r="AU555" s="17" t="s">
        <v>322</v>
      </c>
      <c r="AV555" s="17" t="s">
        <v>322</v>
      </c>
      <c r="AW555" s="17" t="s">
        <v>322</v>
      </c>
      <c r="AX555" s="17" t="s">
        <v>89</v>
      </c>
      <c r="BH555" t="s">
        <v>512</v>
      </c>
      <c r="BI555" s="17" t="s">
        <v>322</v>
      </c>
      <c r="BJ555" s="17" t="s">
        <v>322</v>
      </c>
      <c r="BK555" s="17" t="s">
        <v>322</v>
      </c>
      <c r="BL555" s="17" t="s">
        <v>322</v>
      </c>
      <c r="BM555" s="17" t="s">
        <v>89</v>
      </c>
    </row>
    <row r="556" spans="30:65" x14ac:dyDescent="0.3">
      <c r="AS556" t="s">
        <v>514</v>
      </c>
      <c r="AT556" s="17" t="s">
        <v>322</v>
      </c>
      <c r="AU556" s="17" t="s">
        <v>322</v>
      </c>
      <c r="AV556" s="17" t="s">
        <v>322</v>
      </c>
      <c r="AW556" s="17" t="s">
        <v>322</v>
      </c>
      <c r="AX556" s="17" t="s">
        <v>89</v>
      </c>
      <c r="BH556" t="s">
        <v>514</v>
      </c>
      <c r="BI556" s="17" t="s">
        <v>322</v>
      </c>
      <c r="BJ556" s="17" t="s">
        <v>322</v>
      </c>
      <c r="BK556" s="17" t="s">
        <v>322</v>
      </c>
      <c r="BL556" s="17" t="s">
        <v>322</v>
      </c>
      <c r="BM556" s="17" t="s">
        <v>89</v>
      </c>
    </row>
    <row r="557" spans="30:65" x14ac:dyDescent="0.3">
      <c r="AD557" t="s">
        <v>825</v>
      </c>
      <c r="AS557" t="s">
        <v>328</v>
      </c>
      <c r="AT557" s="17" t="s">
        <v>322</v>
      </c>
      <c r="AU557" s="17" t="s">
        <v>322</v>
      </c>
      <c r="AV557" s="17" t="s">
        <v>322</v>
      </c>
      <c r="AW557" s="17" t="s">
        <v>89</v>
      </c>
      <c r="AX557" s="17" t="s">
        <v>89</v>
      </c>
      <c r="BH557" t="s">
        <v>328</v>
      </c>
      <c r="BI557" s="17" t="s">
        <v>322</v>
      </c>
      <c r="BJ557" s="17" t="s">
        <v>322</v>
      </c>
      <c r="BK557" s="17" t="s">
        <v>322</v>
      </c>
      <c r="BL557" s="17" t="s">
        <v>89</v>
      </c>
      <c r="BM557" s="17" t="s">
        <v>89</v>
      </c>
    </row>
    <row r="558" spans="30:65" x14ac:dyDescent="0.3">
      <c r="AE558" s="17" t="s">
        <v>315</v>
      </c>
      <c r="AF558" s="17" t="s">
        <v>316</v>
      </c>
      <c r="AG558" s="17" t="s">
        <v>317</v>
      </c>
      <c r="AH558" s="17" t="s">
        <v>318</v>
      </c>
      <c r="AI558" s="17" t="s">
        <v>319</v>
      </c>
      <c r="AS558" t="s">
        <v>350</v>
      </c>
      <c r="AT558" s="17" t="s">
        <v>322</v>
      </c>
      <c r="AU558" s="17" t="s">
        <v>322</v>
      </c>
      <c r="AV558" s="17" t="s">
        <v>322</v>
      </c>
      <c r="AW558" s="17" t="s">
        <v>89</v>
      </c>
      <c r="AX558" s="17" t="s">
        <v>89</v>
      </c>
      <c r="BH558" t="s">
        <v>350</v>
      </c>
      <c r="BI558" s="17" t="s">
        <v>322</v>
      </c>
      <c r="BJ558" s="17" t="s">
        <v>322</v>
      </c>
      <c r="BK558" s="17" t="s">
        <v>322</v>
      </c>
      <c r="BL558" s="17" t="s">
        <v>89</v>
      </c>
      <c r="BM558" s="17" t="s">
        <v>89</v>
      </c>
    </row>
    <row r="559" spans="30:65" x14ac:dyDescent="0.3">
      <c r="AD559" t="s">
        <v>561</v>
      </c>
      <c r="AE559" s="17" t="s">
        <v>322</v>
      </c>
      <c r="AF559" s="17" t="s">
        <v>41</v>
      </c>
      <c r="AG559" s="17" t="s">
        <v>322</v>
      </c>
      <c r="AH559" s="17" t="s">
        <v>41</v>
      </c>
      <c r="AI559" s="17" t="s">
        <v>322</v>
      </c>
      <c r="AS559" t="s">
        <v>536</v>
      </c>
      <c r="AT559" s="17" t="s">
        <v>322</v>
      </c>
      <c r="AU559" s="17" t="s">
        <v>322</v>
      </c>
      <c r="AV559" s="17" t="s">
        <v>322</v>
      </c>
      <c r="AW559" s="17" t="s">
        <v>322</v>
      </c>
      <c r="AX559" s="17" t="s">
        <v>89</v>
      </c>
      <c r="BH559" t="s">
        <v>543</v>
      </c>
      <c r="BI559" s="17" t="s">
        <v>322</v>
      </c>
      <c r="BJ559" s="17" t="s">
        <v>322</v>
      </c>
      <c r="BK559" s="17" t="s">
        <v>322</v>
      </c>
      <c r="BL559" s="17" t="s">
        <v>322</v>
      </c>
      <c r="BM559" s="17" t="s">
        <v>89</v>
      </c>
    </row>
    <row r="560" spans="30:65" x14ac:dyDescent="0.3">
      <c r="AD560" t="s">
        <v>551</v>
      </c>
      <c r="AE560" s="17" t="s">
        <v>322</v>
      </c>
      <c r="AF560" s="17" t="s">
        <v>41</v>
      </c>
      <c r="AG560" s="17" t="s">
        <v>322</v>
      </c>
      <c r="AH560" s="17" t="s">
        <v>41</v>
      </c>
      <c r="AI560" s="17" t="s">
        <v>322</v>
      </c>
      <c r="AS560" t="s">
        <v>539</v>
      </c>
      <c r="AT560" s="17" t="s">
        <v>322</v>
      </c>
      <c r="AU560" s="17" t="s">
        <v>322</v>
      </c>
      <c r="AV560" s="17" t="s">
        <v>322</v>
      </c>
      <c r="AW560" s="17" t="s">
        <v>322</v>
      </c>
      <c r="AX560" s="17" t="s">
        <v>89</v>
      </c>
      <c r="BH560" t="s">
        <v>573</v>
      </c>
      <c r="BI560" s="17" t="s">
        <v>322</v>
      </c>
      <c r="BJ560" s="17" t="s">
        <v>322</v>
      </c>
      <c r="BK560" s="17" t="s">
        <v>322</v>
      </c>
      <c r="BL560" s="17" t="s">
        <v>322</v>
      </c>
      <c r="BM560" s="17" t="s">
        <v>89</v>
      </c>
    </row>
    <row r="562" spans="30:65" x14ac:dyDescent="0.3">
      <c r="AD562" t="s">
        <v>826</v>
      </c>
      <c r="AS562" t="s">
        <v>825</v>
      </c>
      <c r="BH562" t="s">
        <v>825</v>
      </c>
    </row>
    <row r="563" spans="30:65" x14ac:dyDescent="0.3">
      <c r="AE563" s="17" t="s">
        <v>315</v>
      </c>
      <c r="AF563" s="17" t="s">
        <v>316</v>
      </c>
      <c r="AG563" s="17" t="s">
        <v>317</v>
      </c>
      <c r="AH563" s="17" t="s">
        <v>318</v>
      </c>
      <c r="AI563" s="17" t="s">
        <v>319</v>
      </c>
      <c r="AT563" s="17" t="s">
        <v>315</v>
      </c>
      <c r="AU563" s="17" t="s">
        <v>316</v>
      </c>
      <c r="AV563" s="17" t="s">
        <v>317</v>
      </c>
      <c r="AW563" s="17" t="s">
        <v>318</v>
      </c>
      <c r="AX563" s="17" t="s">
        <v>319</v>
      </c>
      <c r="BI563" s="17" t="s">
        <v>315</v>
      </c>
      <c r="BJ563" s="17" t="s">
        <v>316</v>
      </c>
      <c r="BK563" s="17" t="s">
        <v>317</v>
      </c>
      <c r="BL563" s="17" t="s">
        <v>318</v>
      </c>
      <c r="BM563" s="17" t="s">
        <v>319</v>
      </c>
    </row>
    <row r="564" spans="30:65" x14ac:dyDescent="0.3">
      <c r="AD564" t="s">
        <v>512</v>
      </c>
      <c r="AE564" s="17" t="s">
        <v>322</v>
      </c>
      <c r="AF564" s="17" t="s">
        <v>322</v>
      </c>
      <c r="AG564" s="17" t="s">
        <v>322</v>
      </c>
      <c r="AH564" s="17" t="s">
        <v>147</v>
      </c>
      <c r="AI564" s="17" t="s">
        <v>322</v>
      </c>
      <c r="AS564" t="s">
        <v>561</v>
      </c>
      <c r="AT564" s="17" t="s">
        <v>322</v>
      </c>
      <c r="AU564" s="17" t="s">
        <v>41</v>
      </c>
      <c r="AV564" s="17" t="s">
        <v>322</v>
      </c>
      <c r="AW564" s="17" t="s">
        <v>41</v>
      </c>
      <c r="AX564" s="17" t="s">
        <v>322</v>
      </c>
      <c r="BH564" t="s">
        <v>561</v>
      </c>
      <c r="BI564" s="17" t="s">
        <v>322</v>
      </c>
      <c r="BJ564" s="17" t="s">
        <v>41</v>
      </c>
      <c r="BK564" s="17" t="s">
        <v>322</v>
      </c>
      <c r="BL564" s="17" t="s">
        <v>41</v>
      </c>
      <c r="BM564" s="17" t="s">
        <v>322</v>
      </c>
    </row>
    <row r="565" spans="30:65" x14ac:dyDescent="0.3">
      <c r="AD565" t="s">
        <v>514</v>
      </c>
      <c r="AE565" s="17" t="s">
        <v>322</v>
      </c>
      <c r="AF565" s="17" t="s">
        <v>322</v>
      </c>
      <c r="AG565" s="17" t="s">
        <v>322</v>
      </c>
      <c r="AH565" s="17" t="s">
        <v>147</v>
      </c>
      <c r="AI565" s="17" t="s">
        <v>322</v>
      </c>
      <c r="AS565" t="s">
        <v>551</v>
      </c>
      <c r="AT565" s="17" t="s">
        <v>322</v>
      </c>
      <c r="AU565" s="17" t="s">
        <v>41</v>
      </c>
      <c r="AV565" s="17" t="s">
        <v>322</v>
      </c>
      <c r="AW565" s="17" t="s">
        <v>41</v>
      </c>
      <c r="AX565" s="17" t="s">
        <v>322</v>
      </c>
      <c r="BH565" t="s">
        <v>551</v>
      </c>
      <c r="BI565" s="17" t="s">
        <v>322</v>
      </c>
      <c r="BJ565" s="17" t="s">
        <v>41</v>
      </c>
      <c r="BK565" s="17" t="s">
        <v>322</v>
      </c>
      <c r="BL565" s="17" t="s">
        <v>41</v>
      </c>
      <c r="BM565" s="17" t="s">
        <v>322</v>
      </c>
    </row>
    <row r="566" spans="30:65" x14ac:dyDescent="0.3">
      <c r="AD566" t="s">
        <v>517</v>
      </c>
      <c r="AE566" s="17" t="s">
        <v>322</v>
      </c>
      <c r="AF566" s="17" t="s">
        <v>322</v>
      </c>
      <c r="AG566" s="17" t="s">
        <v>322</v>
      </c>
      <c r="AH566" s="17" t="s">
        <v>147</v>
      </c>
      <c r="AI566" s="17" t="s">
        <v>322</v>
      </c>
    </row>
    <row r="567" spans="30:65" x14ac:dyDescent="0.3">
      <c r="AS567" t="s">
        <v>826</v>
      </c>
      <c r="BH567" t="s">
        <v>826</v>
      </c>
    </row>
    <row r="568" spans="30:65" x14ac:dyDescent="0.3">
      <c r="AD568" t="s">
        <v>827</v>
      </c>
      <c r="AT568" s="17" t="s">
        <v>315</v>
      </c>
      <c r="AU568" s="17" t="s">
        <v>316</v>
      </c>
      <c r="AV568" s="17" t="s">
        <v>317</v>
      </c>
      <c r="AW568" s="17" t="s">
        <v>318</v>
      </c>
      <c r="AX568" s="17" t="s">
        <v>319</v>
      </c>
      <c r="BI568" s="17" t="s">
        <v>315</v>
      </c>
      <c r="BJ568" s="17" t="s">
        <v>316</v>
      </c>
      <c r="BK568" s="17" t="s">
        <v>317</v>
      </c>
      <c r="BL568" s="17" t="s">
        <v>318</v>
      </c>
      <c r="BM568" s="17" t="s">
        <v>319</v>
      </c>
    </row>
    <row r="569" spans="30:65" x14ac:dyDescent="0.3">
      <c r="AE569" s="17" t="s">
        <v>315</v>
      </c>
      <c r="AF569" s="17" t="s">
        <v>316</v>
      </c>
      <c r="AG569" s="17" t="s">
        <v>317</v>
      </c>
      <c r="AH569" s="17" t="s">
        <v>318</v>
      </c>
      <c r="AI569" s="17" t="s">
        <v>319</v>
      </c>
      <c r="AS569" t="s">
        <v>512</v>
      </c>
      <c r="AT569" s="17" t="s">
        <v>322</v>
      </c>
      <c r="AU569" s="17" t="s">
        <v>322</v>
      </c>
      <c r="AV569" s="17" t="s">
        <v>322</v>
      </c>
      <c r="AW569" s="17" t="s">
        <v>147</v>
      </c>
      <c r="AX569" s="17" t="s">
        <v>322</v>
      </c>
      <c r="BH569" t="s">
        <v>512</v>
      </c>
      <c r="BI569" s="17" t="s">
        <v>322</v>
      </c>
      <c r="BJ569" s="17" t="s">
        <v>322</v>
      </c>
      <c r="BK569" s="17" t="s">
        <v>322</v>
      </c>
      <c r="BL569" s="17" t="s">
        <v>147</v>
      </c>
      <c r="BM569" s="17" t="s">
        <v>322</v>
      </c>
    </row>
    <row r="570" spans="30:65" x14ac:dyDescent="0.3">
      <c r="AD570" t="s">
        <v>512</v>
      </c>
      <c r="AE570" s="17" t="s">
        <v>50</v>
      </c>
      <c r="AF570" s="17" t="s">
        <v>322</v>
      </c>
      <c r="AG570" s="17" t="s">
        <v>322</v>
      </c>
      <c r="AH570" s="17" t="s">
        <v>322</v>
      </c>
      <c r="AI570" s="17" t="s">
        <v>322</v>
      </c>
      <c r="AS570" t="s">
        <v>514</v>
      </c>
      <c r="AT570" s="17" t="s">
        <v>322</v>
      </c>
      <c r="AU570" s="17" t="s">
        <v>322</v>
      </c>
      <c r="AV570" s="17" t="s">
        <v>322</v>
      </c>
      <c r="AW570" s="17" t="s">
        <v>147</v>
      </c>
      <c r="AX570" s="17" t="s">
        <v>322</v>
      </c>
      <c r="BH570" t="s">
        <v>514</v>
      </c>
      <c r="BI570" s="17" t="s">
        <v>322</v>
      </c>
      <c r="BJ570" s="17" t="s">
        <v>322</v>
      </c>
      <c r="BK570" s="17" t="s">
        <v>322</v>
      </c>
      <c r="BL570" s="17" t="s">
        <v>147</v>
      </c>
      <c r="BM570" s="17" t="s">
        <v>322</v>
      </c>
    </row>
    <row r="571" spans="30:65" x14ac:dyDescent="0.3">
      <c r="AD571" t="s">
        <v>514</v>
      </c>
      <c r="AE571" s="17" t="s">
        <v>50</v>
      </c>
      <c r="AF571" s="17" t="s">
        <v>322</v>
      </c>
      <c r="AG571" s="17" t="s">
        <v>322</v>
      </c>
      <c r="AH571" s="17" t="s">
        <v>322</v>
      </c>
      <c r="AI571" s="17" t="s">
        <v>322</v>
      </c>
      <c r="AS571" t="s">
        <v>517</v>
      </c>
      <c r="AT571" s="17" t="s">
        <v>322</v>
      </c>
      <c r="AU571" s="17" t="s">
        <v>322</v>
      </c>
      <c r="AV571" s="17" t="s">
        <v>322</v>
      </c>
      <c r="AW571" s="17" t="s">
        <v>147</v>
      </c>
      <c r="AX571" s="17" t="s">
        <v>322</v>
      </c>
      <c r="BH571" t="s">
        <v>517</v>
      </c>
      <c r="BI571" s="17" t="s">
        <v>322</v>
      </c>
      <c r="BJ571" s="17" t="s">
        <v>322</v>
      </c>
      <c r="BK571" s="17" t="s">
        <v>322</v>
      </c>
      <c r="BL571" s="17" t="s">
        <v>147</v>
      </c>
      <c r="BM571" s="17" t="s">
        <v>322</v>
      </c>
    </row>
    <row r="572" spans="30:65" x14ac:dyDescent="0.3">
      <c r="AD572" t="s">
        <v>517</v>
      </c>
      <c r="AE572" s="17" t="s">
        <v>50</v>
      </c>
      <c r="AF572" s="17" t="s">
        <v>322</v>
      </c>
      <c r="AG572" s="17" t="s">
        <v>322</v>
      </c>
      <c r="AH572" s="17" t="s">
        <v>322</v>
      </c>
      <c r="AI572" s="17" t="s">
        <v>322</v>
      </c>
    </row>
    <row r="573" spans="30:65" x14ac:dyDescent="0.3">
      <c r="AD573" t="s">
        <v>326</v>
      </c>
      <c r="AE573" s="17" t="s">
        <v>322</v>
      </c>
      <c r="AF573" s="17" t="s">
        <v>322</v>
      </c>
      <c r="AG573" s="17" t="s">
        <v>322</v>
      </c>
      <c r="AH573" s="17" t="s">
        <v>50</v>
      </c>
      <c r="AI573" s="17" t="s">
        <v>322</v>
      </c>
      <c r="AS573" t="s">
        <v>827</v>
      </c>
      <c r="BH573" t="s">
        <v>827</v>
      </c>
    </row>
    <row r="574" spans="30:65" x14ac:dyDescent="0.3">
      <c r="AD574" t="s">
        <v>328</v>
      </c>
      <c r="AE574" s="17" t="s">
        <v>322</v>
      </c>
      <c r="AF574" s="17" t="s">
        <v>322</v>
      </c>
      <c r="AG574" s="17" t="s">
        <v>322</v>
      </c>
      <c r="AH574" s="17" t="s">
        <v>50</v>
      </c>
      <c r="AI574" s="17" t="s">
        <v>322</v>
      </c>
      <c r="AT574" s="17" t="s">
        <v>315</v>
      </c>
      <c r="AU574" s="17" t="s">
        <v>316</v>
      </c>
      <c r="AV574" s="17" t="s">
        <v>317</v>
      </c>
      <c r="AW574" s="17" t="s">
        <v>318</v>
      </c>
      <c r="AX574" s="17" t="s">
        <v>319</v>
      </c>
      <c r="BI574" s="17" t="s">
        <v>315</v>
      </c>
      <c r="BJ574" s="17" t="s">
        <v>316</v>
      </c>
      <c r="BK574" s="17" t="s">
        <v>317</v>
      </c>
      <c r="BL574" s="17" t="s">
        <v>318</v>
      </c>
      <c r="BM574" s="17" t="s">
        <v>319</v>
      </c>
    </row>
    <row r="575" spans="30:65" x14ac:dyDescent="0.3">
      <c r="AS575" t="s">
        <v>512</v>
      </c>
      <c r="AT575" s="17" t="s">
        <v>50</v>
      </c>
      <c r="AU575" s="17" t="s">
        <v>322</v>
      </c>
      <c r="AV575" s="17" t="s">
        <v>322</v>
      </c>
      <c r="AW575" s="17" t="s">
        <v>322</v>
      </c>
      <c r="AX575" s="17" t="s">
        <v>322</v>
      </c>
      <c r="BH575" t="s">
        <v>512</v>
      </c>
      <c r="BI575" s="17" t="s">
        <v>50</v>
      </c>
      <c r="BJ575" s="17" t="s">
        <v>322</v>
      </c>
      <c r="BK575" s="17" t="s">
        <v>322</v>
      </c>
      <c r="BL575" s="17" t="s">
        <v>322</v>
      </c>
      <c r="BM575" s="17" t="s">
        <v>322</v>
      </c>
    </row>
    <row r="576" spans="30:65" x14ac:dyDescent="0.3">
      <c r="AD576" t="s">
        <v>828</v>
      </c>
      <c r="AS576" t="s">
        <v>514</v>
      </c>
      <c r="AT576" s="17" t="s">
        <v>50</v>
      </c>
      <c r="AU576" s="17" t="s">
        <v>322</v>
      </c>
      <c r="AV576" s="17" t="s">
        <v>322</v>
      </c>
      <c r="AW576" s="17" t="s">
        <v>322</v>
      </c>
      <c r="AX576" s="17" t="s">
        <v>322</v>
      </c>
      <c r="BH576" t="s">
        <v>514</v>
      </c>
      <c r="BI576" s="17" t="s">
        <v>50</v>
      </c>
      <c r="BJ576" s="17" t="s">
        <v>322</v>
      </c>
      <c r="BK576" s="17" t="s">
        <v>322</v>
      </c>
      <c r="BL576" s="17" t="s">
        <v>322</v>
      </c>
      <c r="BM576" s="17" t="s">
        <v>322</v>
      </c>
    </row>
    <row r="577" spans="30:65" x14ac:dyDescent="0.3">
      <c r="AE577" s="17" t="s">
        <v>315</v>
      </c>
      <c r="AF577" s="17" t="s">
        <v>316</v>
      </c>
      <c r="AG577" s="17" t="s">
        <v>317</v>
      </c>
      <c r="AH577" s="17" t="s">
        <v>318</v>
      </c>
      <c r="AI577" s="17" t="s">
        <v>319</v>
      </c>
      <c r="AS577" t="s">
        <v>517</v>
      </c>
      <c r="AT577" s="17" t="s">
        <v>50</v>
      </c>
      <c r="AU577" s="17" t="s">
        <v>322</v>
      </c>
      <c r="AV577" s="17" t="s">
        <v>322</v>
      </c>
      <c r="AW577" s="17" t="s">
        <v>322</v>
      </c>
      <c r="AX577" s="17" t="s">
        <v>322</v>
      </c>
      <c r="BH577" t="s">
        <v>517</v>
      </c>
      <c r="BI577" s="17" t="s">
        <v>50</v>
      </c>
      <c r="BJ577" s="17" t="s">
        <v>322</v>
      </c>
      <c r="BK577" s="17" t="s">
        <v>322</v>
      </c>
      <c r="BL577" s="17" t="s">
        <v>322</v>
      </c>
      <c r="BM577" s="17" t="s">
        <v>322</v>
      </c>
    </row>
    <row r="578" spans="30:65" x14ac:dyDescent="0.3">
      <c r="AD578" t="s">
        <v>561</v>
      </c>
      <c r="AE578" s="17" t="s">
        <v>322</v>
      </c>
      <c r="AF578" s="17" t="s">
        <v>322</v>
      </c>
      <c r="AG578" s="17" t="s">
        <v>322</v>
      </c>
      <c r="AH578" s="17" t="s">
        <v>322</v>
      </c>
      <c r="AI578" s="17" t="s">
        <v>223</v>
      </c>
      <c r="AS578" t="s">
        <v>326</v>
      </c>
      <c r="AT578" s="17" t="s">
        <v>322</v>
      </c>
      <c r="AU578" s="17" t="s">
        <v>322</v>
      </c>
      <c r="AV578" s="17" t="s">
        <v>322</v>
      </c>
      <c r="AW578" s="17" t="s">
        <v>50</v>
      </c>
      <c r="AX578" s="17" t="s">
        <v>322</v>
      </c>
      <c r="BH578" t="s">
        <v>326</v>
      </c>
      <c r="BI578" s="17" t="s">
        <v>322</v>
      </c>
      <c r="BJ578" s="17" t="s">
        <v>322</v>
      </c>
      <c r="BK578" s="17" t="s">
        <v>322</v>
      </c>
      <c r="BL578" s="17" t="s">
        <v>50</v>
      </c>
      <c r="BM578" s="17" t="s">
        <v>322</v>
      </c>
    </row>
    <row r="579" spans="30:65" x14ac:dyDescent="0.3">
      <c r="AD579" t="s">
        <v>551</v>
      </c>
      <c r="AE579" s="17" t="s">
        <v>223</v>
      </c>
      <c r="AF579" s="17" t="s">
        <v>322</v>
      </c>
      <c r="AG579" s="17" t="s">
        <v>322</v>
      </c>
      <c r="AH579" s="17" t="s">
        <v>322</v>
      </c>
      <c r="AI579" s="17" t="s">
        <v>223</v>
      </c>
      <c r="AS579" t="s">
        <v>328</v>
      </c>
      <c r="AT579" s="17" t="s">
        <v>322</v>
      </c>
      <c r="AU579" s="17" t="s">
        <v>322</v>
      </c>
      <c r="AV579" s="17" t="s">
        <v>322</v>
      </c>
      <c r="AW579" s="17" t="s">
        <v>50</v>
      </c>
      <c r="AX579" s="17" t="s">
        <v>322</v>
      </c>
      <c r="BH579" t="s">
        <v>328</v>
      </c>
      <c r="BI579" s="17" t="s">
        <v>322</v>
      </c>
      <c r="BJ579" s="17" t="s">
        <v>322</v>
      </c>
      <c r="BK579" s="17" t="s">
        <v>322</v>
      </c>
      <c r="BL579" s="17" t="s">
        <v>50</v>
      </c>
      <c r="BM579" s="17" t="s">
        <v>322</v>
      </c>
    </row>
    <row r="580" spans="30:65" x14ac:dyDescent="0.3">
      <c r="AD580" t="s">
        <v>552</v>
      </c>
      <c r="AE580" s="17" t="s">
        <v>223</v>
      </c>
      <c r="AF580" s="17" t="s">
        <v>322</v>
      </c>
      <c r="AG580" s="17" t="s">
        <v>322</v>
      </c>
      <c r="AH580" s="17" t="s">
        <v>322</v>
      </c>
      <c r="AI580" s="17" t="s">
        <v>223</v>
      </c>
    </row>
    <row r="581" spans="30:65" x14ac:dyDescent="0.3">
      <c r="AS581" t="s">
        <v>828</v>
      </c>
      <c r="BH581" t="s">
        <v>828</v>
      </c>
    </row>
    <row r="582" spans="30:65" x14ac:dyDescent="0.3">
      <c r="AD582" t="s">
        <v>829</v>
      </c>
      <c r="AT582" s="17" t="s">
        <v>315</v>
      </c>
      <c r="AU582" s="17" t="s">
        <v>316</v>
      </c>
      <c r="AV582" s="17" t="s">
        <v>317</v>
      </c>
      <c r="AW582" s="17" t="s">
        <v>318</v>
      </c>
      <c r="AX582" s="17" t="s">
        <v>319</v>
      </c>
      <c r="BI582" s="17" t="s">
        <v>315</v>
      </c>
      <c r="BJ582" s="17" t="s">
        <v>316</v>
      </c>
      <c r="BK582" s="17" t="s">
        <v>317</v>
      </c>
      <c r="BL582" s="17" t="s">
        <v>318</v>
      </c>
      <c r="BM582" s="17" t="s">
        <v>319</v>
      </c>
    </row>
    <row r="583" spans="30:65" x14ac:dyDescent="0.3">
      <c r="AE583" s="17" t="s">
        <v>315</v>
      </c>
      <c r="AF583" s="17" t="s">
        <v>316</v>
      </c>
      <c r="AG583" s="17" t="s">
        <v>317</v>
      </c>
      <c r="AH583" s="17" t="s">
        <v>318</v>
      </c>
      <c r="AI583" s="17" t="s">
        <v>319</v>
      </c>
      <c r="AS583" t="s">
        <v>561</v>
      </c>
      <c r="AT583" s="17" t="s">
        <v>322</v>
      </c>
      <c r="AU583" s="17" t="s">
        <v>322</v>
      </c>
      <c r="AV583" s="17" t="s">
        <v>322</v>
      </c>
      <c r="AW583" s="17" t="s">
        <v>322</v>
      </c>
      <c r="AX583" s="17" t="s">
        <v>223</v>
      </c>
      <c r="BH583" t="s">
        <v>561</v>
      </c>
      <c r="BI583" s="17" t="s">
        <v>322</v>
      </c>
      <c r="BJ583" s="17" t="s">
        <v>322</v>
      </c>
      <c r="BK583" s="17" t="s">
        <v>322</v>
      </c>
      <c r="BL583" s="17" t="s">
        <v>322</v>
      </c>
      <c r="BM583" s="17" t="s">
        <v>223</v>
      </c>
    </row>
    <row r="584" spans="30:65" x14ac:dyDescent="0.3">
      <c r="AD584" t="s">
        <v>573</v>
      </c>
      <c r="AE584" s="17" t="s">
        <v>210</v>
      </c>
      <c r="AF584" s="17" t="s">
        <v>322</v>
      </c>
      <c r="AG584" s="17" t="s">
        <v>322</v>
      </c>
      <c r="AH584" s="17" t="s">
        <v>210</v>
      </c>
      <c r="AI584" s="17" t="s">
        <v>322</v>
      </c>
      <c r="AS584" t="s">
        <v>551</v>
      </c>
      <c r="AT584" s="17" t="s">
        <v>223</v>
      </c>
      <c r="AU584" s="17" t="s">
        <v>322</v>
      </c>
      <c r="AV584" s="17" t="s">
        <v>322</v>
      </c>
      <c r="AW584" s="17" t="s">
        <v>322</v>
      </c>
      <c r="AX584" s="17" t="s">
        <v>223</v>
      </c>
      <c r="BH584" t="s">
        <v>551</v>
      </c>
      <c r="BI584" s="17" t="s">
        <v>223</v>
      </c>
      <c r="BJ584" s="17" t="s">
        <v>322</v>
      </c>
      <c r="BK584" s="17" t="s">
        <v>322</v>
      </c>
      <c r="BL584" s="17" t="s">
        <v>322</v>
      </c>
      <c r="BM584" s="17" t="s">
        <v>223</v>
      </c>
    </row>
    <row r="585" spans="30:65" x14ac:dyDescent="0.3">
      <c r="AD585" t="s">
        <v>561</v>
      </c>
      <c r="AE585" s="17" t="s">
        <v>210</v>
      </c>
      <c r="AF585" s="17" t="s">
        <v>322</v>
      </c>
      <c r="AG585" s="17" t="s">
        <v>322</v>
      </c>
      <c r="AH585" s="17" t="s">
        <v>210</v>
      </c>
      <c r="AI585" s="17" t="s">
        <v>322</v>
      </c>
      <c r="AS585" t="s">
        <v>552</v>
      </c>
      <c r="AT585" s="17" t="s">
        <v>223</v>
      </c>
      <c r="AU585" s="17" t="s">
        <v>322</v>
      </c>
      <c r="AV585" s="17" t="s">
        <v>322</v>
      </c>
      <c r="AW585" s="17" t="s">
        <v>322</v>
      </c>
      <c r="AX585" s="17" t="s">
        <v>223</v>
      </c>
      <c r="BH585" t="s">
        <v>552</v>
      </c>
      <c r="BI585" s="17" t="s">
        <v>223</v>
      </c>
      <c r="BJ585" s="17" t="s">
        <v>322</v>
      </c>
      <c r="BK585" s="17" t="s">
        <v>322</v>
      </c>
      <c r="BL585" s="17" t="s">
        <v>322</v>
      </c>
      <c r="BM585" s="17" t="s">
        <v>223</v>
      </c>
    </row>
    <row r="587" spans="30:65" x14ac:dyDescent="0.3">
      <c r="AD587" t="s">
        <v>830</v>
      </c>
      <c r="AS587" t="s">
        <v>829</v>
      </c>
      <c r="BH587" t="s">
        <v>829</v>
      </c>
    </row>
    <row r="588" spans="30:65" x14ac:dyDescent="0.3">
      <c r="AE588" s="17" t="s">
        <v>315</v>
      </c>
      <c r="AF588" s="17" t="s">
        <v>316</v>
      </c>
      <c r="AG588" s="17" t="s">
        <v>317</v>
      </c>
      <c r="AH588" s="17" t="s">
        <v>318</v>
      </c>
      <c r="AI588" s="17" t="s">
        <v>319</v>
      </c>
      <c r="AT588" s="17" t="s">
        <v>315</v>
      </c>
      <c r="AU588" s="17" t="s">
        <v>316</v>
      </c>
      <c r="AV588" s="17" t="s">
        <v>317</v>
      </c>
      <c r="AW588" s="17" t="s">
        <v>318</v>
      </c>
      <c r="AX588" s="17" t="s">
        <v>319</v>
      </c>
      <c r="BI588" s="17" t="s">
        <v>315</v>
      </c>
      <c r="BJ588" s="17" t="s">
        <v>316</v>
      </c>
      <c r="BK588" s="17" t="s">
        <v>317</v>
      </c>
      <c r="BL588" s="17" t="s">
        <v>318</v>
      </c>
      <c r="BM588" s="17" t="s">
        <v>319</v>
      </c>
    </row>
    <row r="589" spans="30:65" x14ac:dyDescent="0.3">
      <c r="AD589" t="s">
        <v>512</v>
      </c>
      <c r="AE589" s="17" t="s">
        <v>322</v>
      </c>
      <c r="AF589" s="17" t="s">
        <v>191</v>
      </c>
      <c r="AG589" s="17" t="s">
        <v>322</v>
      </c>
      <c r="AH589" s="17" t="s">
        <v>191</v>
      </c>
      <c r="AI589" s="17" t="s">
        <v>322</v>
      </c>
      <c r="AS589" t="s">
        <v>573</v>
      </c>
      <c r="AT589" s="17" t="s">
        <v>210</v>
      </c>
      <c r="AU589" s="17" t="s">
        <v>322</v>
      </c>
      <c r="AV589" s="17" t="s">
        <v>322</v>
      </c>
      <c r="AW589" s="17" t="s">
        <v>210</v>
      </c>
      <c r="AX589" s="17" t="s">
        <v>322</v>
      </c>
      <c r="BH589" t="s">
        <v>573</v>
      </c>
      <c r="BI589" s="17" t="s">
        <v>210</v>
      </c>
      <c r="BJ589" s="17" t="s">
        <v>322</v>
      </c>
      <c r="BK589" s="17" t="s">
        <v>322</v>
      </c>
      <c r="BL589" s="17" t="s">
        <v>210</v>
      </c>
      <c r="BM589" s="17" t="s">
        <v>322</v>
      </c>
    </row>
    <row r="590" spans="30:65" x14ac:dyDescent="0.3">
      <c r="AD590" t="s">
        <v>514</v>
      </c>
      <c r="AE590" s="17" t="s">
        <v>322</v>
      </c>
      <c r="AF590" s="17" t="s">
        <v>191</v>
      </c>
      <c r="AG590" s="17" t="s">
        <v>322</v>
      </c>
      <c r="AH590" s="17" t="s">
        <v>191</v>
      </c>
      <c r="AI590" s="17" t="s">
        <v>322</v>
      </c>
      <c r="AS590" t="s">
        <v>561</v>
      </c>
      <c r="AT590" s="17" t="s">
        <v>210</v>
      </c>
      <c r="AU590" s="17" t="s">
        <v>322</v>
      </c>
      <c r="AV590" s="17" t="s">
        <v>322</v>
      </c>
      <c r="AW590" s="17" t="s">
        <v>210</v>
      </c>
      <c r="AX590" s="17" t="s">
        <v>322</v>
      </c>
      <c r="BH590" t="s">
        <v>561</v>
      </c>
      <c r="BI590" s="17" t="s">
        <v>210</v>
      </c>
      <c r="BJ590" s="17" t="s">
        <v>322</v>
      </c>
      <c r="BK590" s="17" t="s">
        <v>322</v>
      </c>
      <c r="BL590" s="17" t="s">
        <v>210</v>
      </c>
      <c r="BM590" s="17" t="s">
        <v>322</v>
      </c>
    </row>
    <row r="591" spans="30:65" x14ac:dyDescent="0.3">
      <c r="AD591" t="s">
        <v>517</v>
      </c>
      <c r="AE591" s="17" t="s">
        <v>322</v>
      </c>
      <c r="AF591" s="17" t="s">
        <v>322</v>
      </c>
      <c r="AG591" s="17" t="s">
        <v>322</v>
      </c>
      <c r="AH591" s="17" t="s">
        <v>191</v>
      </c>
      <c r="AI591" s="17" t="s">
        <v>322</v>
      </c>
    </row>
    <row r="592" spans="30:65" x14ac:dyDescent="0.3">
      <c r="AD592" t="s">
        <v>552</v>
      </c>
      <c r="AE592" s="17" t="s">
        <v>322</v>
      </c>
      <c r="AF592" s="17" t="s">
        <v>46</v>
      </c>
      <c r="AG592" s="17" t="s">
        <v>322</v>
      </c>
      <c r="AH592" s="17" t="s">
        <v>322</v>
      </c>
      <c r="AI592" s="17" t="s">
        <v>46</v>
      </c>
      <c r="AS592" t="s">
        <v>830</v>
      </c>
      <c r="BH592" t="s">
        <v>830</v>
      </c>
    </row>
    <row r="593" spans="30:65" x14ac:dyDescent="0.3">
      <c r="AD593" t="s">
        <v>554</v>
      </c>
      <c r="AE593" s="17" t="s">
        <v>322</v>
      </c>
      <c r="AF593" s="17" t="s">
        <v>46</v>
      </c>
      <c r="AG593" s="17" t="s">
        <v>322</v>
      </c>
      <c r="AH593" s="17" t="s">
        <v>322</v>
      </c>
      <c r="AI593" s="17" t="s">
        <v>46</v>
      </c>
      <c r="AT593" s="17" t="s">
        <v>315</v>
      </c>
      <c r="AU593" s="17" t="s">
        <v>316</v>
      </c>
      <c r="AV593" s="17" t="s">
        <v>317</v>
      </c>
      <c r="AW593" s="17" t="s">
        <v>318</v>
      </c>
      <c r="AX593" s="17" t="s">
        <v>319</v>
      </c>
      <c r="BI593" s="17" t="s">
        <v>315</v>
      </c>
      <c r="BJ593" s="17" t="s">
        <v>316</v>
      </c>
      <c r="BK593" s="17" t="s">
        <v>317</v>
      </c>
      <c r="BL593" s="17" t="s">
        <v>318</v>
      </c>
      <c r="BM593" s="17" t="s">
        <v>319</v>
      </c>
    </row>
    <row r="594" spans="30:65" x14ac:dyDescent="0.3">
      <c r="AD594" t="s">
        <v>586</v>
      </c>
      <c r="AE594" s="17" t="s">
        <v>322</v>
      </c>
      <c r="AF594" s="17" t="s">
        <v>46</v>
      </c>
      <c r="AG594" s="17" t="s">
        <v>322</v>
      </c>
      <c r="AH594" s="17" t="s">
        <v>322</v>
      </c>
      <c r="AI594" s="17" t="s">
        <v>322</v>
      </c>
      <c r="AS594" t="s">
        <v>512</v>
      </c>
      <c r="AT594" s="17" t="s">
        <v>322</v>
      </c>
      <c r="AU594" s="17" t="s">
        <v>191</v>
      </c>
      <c r="AV594" s="17" t="s">
        <v>322</v>
      </c>
      <c r="AW594" s="17" t="s">
        <v>191</v>
      </c>
      <c r="AX594" s="17" t="s">
        <v>322</v>
      </c>
      <c r="BH594" t="s">
        <v>512</v>
      </c>
      <c r="BI594" s="17" t="s">
        <v>322</v>
      </c>
      <c r="BJ594" s="17" t="s">
        <v>191</v>
      </c>
      <c r="BK594" s="17" t="s">
        <v>322</v>
      </c>
      <c r="BL594" s="17" t="s">
        <v>191</v>
      </c>
      <c r="BM594" s="17" t="s">
        <v>322</v>
      </c>
    </row>
    <row r="595" spans="30:65" x14ac:dyDescent="0.3">
      <c r="AS595" t="s">
        <v>514</v>
      </c>
      <c r="AT595" s="17" t="s">
        <v>322</v>
      </c>
      <c r="AU595" s="17" t="s">
        <v>191</v>
      </c>
      <c r="AV595" s="17" t="s">
        <v>322</v>
      </c>
      <c r="AW595" s="17" t="s">
        <v>191</v>
      </c>
      <c r="AX595" s="17" t="s">
        <v>322</v>
      </c>
      <c r="BH595" t="s">
        <v>514</v>
      </c>
      <c r="BI595" s="17" t="s">
        <v>322</v>
      </c>
      <c r="BJ595" s="17" t="s">
        <v>191</v>
      </c>
      <c r="BK595" s="17" t="s">
        <v>322</v>
      </c>
      <c r="BL595" s="17" t="s">
        <v>191</v>
      </c>
      <c r="BM595" s="17" t="s">
        <v>322</v>
      </c>
    </row>
    <row r="596" spans="30:65" x14ac:dyDescent="0.3">
      <c r="AD596" t="s">
        <v>831</v>
      </c>
      <c r="AS596" t="s">
        <v>517</v>
      </c>
      <c r="AT596" s="17" t="s">
        <v>322</v>
      </c>
      <c r="AU596" s="17" t="s">
        <v>322</v>
      </c>
      <c r="AV596" s="17" t="s">
        <v>322</v>
      </c>
      <c r="AW596" s="17" t="s">
        <v>191</v>
      </c>
      <c r="AX596" s="17" t="s">
        <v>322</v>
      </c>
      <c r="BH596" t="s">
        <v>517</v>
      </c>
      <c r="BI596" s="17" t="s">
        <v>322</v>
      </c>
      <c r="BJ596" s="17" t="s">
        <v>322</v>
      </c>
      <c r="BK596" s="17" t="s">
        <v>322</v>
      </c>
      <c r="BL596" s="17" t="s">
        <v>191</v>
      </c>
      <c r="BM596" s="17" t="s">
        <v>322</v>
      </c>
    </row>
    <row r="597" spans="30:65" x14ac:dyDescent="0.3">
      <c r="AE597" s="17" t="s">
        <v>315</v>
      </c>
      <c r="AF597" s="17" t="s">
        <v>316</v>
      </c>
      <c r="AG597" s="17" t="s">
        <v>317</v>
      </c>
      <c r="AH597" s="17" t="s">
        <v>318</v>
      </c>
      <c r="AI597" s="17" t="s">
        <v>319</v>
      </c>
      <c r="AS597" t="s">
        <v>552</v>
      </c>
      <c r="AT597" s="17" t="s">
        <v>322</v>
      </c>
      <c r="AU597" s="17" t="s">
        <v>322</v>
      </c>
      <c r="AV597" s="17" t="s">
        <v>322</v>
      </c>
      <c r="AW597" s="17" t="s">
        <v>46</v>
      </c>
      <c r="AX597" s="17" t="s">
        <v>322</v>
      </c>
      <c r="BH597" t="s">
        <v>552</v>
      </c>
      <c r="BI597" s="17" t="s">
        <v>322</v>
      </c>
      <c r="BJ597" s="17" t="s">
        <v>322</v>
      </c>
      <c r="BK597" s="17" t="s">
        <v>322</v>
      </c>
      <c r="BL597" s="17" t="s">
        <v>46</v>
      </c>
      <c r="BM597" s="17" t="s">
        <v>322</v>
      </c>
    </row>
    <row r="598" spans="30:65" x14ac:dyDescent="0.3">
      <c r="AD598" t="s">
        <v>512</v>
      </c>
      <c r="AE598" s="17" t="s">
        <v>322</v>
      </c>
      <c r="AF598" s="17" t="s">
        <v>137</v>
      </c>
      <c r="AG598" s="17" t="s">
        <v>322</v>
      </c>
      <c r="AH598" s="17" t="s">
        <v>137</v>
      </c>
      <c r="AI598" s="17" t="s">
        <v>322</v>
      </c>
      <c r="AS598" t="s">
        <v>554</v>
      </c>
      <c r="AT598" s="17" t="s">
        <v>322</v>
      </c>
      <c r="AU598" s="17" t="s">
        <v>46</v>
      </c>
      <c r="AV598" s="17" t="s">
        <v>322</v>
      </c>
      <c r="AW598" s="17" t="s">
        <v>46</v>
      </c>
      <c r="AX598" s="17" t="s">
        <v>322</v>
      </c>
      <c r="BH598" t="s">
        <v>554</v>
      </c>
      <c r="BI598" s="17" t="s">
        <v>322</v>
      </c>
      <c r="BJ598" s="17" t="s">
        <v>46</v>
      </c>
      <c r="BK598" s="17" t="s">
        <v>322</v>
      </c>
      <c r="BL598" s="17" t="s">
        <v>46</v>
      </c>
      <c r="BM598" s="17" t="s">
        <v>322</v>
      </c>
    </row>
    <row r="599" spans="30:65" x14ac:dyDescent="0.3">
      <c r="AD599" t="s">
        <v>514</v>
      </c>
      <c r="AE599" s="17" t="s">
        <v>322</v>
      </c>
      <c r="AF599" s="17" t="s">
        <v>137</v>
      </c>
      <c r="AG599" s="17" t="s">
        <v>322</v>
      </c>
      <c r="AH599" s="17" t="s">
        <v>137</v>
      </c>
      <c r="AI599" s="17" t="s">
        <v>322</v>
      </c>
      <c r="AS599" t="s">
        <v>586</v>
      </c>
      <c r="AT599" s="17" t="s">
        <v>322</v>
      </c>
      <c r="AU599" s="17" t="s">
        <v>46</v>
      </c>
      <c r="AV599" s="17" t="s">
        <v>322</v>
      </c>
      <c r="AW599" s="17" t="s">
        <v>46</v>
      </c>
      <c r="AX599" s="17" t="s">
        <v>322</v>
      </c>
      <c r="BH599" t="s">
        <v>586</v>
      </c>
      <c r="BI599" s="17" t="s">
        <v>322</v>
      </c>
      <c r="BJ599" s="17" t="s">
        <v>46</v>
      </c>
      <c r="BK599" s="17" t="s">
        <v>322</v>
      </c>
      <c r="BL599" s="17" t="s">
        <v>46</v>
      </c>
      <c r="BM599" s="17" t="s">
        <v>322</v>
      </c>
    </row>
    <row r="600" spans="30:65" x14ac:dyDescent="0.3">
      <c r="AD600" t="s">
        <v>517</v>
      </c>
      <c r="AE600" s="17" t="s">
        <v>322</v>
      </c>
      <c r="AF600" s="17" t="s">
        <v>322</v>
      </c>
      <c r="AG600" s="17" t="s">
        <v>322</v>
      </c>
      <c r="AH600" s="17" t="s">
        <v>137</v>
      </c>
      <c r="AI600" s="17" t="s">
        <v>322</v>
      </c>
    </row>
    <row r="601" spans="30:65" x14ac:dyDescent="0.3">
      <c r="AD601" t="s">
        <v>551</v>
      </c>
      <c r="AE601" s="17" t="s">
        <v>241</v>
      </c>
      <c r="AF601" s="17" t="s">
        <v>322</v>
      </c>
      <c r="AG601" s="17" t="s">
        <v>322</v>
      </c>
      <c r="AH601" s="17" t="s">
        <v>241</v>
      </c>
      <c r="AI601" s="17" t="s">
        <v>322</v>
      </c>
      <c r="AS601" t="s">
        <v>831</v>
      </c>
      <c r="BH601" t="s">
        <v>831</v>
      </c>
    </row>
    <row r="602" spans="30:65" x14ac:dyDescent="0.3">
      <c r="AD602" t="s">
        <v>552</v>
      </c>
      <c r="AE602" s="17" t="s">
        <v>241</v>
      </c>
      <c r="AF602" s="17" t="s">
        <v>322</v>
      </c>
      <c r="AG602" s="17" t="s">
        <v>322</v>
      </c>
      <c r="AH602" s="17" t="s">
        <v>241</v>
      </c>
      <c r="AI602" s="17" t="s">
        <v>322</v>
      </c>
      <c r="AT602" s="17" t="s">
        <v>315</v>
      </c>
      <c r="AU602" s="17" t="s">
        <v>316</v>
      </c>
      <c r="AV602" s="17" t="s">
        <v>317</v>
      </c>
      <c r="AW602" s="17" t="s">
        <v>318</v>
      </c>
      <c r="AX602" s="17" t="s">
        <v>319</v>
      </c>
      <c r="BI602" s="17" t="s">
        <v>315</v>
      </c>
      <c r="BJ602" s="17" t="s">
        <v>316</v>
      </c>
      <c r="BK602" s="17" t="s">
        <v>317</v>
      </c>
      <c r="BL602" s="17" t="s">
        <v>318</v>
      </c>
      <c r="BM602" s="17" t="s">
        <v>319</v>
      </c>
    </row>
    <row r="603" spans="30:65" x14ac:dyDescent="0.3">
      <c r="AD603" t="s">
        <v>554</v>
      </c>
      <c r="AE603" s="17" t="s">
        <v>241</v>
      </c>
      <c r="AF603" s="17" t="s">
        <v>322</v>
      </c>
      <c r="AG603" s="17" t="s">
        <v>322</v>
      </c>
      <c r="AH603" s="17" t="s">
        <v>322</v>
      </c>
      <c r="AI603" s="17" t="s">
        <v>322</v>
      </c>
      <c r="AS603" t="s">
        <v>512</v>
      </c>
      <c r="AT603" s="17" t="s">
        <v>322</v>
      </c>
      <c r="AU603" s="17" t="s">
        <v>137</v>
      </c>
      <c r="AV603" s="17" t="s">
        <v>322</v>
      </c>
      <c r="AW603" s="17" t="s">
        <v>137</v>
      </c>
      <c r="AX603" s="17" t="s">
        <v>322</v>
      </c>
      <c r="BH603" t="s">
        <v>512</v>
      </c>
      <c r="BI603" s="17" t="s">
        <v>322</v>
      </c>
      <c r="BJ603" s="17" t="s">
        <v>137</v>
      </c>
      <c r="BK603" s="17" t="s">
        <v>322</v>
      </c>
      <c r="BL603" s="17" t="s">
        <v>137</v>
      </c>
      <c r="BM603" s="17" t="s">
        <v>322</v>
      </c>
    </row>
    <row r="604" spans="30:65" x14ac:dyDescent="0.3">
      <c r="AS604" t="s">
        <v>514</v>
      </c>
      <c r="AT604" s="17" t="s">
        <v>322</v>
      </c>
      <c r="AU604" s="17" t="s">
        <v>137</v>
      </c>
      <c r="AV604" s="17" t="s">
        <v>322</v>
      </c>
      <c r="AW604" s="17" t="s">
        <v>137</v>
      </c>
      <c r="AX604" s="17" t="s">
        <v>322</v>
      </c>
      <c r="BH604" t="s">
        <v>514</v>
      </c>
      <c r="BI604" s="17" t="s">
        <v>322</v>
      </c>
      <c r="BJ604" s="17" t="s">
        <v>137</v>
      </c>
      <c r="BK604" s="17" t="s">
        <v>322</v>
      </c>
      <c r="BL604" s="17" t="s">
        <v>137</v>
      </c>
      <c r="BM604" s="17" t="s">
        <v>322</v>
      </c>
    </row>
    <row r="605" spans="30:65" x14ac:dyDescent="0.3">
      <c r="AD605" t="s">
        <v>832</v>
      </c>
      <c r="AS605" t="s">
        <v>517</v>
      </c>
      <c r="AT605" s="17" t="s">
        <v>322</v>
      </c>
      <c r="AU605" s="17" t="s">
        <v>322</v>
      </c>
      <c r="AV605" s="17" t="s">
        <v>322</v>
      </c>
      <c r="AW605" s="17" t="s">
        <v>137</v>
      </c>
      <c r="AX605" s="17" t="s">
        <v>322</v>
      </c>
      <c r="BH605" t="s">
        <v>517</v>
      </c>
      <c r="BI605" s="17" t="s">
        <v>322</v>
      </c>
      <c r="BJ605" s="17" t="s">
        <v>322</v>
      </c>
      <c r="BK605" s="17" t="s">
        <v>322</v>
      </c>
      <c r="BL605" s="17" t="s">
        <v>137</v>
      </c>
      <c r="BM605" s="17" t="s">
        <v>322</v>
      </c>
    </row>
    <row r="606" spans="30:65" x14ac:dyDescent="0.3">
      <c r="AE606" s="17" t="s">
        <v>315</v>
      </c>
      <c r="AF606" s="17" t="s">
        <v>316</v>
      </c>
      <c r="AG606" s="17" t="s">
        <v>317</v>
      </c>
      <c r="AH606" s="17" t="s">
        <v>318</v>
      </c>
      <c r="AI606" s="17" t="s">
        <v>319</v>
      </c>
      <c r="AS606" t="s">
        <v>551</v>
      </c>
      <c r="AT606" s="17" t="s">
        <v>241</v>
      </c>
      <c r="AU606" s="17" t="s">
        <v>322</v>
      </c>
      <c r="AV606" s="17" t="s">
        <v>322</v>
      </c>
      <c r="AW606" s="17" t="s">
        <v>241</v>
      </c>
      <c r="AX606" s="17" t="s">
        <v>322</v>
      </c>
      <c r="BH606" t="s">
        <v>551</v>
      </c>
      <c r="BI606" s="17" t="s">
        <v>241</v>
      </c>
      <c r="BJ606" s="17" t="s">
        <v>322</v>
      </c>
      <c r="BK606" s="17" t="s">
        <v>322</v>
      </c>
      <c r="BL606" s="17" t="s">
        <v>241</v>
      </c>
      <c r="BM606" s="17" t="s">
        <v>322</v>
      </c>
    </row>
    <row r="607" spans="30:65" x14ac:dyDescent="0.3">
      <c r="AD607" t="s">
        <v>517</v>
      </c>
      <c r="AE607" s="17" t="s">
        <v>322</v>
      </c>
      <c r="AF607" s="17" t="s">
        <v>322</v>
      </c>
      <c r="AG607" s="17" t="s">
        <v>322</v>
      </c>
      <c r="AH607" s="17" t="s">
        <v>322</v>
      </c>
      <c r="AI607" s="17" t="s">
        <v>170</v>
      </c>
      <c r="AS607" t="s">
        <v>552</v>
      </c>
      <c r="AT607" s="17" t="s">
        <v>241</v>
      </c>
      <c r="AU607" s="17" t="s">
        <v>322</v>
      </c>
      <c r="AV607" s="17" t="s">
        <v>322</v>
      </c>
      <c r="AW607" s="17" t="s">
        <v>241</v>
      </c>
      <c r="AX607" s="17" t="s">
        <v>322</v>
      </c>
      <c r="BH607" t="s">
        <v>552</v>
      </c>
      <c r="BI607" s="17" t="s">
        <v>241</v>
      </c>
      <c r="BJ607" s="17" t="s">
        <v>322</v>
      </c>
      <c r="BK607" s="17" t="s">
        <v>322</v>
      </c>
      <c r="BL607" s="17" t="s">
        <v>241</v>
      </c>
      <c r="BM607" s="17" t="s">
        <v>322</v>
      </c>
    </row>
    <row r="608" spans="30:65" x14ac:dyDescent="0.3">
      <c r="AD608" t="s">
        <v>326</v>
      </c>
      <c r="AE608" s="17" t="s">
        <v>322</v>
      </c>
      <c r="AF608" s="17" t="s">
        <v>322</v>
      </c>
      <c r="AG608" s="17" t="s">
        <v>322</v>
      </c>
      <c r="AH608" s="17" t="s">
        <v>322</v>
      </c>
      <c r="AI608" s="17" t="s">
        <v>170</v>
      </c>
      <c r="AS608" t="s">
        <v>554</v>
      </c>
      <c r="AT608" s="17" t="s">
        <v>322</v>
      </c>
      <c r="AU608" s="17" t="s">
        <v>322</v>
      </c>
      <c r="AV608" s="17" t="s">
        <v>322</v>
      </c>
      <c r="AW608" s="17" t="s">
        <v>241</v>
      </c>
      <c r="AX608" s="17" t="s">
        <v>322</v>
      </c>
      <c r="BH608" t="s">
        <v>554</v>
      </c>
      <c r="BI608" s="17" t="s">
        <v>241</v>
      </c>
      <c r="BJ608" s="17" t="s">
        <v>322</v>
      </c>
      <c r="BK608" s="17" t="s">
        <v>322</v>
      </c>
      <c r="BL608" s="17" t="s">
        <v>322</v>
      </c>
      <c r="BM608" s="17" t="s">
        <v>322</v>
      </c>
    </row>
    <row r="609" spans="30:65" x14ac:dyDescent="0.3">
      <c r="AD609" t="s">
        <v>328</v>
      </c>
      <c r="AE609" s="17" t="s">
        <v>322</v>
      </c>
      <c r="AF609" s="17" t="s">
        <v>322</v>
      </c>
      <c r="AG609" s="17" t="s">
        <v>170</v>
      </c>
      <c r="AH609" s="17" t="s">
        <v>322</v>
      </c>
      <c r="AI609" s="17" t="s">
        <v>170</v>
      </c>
    </row>
    <row r="610" spans="30:65" x14ac:dyDescent="0.3">
      <c r="AD610" t="s">
        <v>350</v>
      </c>
      <c r="AE610" s="17" t="s">
        <v>322</v>
      </c>
      <c r="AF610" s="17" t="s">
        <v>322</v>
      </c>
      <c r="AG610" s="17" t="s">
        <v>170</v>
      </c>
      <c r="AH610" s="17" t="s">
        <v>322</v>
      </c>
      <c r="AI610" s="17" t="s">
        <v>322</v>
      </c>
      <c r="AS610" t="s">
        <v>832</v>
      </c>
      <c r="BH610" t="s">
        <v>832</v>
      </c>
    </row>
    <row r="611" spans="30:65" x14ac:dyDescent="0.3">
      <c r="AT611" s="17" t="s">
        <v>315</v>
      </c>
      <c r="AU611" s="17" t="s">
        <v>316</v>
      </c>
      <c r="AV611" s="17" t="s">
        <v>317</v>
      </c>
      <c r="AW611" s="17" t="s">
        <v>318</v>
      </c>
      <c r="AX611" s="17" t="s">
        <v>319</v>
      </c>
      <c r="BI611" s="17" t="s">
        <v>315</v>
      </c>
      <c r="BJ611" s="17" t="s">
        <v>316</v>
      </c>
      <c r="BK611" s="17" t="s">
        <v>317</v>
      </c>
      <c r="BL611" s="17" t="s">
        <v>318</v>
      </c>
      <c r="BM611" s="17" t="s">
        <v>319</v>
      </c>
    </row>
    <row r="612" spans="30:65" x14ac:dyDescent="0.3">
      <c r="AD612" t="s">
        <v>833</v>
      </c>
      <c r="AS612" t="s">
        <v>517</v>
      </c>
      <c r="AT612" s="17" t="s">
        <v>322</v>
      </c>
      <c r="AU612" s="17" t="s">
        <v>322</v>
      </c>
      <c r="AV612" s="17" t="s">
        <v>322</v>
      </c>
      <c r="AW612" s="17" t="s">
        <v>322</v>
      </c>
      <c r="AX612" s="17" t="s">
        <v>170</v>
      </c>
      <c r="BH612" t="s">
        <v>517</v>
      </c>
      <c r="BI612" s="17" t="s">
        <v>322</v>
      </c>
      <c r="BJ612" s="17" t="s">
        <v>322</v>
      </c>
      <c r="BK612" s="17" t="s">
        <v>322</v>
      </c>
      <c r="BL612" s="17" t="s">
        <v>322</v>
      </c>
      <c r="BM612" s="17" t="s">
        <v>170</v>
      </c>
    </row>
    <row r="613" spans="30:65" x14ac:dyDescent="0.3">
      <c r="AE613" s="17" t="s">
        <v>315</v>
      </c>
      <c r="AF613" s="17" t="s">
        <v>316</v>
      </c>
      <c r="AG613" s="17" t="s">
        <v>317</v>
      </c>
      <c r="AH613" s="17" t="s">
        <v>318</v>
      </c>
      <c r="AI613" s="17" t="s">
        <v>319</v>
      </c>
      <c r="AS613" t="s">
        <v>326</v>
      </c>
      <c r="AT613" s="17" t="s">
        <v>322</v>
      </c>
      <c r="AU613" s="17" t="s">
        <v>322</v>
      </c>
      <c r="AV613" s="17" t="s">
        <v>322</v>
      </c>
      <c r="AW613" s="17" t="s">
        <v>322</v>
      </c>
      <c r="AX613" s="17" t="s">
        <v>170</v>
      </c>
      <c r="BH613" t="s">
        <v>326</v>
      </c>
      <c r="BI613" s="17" t="s">
        <v>322</v>
      </c>
      <c r="BJ613" s="17" t="s">
        <v>322</v>
      </c>
      <c r="BK613" s="17" t="s">
        <v>322</v>
      </c>
      <c r="BL613" s="17" t="s">
        <v>322</v>
      </c>
      <c r="BM613" s="17" t="s">
        <v>170</v>
      </c>
    </row>
    <row r="614" spans="30:65" x14ac:dyDescent="0.3">
      <c r="AD614" t="s">
        <v>551</v>
      </c>
      <c r="AE614" s="17" t="s">
        <v>322</v>
      </c>
      <c r="AF614" s="17" t="s">
        <v>77</v>
      </c>
      <c r="AG614" s="17" t="s">
        <v>322</v>
      </c>
      <c r="AH614" s="17" t="s">
        <v>322</v>
      </c>
      <c r="AI614" s="17" t="s">
        <v>322</v>
      </c>
      <c r="AS614" t="s">
        <v>328</v>
      </c>
      <c r="AT614" s="17" t="s">
        <v>322</v>
      </c>
      <c r="AU614" s="17" t="s">
        <v>322</v>
      </c>
      <c r="AV614" s="17" t="s">
        <v>170</v>
      </c>
      <c r="AW614" s="17" t="s">
        <v>322</v>
      </c>
      <c r="AX614" s="17" t="s">
        <v>170</v>
      </c>
      <c r="BH614" t="s">
        <v>328</v>
      </c>
      <c r="BI614" s="17" t="s">
        <v>322</v>
      </c>
      <c r="BJ614" s="17" t="s">
        <v>322</v>
      </c>
      <c r="BK614" s="17" t="s">
        <v>170</v>
      </c>
      <c r="BL614" s="17" t="s">
        <v>322</v>
      </c>
      <c r="BM614" s="17" t="s">
        <v>170</v>
      </c>
    </row>
    <row r="615" spans="30:65" x14ac:dyDescent="0.3">
      <c r="AD615" t="s">
        <v>552</v>
      </c>
      <c r="AE615" s="17" t="s">
        <v>322</v>
      </c>
      <c r="AF615" s="17" t="s">
        <v>77</v>
      </c>
      <c r="AG615" s="17" t="s">
        <v>322</v>
      </c>
      <c r="AH615" s="17" t="s">
        <v>322</v>
      </c>
      <c r="AI615" s="17" t="s">
        <v>322</v>
      </c>
      <c r="AS615" t="s">
        <v>350</v>
      </c>
      <c r="AT615" s="17" t="s">
        <v>322</v>
      </c>
      <c r="AU615" s="17" t="s">
        <v>322</v>
      </c>
      <c r="AV615" s="17" t="s">
        <v>170</v>
      </c>
      <c r="AW615" s="17" t="s">
        <v>322</v>
      </c>
      <c r="AX615" s="17" t="s">
        <v>322</v>
      </c>
      <c r="BH615" t="s">
        <v>350</v>
      </c>
      <c r="BI615" s="17" t="s">
        <v>322</v>
      </c>
      <c r="BJ615" s="17" t="s">
        <v>322</v>
      </c>
      <c r="BK615" s="17" t="s">
        <v>170</v>
      </c>
      <c r="BL615" s="17" t="s">
        <v>322</v>
      </c>
      <c r="BM615" s="17" t="s">
        <v>322</v>
      </c>
    </row>
    <row r="616" spans="30:65" x14ac:dyDescent="0.3">
      <c r="AD616" t="s">
        <v>554</v>
      </c>
      <c r="AE616" s="17" t="s">
        <v>322</v>
      </c>
      <c r="AF616" s="17" t="s">
        <v>77</v>
      </c>
      <c r="AG616" s="17" t="s">
        <v>322</v>
      </c>
      <c r="AH616" s="17" t="s">
        <v>322</v>
      </c>
      <c r="AI616" s="17" t="s">
        <v>322</v>
      </c>
    </row>
    <row r="617" spans="30:65" x14ac:dyDescent="0.3">
      <c r="AS617" t="s">
        <v>833</v>
      </c>
      <c r="BH617" t="s">
        <v>833</v>
      </c>
    </row>
    <row r="618" spans="30:65" x14ac:dyDescent="0.3">
      <c r="AD618" t="s">
        <v>834</v>
      </c>
      <c r="AT618" s="17" t="s">
        <v>315</v>
      </c>
      <c r="AU618" s="17" t="s">
        <v>316</v>
      </c>
      <c r="AV618" s="17" t="s">
        <v>317</v>
      </c>
      <c r="AW618" s="17" t="s">
        <v>318</v>
      </c>
      <c r="AX618" s="17" t="s">
        <v>319</v>
      </c>
      <c r="BI618" s="17" t="s">
        <v>315</v>
      </c>
      <c r="BJ618" s="17" t="s">
        <v>316</v>
      </c>
      <c r="BK618" s="17" t="s">
        <v>317</v>
      </c>
      <c r="BL618" s="17" t="s">
        <v>318</v>
      </c>
      <c r="BM618" s="17" t="s">
        <v>319</v>
      </c>
    </row>
    <row r="619" spans="30:65" x14ac:dyDescent="0.3">
      <c r="AE619" s="17" t="s">
        <v>315</v>
      </c>
      <c r="AF619" s="17" t="s">
        <v>316</v>
      </c>
      <c r="AG619" s="17" t="s">
        <v>317</v>
      </c>
      <c r="AH619" s="17" t="s">
        <v>318</v>
      </c>
      <c r="AI619" s="17" t="s">
        <v>319</v>
      </c>
      <c r="AS619" t="s">
        <v>551</v>
      </c>
      <c r="AT619" s="17" t="s">
        <v>322</v>
      </c>
      <c r="AU619" s="17" t="s">
        <v>77</v>
      </c>
      <c r="AV619" s="17" t="s">
        <v>322</v>
      </c>
      <c r="AW619" s="17" t="s">
        <v>322</v>
      </c>
      <c r="AX619" s="17" t="s">
        <v>322</v>
      </c>
      <c r="BH619" t="s">
        <v>551</v>
      </c>
      <c r="BI619" s="17" t="s">
        <v>322</v>
      </c>
      <c r="BJ619" s="17" t="s">
        <v>77</v>
      </c>
      <c r="BK619" s="17" t="s">
        <v>322</v>
      </c>
      <c r="BL619" s="17" t="s">
        <v>322</v>
      </c>
      <c r="BM619" s="17" t="s">
        <v>322</v>
      </c>
    </row>
    <row r="620" spans="30:65" x14ac:dyDescent="0.3">
      <c r="AD620" t="s">
        <v>517</v>
      </c>
      <c r="AE620" s="17" t="s">
        <v>91</v>
      </c>
      <c r="AF620" s="17" t="s">
        <v>322</v>
      </c>
      <c r="AG620" s="17" t="s">
        <v>322</v>
      </c>
      <c r="AH620" s="17" t="s">
        <v>91</v>
      </c>
      <c r="AI620" s="17" t="s">
        <v>322</v>
      </c>
      <c r="AS620" t="s">
        <v>552</v>
      </c>
      <c r="AT620" s="17" t="s">
        <v>322</v>
      </c>
      <c r="AU620" s="17" t="s">
        <v>77</v>
      </c>
      <c r="AV620" s="17" t="s">
        <v>322</v>
      </c>
      <c r="AW620" s="17" t="s">
        <v>322</v>
      </c>
      <c r="AX620" s="17" t="s">
        <v>322</v>
      </c>
      <c r="BH620" t="s">
        <v>552</v>
      </c>
      <c r="BI620" s="17" t="s">
        <v>322</v>
      </c>
      <c r="BJ620" s="17" t="s">
        <v>77</v>
      </c>
      <c r="BK620" s="17" t="s">
        <v>322</v>
      </c>
      <c r="BL620" s="17" t="s">
        <v>322</v>
      </c>
      <c r="BM620" s="17" t="s">
        <v>322</v>
      </c>
    </row>
    <row r="621" spans="30:65" x14ac:dyDescent="0.3">
      <c r="AD621" t="s">
        <v>326</v>
      </c>
      <c r="AE621" s="17" t="s">
        <v>91</v>
      </c>
      <c r="AF621" s="17" t="s">
        <v>322</v>
      </c>
      <c r="AG621" s="17" t="s">
        <v>322</v>
      </c>
      <c r="AH621" s="17" t="s">
        <v>91</v>
      </c>
      <c r="AI621" s="17" t="s">
        <v>118</v>
      </c>
      <c r="AS621" t="s">
        <v>554</v>
      </c>
      <c r="AT621" s="17" t="s">
        <v>322</v>
      </c>
      <c r="AU621" s="17" t="s">
        <v>77</v>
      </c>
      <c r="AV621" s="17" t="s">
        <v>322</v>
      </c>
      <c r="AW621" s="17" t="s">
        <v>322</v>
      </c>
      <c r="AX621" s="17" t="s">
        <v>322</v>
      </c>
      <c r="BH621" t="s">
        <v>554</v>
      </c>
      <c r="BI621" s="17" t="s">
        <v>322</v>
      </c>
      <c r="BJ621" s="17" t="s">
        <v>77</v>
      </c>
      <c r="BK621" s="17" t="s">
        <v>322</v>
      </c>
      <c r="BL621" s="17" t="s">
        <v>322</v>
      </c>
      <c r="BM621" s="17" t="s">
        <v>322</v>
      </c>
    </row>
    <row r="622" spans="30:65" x14ac:dyDescent="0.3">
      <c r="AD622" t="s">
        <v>328</v>
      </c>
      <c r="AE622" s="17" t="s">
        <v>91</v>
      </c>
      <c r="AF622" s="17" t="s">
        <v>118</v>
      </c>
      <c r="AG622" s="17" t="s">
        <v>322</v>
      </c>
      <c r="AH622" s="17" t="s">
        <v>322</v>
      </c>
      <c r="AI622" s="17" t="s">
        <v>118</v>
      </c>
    </row>
    <row r="623" spans="30:65" x14ac:dyDescent="0.3">
      <c r="AD623" t="s">
        <v>350</v>
      </c>
      <c r="AE623" s="17" t="s">
        <v>322</v>
      </c>
      <c r="AF623" s="17" t="s">
        <v>118</v>
      </c>
      <c r="AG623" s="17" t="s">
        <v>322</v>
      </c>
      <c r="AH623" s="17" t="s">
        <v>322</v>
      </c>
      <c r="AI623" s="17" t="s">
        <v>118</v>
      </c>
      <c r="AS623" t="s">
        <v>834</v>
      </c>
      <c r="BH623" t="s">
        <v>834</v>
      </c>
    </row>
    <row r="624" spans="30:65" x14ac:dyDescent="0.3">
      <c r="AT624" s="17" t="s">
        <v>315</v>
      </c>
      <c r="AU624" s="17" t="s">
        <v>316</v>
      </c>
      <c r="AV624" s="17" t="s">
        <v>317</v>
      </c>
      <c r="AW624" s="17" t="s">
        <v>318</v>
      </c>
      <c r="AX624" s="17" t="s">
        <v>319</v>
      </c>
      <c r="BI624" s="17" t="s">
        <v>315</v>
      </c>
      <c r="BJ624" s="17" t="s">
        <v>316</v>
      </c>
      <c r="BK624" s="17" t="s">
        <v>317</v>
      </c>
      <c r="BL624" s="17" t="s">
        <v>318</v>
      </c>
      <c r="BM624" s="17" t="s">
        <v>319</v>
      </c>
    </row>
    <row r="625" spans="30:65" x14ac:dyDescent="0.3">
      <c r="AD625" t="s">
        <v>835</v>
      </c>
      <c r="AS625" t="s">
        <v>517</v>
      </c>
      <c r="AT625" s="17" t="s">
        <v>91</v>
      </c>
      <c r="AU625" s="17" t="s">
        <v>322</v>
      </c>
      <c r="AV625" s="17" t="s">
        <v>322</v>
      </c>
      <c r="AW625" s="17" t="s">
        <v>91</v>
      </c>
      <c r="AX625" s="17" t="s">
        <v>322</v>
      </c>
      <c r="BH625" t="s">
        <v>517</v>
      </c>
      <c r="BI625" s="17" t="s">
        <v>91</v>
      </c>
      <c r="BJ625" s="17" t="s">
        <v>322</v>
      </c>
      <c r="BK625" s="17" t="s">
        <v>91</v>
      </c>
      <c r="BL625" s="17" t="s">
        <v>322</v>
      </c>
      <c r="BM625" s="17" t="s">
        <v>322</v>
      </c>
    </row>
    <row r="626" spans="30:65" x14ac:dyDescent="0.3">
      <c r="AE626" s="17" t="s">
        <v>315</v>
      </c>
      <c r="AF626" s="17" t="s">
        <v>316</v>
      </c>
      <c r="AG626" s="17" t="s">
        <v>317</v>
      </c>
      <c r="AH626" s="17" t="s">
        <v>318</v>
      </c>
      <c r="AI626" s="17" t="s">
        <v>319</v>
      </c>
      <c r="AS626" t="s">
        <v>326</v>
      </c>
      <c r="AT626" s="17" t="s">
        <v>91</v>
      </c>
      <c r="AU626" s="17" t="s">
        <v>322</v>
      </c>
      <c r="AV626" s="17" t="s">
        <v>322</v>
      </c>
      <c r="AW626" s="17" t="s">
        <v>91</v>
      </c>
      <c r="AX626" s="17" t="s">
        <v>118</v>
      </c>
      <c r="BH626" t="s">
        <v>326</v>
      </c>
      <c r="BI626" s="17" t="s">
        <v>91</v>
      </c>
      <c r="BJ626" s="17" t="s">
        <v>322</v>
      </c>
      <c r="BK626" s="17" t="s">
        <v>91</v>
      </c>
      <c r="BL626" s="17" t="s">
        <v>322</v>
      </c>
      <c r="BM626" s="17" t="s">
        <v>118</v>
      </c>
    </row>
    <row r="627" spans="30:65" x14ac:dyDescent="0.3">
      <c r="AD627" t="s">
        <v>551</v>
      </c>
      <c r="AE627" s="17" t="s">
        <v>322</v>
      </c>
      <c r="AF627" s="17" t="s">
        <v>322</v>
      </c>
      <c r="AG627" s="17" t="s">
        <v>239</v>
      </c>
      <c r="AH627" s="17" t="s">
        <v>322</v>
      </c>
      <c r="AI627" s="17" t="s">
        <v>239</v>
      </c>
      <c r="AS627" t="s">
        <v>328</v>
      </c>
      <c r="AT627" s="17" t="s">
        <v>91</v>
      </c>
      <c r="AU627" s="17" t="s">
        <v>118</v>
      </c>
      <c r="AV627" s="17" t="s">
        <v>322</v>
      </c>
      <c r="AW627" s="17" t="s">
        <v>322</v>
      </c>
      <c r="AX627" s="17" t="s">
        <v>118</v>
      </c>
      <c r="BH627" t="s">
        <v>328</v>
      </c>
      <c r="BI627" s="17" t="s">
        <v>322</v>
      </c>
      <c r="BJ627" s="17" t="s">
        <v>118</v>
      </c>
      <c r="BK627" s="17" t="s">
        <v>91</v>
      </c>
      <c r="BL627" s="17" t="s">
        <v>322</v>
      </c>
      <c r="BM627" s="17" t="s">
        <v>118</v>
      </c>
    </row>
    <row r="628" spans="30:65" x14ac:dyDescent="0.3">
      <c r="AD628" t="s">
        <v>552</v>
      </c>
      <c r="AE628" s="17" t="s">
        <v>322</v>
      </c>
      <c r="AF628" s="17" t="s">
        <v>322</v>
      </c>
      <c r="AG628" s="17" t="s">
        <v>239</v>
      </c>
      <c r="AH628" s="17" t="s">
        <v>322</v>
      </c>
      <c r="AI628" s="17" t="s">
        <v>239</v>
      </c>
      <c r="AS628" t="s">
        <v>350</v>
      </c>
      <c r="AT628" s="17" t="s">
        <v>322</v>
      </c>
      <c r="AU628" s="17" t="s">
        <v>118</v>
      </c>
      <c r="AV628" s="17" t="s">
        <v>322</v>
      </c>
      <c r="AW628" s="17" t="s">
        <v>322</v>
      </c>
      <c r="AX628" s="17" t="s">
        <v>118</v>
      </c>
      <c r="BH628" t="s">
        <v>350</v>
      </c>
      <c r="BI628" s="17" t="s">
        <v>322</v>
      </c>
      <c r="BJ628" s="17" t="s">
        <v>118</v>
      </c>
      <c r="BK628" s="17" t="s">
        <v>322</v>
      </c>
      <c r="BL628" s="17" t="s">
        <v>322</v>
      </c>
      <c r="BM628" s="17" t="s">
        <v>118</v>
      </c>
    </row>
    <row r="629" spans="30:65" x14ac:dyDescent="0.3">
      <c r="AD629" t="s">
        <v>554</v>
      </c>
      <c r="AE629" s="17" t="s">
        <v>322</v>
      </c>
      <c r="AF629" s="17" t="s">
        <v>322</v>
      </c>
      <c r="AG629" s="17" t="s">
        <v>322</v>
      </c>
      <c r="AH629" s="17" t="s">
        <v>322</v>
      </c>
      <c r="AI629" s="17" t="s">
        <v>239</v>
      </c>
    </row>
    <row r="630" spans="30:65" x14ac:dyDescent="0.3">
      <c r="AS630" t="s">
        <v>835</v>
      </c>
      <c r="BH630" t="s">
        <v>835</v>
      </c>
    </row>
    <row r="631" spans="30:65" x14ac:dyDescent="0.3">
      <c r="AD631" t="s">
        <v>836</v>
      </c>
      <c r="AT631" s="17" t="s">
        <v>315</v>
      </c>
      <c r="AU631" s="17" t="s">
        <v>316</v>
      </c>
      <c r="AV631" s="17" t="s">
        <v>317</v>
      </c>
      <c r="AW631" s="17" t="s">
        <v>318</v>
      </c>
      <c r="AX631" s="17" t="s">
        <v>319</v>
      </c>
      <c r="BI631" s="17" t="s">
        <v>315</v>
      </c>
      <c r="BJ631" s="17" t="s">
        <v>316</v>
      </c>
      <c r="BK631" s="17" t="s">
        <v>317</v>
      </c>
      <c r="BL631" s="17" t="s">
        <v>318</v>
      </c>
      <c r="BM631" s="17" t="s">
        <v>319</v>
      </c>
    </row>
    <row r="632" spans="30:65" x14ac:dyDescent="0.3">
      <c r="AE632" s="17" t="s">
        <v>315</v>
      </c>
      <c r="AF632" s="17" t="s">
        <v>316</v>
      </c>
      <c r="AG632" s="17" t="s">
        <v>317</v>
      </c>
      <c r="AH632" s="17" t="s">
        <v>318</v>
      </c>
      <c r="AI632" s="17" t="s">
        <v>319</v>
      </c>
      <c r="AS632" t="s">
        <v>551</v>
      </c>
      <c r="AT632" s="17" t="s">
        <v>322</v>
      </c>
      <c r="AU632" s="17" t="s">
        <v>322</v>
      </c>
      <c r="AV632" s="17" t="s">
        <v>239</v>
      </c>
      <c r="AW632" s="17" t="s">
        <v>322</v>
      </c>
      <c r="AX632" s="17" t="s">
        <v>239</v>
      </c>
      <c r="BH632" t="s">
        <v>551</v>
      </c>
      <c r="BI632" s="17" t="s">
        <v>322</v>
      </c>
      <c r="BJ632" s="17" t="s">
        <v>322</v>
      </c>
      <c r="BK632" s="17" t="s">
        <v>239</v>
      </c>
      <c r="BL632" s="17" t="s">
        <v>322</v>
      </c>
      <c r="BM632" s="17" t="s">
        <v>239</v>
      </c>
    </row>
    <row r="633" spans="30:65" x14ac:dyDescent="0.3">
      <c r="AD633" t="s">
        <v>512</v>
      </c>
      <c r="AE633" s="17" t="s">
        <v>322</v>
      </c>
      <c r="AF633" s="17" t="s">
        <v>94</v>
      </c>
      <c r="AG633" s="17" t="s">
        <v>322</v>
      </c>
      <c r="AH633" s="17" t="s">
        <v>322</v>
      </c>
      <c r="AI633" s="17" t="s">
        <v>94</v>
      </c>
      <c r="AS633" t="s">
        <v>552</v>
      </c>
      <c r="AT633" s="17" t="s">
        <v>322</v>
      </c>
      <c r="AU633" s="17" t="s">
        <v>322</v>
      </c>
      <c r="AV633" s="17" t="s">
        <v>239</v>
      </c>
      <c r="AW633" s="17" t="s">
        <v>322</v>
      </c>
      <c r="AX633" s="17" t="s">
        <v>239</v>
      </c>
      <c r="BH633" t="s">
        <v>552</v>
      </c>
      <c r="BI633" s="17" t="s">
        <v>322</v>
      </c>
      <c r="BJ633" s="17" t="s">
        <v>322</v>
      </c>
      <c r="BK633" s="17" t="s">
        <v>239</v>
      </c>
      <c r="BL633" s="17" t="s">
        <v>322</v>
      </c>
      <c r="BM633" s="17" t="s">
        <v>239</v>
      </c>
    </row>
    <row r="634" spans="30:65" x14ac:dyDescent="0.3">
      <c r="AD634" t="s">
        <v>514</v>
      </c>
      <c r="AE634" s="17" t="s">
        <v>322</v>
      </c>
      <c r="AF634" s="17" t="s">
        <v>94</v>
      </c>
      <c r="AG634" s="17" t="s">
        <v>322</v>
      </c>
      <c r="AH634" s="17" t="s">
        <v>322</v>
      </c>
      <c r="AI634" s="17" t="s">
        <v>94</v>
      </c>
      <c r="AS634" t="s">
        <v>554</v>
      </c>
      <c r="AT634" s="17" t="s">
        <v>322</v>
      </c>
      <c r="AU634" s="17" t="s">
        <v>322</v>
      </c>
      <c r="AV634" s="17" t="s">
        <v>239</v>
      </c>
      <c r="AW634" s="17" t="s">
        <v>322</v>
      </c>
      <c r="AX634" s="17" t="s">
        <v>322</v>
      </c>
      <c r="BH634" t="s">
        <v>554</v>
      </c>
      <c r="BI634" s="17" t="s">
        <v>322</v>
      </c>
      <c r="BJ634" s="17" t="s">
        <v>322</v>
      </c>
      <c r="BK634" s="17" t="s">
        <v>239</v>
      </c>
      <c r="BL634" s="17" t="s">
        <v>322</v>
      </c>
      <c r="BM634" s="17" t="s">
        <v>322</v>
      </c>
    </row>
    <row r="635" spans="30:65" x14ac:dyDescent="0.3">
      <c r="AD635" t="s">
        <v>517</v>
      </c>
      <c r="AE635" s="17" t="s">
        <v>322</v>
      </c>
      <c r="AF635" s="17" t="s">
        <v>94</v>
      </c>
      <c r="AG635" s="17" t="s">
        <v>322</v>
      </c>
      <c r="AH635" s="17" t="s">
        <v>322</v>
      </c>
      <c r="AI635" s="17" t="s">
        <v>322</v>
      </c>
    </row>
    <row r="636" spans="30:65" x14ac:dyDescent="0.3">
      <c r="AS636" t="s">
        <v>836</v>
      </c>
      <c r="BH636" t="s">
        <v>836</v>
      </c>
    </row>
    <row r="637" spans="30:65" x14ac:dyDescent="0.3">
      <c r="AD637" t="s">
        <v>837</v>
      </c>
      <c r="AT637" s="17" t="s">
        <v>315</v>
      </c>
      <c r="AU637" s="17" t="s">
        <v>316</v>
      </c>
      <c r="AV637" s="17" t="s">
        <v>317</v>
      </c>
      <c r="AW637" s="17" t="s">
        <v>318</v>
      </c>
      <c r="AX637" s="17" t="s">
        <v>319</v>
      </c>
      <c r="BI637" s="17" t="s">
        <v>315</v>
      </c>
      <c r="BJ637" s="17" t="s">
        <v>316</v>
      </c>
      <c r="BK637" s="17" t="s">
        <v>317</v>
      </c>
      <c r="BL637" s="17" t="s">
        <v>318</v>
      </c>
      <c r="BM637" s="17" t="s">
        <v>319</v>
      </c>
    </row>
    <row r="638" spans="30:65" x14ac:dyDescent="0.3">
      <c r="AE638" s="17" t="s">
        <v>315</v>
      </c>
      <c r="AF638" s="17" t="s">
        <v>316</v>
      </c>
      <c r="AG638" s="17" t="s">
        <v>317</v>
      </c>
      <c r="AH638" s="17" t="s">
        <v>318</v>
      </c>
      <c r="AI638" s="17" t="s">
        <v>319</v>
      </c>
      <c r="AS638" t="s">
        <v>512</v>
      </c>
      <c r="AT638" s="17" t="s">
        <v>94</v>
      </c>
      <c r="AU638" s="17" t="s">
        <v>322</v>
      </c>
      <c r="AV638" s="17" t="s">
        <v>322</v>
      </c>
      <c r="AW638" s="17" t="s">
        <v>322</v>
      </c>
      <c r="AX638" s="17" t="s">
        <v>322</v>
      </c>
      <c r="BH638" t="s">
        <v>512</v>
      </c>
      <c r="BI638" s="17" t="s">
        <v>94</v>
      </c>
      <c r="BJ638" s="17" t="s">
        <v>322</v>
      </c>
      <c r="BK638" s="17" t="s">
        <v>322</v>
      </c>
      <c r="BL638" s="17" t="s">
        <v>322</v>
      </c>
      <c r="BM638" s="17" t="s">
        <v>322</v>
      </c>
    </row>
    <row r="639" spans="30:65" x14ac:dyDescent="0.3">
      <c r="AD639" t="s">
        <v>543</v>
      </c>
      <c r="AE639" s="17" t="s">
        <v>322</v>
      </c>
      <c r="AF639" s="17" t="s">
        <v>322</v>
      </c>
      <c r="AG639" s="17" t="s">
        <v>59</v>
      </c>
      <c r="AH639" s="17" t="s">
        <v>322</v>
      </c>
      <c r="AI639" s="17" t="s">
        <v>322</v>
      </c>
      <c r="AS639" t="s">
        <v>514</v>
      </c>
      <c r="AT639" s="17" t="s">
        <v>94</v>
      </c>
      <c r="AU639" s="17" t="s">
        <v>322</v>
      </c>
      <c r="AV639" s="17" t="s">
        <v>94</v>
      </c>
      <c r="AW639" s="17" t="s">
        <v>322</v>
      </c>
      <c r="AX639" s="17" t="s">
        <v>322</v>
      </c>
      <c r="BH639" t="s">
        <v>514</v>
      </c>
      <c r="BI639" s="17" t="s">
        <v>94</v>
      </c>
      <c r="BJ639" s="17" t="s">
        <v>322</v>
      </c>
      <c r="BK639" s="17" t="s">
        <v>94</v>
      </c>
      <c r="BL639" s="17" t="s">
        <v>322</v>
      </c>
      <c r="BM639" s="17" t="s">
        <v>322</v>
      </c>
    </row>
    <row r="640" spans="30:65" x14ac:dyDescent="0.3">
      <c r="AD640" t="s">
        <v>573</v>
      </c>
      <c r="AE640" s="17" t="s">
        <v>322</v>
      </c>
      <c r="AF640" s="17" t="s">
        <v>322</v>
      </c>
      <c r="AG640" s="17" t="s">
        <v>59</v>
      </c>
      <c r="AH640" s="17" t="s">
        <v>322</v>
      </c>
      <c r="AI640" s="17" t="s">
        <v>322</v>
      </c>
      <c r="AS640" t="s">
        <v>517</v>
      </c>
      <c r="AT640" s="17" t="s">
        <v>94</v>
      </c>
      <c r="AU640" s="17" t="s">
        <v>322</v>
      </c>
      <c r="AV640" s="17" t="s">
        <v>94</v>
      </c>
      <c r="AW640" s="17" t="s">
        <v>322</v>
      </c>
      <c r="AX640" s="17" t="s">
        <v>322</v>
      </c>
      <c r="BH640" t="s">
        <v>517</v>
      </c>
      <c r="BI640" s="17" t="s">
        <v>94</v>
      </c>
      <c r="BJ640" s="17" t="s">
        <v>322</v>
      </c>
      <c r="BK640" s="17" t="s">
        <v>94</v>
      </c>
      <c r="BL640" s="17" t="s">
        <v>322</v>
      </c>
      <c r="BM640" s="17" t="s">
        <v>322</v>
      </c>
    </row>
    <row r="641" spans="30:65" x14ac:dyDescent="0.3">
      <c r="AD641" t="s">
        <v>561</v>
      </c>
      <c r="AE641" s="17" t="s">
        <v>322</v>
      </c>
      <c r="AF641" s="17" t="s">
        <v>322</v>
      </c>
      <c r="AG641" s="17" t="s">
        <v>59</v>
      </c>
      <c r="AH641" s="17" t="s">
        <v>322</v>
      </c>
      <c r="AI641" s="17" t="s">
        <v>322</v>
      </c>
    </row>
    <row r="642" spans="30:65" x14ac:dyDescent="0.3">
      <c r="AS642" t="s">
        <v>837</v>
      </c>
      <c r="BH642" t="s">
        <v>837</v>
      </c>
    </row>
    <row r="643" spans="30:65" x14ac:dyDescent="0.3">
      <c r="AT643" s="17" t="s">
        <v>315</v>
      </c>
      <c r="AU643" s="17" t="s">
        <v>316</v>
      </c>
      <c r="AV643" s="17" t="s">
        <v>317</v>
      </c>
      <c r="AW643" s="17" t="s">
        <v>318</v>
      </c>
      <c r="AX643" s="17" t="s">
        <v>319</v>
      </c>
      <c r="BI643" s="17" t="s">
        <v>315</v>
      </c>
      <c r="BJ643" s="17" t="s">
        <v>316</v>
      </c>
      <c r="BK643" s="17" t="s">
        <v>317</v>
      </c>
      <c r="BL643" s="17" t="s">
        <v>318</v>
      </c>
      <c r="BM643" s="17" t="s">
        <v>319</v>
      </c>
    </row>
    <row r="644" spans="30:65" x14ac:dyDescent="0.3">
      <c r="AS644" t="s">
        <v>543</v>
      </c>
      <c r="AT644" s="17" t="s">
        <v>322</v>
      </c>
      <c r="AU644" s="17" t="s">
        <v>322</v>
      </c>
      <c r="AV644" s="17" t="s">
        <v>59</v>
      </c>
      <c r="AW644" s="17" t="s">
        <v>322</v>
      </c>
      <c r="AX644" s="17" t="s">
        <v>322</v>
      </c>
      <c r="BH644" t="s">
        <v>543</v>
      </c>
      <c r="BI644" s="17" t="s">
        <v>322</v>
      </c>
      <c r="BJ644" s="17" t="s">
        <v>322</v>
      </c>
      <c r="BK644" s="17" t="s">
        <v>59</v>
      </c>
      <c r="BL644" s="17" t="s">
        <v>322</v>
      </c>
      <c r="BM644" s="17" t="s">
        <v>322</v>
      </c>
    </row>
    <row r="645" spans="30:65" x14ac:dyDescent="0.3">
      <c r="AS645" t="s">
        <v>573</v>
      </c>
      <c r="AT645" s="17" t="s">
        <v>322</v>
      </c>
      <c r="AU645" s="17" t="s">
        <v>322</v>
      </c>
      <c r="AV645" s="17" t="s">
        <v>59</v>
      </c>
      <c r="AW645" s="17" t="s">
        <v>322</v>
      </c>
      <c r="AX645" s="17" t="s">
        <v>322</v>
      </c>
      <c r="BH645" t="s">
        <v>573</v>
      </c>
      <c r="BI645" s="17" t="s">
        <v>322</v>
      </c>
      <c r="BJ645" s="17" t="s">
        <v>322</v>
      </c>
      <c r="BK645" s="17" t="s">
        <v>59</v>
      </c>
      <c r="BL645" s="17" t="s">
        <v>322</v>
      </c>
      <c r="BM645" s="17" t="s">
        <v>322</v>
      </c>
    </row>
    <row r="646" spans="30:65" x14ac:dyDescent="0.3">
      <c r="AS646" t="s">
        <v>561</v>
      </c>
      <c r="AT646" s="17" t="s">
        <v>322</v>
      </c>
      <c r="AU646" s="17" t="s">
        <v>322</v>
      </c>
      <c r="AV646" s="17" t="s">
        <v>59</v>
      </c>
      <c r="AW646" s="17" t="s">
        <v>322</v>
      </c>
      <c r="AX646" s="17" t="s">
        <v>322</v>
      </c>
      <c r="BH646" t="s">
        <v>561</v>
      </c>
      <c r="BI646" s="17" t="s">
        <v>322</v>
      </c>
      <c r="BJ646" s="17" t="s">
        <v>322</v>
      </c>
      <c r="BK646" s="17" t="s">
        <v>59</v>
      </c>
      <c r="BL646" s="17" t="s">
        <v>322</v>
      </c>
      <c r="BM646" s="17" t="s">
        <v>322</v>
      </c>
    </row>
  </sheetData>
  <pageMargins left="0.7" right="0.7" top="0.75" bottom="0.75" header="0.3" footer="0.3"/>
  <pageSetup scale="88" fitToHeight="0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46DC2-FE51-4970-A7F9-E48001BEB2F9}">
  <dimension ref="A1:F16"/>
  <sheetViews>
    <sheetView workbookViewId="0">
      <selection activeCell="H15" sqref="H15"/>
    </sheetView>
  </sheetViews>
  <sheetFormatPr baseColWidth="10" defaultColWidth="11.44140625" defaultRowHeight="14.4" x14ac:dyDescent="0.3"/>
  <sheetData>
    <row r="1" spans="1:6" x14ac:dyDescent="0.3">
      <c r="A1" s="56" t="s">
        <v>311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1</v>
      </c>
      <c r="D2" s="52">
        <v>0</v>
      </c>
      <c r="E2" s="57">
        <v>3</v>
      </c>
      <c r="F2" s="52">
        <v>1</v>
      </c>
    </row>
    <row r="3" spans="1:6" x14ac:dyDescent="0.3">
      <c r="A3">
        <v>2</v>
      </c>
      <c r="B3" s="52">
        <v>3</v>
      </c>
      <c r="C3" s="52">
        <v>1</v>
      </c>
      <c r="D3" s="52">
        <v>0</v>
      </c>
      <c r="E3" s="57">
        <v>3</v>
      </c>
      <c r="F3" s="52">
        <v>1</v>
      </c>
    </row>
    <row r="4" spans="1:6" x14ac:dyDescent="0.3">
      <c r="A4">
        <v>3</v>
      </c>
      <c r="B4" s="52">
        <v>3</v>
      </c>
      <c r="C4" s="52">
        <v>1</v>
      </c>
      <c r="D4" s="52">
        <v>0</v>
      </c>
      <c r="E4" s="57">
        <v>3</v>
      </c>
      <c r="F4" s="52">
        <v>1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C73BF-F9EC-4B4A-9D4C-9B147F4FC316}">
  <dimension ref="A1:F16"/>
  <sheetViews>
    <sheetView workbookViewId="0">
      <selection activeCell="F12" sqref="F12"/>
    </sheetView>
  </sheetViews>
  <sheetFormatPr baseColWidth="10" defaultColWidth="11.44140625" defaultRowHeight="14.4" x14ac:dyDescent="0.3"/>
  <sheetData>
    <row r="1" spans="1:6" x14ac:dyDescent="0.3">
      <c r="A1" s="56" t="s">
        <v>312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1</v>
      </c>
      <c r="E2" s="52">
        <v>0</v>
      </c>
      <c r="F2" s="52">
        <v>0</v>
      </c>
    </row>
    <row r="3" spans="1:6" x14ac:dyDescent="0.3">
      <c r="A3">
        <v>2</v>
      </c>
      <c r="B3" s="52">
        <v>1</v>
      </c>
      <c r="C3" s="52">
        <v>0</v>
      </c>
      <c r="D3" s="52">
        <v>1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BD0F0-D584-4E1A-8558-50C7919CB435}">
  <dimension ref="A1:F16"/>
  <sheetViews>
    <sheetView workbookViewId="0">
      <selection activeCell="J14" sqref="J14"/>
    </sheetView>
  </sheetViews>
  <sheetFormatPr baseColWidth="10" defaultColWidth="11.44140625" defaultRowHeight="14.4" x14ac:dyDescent="0.3"/>
  <sheetData>
    <row r="1" spans="1:6" x14ac:dyDescent="0.3">
      <c r="A1" s="56" t="s">
        <v>314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2053-5C35-4240-ADB0-DA60F5F8A843}">
  <dimension ref="A1:F16"/>
  <sheetViews>
    <sheetView workbookViewId="0">
      <selection activeCell="K12" sqref="K12"/>
    </sheetView>
  </sheetViews>
  <sheetFormatPr baseColWidth="10" defaultColWidth="11.44140625" defaultRowHeight="14.4" x14ac:dyDescent="0.3"/>
  <sheetData>
    <row r="1" spans="1:6" x14ac:dyDescent="0.3">
      <c r="A1" s="56" t="s">
        <v>320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3</v>
      </c>
      <c r="D4" s="52">
        <v>0</v>
      </c>
      <c r="E4" s="52">
        <v>3</v>
      </c>
      <c r="F4" s="52">
        <v>0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0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0</v>
      </c>
    </row>
    <row r="7" spans="1:6" x14ac:dyDescent="0.3">
      <c r="A7">
        <v>6</v>
      </c>
      <c r="B7" s="52">
        <v>0</v>
      </c>
      <c r="C7" s="52">
        <v>1</v>
      </c>
      <c r="D7" s="52">
        <v>0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1</v>
      </c>
      <c r="D8" s="53">
        <v>0</v>
      </c>
      <c r="E8" s="53">
        <v>1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3</v>
      </c>
      <c r="D11" s="53">
        <v>0</v>
      </c>
      <c r="E11" s="53">
        <v>3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A9438-C255-40B8-BBFB-4CDD3E9E87EC}">
  <dimension ref="A1:F16"/>
  <sheetViews>
    <sheetView workbookViewId="0">
      <selection activeCell="B2" sqref="B2:F16"/>
    </sheetView>
  </sheetViews>
  <sheetFormatPr baseColWidth="10" defaultColWidth="11.44140625" defaultRowHeight="14.4" x14ac:dyDescent="0.3"/>
  <sheetData>
    <row r="1" spans="1:6" x14ac:dyDescent="0.3">
      <c r="A1" s="56" t="s">
        <v>323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3</v>
      </c>
      <c r="C5" s="52">
        <v>3</v>
      </c>
      <c r="D5" s="52">
        <v>3</v>
      </c>
      <c r="E5" s="52">
        <v>3</v>
      </c>
      <c r="F5" s="52">
        <v>3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C83E4-7FC9-484A-AD37-54202F13318B}">
  <dimension ref="A1:F16"/>
  <sheetViews>
    <sheetView workbookViewId="0">
      <selection activeCell="I16" sqref="I16"/>
    </sheetView>
  </sheetViews>
  <sheetFormatPr baseColWidth="10" defaultColWidth="11.44140625" defaultRowHeight="14.4" x14ac:dyDescent="0.3"/>
  <sheetData>
    <row r="1" spans="1:6" x14ac:dyDescent="0.3">
      <c r="A1" s="64" t="s">
        <v>324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1F0C4-1AC8-4604-961F-31C635E5FB66}">
  <dimension ref="A1:F16"/>
  <sheetViews>
    <sheetView workbookViewId="0">
      <selection activeCell="K20" sqref="K20"/>
    </sheetView>
  </sheetViews>
  <sheetFormatPr baseColWidth="10" defaultColWidth="11.44140625" defaultRowHeight="14.4" x14ac:dyDescent="0.3"/>
  <sheetData>
    <row r="1" spans="1:6" x14ac:dyDescent="0.3">
      <c r="A1" s="56" t="s">
        <v>327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3</v>
      </c>
      <c r="F10" s="53">
        <v>3</v>
      </c>
    </row>
    <row r="11" spans="1:6" x14ac:dyDescent="0.3">
      <c r="A11">
        <v>10</v>
      </c>
      <c r="B11" s="57">
        <v>0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A431C-3E9B-40CA-97DA-12824707D77B}">
  <dimension ref="A1:F16"/>
  <sheetViews>
    <sheetView workbookViewId="0">
      <selection activeCell="D20" sqref="D20"/>
    </sheetView>
  </sheetViews>
  <sheetFormatPr baseColWidth="10" defaultColWidth="11.44140625" defaultRowHeight="14.4" x14ac:dyDescent="0.3"/>
  <sheetData>
    <row r="1" spans="1:6" x14ac:dyDescent="0.3">
      <c r="A1" s="56" t="s">
        <v>329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CD0F6-8AD1-4139-853B-E74A5CAEADB4}">
  <dimension ref="A1:F16"/>
  <sheetViews>
    <sheetView workbookViewId="0">
      <selection activeCell="J9" sqref="J9"/>
    </sheetView>
  </sheetViews>
  <sheetFormatPr baseColWidth="10" defaultColWidth="11.44140625" defaultRowHeight="14.4" x14ac:dyDescent="0.3"/>
  <sheetData>
    <row r="1" spans="1:6" x14ac:dyDescent="0.3">
      <c r="A1" s="56" t="s">
        <v>330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2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2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2</v>
      </c>
      <c r="C15" s="54">
        <v>2</v>
      </c>
      <c r="D15" s="54">
        <v>2</v>
      </c>
      <c r="E15" s="54">
        <v>2</v>
      </c>
      <c r="F15" s="54">
        <v>2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995DE-86D9-4346-8AF1-8B65D8BAAA8B}">
  <dimension ref="A1:F16"/>
  <sheetViews>
    <sheetView workbookViewId="0">
      <selection activeCell="C21" sqref="C21"/>
    </sheetView>
  </sheetViews>
  <sheetFormatPr baseColWidth="10" defaultColWidth="11.44140625" defaultRowHeight="14.4" x14ac:dyDescent="0.3"/>
  <sheetData>
    <row r="1" spans="1:6" x14ac:dyDescent="0.3">
      <c r="A1" s="56" t="s">
        <v>335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F9192-05EA-4B4E-9410-F02A579B6DF2}">
  <dimension ref="A1:F16"/>
  <sheetViews>
    <sheetView workbookViewId="0">
      <selection activeCell="E21" sqref="E21"/>
    </sheetView>
  </sheetViews>
  <sheetFormatPr baseColWidth="10" defaultColWidth="11.44140625" defaultRowHeight="14.4" x14ac:dyDescent="0.3"/>
  <sheetData>
    <row r="1" spans="1:6" x14ac:dyDescent="0.3">
      <c r="A1" s="56" t="s">
        <v>337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3</v>
      </c>
      <c r="D12" s="54">
        <v>1</v>
      </c>
      <c r="E12" s="54">
        <v>3</v>
      </c>
      <c r="F12" s="54">
        <v>0</v>
      </c>
    </row>
    <row r="13" spans="1:6" x14ac:dyDescent="0.3">
      <c r="A13">
        <v>12</v>
      </c>
      <c r="B13" s="54">
        <v>1</v>
      </c>
      <c r="C13" s="54">
        <v>3</v>
      </c>
      <c r="D13" s="54">
        <v>1</v>
      </c>
      <c r="E13" s="54">
        <v>3</v>
      </c>
      <c r="F13" s="54">
        <v>0</v>
      </c>
    </row>
    <row r="14" spans="1:6" x14ac:dyDescent="0.3">
      <c r="A14">
        <v>13</v>
      </c>
      <c r="B14" s="54">
        <v>1</v>
      </c>
      <c r="C14" s="54">
        <v>3</v>
      </c>
      <c r="D14" s="54">
        <v>1</v>
      </c>
      <c r="E14" s="54">
        <v>3</v>
      </c>
      <c r="F14" s="54">
        <v>0</v>
      </c>
    </row>
    <row r="15" spans="1:6" x14ac:dyDescent="0.3">
      <c r="A15">
        <v>14</v>
      </c>
      <c r="B15" s="54">
        <v>1</v>
      </c>
      <c r="C15" s="54">
        <v>3</v>
      </c>
      <c r="D15" s="54">
        <v>1</v>
      </c>
      <c r="E15" s="54">
        <v>3</v>
      </c>
      <c r="F15" s="54">
        <v>0</v>
      </c>
    </row>
    <row r="16" spans="1:6" x14ac:dyDescent="0.3">
      <c r="A16">
        <v>15</v>
      </c>
      <c r="B16" s="54">
        <v>1</v>
      </c>
      <c r="C16" s="54">
        <v>3</v>
      </c>
      <c r="D16" s="54">
        <v>1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9A054-A5A4-4044-B1D9-240AC03F8C99}">
  <dimension ref="A1:F16"/>
  <sheetViews>
    <sheetView workbookViewId="0">
      <selection activeCell="B20" sqref="B20"/>
    </sheetView>
  </sheetViews>
  <sheetFormatPr baseColWidth="10" defaultColWidth="11.44140625" defaultRowHeight="14.4" x14ac:dyDescent="0.3"/>
  <sheetData>
    <row r="1" spans="1:6" x14ac:dyDescent="0.3">
      <c r="A1" s="56" t="s">
        <v>338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A1F55-8C2D-4800-8648-3C39A002937E}">
  <dimension ref="A1:F16"/>
  <sheetViews>
    <sheetView workbookViewId="0">
      <selection activeCell="D20" sqref="D20"/>
    </sheetView>
  </sheetViews>
  <sheetFormatPr baseColWidth="10" defaultColWidth="11.44140625" defaultRowHeight="14.4" x14ac:dyDescent="0.3"/>
  <sheetData>
    <row r="1" spans="1:6" x14ac:dyDescent="0.3">
      <c r="A1" s="56" t="s">
        <v>339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2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0</v>
      </c>
      <c r="C3" s="52">
        <v>2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2</v>
      </c>
      <c r="D4" s="52">
        <v>2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2</v>
      </c>
      <c r="D5" s="52">
        <v>2</v>
      </c>
      <c r="E5" s="52">
        <v>1</v>
      </c>
      <c r="F5" s="52">
        <v>1</v>
      </c>
    </row>
    <row r="6" spans="1:6" x14ac:dyDescent="0.3">
      <c r="A6">
        <v>5</v>
      </c>
      <c r="B6" s="52">
        <v>0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0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F2896-6F74-4271-815B-87E45718B459}">
  <dimension ref="A1:F16"/>
  <sheetViews>
    <sheetView workbookViewId="0">
      <selection activeCell="D21" sqref="D21"/>
    </sheetView>
  </sheetViews>
  <sheetFormatPr baseColWidth="10" defaultColWidth="11.44140625" defaultRowHeight="14.4" x14ac:dyDescent="0.3"/>
  <sheetData>
    <row r="1" spans="1:6" x14ac:dyDescent="0.3">
      <c r="A1" s="56" t="s">
        <v>340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3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3</v>
      </c>
      <c r="F14" s="54">
        <v>0</v>
      </c>
    </row>
    <row r="15" spans="1:6" x14ac:dyDescent="0.3">
      <c r="A15">
        <v>14</v>
      </c>
      <c r="B15" s="54">
        <v>2</v>
      </c>
      <c r="C15" s="54">
        <v>2</v>
      </c>
      <c r="D15" s="54">
        <v>2</v>
      </c>
      <c r="E15" s="54">
        <v>3</v>
      </c>
      <c r="F15" s="54">
        <v>0</v>
      </c>
    </row>
    <row r="16" spans="1:6" x14ac:dyDescent="0.3">
      <c r="A16">
        <v>15</v>
      </c>
      <c r="B16" s="54">
        <v>2</v>
      </c>
      <c r="C16" s="54">
        <v>2</v>
      </c>
      <c r="D16" s="54">
        <v>2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F7630-4E17-4C11-AFBB-166351539F3D}">
  <dimension ref="A1:F16"/>
  <sheetViews>
    <sheetView workbookViewId="0">
      <selection activeCell="B9" sqref="B9:F16"/>
    </sheetView>
  </sheetViews>
  <sheetFormatPr baseColWidth="10" defaultColWidth="11.44140625" defaultRowHeight="14.4" x14ac:dyDescent="0.3"/>
  <sheetData>
    <row r="1" spans="1:6" x14ac:dyDescent="0.3">
      <c r="A1" s="56" t="s">
        <v>341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36AAE-CD54-457B-A3C8-6E1680AF91CC}">
  <dimension ref="A1:F16"/>
  <sheetViews>
    <sheetView workbookViewId="0">
      <selection activeCell="C4" sqref="C4:E11"/>
    </sheetView>
  </sheetViews>
  <sheetFormatPr baseColWidth="10" defaultColWidth="11.44140625" defaultRowHeight="14.4" x14ac:dyDescent="0.3"/>
  <sheetData>
    <row r="1" spans="1:6" x14ac:dyDescent="0.3">
      <c r="A1" s="56" t="s">
        <v>343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1</v>
      </c>
      <c r="D4" s="52">
        <v>0</v>
      </c>
      <c r="E4" s="52">
        <v>1</v>
      </c>
      <c r="F4" s="52">
        <v>3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3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3</v>
      </c>
    </row>
    <row r="7" spans="1:6" x14ac:dyDescent="0.3">
      <c r="A7">
        <v>6</v>
      </c>
      <c r="B7" s="52">
        <v>0</v>
      </c>
      <c r="C7" s="52">
        <v>2</v>
      </c>
      <c r="D7" s="52">
        <v>0</v>
      </c>
      <c r="E7" s="52">
        <v>2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2</v>
      </c>
      <c r="D11" s="53">
        <v>0</v>
      </c>
      <c r="E11" s="53">
        <v>2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4C308-D8B9-4136-8BFB-4466101B6CF4}">
  <dimension ref="A1:F16"/>
  <sheetViews>
    <sheetView workbookViewId="0">
      <selection activeCell="I14" sqref="I14"/>
    </sheetView>
  </sheetViews>
  <sheetFormatPr baseColWidth="10" defaultColWidth="11.44140625" defaultRowHeight="14.4" x14ac:dyDescent="0.3"/>
  <sheetData>
    <row r="1" spans="1:6" x14ac:dyDescent="0.3">
      <c r="A1" s="56" t="s">
        <v>345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2</v>
      </c>
      <c r="D2" s="52">
        <v>2</v>
      </c>
      <c r="E2" s="52">
        <v>2</v>
      </c>
      <c r="F2" s="52">
        <v>0</v>
      </c>
    </row>
    <row r="3" spans="1:6" x14ac:dyDescent="0.3">
      <c r="A3">
        <v>2</v>
      </c>
      <c r="B3" s="52">
        <v>2</v>
      </c>
      <c r="C3" s="52">
        <v>2</v>
      </c>
      <c r="D3" s="52">
        <v>2</v>
      </c>
      <c r="E3" s="52">
        <v>2</v>
      </c>
      <c r="F3" s="52">
        <v>0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0</v>
      </c>
    </row>
    <row r="5" spans="1:6" x14ac:dyDescent="0.3">
      <c r="A5">
        <v>4</v>
      </c>
      <c r="B5" s="52">
        <v>3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3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3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2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2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2</v>
      </c>
      <c r="E12" s="54">
        <v>1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3</v>
      </c>
      <c r="E13" s="54">
        <v>2</v>
      </c>
      <c r="F13" s="54">
        <v>0</v>
      </c>
    </row>
    <row r="14" spans="1:6" x14ac:dyDescent="0.3">
      <c r="A14">
        <v>13</v>
      </c>
      <c r="B14" s="54">
        <v>2</v>
      </c>
      <c r="C14" s="54">
        <v>2</v>
      </c>
      <c r="D14" s="54">
        <v>3</v>
      </c>
      <c r="E14" s="54">
        <v>2</v>
      </c>
      <c r="F14" s="54">
        <v>0</v>
      </c>
    </row>
    <row r="15" spans="1:6" x14ac:dyDescent="0.3">
      <c r="A15">
        <v>14</v>
      </c>
      <c r="B15" s="54">
        <v>0</v>
      </c>
      <c r="C15" s="54">
        <v>2</v>
      </c>
      <c r="D15" s="54">
        <v>3</v>
      </c>
      <c r="E15" s="54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EBD39-86D5-41A2-9709-571C43F906B4}">
  <dimension ref="A1:F16"/>
  <sheetViews>
    <sheetView workbookViewId="0">
      <selection activeCell="D24" sqref="D24"/>
    </sheetView>
  </sheetViews>
  <sheetFormatPr baseColWidth="10" defaultColWidth="11.44140625" defaultRowHeight="14.4" x14ac:dyDescent="0.3"/>
  <sheetData>
    <row r="1" spans="1:6" x14ac:dyDescent="0.3">
      <c r="A1" s="56" t="s">
        <v>346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3ED6E-08A8-4ED3-AEB3-85A161F8DDA8}">
  <dimension ref="A1:F16"/>
  <sheetViews>
    <sheetView workbookViewId="0">
      <selection activeCell="D24" sqref="D24"/>
    </sheetView>
  </sheetViews>
  <sheetFormatPr baseColWidth="10" defaultColWidth="11.44140625" defaultRowHeight="14.4" x14ac:dyDescent="0.3"/>
  <sheetData>
    <row r="1" spans="1:6" x14ac:dyDescent="0.3">
      <c r="A1" s="56" t="s">
        <v>347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3</v>
      </c>
      <c r="C5" s="52">
        <v>3</v>
      </c>
      <c r="D5" s="52">
        <v>3</v>
      </c>
      <c r="E5" s="52">
        <v>3</v>
      </c>
      <c r="F5" s="52">
        <v>3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2</v>
      </c>
      <c r="C7" s="52">
        <v>3</v>
      </c>
      <c r="D7" s="52">
        <v>2</v>
      </c>
      <c r="E7" s="52">
        <v>3</v>
      </c>
      <c r="F7" s="52">
        <v>3</v>
      </c>
    </row>
    <row r="8" spans="1:6" x14ac:dyDescent="0.3">
      <c r="A8">
        <v>7</v>
      </c>
      <c r="B8" s="53">
        <v>2</v>
      </c>
      <c r="C8" s="53">
        <v>3</v>
      </c>
      <c r="D8" s="53">
        <v>2</v>
      </c>
      <c r="E8" s="53">
        <v>3</v>
      </c>
      <c r="F8" s="53">
        <v>3</v>
      </c>
    </row>
    <row r="9" spans="1:6" x14ac:dyDescent="0.3">
      <c r="A9">
        <v>8</v>
      </c>
      <c r="B9" s="53">
        <v>2</v>
      </c>
      <c r="C9" s="53">
        <v>3</v>
      </c>
      <c r="D9" s="53">
        <v>2</v>
      </c>
      <c r="E9" s="53">
        <v>3</v>
      </c>
      <c r="F9" s="53">
        <v>3</v>
      </c>
    </row>
    <row r="10" spans="1:6" x14ac:dyDescent="0.3">
      <c r="A10">
        <v>9</v>
      </c>
      <c r="B10" s="53">
        <v>1</v>
      </c>
      <c r="C10" s="53">
        <v>3</v>
      </c>
      <c r="D10" s="53">
        <v>1</v>
      </c>
      <c r="E10" s="53">
        <v>3</v>
      </c>
      <c r="F10" s="53">
        <v>3</v>
      </c>
    </row>
    <row r="11" spans="1:6" x14ac:dyDescent="0.3">
      <c r="A11">
        <v>10</v>
      </c>
      <c r="B11" s="53">
        <v>1</v>
      </c>
      <c r="C11" s="53">
        <v>2</v>
      </c>
      <c r="D11" s="53">
        <v>1</v>
      </c>
      <c r="E11" s="53">
        <v>2</v>
      </c>
      <c r="F11" s="53">
        <v>2</v>
      </c>
    </row>
    <row r="12" spans="1:6" x14ac:dyDescent="0.3">
      <c r="A12">
        <v>11</v>
      </c>
      <c r="B12" s="54">
        <v>1</v>
      </c>
      <c r="C12" s="54">
        <v>2</v>
      </c>
      <c r="D12" s="54">
        <v>1</v>
      </c>
      <c r="E12" s="54">
        <v>2</v>
      </c>
      <c r="F12" s="54">
        <v>2</v>
      </c>
    </row>
    <row r="13" spans="1:6" x14ac:dyDescent="0.3">
      <c r="A13">
        <v>12</v>
      </c>
      <c r="B13" s="54">
        <v>1</v>
      </c>
      <c r="C13" s="54">
        <v>2</v>
      </c>
      <c r="D13" s="54">
        <v>1</v>
      </c>
      <c r="E13" s="54">
        <v>2</v>
      </c>
      <c r="F13" s="54">
        <v>3</v>
      </c>
    </row>
    <row r="14" spans="1:6" x14ac:dyDescent="0.3">
      <c r="A14">
        <v>13</v>
      </c>
      <c r="B14" s="54">
        <v>1</v>
      </c>
      <c r="C14" s="54">
        <v>2</v>
      </c>
      <c r="D14" s="54">
        <v>1</v>
      </c>
      <c r="E14" s="54">
        <v>2</v>
      </c>
      <c r="F14" s="54">
        <v>3</v>
      </c>
    </row>
    <row r="15" spans="1:6" x14ac:dyDescent="0.3">
      <c r="A15">
        <v>14</v>
      </c>
      <c r="B15" s="54">
        <v>2</v>
      </c>
      <c r="C15" s="54">
        <v>3</v>
      </c>
      <c r="D15" s="54">
        <v>2</v>
      </c>
      <c r="E15" s="54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1AAC-12DC-4ED1-A998-94E69231E039}">
  <dimension ref="A1:F16"/>
  <sheetViews>
    <sheetView workbookViewId="0">
      <selection activeCell="B8" sqref="B8:F16"/>
    </sheetView>
  </sheetViews>
  <sheetFormatPr baseColWidth="10" defaultColWidth="11.44140625" defaultRowHeight="14.4" x14ac:dyDescent="0.3"/>
  <sheetData>
    <row r="1" spans="1:6" x14ac:dyDescent="0.3">
      <c r="A1" s="56" t="s">
        <v>348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340B9-4376-4F8D-9721-CD119463A545}">
  <dimension ref="A1:F16"/>
  <sheetViews>
    <sheetView workbookViewId="0">
      <selection activeCell="I9" sqref="I9"/>
    </sheetView>
  </sheetViews>
  <sheetFormatPr baseColWidth="10" defaultColWidth="11.44140625" defaultRowHeight="14.4" x14ac:dyDescent="0.3"/>
  <sheetData>
    <row r="1" spans="1:6" x14ac:dyDescent="0.3">
      <c r="A1" s="56" t="s">
        <v>349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0</v>
      </c>
      <c r="E2" s="52">
        <v>0</v>
      </c>
      <c r="F2" s="52">
        <v>3</v>
      </c>
    </row>
    <row r="3" spans="1:6" x14ac:dyDescent="0.3">
      <c r="A3">
        <v>2</v>
      </c>
      <c r="B3" s="52">
        <v>1</v>
      </c>
      <c r="C3" s="52">
        <v>0</v>
      </c>
      <c r="D3" s="52">
        <v>0</v>
      </c>
      <c r="E3" s="52">
        <v>0</v>
      </c>
      <c r="F3" s="52">
        <v>3</v>
      </c>
    </row>
    <row r="4" spans="1:6" x14ac:dyDescent="0.3">
      <c r="A4">
        <v>3</v>
      </c>
      <c r="B4" s="52">
        <v>2</v>
      </c>
      <c r="C4" s="52">
        <v>0</v>
      </c>
      <c r="D4" s="52">
        <v>0</v>
      </c>
      <c r="E4" s="52">
        <v>0</v>
      </c>
      <c r="F4" s="52">
        <v>3</v>
      </c>
    </row>
    <row r="5" spans="1:6" x14ac:dyDescent="0.3">
      <c r="A5">
        <v>4</v>
      </c>
      <c r="B5" s="52">
        <v>2</v>
      </c>
      <c r="C5" s="52">
        <v>0</v>
      </c>
      <c r="D5" s="52">
        <v>0</v>
      </c>
      <c r="E5" s="52">
        <v>0</v>
      </c>
      <c r="F5" s="52">
        <v>3</v>
      </c>
    </row>
    <row r="6" spans="1:6" x14ac:dyDescent="0.3">
      <c r="A6">
        <v>5</v>
      </c>
      <c r="B6" s="64">
        <v>3</v>
      </c>
      <c r="C6" s="52">
        <v>0</v>
      </c>
      <c r="D6" s="52">
        <v>0</v>
      </c>
      <c r="E6" s="52">
        <v>0</v>
      </c>
      <c r="F6" s="64">
        <v>3</v>
      </c>
    </row>
    <row r="7" spans="1:6" x14ac:dyDescent="0.3">
      <c r="A7">
        <v>6</v>
      </c>
      <c r="B7" s="64">
        <v>3</v>
      </c>
      <c r="C7" s="52">
        <v>0</v>
      </c>
      <c r="D7" s="52">
        <v>0</v>
      </c>
      <c r="E7" s="52">
        <v>0</v>
      </c>
      <c r="F7" s="64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347E9-8CD0-4E7F-BBAA-ED0CBDA62C41}">
  <dimension ref="A1:F16"/>
  <sheetViews>
    <sheetView workbookViewId="0">
      <selection activeCell="B24" sqref="B24"/>
    </sheetView>
  </sheetViews>
  <sheetFormatPr baseColWidth="10" defaultColWidth="11.44140625" defaultRowHeight="14.4" x14ac:dyDescent="0.3"/>
  <sheetData>
    <row r="1" spans="1:6" x14ac:dyDescent="0.3">
      <c r="A1" s="56" t="s">
        <v>352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92DBA-F793-4FB1-B1A1-D450C57B43DC}">
  <dimension ref="A1:F16"/>
  <sheetViews>
    <sheetView workbookViewId="0">
      <selection activeCell="C22" sqref="C22"/>
    </sheetView>
  </sheetViews>
  <sheetFormatPr baseColWidth="10" defaultColWidth="11.44140625" defaultRowHeight="14.4" x14ac:dyDescent="0.3"/>
  <sheetData>
    <row r="1" spans="1:6" x14ac:dyDescent="0.3">
      <c r="A1" s="56" t="s">
        <v>353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3</v>
      </c>
      <c r="D12" s="54">
        <v>3</v>
      </c>
      <c r="E12" s="54">
        <v>3</v>
      </c>
      <c r="F12" s="54">
        <v>3</v>
      </c>
    </row>
    <row r="13" spans="1:6" x14ac:dyDescent="0.3">
      <c r="A13">
        <v>12</v>
      </c>
      <c r="B13" s="54">
        <v>1</v>
      </c>
      <c r="C13" s="54">
        <v>3</v>
      </c>
      <c r="D13" s="54">
        <v>3</v>
      </c>
      <c r="E13" s="54">
        <v>1</v>
      </c>
      <c r="F13" s="54">
        <v>3</v>
      </c>
    </row>
    <row r="14" spans="1:6" x14ac:dyDescent="0.3">
      <c r="A14">
        <v>13</v>
      </c>
      <c r="B14" s="54">
        <v>1</v>
      </c>
      <c r="C14" s="54">
        <v>3</v>
      </c>
      <c r="D14" s="54">
        <v>3</v>
      </c>
      <c r="E14" s="54">
        <v>1</v>
      </c>
      <c r="F14" s="54">
        <v>3</v>
      </c>
    </row>
    <row r="15" spans="1:6" x14ac:dyDescent="0.3">
      <c r="A15">
        <v>14</v>
      </c>
      <c r="B15" s="54">
        <v>1</v>
      </c>
      <c r="C15" s="54">
        <v>3</v>
      </c>
      <c r="D15" s="54">
        <v>3</v>
      </c>
      <c r="E15" s="54">
        <v>1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27EEF-C571-4AD1-A862-5C39B3B9047F}">
  <dimension ref="A1:L16"/>
  <sheetViews>
    <sheetView workbookViewId="0">
      <selection activeCell="K16" sqref="K16"/>
    </sheetView>
  </sheetViews>
  <sheetFormatPr baseColWidth="10" defaultColWidth="11.44140625" defaultRowHeight="14.4" x14ac:dyDescent="0.3"/>
  <sheetData>
    <row r="1" spans="1:12" x14ac:dyDescent="0.3">
      <c r="A1" s="56" t="s">
        <v>355</v>
      </c>
      <c r="B1">
        <v>1</v>
      </c>
      <c r="C1">
        <v>2</v>
      </c>
      <c r="D1">
        <v>3</v>
      </c>
      <c r="E1">
        <v>4</v>
      </c>
      <c r="F1">
        <v>5</v>
      </c>
      <c r="H1" s="17"/>
      <c r="I1" s="17"/>
      <c r="J1" s="17"/>
      <c r="K1" s="17"/>
      <c r="L1" s="17"/>
    </row>
    <row r="2" spans="1:12" x14ac:dyDescent="0.3">
      <c r="A2">
        <v>1</v>
      </c>
      <c r="B2" s="52">
        <v>1</v>
      </c>
      <c r="C2" s="52">
        <v>1</v>
      </c>
      <c r="D2" s="52">
        <v>0</v>
      </c>
      <c r="E2" s="52">
        <v>1</v>
      </c>
      <c r="F2" s="52">
        <v>0</v>
      </c>
    </row>
    <row r="3" spans="1:12" x14ac:dyDescent="0.3">
      <c r="A3">
        <v>2</v>
      </c>
      <c r="B3" s="52">
        <v>1</v>
      </c>
      <c r="C3" s="52">
        <v>1</v>
      </c>
      <c r="D3" s="52">
        <v>0</v>
      </c>
      <c r="E3" s="52">
        <v>1</v>
      </c>
      <c r="F3" s="52">
        <v>0</v>
      </c>
    </row>
    <row r="4" spans="1:12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12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12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0</v>
      </c>
    </row>
    <row r="7" spans="1:12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0</v>
      </c>
    </row>
    <row r="8" spans="1:12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12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12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12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12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12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12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12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12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8C506-FA74-42B9-9576-8ED2BFE44537}">
  <dimension ref="A1:F16"/>
  <sheetViews>
    <sheetView workbookViewId="0">
      <selection activeCell="B8" sqref="B8:F16"/>
    </sheetView>
  </sheetViews>
  <sheetFormatPr baseColWidth="10" defaultColWidth="11.44140625" defaultRowHeight="14.4" x14ac:dyDescent="0.3"/>
  <sheetData>
    <row r="1" spans="1:6" x14ac:dyDescent="0.3">
      <c r="A1" s="56" t="s">
        <v>356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02D9-961A-454B-8D92-96499A913AA7}">
  <dimension ref="A1:F16"/>
  <sheetViews>
    <sheetView workbookViewId="0">
      <selection activeCell="J12" sqref="J12"/>
    </sheetView>
  </sheetViews>
  <sheetFormatPr baseColWidth="10" defaultColWidth="11.44140625" defaultRowHeight="14.4" x14ac:dyDescent="0.3"/>
  <sheetData>
    <row r="1" spans="1:6" x14ac:dyDescent="0.3">
      <c r="A1" s="56" t="s">
        <v>358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7">
        <v>1</v>
      </c>
      <c r="C11" s="57">
        <v>1</v>
      </c>
      <c r="D11" s="57">
        <v>1</v>
      </c>
      <c r="E11" s="57">
        <v>1</v>
      </c>
      <c r="F11" s="57">
        <v>1</v>
      </c>
    </row>
    <row r="12" spans="1:6" x14ac:dyDescent="0.3">
      <c r="A12">
        <v>11</v>
      </c>
      <c r="B12" s="57">
        <v>1</v>
      </c>
      <c r="C12" s="57">
        <v>1</v>
      </c>
      <c r="D12" s="57">
        <v>1</v>
      </c>
      <c r="E12" s="57">
        <v>1</v>
      </c>
      <c r="F12" s="57">
        <v>1</v>
      </c>
    </row>
    <row r="13" spans="1:6" x14ac:dyDescent="0.3">
      <c r="A13">
        <v>12</v>
      </c>
      <c r="B13" s="57">
        <v>1</v>
      </c>
      <c r="C13" s="57">
        <v>1</v>
      </c>
      <c r="D13" s="57">
        <v>1</v>
      </c>
      <c r="E13" s="57">
        <v>1</v>
      </c>
      <c r="F13" s="57">
        <v>1</v>
      </c>
    </row>
    <row r="14" spans="1:6" x14ac:dyDescent="0.3">
      <c r="A14">
        <v>13</v>
      </c>
      <c r="B14" s="57">
        <v>1</v>
      </c>
      <c r="C14" s="57">
        <v>1</v>
      </c>
      <c r="D14" s="57">
        <v>1</v>
      </c>
      <c r="E14" s="57">
        <v>1</v>
      </c>
      <c r="F14" s="57">
        <v>1</v>
      </c>
    </row>
    <row r="15" spans="1:6" x14ac:dyDescent="0.3">
      <c r="A15">
        <v>14</v>
      </c>
      <c r="B15" s="57">
        <v>1</v>
      </c>
      <c r="C15" s="57">
        <v>1</v>
      </c>
      <c r="D15" s="57">
        <v>1</v>
      </c>
      <c r="E15" s="57">
        <v>1</v>
      </c>
      <c r="F15" s="57">
        <v>1</v>
      </c>
    </row>
    <row r="16" spans="1:6" x14ac:dyDescent="0.3">
      <c r="A16">
        <v>15</v>
      </c>
      <c r="B16" s="57">
        <v>1</v>
      </c>
      <c r="C16" s="57">
        <v>1</v>
      </c>
      <c r="D16" s="57">
        <v>1</v>
      </c>
      <c r="E16" s="57">
        <v>1</v>
      </c>
      <c r="F16" s="57">
        <v>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A936A-FC79-4730-9952-351E43809F11}">
  <dimension ref="A1:F16"/>
  <sheetViews>
    <sheetView workbookViewId="0">
      <selection activeCell="G23" sqref="G23"/>
    </sheetView>
  </sheetViews>
  <sheetFormatPr baseColWidth="10" defaultColWidth="11.44140625" defaultRowHeight="14.4" x14ac:dyDescent="0.3"/>
  <sheetData>
    <row r="1" spans="1:6" x14ac:dyDescent="0.3">
      <c r="A1" s="56" t="s">
        <v>334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3</v>
      </c>
      <c r="D2" s="52">
        <v>0</v>
      </c>
      <c r="E2" s="52">
        <v>3</v>
      </c>
      <c r="F2" s="52">
        <v>0</v>
      </c>
    </row>
    <row r="3" spans="1:6" x14ac:dyDescent="0.3">
      <c r="A3">
        <v>2</v>
      </c>
      <c r="B3" s="52">
        <v>0</v>
      </c>
      <c r="C3" s="52">
        <v>3</v>
      </c>
      <c r="D3" s="52">
        <v>0</v>
      </c>
      <c r="E3" s="52">
        <v>3</v>
      </c>
      <c r="F3" s="52">
        <v>0</v>
      </c>
    </row>
    <row r="4" spans="1:6" x14ac:dyDescent="0.3">
      <c r="A4">
        <v>3</v>
      </c>
      <c r="B4" s="52">
        <v>0</v>
      </c>
      <c r="C4" s="52">
        <v>2</v>
      </c>
      <c r="D4" s="52">
        <v>0</v>
      </c>
      <c r="E4" s="52">
        <v>2</v>
      </c>
      <c r="F4" s="52">
        <v>0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0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0</v>
      </c>
    </row>
    <row r="7" spans="1:6" x14ac:dyDescent="0.3">
      <c r="A7">
        <v>6</v>
      </c>
      <c r="B7" s="52">
        <v>0</v>
      </c>
      <c r="C7" s="52">
        <v>1</v>
      </c>
      <c r="D7" s="52">
        <v>0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1</v>
      </c>
      <c r="D8" s="53">
        <v>0</v>
      </c>
      <c r="E8" s="53">
        <v>1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2</v>
      </c>
      <c r="D11" s="53">
        <v>0</v>
      </c>
      <c r="E11" s="53">
        <v>2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7DB1D-E36C-413B-817A-A05124E6288C}">
  <dimension ref="A1:F16"/>
  <sheetViews>
    <sheetView workbookViewId="0">
      <selection activeCell="K14" sqref="K14"/>
    </sheetView>
  </sheetViews>
  <sheetFormatPr baseColWidth="10" defaultColWidth="11.44140625" defaultRowHeight="14.4" x14ac:dyDescent="0.3"/>
  <sheetData>
    <row r="1" spans="1:6" x14ac:dyDescent="0.3">
      <c r="A1" s="56" t="s">
        <v>360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2</v>
      </c>
      <c r="D3" s="52">
        <v>2</v>
      </c>
      <c r="E3" s="52">
        <v>1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9DACD-2695-4820-80CA-F7CC79252362}">
  <dimension ref="A1:F16"/>
  <sheetViews>
    <sheetView workbookViewId="0">
      <selection activeCell="I14" sqref="I14"/>
    </sheetView>
  </sheetViews>
  <sheetFormatPr baseColWidth="10" defaultColWidth="11.44140625" defaultRowHeight="14.4" x14ac:dyDescent="0.3"/>
  <sheetData>
    <row r="1" spans="1:6" x14ac:dyDescent="0.3">
      <c r="A1" s="56" t="s">
        <v>361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7">
        <v>1</v>
      </c>
      <c r="D11" s="57">
        <v>0</v>
      </c>
      <c r="E11" s="53">
        <v>1</v>
      </c>
      <c r="F11" s="57">
        <v>0</v>
      </c>
    </row>
    <row r="12" spans="1:6" x14ac:dyDescent="0.3">
      <c r="A12">
        <v>11</v>
      </c>
      <c r="B12" s="54">
        <v>1</v>
      </c>
      <c r="C12" s="57">
        <v>1</v>
      </c>
      <c r="D12" s="57">
        <v>0</v>
      </c>
      <c r="E12" s="54">
        <v>1</v>
      </c>
      <c r="F12" s="57">
        <v>0</v>
      </c>
    </row>
    <row r="13" spans="1:6" x14ac:dyDescent="0.3">
      <c r="A13">
        <v>12</v>
      </c>
      <c r="B13" s="54">
        <v>1</v>
      </c>
      <c r="C13" s="57">
        <v>1</v>
      </c>
      <c r="D13" s="57">
        <v>0</v>
      </c>
      <c r="E13" s="54">
        <v>1</v>
      </c>
      <c r="F13" s="57">
        <v>0</v>
      </c>
    </row>
    <row r="14" spans="1:6" x14ac:dyDescent="0.3">
      <c r="A14">
        <v>13</v>
      </c>
      <c r="B14" s="57">
        <v>3</v>
      </c>
      <c r="C14" s="57">
        <v>3</v>
      </c>
      <c r="D14" s="54">
        <v>0</v>
      </c>
      <c r="E14" s="57">
        <v>3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545C2-FA7F-47CE-9535-5EB33B9C7E4B}">
  <dimension ref="A1:F16"/>
  <sheetViews>
    <sheetView workbookViewId="0">
      <selection activeCell="H14" sqref="H14"/>
    </sheetView>
  </sheetViews>
  <sheetFormatPr baseColWidth="10" defaultColWidth="11.44140625" defaultRowHeight="14.4" x14ac:dyDescent="0.3"/>
  <sheetData>
    <row r="1" spans="1:6" x14ac:dyDescent="0.3">
      <c r="A1" s="56" t="s">
        <v>363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2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B119B-D16B-4517-8C3B-7671D6D03CB3}">
  <dimension ref="A1:F16"/>
  <sheetViews>
    <sheetView workbookViewId="0">
      <selection activeCell="E19" sqref="E19"/>
    </sheetView>
  </sheetViews>
  <sheetFormatPr baseColWidth="10" defaultColWidth="11.44140625" defaultRowHeight="14.4" x14ac:dyDescent="0.3"/>
  <sheetData>
    <row r="1" spans="1:6" x14ac:dyDescent="0.3">
      <c r="A1" s="56" t="s">
        <v>364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2</v>
      </c>
      <c r="C6" s="52">
        <v>2</v>
      </c>
      <c r="D6" s="52">
        <v>2</v>
      </c>
      <c r="E6" s="52">
        <v>2</v>
      </c>
      <c r="F6" s="52">
        <v>2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89B3D-78C7-42CA-AC2A-DAC78D85EFC9}">
  <dimension ref="A1:F16"/>
  <sheetViews>
    <sheetView workbookViewId="0">
      <selection activeCell="D26" sqref="D26"/>
    </sheetView>
  </sheetViews>
  <sheetFormatPr baseColWidth="10" defaultColWidth="11.44140625" defaultRowHeight="14.4" x14ac:dyDescent="0.3"/>
  <sheetData>
    <row r="1" spans="1:6" x14ac:dyDescent="0.3">
      <c r="A1" t="s">
        <v>438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0A30-5BB2-47B7-9961-9E345C66B29F}">
  <dimension ref="A1:F16"/>
  <sheetViews>
    <sheetView workbookViewId="0">
      <selection activeCell="B2" sqref="B2:F16"/>
    </sheetView>
  </sheetViews>
  <sheetFormatPr baseColWidth="10" defaultColWidth="11.44140625" defaultRowHeight="14.4" x14ac:dyDescent="0.3"/>
  <sheetData>
    <row r="1" spans="1:6" x14ac:dyDescent="0.3">
      <c r="A1" s="56" t="s">
        <v>365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3</v>
      </c>
      <c r="D4" s="52">
        <v>3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0</v>
      </c>
      <c r="D12" s="54">
        <v>3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F7BB-C36D-476E-A25A-2028C54A14EC}">
  <dimension ref="A1:F16"/>
  <sheetViews>
    <sheetView workbookViewId="0">
      <selection activeCell="E7" sqref="E7"/>
    </sheetView>
  </sheetViews>
  <sheetFormatPr baseColWidth="10" defaultColWidth="11.44140625" defaultRowHeight="14.4" x14ac:dyDescent="0.3"/>
  <sheetData>
    <row r="1" spans="1:6" x14ac:dyDescent="0.3">
      <c r="A1" s="56" t="s">
        <v>367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7">
        <v>0</v>
      </c>
      <c r="C4" s="52">
        <v>1</v>
      </c>
      <c r="D4" s="52">
        <v>3</v>
      </c>
      <c r="E4" s="52">
        <v>1</v>
      </c>
      <c r="F4" s="52">
        <v>0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0</v>
      </c>
    </row>
    <row r="6" spans="1:6" x14ac:dyDescent="0.3">
      <c r="A6">
        <v>5</v>
      </c>
      <c r="B6" s="52">
        <v>1</v>
      </c>
      <c r="C6" s="52">
        <v>3</v>
      </c>
      <c r="D6" s="52">
        <v>1</v>
      </c>
      <c r="E6" s="52">
        <v>3</v>
      </c>
      <c r="F6" s="52">
        <v>0</v>
      </c>
    </row>
    <row r="7" spans="1:6" x14ac:dyDescent="0.3">
      <c r="A7">
        <v>6</v>
      </c>
      <c r="B7" s="64">
        <v>3</v>
      </c>
      <c r="C7" s="64">
        <v>3</v>
      </c>
      <c r="D7" s="64">
        <v>3</v>
      </c>
      <c r="E7" s="64">
        <v>3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4FF43-5B67-47F0-933E-19D29BA96F92}">
  <dimension ref="A1:F16"/>
  <sheetViews>
    <sheetView workbookViewId="0">
      <selection activeCell="C25" sqref="C25"/>
    </sheetView>
  </sheetViews>
  <sheetFormatPr baseColWidth="10" defaultColWidth="11.44140625" defaultRowHeight="14.4" x14ac:dyDescent="0.3"/>
  <sheetData>
    <row r="1" spans="1:6" x14ac:dyDescent="0.3">
      <c r="A1" s="56" t="s">
        <v>370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686FE-3FDC-4AB6-B0FC-FF632BE5EF32}">
  <dimension ref="A1:F16"/>
  <sheetViews>
    <sheetView workbookViewId="0">
      <selection activeCell="E22" sqref="E22"/>
    </sheetView>
  </sheetViews>
  <sheetFormatPr baseColWidth="10" defaultColWidth="11.44140625" defaultRowHeight="14.4" x14ac:dyDescent="0.3"/>
  <sheetData>
    <row r="1" spans="1:6" x14ac:dyDescent="0.3">
      <c r="A1" s="56" t="s">
        <v>377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0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0E42-D72C-4F07-AC7C-1BBBBABCF48B}">
  <dimension ref="A1:F16"/>
  <sheetViews>
    <sheetView workbookViewId="0">
      <selection activeCell="N9" sqref="N9"/>
    </sheetView>
  </sheetViews>
  <sheetFormatPr baseColWidth="10" defaultColWidth="11.44140625" defaultRowHeight="14.4" x14ac:dyDescent="0.3"/>
  <sheetData>
    <row r="1" spans="1:6" x14ac:dyDescent="0.3">
      <c r="A1" s="56" t="s">
        <v>378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0</v>
      </c>
      <c r="F10" s="53">
        <v>3</v>
      </c>
    </row>
    <row r="11" spans="1:6" x14ac:dyDescent="0.3">
      <c r="A11">
        <v>10</v>
      </c>
      <c r="B11" s="57">
        <v>3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0ECD-653E-4F45-993C-08C3363984F4}">
  <dimension ref="A1:F16"/>
  <sheetViews>
    <sheetView workbookViewId="0">
      <selection activeCell="I13" sqref="I13"/>
    </sheetView>
  </sheetViews>
  <sheetFormatPr baseColWidth="10" defaultColWidth="11.44140625" defaultRowHeight="14.4" x14ac:dyDescent="0.3"/>
  <sheetData>
    <row r="1" spans="1:6" x14ac:dyDescent="0.3">
      <c r="A1" s="56" t="s">
        <v>379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0</v>
      </c>
      <c r="E2" s="52">
        <v>3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0</v>
      </c>
      <c r="E3" s="52">
        <v>3</v>
      </c>
      <c r="F3" s="52">
        <v>1</v>
      </c>
    </row>
    <row r="4" spans="1:6" x14ac:dyDescent="0.3">
      <c r="A4">
        <v>3</v>
      </c>
      <c r="B4" s="52">
        <v>2</v>
      </c>
      <c r="C4" s="52">
        <v>0</v>
      </c>
      <c r="D4" s="52">
        <v>0</v>
      </c>
      <c r="E4" s="52">
        <v>3</v>
      </c>
      <c r="F4" s="52">
        <v>2</v>
      </c>
    </row>
    <row r="5" spans="1:6" x14ac:dyDescent="0.3">
      <c r="A5">
        <v>4</v>
      </c>
      <c r="B5" s="52">
        <v>2</v>
      </c>
      <c r="C5" s="52">
        <v>0</v>
      </c>
      <c r="D5" s="52">
        <v>0</v>
      </c>
      <c r="E5" s="52">
        <v>3</v>
      </c>
      <c r="F5" s="52">
        <v>2</v>
      </c>
    </row>
    <row r="6" spans="1:6" x14ac:dyDescent="0.3">
      <c r="A6">
        <v>5</v>
      </c>
      <c r="B6" s="52">
        <v>2</v>
      </c>
      <c r="C6" s="52">
        <v>0</v>
      </c>
      <c r="D6" s="52">
        <v>0</v>
      </c>
      <c r="E6" s="52">
        <v>3</v>
      </c>
      <c r="F6" s="52">
        <v>2</v>
      </c>
    </row>
    <row r="7" spans="1:6" x14ac:dyDescent="0.3">
      <c r="A7">
        <v>6</v>
      </c>
      <c r="B7" s="52">
        <v>2</v>
      </c>
      <c r="C7" s="52">
        <v>0</v>
      </c>
      <c r="D7" s="52">
        <v>0</v>
      </c>
      <c r="E7" s="52">
        <v>3</v>
      </c>
      <c r="F7" s="52">
        <v>2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2</v>
      </c>
      <c r="D12" s="54">
        <v>3</v>
      </c>
      <c r="E12" s="54">
        <v>3</v>
      </c>
      <c r="F12" s="54">
        <v>1</v>
      </c>
    </row>
    <row r="13" spans="1:6" x14ac:dyDescent="0.3">
      <c r="A13">
        <v>12</v>
      </c>
      <c r="B13" s="54">
        <v>1</v>
      </c>
      <c r="C13" s="54">
        <v>2</v>
      </c>
      <c r="D13" s="54">
        <v>3</v>
      </c>
      <c r="E13" s="54">
        <v>3</v>
      </c>
      <c r="F13" s="54">
        <v>1</v>
      </c>
    </row>
    <row r="14" spans="1:6" x14ac:dyDescent="0.3">
      <c r="A14">
        <v>13</v>
      </c>
      <c r="B14" s="54">
        <v>1</v>
      </c>
      <c r="C14" s="54">
        <v>2</v>
      </c>
      <c r="D14" s="54">
        <v>3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2</v>
      </c>
      <c r="D15" s="54">
        <v>3</v>
      </c>
      <c r="E15" s="54">
        <v>1</v>
      </c>
      <c r="F15" s="54">
        <v>2</v>
      </c>
    </row>
    <row r="16" spans="1:6" x14ac:dyDescent="0.3">
      <c r="A16">
        <v>15</v>
      </c>
      <c r="B16" s="54">
        <v>1</v>
      </c>
      <c r="C16" s="54">
        <v>2</v>
      </c>
      <c r="D16" s="54">
        <v>3</v>
      </c>
      <c r="E16" s="54">
        <v>1</v>
      </c>
      <c r="F16" s="54">
        <v>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958FC-DFF7-4B55-BCD3-FF871AB76AA0}">
  <dimension ref="A1:F16"/>
  <sheetViews>
    <sheetView zoomScaleNormal="100" workbookViewId="0">
      <selection activeCell="F12" sqref="F12"/>
    </sheetView>
  </sheetViews>
  <sheetFormatPr baseColWidth="10" defaultColWidth="11.44140625" defaultRowHeight="14.4" x14ac:dyDescent="0.3"/>
  <sheetData>
    <row r="1" spans="1:6" x14ac:dyDescent="0.3">
      <c r="A1" s="56" t="s">
        <v>380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1</v>
      </c>
      <c r="D2" s="52">
        <v>0</v>
      </c>
      <c r="E2" s="52">
        <v>1</v>
      </c>
      <c r="F2" s="52">
        <v>1</v>
      </c>
    </row>
    <row r="3" spans="1:6" x14ac:dyDescent="0.3">
      <c r="A3">
        <v>2</v>
      </c>
      <c r="B3" s="52">
        <v>0</v>
      </c>
      <c r="C3" s="52">
        <v>1</v>
      </c>
      <c r="D3" s="52">
        <v>0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1</v>
      </c>
      <c r="D4" s="52">
        <v>0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1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1</v>
      </c>
    </row>
    <row r="7" spans="1:6" x14ac:dyDescent="0.3">
      <c r="A7">
        <v>6</v>
      </c>
      <c r="B7" s="52">
        <v>0</v>
      </c>
      <c r="C7" s="52">
        <v>1</v>
      </c>
      <c r="D7" s="52">
        <v>0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5F75A-65F0-49E6-8C8A-6D2C40A1D0FD}">
  <dimension ref="A1:F16"/>
  <sheetViews>
    <sheetView workbookViewId="0">
      <selection activeCell="E21" sqref="E21"/>
    </sheetView>
  </sheetViews>
  <sheetFormatPr baseColWidth="10" defaultColWidth="11.44140625" defaultRowHeight="14.4" x14ac:dyDescent="0.3"/>
  <sheetData>
    <row r="1" spans="1:6" x14ac:dyDescent="0.3">
      <c r="A1" s="56" t="s">
        <v>382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3</v>
      </c>
      <c r="D2" s="52">
        <v>2</v>
      </c>
      <c r="E2" s="52">
        <v>1</v>
      </c>
      <c r="F2" s="52">
        <v>3</v>
      </c>
    </row>
    <row r="3" spans="1:6" x14ac:dyDescent="0.3">
      <c r="A3">
        <v>2</v>
      </c>
      <c r="B3" s="52">
        <v>1</v>
      </c>
      <c r="C3" s="52">
        <v>3</v>
      </c>
      <c r="D3" s="52">
        <v>2</v>
      </c>
      <c r="E3" s="52">
        <v>1</v>
      </c>
      <c r="F3" s="52">
        <v>3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3</v>
      </c>
      <c r="C5" s="52">
        <v>3</v>
      </c>
      <c r="D5" s="52">
        <v>3</v>
      </c>
      <c r="E5" s="52">
        <v>3</v>
      </c>
      <c r="F5" s="52">
        <v>3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1F2C8-FEC5-4C0E-AB79-1E5289D91DCE}">
  <dimension ref="A1:F16"/>
  <sheetViews>
    <sheetView workbookViewId="0">
      <selection activeCell="F11" sqref="F11"/>
    </sheetView>
  </sheetViews>
  <sheetFormatPr baseColWidth="10" defaultColWidth="11.44140625" defaultRowHeight="14.4" x14ac:dyDescent="0.3"/>
  <sheetData>
    <row r="1" spans="1:6" x14ac:dyDescent="0.3">
      <c r="A1" s="56" t="s">
        <v>383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1</v>
      </c>
      <c r="E2" s="52">
        <v>0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1</v>
      </c>
      <c r="E3" s="52">
        <v>0</v>
      </c>
      <c r="F3" s="52">
        <v>1</v>
      </c>
    </row>
    <row r="4" spans="1:6" x14ac:dyDescent="0.3">
      <c r="A4">
        <v>3</v>
      </c>
      <c r="B4" s="52">
        <v>1</v>
      </c>
      <c r="C4" s="52">
        <v>0</v>
      </c>
      <c r="D4" s="52">
        <v>1</v>
      </c>
      <c r="E4" s="52">
        <v>0</v>
      </c>
      <c r="F4" s="52">
        <v>1</v>
      </c>
    </row>
    <row r="5" spans="1:6" x14ac:dyDescent="0.3">
      <c r="A5">
        <v>4</v>
      </c>
      <c r="B5" s="52">
        <v>1</v>
      </c>
      <c r="C5" s="52">
        <v>0</v>
      </c>
      <c r="D5" s="52">
        <v>1</v>
      </c>
      <c r="E5" s="52">
        <v>0</v>
      </c>
      <c r="F5" s="52">
        <v>1</v>
      </c>
    </row>
    <row r="6" spans="1:6" x14ac:dyDescent="0.3">
      <c r="A6">
        <v>5</v>
      </c>
      <c r="B6" s="52">
        <v>1</v>
      </c>
      <c r="C6" s="52">
        <v>0</v>
      </c>
      <c r="D6" s="52">
        <v>1</v>
      </c>
      <c r="E6" s="52">
        <v>0</v>
      </c>
      <c r="F6" s="52">
        <v>1</v>
      </c>
    </row>
    <row r="7" spans="1:6" x14ac:dyDescent="0.3">
      <c r="A7">
        <v>6</v>
      </c>
      <c r="B7" s="52">
        <v>1</v>
      </c>
      <c r="C7" s="52">
        <v>0</v>
      </c>
      <c r="D7" s="52">
        <v>1</v>
      </c>
      <c r="E7" s="52">
        <v>0</v>
      </c>
      <c r="F7" s="52">
        <v>1</v>
      </c>
    </row>
    <row r="8" spans="1:6" x14ac:dyDescent="0.3">
      <c r="A8">
        <v>7</v>
      </c>
      <c r="B8" s="53">
        <v>2</v>
      </c>
      <c r="C8" s="53">
        <v>3</v>
      </c>
      <c r="D8" s="53">
        <v>2</v>
      </c>
      <c r="E8" s="53">
        <v>3</v>
      </c>
      <c r="F8" s="53">
        <v>2</v>
      </c>
    </row>
    <row r="9" spans="1:6" x14ac:dyDescent="0.3">
      <c r="A9">
        <v>8</v>
      </c>
      <c r="B9" s="53">
        <v>2</v>
      </c>
      <c r="C9" s="53">
        <v>3</v>
      </c>
      <c r="D9" s="53">
        <v>2</v>
      </c>
      <c r="E9" s="53">
        <v>3</v>
      </c>
      <c r="F9" s="53">
        <v>2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3</v>
      </c>
      <c r="F10" s="53">
        <v>3</v>
      </c>
    </row>
    <row r="11" spans="1:6" x14ac:dyDescent="0.3">
      <c r="A11">
        <v>10</v>
      </c>
      <c r="B11" s="53">
        <v>3</v>
      </c>
      <c r="C11" s="53">
        <v>3</v>
      </c>
      <c r="D11" s="53">
        <v>3</v>
      </c>
      <c r="E11" s="53">
        <v>3</v>
      </c>
      <c r="F11" s="53">
        <v>3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86CD1-4F25-4338-BCA9-5DAF7C82434F}">
  <dimension ref="A1:F16"/>
  <sheetViews>
    <sheetView workbookViewId="0">
      <selection activeCell="D21" sqref="D21"/>
    </sheetView>
  </sheetViews>
  <sheetFormatPr baseColWidth="10" defaultColWidth="11.44140625" defaultRowHeight="14.4" x14ac:dyDescent="0.3"/>
  <sheetData>
    <row r="1" spans="1:6" x14ac:dyDescent="0.3">
      <c r="A1" s="56" t="s">
        <v>386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B77D1-50EE-40FA-9530-E356ADCBDB7D}">
  <dimension ref="A1:F16"/>
  <sheetViews>
    <sheetView workbookViewId="0">
      <selection activeCell="B11" sqref="B11:E14"/>
    </sheetView>
  </sheetViews>
  <sheetFormatPr baseColWidth="10" defaultColWidth="11.44140625" defaultRowHeight="14.4" x14ac:dyDescent="0.3"/>
  <sheetData>
    <row r="1" spans="1:6" x14ac:dyDescent="0.3">
      <c r="A1" s="56" t="s">
        <v>388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85DB8-E1E8-4DB5-9869-DA54A6461D97}">
  <dimension ref="A1:F16"/>
  <sheetViews>
    <sheetView workbookViewId="0">
      <selection activeCell="B20" sqref="B20"/>
    </sheetView>
  </sheetViews>
  <sheetFormatPr baseColWidth="10" defaultColWidth="11.44140625" defaultRowHeight="14.4" x14ac:dyDescent="0.3"/>
  <sheetData>
    <row r="1" spans="1:6" x14ac:dyDescent="0.3">
      <c r="A1" s="56" t="s">
        <v>389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2</v>
      </c>
      <c r="D12" s="54">
        <v>1</v>
      </c>
      <c r="E12" s="54">
        <v>2</v>
      </c>
      <c r="F12" s="54">
        <v>1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2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B071C-C64C-43BF-BA7F-523953DD4C08}">
  <dimension ref="A1:F16"/>
  <sheetViews>
    <sheetView workbookViewId="0">
      <selection activeCell="C25" sqref="C25"/>
    </sheetView>
  </sheetViews>
  <sheetFormatPr baseColWidth="10" defaultColWidth="11.44140625" defaultRowHeight="14.4" x14ac:dyDescent="0.3"/>
  <sheetData>
    <row r="1" spans="1:6" x14ac:dyDescent="0.3">
      <c r="A1" s="56" t="s">
        <v>390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2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36106-7982-4C28-8320-B9DDF5045450}">
  <dimension ref="A1:F16"/>
  <sheetViews>
    <sheetView workbookViewId="0">
      <selection activeCell="J9" sqref="J9"/>
    </sheetView>
  </sheetViews>
  <sheetFormatPr baseColWidth="10" defaultColWidth="11.44140625" defaultRowHeight="14.4" x14ac:dyDescent="0.3"/>
  <sheetData>
    <row r="1" spans="1:6" x14ac:dyDescent="0.3">
      <c r="A1" s="56" t="s">
        <v>391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0</v>
      </c>
      <c r="D12" s="54">
        <v>0</v>
      </c>
      <c r="E12" s="54">
        <v>1</v>
      </c>
      <c r="F12" s="54">
        <v>3</v>
      </c>
    </row>
    <row r="13" spans="1:6" x14ac:dyDescent="0.3">
      <c r="A13">
        <v>12</v>
      </c>
      <c r="B13" s="54">
        <v>1</v>
      </c>
      <c r="C13" s="54">
        <v>0</v>
      </c>
      <c r="D13" s="54">
        <v>0</v>
      </c>
      <c r="E13" s="54">
        <v>1</v>
      </c>
      <c r="F13" s="54">
        <v>3</v>
      </c>
    </row>
    <row r="14" spans="1:6" x14ac:dyDescent="0.3">
      <c r="A14">
        <v>13</v>
      </c>
      <c r="B14" s="54">
        <v>1</v>
      </c>
      <c r="C14" s="54">
        <v>0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0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0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9A51-5DC1-48E2-BC92-1BC8A5C1437A}">
  <dimension ref="A1:F16"/>
  <sheetViews>
    <sheetView workbookViewId="0">
      <selection activeCell="H8" sqref="H8"/>
    </sheetView>
  </sheetViews>
  <sheetFormatPr baseColWidth="10" defaultColWidth="11.44140625" defaultRowHeight="14.4" x14ac:dyDescent="0.3"/>
  <sheetData>
    <row r="1" spans="1:6" x14ac:dyDescent="0.3">
      <c r="A1" s="56" t="s">
        <v>392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64">
        <v>3</v>
      </c>
      <c r="C12" s="64">
        <v>3</v>
      </c>
      <c r="D12" s="64">
        <v>3</v>
      </c>
      <c r="E12" s="64">
        <v>3</v>
      </c>
      <c r="F12" s="64">
        <v>3</v>
      </c>
    </row>
    <row r="13" spans="1:6" x14ac:dyDescent="0.3">
      <c r="A13">
        <v>12</v>
      </c>
      <c r="B13" s="64">
        <v>3</v>
      </c>
      <c r="C13" s="64">
        <v>3</v>
      </c>
      <c r="D13" s="64">
        <v>3</v>
      </c>
      <c r="E13" s="64">
        <v>3</v>
      </c>
      <c r="F13" s="64">
        <v>3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4B4CE-9B77-4F1D-866D-FF382270213B}">
  <dimension ref="A1:F16"/>
  <sheetViews>
    <sheetView workbookViewId="0">
      <selection activeCell="I14" sqref="I14"/>
    </sheetView>
  </sheetViews>
  <sheetFormatPr baseColWidth="10" defaultColWidth="11.44140625" defaultRowHeight="14.4" x14ac:dyDescent="0.3"/>
  <sheetData>
    <row r="1" spans="1:6" x14ac:dyDescent="0.3">
      <c r="A1" s="56" t="s">
        <v>393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2</v>
      </c>
      <c r="C11" s="53">
        <v>0</v>
      </c>
      <c r="D11" s="53">
        <v>0</v>
      </c>
      <c r="E11" s="53">
        <v>2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99CB2-A67D-419C-9EC0-BA44C582FD75}">
  <dimension ref="A1:F16"/>
  <sheetViews>
    <sheetView workbookViewId="0">
      <selection activeCell="E20" sqref="E20"/>
    </sheetView>
  </sheetViews>
  <sheetFormatPr baseColWidth="10" defaultColWidth="11.44140625" defaultRowHeight="14.4" x14ac:dyDescent="0.3"/>
  <sheetData>
    <row r="1" spans="1:6" x14ac:dyDescent="0.3">
      <c r="A1" s="56" t="s">
        <v>902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2</v>
      </c>
      <c r="E2" s="52">
        <v>2</v>
      </c>
      <c r="F2" s="52">
        <v>3</v>
      </c>
    </row>
    <row r="3" spans="1:6" x14ac:dyDescent="0.3">
      <c r="A3">
        <v>2</v>
      </c>
      <c r="B3" s="52">
        <v>2</v>
      </c>
      <c r="C3" s="52">
        <v>3</v>
      </c>
      <c r="D3" s="52">
        <v>1</v>
      </c>
      <c r="E3" s="52">
        <v>1</v>
      </c>
      <c r="F3" s="52">
        <v>2</v>
      </c>
    </row>
    <row r="4" spans="1:6" x14ac:dyDescent="0.3">
      <c r="A4">
        <v>3</v>
      </c>
      <c r="B4" s="52">
        <v>2</v>
      </c>
      <c r="C4" s="52">
        <v>3</v>
      </c>
      <c r="D4" s="52">
        <v>1</v>
      </c>
      <c r="E4" s="52">
        <v>1</v>
      </c>
      <c r="F4" s="52">
        <v>2</v>
      </c>
    </row>
    <row r="5" spans="1:6" x14ac:dyDescent="0.3">
      <c r="A5">
        <v>4</v>
      </c>
      <c r="B5" s="52">
        <v>2</v>
      </c>
      <c r="C5" s="52">
        <v>3</v>
      </c>
      <c r="D5" s="52">
        <v>1</v>
      </c>
      <c r="E5" s="52">
        <v>1</v>
      </c>
      <c r="F5" s="52">
        <v>2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5582C-4AA6-4784-822D-50F9FF7E800C}">
  <dimension ref="A1:F16"/>
  <sheetViews>
    <sheetView workbookViewId="0">
      <selection activeCell="H7" sqref="H7"/>
    </sheetView>
  </sheetViews>
  <sheetFormatPr baseColWidth="10" defaultColWidth="11.44140625" defaultRowHeight="14.4" x14ac:dyDescent="0.3"/>
  <sheetData>
    <row r="1" spans="1:6" x14ac:dyDescent="0.3">
      <c r="A1" s="56" t="s">
        <v>394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2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2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2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26DB3-5296-4C66-8998-087B7436BDF2}">
  <dimension ref="A1:F16"/>
  <sheetViews>
    <sheetView workbookViewId="0">
      <selection activeCell="J21" sqref="J21"/>
    </sheetView>
  </sheetViews>
  <sheetFormatPr baseColWidth="10" defaultColWidth="11.44140625" defaultRowHeight="14.4" x14ac:dyDescent="0.3"/>
  <sheetData>
    <row r="1" spans="1:6" x14ac:dyDescent="0.3">
      <c r="A1" s="56" t="s">
        <v>395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0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3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3</v>
      </c>
      <c r="C8" s="53">
        <v>3</v>
      </c>
      <c r="D8" s="53">
        <v>3</v>
      </c>
      <c r="E8" s="53">
        <v>3</v>
      </c>
      <c r="F8" s="53">
        <v>3</v>
      </c>
    </row>
    <row r="9" spans="1:6" x14ac:dyDescent="0.3">
      <c r="A9">
        <v>8</v>
      </c>
      <c r="B9" s="53">
        <v>3</v>
      </c>
      <c r="C9" s="53">
        <v>3</v>
      </c>
      <c r="D9" s="53">
        <v>3</v>
      </c>
      <c r="E9" s="53">
        <v>3</v>
      </c>
      <c r="F9" s="53">
        <v>3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3</v>
      </c>
      <c r="F10" s="53">
        <v>3</v>
      </c>
    </row>
    <row r="11" spans="1:6" x14ac:dyDescent="0.3">
      <c r="A11">
        <v>10</v>
      </c>
      <c r="B11" s="53">
        <v>3</v>
      </c>
      <c r="C11" s="53">
        <v>3</v>
      </c>
      <c r="D11" s="53">
        <v>3</v>
      </c>
      <c r="E11" s="53">
        <v>3</v>
      </c>
      <c r="F11" s="53">
        <v>3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C9DBE-1843-4316-889F-6DB4455D96D3}">
  <dimension ref="A1:F16"/>
  <sheetViews>
    <sheetView workbookViewId="0">
      <selection activeCell="H13" sqref="H13"/>
    </sheetView>
  </sheetViews>
  <sheetFormatPr baseColWidth="10" defaultColWidth="11.44140625" defaultRowHeight="14.4" x14ac:dyDescent="0.3"/>
  <sheetData>
    <row r="1" spans="1:6" x14ac:dyDescent="0.3">
      <c r="A1" s="56" t="s">
        <v>397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3</v>
      </c>
      <c r="D9" s="53">
        <v>1</v>
      </c>
      <c r="E9" s="53">
        <v>3</v>
      </c>
      <c r="F9" s="53">
        <v>1</v>
      </c>
    </row>
    <row r="10" spans="1:6" x14ac:dyDescent="0.3">
      <c r="A10">
        <v>9</v>
      </c>
      <c r="B10" s="53">
        <v>1</v>
      </c>
      <c r="C10" s="53">
        <v>3</v>
      </c>
      <c r="D10" s="53">
        <v>1</v>
      </c>
      <c r="E10" s="53">
        <v>3</v>
      </c>
      <c r="F10" s="53">
        <v>1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1</v>
      </c>
    </row>
    <row r="12" spans="1:6" x14ac:dyDescent="0.3">
      <c r="A12">
        <v>11</v>
      </c>
      <c r="B12" s="54">
        <v>2</v>
      </c>
      <c r="C12" s="54">
        <v>0</v>
      </c>
      <c r="D12" s="54">
        <v>2</v>
      </c>
      <c r="E12" s="54">
        <v>0</v>
      </c>
      <c r="F12" s="54">
        <v>2</v>
      </c>
    </row>
    <row r="13" spans="1:6" x14ac:dyDescent="0.3">
      <c r="A13">
        <v>12</v>
      </c>
      <c r="B13" s="54">
        <v>3</v>
      </c>
      <c r="C13" s="54">
        <v>0</v>
      </c>
      <c r="D13" s="54">
        <v>0</v>
      </c>
      <c r="E13" s="54">
        <v>0</v>
      </c>
      <c r="F13" s="54">
        <v>3</v>
      </c>
    </row>
    <row r="14" spans="1:6" x14ac:dyDescent="0.3">
      <c r="A14">
        <v>13</v>
      </c>
      <c r="B14" s="54">
        <v>3</v>
      </c>
      <c r="C14" s="54">
        <v>0</v>
      </c>
      <c r="D14" s="54">
        <v>0</v>
      </c>
      <c r="E14" s="54">
        <v>0</v>
      </c>
      <c r="F14" s="54">
        <v>3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F5B60-B8FB-4B69-A20C-7C16EBE9F828}">
  <dimension ref="A1:F16"/>
  <sheetViews>
    <sheetView workbookViewId="0">
      <selection activeCell="D12" sqref="D12:F14"/>
    </sheetView>
  </sheetViews>
  <sheetFormatPr baseColWidth="10" defaultColWidth="11.44140625" defaultRowHeight="14.4" x14ac:dyDescent="0.3"/>
  <sheetData>
    <row r="1" spans="1:6" x14ac:dyDescent="0.3">
      <c r="A1" s="56" t="s">
        <v>398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2</v>
      </c>
      <c r="E12" s="54">
        <v>1</v>
      </c>
      <c r="F12" s="54">
        <v>2</v>
      </c>
    </row>
    <row r="13" spans="1:6" x14ac:dyDescent="0.3">
      <c r="A13">
        <v>12</v>
      </c>
      <c r="B13" s="54">
        <v>0</v>
      </c>
      <c r="C13" s="54">
        <v>0</v>
      </c>
      <c r="D13" s="54">
        <v>2</v>
      </c>
      <c r="E13" s="54">
        <v>1</v>
      </c>
      <c r="F13" s="54">
        <v>2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3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1F77D-339B-4175-B255-45C25857B451}">
  <dimension ref="A1:F16"/>
  <sheetViews>
    <sheetView workbookViewId="0">
      <selection activeCell="B2" sqref="B2:F16"/>
    </sheetView>
  </sheetViews>
  <sheetFormatPr baseColWidth="10" defaultColWidth="11.44140625" defaultRowHeight="14.4" x14ac:dyDescent="0.3"/>
  <sheetData>
    <row r="1" spans="1:6" x14ac:dyDescent="0.3">
      <c r="A1" s="56" t="s">
        <v>399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0</v>
      </c>
      <c r="E13" s="54">
        <v>2</v>
      </c>
      <c r="F13" s="54">
        <v>0</v>
      </c>
    </row>
    <row r="14" spans="1:6" x14ac:dyDescent="0.3">
      <c r="A14">
        <v>13</v>
      </c>
      <c r="B14" s="54">
        <v>2</v>
      </c>
      <c r="C14" s="54">
        <v>2</v>
      </c>
      <c r="D14" s="54">
        <v>0</v>
      </c>
      <c r="E14" s="54">
        <v>2</v>
      </c>
      <c r="F14" s="54">
        <v>0</v>
      </c>
    </row>
    <row r="15" spans="1:6" x14ac:dyDescent="0.3">
      <c r="A15">
        <v>14</v>
      </c>
      <c r="B15" s="54">
        <v>3</v>
      </c>
      <c r="C15" s="54">
        <v>3</v>
      </c>
      <c r="D15" s="54">
        <v>0</v>
      </c>
      <c r="E15" s="54">
        <v>3</v>
      </c>
      <c r="F15" s="54">
        <v>0</v>
      </c>
    </row>
    <row r="16" spans="1:6" x14ac:dyDescent="0.3">
      <c r="A16">
        <v>15</v>
      </c>
      <c r="B16" s="54">
        <v>3</v>
      </c>
      <c r="C16" s="54">
        <v>3</v>
      </c>
      <c r="D16" s="54">
        <v>0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EF4D8-AB09-413D-909C-B6B77E32DE85}">
  <dimension ref="A1:F16"/>
  <sheetViews>
    <sheetView workbookViewId="0">
      <selection activeCell="B9" sqref="B9:F11"/>
    </sheetView>
  </sheetViews>
  <sheetFormatPr baseColWidth="10" defaultColWidth="11.44140625" defaultRowHeight="14.4" x14ac:dyDescent="0.3"/>
  <sheetData>
    <row r="1" spans="1:6" x14ac:dyDescent="0.3">
      <c r="A1" t="s">
        <v>400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2</v>
      </c>
      <c r="D9" s="53">
        <v>0</v>
      </c>
      <c r="E9" s="53">
        <v>3</v>
      </c>
      <c r="F9" s="53">
        <v>0</v>
      </c>
    </row>
    <row r="10" spans="1:6" x14ac:dyDescent="0.3">
      <c r="A10">
        <v>9</v>
      </c>
      <c r="B10" s="53">
        <v>1</v>
      </c>
      <c r="C10" s="53">
        <v>2</v>
      </c>
      <c r="D10" s="53">
        <v>3</v>
      </c>
      <c r="E10" s="53">
        <v>3</v>
      </c>
      <c r="F10" s="53">
        <v>0</v>
      </c>
    </row>
    <row r="11" spans="1:6" x14ac:dyDescent="0.3">
      <c r="A11">
        <v>10</v>
      </c>
      <c r="B11" s="53">
        <v>1</v>
      </c>
      <c r="C11" s="53">
        <v>2</v>
      </c>
      <c r="D11" s="53">
        <v>3</v>
      </c>
      <c r="E11" s="53">
        <v>3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331E8-643F-46BD-9B8E-5596B6A2BE08}">
  <dimension ref="A1:F16"/>
  <sheetViews>
    <sheetView workbookViewId="0">
      <selection activeCell="F24" sqref="F24"/>
    </sheetView>
  </sheetViews>
  <sheetFormatPr baseColWidth="10" defaultColWidth="11.44140625" defaultRowHeight="14.4" x14ac:dyDescent="0.3"/>
  <sheetData>
    <row r="1" spans="1:6" x14ac:dyDescent="0.3">
      <c r="A1" s="56" t="s">
        <v>401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DEB9B-DBE7-4C8C-A36D-A11DCCB276FB}">
  <dimension ref="A1:F16"/>
  <sheetViews>
    <sheetView workbookViewId="0">
      <selection activeCell="C21" sqref="C21"/>
    </sheetView>
  </sheetViews>
  <sheetFormatPr baseColWidth="10" defaultColWidth="11.44140625" defaultRowHeight="14.4" x14ac:dyDescent="0.3"/>
  <sheetData>
    <row r="1" spans="1:6" x14ac:dyDescent="0.3">
      <c r="A1" s="56" t="s">
        <v>403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3</v>
      </c>
      <c r="D4" s="52">
        <v>3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0</v>
      </c>
      <c r="D12" s="54">
        <v>3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6B5FD-C087-441E-BB4D-7DD757FD976D}">
  <dimension ref="A1:F16"/>
  <sheetViews>
    <sheetView workbookViewId="0">
      <selection activeCell="J17" sqref="J17"/>
    </sheetView>
  </sheetViews>
  <sheetFormatPr baseColWidth="10" defaultColWidth="11.44140625" defaultRowHeight="14.4" x14ac:dyDescent="0.3"/>
  <sheetData>
    <row r="1" spans="1:6" x14ac:dyDescent="0.3">
      <c r="A1" s="56" t="s">
        <v>405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1</v>
      </c>
      <c r="E2" s="52">
        <v>0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1</v>
      </c>
      <c r="E3" s="52">
        <v>0</v>
      </c>
      <c r="F3" s="52">
        <v>1</v>
      </c>
    </row>
    <row r="4" spans="1:6" x14ac:dyDescent="0.3">
      <c r="A4">
        <v>3</v>
      </c>
      <c r="B4" s="52">
        <v>1</v>
      </c>
      <c r="C4" s="52">
        <v>0</v>
      </c>
      <c r="D4" s="52">
        <v>1</v>
      </c>
      <c r="E4" s="52">
        <v>0</v>
      </c>
      <c r="F4" s="52">
        <v>1</v>
      </c>
    </row>
    <row r="5" spans="1:6" x14ac:dyDescent="0.3">
      <c r="A5">
        <v>4</v>
      </c>
      <c r="B5" s="52">
        <v>2</v>
      </c>
      <c r="C5" s="52">
        <v>0</v>
      </c>
      <c r="D5" s="52">
        <v>2</v>
      </c>
      <c r="E5" s="52">
        <v>0</v>
      </c>
      <c r="F5" s="52">
        <v>2</v>
      </c>
    </row>
    <row r="6" spans="1:6" x14ac:dyDescent="0.3">
      <c r="A6">
        <v>5</v>
      </c>
      <c r="B6" s="52">
        <v>2</v>
      </c>
      <c r="C6" s="52">
        <v>0</v>
      </c>
      <c r="D6" s="52">
        <v>2</v>
      </c>
      <c r="E6" s="52">
        <v>0</v>
      </c>
      <c r="F6" s="52">
        <v>2</v>
      </c>
    </row>
    <row r="7" spans="1:6" x14ac:dyDescent="0.3">
      <c r="A7">
        <v>6</v>
      </c>
      <c r="B7" s="52">
        <v>3</v>
      </c>
      <c r="C7" s="52">
        <v>0</v>
      </c>
      <c r="D7" s="52">
        <v>3</v>
      </c>
      <c r="E7" s="52">
        <v>0</v>
      </c>
      <c r="F7" s="52">
        <v>3</v>
      </c>
    </row>
    <row r="8" spans="1:6" x14ac:dyDescent="0.3">
      <c r="A8">
        <v>7</v>
      </c>
      <c r="B8" s="53">
        <v>3</v>
      </c>
      <c r="C8" s="53">
        <v>0</v>
      </c>
      <c r="D8" s="53">
        <v>3</v>
      </c>
      <c r="E8" s="53">
        <v>0</v>
      </c>
      <c r="F8" s="53">
        <v>3</v>
      </c>
    </row>
    <row r="9" spans="1:6" x14ac:dyDescent="0.3">
      <c r="A9">
        <v>8</v>
      </c>
      <c r="B9" s="53">
        <v>3</v>
      </c>
      <c r="C9" s="53">
        <v>0</v>
      </c>
      <c r="D9" s="53">
        <v>3</v>
      </c>
      <c r="E9" s="53">
        <v>0</v>
      </c>
      <c r="F9" s="53">
        <v>3</v>
      </c>
    </row>
    <row r="10" spans="1:6" x14ac:dyDescent="0.3">
      <c r="A10">
        <v>9</v>
      </c>
      <c r="B10" s="53">
        <v>3</v>
      </c>
      <c r="C10" s="53">
        <v>0</v>
      </c>
      <c r="D10" s="53">
        <v>3</v>
      </c>
      <c r="E10" s="53">
        <v>0</v>
      </c>
      <c r="F10" s="53">
        <v>3</v>
      </c>
    </row>
    <row r="11" spans="1:6" x14ac:dyDescent="0.3">
      <c r="A11">
        <v>10</v>
      </c>
      <c r="B11" s="53">
        <v>3</v>
      </c>
      <c r="C11" s="53">
        <v>0</v>
      </c>
      <c r="D11" s="53">
        <v>3</v>
      </c>
      <c r="E11" s="53">
        <v>0</v>
      </c>
      <c r="F11" s="53">
        <v>3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2393E-71AE-443C-8798-36CFC922B96A}">
  <dimension ref="A1:F16"/>
  <sheetViews>
    <sheetView workbookViewId="0">
      <selection activeCell="E20" sqref="E20"/>
    </sheetView>
  </sheetViews>
  <sheetFormatPr baseColWidth="10" defaultColWidth="11.44140625" defaultRowHeight="14.4" x14ac:dyDescent="0.3"/>
  <sheetData>
    <row r="1" spans="1:6" x14ac:dyDescent="0.3">
      <c r="A1" s="56" t="s">
        <v>407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3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2</v>
      </c>
      <c r="C4" s="52">
        <v>3</v>
      </c>
      <c r="D4" s="52">
        <v>2</v>
      </c>
      <c r="E4" s="52">
        <v>3</v>
      </c>
      <c r="F4" s="52">
        <v>2</v>
      </c>
    </row>
    <row r="5" spans="1:6" x14ac:dyDescent="0.3">
      <c r="A5">
        <v>4</v>
      </c>
      <c r="B5" s="52">
        <v>1</v>
      </c>
      <c r="C5" s="52">
        <v>2</v>
      </c>
      <c r="D5" s="52">
        <v>1</v>
      </c>
      <c r="E5" s="52">
        <v>2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A817-6354-49C8-A45D-B31E74AF3FAB}">
  <dimension ref="A1:F16"/>
  <sheetViews>
    <sheetView workbookViewId="0">
      <selection activeCell="F17" sqref="F17"/>
    </sheetView>
  </sheetViews>
  <sheetFormatPr baseColWidth="10" defaultColWidth="11.44140625" defaultRowHeight="14.4" x14ac:dyDescent="0.3"/>
  <sheetData>
    <row r="1" spans="1:6" x14ac:dyDescent="0.3">
      <c r="A1" s="56" t="s">
        <v>408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7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2770-C442-4EE4-9068-8168CD75B57D}">
  <dimension ref="A1:F16"/>
  <sheetViews>
    <sheetView workbookViewId="0">
      <selection activeCell="F20" sqref="F20"/>
    </sheetView>
  </sheetViews>
  <sheetFormatPr baseColWidth="10" defaultColWidth="11.44140625" defaultRowHeight="14.4" x14ac:dyDescent="0.3"/>
  <sheetData>
    <row r="1" spans="1:6" x14ac:dyDescent="0.3">
      <c r="A1" s="56" t="s">
        <v>409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F46DC-2E84-4D04-B651-27BB6F348FC6}">
  <dimension ref="A1:F16"/>
  <sheetViews>
    <sheetView workbookViewId="0">
      <selection activeCell="B15" sqref="B13:B15"/>
    </sheetView>
  </sheetViews>
  <sheetFormatPr baseColWidth="10" defaultColWidth="11.44140625" defaultRowHeight="14.4" x14ac:dyDescent="0.3"/>
  <sheetData>
    <row r="1" spans="1:6" x14ac:dyDescent="0.3">
      <c r="A1" s="64" t="s">
        <v>410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1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55F9E-2622-43CD-99E7-D86864EB2379}">
  <dimension ref="A1:F16"/>
  <sheetViews>
    <sheetView workbookViewId="0">
      <selection activeCell="I18" sqref="I18"/>
    </sheetView>
  </sheetViews>
  <sheetFormatPr baseColWidth="10" defaultColWidth="11.44140625" defaultRowHeight="14.4" x14ac:dyDescent="0.3"/>
  <sheetData>
    <row r="1" spans="1:6" x14ac:dyDescent="0.3">
      <c r="A1" s="56" t="s">
        <v>412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3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0A89-1DF3-4FA5-90C9-F9ED326C2349}">
  <dimension ref="A1:F16"/>
  <sheetViews>
    <sheetView workbookViewId="0">
      <selection activeCell="J16" sqref="J16"/>
    </sheetView>
  </sheetViews>
  <sheetFormatPr baseColWidth="10" defaultColWidth="11.44140625" defaultRowHeight="14.4" x14ac:dyDescent="0.3"/>
  <sheetData>
    <row r="1" spans="1:6" x14ac:dyDescent="0.3">
      <c r="A1" s="56" t="s">
        <v>413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E8B87-CFED-4B78-AFE3-0D969F12F142}">
  <dimension ref="A1:F16"/>
  <sheetViews>
    <sheetView workbookViewId="0">
      <selection activeCell="D21" sqref="D21"/>
    </sheetView>
  </sheetViews>
  <sheetFormatPr baseColWidth="10" defaultColWidth="11.44140625" defaultRowHeight="14.4" x14ac:dyDescent="0.3"/>
  <sheetData>
    <row r="1" spans="1:6" x14ac:dyDescent="0.3">
      <c r="A1" s="56" t="s">
        <v>414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0</v>
      </c>
      <c r="E2" s="52">
        <v>0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0</v>
      </c>
      <c r="E3" s="52">
        <v>0</v>
      </c>
      <c r="F3" s="52">
        <v>1</v>
      </c>
    </row>
    <row r="4" spans="1:6" x14ac:dyDescent="0.3">
      <c r="A4">
        <v>3</v>
      </c>
      <c r="B4" s="52">
        <v>1</v>
      </c>
      <c r="C4" s="52">
        <v>0</v>
      </c>
      <c r="D4" s="52">
        <v>0</v>
      </c>
      <c r="E4" s="52">
        <v>0</v>
      </c>
      <c r="F4" s="52">
        <v>1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0</v>
      </c>
      <c r="D12" s="54">
        <v>0</v>
      </c>
      <c r="E12" s="54">
        <v>0</v>
      </c>
      <c r="F12" s="54">
        <v>1</v>
      </c>
    </row>
    <row r="13" spans="1:6" x14ac:dyDescent="0.3">
      <c r="A13">
        <v>12</v>
      </c>
      <c r="B13" s="54">
        <v>1</v>
      </c>
      <c r="C13" s="54">
        <v>0</v>
      </c>
      <c r="D13" s="54">
        <v>0</v>
      </c>
      <c r="E13" s="54">
        <v>0</v>
      </c>
      <c r="F13" s="54">
        <v>1</v>
      </c>
    </row>
    <row r="14" spans="1:6" x14ac:dyDescent="0.3">
      <c r="A14">
        <v>13</v>
      </c>
      <c r="B14" s="54">
        <v>1</v>
      </c>
      <c r="C14" s="54">
        <v>0</v>
      </c>
      <c r="D14" s="54">
        <v>0</v>
      </c>
      <c r="E14" s="54">
        <v>0</v>
      </c>
      <c r="F14" s="54">
        <v>1</v>
      </c>
    </row>
    <row r="15" spans="1:6" x14ac:dyDescent="0.3">
      <c r="A15">
        <v>14</v>
      </c>
      <c r="B15" s="54">
        <v>2</v>
      </c>
      <c r="C15" s="54">
        <v>0</v>
      </c>
      <c r="D15" s="54">
        <v>0</v>
      </c>
      <c r="E15" s="54">
        <v>0</v>
      </c>
      <c r="F15" s="54">
        <v>2</v>
      </c>
    </row>
    <row r="16" spans="1:6" x14ac:dyDescent="0.3">
      <c r="A16">
        <v>15</v>
      </c>
      <c r="B16" s="54">
        <v>2</v>
      </c>
      <c r="C16" s="54">
        <v>0</v>
      </c>
      <c r="D16" s="54">
        <v>0</v>
      </c>
      <c r="E16" s="54">
        <v>0</v>
      </c>
      <c r="F16" s="54">
        <v>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73B5-02D4-427A-A3A3-789904D65D20}">
  <dimension ref="A1:F16"/>
  <sheetViews>
    <sheetView workbookViewId="0">
      <selection activeCell="H16" sqref="H16"/>
    </sheetView>
  </sheetViews>
  <sheetFormatPr baseColWidth="10" defaultColWidth="11.44140625" defaultRowHeight="14.4" x14ac:dyDescent="0.3"/>
  <sheetData>
    <row r="1" spans="1:6" x14ac:dyDescent="0.3">
      <c r="A1" s="56" t="s">
        <v>415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5472-59B3-4057-9928-DFB5529CDFED}">
  <dimension ref="A1:F16"/>
  <sheetViews>
    <sheetView workbookViewId="0">
      <selection activeCell="D21" sqref="D21"/>
    </sheetView>
  </sheetViews>
  <sheetFormatPr baseColWidth="10" defaultColWidth="11.44140625" defaultRowHeight="14.4" x14ac:dyDescent="0.3"/>
  <sheetData>
    <row r="1" spans="1:6" x14ac:dyDescent="0.3">
      <c r="A1" s="56" t="s">
        <v>416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0</v>
      </c>
      <c r="D9" s="53">
        <v>1</v>
      </c>
      <c r="E9" s="53">
        <v>0</v>
      </c>
      <c r="F9" s="53">
        <v>1</v>
      </c>
    </row>
    <row r="10" spans="1:6" x14ac:dyDescent="0.3">
      <c r="A10">
        <v>9</v>
      </c>
      <c r="B10" s="53">
        <v>1</v>
      </c>
      <c r="C10" s="53">
        <v>0</v>
      </c>
      <c r="D10" s="53">
        <v>1</v>
      </c>
      <c r="E10" s="53">
        <v>0</v>
      </c>
      <c r="F10" s="53">
        <v>1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4318E-F697-448B-8809-DE95FD257ADA}">
  <dimension ref="A1:F16"/>
  <sheetViews>
    <sheetView workbookViewId="0">
      <selection activeCell="E22" sqref="E22"/>
    </sheetView>
  </sheetViews>
  <sheetFormatPr baseColWidth="10" defaultColWidth="11.44140625" defaultRowHeight="14.4" x14ac:dyDescent="0.3"/>
  <sheetData>
    <row r="1" spans="1:6" x14ac:dyDescent="0.3">
      <c r="A1" s="56" t="s">
        <v>420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2</v>
      </c>
      <c r="C12" s="54">
        <v>2</v>
      </c>
      <c r="D12" s="54">
        <v>2</v>
      </c>
      <c r="E12" s="54">
        <v>2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9C939-32A9-42AC-ACAB-7D8DC278E8D1}">
  <dimension ref="A1:F16"/>
  <sheetViews>
    <sheetView workbookViewId="0">
      <selection activeCell="H10" sqref="H10"/>
    </sheetView>
  </sheetViews>
  <sheetFormatPr baseColWidth="10" defaultColWidth="11.44140625" defaultRowHeight="14.4" x14ac:dyDescent="0.3"/>
  <sheetData>
    <row r="1" spans="1:6" x14ac:dyDescent="0.3">
      <c r="A1" s="57" t="s">
        <v>421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7">
        <v>1</v>
      </c>
      <c r="F3" s="57">
        <v>2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7">
        <v>1</v>
      </c>
      <c r="F4" s="57">
        <v>2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7">
        <v>2</v>
      </c>
      <c r="F5" s="57">
        <v>2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7">
        <v>2</v>
      </c>
      <c r="F6" s="57">
        <v>2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7">
        <v>2</v>
      </c>
      <c r="F7" s="57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7">
        <v>2</v>
      </c>
      <c r="F8" s="57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02040-A001-4031-9925-5C70649768B7}">
  <dimension ref="A1:F16"/>
  <sheetViews>
    <sheetView workbookViewId="0">
      <selection activeCell="F8" sqref="F8"/>
    </sheetView>
  </sheetViews>
  <sheetFormatPr baseColWidth="10" defaultColWidth="11.44140625" defaultRowHeight="14.4" x14ac:dyDescent="0.3"/>
  <sheetData>
    <row r="1" spans="1:6" x14ac:dyDescent="0.3">
      <c r="A1" s="56" t="s">
        <v>423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2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2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1</v>
      </c>
      <c r="F6" s="52">
        <v>1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2</v>
      </c>
      <c r="F8" s="53">
        <v>1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2</v>
      </c>
      <c r="F9" s="53">
        <v>1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2</v>
      </c>
      <c r="F10" s="53">
        <v>1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2</v>
      </c>
      <c r="F11" s="53">
        <v>1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82FFA-E6FB-4224-8081-798A0FFB8278}">
  <dimension ref="A1:F16"/>
  <sheetViews>
    <sheetView workbookViewId="0">
      <selection activeCell="H15" sqref="H15"/>
    </sheetView>
  </sheetViews>
  <sheetFormatPr baseColWidth="10" defaultColWidth="11.44140625" defaultRowHeight="14.4" x14ac:dyDescent="0.3"/>
  <sheetData>
    <row r="1" spans="1:6" x14ac:dyDescent="0.3">
      <c r="A1" s="57" t="s">
        <v>424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0</v>
      </c>
      <c r="F12" s="54">
        <v>1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0</v>
      </c>
      <c r="F13" s="54">
        <v>1</v>
      </c>
    </row>
    <row r="14" spans="1:6" x14ac:dyDescent="0.3">
      <c r="A14">
        <v>13</v>
      </c>
      <c r="B14" s="54">
        <v>0</v>
      </c>
      <c r="C14" s="55">
        <v>3</v>
      </c>
      <c r="D14" s="54">
        <v>0</v>
      </c>
      <c r="E14" s="54">
        <v>0</v>
      </c>
      <c r="F14" s="55">
        <v>3</v>
      </c>
    </row>
    <row r="15" spans="1:6" x14ac:dyDescent="0.3">
      <c r="A15">
        <v>14</v>
      </c>
      <c r="B15" s="54">
        <v>0</v>
      </c>
      <c r="C15" s="55">
        <v>3</v>
      </c>
      <c r="D15" s="54">
        <v>0</v>
      </c>
      <c r="E15" s="54">
        <v>0</v>
      </c>
      <c r="F15" s="55">
        <v>3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F213E-FEDF-462E-8553-65F2EF017707}">
  <dimension ref="A1:F16"/>
  <sheetViews>
    <sheetView workbookViewId="0">
      <selection activeCell="I10" sqref="I10"/>
    </sheetView>
  </sheetViews>
  <sheetFormatPr baseColWidth="10" defaultColWidth="11.44140625" defaultRowHeight="14.4" x14ac:dyDescent="0.3"/>
  <sheetData>
    <row r="1" spans="1:6" x14ac:dyDescent="0.3">
      <c r="A1" s="56" t="s">
        <v>425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DCA3B-1581-404E-84AF-B23AD8D63539}">
  <dimension ref="A1:F16"/>
  <sheetViews>
    <sheetView workbookViewId="0">
      <selection activeCell="D22" sqref="D22"/>
    </sheetView>
  </sheetViews>
  <sheetFormatPr baseColWidth="10" defaultColWidth="11.44140625" defaultRowHeight="14.4" x14ac:dyDescent="0.3"/>
  <sheetData>
    <row r="1" spans="1:6" x14ac:dyDescent="0.3">
      <c r="A1" s="56" t="s">
        <v>926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2</v>
      </c>
      <c r="D2" s="52">
        <v>2</v>
      </c>
      <c r="E2" s="52">
        <v>2</v>
      </c>
      <c r="F2" s="52">
        <v>2</v>
      </c>
    </row>
    <row r="3" spans="1:6" x14ac:dyDescent="0.3">
      <c r="A3">
        <v>2</v>
      </c>
      <c r="B3" s="52">
        <v>2</v>
      </c>
      <c r="C3" s="52">
        <v>2</v>
      </c>
      <c r="D3" s="52">
        <v>2</v>
      </c>
      <c r="E3" s="52">
        <v>2</v>
      </c>
      <c r="F3" s="52">
        <v>2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47B6-CA30-4962-A592-9217262459C2}">
  <dimension ref="A1:F16"/>
  <sheetViews>
    <sheetView workbookViewId="0">
      <selection activeCell="J14" sqref="J14"/>
    </sheetView>
  </sheetViews>
  <sheetFormatPr baseColWidth="10" defaultColWidth="11.44140625" defaultRowHeight="14.4" x14ac:dyDescent="0.3"/>
  <sheetData>
    <row r="1" spans="1:6" x14ac:dyDescent="0.3">
      <c r="A1" s="56" t="s">
        <v>426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3</v>
      </c>
      <c r="D10" s="53">
        <v>3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3</v>
      </c>
      <c r="D11" s="53">
        <v>3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3</v>
      </c>
      <c r="D12" s="54">
        <v>3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3</v>
      </c>
      <c r="D13" s="54">
        <v>3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3</v>
      </c>
      <c r="D14" s="54">
        <v>3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3</v>
      </c>
      <c r="D15" s="54">
        <v>3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3</v>
      </c>
      <c r="D16" s="54">
        <v>3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AA946-1EF1-423C-86B1-35A932132EF7}">
  <dimension ref="A1:F16"/>
  <sheetViews>
    <sheetView workbookViewId="0">
      <selection activeCell="G13" sqref="G13"/>
    </sheetView>
  </sheetViews>
  <sheetFormatPr baseColWidth="10" defaultColWidth="11.44140625" defaultRowHeight="14.4" x14ac:dyDescent="0.3"/>
  <sheetData>
    <row r="1" spans="1:6" x14ac:dyDescent="0.3">
      <c r="A1" s="56" t="s">
        <v>427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3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3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3</v>
      </c>
    </row>
    <row r="12" spans="1:6" x14ac:dyDescent="0.3">
      <c r="A12">
        <v>11</v>
      </c>
      <c r="B12" s="54">
        <v>3</v>
      </c>
      <c r="C12" s="54">
        <v>3</v>
      </c>
      <c r="D12" s="54">
        <v>3</v>
      </c>
      <c r="E12" s="54">
        <v>3</v>
      </c>
      <c r="F12" s="54">
        <v>3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DCE7E-227F-46C3-AEE6-F76D46E5AC61}">
  <dimension ref="A1:F16"/>
  <sheetViews>
    <sheetView workbookViewId="0">
      <selection activeCell="B21" sqref="B21"/>
    </sheetView>
  </sheetViews>
  <sheetFormatPr baseColWidth="10" defaultColWidth="11.44140625" defaultRowHeight="14.4" x14ac:dyDescent="0.3"/>
  <sheetData>
    <row r="1" spans="1:6" x14ac:dyDescent="0.3">
      <c r="A1" s="56" t="s">
        <v>428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3</v>
      </c>
      <c r="D4" s="52">
        <v>3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0</v>
      </c>
      <c r="D12" s="54">
        <v>3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029AC-A39B-4FF4-A8D4-FBD8F77C38FB}">
  <dimension ref="A1:F16"/>
  <sheetViews>
    <sheetView workbookViewId="0">
      <selection activeCell="H13" sqref="H13"/>
    </sheetView>
  </sheetViews>
  <sheetFormatPr baseColWidth="10" defaultColWidth="11.44140625" defaultRowHeight="14.4" x14ac:dyDescent="0.3"/>
  <sheetData>
    <row r="1" spans="1:6" x14ac:dyDescent="0.3">
      <c r="A1" s="56" t="s">
        <v>429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3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3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7">
        <v>1</v>
      </c>
    </row>
    <row r="12" spans="1:6" x14ac:dyDescent="0.3">
      <c r="A12">
        <v>11</v>
      </c>
      <c r="B12" s="57">
        <v>1</v>
      </c>
      <c r="C12" s="57">
        <v>1</v>
      </c>
      <c r="D12" s="57">
        <v>1</v>
      </c>
      <c r="E12" s="54">
        <v>0</v>
      </c>
      <c r="F12" s="57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7">
        <v>0</v>
      </c>
      <c r="F13" s="57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7">
        <v>0</v>
      </c>
      <c r="F14" s="57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7">
        <v>0</v>
      </c>
      <c r="F15" s="57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7">
        <v>0</v>
      </c>
      <c r="F16" s="57">
        <v>1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5BDE-73B8-48EF-AFCA-D2F6DDE2D2A2}">
  <dimension ref="A1:F16"/>
  <sheetViews>
    <sheetView workbookViewId="0">
      <selection activeCell="B11" sqref="B11:F16"/>
    </sheetView>
  </sheetViews>
  <sheetFormatPr baseColWidth="10" defaultColWidth="11.44140625" defaultRowHeight="14.4" x14ac:dyDescent="0.3"/>
  <sheetData>
    <row r="1" spans="1:6" x14ac:dyDescent="0.3">
      <c r="A1" s="56" t="s">
        <v>430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3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2</v>
      </c>
      <c r="C4" s="52">
        <v>3</v>
      </c>
      <c r="D4" s="52">
        <v>2</v>
      </c>
      <c r="E4" s="52">
        <v>3</v>
      </c>
      <c r="F4" s="52">
        <v>2</v>
      </c>
    </row>
    <row r="5" spans="1:6" x14ac:dyDescent="0.3">
      <c r="A5">
        <v>4</v>
      </c>
      <c r="B5" s="52">
        <v>1</v>
      </c>
      <c r="C5" s="52">
        <v>2</v>
      </c>
      <c r="D5" s="52">
        <v>1</v>
      </c>
      <c r="E5" s="52">
        <v>2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0</v>
      </c>
      <c r="E13" s="54">
        <v>2</v>
      </c>
      <c r="F13" s="54">
        <v>0</v>
      </c>
    </row>
    <row r="14" spans="1:6" x14ac:dyDescent="0.3">
      <c r="A14">
        <v>13</v>
      </c>
      <c r="B14" s="54">
        <v>2</v>
      </c>
      <c r="C14" s="54">
        <v>2</v>
      </c>
      <c r="D14" s="54">
        <v>0</v>
      </c>
      <c r="E14" s="54">
        <v>2</v>
      </c>
      <c r="F14" s="54">
        <v>0</v>
      </c>
    </row>
    <row r="15" spans="1:6" x14ac:dyDescent="0.3">
      <c r="A15">
        <v>14</v>
      </c>
      <c r="B15" s="54">
        <v>3</v>
      </c>
      <c r="C15" s="54">
        <v>3</v>
      </c>
      <c r="D15" s="54">
        <v>0</v>
      </c>
      <c r="E15" s="54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7BA83-12DB-482B-AE93-F7D8C9EF1AD7}">
  <dimension ref="A1:F16"/>
  <sheetViews>
    <sheetView workbookViewId="0">
      <selection activeCell="I16" sqref="I16"/>
    </sheetView>
  </sheetViews>
  <sheetFormatPr baseColWidth="10" defaultColWidth="11.44140625" defaultRowHeight="14.4" x14ac:dyDescent="0.3"/>
  <sheetData>
    <row r="1" spans="1:6" x14ac:dyDescent="0.3">
      <c r="A1" s="56" t="s">
        <v>431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7">
        <v>1</v>
      </c>
      <c r="E13" s="57">
        <v>0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7">
        <v>1</v>
      </c>
      <c r="E14" s="57">
        <v>0</v>
      </c>
      <c r="F14" s="54">
        <v>1</v>
      </c>
    </row>
    <row r="15" spans="1:6" x14ac:dyDescent="0.3">
      <c r="A15">
        <v>14</v>
      </c>
      <c r="B15" s="54">
        <v>2</v>
      </c>
      <c r="C15" s="54">
        <v>2</v>
      </c>
      <c r="D15" s="57">
        <v>2</v>
      </c>
      <c r="E15" s="57">
        <v>0</v>
      </c>
      <c r="F15" s="54">
        <v>3</v>
      </c>
    </row>
    <row r="16" spans="1:6" x14ac:dyDescent="0.3">
      <c r="A16">
        <v>15</v>
      </c>
      <c r="B16" s="54">
        <v>2</v>
      </c>
      <c r="C16" s="54">
        <v>2</v>
      </c>
      <c r="D16" s="57">
        <v>2</v>
      </c>
      <c r="E16" s="57">
        <v>0</v>
      </c>
      <c r="F16" s="54">
        <v>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A5377-E059-487E-B4CB-215A0FF8FA25}">
  <dimension ref="A1:F16"/>
  <sheetViews>
    <sheetView workbookViewId="0">
      <selection activeCell="E23" sqref="E23"/>
    </sheetView>
  </sheetViews>
  <sheetFormatPr baseColWidth="10" defaultColWidth="11.44140625" defaultRowHeight="14.4" x14ac:dyDescent="0.3"/>
  <sheetData>
    <row r="1" spans="1:6" x14ac:dyDescent="0.3">
      <c r="A1" s="56" t="s">
        <v>432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38B01-B6EF-432D-8475-DB0FF3D8D539}">
  <dimension ref="A1:F16"/>
  <sheetViews>
    <sheetView workbookViewId="0">
      <selection activeCell="J15" sqref="J15"/>
    </sheetView>
  </sheetViews>
  <sheetFormatPr baseColWidth="10" defaultColWidth="11.44140625" defaultRowHeight="14.4" x14ac:dyDescent="0.3"/>
  <sheetData>
    <row r="1" spans="1:6" x14ac:dyDescent="0.3">
      <c r="A1" s="56" t="s">
        <v>434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7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EF4CE-9FD4-42B4-B425-1D94EA52F41E}">
  <dimension ref="A1:F16"/>
  <sheetViews>
    <sheetView workbookViewId="0">
      <selection activeCell="I12" sqref="I12"/>
    </sheetView>
  </sheetViews>
  <sheetFormatPr baseColWidth="10" defaultColWidth="11.44140625" defaultRowHeight="14.4" x14ac:dyDescent="0.3"/>
  <sheetData>
    <row r="1" spans="1:6" x14ac:dyDescent="0.3">
      <c r="A1" s="56" t="s">
        <v>435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AEF25-ADC7-4D99-9C95-212BE55B61B3}">
  <dimension ref="A1:F16"/>
  <sheetViews>
    <sheetView workbookViewId="0">
      <selection activeCell="C21" sqref="C21"/>
    </sheetView>
  </sheetViews>
  <sheetFormatPr baseColWidth="10" defaultColWidth="11.44140625" defaultRowHeight="14.4" x14ac:dyDescent="0.3"/>
  <sheetData>
    <row r="1" spans="1:6" x14ac:dyDescent="0.3">
      <c r="A1" s="56" t="s">
        <v>373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9BAD9-0751-4AB9-BCD1-2FCC88F796F9}">
  <dimension ref="A1:F16"/>
  <sheetViews>
    <sheetView workbookViewId="0">
      <selection activeCell="D8" sqref="D8"/>
    </sheetView>
  </sheetViews>
  <sheetFormatPr baseColWidth="10" defaultColWidth="11.44140625" defaultRowHeight="14.4" x14ac:dyDescent="0.3"/>
  <sheetData>
    <row r="1" spans="1:6" x14ac:dyDescent="0.3">
      <c r="A1" s="56" t="s">
        <v>374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7">
        <v>0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7">
        <v>0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A40C-CDC8-4EBC-AED8-C8532AAEE1F6}">
  <dimension ref="A1:F16"/>
  <sheetViews>
    <sheetView workbookViewId="0">
      <selection activeCell="D6" sqref="D6"/>
    </sheetView>
  </sheetViews>
  <sheetFormatPr baseColWidth="10" defaultColWidth="11.44140625" defaultRowHeight="14.4" x14ac:dyDescent="0.3"/>
  <sheetData>
    <row r="1" spans="1:6" x14ac:dyDescent="0.3">
      <c r="A1" s="57" t="s">
        <v>375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1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1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1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1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1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8C0EA-EFD9-42ED-BCF4-F61AF9A3D3F0}">
  <dimension ref="A1:F16"/>
  <sheetViews>
    <sheetView workbookViewId="0">
      <selection activeCell="H12" sqref="H12"/>
    </sheetView>
  </sheetViews>
  <sheetFormatPr baseColWidth="10" defaultColWidth="11.44140625" defaultRowHeight="14.4" x14ac:dyDescent="0.3"/>
  <sheetData>
    <row r="1" spans="1:6" x14ac:dyDescent="0.3">
      <c r="A1" s="56" t="s">
        <v>436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2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0</v>
      </c>
      <c r="C12" s="54">
        <v>1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2</v>
      </c>
      <c r="D13" s="54">
        <v>2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3</v>
      </c>
      <c r="D14" s="54">
        <v>3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4E1EA-70BC-4DEE-B5E5-EE710A8CBFAC}">
  <dimension ref="A1:F16"/>
  <sheetViews>
    <sheetView workbookViewId="0">
      <selection activeCell="I17" sqref="I17"/>
    </sheetView>
  </sheetViews>
  <sheetFormatPr baseColWidth="10" defaultColWidth="11.44140625" defaultRowHeight="14.4" x14ac:dyDescent="0.3"/>
  <sheetData>
    <row r="1" spans="1:6" x14ac:dyDescent="0.3">
      <c r="A1" s="56" t="s">
        <v>417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787B2-334B-4392-8132-E343846703CE}">
  <dimension ref="A1:F16"/>
  <sheetViews>
    <sheetView workbookViewId="0">
      <selection activeCell="J17" sqref="J17"/>
    </sheetView>
  </sheetViews>
  <sheetFormatPr baseColWidth="10" defaultColWidth="11.44140625" defaultRowHeight="14.4" x14ac:dyDescent="0.3"/>
  <sheetData>
    <row r="1" spans="1:6" x14ac:dyDescent="0.3">
      <c r="A1" s="56" t="s">
        <v>418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0BC56-355C-4170-9782-C228C969F147}">
  <dimension ref="A1:F16"/>
  <sheetViews>
    <sheetView workbookViewId="0">
      <selection activeCell="J20" sqref="J20"/>
    </sheetView>
  </sheetViews>
  <sheetFormatPr baseColWidth="10" defaultColWidth="11.44140625" defaultRowHeight="14.4" x14ac:dyDescent="0.3"/>
  <sheetData>
    <row r="1" spans="1:6" x14ac:dyDescent="0.3">
      <c r="A1" s="56" t="s">
        <v>419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DCCB9-C8A6-4FC0-AE27-F32EDDE7B0E7}">
  <dimension ref="A1:F16"/>
  <sheetViews>
    <sheetView workbookViewId="0">
      <selection activeCell="I15" sqref="I15"/>
    </sheetView>
  </sheetViews>
  <sheetFormatPr baseColWidth="10" defaultColWidth="11.44140625" defaultRowHeight="14.4" x14ac:dyDescent="0.3"/>
  <sheetData>
    <row r="1" spans="1:6" x14ac:dyDescent="0.3">
      <c r="A1" s="56" t="s">
        <v>381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3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3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3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3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91B7-A646-41AD-B609-56511780A957}">
  <dimension ref="A1:F16"/>
  <sheetViews>
    <sheetView workbookViewId="0">
      <selection activeCell="E18" sqref="E18"/>
    </sheetView>
  </sheetViews>
  <sheetFormatPr baseColWidth="10" defaultColWidth="11.44140625" defaultRowHeight="14.4" x14ac:dyDescent="0.3"/>
  <sheetData>
    <row r="1" spans="1:6" x14ac:dyDescent="0.3">
      <c r="A1" s="56" t="s">
        <v>411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0</v>
      </c>
      <c r="D10" s="53">
        <v>1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2</v>
      </c>
      <c r="C12" s="54">
        <v>2</v>
      </c>
      <c r="D12" s="54">
        <v>2</v>
      </c>
      <c r="E12" s="54">
        <v>2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0</v>
      </c>
    </row>
    <row r="14" spans="1:6" x14ac:dyDescent="0.3">
      <c r="A14">
        <v>13</v>
      </c>
      <c r="B14" s="54">
        <v>0</v>
      </c>
      <c r="C14" s="54">
        <v>3</v>
      </c>
      <c r="D14" s="54">
        <v>3</v>
      </c>
      <c r="E14" s="54">
        <v>3</v>
      </c>
      <c r="F14" s="54">
        <v>0</v>
      </c>
    </row>
    <row r="15" spans="1:6" x14ac:dyDescent="0.3">
      <c r="A15">
        <v>14</v>
      </c>
      <c r="B15" s="54">
        <v>0</v>
      </c>
      <c r="C15" s="54">
        <v>3</v>
      </c>
      <c r="D15" s="54">
        <v>0</v>
      </c>
      <c r="E15" s="54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3</v>
      </c>
      <c r="D16" s="54">
        <v>0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468E4-DE07-4E36-9F0F-9D657A1BEF6E}">
  <dimension ref="A1:F16"/>
  <sheetViews>
    <sheetView workbookViewId="0">
      <selection activeCell="K11" sqref="K11"/>
    </sheetView>
  </sheetViews>
  <sheetFormatPr baseColWidth="10" defaultColWidth="11.44140625" defaultRowHeight="14.4" x14ac:dyDescent="0.3"/>
  <sheetData>
    <row r="1" spans="1:6" x14ac:dyDescent="0.3">
      <c r="A1" s="56" t="s">
        <v>354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2</v>
      </c>
      <c r="C12" s="54">
        <v>2</v>
      </c>
      <c r="D12" s="54">
        <v>2</v>
      </c>
      <c r="E12" s="54">
        <v>2</v>
      </c>
      <c r="F12" s="54">
        <v>2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2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5DA27-236F-4F03-A5A7-0BB54459CB77}">
  <dimension ref="A1:F16"/>
  <sheetViews>
    <sheetView workbookViewId="0">
      <selection activeCell="E21" sqref="E21"/>
    </sheetView>
  </sheetViews>
  <sheetFormatPr baseColWidth="10" defaultColWidth="11.44140625" defaultRowHeight="14.4" x14ac:dyDescent="0.3"/>
  <sheetData>
    <row r="1" spans="1:6" x14ac:dyDescent="0.3">
      <c r="A1" s="56" t="s">
        <v>313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C066D-A0E6-4693-99D8-8773FBDCBCEB}">
  <dimension ref="A1:F16"/>
  <sheetViews>
    <sheetView workbookViewId="0">
      <selection activeCell="J14" sqref="J14"/>
    </sheetView>
  </sheetViews>
  <sheetFormatPr baseColWidth="10" defaultColWidth="11.44140625" defaultRowHeight="14.4" x14ac:dyDescent="0.3"/>
  <sheetData>
    <row r="1" spans="1:6" x14ac:dyDescent="0.3">
      <c r="A1" s="56" t="s">
        <v>404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3</v>
      </c>
      <c r="F10" s="53">
        <v>3</v>
      </c>
    </row>
    <row r="11" spans="1:6" x14ac:dyDescent="0.3">
      <c r="A11">
        <v>10</v>
      </c>
      <c r="B11" s="53">
        <v>2</v>
      </c>
      <c r="C11" s="53">
        <v>2</v>
      </c>
      <c r="D11" s="53">
        <v>2</v>
      </c>
      <c r="E11" s="53">
        <v>2</v>
      </c>
      <c r="F11" s="53">
        <v>2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4D510-523D-4375-9547-271DE58CB828}">
  <dimension ref="A1:H16"/>
  <sheetViews>
    <sheetView workbookViewId="0">
      <selection activeCell="F13" sqref="F13"/>
    </sheetView>
  </sheetViews>
  <sheetFormatPr baseColWidth="10" defaultColWidth="11.44140625" defaultRowHeight="14.4" x14ac:dyDescent="0.3"/>
  <sheetData>
    <row r="1" spans="1:8" x14ac:dyDescent="0.3">
      <c r="A1" s="56" t="s">
        <v>331</v>
      </c>
      <c r="B1">
        <v>1</v>
      </c>
      <c r="C1">
        <v>2</v>
      </c>
      <c r="D1">
        <v>3</v>
      </c>
      <c r="E1">
        <v>4</v>
      </c>
      <c r="F1">
        <v>5</v>
      </c>
    </row>
    <row r="2" spans="1:8" x14ac:dyDescent="0.3">
      <c r="A2">
        <v>1</v>
      </c>
      <c r="B2" s="52">
        <v>0</v>
      </c>
      <c r="C2" s="52">
        <v>0</v>
      </c>
      <c r="D2" s="64">
        <v>2</v>
      </c>
      <c r="E2" s="52">
        <v>0</v>
      </c>
      <c r="F2" s="52">
        <v>0</v>
      </c>
    </row>
    <row r="3" spans="1:8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8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8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8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8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8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8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  <c r="H9" s="92"/>
    </row>
    <row r="10" spans="1:8" x14ac:dyDescent="0.3">
      <c r="A10">
        <v>9</v>
      </c>
      <c r="B10" s="53">
        <v>3</v>
      </c>
      <c r="C10" s="53">
        <v>3</v>
      </c>
      <c r="D10" s="53">
        <v>0</v>
      </c>
      <c r="E10" s="53">
        <v>3</v>
      </c>
      <c r="F10" s="53">
        <v>3</v>
      </c>
    </row>
    <row r="11" spans="1:8" x14ac:dyDescent="0.3">
      <c r="A11">
        <v>10</v>
      </c>
      <c r="B11" s="53">
        <v>1</v>
      </c>
      <c r="C11" s="53">
        <v>1</v>
      </c>
      <c r="D11" s="53">
        <v>0</v>
      </c>
      <c r="E11" s="53">
        <v>1</v>
      </c>
      <c r="F11" s="53">
        <v>1</v>
      </c>
    </row>
    <row r="12" spans="1:8" x14ac:dyDescent="0.3">
      <c r="A12">
        <v>11</v>
      </c>
      <c r="B12" s="54">
        <v>1</v>
      </c>
      <c r="C12" s="54">
        <v>1</v>
      </c>
      <c r="D12" s="54">
        <v>0</v>
      </c>
      <c r="E12" s="54">
        <v>1</v>
      </c>
      <c r="F12" s="54">
        <v>1</v>
      </c>
    </row>
    <row r="13" spans="1:8" x14ac:dyDescent="0.3">
      <c r="A13">
        <v>12</v>
      </c>
      <c r="B13" s="64">
        <v>2</v>
      </c>
      <c r="C13" s="64">
        <v>2</v>
      </c>
      <c r="D13" s="54">
        <v>0</v>
      </c>
      <c r="E13" s="64">
        <v>2</v>
      </c>
      <c r="F13" s="64">
        <v>2</v>
      </c>
    </row>
    <row r="14" spans="1:8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8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8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  <pageSetup orientation="portrait" horizontalDpi="360" verticalDpi="360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532AD-C479-4223-A6AB-0F9E99E54B55}">
  <dimension ref="A1:F16"/>
  <sheetViews>
    <sheetView workbookViewId="0">
      <selection activeCell="H13" sqref="H13"/>
    </sheetView>
  </sheetViews>
  <sheetFormatPr baseColWidth="10" defaultColWidth="11.44140625" defaultRowHeight="14.4" x14ac:dyDescent="0.3"/>
  <sheetData>
    <row r="1" spans="1:6" x14ac:dyDescent="0.3">
      <c r="A1" s="56" t="s">
        <v>903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7">
        <v>0</v>
      </c>
      <c r="C11" s="53">
        <v>0</v>
      </c>
      <c r="D11" s="57">
        <v>0</v>
      </c>
      <c r="E11" s="53">
        <v>0</v>
      </c>
      <c r="F11" s="57">
        <v>3</v>
      </c>
    </row>
    <row r="12" spans="1:6" x14ac:dyDescent="0.3">
      <c r="A12">
        <v>11</v>
      </c>
      <c r="B12" s="54">
        <v>1</v>
      </c>
      <c r="C12" s="54">
        <v>0</v>
      </c>
      <c r="D12" s="54">
        <v>1</v>
      </c>
      <c r="E12" s="54">
        <v>0</v>
      </c>
      <c r="F12" s="57">
        <v>3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2</v>
      </c>
    </row>
    <row r="14" spans="1:6" x14ac:dyDescent="0.3">
      <c r="A14">
        <v>13</v>
      </c>
      <c r="B14" s="54">
        <v>2</v>
      </c>
      <c r="C14" s="54">
        <v>0</v>
      </c>
      <c r="D14" s="54">
        <v>2</v>
      </c>
      <c r="E14" s="54">
        <v>0</v>
      </c>
      <c r="F14" s="54">
        <v>2</v>
      </c>
    </row>
    <row r="15" spans="1:6" x14ac:dyDescent="0.3">
      <c r="A15">
        <v>14</v>
      </c>
      <c r="B15" s="54">
        <v>3</v>
      </c>
      <c r="C15" s="54">
        <v>0</v>
      </c>
      <c r="D15" s="54">
        <v>3</v>
      </c>
      <c r="E15" s="54">
        <v>0</v>
      </c>
      <c r="F15" s="54">
        <v>3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8E00A-2A3F-499F-8910-D08730BCA2DA}">
  <dimension ref="A1:F16"/>
  <sheetViews>
    <sheetView workbookViewId="0">
      <selection activeCell="C24" sqref="C24"/>
    </sheetView>
  </sheetViews>
  <sheetFormatPr baseColWidth="10" defaultColWidth="11.44140625" defaultRowHeight="14.4" x14ac:dyDescent="0.3"/>
  <sheetData>
    <row r="1" spans="1:6" x14ac:dyDescent="0.3">
      <c r="A1" s="56" t="s">
        <v>372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3</v>
      </c>
      <c r="C9" s="53">
        <v>2</v>
      </c>
      <c r="D9" s="53">
        <v>2</v>
      </c>
      <c r="E9" s="53">
        <v>2</v>
      </c>
      <c r="F9" s="53">
        <v>3</v>
      </c>
    </row>
    <row r="10" spans="1:6" x14ac:dyDescent="0.3">
      <c r="A10">
        <v>9</v>
      </c>
      <c r="B10" s="53">
        <v>3</v>
      </c>
      <c r="C10" s="53">
        <v>2</v>
      </c>
      <c r="D10" s="53">
        <v>2</v>
      </c>
      <c r="E10" s="53">
        <v>2</v>
      </c>
      <c r="F10" s="53">
        <v>3</v>
      </c>
    </row>
    <row r="11" spans="1:6" x14ac:dyDescent="0.3">
      <c r="A11">
        <v>10</v>
      </c>
      <c r="B11" s="53">
        <v>3</v>
      </c>
      <c r="C11" s="53">
        <v>2</v>
      </c>
      <c r="D11" s="53">
        <v>2</v>
      </c>
      <c r="E11" s="53">
        <v>2</v>
      </c>
      <c r="F11" s="53">
        <v>3</v>
      </c>
    </row>
    <row r="12" spans="1:6" x14ac:dyDescent="0.3">
      <c r="A12">
        <v>11</v>
      </c>
      <c r="B12" s="54">
        <v>3</v>
      </c>
      <c r="C12" s="54">
        <v>2</v>
      </c>
      <c r="D12" s="54">
        <v>2</v>
      </c>
      <c r="E12" s="54">
        <v>2</v>
      </c>
      <c r="F12" s="54">
        <v>3</v>
      </c>
    </row>
    <row r="13" spans="1:6" x14ac:dyDescent="0.3">
      <c r="A13">
        <v>12</v>
      </c>
      <c r="B13" s="54">
        <v>3</v>
      </c>
      <c r="C13" s="54">
        <v>2</v>
      </c>
      <c r="D13" s="54">
        <v>2</v>
      </c>
      <c r="E13" s="54">
        <v>2</v>
      </c>
      <c r="F13" s="54">
        <v>3</v>
      </c>
    </row>
    <row r="14" spans="1:6" x14ac:dyDescent="0.3">
      <c r="A14">
        <v>13</v>
      </c>
      <c r="B14" s="54">
        <v>3</v>
      </c>
      <c r="C14" s="54">
        <v>2</v>
      </c>
      <c r="D14" s="54">
        <v>2</v>
      </c>
      <c r="E14" s="54">
        <v>2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5F51F-43A4-4196-A4D5-9732C8619718}">
  <dimension ref="A1:F16"/>
  <sheetViews>
    <sheetView workbookViewId="0">
      <selection activeCell="I12" sqref="I12"/>
    </sheetView>
  </sheetViews>
  <sheetFormatPr baseColWidth="10" defaultColWidth="11.44140625" defaultRowHeight="14.4" x14ac:dyDescent="0.3"/>
  <sheetData>
    <row r="1" spans="1:6" x14ac:dyDescent="0.3">
      <c r="A1" s="56" t="s">
        <v>362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1FDB0-DCED-445E-BF35-55B307E92CD5}">
  <dimension ref="A1:F16"/>
  <sheetViews>
    <sheetView workbookViewId="0">
      <selection activeCell="I16" sqref="I16"/>
    </sheetView>
  </sheetViews>
  <sheetFormatPr baseColWidth="10" defaultColWidth="11.44140625" defaultRowHeight="14.4" x14ac:dyDescent="0.3"/>
  <sheetData>
    <row r="1" spans="1:6" x14ac:dyDescent="0.3">
      <c r="A1" s="56" t="s">
        <v>336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1</v>
      </c>
      <c r="D11" s="53">
        <v>0</v>
      </c>
      <c r="E11" s="53">
        <v>1</v>
      </c>
      <c r="F11" s="53">
        <v>1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1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1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1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1</v>
      </c>
    </row>
    <row r="16" spans="1:6" x14ac:dyDescent="0.3">
      <c r="A16">
        <v>15</v>
      </c>
      <c r="B16" s="54">
        <v>0</v>
      </c>
      <c r="C16" s="54">
        <v>3</v>
      </c>
      <c r="D16" s="54">
        <v>0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37DA3-8A7D-4079-8113-3CEB5B8E7062}">
  <dimension ref="A1:F16"/>
  <sheetViews>
    <sheetView workbookViewId="0">
      <selection activeCell="D18" sqref="D18"/>
    </sheetView>
  </sheetViews>
  <sheetFormatPr baseColWidth="10" defaultColWidth="11.44140625" defaultRowHeight="14.4" x14ac:dyDescent="0.3"/>
  <sheetData>
    <row r="1" spans="1:6" x14ac:dyDescent="0.3">
      <c r="A1" s="56" t="s">
        <v>396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3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3</v>
      </c>
    </row>
    <row r="15" spans="1:6" x14ac:dyDescent="0.3">
      <c r="A15">
        <v>14</v>
      </c>
      <c r="B15" s="54">
        <v>2</v>
      </c>
      <c r="C15" s="54">
        <v>2</v>
      </c>
      <c r="D15" s="54">
        <v>2</v>
      </c>
      <c r="E15" s="54">
        <v>2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BAE9-9EED-4ECF-92C5-46D66A506A6B}">
  <dimension ref="A1:F16"/>
  <sheetViews>
    <sheetView workbookViewId="0">
      <selection activeCell="K16" sqref="K16"/>
    </sheetView>
  </sheetViews>
  <sheetFormatPr baseColWidth="10" defaultColWidth="11.44140625" defaultRowHeight="14.4" x14ac:dyDescent="0.3"/>
  <sheetData>
    <row r="1" spans="1:6" x14ac:dyDescent="0.3">
      <c r="A1" s="56" t="s">
        <v>402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3</v>
      </c>
      <c r="C11" s="53">
        <v>3</v>
      </c>
      <c r="D11" s="53">
        <v>3</v>
      </c>
      <c r="E11" s="53">
        <v>3</v>
      </c>
      <c r="F11" s="53">
        <v>3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2</v>
      </c>
      <c r="D13" s="54">
        <v>1</v>
      </c>
      <c r="E13" s="54">
        <v>2</v>
      </c>
      <c r="F13" s="54">
        <v>1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2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2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8F230-F6AE-433E-9CE5-2359EFFCFDAB}">
  <dimension ref="A1:F16"/>
  <sheetViews>
    <sheetView workbookViewId="0">
      <selection activeCell="B12" sqref="B12"/>
    </sheetView>
  </sheetViews>
  <sheetFormatPr baseColWidth="10" defaultColWidth="11.44140625" defaultRowHeight="14.4" x14ac:dyDescent="0.3"/>
  <sheetData>
    <row r="1" spans="1:6" x14ac:dyDescent="0.3">
      <c r="A1" s="56" t="s">
        <v>325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3</v>
      </c>
      <c r="D12" s="54">
        <v>1</v>
      </c>
      <c r="E12" s="54">
        <v>3</v>
      </c>
      <c r="F12" s="54">
        <v>0</v>
      </c>
    </row>
    <row r="13" spans="1:6" x14ac:dyDescent="0.3">
      <c r="A13">
        <v>12</v>
      </c>
      <c r="B13" s="54">
        <v>2</v>
      </c>
      <c r="C13" s="54">
        <v>0</v>
      </c>
      <c r="D13" s="54">
        <v>2</v>
      </c>
      <c r="E13" s="54">
        <v>0</v>
      </c>
      <c r="F13" s="54">
        <v>0</v>
      </c>
    </row>
    <row r="14" spans="1:6" x14ac:dyDescent="0.3">
      <c r="A14">
        <v>13</v>
      </c>
      <c r="B14" s="54">
        <v>3</v>
      </c>
      <c r="C14" s="54">
        <v>0</v>
      </c>
      <c r="D14" s="54">
        <v>3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FD50C-0B97-4A83-A770-D3BC28C9B836}">
  <dimension ref="A1:F16"/>
  <sheetViews>
    <sheetView workbookViewId="0">
      <selection activeCell="H11" sqref="H11"/>
    </sheetView>
  </sheetViews>
  <sheetFormatPr baseColWidth="10" defaultColWidth="11.44140625" defaultRowHeight="14.4" x14ac:dyDescent="0.3"/>
  <sheetData>
    <row r="1" spans="1:6" x14ac:dyDescent="0.3">
      <c r="A1" s="56" t="s">
        <v>351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0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0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0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45F5-B928-490E-BCC8-DDCE09E48226}">
  <dimension ref="A1:F16"/>
  <sheetViews>
    <sheetView workbookViewId="0">
      <selection activeCell="C13" sqref="C13"/>
    </sheetView>
  </sheetViews>
  <sheetFormatPr baseColWidth="10" defaultColWidth="11.44140625" defaultRowHeight="14.4" x14ac:dyDescent="0.3"/>
  <sheetData>
    <row r="1" spans="1:6" x14ac:dyDescent="0.3">
      <c r="A1" s="56" t="s">
        <v>422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2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2</v>
      </c>
      <c r="C10" s="53">
        <v>0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3</v>
      </c>
      <c r="C12" s="54">
        <v>3</v>
      </c>
      <c r="D12" s="54">
        <v>3</v>
      </c>
      <c r="E12" s="54">
        <v>3</v>
      </c>
      <c r="F12" s="54">
        <v>3</v>
      </c>
    </row>
    <row r="13" spans="1:6" x14ac:dyDescent="0.3">
      <c r="A13">
        <v>12</v>
      </c>
      <c r="B13" s="54">
        <v>3</v>
      </c>
      <c r="C13" s="54">
        <v>3</v>
      </c>
      <c r="D13" s="54">
        <v>3</v>
      </c>
      <c r="E13" s="54">
        <v>3</v>
      </c>
      <c r="F13" s="54">
        <v>3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A70A7-323D-4EF6-B612-DC4C3F7AD871}">
  <dimension ref="A1:F16"/>
  <sheetViews>
    <sheetView workbookViewId="0">
      <selection activeCell="H16" sqref="H16"/>
    </sheetView>
  </sheetViews>
  <sheetFormatPr baseColWidth="10" defaultColWidth="11.44140625" defaultRowHeight="14.4" x14ac:dyDescent="0.3"/>
  <sheetData>
    <row r="1" spans="1:6" x14ac:dyDescent="0.3">
      <c r="A1" s="57" t="s">
        <v>359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3b8c8cf-9d0b-4e5a-a8f8-f4694f07456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3F1176E4E257242B50FEC898E6F820D" ma:contentTypeVersion="17" ma:contentTypeDescription="Crear nuevo documento." ma:contentTypeScope="" ma:versionID="851d0f11218d7c5a1078dac651110f5b">
  <xsd:schema xmlns:xsd="http://www.w3.org/2001/XMLSchema" xmlns:xs="http://www.w3.org/2001/XMLSchema" xmlns:p="http://schemas.microsoft.com/office/2006/metadata/properties" xmlns:ns3="8512ed3e-d662-40dc-9ae4-a019b6da24fb" xmlns:ns4="a3b8c8cf-9d0b-4e5a-a8f8-f4694f074567" targetNamespace="http://schemas.microsoft.com/office/2006/metadata/properties" ma:root="true" ma:fieldsID="fa8383f0e50d495d138586ac91fd4b17" ns3:_="" ns4:_="">
    <xsd:import namespace="8512ed3e-d662-40dc-9ae4-a019b6da24fb"/>
    <xsd:import namespace="a3b8c8cf-9d0b-4e5a-a8f8-f4694f07456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_activity" minOccurs="0"/>
                <xsd:element ref="ns4:MediaServiceSearchProperties" minOccurs="0"/>
                <xsd:element ref="ns4:MediaServiceDateTaken" minOccurs="0"/>
                <xsd:element ref="ns4:MediaLengthInSeconds" minOccurs="0"/>
                <xsd:element ref="ns4:MediaServiceObjectDetectorVersions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2ed3e-d662-40dc-9ae4-a019b6da24f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b8c8cf-9d0b-4e5a-a8f8-f4694f0745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058F137-A12A-4B4F-8E29-D7D2FADB2105}">
  <ds:schemaRefs>
    <ds:schemaRef ds:uri="http://schemas.microsoft.com/office/2006/metadata/properties"/>
    <ds:schemaRef ds:uri="http://schemas.microsoft.com/office/infopath/2007/PartnerControls"/>
    <ds:schemaRef ds:uri="a3b8c8cf-9d0b-4e5a-a8f8-f4694f074567"/>
  </ds:schemaRefs>
</ds:datastoreItem>
</file>

<file path=customXml/itemProps2.xml><?xml version="1.0" encoding="utf-8"?>
<ds:datastoreItem xmlns:ds="http://schemas.openxmlformats.org/officeDocument/2006/customXml" ds:itemID="{51D6C75C-D728-4947-A829-B0ECDF3ABF8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1B4E1C-D15B-44BC-9E2C-FC16400233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2ed3e-d662-40dc-9ae4-a019b6da24fb"/>
    <ds:schemaRef ds:uri="a3b8c8cf-9d0b-4e5a-a8f8-f4694f0745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113</vt:i4>
      </vt:variant>
    </vt:vector>
  </HeadingPairs>
  <TitlesOfParts>
    <vt:vector size="113" baseType="lpstr">
      <vt:lpstr>materias</vt:lpstr>
      <vt:lpstr>electivas</vt:lpstr>
      <vt:lpstr>profesores</vt:lpstr>
      <vt:lpstr>grupos</vt:lpstr>
      <vt:lpstr>turnos</vt:lpstr>
      <vt:lpstr>resultados</vt:lpstr>
      <vt:lpstr>salones</vt:lpstr>
      <vt:lpstr>borrador</vt:lpstr>
      <vt:lpstr>aca</vt:lpstr>
      <vt:lpstr>ad</vt:lpstr>
      <vt:lpstr>adr</vt:lpstr>
      <vt:lpstr>am</vt:lpstr>
      <vt:lpstr>ame</vt:lpstr>
      <vt:lpstr>an</vt:lpstr>
      <vt:lpstr>ap</vt:lpstr>
      <vt:lpstr>apa</vt:lpstr>
      <vt:lpstr>apr</vt:lpstr>
      <vt:lpstr>as</vt:lpstr>
      <vt:lpstr>cp</vt:lpstr>
      <vt:lpstr>cr</vt:lpstr>
      <vt:lpstr>db</vt:lpstr>
      <vt:lpstr>dc</vt:lpstr>
      <vt:lpstr>dd</vt:lpstr>
      <vt:lpstr>dj</vt:lpstr>
      <vt:lpstr>dl</vt:lpstr>
      <vt:lpstr>dm</vt:lpstr>
      <vt:lpstr>ds</vt:lpstr>
      <vt:lpstr>ep</vt:lpstr>
      <vt:lpstr>epe</vt:lpstr>
      <vt:lpstr>es</vt:lpstr>
      <vt:lpstr>fb</vt:lpstr>
      <vt:lpstr>gaa</vt:lpstr>
      <vt:lpstr>gb</vt:lpstr>
      <vt:lpstr>gba</vt:lpstr>
      <vt:lpstr>gc</vt:lpstr>
      <vt:lpstr>gd</vt:lpstr>
      <vt:lpstr>gdo</vt:lpstr>
      <vt:lpstr>gp</vt:lpstr>
      <vt:lpstr>gq</vt:lpstr>
      <vt:lpstr>gs</vt:lpstr>
      <vt:lpstr>guc</vt:lpstr>
      <vt:lpstr>hf</vt:lpstr>
      <vt:lpstr>hr</vt:lpstr>
      <vt:lpstr>jcc</vt:lpstr>
      <vt:lpstr>jd</vt:lpstr>
      <vt:lpstr>jds</vt:lpstr>
      <vt:lpstr>jf</vt:lpstr>
      <vt:lpstr>jj</vt:lpstr>
      <vt:lpstr>jk</vt:lpstr>
      <vt:lpstr>jl</vt:lpstr>
      <vt:lpstr>jm</vt:lpstr>
      <vt:lpstr>jmi</vt:lpstr>
      <vt:lpstr>jpa</vt:lpstr>
      <vt:lpstr>jpe</vt:lpstr>
      <vt:lpstr>jpf</vt:lpstr>
      <vt:lpstr>jpi</vt:lpstr>
      <vt:lpstr>kb</vt:lpstr>
      <vt:lpstr>lc</vt:lpstr>
      <vt:lpstr>lg</vt:lpstr>
      <vt:lpstr>mb</vt:lpstr>
      <vt:lpstr>mbo</vt:lpstr>
      <vt:lpstr>mc</vt:lpstr>
      <vt:lpstr>md</vt:lpstr>
      <vt:lpstr>mf</vt:lpstr>
      <vt:lpstr>mjc</vt:lpstr>
      <vt:lpstr>mp</vt:lpstr>
      <vt:lpstr>mpi</vt:lpstr>
      <vt:lpstr>mpr</vt:lpstr>
      <vt:lpstr>mr</vt:lpstr>
      <vt:lpstr>mre</vt:lpstr>
      <vt:lpstr>mz</vt:lpstr>
      <vt:lpstr>nd</vt:lpstr>
      <vt:lpstr>nn</vt:lpstr>
      <vt:lpstr>ns</vt:lpstr>
      <vt:lpstr>ok</vt:lpstr>
      <vt:lpstr>pn</vt:lpstr>
      <vt:lpstr>po</vt:lpstr>
      <vt:lpstr>ps</vt:lpstr>
      <vt:lpstr>pu</vt:lpstr>
      <vt:lpstr>rc</vt:lpstr>
      <vt:lpstr>rda</vt:lpstr>
      <vt:lpstr>rr</vt:lpstr>
      <vt:lpstr>rs</vt:lpstr>
      <vt:lpstr>sb</vt:lpstr>
      <vt:lpstr>sgp</vt:lpstr>
      <vt:lpstr>sp</vt:lpstr>
      <vt:lpstr>svi</vt:lpstr>
      <vt:lpstr>svv</vt:lpstr>
      <vt:lpstr>th</vt:lpstr>
      <vt:lpstr>vt</vt:lpstr>
      <vt:lpstr>icc1</vt:lpstr>
      <vt:lpstr>icc2</vt:lpstr>
      <vt:lpstr>icc3</vt:lpstr>
      <vt:lpstr>xm</vt:lpstr>
      <vt:lpstr>p1a</vt:lpstr>
      <vt:lpstr>p1b</vt:lpstr>
      <vt:lpstr>p1c</vt:lpstr>
      <vt:lpstr>jg</vt:lpstr>
      <vt:lpstr>ms</vt:lpstr>
      <vt:lpstr>fr</vt:lpstr>
      <vt:lpstr>adc</vt:lpstr>
      <vt:lpstr>mk</vt:lpstr>
      <vt:lpstr>ar</vt:lpstr>
      <vt:lpstr>df</vt:lpstr>
      <vt:lpstr>ht</vt:lpstr>
      <vt:lpstr>gg</vt:lpstr>
      <vt:lpstr>cm</vt:lpstr>
      <vt:lpstr>ma</vt:lpstr>
      <vt:lpstr>mg</vt:lpstr>
      <vt:lpstr>anp</vt:lpstr>
      <vt:lpstr>er</vt:lpstr>
      <vt:lpstr>pp</vt:lpstr>
      <vt:lpstr>gca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 Zunino</dc:creator>
  <cp:keywords/>
  <dc:description/>
  <cp:lastModifiedBy>ZUNINO CORREA Marco Nicolás</cp:lastModifiedBy>
  <cp:revision/>
  <dcterms:created xsi:type="dcterms:W3CDTF">2015-06-05T18:17:20Z</dcterms:created>
  <dcterms:modified xsi:type="dcterms:W3CDTF">2024-12-26T21:45:29Z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0x01010003F1176E4E257242B50FEC898E6F820D</vt:lpwstr>
  </property>
</Properties>
</file>