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montevideo-my.sharepoint.com/personal/mzunino_correo_um_edu_uy/Documents/Documentos/MARCO/um/Nueva carpeta/quantum/TimetableScheduling/2025_1erSemestre/"/>
    </mc:Choice>
  </mc:AlternateContent>
  <xr:revisionPtr revIDLastSave="23604" documentId="13_ncr:1_{9B24B71E-FFD0-4440-8E71-4E6657E2ADB7}" xr6:coauthVersionLast="47" xr6:coauthVersionMax="47" xr10:uidLastSave="{A05A09B2-9D09-4978-8B5F-E943F88EB0A0}"/>
  <bookViews>
    <workbookView xWindow="-108" yWindow="-108" windowWidth="23256" windowHeight="12456" activeTab="1" xr2:uid="{00000000-000D-0000-FFFF-FFFF00000000}"/>
  </bookViews>
  <sheets>
    <sheet name="materias" sheetId="84" r:id="rId1"/>
    <sheet name="profesores" sheetId="1" r:id="rId2"/>
    <sheet name="grupos" sheetId="119" r:id="rId3"/>
    <sheet name="turnos" sheetId="120" r:id="rId4"/>
    <sheet name="resultados" sheetId="229" r:id="rId5"/>
    <sheet name="salones" sheetId="230" r:id="rId6"/>
    <sheet name="aca" sheetId="246" r:id="rId7"/>
    <sheet name="ad" sheetId="247" r:id="rId8"/>
    <sheet name="adr" sheetId="248" r:id="rId9"/>
    <sheet name="am" sheetId="249" r:id="rId10"/>
    <sheet name="ame" sheetId="250" r:id="rId11"/>
    <sheet name="an" sheetId="251" r:id="rId12"/>
    <sheet name="ap" sheetId="252" r:id="rId13"/>
    <sheet name="apa" sheetId="253" r:id="rId14"/>
    <sheet name="apr" sheetId="254" r:id="rId15"/>
    <sheet name="as" sheetId="255" r:id="rId16"/>
    <sheet name="cp" sheetId="257" r:id="rId17"/>
    <sheet name="cr" sheetId="258" r:id="rId18"/>
    <sheet name="db" sheetId="259" r:id="rId19"/>
    <sheet name="dc" sheetId="260" r:id="rId20"/>
    <sheet name="dd" sheetId="261" r:id="rId21"/>
    <sheet name="dj" sheetId="262" r:id="rId22"/>
    <sheet name="dl" sheetId="263" r:id="rId23"/>
    <sheet name="dm" sheetId="264" r:id="rId24"/>
    <sheet name="ds" sheetId="265" r:id="rId25"/>
    <sheet name="epe" sheetId="267" r:id="rId26"/>
    <sheet name="es" sheetId="268" r:id="rId27"/>
    <sheet name="fb" sheetId="269" r:id="rId28"/>
    <sheet name="gaa" sheetId="270" r:id="rId29"/>
    <sheet name="gb" sheetId="271" r:id="rId30"/>
    <sheet name="gba" sheetId="272" r:id="rId31"/>
    <sheet name="gc" sheetId="273" r:id="rId32"/>
    <sheet name="gd" sheetId="274" r:id="rId33"/>
    <sheet name="gdo" sheetId="275" r:id="rId34"/>
    <sheet name="gp" sheetId="276" r:id="rId35"/>
    <sheet name="gq" sheetId="277" r:id="rId36"/>
    <sheet name="gs" sheetId="330" r:id="rId37"/>
    <sheet name="guc" sheetId="278" r:id="rId38"/>
    <sheet name="hf" sheetId="279" r:id="rId39"/>
    <sheet name="hr" sheetId="280" r:id="rId40"/>
    <sheet name="jam" sheetId="281" r:id="rId41"/>
    <sheet name="jcc" sheetId="282" r:id="rId42"/>
    <sheet name="jd" sheetId="283" r:id="rId43"/>
    <sheet name="jds" sheetId="284" r:id="rId44"/>
    <sheet name="jf" sheetId="285" r:id="rId45"/>
    <sheet name="jj" sheetId="286" r:id="rId46"/>
    <sheet name="jk" sheetId="287" r:id="rId47"/>
    <sheet name="jl" sheetId="288" r:id="rId48"/>
    <sheet name="jm" sheetId="289" r:id="rId49"/>
    <sheet name="jmi" sheetId="290" r:id="rId50"/>
    <sheet name="jpa" sheetId="291" r:id="rId51"/>
    <sheet name="jpe" sheetId="292" r:id="rId52"/>
    <sheet name="jpf" sheetId="293" r:id="rId53"/>
    <sheet name="jpi" sheetId="294" r:id="rId54"/>
    <sheet name="kb" sheetId="295" r:id="rId55"/>
    <sheet name="lc" sheetId="296" r:id="rId56"/>
    <sheet name="lg" sheetId="298" r:id="rId57"/>
    <sheet name="mb" sheetId="299" r:id="rId58"/>
    <sheet name="mbo" sheetId="300" r:id="rId59"/>
    <sheet name="mc" sheetId="301" r:id="rId60"/>
    <sheet name="md" sheetId="302" r:id="rId61"/>
    <sheet name="mf" sheetId="333" r:id="rId62"/>
    <sheet name="mjc" sheetId="304" r:id="rId63"/>
    <sheet name="mp" sheetId="305" r:id="rId64"/>
    <sheet name="mpi" sheetId="306" r:id="rId65"/>
    <sheet name="mpr" sheetId="307" r:id="rId66"/>
    <sheet name="mr" sheetId="308" r:id="rId67"/>
    <sheet name="mre" sheetId="309" r:id="rId68"/>
    <sheet name="mz" sheetId="310" r:id="rId69"/>
    <sheet name="nd" sheetId="311" r:id="rId70"/>
    <sheet name="nn" sheetId="312" r:id="rId71"/>
    <sheet name="ns" sheetId="313" r:id="rId72"/>
    <sheet name="ok" sheetId="314" r:id="rId73"/>
    <sheet name="pn" sheetId="315" r:id="rId74"/>
    <sheet name="po" sheetId="316" r:id="rId75"/>
    <sheet name="ps" sheetId="317" r:id="rId76"/>
    <sheet name="pu" sheetId="318" r:id="rId77"/>
    <sheet name="rc" sheetId="319" r:id="rId78"/>
    <sheet name="rl" sheetId="320" r:id="rId79"/>
    <sheet name="rr" sheetId="321" r:id="rId80"/>
    <sheet name="rs" sheetId="322" r:id="rId81"/>
    <sheet name="sb" sheetId="323" r:id="rId82"/>
    <sheet name="sgp" sheetId="324" r:id="rId83"/>
    <sheet name="sp" sheetId="325" r:id="rId84"/>
    <sheet name="svi" sheetId="326" r:id="rId85"/>
    <sheet name="svv" sheetId="327" r:id="rId86"/>
    <sheet name="th" sheetId="328" r:id="rId87"/>
    <sheet name="vt" sheetId="329" r:id="rId88"/>
    <sheet name="icc1" sheetId="331" r:id="rId89"/>
    <sheet name="icc2" sheetId="332" r:id="rId90"/>
    <sheet name="xm" sheetId="334" r:id="rId91"/>
    <sheet name="icc3" sheetId="335" r:id="rId92"/>
    <sheet name="p1a" sheetId="336" r:id="rId93"/>
    <sheet name="p1b" sheetId="337" r:id="rId94"/>
    <sheet name="jg" sheetId="338" r:id="rId95"/>
    <sheet name="ms" sheetId="339" r:id="rId96"/>
    <sheet name="fr" sheetId="340" r:id="rId97"/>
    <sheet name="adc" sheetId="341" r:id="rId98"/>
    <sheet name="hc" sheetId="342" r:id="rId99"/>
    <sheet name="mk" sheetId="343" r:id="rId100"/>
    <sheet name="ar" sheetId="344" r:id="rId101"/>
    <sheet name="ep" sheetId="345" r:id="rId102"/>
    <sheet name="df" sheetId="346" r:id="rId103"/>
  </sheets>
  <definedNames>
    <definedName name="_xlnm.Print_Area" localSheetId="1">profesores!#REF!</definedName>
    <definedName name="_xlnm.Print_Area" localSheetId="4">resultados!#REF!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9" i="1" l="1"/>
  <c r="Q99" i="1"/>
  <c r="O98" i="1"/>
  <c r="Q98" i="1"/>
  <c r="O97" i="1"/>
  <c r="Q97" i="1"/>
  <c r="O92" i="1"/>
  <c r="Q92" i="1"/>
  <c r="O93" i="1"/>
  <c r="Q93" i="1"/>
  <c r="O94" i="1"/>
  <c r="Q94" i="1"/>
  <c r="O95" i="1"/>
  <c r="Q95" i="1"/>
  <c r="O96" i="1"/>
  <c r="Q96" i="1"/>
  <c r="O91" i="1"/>
  <c r="Q91" i="1"/>
  <c r="O86" i="1" l="1"/>
  <c r="Q86" i="1"/>
  <c r="O87" i="1"/>
  <c r="Q87" i="1"/>
  <c r="O88" i="1"/>
  <c r="Q88" i="1"/>
  <c r="O89" i="1"/>
  <c r="Q89" i="1"/>
  <c r="O90" i="1"/>
  <c r="Q90" i="1"/>
  <c r="O85" i="1"/>
  <c r="Q85" i="1"/>
  <c r="O83" i="1"/>
  <c r="Q83" i="1"/>
  <c r="O84" i="1"/>
  <c r="Q84" i="1"/>
  <c r="A3" i="230" a="1"/>
  <c r="A3" i="230" s="1"/>
  <c r="O78" i="1" l="1"/>
  <c r="Q78" i="1"/>
  <c r="O79" i="1"/>
  <c r="Q79" i="1"/>
  <c r="O80" i="1"/>
  <c r="Q80" i="1"/>
  <c r="O81" i="1"/>
  <c r="Q81" i="1"/>
  <c r="O82" i="1"/>
  <c r="Q82" i="1"/>
  <c r="O100" i="1"/>
  <c r="Q100" i="1"/>
  <c r="O77" i="1"/>
  <c r="Q77" i="1"/>
  <c r="O73" i="1"/>
  <c r="Q73" i="1"/>
  <c r="O74" i="1"/>
  <c r="Q74" i="1"/>
  <c r="O75" i="1"/>
  <c r="Q75" i="1"/>
  <c r="O76" i="1"/>
  <c r="Q76" i="1"/>
  <c r="T30" i="84"/>
  <c r="X81" i="84"/>
  <c r="T81" i="84"/>
  <c r="X69" i="84"/>
  <c r="T69" i="84"/>
  <c r="O68" i="1"/>
  <c r="Q68" i="1"/>
  <c r="O69" i="1"/>
  <c r="Q69" i="1"/>
  <c r="O70" i="1"/>
  <c r="Q70" i="1"/>
  <c r="O71" i="1"/>
  <c r="Q71" i="1"/>
  <c r="O72" i="1"/>
  <c r="Q72" i="1"/>
  <c r="Q67" i="1"/>
  <c r="O67" i="1"/>
  <c r="Q66" i="1"/>
  <c r="O66" i="1"/>
  <c r="O64" i="1"/>
  <c r="O65" i="1"/>
  <c r="Q65" i="1"/>
  <c r="O62" i="1"/>
  <c r="Q62" i="1"/>
  <c r="O63" i="1"/>
  <c r="Q63" i="1"/>
  <c r="Q64" i="1"/>
  <c r="A25" i="119"/>
  <c r="O60" i="1"/>
  <c r="Q60" i="1"/>
  <c r="O61" i="1"/>
  <c r="Q61" i="1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O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C3" i="120"/>
  <c r="C4" i="120"/>
  <c r="C5" i="120"/>
  <c r="C6" i="120"/>
  <c r="C7" i="120"/>
  <c r="C8" i="120"/>
  <c r="C9" i="120"/>
  <c r="C10" i="120"/>
  <c r="C11" i="120"/>
  <c r="C12" i="120"/>
  <c r="C13" i="120"/>
  <c r="C14" i="120"/>
  <c r="C15" i="120"/>
  <c r="C16" i="120"/>
  <c r="C2" i="120"/>
  <c r="A8" i="119"/>
  <c r="A7" i="119"/>
  <c r="A26" i="119"/>
  <c r="A14" i="119"/>
  <c r="A15" i="119"/>
  <c r="A16" i="119"/>
  <c r="A17" i="119"/>
  <c r="A18" i="119"/>
  <c r="A19" i="119"/>
  <c r="A20" i="119"/>
  <c r="A21" i="119"/>
  <c r="A22" i="119"/>
  <c r="A23" i="119"/>
  <c r="A24" i="119"/>
  <c r="A27" i="119"/>
  <c r="A28" i="119"/>
  <c r="A29" i="119"/>
  <c r="A30" i="119"/>
  <c r="A31" i="119"/>
  <c r="A6" i="119"/>
  <c r="A9" i="119"/>
  <c r="Y6" i="84"/>
  <c r="Y7" i="84"/>
  <c r="Y8" i="84"/>
  <c r="Y9" i="84"/>
  <c r="Y10" i="84"/>
  <c r="Y11" i="84"/>
  <c r="Y12" i="84"/>
  <c r="Y5" i="84"/>
  <c r="U5" i="84"/>
  <c r="U6" i="84"/>
  <c r="U7" i="84"/>
  <c r="U8" i="84"/>
  <c r="U4" i="84"/>
  <c r="A2" i="119"/>
  <c r="A3" i="119"/>
  <c r="A4" i="119"/>
  <c r="A5" i="119"/>
  <c r="A10" i="119"/>
  <c r="A11" i="119"/>
  <c r="A12" i="119"/>
  <c r="A13" i="119"/>
  <c r="O109" i="1" l="1"/>
  <c r="O107" i="1"/>
  <c r="O103" i="1"/>
  <c r="O106" i="1"/>
  <c r="O105" i="1"/>
  <c r="O104" i="1"/>
  <c r="O108" i="1"/>
  <c r="U10" i="84" a="1"/>
  <c r="U10" i="84" s="1"/>
  <c r="O111" i="1" l="1" a="1"/>
  <c r="O11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tc={13F5765E-AC99-439D-A33A-BE677BBD61DF}</author>
    <author>tc={D2237BC2-D9CD-4F0D-9058-9A1252FB3FE9}</author>
    <author>tc={E272911C-B8FE-405B-96B5-3A6F4184EE22}</author>
    <author>tc={4B61C5F6-EDAC-4526-92C9-219FB8C0EC39}</author>
    <author>tc={4C163CC1-E3EC-482F-B92B-53B8FA7D17E9}</author>
    <author>tc={9C8A45CC-305C-4B73-ADD0-1D5F4446221C}</author>
    <author>tc={3903D1ED-8C07-4604-A79B-8FAED12C8445}</author>
  </authors>
  <commentList>
    <comment ref="L78" authorId="0" shapeId="0" xr:uid="{13F5765E-AC99-439D-A33A-BE677BBD61D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2DAT?</t>
      </text>
    </comment>
    <comment ref="A99" authorId="1" shapeId="0" xr:uid="{D2237BC2-D9CD-4F0D-9058-9A1252FB3FE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Arquitectura y diseño de aplicaciones?</t>
      </text>
    </comment>
    <comment ref="A100" authorId="2" shapeId="0" xr:uid="{E272911C-B8FE-405B-96B5-3A6F4184EE2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Arquitectura y diseño de aplicaciones?</t>
      </text>
    </comment>
    <comment ref="B128" authorId="3" shapeId="0" xr:uid="{4B61C5F6-EDAC-4526-92C9-219FB8C0EC3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Poca disponibilidad</t>
      </text>
    </comment>
    <comment ref="G130" authorId="4" shapeId="0" xr:uid="{4C163CC1-E3EC-482F-B92B-53B8FA7D17E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Disponibilidad exacta (3h lunes)</t>
      </text>
    </comment>
    <comment ref="B135" authorId="5" shapeId="0" xr:uid="{9C8A45CC-305C-4B73-ADD0-1D5F4446221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Poca disponibilidad, horas muy ajustadas</t>
      </text>
    </comment>
    <comment ref="A137" authorId="6" shapeId="0" xr:uid="{3903D1ED-8C07-4604-A79B-8FAED12C844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4to y 5to?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tc={37F74527-A49E-450F-8C68-E7AA54892234}</author>
  </authors>
  <commentList>
    <comment ref="B21" authorId="0" shapeId="0" xr:uid="{37F74527-A49E-450F-8C68-E7AA54892234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Yo en principio me estaré encargando de un curso de IO (3° todas las orientaciones) y del curso de Mejora de procesos (4° industrial). Quisiera que ambos cursos sean el mismo día 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<sst xmlns="http://schemas.openxmlformats.org/spreadsheetml/2006/main" count="8514" uniqueCount="551">
  <si>
    <t>Profesor</t>
  </si>
  <si>
    <t>Carga Horaria</t>
  </si>
  <si>
    <t>ap</t>
  </si>
  <si>
    <t>Año</t>
  </si>
  <si>
    <t>Materia</t>
  </si>
  <si>
    <t>Días por semana</t>
  </si>
  <si>
    <t>AL</t>
  </si>
  <si>
    <t>ALp</t>
  </si>
  <si>
    <t>AM1</t>
  </si>
  <si>
    <t>AM1p</t>
  </si>
  <si>
    <t>Turno</t>
  </si>
  <si>
    <t>m</t>
  </si>
  <si>
    <t>jf</t>
  </si>
  <si>
    <t>gc</t>
  </si>
  <si>
    <t>as</t>
  </si>
  <si>
    <t>ds</t>
  </si>
  <si>
    <t>lg</t>
  </si>
  <si>
    <t>mp</t>
  </si>
  <si>
    <t>am</t>
  </si>
  <si>
    <t>jd</t>
  </si>
  <si>
    <t>ALN</t>
  </si>
  <si>
    <t>ALNp</t>
  </si>
  <si>
    <t>AM2</t>
  </si>
  <si>
    <t>AM2p</t>
  </si>
  <si>
    <t>Fisica</t>
  </si>
  <si>
    <t>jk</t>
  </si>
  <si>
    <t>jpf</t>
  </si>
  <si>
    <t>Grupo</t>
  </si>
  <si>
    <t>Carrera</t>
  </si>
  <si>
    <t>Particion</t>
  </si>
  <si>
    <t>Recurse</t>
  </si>
  <si>
    <t>CIV</t>
  </si>
  <si>
    <t>IND</t>
  </si>
  <si>
    <t>TEL</t>
  </si>
  <si>
    <t>INF</t>
  </si>
  <si>
    <t>Profesor 1</t>
  </si>
  <si>
    <t>Profesor 2</t>
  </si>
  <si>
    <t>Profesor 3</t>
  </si>
  <si>
    <t>Profesor 4</t>
  </si>
  <si>
    <t>Grupo 1</t>
  </si>
  <si>
    <t>Grupo 2</t>
  </si>
  <si>
    <t>Grupo 3</t>
  </si>
  <si>
    <t>gb</t>
  </si>
  <si>
    <t>dl</t>
  </si>
  <si>
    <t>sgp</t>
  </si>
  <si>
    <t>svv</t>
  </si>
  <si>
    <t>rl</t>
  </si>
  <si>
    <t>Materia 1</t>
  </si>
  <si>
    <t>Grupos materia 1</t>
  </si>
  <si>
    <t>Materia 2</t>
  </si>
  <si>
    <t>Grupos materia 2</t>
  </si>
  <si>
    <t>Materia 3</t>
  </si>
  <si>
    <t>Grupos materia 3</t>
  </si>
  <si>
    <t>Materia 4</t>
  </si>
  <si>
    <t>Grupos materia 4</t>
  </si>
  <si>
    <t>Cantidad profesores</t>
  </si>
  <si>
    <t>08:00 - 08:50</t>
  </si>
  <si>
    <t>08:50 - 09:40</t>
  </si>
  <si>
    <t>09:50 - 10:40</t>
  </si>
  <si>
    <t>10:40 - 11:30</t>
  </si>
  <si>
    <t>11:40 - 12:30</t>
  </si>
  <si>
    <t>12:30 - 13:20</t>
  </si>
  <si>
    <t>ps</t>
  </si>
  <si>
    <t>nn</t>
  </si>
  <si>
    <t>mjc</t>
  </si>
  <si>
    <t>dc</t>
  </si>
  <si>
    <t>jpe</t>
  </si>
  <si>
    <t>jds</t>
  </si>
  <si>
    <t>mpi</t>
  </si>
  <si>
    <t>sp</t>
  </si>
  <si>
    <t>jpa</t>
  </si>
  <si>
    <t>mpr</t>
  </si>
  <si>
    <t>dj</t>
  </si>
  <si>
    <t>mr</t>
  </si>
  <si>
    <t>guc</t>
  </si>
  <si>
    <t>Prob</t>
  </si>
  <si>
    <t>ProbP</t>
  </si>
  <si>
    <t>ADA</t>
  </si>
  <si>
    <t>TIC1</t>
  </si>
  <si>
    <t>RD1</t>
  </si>
  <si>
    <t>sb</t>
  </si>
  <si>
    <t>TCirc</t>
  </si>
  <si>
    <t>TComp</t>
  </si>
  <si>
    <t>Mec2</t>
  </si>
  <si>
    <t>RM</t>
  </si>
  <si>
    <t>RobInd</t>
  </si>
  <si>
    <t>MecF</t>
  </si>
  <si>
    <t>PC1</t>
  </si>
  <si>
    <t>MPD</t>
  </si>
  <si>
    <t>OE</t>
  </si>
  <si>
    <t>SD</t>
  </si>
  <si>
    <t>AD</t>
  </si>
  <si>
    <t>CreInv</t>
  </si>
  <si>
    <t>CyC</t>
  </si>
  <si>
    <t>ProgAv</t>
  </si>
  <si>
    <t>IngSW2</t>
  </si>
  <si>
    <t>Hidro</t>
  </si>
  <si>
    <t>MecS1</t>
  </si>
  <si>
    <t>Horm1</t>
  </si>
  <si>
    <t>RM3</t>
  </si>
  <si>
    <t>GdO</t>
  </si>
  <si>
    <t>MaqEl</t>
  </si>
  <si>
    <t>DBD1</t>
  </si>
  <si>
    <t>Jose Diaz</t>
  </si>
  <si>
    <t>Gabriel Coates</t>
  </si>
  <si>
    <t>Andrea Mesa</t>
  </si>
  <si>
    <t>Mariana Pereira</t>
  </si>
  <si>
    <t>Laura Gatti</t>
  </si>
  <si>
    <t>Sara Vilar del Valle</t>
  </si>
  <si>
    <t>Alfredo Piria</t>
  </si>
  <si>
    <t>Jazmin Finot</t>
  </si>
  <si>
    <t>Juan Pablo Fossati</t>
  </si>
  <si>
    <t>Gerardo Beltrame</t>
  </si>
  <si>
    <t>Guillermo Stock</t>
  </si>
  <si>
    <t>Diego Lopez</t>
  </si>
  <si>
    <t>Sebastian Garcia Parra</t>
  </si>
  <si>
    <t>Analia Conde</t>
  </si>
  <si>
    <t>Pedro Sakorko</t>
  </si>
  <si>
    <t>Juan Kalemkerian</t>
  </si>
  <si>
    <t>Debora Stalker</t>
  </si>
  <si>
    <t>Rodrigo Lopez</t>
  </si>
  <si>
    <t>Nicolas Navarro</t>
  </si>
  <si>
    <t>Gustavo Compagnone</t>
  </si>
  <si>
    <t>Maria Jesus Cresci</t>
  </si>
  <si>
    <t>Santiago Blanco</t>
  </si>
  <si>
    <t>Marcelo Abreu</t>
  </si>
  <si>
    <t>Daniel Canoniero</t>
  </si>
  <si>
    <t>Jose Clavijo</t>
  </si>
  <si>
    <t>Carlos Bastero</t>
  </si>
  <si>
    <t>Adrian Santilli</t>
  </si>
  <si>
    <t>Martin Sartori</t>
  </si>
  <si>
    <t>Ignacio Formoso</t>
  </si>
  <si>
    <t>Nelson de Marco</t>
  </si>
  <si>
    <t>Juan Pechiar</t>
  </si>
  <si>
    <t>Josefina Gallinal</t>
  </si>
  <si>
    <t>Juan Pellegrini</t>
  </si>
  <si>
    <t>Emilia Martinez</t>
  </si>
  <si>
    <t>Felipe Cordobes</t>
  </si>
  <si>
    <t>Guillermo Rucks</t>
  </si>
  <si>
    <t>Ignacio Grundel</t>
  </si>
  <si>
    <t>Diego Varangot</t>
  </si>
  <si>
    <t>Javier Barreiro</t>
  </si>
  <si>
    <t>Joaquin da Silva</t>
  </si>
  <si>
    <t>Marcelo Pittamiglio</t>
  </si>
  <si>
    <t>Santiago Pereira</t>
  </si>
  <si>
    <t>Julio Patrone</t>
  </si>
  <si>
    <t>Mateo Prefumo</t>
  </si>
  <si>
    <t>Eduardo Lurner</t>
  </si>
  <si>
    <t>Eduardo Pedoja</t>
  </si>
  <si>
    <t>Daniel Jurburg</t>
  </si>
  <si>
    <t>Raul Bianchi</t>
  </si>
  <si>
    <t>Mauricio Riera</t>
  </si>
  <si>
    <t>Bruno Taroco</t>
  </si>
  <si>
    <t>IFluM</t>
  </si>
  <si>
    <t>8:00-8:50</t>
  </si>
  <si>
    <t>---</t>
  </si>
  <si>
    <t>8:50-9:40</t>
  </si>
  <si>
    <t>9:50-10:40</t>
  </si>
  <si>
    <t>10:40-11:30</t>
  </si>
  <si>
    <t>11:40-12:30</t>
  </si>
  <si>
    <t>12:30-13:20</t>
  </si>
  <si>
    <t>Observaciones</t>
  </si>
  <si>
    <t>Observacion 1</t>
  </si>
  <si>
    <t>Observacion 2</t>
  </si>
  <si>
    <t>lun</t>
  </si>
  <si>
    <t>mar</t>
  </si>
  <si>
    <t>mie</t>
  </si>
  <si>
    <t>jue</t>
  </si>
  <si>
    <t>vie</t>
  </si>
  <si>
    <t>14:00-14:50</t>
  </si>
  <si>
    <t>14:50-15:40</t>
  </si>
  <si>
    <t>15:50-16:40</t>
  </si>
  <si>
    <t>16:40-17:30</t>
  </si>
  <si>
    <t>dummy</t>
  </si>
  <si>
    <t>Auxiliar</t>
  </si>
  <si>
    <t>ProgAvP</t>
  </si>
  <si>
    <t>PC/O1</t>
  </si>
  <si>
    <t>Maximo Gurmendez</t>
  </si>
  <si>
    <t>Juan Cruz Carrau</t>
  </si>
  <si>
    <t>jcc</t>
  </si>
  <si>
    <t>Mateo Borrazas</t>
  </si>
  <si>
    <t>mb</t>
  </si>
  <si>
    <t>Lucia Etchecopar</t>
  </si>
  <si>
    <t xml:space="preserve"> Profesor:  jd</t>
  </si>
  <si>
    <t xml:space="preserve"> Profesor:  gc</t>
  </si>
  <si>
    <t xml:space="preserve"> Profesor:  am</t>
  </si>
  <si>
    <t xml:space="preserve"> Profesor:  lg</t>
  </si>
  <si>
    <t xml:space="preserve"> Profesor:  svv</t>
  </si>
  <si>
    <t xml:space="preserve"> Profesor:  ap</t>
  </si>
  <si>
    <t xml:space="preserve"> Profesor:  jf</t>
  </si>
  <si>
    <t xml:space="preserve"> Profesor:  jpf</t>
  </si>
  <si>
    <t xml:space="preserve"> Profesor:  gb</t>
  </si>
  <si>
    <t xml:space="preserve"> Profesor:  gs</t>
  </si>
  <si>
    <t xml:space="preserve"> Profesor:  dl</t>
  </si>
  <si>
    <t xml:space="preserve"> Profesor:  sgp</t>
  </si>
  <si>
    <t xml:space="preserve"> Profesor:  ac</t>
  </si>
  <si>
    <t xml:space="preserve"> Profesor:  ps</t>
  </si>
  <si>
    <t xml:space="preserve"> Profesor:  jk</t>
  </si>
  <si>
    <t xml:space="preserve"> Profesor:  ds</t>
  </si>
  <si>
    <t xml:space="preserve"> Profesor:  rl</t>
  </si>
  <si>
    <t xml:space="preserve"> Profesor:  nn</t>
  </si>
  <si>
    <t xml:space="preserve"> Profesor:  guc</t>
  </si>
  <si>
    <t xml:space="preserve"> Profesor:  mjc</t>
  </si>
  <si>
    <t xml:space="preserve"> Profesor:  sb</t>
  </si>
  <si>
    <t xml:space="preserve"> Profesor:  ma</t>
  </si>
  <si>
    <t xml:space="preserve"> Profesor:  dc</t>
  </si>
  <si>
    <t xml:space="preserve"> Profesor:  jc</t>
  </si>
  <si>
    <t xml:space="preserve"> Profesor:  cb</t>
  </si>
  <si>
    <t xml:space="preserve"> Profesor:  as</t>
  </si>
  <si>
    <t xml:space="preserve"> Profesor:  ms</t>
  </si>
  <si>
    <t xml:space="preserve"> Profesor:  if</t>
  </si>
  <si>
    <t xml:space="preserve"> Profesor:  bt</t>
  </si>
  <si>
    <t xml:space="preserve"> Profesor:  nm</t>
  </si>
  <si>
    <t xml:space="preserve"> Profesor:  mg</t>
  </si>
  <si>
    <t xml:space="preserve"> Profesor:  mb</t>
  </si>
  <si>
    <t xml:space="preserve"> Profesor:  jcc</t>
  </si>
  <si>
    <t xml:space="preserve"> Profesor:  le</t>
  </si>
  <si>
    <t xml:space="preserve"> Profesor:  jp</t>
  </si>
  <si>
    <t xml:space="preserve"> Profesor:  jg</t>
  </si>
  <si>
    <t xml:space="preserve"> Profesor:  jpe</t>
  </si>
  <si>
    <t xml:space="preserve"> Profesor:  em</t>
  </si>
  <si>
    <t xml:space="preserve"> Profesor:  fc</t>
  </si>
  <si>
    <t xml:space="preserve"> Profesor:  gr</t>
  </si>
  <si>
    <t xml:space="preserve"> Profesor:  ig</t>
  </si>
  <si>
    <t xml:space="preserve"> Profesor:  dv</t>
  </si>
  <si>
    <t xml:space="preserve"> Profesor:  jb</t>
  </si>
  <si>
    <t xml:space="preserve"> Profesor:  jds</t>
  </si>
  <si>
    <t xml:space="preserve"> Profesor:  mpi</t>
  </si>
  <si>
    <t xml:space="preserve"> Profesor:  sp</t>
  </si>
  <si>
    <t xml:space="preserve"> Profesor:  jpa</t>
  </si>
  <si>
    <t xml:space="preserve"> Profesor:  mpr</t>
  </si>
  <si>
    <t xml:space="preserve"> Profesor:  el</t>
  </si>
  <si>
    <t xml:space="preserve"> Profesor:  ep</t>
  </si>
  <si>
    <t xml:space="preserve"> Profesor:  dj</t>
  </si>
  <si>
    <t xml:space="preserve"> Profesor:  rb</t>
  </si>
  <si>
    <t xml:space="preserve"> Profesor:  mr</t>
  </si>
  <si>
    <t>Minimizar dias</t>
  </si>
  <si>
    <t>Sergio Veintemilla</t>
  </si>
  <si>
    <t>X</t>
  </si>
  <si>
    <t xml:space="preserve"> Profesor:  sv</t>
  </si>
  <si>
    <t>cantidad de profesores</t>
  </si>
  <si>
    <t>cantidad de cursos</t>
  </si>
  <si>
    <t>carga horaria</t>
  </si>
  <si>
    <t>LIC</t>
  </si>
  <si>
    <t>MAT1</t>
  </si>
  <si>
    <t>IAL</t>
  </si>
  <si>
    <t>IALp</t>
  </si>
  <si>
    <t>Alumnos</t>
  </si>
  <si>
    <t>cp</t>
  </si>
  <si>
    <t>Carlos Presa</t>
  </si>
  <si>
    <t>Lara Cuadrado</t>
  </si>
  <si>
    <t>lc</t>
  </si>
  <si>
    <t>PComp</t>
  </si>
  <si>
    <t>pn</t>
  </si>
  <si>
    <t>Pablo Navas</t>
  </si>
  <si>
    <t>ILic</t>
  </si>
  <si>
    <t>Pablo Urquizó</t>
  </si>
  <si>
    <t>pu</t>
  </si>
  <si>
    <t>IMD</t>
  </si>
  <si>
    <t>1LIC</t>
  </si>
  <si>
    <t>Prog2</t>
  </si>
  <si>
    <t>2LIC</t>
  </si>
  <si>
    <t>HC</t>
  </si>
  <si>
    <t>Teo</t>
  </si>
  <si>
    <t>3LIC</t>
  </si>
  <si>
    <t>apa</t>
  </si>
  <si>
    <t>Grupo 4</t>
  </si>
  <si>
    <t>Grupo 5</t>
  </si>
  <si>
    <t>Nombre</t>
  </si>
  <si>
    <t>UIUX</t>
  </si>
  <si>
    <t>Javier López</t>
  </si>
  <si>
    <t>jl</t>
  </si>
  <si>
    <t>InfrInf</t>
  </si>
  <si>
    <t>ad</t>
  </si>
  <si>
    <t>Alejandro Draper</t>
  </si>
  <si>
    <t>ArqAp</t>
  </si>
  <si>
    <t>Sofía Vila</t>
  </si>
  <si>
    <t>EG</t>
  </si>
  <si>
    <t>Teo/Prac</t>
  </si>
  <si>
    <t>teo</t>
  </si>
  <si>
    <t>prac</t>
  </si>
  <si>
    <t>Electiva</t>
  </si>
  <si>
    <t>QC</t>
  </si>
  <si>
    <t>BPMN</t>
  </si>
  <si>
    <t>DBD3</t>
  </si>
  <si>
    <t>4LIC1</t>
  </si>
  <si>
    <t>4LIC2</t>
  </si>
  <si>
    <t>svi</t>
  </si>
  <si>
    <t>13:10 - 14:00</t>
  </si>
  <si>
    <t>t1</t>
  </si>
  <si>
    <t>15:50 - 16:40</t>
  </si>
  <si>
    <t>17:40 - 18:30</t>
  </si>
  <si>
    <t>14:00 - 14:50</t>
  </si>
  <si>
    <t>18:40 - 19:30</t>
  </si>
  <si>
    <t>16:40 - 17:30</t>
  </si>
  <si>
    <t>14:50 - 15:40</t>
  </si>
  <si>
    <t>19:50 - 20:40</t>
  </si>
  <si>
    <t>#</t>
  </si>
  <si>
    <t>13:20 - 14:10</t>
  </si>
  <si>
    <t>t2</t>
  </si>
  <si>
    <t>15:10 - 16:00</t>
  </si>
  <si>
    <t>16:10 - 17:00</t>
  </si>
  <si>
    <t>17:00 - 17:50</t>
  </si>
  <si>
    <t>18:00 - 18:50</t>
  </si>
  <si>
    <t>t3</t>
  </si>
  <si>
    <t>18:50 - 19:40</t>
  </si>
  <si>
    <t>20:40 - 21:30</t>
  </si>
  <si>
    <t>21:40 - 22:30</t>
  </si>
  <si>
    <t>1ro, 2do, 3ro</t>
  </si>
  <si>
    <t>4to, 5to</t>
  </si>
  <si>
    <t>tall, rec, g4</t>
  </si>
  <si>
    <t>lic</t>
  </si>
  <si>
    <t>14:10 - 15:00</t>
  </si>
  <si>
    <t>11</t>
  </si>
  <si>
    <t>12</t>
  </si>
  <si>
    <t>13</t>
  </si>
  <si>
    <t>14</t>
  </si>
  <si>
    <t>Prog1</t>
  </si>
  <si>
    <t>vt</t>
  </si>
  <si>
    <t>Victoria Tejera</t>
  </si>
  <si>
    <t>Karen Baz</t>
  </si>
  <si>
    <t>kb</t>
  </si>
  <si>
    <t>Inicio</t>
  </si>
  <si>
    <t>Fin</t>
  </si>
  <si>
    <t>Turno 1</t>
  </si>
  <si>
    <t>Turno 2</t>
  </si>
  <si>
    <t>Turno 3</t>
  </si>
  <si>
    <t>Turno 4</t>
  </si>
  <si>
    <t>AM3</t>
  </si>
  <si>
    <t>AM3p</t>
  </si>
  <si>
    <t>2CIV</t>
  </si>
  <si>
    <t>2IND</t>
  </si>
  <si>
    <t>2TEL</t>
  </si>
  <si>
    <t>2INF1</t>
  </si>
  <si>
    <t>2INF2</t>
  </si>
  <si>
    <t>Marco Zunino</t>
  </si>
  <si>
    <t>mz</t>
  </si>
  <si>
    <t>TermoD</t>
  </si>
  <si>
    <t>Mec1</t>
  </si>
  <si>
    <t>CadBim</t>
  </si>
  <si>
    <t>db</t>
  </si>
  <si>
    <t>Daniel Belandria</t>
  </si>
  <si>
    <t>PdO</t>
  </si>
  <si>
    <t>Elio Santilli</t>
  </si>
  <si>
    <t>es</t>
  </si>
  <si>
    <t>Eco</t>
  </si>
  <si>
    <t>Héber Francia</t>
  </si>
  <si>
    <t>hf</t>
  </si>
  <si>
    <t>IntInd</t>
  </si>
  <si>
    <t>Ricardo Cosentino</t>
  </si>
  <si>
    <t>rc</t>
  </si>
  <si>
    <t>MD</t>
  </si>
  <si>
    <t>MDp</t>
  </si>
  <si>
    <t>Log</t>
  </si>
  <si>
    <t>Pablo Ortiz</t>
  </si>
  <si>
    <t>po</t>
  </si>
  <si>
    <t>SDig</t>
  </si>
  <si>
    <t>ame</t>
  </si>
  <si>
    <t>Andrés Merello</t>
  </si>
  <si>
    <t>DBD2</t>
  </si>
  <si>
    <t>Germán Abu Arab</t>
  </si>
  <si>
    <t>gaa</t>
  </si>
  <si>
    <t>MIE</t>
  </si>
  <si>
    <t>Andrés Cardozo</t>
  </si>
  <si>
    <t>aca</t>
  </si>
  <si>
    <t>IO</t>
  </si>
  <si>
    <t>Claudio Ruibal</t>
  </si>
  <si>
    <t>cr</t>
  </si>
  <si>
    <t>3CIV</t>
  </si>
  <si>
    <t>3IND</t>
  </si>
  <si>
    <t>3TEL</t>
  </si>
  <si>
    <t>3INF1</t>
  </si>
  <si>
    <t>3INF2</t>
  </si>
  <si>
    <t>IdM</t>
  </si>
  <si>
    <t>Gustavo Domínguez</t>
  </si>
  <si>
    <t>gd</t>
  </si>
  <si>
    <t>RM2</t>
  </si>
  <si>
    <t>Hid</t>
  </si>
  <si>
    <t>PdO2</t>
  </si>
  <si>
    <t>EM</t>
  </si>
  <si>
    <t>Eduardo Peñalva</t>
  </si>
  <si>
    <t>epe</t>
  </si>
  <si>
    <t>ITerm</t>
  </si>
  <si>
    <t>SO</t>
  </si>
  <si>
    <t>Gerardo Quincke</t>
  </si>
  <si>
    <t>gq</t>
  </si>
  <si>
    <t>Hernán Rohner</t>
  </si>
  <si>
    <t>hr</t>
  </si>
  <si>
    <t>RD2</t>
  </si>
  <si>
    <t>IngSW1</t>
  </si>
  <si>
    <t>Gonzalo Balatti</t>
  </si>
  <si>
    <t>gba</t>
  </si>
  <si>
    <t>4CIV</t>
  </si>
  <si>
    <t>4IND</t>
  </si>
  <si>
    <t>4TEL</t>
  </si>
  <si>
    <t>4INF1</t>
  </si>
  <si>
    <t>4INF2</t>
  </si>
  <si>
    <t>MecS2</t>
  </si>
  <si>
    <t>EstAp</t>
  </si>
  <si>
    <t>SyMH</t>
  </si>
  <si>
    <t>Rafael Sotelo</t>
  </si>
  <si>
    <t>rs</t>
  </si>
  <si>
    <t>MaqT</t>
  </si>
  <si>
    <t>Marcelo Berglavaz</t>
  </si>
  <si>
    <t>mbo</t>
  </si>
  <si>
    <t>InstEl</t>
  </si>
  <si>
    <t>Rubens Ramponi</t>
  </si>
  <si>
    <t>rr</t>
  </si>
  <si>
    <t>apr</t>
  </si>
  <si>
    <t>TecFP</t>
  </si>
  <si>
    <t>Fabrizzio Bagnasco</t>
  </si>
  <si>
    <t>fb</t>
  </si>
  <si>
    <t>dm</t>
  </si>
  <si>
    <t>Diego Moratorio</t>
  </si>
  <si>
    <t>SegInf</t>
  </si>
  <si>
    <t>GAD</t>
  </si>
  <si>
    <t>TestQA</t>
  </si>
  <si>
    <t>TIC2</t>
  </si>
  <si>
    <t>Diego Durán</t>
  </si>
  <si>
    <t>dd</t>
  </si>
  <si>
    <t>Nicolás Sosa</t>
  </si>
  <si>
    <t>ns</t>
  </si>
  <si>
    <t>jam</t>
  </si>
  <si>
    <t>ModS</t>
  </si>
  <si>
    <t>Thomas Hobbins</t>
  </si>
  <si>
    <t>th</t>
  </si>
  <si>
    <t>IA</t>
  </si>
  <si>
    <t>adr</t>
  </si>
  <si>
    <t>Andrea Durlacher</t>
  </si>
  <si>
    <t>ETec</t>
  </si>
  <si>
    <t>Arianne Palau</t>
  </si>
  <si>
    <t>Adhemar Prieto</t>
  </si>
  <si>
    <t>Adrián Santilli</t>
  </si>
  <si>
    <t>Diego López</t>
  </si>
  <si>
    <t>Juan Andrés Mezzera</t>
  </si>
  <si>
    <t>José Díaz</t>
  </si>
  <si>
    <t>Joaquín da Silva</t>
  </si>
  <si>
    <t>Jazmín Finot</t>
  </si>
  <si>
    <t>Mateo Borrazás</t>
  </si>
  <si>
    <t>María Jesús Cresci</t>
  </si>
  <si>
    <t>Nelson Demarco</t>
  </si>
  <si>
    <t>nd</t>
  </si>
  <si>
    <t>Nicolás Navarro</t>
  </si>
  <si>
    <t>Rodrigo López</t>
  </si>
  <si>
    <t>Sebastián García Parra</t>
  </si>
  <si>
    <t>+DAT</t>
  </si>
  <si>
    <t>José Joskowicz</t>
  </si>
  <si>
    <t>jj</t>
  </si>
  <si>
    <t>REC</t>
  </si>
  <si>
    <t>1REC1</t>
  </si>
  <si>
    <t>1REC2</t>
  </si>
  <si>
    <t>2INF</t>
  </si>
  <si>
    <t>2+2</t>
  </si>
  <si>
    <t>3+2</t>
  </si>
  <si>
    <t>Sdig</t>
  </si>
  <si>
    <t>3+3</t>
  </si>
  <si>
    <t>T_ing</t>
  </si>
  <si>
    <t>LUN</t>
  </si>
  <si>
    <t>MAR</t>
  </si>
  <si>
    <t>JUE</t>
  </si>
  <si>
    <t>VIE</t>
  </si>
  <si>
    <t>3x6 + 2x6</t>
  </si>
  <si>
    <t>PROG2</t>
  </si>
  <si>
    <t>ECO</t>
  </si>
  <si>
    <t>AM3P</t>
  </si>
  <si>
    <t>SDIG</t>
  </si>
  <si>
    <t>IngTran</t>
  </si>
  <si>
    <t>IngSan2</t>
  </si>
  <si>
    <t>PInv</t>
  </si>
  <si>
    <t>EstMM</t>
  </si>
  <si>
    <t>ACInd</t>
  </si>
  <si>
    <t>Maq3</t>
  </si>
  <si>
    <t>DEMaq</t>
  </si>
  <si>
    <t>SdT</t>
  </si>
  <si>
    <t>TIC6</t>
  </si>
  <si>
    <t>Andrés Nieto</t>
  </si>
  <si>
    <t>an</t>
  </si>
  <si>
    <t>Julio Molinolo</t>
  </si>
  <si>
    <t>jm</t>
  </si>
  <si>
    <t>Marcos Rey</t>
  </si>
  <si>
    <t>mre</t>
  </si>
  <si>
    <t>Michelle Dovat</t>
  </si>
  <si>
    <t>md</t>
  </si>
  <si>
    <t>Gastón Puga</t>
  </si>
  <si>
    <t>gp</t>
  </si>
  <si>
    <t>Juan Míguez</t>
  </si>
  <si>
    <t>jmi</t>
  </si>
  <si>
    <t>Miguel Causa</t>
  </si>
  <si>
    <t>mc</t>
  </si>
  <si>
    <t>Oliver Kraus</t>
  </si>
  <si>
    <t>ok</t>
  </si>
  <si>
    <t>Juan Piaggio</t>
  </si>
  <si>
    <t>jpi</t>
  </si>
  <si>
    <t>Guillermo Dornelles</t>
  </si>
  <si>
    <t>gdo</t>
  </si>
  <si>
    <t>5CIV</t>
  </si>
  <si>
    <t>5IND</t>
  </si>
  <si>
    <t>5TEL</t>
  </si>
  <si>
    <t>5INF</t>
  </si>
  <si>
    <t>gs</t>
  </si>
  <si>
    <t>ICC 1</t>
  </si>
  <si>
    <t>icc1</t>
  </si>
  <si>
    <t>icc2</t>
  </si>
  <si>
    <t>ICC 2</t>
  </si>
  <si>
    <t>maximo 3 dias</t>
  </si>
  <si>
    <t>solo 1 dia despues de 17hs</t>
  </si>
  <si>
    <t>evitar puentes</t>
  </si>
  <si>
    <t>no mas de 2 horas seguidas</t>
  </si>
  <si>
    <t>Marcelo Fontan</t>
  </si>
  <si>
    <t>mf</t>
  </si>
  <si>
    <t>lunes xor viernes</t>
  </si>
  <si>
    <t>no dias consecutivos</t>
  </si>
  <si>
    <t>Xavier Masdeu</t>
  </si>
  <si>
    <t>xm</t>
  </si>
  <si>
    <t>ICC 3</t>
  </si>
  <si>
    <t>icc3</t>
  </si>
  <si>
    <t>no dias consecutivos ADA</t>
  </si>
  <si>
    <t>4LIC</t>
  </si>
  <si>
    <t>Prog1 A</t>
  </si>
  <si>
    <t>p1a</t>
  </si>
  <si>
    <t>p1b</t>
  </si>
  <si>
    <t>Prog1 B</t>
  </si>
  <si>
    <t>TIngA</t>
  </si>
  <si>
    <t>TIngB</t>
  </si>
  <si>
    <t>arqap</t>
  </si>
  <si>
    <t>Arq Aplic</t>
  </si>
  <si>
    <t>jg</t>
  </si>
  <si>
    <t>Milenka Sojachenksi</t>
  </si>
  <si>
    <t>ms</t>
  </si>
  <si>
    <t>todo el mismo dia</t>
  </si>
  <si>
    <t>Fernando Requena</t>
  </si>
  <si>
    <t>fr</t>
  </si>
  <si>
    <t>Adrián Carballo</t>
  </si>
  <si>
    <t>adc</t>
  </si>
  <si>
    <t>Hugo Carrasco</t>
  </si>
  <si>
    <t>hc</t>
  </si>
  <si>
    <t>Martín Kasek</t>
  </si>
  <si>
    <t>mk</t>
  </si>
  <si>
    <t>EA/MInv</t>
  </si>
  <si>
    <t>Adrián Russi</t>
  </si>
  <si>
    <t>ar</t>
  </si>
  <si>
    <t>ep</t>
  </si>
  <si>
    <t>MdProc</t>
  </si>
  <si>
    <t>GAmb</t>
  </si>
  <si>
    <t>Horm2</t>
  </si>
  <si>
    <t>DPav</t>
  </si>
  <si>
    <t>Puentes</t>
  </si>
  <si>
    <t>df</t>
  </si>
  <si>
    <t>DIPyU</t>
  </si>
  <si>
    <t>David Fontans</t>
  </si>
  <si>
    <t>no coincidir mañana-tarde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</si>
</sst>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theme="1"/>
      <name val="Aptos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Aptos"/>
      <family val="2"/>
    </font>
    <font>
      <sz val="11"/>
      <color rgb="FFFF0000"/>
      <name val="Calibri"/>
      <family val="2"/>
      <scheme val="minor"/>
    </font>
    <font>
      <sz val="11"/>
      <name val="Aptos"/>
      <family val="2"/>
    </font>
    <font>
      <u/>
      <sz val="11"/>
      <color theme="1"/>
      <name val="Aptos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theme="0" tint="-0.14999847407452621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6B4C6"/>
        <bgColor indexed="64"/>
      </patternFill>
    </fill>
    <fill>
      <patternFill patternType="solid">
        <fgColor rgb="FFC6E6B4"/>
        <bgColor indexed="64"/>
      </patternFill>
    </fill>
    <fill>
      <patternFill patternType="solid">
        <fgColor rgb="FFB4C6E6"/>
        <bgColor indexed="64"/>
      </patternFill>
    </fill>
    <fill>
      <patternFill patternType="solid">
        <fgColor theme="5" tint="0.59999389629810485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3">
    <xf numFmtId="0" fontId="0" fillId="0" borderId="0"/>
    <xf numFmtId="0" fontId="3" fillId="0" borderId="0"/>
    <xf numFmtId="9" fontId="8" fillId="0" borderId="0" applyFont="0" applyFill="0" applyBorder="0" applyAlignment="0" applyProtection="0"/>
  </cellStyleXfs>
  <cellXfs count="87">
    <xf numFmtId="0" fontId="0" fillId="0" borderId="0" xfId="0"/>
    <xf numFmtId="0" fontId="1" fillId="0" borderId="1" xfId="0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1" fillId="0" borderId="4" xfId="0" applyFont="1" applyBorder="1" applyAlignment="1">
      <alignment vertical="center" wrapText="1"/>
    </xf>
    <xf numFmtId="0" fontId="1" fillId="0" borderId="0" xfId="0" applyFont="1"/>
    <xf numFmtId="49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6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1" fillId="0" borderId="8" xfId="0" applyFont="1" applyBorder="1" applyAlignment="1">
      <alignment vertical="center" wrapText="1"/>
    </xf>
    <xf numFmtId="0" fontId="1" fillId="0" borderId="9" xfId="0" applyFont="1" applyBorder="1"/>
    <xf numFmtId="0" fontId="1" fillId="0" borderId="5" xfId="0" applyFont="1" applyBorder="1"/>
    <xf numFmtId="0" fontId="1" fillId="0" borderId="7" xfId="0" applyFont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0" fillId="0" borderId="0" xfId="0" applyAlignment="1">
      <alignment horizontal="right"/>
    </xf>
    <xf numFmtId="0" fontId="1" fillId="0" borderId="3" xfId="0" applyFont="1" applyBorder="1" applyAlignment="1">
      <alignment vertical="center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1" fillId="0" borderId="5" xfId="0" applyFont="1" applyBorder="1" applyAlignment="1">
      <alignment vertical="center" wrapText="1"/>
    </xf>
    <xf numFmtId="0" fontId="1" fillId="0" borderId="11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11" xfId="0" applyFont="1" applyBorder="1" applyAlignment="1">
      <alignment vertical="center" wrapText="1"/>
    </xf>
    <xf numFmtId="0" fontId="1" fillId="0" borderId="12" xfId="0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6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1" fillId="0" borderId="13" xfId="0" applyFont="1" applyBorder="1" applyAlignment="1">
      <alignment vertical="center" wrapText="1"/>
    </xf>
    <xf numFmtId="0" fontId="1" fillId="0" borderId="14" xfId="0" applyFont="1" applyBorder="1" applyAlignment="1">
      <alignment vertical="center" wrapText="1"/>
    </xf>
    <xf numFmtId="0" fontId="1" fillId="0" borderId="0" xfId="0" applyFont="1" applyAlignment="1">
      <alignment vertical="center"/>
    </xf>
    <xf numFmtId="0" fontId="1" fillId="3" borderId="8" xfId="0" applyFont="1" applyFill="1" applyBorder="1" applyAlignment="1">
      <alignment vertical="center" wrapText="1"/>
    </xf>
    <xf numFmtId="0" fontId="1" fillId="3" borderId="6" xfId="0" applyFont="1" applyFill="1" applyBorder="1" applyAlignment="1">
      <alignment vertical="center" wrapText="1"/>
    </xf>
    <xf numFmtId="0" fontId="1" fillId="3" borderId="4" xfId="0" applyFont="1" applyFill="1" applyBorder="1" applyAlignment="1">
      <alignment horizontal="left" vertical="center" wrapText="1"/>
    </xf>
    <xf numFmtId="0" fontId="4" fillId="0" borderId="8" xfId="0" applyFont="1" applyBorder="1" applyAlignment="1">
      <alignment vertical="center" wrapText="1"/>
    </xf>
    <xf numFmtId="0" fontId="1" fillId="2" borderId="8" xfId="0" applyFont="1" applyFill="1" applyBorder="1" applyAlignment="1">
      <alignment vertical="center" wrapText="1"/>
    </xf>
    <xf numFmtId="0" fontId="1" fillId="0" borderId="2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5" fillId="0" borderId="0" xfId="0" applyFont="1"/>
    <xf numFmtId="0" fontId="0" fillId="0" borderId="0" xfId="0" applyAlignment="1">
      <alignment wrapText="1"/>
    </xf>
    <xf numFmtId="20" fontId="0" fillId="0" borderId="0" xfId="0" applyNumberFormat="1" applyAlignment="1">
      <alignment horizontal="left"/>
    </xf>
    <xf numFmtId="49" fontId="1" fillId="0" borderId="4" xfId="0" applyNumberFormat="1" applyFont="1" applyBorder="1" applyAlignment="1">
      <alignment vertical="center" wrapText="1"/>
    </xf>
    <xf numFmtId="0" fontId="7" fillId="0" borderId="2" xfId="0" applyFont="1" applyBorder="1" applyAlignment="1">
      <alignment vertical="center" wrapText="1"/>
    </xf>
    <xf numFmtId="0" fontId="1" fillId="4" borderId="4" xfId="0" applyFont="1" applyFill="1" applyBorder="1" applyAlignment="1">
      <alignment vertical="center" wrapText="1"/>
    </xf>
    <xf numFmtId="0" fontId="1" fillId="4" borderId="7" xfId="0" applyFont="1" applyFill="1" applyBorder="1" applyAlignment="1">
      <alignment vertical="center" wrapText="1"/>
    </xf>
    <xf numFmtId="0" fontId="1" fillId="4" borderId="8" xfId="0" applyFont="1" applyFill="1" applyBorder="1" applyAlignment="1">
      <alignment vertical="center" wrapText="1"/>
    </xf>
    <xf numFmtId="0" fontId="1" fillId="5" borderId="8" xfId="0" applyFont="1" applyFill="1" applyBorder="1" applyAlignment="1">
      <alignment vertical="center" wrapText="1"/>
    </xf>
    <xf numFmtId="0" fontId="1" fillId="4" borderId="6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7" xfId="0" applyFont="1" applyFill="1" applyBorder="1" applyAlignment="1">
      <alignment vertical="center"/>
    </xf>
    <xf numFmtId="0" fontId="1" fillId="4" borderId="0" xfId="0" applyFont="1" applyFill="1"/>
    <xf numFmtId="0" fontId="1" fillId="3" borderId="7" xfId="0" applyFont="1" applyFill="1" applyBorder="1" applyAlignment="1">
      <alignment vertical="center" wrapText="1"/>
    </xf>
    <xf numFmtId="0" fontId="1" fillId="3" borderId="4" xfId="0" applyFont="1" applyFill="1" applyBorder="1" applyAlignment="1">
      <alignment vertical="center" wrapText="1"/>
    </xf>
    <xf numFmtId="15" fontId="1" fillId="0" borderId="1" xfId="0" applyNumberFormat="1" applyFont="1" applyBorder="1" applyAlignment="1">
      <alignment vertical="center" wrapText="1"/>
    </xf>
    <xf numFmtId="0" fontId="0" fillId="0" borderId="0" xfId="0" quotePrefix="1"/>
    <xf numFmtId="0" fontId="1" fillId="0" borderId="0" xfId="0" applyFont="1" applyAlignment="1">
      <alignment horizontal="left"/>
    </xf>
    <xf numFmtId="0" fontId="6" fillId="6" borderId="0" xfId="0" applyFont="1" applyFill="1"/>
    <xf numFmtId="0" fontId="1" fillId="6" borderId="0" xfId="0" applyFont="1" applyFill="1" applyAlignment="1">
      <alignment horizontal="left"/>
    </xf>
    <xf numFmtId="0" fontId="1" fillId="0" borderId="0" xfId="0" applyFont="1" applyAlignment="1">
      <alignment horizontal="center"/>
    </xf>
    <xf numFmtId="0" fontId="1" fillId="7" borderId="4" xfId="0" applyFont="1" applyFill="1" applyBorder="1" applyAlignment="1">
      <alignment vertical="center" wrapText="1"/>
    </xf>
    <xf numFmtId="0" fontId="1" fillId="8" borderId="4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0" fontId="1" fillId="8" borderId="8" xfId="0" applyFont="1" applyFill="1" applyBorder="1" applyAlignment="1">
      <alignment vertical="center" wrapText="1"/>
    </xf>
    <xf numFmtId="0" fontId="1" fillId="8" borderId="6" xfId="0" applyFont="1" applyFill="1" applyBorder="1" applyAlignment="1">
      <alignment vertical="center" wrapText="1"/>
    </xf>
    <xf numFmtId="0" fontId="1" fillId="8" borderId="2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/>
    </xf>
    <xf numFmtId="0" fontId="1" fillId="8" borderId="0" xfId="0" applyFont="1" applyFill="1"/>
    <xf numFmtId="20" fontId="0" fillId="0" borderId="0" xfId="0" applyNumberFormat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6" borderId="0" xfId="0" applyFill="1"/>
    <xf numFmtId="0" fontId="0" fillId="8" borderId="0" xfId="0" applyFill="1"/>
    <xf numFmtId="0" fontId="0" fillId="3" borderId="0" xfId="0" applyFill="1"/>
    <xf numFmtId="0" fontId="1" fillId="12" borderId="8" xfId="0" applyFont="1" applyFill="1" applyBorder="1" applyAlignment="1">
      <alignment vertical="center" wrapText="1"/>
    </xf>
    <xf numFmtId="0" fontId="1" fillId="6" borderId="8" xfId="0" applyFont="1" applyFill="1" applyBorder="1" applyAlignment="1">
      <alignment vertical="center"/>
    </xf>
    <xf numFmtId="0" fontId="9" fillId="0" borderId="0" xfId="0" applyFont="1"/>
    <xf numFmtId="9" fontId="1" fillId="0" borderId="0" xfId="2" applyFont="1"/>
    <xf numFmtId="1" fontId="1" fillId="0" borderId="0" xfId="0" applyNumberFormat="1" applyFont="1"/>
    <xf numFmtId="0" fontId="1" fillId="7" borderId="2" xfId="0" applyFont="1" applyFill="1" applyBorder="1" applyAlignment="1">
      <alignment vertical="center" wrapText="1"/>
    </xf>
    <xf numFmtId="0" fontId="0" fillId="3" borderId="0" xfId="0" applyFill="1" applyAlignment="1">
      <alignment horizontal="right"/>
    </xf>
    <xf numFmtId="0" fontId="0" fillId="12" borderId="0" xfId="0" applyFill="1" applyAlignment="1">
      <alignment horizontal="right"/>
    </xf>
    <xf numFmtId="0" fontId="1" fillId="0" borderId="1" xfId="0" applyFont="1" applyBorder="1" applyAlignment="1">
      <alignment horizontal="right" vertical="center" wrapText="1"/>
    </xf>
    <xf numFmtId="0" fontId="1" fillId="12" borderId="6" xfId="0" applyFont="1" applyFill="1" applyBorder="1" applyAlignment="1">
      <alignment vertical="center" wrapText="1"/>
    </xf>
    <xf numFmtId="0" fontId="1" fillId="12" borderId="4" xfId="0" applyFont="1" applyFill="1" applyBorder="1" applyAlignment="1">
      <alignment vertical="center" wrapText="1"/>
    </xf>
    <xf numFmtId="0" fontId="1" fillId="12" borderId="7" xfId="0" applyFont="1" applyFill="1" applyBorder="1" applyAlignment="1">
      <alignment vertical="center" wrapText="1"/>
    </xf>
    <xf numFmtId="0" fontId="0" fillId="7" borderId="0" xfId="0" applyFill="1"/>
    <xf numFmtId="0" fontId="1" fillId="12" borderId="4" xfId="0" applyFont="1" applyFill="1" applyBorder="1" applyAlignment="1">
      <alignment horizontal="left" vertical="center" wrapText="1"/>
    </xf>
  </cellXfs>
  <cellStyles count="3">
    <cellStyle name="Normal" xfId="0" builtinId="0"/>
    <cellStyle name="Normal 2" xfId="1" xr:uid="{2579EBC4-8073-4D06-AF07-31A01C277B96}"/>
    <cellStyle name="Porcentaje" xfId="2" builtinId="5"/>
  </cellStyles>
  <dxfs count="50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25" formatCode="h:mm"/>
      <alignment horizontal="left" vertical="bottom" textRotation="0" wrapText="0" indent="0" justifyLastLine="0" shrinkToFit="0" readingOrder="0"/>
    </dxf>
    <dxf>
      <numFmt numFmtId="25" formatCode="h:mm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right" vertical="bottom" textRotation="0" wrapText="0" indent="0" justifyLastLine="0" shrinkToFit="0" readingOrder="0"/>
    </dxf>
    <dxf>
      <border outline="0"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border outline="0"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07" Type="http://schemas.openxmlformats.org/officeDocument/2006/relationships/sheetMetadata" Target="metadata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styles" Target="styles.xml"/><Relationship Id="rId113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microsoft.com/office/2017/10/relationships/person" Target="persons/perso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calcChain" Target="calcChain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ZUNINO CORREA Marco Nicolás" id="{622B8679-81F9-4BA5-BCED-D56836D70B26}" userId="S::mzunino@correo.um.edu.uy::b72be42d-26f6-49f2-8314-9b63fce10b82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1696C74-5DD1-4C8E-A739-81312A27383B}" name="Tabla4" displayName="Tabla4" ref="A1:P160" totalsRowShown="0" headerRowDxfId="49" dataDxfId="47" headerRowBorderDxfId="48" tableBorderDxfId="46">
  <autoFilter ref="A1:P160" xr:uid="{C1696C74-5DD1-4C8E-A739-81312A27383B}"/>
  <tableColumns count="16">
    <tableColumn id="1" xr3:uid="{075D5136-A95B-4955-B85E-829BC9BA9BAE}" name="Materia" dataDxfId="45"/>
    <tableColumn id="2" xr3:uid="{576A4FC5-51CE-475E-BED3-5CC6B6674721}" name="Carga Horaria" dataDxfId="44"/>
    <tableColumn id="3" xr3:uid="{F2E2F0D6-1D40-4CE0-8103-51959A3B82CD}" name="Días por semana" dataDxfId="43"/>
    <tableColumn id="4" xr3:uid="{264CC43A-F4EB-465F-A7D0-135F4A50B4DA}" name="Teo/Prac" dataDxfId="42"/>
    <tableColumn id="18" xr3:uid="{C1EE52EE-76E1-4227-BDC2-C10CE91F3B25}" name="Electiva" dataDxfId="41"/>
    <tableColumn id="15" xr3:uid="{70E0A7F3-2F19-4D9C-B8B4-44BD310E116D}" name="Cantidad profesores" dataDxfId="40"/>
    <tableColumn id="5" xr3:uid="{6B45BF66-9698-437C-BDC8-5D44A7631A6D}" name="Profesor 1" dataDxfId="39"/>
    <tableColumn id="6" xr3:uid="{B008AED2-55E7-4340-BEFF-FD96D52A94AD}" name="Profesor 2" dataDxfId="38"/>
    <tableColumn id="7" xr3:uid="{AB6B10CF-B16D-4B43-AC73-0C1DC6BF4FDB}" name="Profesor 3" dataDxfId="37"/>
    <tableColumn id="8" xr3:uid="{F29C2ECC-B0C1-4CD7-B883-FA38FEDAB810}" name="Profesor 4" dataDxfId="36"/>
    <tableColumn id="9" xr3:uid="{95992D8B-DCAA-4D57-87A1-000CA7014D18}" name="Grupo 1" dataDxfId="35"/>
    <tableColumn id="10" xr3:uid="{2DA38EA5-810C-44E7-A60B-9C9CF406C451}" name="Grupo 2" dataDxfId="34"/>
    <tableColumn id="11" xr3:uid="{313788F1-87DE-4E02-9D67-7FBF57D47ED7}" name="Grupo 3" dataDxfId="33"/>
    <tableColumn id="12" xr3:uid="{5E84964D-B14A-4A91-815D-C2F572D40545}" name="Grupo 4" dataDxfId="32"/>
    <tableColumn id="13" xr3:uid="{55216FB5-5CFC-47CC-BEE7-9ADF52048B9B}" name="Grupo 5" dataDxfId="31"/>
    <tableColumn id="14" xr3:uid="{37F95C67-73FA-4464-9726-6BF00AC992AA}" name="Observaciones" dataDxfId="3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74893D1-0573-42A8-87FD-99C77B57B53D}" name="Tabla3" displayName="Tabla3" ref="A1:M100" totalsRowShown="0" headerRowDxfId="29" tableBorderDxfId="28">
  <autoFilter ref="A1:M100" xr:uid="{E74893D1-0573-42A8-87FD-99C77B57B53D}"/>
  <sortState xmlns:xlrd2="http://schemas.microsoft.com/office/spreadsheetml/2017/richdata2" ref="A2:M100">
    <sortCondition ref="B1:B100"/>
  </sortState>
  <tableColumns count="13">
    <tableColumn id="1" xr3:uid="{48E73294-D876-4677-AF47-7E46EE0B52D1}" name="Nombre" dataDxfId="27"/>
    <tableColumn id="2" xr3:uid="{F182E5ED-6A3F-437D-AD09-A5B851853EE5}" name="Profesor" dataDxfId="26"/>
    <tableColumn id="3" xr3:uid="{E4879D73-DC77-4506-AC89-73A9F98F9FBA}" name="Minimizar dias" dataDxfId="25"/>
    <tableColumn id="4" xr3:uid="{96CC417A-CAEF-4C35-93B2-5D497E35892C}" name="Materia 1" dataDxfId="24"/>
    <tableColumn id="5" xr3:uid="{B16C4069-5162-4600-9D3C-97ED62A311FD}" name="Grupos materia 1" dataDxfId="23"/>
    <tableColumn id="6" xr3:uid="{EE665987-863E-4B3F-99E6-175412D2D651}" name="Materia 2" dataDxfId="22"/>
    <tableColumn id="7" xr3:uid="{796C3EC6-489F-4C00-8EC4-CB2BACD176F0}" name="Grupos materia 2" dataDxfId="21"/>
    <tableColumn id="8" xr3:uid="{A832BD39-7E70-4D42-9F13-BB9961BA8EA4}" name="Materia 3" dataDxfId="20"/>
    <tableColumn id="9" xr3:uid="{014118E3-F423-471E-967B-E595511BDCE0}" name="Grupos materia 3" dataDxfId="19"/>
    <tableColumn id="10" xr3:uid="{D5535E93-CF2E-4E16-9EF4-8D9EF8957764}" name="Materia 4" dataDxfId="18"/>
    <tableColumn id="11" xr3:uid="{C6AFAB8F-5DB4-4105-9380-B814B98786EE}" name="Grupos materia 4" dataDxfId="17"/>
    <tableColumn id="12" xr3:uid="{D53518AE-F406-461B-8282-1BED3ABEF2FA}" name="Observacion 1" dataDxfId="16"/>
    <tableColumn id="13" xr3:uid="{8F98C1F1-6844-4265-99E2-BB9E4EA1C002}" name="Observacion 2" dataDxfId="15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4E7A155-269B-4C66-8CCB-2F2548E0C716}" name="Tabla5" displayName="Tabla5" ref="A1:H31" totalsRowShown="0" headerRowDxfId="14" dataDxfId="13">
  <autoFilter ref="A1:H31" xr:uid="{44E7A155-269B-4C66-8CCB-2F2548E0C716}"/>
  <tableColumns count="8">
    <tableColumn id="1" xr3:uid="{98ADAA19-5691-4BB3-8733-2957C5BFC6B0}" name="Grupo" dataDxfId="12">
      <calculatedColumnFormula>_xlfn.CONCAT(B2:F2)</calculatedColumnFormula>
    </tableColumn>
    <tableColumn id="2" xr3:uid="{96C39E39-6900-4CC5-9322-E587F4FD0C16}" name="Año" dataDxfId="11"/>
    <tableColumn id="3" xr3:uid="{D2795426-682A-46C5-B539-DB887E797F95}" name="Carrera" dataDxfId="10"/>
    <tableColumn id="4" xr3:uid="{08F3FF89-25C8-4C00-9E65-3DB733E58D11}" name="Recurse" dataDxfId="9"/>
    <tableColumn id="5" xr3:uid="{357C7707-3F4C-44C1-964A-A91504D54BC4}" name="Particion" dataDxfId="8"/>
    <tableColumn id="6" xr3:uid="{D1B39A44-C09E-4EF9-8CF6-38D1BA2CC036}" name="Auxiliar" dataDxfId="7"/>
    <tableColumn id="7" xr3:uid="{19FD498C-7094-4B61-B08E-073879907DF8}" name="Turno" dataDxfId="6"/>
    <tableColumn id="8" xr3:uid="{3AE98A7A-6F97-4245-9775-34A72E026BAC}" name="Alumnos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C8BD93-6DE8-4055-A79E-28C0108C529D}" name="Tabla1" displayName="Tabla1" ref="A1:G16" totalsRowShown="0" headerRowDxfId="5">
  <autoFilter ref="A1:G16" xr:uid="{BFC8BD93-6DE8-4055-A79E-28C0108C529D}"/>
  <tableColumns count="7">
    <tableColumn id="1" xr3:uid="{C4C94F3D-1647-44A5-98B4-7B9D48510110}" name="#" dataDxfId="4"/>
    <tableColumn id="2" xr3:uid="{4958DD8C-2B06-4CE4-BCCA-5A9E9A383EDF}" name="Inicio" dataDxfId="3"/>
    <tableColumn id="3" xr3:uid="{4DC8158E-E1DF-4F5A-86A0-386985D639EA}" name="Fin" dataDxfId="2">
      <calculatedColumnFormula>B2+(5/6)/24</calculatedColumnFormula>
    </tableColumn>
    <tableColumn id="4" xr3:uid="{0C86E64C-83FD-4A35-AAFA-296F6C5AC079}" name="Turno 1" dataDxfId="1"/>
    <tableColumn id="5" xr3:uid="{A9393972-2780-4EEE-986A-55246FC43B3F}" name="Turno 2" dataDxfId="0"/>
    <tableColumn id="6" xr3:uid="{52E1372C-0C98-4442-BCB1-2744BF03FD10}" name="Turno 3"/>
    <tableColumn id="7" xr3:uid="{880FD957-1AF6-4909-89A4-591CAB00B72D}" name="Turno 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78" dT="2024-11-10T19:12:04.99" personId="{622B8679-81F9-4BA5-BCED-D56836D70B26}" id="{13F5765E-AC99-439D-A33A-BE677BBD61DF}">
    <text>2DAT?</text>
  </threadedComment>
  <threadedComment ref="A99" dT="2024-10-29T20:44:59.05" personId="{622B8679-81F9-4BA5-BCED-D56836D70B26}" id="{D2237BC2-D9CD-4F0D-9058-9A1252FB3FE9}">
    <text>Arquitectura y diseño de aplicaciones?</text>
  </threadedComment>
  <threadedComment ref="A100" dT="2024-10-29T20:44:59.05" personId="{622B8679-81F9-4BA5-BCED-D56836D70B26}" id="{E272911C-B8FE-405B-96B5-3A6F4184EE22}">
    <text>Arquitectura y diseño de aplicaciones?</text>
  </threadedComment>
  <threadedComment ref="B128" dT="2024-11-08T23:30:24.77" personId="{622B8679-81F9-4BA5-BCED-D56836D70B26}" id="{4B61C5F6-EDAC-4526-92C9-219FB8C0EC39}">
    <text>Poca disponibilidad</text>
  </threadedComment>
  <threadedComment ref="G130" dT="2024-11-08T23:25:17.20" personId="{622B8679-81F9-4BA5-BCED-D56836D70B26}" id="{4C163CC1-E3EC-482F-B92B-53B8FA7D17E9}">
    <text>Disponibilidad exacta (3h lunes)</text>
  </threadedComment>
  <threadedComment ref="B135" dT="2024-11-08T23:08:53.56" personId="{622B8679-81F9-4BA5-BCED-D56836D70B26}" id="{9C8A45CC-305C-4B73-ADD0-1D5F4446221C}">
    <text>Poca disponibilidad, horas muy ajustadas</text>
  </threadedComment>
  <threadedComment ref="A137" dT="2024-10-31T21:33:35.55" personId="{622B8679-81F9-4BA5-BCED-D56836D70B26}" id="{3903D1ED-8C07-4604-A79B-8FAED12C8445}">
    <text>4to y 5to?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21" dT="2024-11-06T05:15:50.47" personId="{622B8679-81F9-4BA5-BCED-D56836D70B26}" id="{37F74527-A49E-450F-8C68-E7AA54892234}">
    <text xml:space="preserve">Yo en principio me estaré encargando de un curso de IO (3° todas las orientaciones) y del curso de Mejora de procesos (4° industrial). Quisiera que ambos cursos sean el mismo día 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091E0-4256-4316-B983-CB383CA143C1}">
  <sheetPr codeName="Hoja4"/>
  <dimension ref="A1:AI160"/>
  <sheetViews>
    <sheetView zoomScale="90" zoomScaleNormal="90" workbookViewId="0">
      <pane ySplit="1" topLeftCell="A94" activePane="bottomLeft" state="frozen"/>
      <selection pane="bottomLeft" activeCell="I110" sqref="I110"/>
    </sheetView>
  </sheetViews>
  <sheetFormatPr baseColWidth="10" defaultColWidth="11.88671875" defaultRowHeight="14.4" x14ac:dyDescent="0.3"/>
  <cols>
    <col min="1" max="1" width="11.109375" style="6" customWidth="1"/>
    <col min="2" max="3" width="9.88671875" style="5" customWidth="1"/>
    <col min="4" max="5" width="6.109375" style="5" customWidth="1"/>
    <col min="6" max="6" width="11.21875" style="5" customWidth="1"/>
    <col min="7" max="7" width="10.88671875" style="11" customWidth="1"/>
    <col min="8" max="8" width="10.88671875" style="7" customWidth="1"/>
    <col min="9" max="9" width="10.88671875" style="5" customWidth="1"/>
    <col min="10" max="10" width="10.88671875" style="12" customWidth="1"/>
    <col min="11" max="11" width="8.6640625" style="7" customWidth="1"/>
    <col min="12" max="14" width="8.6640625" style="5" customWidth="1"/>
    <col min="15" max="15" width="8.6640625" style="12" customWidth="1"/>
    <col min="16" max="16" width="17.44140625" style="5" customWidth="1"/>
    <col min="17" max="17" width="14.109375" style="5" customWidth="1"/>
    <col min="18" max="16384" width="11.88671875" style="5"/>
  </cols>
  <sheetData>
    <row r="1" spans="1:35" ht="30.6" customHeight="1" thickBot="1" x14ac:dyDescent="0.35">
      <c r="A1" s="4" t="s">
        <v>4</v>
      </c>
      <c r="B1" s="4" t="s">
        <v>1</v>
      </c>
      <c r="C1" s="9" t="s">
        <v>5</v>
      </c>
      <c r="D1" s="22" t="s">
        <v>278</v>
      </c>
      <c r="E1" s="22" t="s">
        <v>281</v>
      </c>
      <c r="F1" s="33" t="s">
        <v>55</v>
      </c>
      <c r="G1" s="22" t="s">
        <v>35</v>
      </c>
      <c r="H1" s="9" t="s">
        <v>36</v>
      </c>
      <c r="I1" s="9" t="s">
        <v>37</v>
      </c>
      <c r="J1" s="4" t="s">
        <v>38</v>
      </c>
      <c r="K1" s="22" t="s">
        <v>39</v>
      </c>
      <c r="L1" s="9" t="s">
        <v>40</v>
      </c>
      <c r="M1" s="9" t="s">
        <v>41</v>
      </c>
      <c r="N1" s="9" t="s">
        <v>266</v>
      </c>
      <c r="O1" s="4" t="s">
        <v>267</v>
      </c>
      <c r="P1" s="26" t="s">
        <v>161</v>
      </c>
    </row>
    <row r="2" spans="1:35" ht="15" thickBot="1" x14ac:dyDescent="0.35">
      <c r="A2" s="2" t="s">
        <v>244</v>
      </c>
      <c r="B2" s="2">
        <v>6</v>
      </c>
      <c r="C2" s="8">
        <v>2</v>
      </c>
      <c r="D2" s="10"/>
      <c r="E2" s="10"/>
      <c r="F2" s="34"/>
      <c r="G2" s="10" t="s">
        <v>15</v>
      </c>
      <c r="H2" s="8"/>
      <c r="I2" s="8"/>
      <c r="J2" s="2"/>
      <c r="K2" s="8" t="s">
        <v>259</v>
      </c>
      <c r="L2" s="8"/>
      <c r="M2" s="8"/>
      <c r="N2" s="8"/>
      <c r="O2" s="2"/>
      <c r="P2" s="25"/>
    </row>
    <row r="3" spans="1:35" ht="15" thickBot="1" x14ac:dyDescent="0.35">
      <c r="A3" s="2" t="s">
        <v>245</v>
      </c>
      <c r="B3" s="2">
        <v>5</v>
      </c>
      <c r="C3" s="8">
        <v>2</v>
      </c>
      <c r="D3" s="10" t="s">
        <v>279</v>
      </c>
      <c r="E3" s="10"/>
      <c r="F3" s="10"/>
      <c r="G3" s="10" t="s">
        <v>248</v>
      </c>
      <c r="H3" s="8"/>
      <c r="I3" s="8"/>
      <c r="J3" s="2"/>
      <c r="K3" s="8" t="s">
        <v>259</v>
      </c>
      <c r="L3" s="8"/>
      <c r="M3" s="8"/>
      <c r="N3" s="8"/>
      <c r="O3" s="2"/>
      <c r="P3" s="25"/>
      <c r="T3" s="5" t="s">
        <v>240</v>
      </c>
    </row>
    <row r="4" spans="1:35" ht="15" thickBot="1" x14ac:dyDescent="0.35">
      <c r="A4" s="2" t="s">
        <v>246</v>
      </c>
      <c r="B4" s="2">
        <v>2</v>
      </c>
      <c r="C4" s="8">
        <v>1</v>
      </c>
      <c r="D4" s="10" t="s">
        <v>280</v>
      </c>
      <c r="E4" s="10"/>
      <c r="F4" s="34"/>
      <c r="G4" s="10" t="s">
        <v>251</v>
      </c>
      <c r="H4" s="8"/>
      <c r="I4" s="8"/>
      <c r="J4" s="2"/>
      <c r="K4" s="8" t="s">
        <v>259</v>
      </c>
      <c r="L4" s="8"/>
      <c r="M4" s="8"/>
      <c r="N4" s="8"/>
      <c r="O4" s="2"/>
      <c r="P4" s="25"/>
      <c r="T4" s="5">
        <v>0</v>
      </c>
      <c r="U4" s="5">
        <f>COUNTIF($D$24:$D$81,T4)</f>
        <v>0</v>
      </c>
      <c r="X4" s="5" t="s">
        <v>242</v>
      </c>
    </row>
    <row r="5" spans="1:35" ht="15" thickBot="1" x14ac:dyDescent="0.35">
      <c r="A5" s="4" t="s">
        <v>252</v>
      </c>
      <c r="B5" s="4">
        <v>4</v>
      </c>
      <c r="C5" s="8">
        <v>2</v>
      </c>
      <c r="D5" s="10"/>
      <c r="E5" s="10"/>
      <c r="F5" s="10"/>
      <c r="G5" s="10" t="s">
        <v>253</v>
      </c>
      <c r="H5" s="8"/>
      <c r="I5" s="8"/>
      <c r="J5" s="2"/>
      <c r="K5" s="8" t="s">
        <v>259</v>
      </c>
      <c r="L5" s="8"/>
      <c r="M5" s="8"/>
      <c r="N5" s="8"/>
      <c r="O5" s="2"/>
      <c r="P5" s="26"/>
      <c r="T5" s="5">
        <v>1</v>
      </c>
      <c r="U5" s="5">
        <f>COUNTIF($D$24:$D$81,"")</f>
        <v>29</v>
      </c>
      <c r="X5" s="5">
        <v>1</v>
      </c>
      <c r="Y5" s="5">
        <f t="shared" ref="Y5:Y12" si="0">COUNTIF($B$2:$B$81,X5)</f>
        <v>2</v>
      </c>
      <c r="AC5" s="75"/>
      <c r="AD5" s="75"/>
      <c r="AE5" s="75"/>
    </row>
    <row r="6" spans="1:35" ht="15" thickBot="1" x14ac:dyDescent="0.35">
      <c r="A6" s="4" t="s">
        <v>255</v>
      </c>
      <c r="B6" s="4">
        <v>4</v>
      </c>
      <c r="C6" s="8">
        <v>2</v>
      </c>
      <c r="D6" s="10"/>
      <c r="E6" s="10"/>
      <c r="F6" s="34"/>
      <c r="G6" s="10" t="s">
        <v>257</v>
      </c>
      <c r="H6" s="8"/>
      <c r="I6" s="8"/>
      <c r="J6" s="2"/>
      <c r="K6" s="8" t="s">
        <v>259</v>
      </c>
      <c r="L6" s="8"/>
      <c r="M6" s="8"/>
      <c r="N6" s="8"/>
      <c r="O6" s="2"/>
      <c r="P6" s="26"/>
      <c r="T6" s="5">
        <v>2</v>
      </c>
      <c r="U6" s="5">
        <f>COUNTIF($D$24:$D$81,T6)</f>
        <v>0</v>
      </c>
      <c r="X6" s="5">
        <v>2</v>
      </c>
      <c r="Y6" s="5">
        <f t="shared" si="0"/>
        <v>20</v>
      </c>
      <c r="AC6" s="75"/>
      <c r="AD6" s="75"/>
      <c r="AE6" s="75"/>
      <c r="AH6" s="76"/>
      <c r="AI6" s="77"/>
    </row>
    <row r="7" spans="1:35" ht="15" thickBot="1" x14ac:dyDescent="0.35">
      <c r="A7" s="4" t="s">
        <v>258</v>
      </c>
      <c r="B7" s="4">
        <v>5</v>
      </c>
      <c r="C7" s="8">
        <v>2</v>
      </c>
      <c r="D7" s="10"/>
      <c r="E7" s="10"/>
      <c r="F7" s="10"/>
      <c r="G7" s="10" t="s">
        <v>248</v>
      </c>
      <c r="H7" s="8"/>
      <c r="I7" s="8"/>
      <c r="J7" s="2"/>
      <c r="K7" s="8" t="s">
        <v>261</v>
      </c>
      <c r="L7" s="8"/>
      <c r="M7" s="8"/>
      <c r="N7" s="8"/>
      <c r="O7" s="2"/>
      <c r="P7" s="26"/>
      <c r="T7" s="5">
        <v>3</v>
      </c>
      <c r="U7" s="5">
        <f>COUNTIF($D$24:$D$81,T7)</f>
        <v>0</v>
      </c>
      <c r="X7" s="5">
        <v>3</v>
      </c>
      <c r="Y7" s="5">
        <f t="shared" si="0"/>
        <v>10</v>
      </c>
      <c r="AC7" s="75"/>
      <c r="AD7" s="75"/>
      <c r="AE7" s="75"/>
      <c r="AH7" s="76"/>
      <c r="AI7" s="77"/>
    </row>
    <row r="8" spans="1:35" ht="15" thickBot="1" x14ac:dyDescent="0.35">
      <c r="A8" s="4" t="s">
        <v>79</v>
      </c>
      <c r="B8" s="4">
        <v>5</v>
      </c>
      <c r="C8" s="9">
        <v>2</v>
      </c>
      <c r="D8" s="10"/>
      <c r="E8" s="10"/>
      <c r="F8" s="34">
        <v>3</v>
      </c>
      <c r="G8" s="10" t="s">
        <v>74</v>
      </c>
      <c r="H8" s="8" t="s">
        <v>64</v>
      </c>
      <c r="I8" s="8" t="s">
        <v>80</v>
      </c>
      <c r="J8" s="2"/>
      <c r="K8" s="8" t="s">
        <v>261</v>
      </c>
      <c r="L8" s="8"/>
      <c r="M8" s="8"/>
      <c r="N8" s="8"/>
      <c r="O8" s="2"/>
      <c r="P8" s="26"/>
      <c r="T8" s="5">
        <v>4</v>
      </c>
      <c r="U8" s="5">
        <f>COUNTIF($D$24:$D$81,T8)</f>
        <v>0</v>
      </c>
      <c r="X8" s="5">
        <v>4</v>
      </c>
      <c r="Y8" s="5">
        <f t="shared" si="0"/>
        <v>10</v>
      </c>
      <c r="AC8" s="75"/>
      <c r="AD8" s="75"/>
      <c r="AE8" s="75"/>
      <c r="AH8" s="76"/>
      <c r="AI8" s="77"/>
    </row>
    <row r="9" spans="1:35" ht="15" thickBot="1" x14ac:dyDescent="0.35">
      <c r="A9" s="4" t="s">
        <v>260</v>
      </c>
      <c r="B9" s="4">
        <v>5</v>
      </c>
      <c r="C9" s="9">
        <v>2</v>
      </c>
      <c r="D9" s="10"/>
      <c r="E9" s="10"/>
      <c r="F9" s="10"/>
      <c r="G9" s="10" t="s">
        <v>63</v>
      </c>
      <c r="H9" s="8"/>
      <c r="I9" s="8"/>
      <c r="J9" s="2"/>
      <c r="K9" s="8" t="s">
        <v>261</v>
      </c>
      <c r="L9" s="8"/>
      <c r="M9" s="8"/>
      <c r="N9" s="8"/>
      <c r="O9" s="2"/>
      <c r="P9" s="26"/>
      <c r="X9" s="5">
        <v>5</v>
      </c>
      <c r="Y9" s="5">
        <f t="shared" si="0"/>
        <v>33</v>
      </c>
      <c r="AC9" s="75"/>
      <c r="AD9" s="75"/>
      <c r="AE9" s="75"/>
      <c r="AH9" s="76"/>
      <c r="AI9" s="77"/>
    </row>
    <row r="10" spans="1:35" ht="15" thickBot="1" x14ac:dyDescent="0.35">
      <c r="A10" s="4" t="s">
        <v>102</v>
      </c>
      <c r="B10" s="4">
        <v>5</v>
      </c>
      <c r="C10" s="9">
        <v>2</v>
      </c>
      <c r="D10" s="10"/>
      <c r="E10" s="10"/>
      <c r="F10" s="34"/>
      <c r="G10" s="10" t="s">
        <v>43</v>
      </c>
      <c r="H10" s="8"/>
      <c r="I10" s="8"/>
      <c r="J10" s="2"/>
      <c r="K10" s="8" t="s">
        <v>261</v>
      </c>
      <c r="L10" s="8"/>
      <c r="M10" s="8"/>
      <c r="N10" s="8"/>
      <c r="O10" s="2"/>
      <c r="P10" s="26"/>
      <c r="U10" s="5" cm="1">
        <f t="array" ref="U10">SUM(T4:T8*U4:U8)</f>
        <v>29</v>
      </c>
      <c r="X10" s="5">
        <v>6</v>
      </c>
      <c r="Y10" s="5">
        <f t="shared" si="0"/>
        <v>3</v>
      </c>
      <c r="AC10" s="75"/>
      <c r="AD10" s="75"/>
      <c r="AE10" s="75"/>
      <c r="AH10" s="76"/>
      <c r="AI10" s="77"/>
    </row>
    <row r="11" spans="1:35" ht="15" thickBot="1" x14ac:dyDescent="0.35">
      <c r="A11" s="4" t="s">
        <v>262</v>
      </c>
      <c r="B11" s="4">
        <v>3</v>
      </c>
      <c r="C11" s="9">
        <v>2</v>
      </c>
      <c r="D11" s="10"/>
      <c r="E11" s="10"/>
      <c r="F11" s="10"/>
      <c r="G11" s="73" t="s">
        <v>501</v>
      </c>
      <c r="H11" s="8"/>
      <c r="I11" s="8"/>
      <c r="J11" s="2"/>
      <c r="K11" s="8" t="s">
        <v>261</v>
      </c>
      <c r="L11" s="8"/>
      <c r="M11" s="8"/>
      <c r="N11" s="8"/>
      <c r="O11" s="2"/>
      <c r="P11" s="26"/>
      <c r="X11" s="5">
        <v>7</v>
      </c>
      <c r="Y11" s="5">
        <f t="shared" si="0"/>
        <v>0</v>
      </c>
      <c r="AC11" s="75"/>
      <c r="AD11" s="75"/>
      <c r="AE11" s="75"/>
    </row>
    <row r="12" spans="1:35" ht="15" thickBot="1" x14ac:dyDescent="0.35">
      <c r="A12" s="4" t="s">
        <v>91</v>
      </c>
      <c r="B12" s="4">
        <v>4</v>
      </c>
      <c r="C12" s="9">
        <v>2</v>
      </c>
      <c r="D12" s="10"/>
      <c r="E12" s="10"/>
      <c r="F12" s="34"/>
      <c r="G12" s="10" t="s">
        <v>66</v>
      </c>
      <c r="H12" s="8"/>
      <c r="I12" s="8"/>
      <c r="J12" s="2"/>
      <c r="K12" s="8" t="s">
        <v>264</v>
      </c>
      <c r="L12" s="8"/>
      <c r="M12" s="8"/>
      <c r="N12" s="8"/>
      <c r="O12" s="2"/>
      <c r="P12" s="26"/>
      <c r="X12" s="5">
        <v>8</v>
      </c>
      <c r="Y12" s="5">
        <f t="shared" si="0"/>
        <v>0</v>
      </c>
      <c r="AC12" s="75"/>
      <c r="AD12" s="75"/>
      <c r="AE12" s="75"/>
    </row>
    <row r="13" spans="1:35" ht="15" thickBot="1" x14ac:dyDescent="0.35">
      <c r="A13" s="4" t="s">
        <v>263</v>
      </c>
      <c r="B13" s="4">
        <v>3</v>
      </c>
      <c r="C13" s="9">
        <v>2</v>
      </c>
      <c r="D13" s="10"/>
      <c r="E13" s="10"/>
      <c r="F13" s="10"/>
      <c r="G13" s="73" t="s">
        <v>515</v>
      </c>
      <c r="H13" s="82" t="s">
        <v>513</v>
      </c>
      <c r="I13" s="8"/>
      <c r="J13" s="2"/>
      <c r="K13" s="8" t="s">
        <v>264</v>
      </c>
      <c r="L13" s="8"/>
      <c r="M13" s="8"/>
      <c r="N13" s="8"/>
      <c r="O13" s="2"/>
      <c r="P13" s="26"/>
      <c r="AC13" s="75"/>
      <c r="AD13" s="75"/>
      <c r="AE13" s="75"/>
    </row>
    <row r="14" spans="1:35" ht="15" thickBot="1" x14ac:dyDescent="0.35">
      <c r="A14" s="4" t="s">
        <v>95</v>
      </c>
      <c r="B14" s="4">
        <v>4</v>
      </c>
      <c r="C14" s="9">
        <v>2</v>
      </c>
      <c r="D14" s="10"/>
      <c r="E14" s="10"/>
      <c r="F14" s="34"/>
      <c r="G14" s="10" t="s">
        <v>265</v>
      </c>
      <c r="H14" s="8"/>
      <c r="I14" s="8"/>
      <c r="J14" s="2"/>
      <c r="K14" s="8" t="s">
        <v>264</v>
      </c>
      <c r="L14" s="8"/>
      <c r="M14" s="8"/>
      <c r="N14" s="8"/>
      <c r="O14" s="2"/>
      <c r="P14" s="26"/>
      <c r="AC14" s="75"/>
      <c r="AD14" s="75"/>
      <c r="AE14" s="75"/>
    </row>
    <row r="15" spans="1:35" ht="15" thickBot="1" x14ac:dyDescent="0.35">
      <c r="A15" s="4" t="s">
        <v>90</v>
      </c>
      <c r="B15" s="4">
        <v>5</v>
      </c>
      <c r="C15" s="9">
        <v>2</v>
      </c>
      <c r="D15" s="10"/>
      <c r="E15" s="10"/>
      <c r="F15" s="10"/>
      <c r="G15" s="10" t="s">
        <v>65</v>
      </c>
      <c r="H15" s="8"/>
      <c r="I15" s="8"/>
      <c r="J15" s="2"/>
      <c r="K15" s="8" t="s">
        <v>264</v>
      </c>
      <c r="L15" s="8"/>
      <c r="M15" s="8"/>
      <c r="N15" s="8"/>
      <c r="O15" s="2"/>
      <c r="P15" s="26"/>
    </row>
    <row r="16" spans="1:35" ht="15" thickBot="1" x14ac:dyDescent="0.35">
      <c r="A16" s="4" t="s">
        <v>77</v>
      </c>
      <c r="B16" s="83">
        <v>2</v>
      </c>
      <c r="C16" s="84">
        <v>1</v>
      </c>
      <c r="D16" s="10"/>
      <c r="E16" s="10"/>
      <c r="F16" s="10"/>
      <c r="G16" s="10" t="s">
        <v>179</v>
      </c>
      <c r="H16" s="8" t="s">
        <v>404</v>
      </c>
      <c r="I16" s="8"/>
      <c r="J16" s="2"/>
      <c r="K16" s="8" t="s">
        <v>264</v>
      </c>
      <c r="L16" s="8"/>
      <c r="M16" s="8"/>
      <c r="N16" s="8"/>
      <c r="O16" s="2"/>
      <c r="P16" s="26" t="s">
        <v>516</v>
      </c>
    </row>
    <row r="17" spans="1:20" ht="15" thickBot="1" x14ac:dyDescent="0.35">
      <c r="A17" s="4" t="s">
        <v>77</v>
      </c>
      <c r="B17" s="83">
        <v>2</v>
      </c>
      <c r="C17" s="84">
        <v>1</v>
      </c>
      <c r="D17" s="10"/>
      <c r="E17" s="10"/>
      <c r="F17" s="10"/>
      <c r="G17" s="10" t="s">
        <v>179</v>
      </c>
      <c r="H17" s="8" t="s">
        <v>404</v>
      </c>
      <c r="I17" s="8"/>
      <c r="J17" s="2"/>
      <c r="K17" s="8" t="s">
        <v>264</v>
      </c>
      <c r="L17" s="8"/>
      <c r="M17" s="8"/>
      <c r="N17" s="8"/>
      <c r="O17" s="2"/>
      <c r="P17" s="26" t="s">
        <v>516</v>
      </c>
    </row>
    <row r="18" spans="1:20" ht="15" thickBot="1" x14ac:dyDescent="0.35">
      <c r="A18" s="4" t="s">
        <v>272</v>
      </c>
      <c r="B18" s="4">
        <v>4</v>
      </c>
      <c r="C18" s="9">
        <v>2</v>
      </c>
      <c r="D18" s="10"/>
      <c r="E18" s="10"/>
      <c r="F18" s="10"/>
      <c r="G18" s="10" t="s">
        <v>427</v>
      </c>
      <c r="H18" s="8"/>
      <c r="I18" s="8"/>
      <c r="J18" s="2"/>
      <c r="K18" s="8" t="s">
        <v>285</v>
      </c>
      <c r="L18" s="8" t="s">
        <v>286</v>
      </c>
      <c r="M18" s="8"/>
      <c r="N18" s="8"/>
      <c r="O18" s="2"/>
      <c r="P18" s="26"/>
    </row>
    <row r="19" spans="1:20" ht="15" thickBot="1" x14ac:dyDescent="0.35">
      <c r="A19" s="4" t="s">
        <v>275</v>
      </c>
      <c r="B19" s="4">
        <v>5</v>
      </c>
      <c r="C19" s="9">
        <v>2</v>
      </c>
      <c r="D19" s="10"/>
      <c r="E19" s="10"/>
      <c r="F19" s="10"/>
      <c r="G19" s="10" t="s">
        <v>253</v>
      </c>
      <c r="H19" s="8"/>
      <c r="I19" s="8"/>
      <c r="J19" s="2"/>
      <c r="K19" s="8" t="s">
        <v>285</v>
      </c>
      <c r="L19" s="8" t="s">
        <v>286</v>
      </c>
      <c r="M19" s="8"/>
      <c r="N19" s="8"/>
      <c r="O19" s="2"/>
      <c r="P19" s="26"/>
    </row>
    <row r="20" spans="1:20" ht="15" thickBot="1" x14ac:dyDescent="0.35">
      <c r="A20" s="4" t="s">
        <v>92</v>
      </c>
      <c r="B20" s="4">
        <v>3</v>
      </c>
      <c r="C20" s="9">
        <v>1</v>
      </c>
      <c r="D20" s="10"/>
      <c r="E20" s="10"/>
      <c r="F20" s="10"/>
      <c r="G20" s="10" t="s">
        <v>287</v>
      </c>
      <c r="H20" s="8"/>
      <c r="I20" s="8"/>
      <c r="J20" s="2"/>
      <c r="K20" s="8" t="s">
        <v>285</v>
      </c>
      <c r="L20" s="8" t="s">
        <v>286</v>
      </c>
      <c r="M20" s="8"/>
      <c r="N20" s="8"/>
      <c r="O20" s="2"/>
      <c r="P20" s="26"/>
    </row>
    <row r="21" spans="1:20" ht="15" thickBot="1" x14ac:dyDescent="0.35">
      <c r="A21" s="4" t="s">
        <v>277</v>
      </c>
      <c r="B21" s="4">
        <v>3</v>
      </c>
      <c r="C21" s="9">
        <v>2</v>
      </c>
      <c r="D21" s="10"/>
      <c r="E21" s="10"/>
      <c r="F21" s="10"/>
      <c r="G21" s="73" t="s">
        <v>501</v>
      </c>
      <c r="H21" s="8"/>
      <c r="I21" s="8"/>
      <c r="J21" s="2"/>
      <c r="K21" s="8" t="s">
        <v>285</v>
      </c>
      <c r="L21" s="8" t="s">
        <v>286</v>
      </c>
      <c r="M21" s="8"/>
      <c r="N21" s="8"/>
      <c r="O21" s="2"/>
      <c r="P21" s="26"/>
    </row>
    <row r="22" spans="1:20" s="49" customFormat="1" ht="15" thickBot="1" x14ac:dyDescent="0.35">
      <c r="A22" s="42"/>
      <c r="B22" s="42"/>
      <c r="C22" s="43"/>
      <c r="D22" s="44"/>
      <c r="E22" s="44"/>
      <c r="F22" s="45"/>
      <c r="G22" s="44"/>
      <c r="H22" s="46"/>
      <c r="I22" s="46"/>
      <c r="J22" s="47"/>
      <c r="K22" s="46"/>
      <c r="L22" s="46"/>
      <c r="M22" s="46"/>
      <c r="N22" s="46"/>
      <c r="O22" s="47"/>
      <c r="P22" s="48"/>
    </row>
    <row r="23" spans="1:20" ht="15" thickBot="1" x14ac:dyDescent="0.35">
      <c r="A23" s="2" t="s">
        <v>8</v>
      </c>
      <c r="B23" s="2">
        <v>5</v>
      </c>
      <c r="C23" s="8">
        <v>2</v>
      </c>
      <c r="D23" s="10" t="s">
        <v>279</v>
      </c>
      <c r="E23" s="10"/>
      <c r="F23" s="10"/>
      <c r="G23" s="10" t="s">
        <v>13</v>
      </c>
      <c r="H23" s="8" t="s">
        <v>16</v>
      </c>
      <c r="I23" s="8" t="s">
        <v>18</v>
      </c>
      <c r="J23" s="2" t="s">
        <v>19</v>
      </c>
      <c r="K23" s="8" t="s">
        <v>313</v>
      </c>
      <c r="L23" s="8"/>
      <c r="M23" s="8"/>
      <c r="N23" s="8"/>
      <c r="O23" s="2"/>
      <c r="P23" s="26"/>
    </row>
    <row r="24" spans="1:20" ht="15" thickBot="1" x14ac:dyDescent="0.35">
      <c r="A24" s="4" t="s">
        <v>8</v>
      </c>
      <c r="B24" s="2">
        <v>5</v>
      </c>
      <c r="C24" s="8">
        <v>2</v>
      </c>
      <c r="D24" s="10" t="s">
        <v>279</v>
      </c>
      <c r="E24" s="10"/>
      <c r="F24" s="10"/>
      <c r="G24" s="10" t="s">
        <v>13</v>
      </c>
      <c r="H24" s="8" t="s">
        <v>16</v>
      </c>
      <c r="I24" s="8" t="s">
        <v>18</v>
      </c>
      <c r="J24" s="2" t="s">
        <v>19</v>
      </c>
      <c r="K24" s="8" t="s">
        <v>314</v>
      </c>
      <c r="L24" s="8"/>
      <c r="M24" s="8"/>
      <c r="N24" s="8"/>
      <c r="O24" s="2"/>
      <c r="P24" s="26"/>
      <c r="R24" s="5" t="s">
        <v>8</v>
      </c>
      <c r="S24" s="54" t="s">
        <v>453</v>
      </c>
      <c r="T24" s="54">
        <v>5</v>
      </c>
    </row>
    <row r="25" spans="1:20" ht="15" thickBot="1" x14ac:dyDescent="0.35">
      <c r="A25" s="4" t="s">
        <v>8</v>
      </c>
      <c r="B25" s="2">
        <v>5</v>
      </c>
      <c r="C25" s="8">
        <v>2</v>
      </c>
      <c r="D25" s="10" t="s">
        <v>279</v>
      </c>
      <c r="E25" s="10"/>
      <c r="F25" s="10"/>
      <c r="G25" s="10" t="s">
        <v>13</v>
      </c>
      <c r="H25" s="8" t="s">
        <v>16</v>
      </c>
      <c r="I25" s="8" t="s">
        <v>18</v>
      </c>
      <c r="J25" s="2" t="s">
        <v>19</v>
      </c>
      <c r="K25" s="8" t="s">
        <v>315</v>
      </c>
      <c r="L25" s="8"/>
      <c r="M25" s="8"/>
      <c r="N25" s="8"/>
      <c r="O25" s="2"/>
      <c r="P25" s="26"/>
      <c r="R25" s="5" t="s">
        <v>9</v>
      </c>
      <c r="S25" s="54">
        <v>2</v>
      </c>
      <c r="T25" s="54">
        <v>2</v>
      </c>
    </row>
    <row r="26" spans="1:20" ht="15" thickBot="1" x14ac:dyDescent="0.35">
      <c r="A26" s="4" t="s">
        <v>8</v>
      </c>
      <c r="B26" s="2">
        <v>5</v>
      </c>
      <c r="C26" s="8">
        <v>2</v>
      </c>
      <c r="D26" s="10" t="s">
        <v>279</v>
      </c>
      <c r="E26" s="10"/>
      <c r="F26" s="10"/>
      <c r="G26" s="10" t="s">
        <v>13</v>
      </c>
      <c r="H26" s="8" t="s">
        <v>16</v>
      </c>
      <c r="I26" s="8" t="s">
        <v>18</v>
      </c>
      <c r="J26" s="2" t="s">
        <v>19</v>
      </c>
      <c r="K26" s="8" t="s">
        <v>316</v>
      </c>
      <c r="L26" s="8"/>
      <c r="M26" s="8"/>
      <c r="N26" s="8"/>
      <c r="O26" s="2"/>
      <c r="P26" s="26"/>
      <c r="R26" s="5" t="s">
        <v>6</v>
      </c>
      <c r="S26" s="54" t="s">
        <v>453</v>
      </c>
      <c r="T26" s="54">
        <v>5</v>
      </c>
    </row>
    <row r="27" spans="1:20" ht="15" thickBot="1" x14ac:dyDescent="0.35">
      <c r="A27" s="4" t="s">
        <v>9</v>
      </c>
      <c r="B27" s="4">
        <v>2</v>
      </c>
      <c r="C27" s="9">
        <v>1</v>
      </c>
      <c r="D27" s="10" t="s">
        <v>280</v>
      </c>
      <c r="E27" s="10"/>
      <c r="F27" s="10"/>
      <c r="G27" s="10" t="s">
        <v>62</v>
      </c>
      <c r="H27" s="8"/>
      <c r="I27" s="8"/>
      <c r="J27" s="2"/>
      <c r="K27" s="8" t="s">
        <v>313</v>
      </c>
      <c r="L27" s="8"/>
      <c r="M27" s="8"/>
      <c r="N27" s="8"/>
      <c r="O27" s="2"/>
      <c r="P27" s="26"/>
      <c r="R27" s="5" t="s">
        <v>7</v>
      </c>
      <c r="S27" s="54">
        <v>2</v>
      </c>
      <c r="T27" s="54">
        <v>2</v>
      </c>
    </row>
    <row r="28" spans="1:20" ht="15" thickBot="1" x14ac:dyDescent="0.35">
      <c r="A28" s="4" t="s">
        <v>9</v>
      </c>
      <c r="B28" s="4">
        <v>2</v>
      </c>
      <c r="C28" s="9">
        <v>1</v>
      </c>
      <c r="D28" s="10" t="s">
        <v>280</v>
      </c>
      <c r="E28" s="10"/>
      <c r="F28" s="10"/>
      <c r="G28" s="10" t="s">
        <v>62</v>
      </c>
      <c r="H28" s="8"/>
      <c r="I28" s="8"/>
      <c r="J28" s="2"/>
      <c r="K28" s="8" t="s">
        <v>314</v>
      </c>
      <c r="L28" s="8"/>
      <c r="M28" s="8"/>
      <c r="N28" s="8"/>
      <c r="O28" s="2"/>
      <c r="P28" s="26"/>
      <c r="R28" s="5" t="s">
        <v>317</v>
      </c>
      <c r="S28" s="54" t="s">
        <v>453</v>
      </c>
      <c r="T28" s="54">
        <v>5</v>
      </c>
    </row>
    <row r="29" spans="1:20" ht="15" thickBot="1" x14ac:dyDescent="0.35">
      <c r="A29" s="4" t="s">
        <v>9</v>
      </c>
      <c r="B29" s="4">
        <v>2</v>
      </c>
      <c r="C29" s="9">
        <v>1</v>
      </c>
      <c r="D29" s="10" t="s">
        <v>280</v>
      </c>
      <c r="E29" s="10"/>
      <c r="F29" s="10"/>
      <c r="G29" s="10" t="s">
        <v>62</v>
      </c>
      <c r="H29" s="8"/>
      <c r="I29" s="8"/>
      <c r="J29" s="2"/>
      <c r="K29" s="8" t="s">
        <v>315</v>
      </c>
      <c r="L29" s="8"/>
      <c r="M29" s="8"/>
      <c r="N29" s="8"/>
      <c r="O29" s="2"/>
      <c r="P29" s="26"/>
      <c r="R29" s="5" t="s">
        <v>456</v>
      </c>
      <c r="S29" s="54" t="s">
        <v>453</v>
      </c>
      <c r="T29" s="54">
        <v>5</v>
      </c>
    </row>
    <row r="30" spans="1:20" ht="15" thickBot="1" x14ac:dyDescent="0.35">
      <c r="A30" s="4" t="s">
        <v>9</v>
      </c>
      <c r="B30" s="4">
        <v>2</v>
      </c>
      <c r="C30" s="9">
        <v>1</v>
      </c>
      <c r="D30" s="10" t="s">
        <v>280</v>
      </c>
      <c r="E30" s="10"/>
      <c r="F30" s="10"/>
      <c r="G30" s="10" t="s">
        <v>62</v>
      </c>
      <c r="H30" s="8"/>
      <c r="I30" s="8"/>
      <c r="J30" s="2"/>
      <c r="K30" s="8" t="s">
        <v>316</v>
      </c>
      <c r="L30" s="8"/>
      <c r="M30" s="8"/>
      <c r="N30" s="8"/>
      <c r="O30" s="2"/>
      <c r="P30" s="26"/>
      <c r="S30" s="54"/>
      <c r="T30" s="54">
        <f>SUM(T24:T29)</f>
        <v>24</v>
      </c>
    </row>
    <row r="31" spans="1:20" ht="15" thickBot="1" x14ac:dyDescent="0.35">
      <c r="A31" s="4" t="s">
        <v>6</v>
      </c>
      <c r="B31" s="4">
        <v>5</v>
      </c>
      <c r="C31" s="9">
        <v>2</v>
      </c>
      <c r="D31" s="10" t="s">
        <v>279</v>
      </c>
      <c r="E31" s="10"/>
      <c r="F31" s="10"/>
      <c r="G31" s="10" t="s">
        <v>16</v>
      </c>
      <c r="H31" s="8" t="s">
        <v>45</v>
      </c>
      <c r="I31" s="8" t="s">
        <v>15</v>
      </c>
      <c r="J31" s="2" t="s">
        <v>2</v>
      </c>
      <c r="K31" s="8" t="s">
        <v>313</v>
      </c>
      <c r="L31" s="8"/>
      <c r="M31" s="8"/>
      <c r="N31" s="8"/>
      <c r="O31" s="2"/>
      <c r="P31" s="26"/>
      <c r="S31" s="54"/>
      <c r="T31" s="54"/>
    </row>
    <row r="32" spans="1:20" ht="15" thickBot="1" x14ac:dyDescent="0.35">
      <c r="A32" s="4" t="s">
        <v>6</v>
      </c>
      <c r="B32" s="4">
        <v>5</v>
      </c>
      <c r="C32" s="9">
        <v>2</v>
      </c>
      <c r="D32" s="10" t="s">
        <v>279</v>
      </c>
      <c r="E32" s="10"/>
      <c r="F32" s="10"/>
      <c r="G32" s="10" t="s">
        <v>16</v>
      </c>
      <c r="H32" s="8" t="s">
        <v>45</v>
      </c>
      <c r="I32" s="8" t="s">
        <v>15</v>
      </c>
      <c r="J32" s="2" t="s">
        <v>2</v>
      </c>
      <c r="K32" s="8" t="s">
        <v>314</v>
      </c>
      <c r="L32" s="8"/>
      <c r="M32" s="8"/>
      <c r="N32" s="8"/>
      <c r="O32" s="2"/>
      <c r="P32" s="26"/>
      <c r="S32" s="54"/>
      <c r="T32" s="54"/>
    </row>
    <row r="33" spans="1:20" ht="15" thickBot="1" x14ac:dyDescent="0.35">
      <c r="A33" s="4" t="s">
        <v>6</v>
      </c>
      <c r="B33" s="4">
        <v>5</v>
      </c>
      <c r="C33" s="9">
        <v>2</v>
      </c>
      <c r="D33" s="10" t="s">
        <v>279</v>
      </c>
      <c r="E33" s="10"/>
      <c r="F33" s="10"/>
      <c r="G33" s="10" t="s">
        <v>16</v>
      </c>
      <c r="H33" s="8" t="s">
        <v>45</v>
      </c>
      <c r="I33" s="8" t="s">
        <v>15</v>
      </c>
      <c r="J33" s="2" t="s">
        <v>2</v>
      </c>
      <c r="K33" s="8" t="s">
        <v>315</v>
      </c>
      <c r="L33" s="8"/>
      <c r="M33" s="8"/>
      <c r="N33" s="8"/>
      <c r="O33" s="2"/>
      <c r="P33" s="26"/>
      <c r="S33" s="54"/>
      <c r="T33" s="54"/>
    </row>
    <row r="34" spans="1:20" ht="15" thickBot="1" x14ac:dyDescent="0.35">
      <c r="A34" s="4" t="s">
        <v>6</v>
      </c>
      <c r="B34" s="4">
        <v>5</v>
      </c>
      <c r="C34" s="9">
        <v>2</v>
      </c>
      <c r="D34" s="10" t="s">
        <v>279</v>
      </c>
      <c r="E34" s="10"/>
      <c r="F34" s="10"/>
      <c r="G34" s="10" t="s">
        <v>16</v>
      </c>
      <c r="H34" s="8" t="s">
        <v>45</v>
      </c>
      <c r="I34" s="8" t="s">
        <v>15</v>
      </c>
      <c r="J34" s="78" t="s">
        <v>2</v>
      </c>
      <c r="K34" s="8" t="s">
        <v>316</v>
      </c>
      <c r="L34" s="8"/>
      <c r="M34" s="8"/>
      <c r="N34" s="8"/>
      <c r="O34" s="2"/>
      <c r="P34" s="26"/>
      <c r="S34" s="54"/>
      <c r="T34" s="54"/>
    </row>
    <row r="35" spans="1:20" ht="15" thickBot="1" x14ac:dyDescent="0.35">
      <c r="A35" s="4" t="s">
        <v>7</v>
      </c>
      <c r="B35" s="4">
        <v>2</v>
      </c>
      <c r="C35" s="9">
        <v>1</v>
      </c>
      <c r="D35" s="10" t="s">
        <v>280</v>
      </c>
      <c r="E35" s="10"/>
      <c r="F35" s="10"/>
      <c r="G35" s="10" t="s">
        <v>12</v>
      </c>
      <c r="H35" s="8"/>
      <c r="I35" s="8"/>
      <c r="J35" s="2"/>
      <c r="K35" s="8" t="s">
        <v>313</v>
      </c>
      <c r="L35" s="8"/>
      <c r="M35" s="8"/>
      <c r="N35" s="8"/>
      <c r="O35" s="2"/>
      <c r="P35" s="26"/>
    </row>
    <row r="36" spans="1:20" ht="15" thickBot="1" x14ac:dyDescent="0.35">
      <c r="A36" s="4" t="s">
        <v>7</v>
      </c>
      <c r="B36" s="4">
        <v>2</v>
      </c>
      <c r="C36" s="9">
        <v>1</v>
      </c>
      <c r="D36" s="10" t="s">
        <v>280</v>
      </c>
      <c r="E36" s="10"/>
      <c r="F36" s="10"/>
      <c r="G36" s="10" t="s">
        <v>12</v>
      </c>
      <c r="H36" s="8"/>
      <c r="I36" s="8"/>
      <c r="J36" s="2"/>
      <c r="K36" s="8" t="s">
        <v>314</v>
      </c>
      <c r="L36" s="8"/>
      <c r="M36" s="8"/>
      <c r="N36" s="8"/>
      <c r="O36" s="2"/>
      <c r="P36" s="26"/>
    </row>
    <row r="37" spans="1:20" ht="15" thickBot="1" x14ac:dyDescent="0.35">
      <c r="A37" s="4" t="s">
        <v>7</v>
      </c>
      <c r="B37" s="4">
        <v>2</v>
      </c>
      <c r="C37" s="9">
        <v>1</v>
      </c>
      <c r="D37" s="10" t="s">
        <v>280</v>
      </c>
      <c r="E37" s="10"/>
      <c r="F37" s="10"/>
      <c r="G37" s="10" t="s">
        <v>12</v>
      </c>
      <c r="H37" s="8"/>
      <c r="I37" s="8"/>
      <c r="J37" s="2"/>
      <c r="K37" s="8" t="s">
        <v>315</v>
      </c>
      <c r="L37" s="8"/>
      <c r="M37" s="8"/>
      <c r="N37" s="8"/>
      <c r="O37" s="2"/>
      <c r="P37" s="26"/>
    </row>
    <row r="38" spans="1:20" ht="15" thickBot="1" x14ac:dyDescent="0.35">
      <c r="A38" s="4" t="s">
        <v>7</v>
      </c>
      <c r="B38" s="4">
        <v>2</v>
      </c>
      <c r="C38" s="9">
        <v>1</v>
      </c>
      <c r="D38" s="10" t="s">
        <v>280</v>
      </c>
      <c r="E38" s="10"/>
      <c r="F38" s="10"/>
      <c r="G38" s="10" t="s">
        <v>12</v>
      </c>
      <c r="H38" s="8"/>
      <c r="I38" s="8"/>
      <c r="J38" s="2"/>
      <c r="K38" s="8" t="s">
        <v>316</v>
      </c>
      <c r="L38" s="8"/>
      <c r="M38" s="8"/>
      <c r="N38" s="8"/>
      <c r="O38" s="2"/>
      <c r="P38" s="26"/>
    </row>
    <row r="39" spans="1:20" ht="15" thickBot="1" x14ac:dyDescent="0.35">
      <c r="A39" s="4" t="s">
        <v>317</v>
      </c>
      <c r="B39" s="4">
        <v>5</v>
      </c>
      <c r="C39" s="9">
        <v>2</v>
      </c>
      <c r="D39" s="10"/>
      <c r="E39" s="10"/>
      <c r="F39" s="10"/>
      <c r="G39" s="10" t="s">
        <v>318</v>
      </c>
      <c r="H39" s="8" t="s">
        <v>321</v>
      </c>
      <c r="I39" s="8" t="s">
        <v>519</v>
      </c>
      <c r="J39" s="2" t="s">
        <v>520</v>
      </c>
      <c r="K39" s="8" t="s">
        <v>313</v>
      </c>
      <c r="L39" s="8"/>
      <c r="M39" s="8"/>
      <c r="N39" s="8"/>
      <c r="O39" s="2"/>
      <c r="P39" s="26"/>
    </row>
    <row r="40" spans="1:20" ht="15" thickBot="1" x14ac:dyDescent="0.35">
      <c r="A40" s="4" t="s">
        <v>317</v>
      </c>
      <c r="B40" s="4">
        <v>5</v>
      </c>
      <c r="C40" s="9">
        <v>2</v>
      </c>
      <c r="D40" s="10"/>
      <c r="E40" s="10"/>
      <c r="F40" s="10"/>
      <c r="G40" s="10" t="s">
        <v>318</v>
      </c>
      <c r="H40" s="8" t="s">
        <v>321</v>
      </c>
      <c r="I40" s="8" t="s">
        <v>519</v>
      </c>
      <c r="J40" s="2" t="s">
        <v>520</v>
      </c>
      <c r="K40" s="8" t="s">
        <v>314</v>
      </c>
      <c r="L40" s="8"/>
      <c r="M40" s="8"/>
      <c r="N40" s="8"/>
      <c r="O40" s="2"/>
      <c r="P40" s="26"/>
    </row>
    <row r="41" spans="1:20" ht="15" thickBot="1" x14ac:dyDescent="0.35">
      <c r="A41" s="4" t="s">
        <v>317</v>
      </c>
      <c r="B41" s="4">
        <v>5</v>
      </c>
      <c r="C41" s="9">
        <v>2</v>
      </c>
      <c r="D41" s="10"/>
      <c r="E41" s="10"/>
      <c r="F41" s="10"/>
      <c r="G41" s="10" t="s">
        <v>318</v>
      </c>
      <c r="H41" s="8" t="s">
        <v>321</v>
      </c>
      <c r="I41" s="8" t="s">
        <v>519</v>
      </c>
      <c r="J41" s="2" t="s">
        <v>520</v>
      </c>
      <c r="K41" s="8" t="s">
        <v>315</v>
      </c>
      <c r="L41" s="8"/>
      <c r="M41" s="8"/>
      <c r="N41" s="8"/>
      <c r="O41" s="2"/>
      <c r="P41" s="26"/>
    </row>
    <row r="42" spans="1:20" ht="15" thickBot="1" x14ac:dyDescent="0.35">
      <c r="A42" s="4" t="s">
        <v>317</v>
      </c>
      <c r="B42" s="4">
        <v>5</v>
      </c>
      <c r="C42" s="9">
        <v>2</v>
      </c>
      <c r="D42" s="10"/>
      <c r="E42" s="10"/>
      <c r="F42" s="10"/>
      <c r="G42" s="10" t="s">
        <v>318</v>
      </c>
      <c r="H42" s="8" t="s">
        <v>321</v>
      </c>
      <c r="I42" s="8" t="s">
        <v>519</v>
      </c>
      <c r="J42" s="2" t="s">
        <v>520</v>
      </c>
      <c r="K42" s="8" t="s">
        <v>316</v>
      </c>
      <c r="L42" s="8"/>
      <c r="M42" s="8"/>
      <c r="N42" s="8"/>
      <c r="O42" s="2"/>
      <c r="P42" s="26"/>
    </row>
    <row r="43" spans="1:20" ht="15" thickBot="1" x14ac:dyDescent="0.35">
      <c r="A43" s="4" t="s">
        <v>522</v>
      </c>
      <c r="B43" s="4">
        <v>2</v>
      </c>
      <c r="C43" s="9">
        <v>1</v>
      </c>
      <c r="D43" s="10"/>
      <c r="E43" s="10"/>
      <c r="F43" s="10"/>
      <c r="G43" s="10" t="s">
        <v>14</v>
      </c>
      <c r="H43" s="8"/>
      <c r="I43" s="8"/>
      <c r="J43" s="2"/>
      <c r="K43" s="8" t="s">
        <v>313</v>
      </c>
      <c r="L43" s="8"/>
      <c r="M43" s="8"/>
      <c r="N43" s="8"/>
      <c r="O43" s="2"/>
      <c r="P43" s="26"/>
    </row>
    <row r="44" spans="1:20" ht="15" thickBot="1" x14ac:dyDescent="0.35">
      <c r="A44" s="4" t="s">
        <v>522</v>
      </c>
      <c r="B44" s="4">
        <v>2</v>
      </c>
      <c r="C44" s="9">
        <v>1</v>
      </c>
      <c r="D44" s="10"/>
      <c r="E44" s="10"/>
      <c r="F44" s="10"/>
      <c r="G44" s="10" t="s">
        <v>14</v>
      </c>
      <c r="H44" s="8"/>
      <c r="I44" s="8"/>
      <c r="J44" s="2"/>
      <c r="K44" s="8" t="s">
        <v>314</v>
      </c>
      <c r="L44" s="8"/>
      <c r="M44" s="8"/>
      <c r="N44" s="8"/>
      <c r="O44" s="2"/>
      <c r="P44" s="26"/>
    </row>
    <row r="45" spans="1:20" ht="15" thickBot="1" x14ac:dyDescent="0.35">
      <c r="A45" s="4" t="s">
        <v>522</v>
      </c>
      <c r="B45" s="4">
        <v>2</v>
      </c>
      <c r="C45" s="9">
        <v>1</v>
      </c>
      <c r="D45" s="10"/>
      <c r="E45" s="10"/>
      <c r="F45" s="10"/>
      <c r="G45" s="10" t="s">
        <v>14</v>
      </c>
      <c r="H45" s="8"/>
      <c r="I45" s="8"/>
      <c r="J45" s="2"/>
      <c r="K45" s="8" t="s">
        <v>315</v>
      </c>
      <c r="L45" s="8"/>
      <c r="M45" s="8"/>
      <c r="N45" s="8"/>
      <c r="O45" s="2"/>
      <c r="P45" s="26"/>
    </row>
    <row r="46" spans="1:20" ht="15" thickBot="1" x14ac:dyDescent="0.35">
      <c r="A46" s="4" t="s">
        <v>522</v>
      </c>
      <c r="B46" s="4">
        <v>2</v>
      </c>
      <c r="C46" s="9">
        <v>1</v>
      </c>
      <c r="D46" s="10"/>
      <c r="E46" s="10"/>
      <c r="F46" s="10"/>
      <c r="G46" s="10" t="s">
        <v>14</v>
      </c>
      <c r="H46" s="8"/>
      <c r="I46" s="8"/>
      <c r="J46" s="2"/>
      <c r="K46" s="8" t="s">
        <v>316</v>
      </c>
      <c r="L46" s="8"/>
      <c r="M46" s="8"/>
      <c r="N46" s="8"/>
      <c r="O46" s="2"/>
      <c r="P46" s="26"/>
    </row>
    <row r="47" spans="1:20" ht="15" thickBot="1" x14ac:dyDescent="0.35">
      <c r="A47" s="4" t="s">
        <v>523</v>
      </c>
      <c r="B47" s="4">
        <v>3</v>
      </c>
      <c r="C47" s="9">
        <v>1</v>
      </c>
      <c r="D47" s="10"/>
      <c r="E47" s="10"/>
      <c r="F47" s="10"/>
      <c r="G47" s="10" t="s">
        <v>273</v>
      </c>
      <c r="H47" s="8"/>
      <c r="I47" s="8"/>
      <c r="J47" s="2"/>
      <c r="K47" s="8" t="s">
        <v>313</v>
      </c>
      <c r="L47" s="8"/>
      <c r="M47" s="8"/>
      <c r="N47" s="8"/>
      <c r="O47" s="2"/>
      <c r="P47" s="26"/>
    </row>
    <row r="48" spans="1:20" ht="15" thickBot="1" x14ac:dyDescent="0.35">
      <c r="A48" s="4" t="s">
        <v>523</v>
      </c>
      <c r="B48" s="4">
        <v>3</v>
      </c>
      <c r="C48" s="9">
        <v>1</v>
      </c>
      <c r="D48" s="10"/>
      <c r="E48" s="10"/>
      <c r="F48" s="10"/>
      <c r="G48" s="10" t="s">
        <v>273</v>
      </c>
      <c r="H48" s="8"/>
      <c r="I48" s="8"/>
      <c r="J48" s="2"/>
      <c r="K48" s="8" t="s">
        <v>314</v>
      </c>
      <c r="L48" s="8"/>
      <c r="M48" s="8"/>
      <c r="N48" s="8"/>
      <c r="O48" s="2"/>
      <c r="P48" s="26"/>
    </row>
    <row r="49" spans="1:29" ht="15" thickBot="1" x14ac:dyDescent="0.35">
      <c r="A49" s="4" t="s">
        <v>523</v>
      </c>
      <c r="B49" s="4">
        <v>3</v>
      </c>
      <c r="C49" s="9">
        <v>1</v>
      </c>
      <c r="D49" s="10"/>
      <c r="E49" s="10"/>
      <c r="F49" s="10"/>
      <c r="G49" s="10" t="s">
        <v>273</v>
      </c>
      <c r="H49" s="8"/>
      <c r="I49" s="8"/>
      <c r="J49" s="2"/>
      <c r="K49" s="8" t="s">
        <v>315</v>
      </c>
      <c r="L49" s="8"/>
      <c r="M49" s="8"/>
      <c r="N49" s="8"/>
      <c r="O49" s="2"/>
      <c r="P49" s="26"/>
    </row>
    <row r="50" spans="1:29" ht="15" thickBot="1" x14ac:dyDescent="0.35">
      <c r="A50" s="4" t="s">
        <v>523</v>
      </c>
      <c r="B50" s="4">
        <v>3</v>
      </c>
      <c r="C50" s="9">
        <v>1</v>
      </c>
      <c r="D50" s="10"/>
      <c r="E50" s="10"/>
      <c r="F50" s="10"/>
      <c r="G50" s="10" t="s">
        <v>273</v>
      </c>
      <c r="H50" s="8"/>
      <c r="I50" s="8"/>
      <c r="J50" s="2"/>
      <c r="K50" s="8" t="s">
        <v>316</v>
      </c>
      <c r="L50" s="8"/>
      <c r="M50" s="8"/>
      <c r="N50" s="8"/>
      <c r="O50" s="2"/>
      <c r="P50" s="26"/>
    </row>
    <row r="51" spans="1:29" ht="15" thickBot="1" x14ac:dyDescent="0.35">
      <c r="A51" s="4" t="s">
        <v>22</v>
      </c>
      <c r="B51" s="4">
        <v>5</v>
      </c>
      <c r="C51" s="9">
        <v>2</v>
      </c>
      <c r="D51" s="10" t="s">
        <v>279</v>
      </c>
      <c r="E51" s="10"/>
      <c r="F51" s="10"/>
      <c r="G51" s="10" t="s">
        <v>13</v>
      </c>
      <c r="H51" s="8" t="s">
        <v>18</v>
      </c>
      <c r="I51" s="8"/>
      <c r="J51" s="2"/>
      <c r="K51" s="8" t="s">
        <v>449</v>
      </c>
      <c r="L51" s="8"/>
      <c r="M51" s="8"/>
      <c r="N51" s="8"/>
      <c r="O51" s="2"/>
      <c r="P51" s="26"/>
    </row>
    <row r="52" spans="1:29" ht="15" thickBot="1" x14ac:dyDescent="0.35">
      <c r="A52" s="4" t="s">
        <v>22</v>
      </c>
      <c r="B52" s="4">
        <v>5</v>
      </c>
      <c r="C52" s="9">
        <v>2</v>
      </c>
      <c r="D52" s="10" t="s">
        <v>279</v>
      </c>
      <c r="E52" s="10"/>
      <c r="F52" s="10"/>
      <c r="G52" s="10" t="s">
        <v>13</v>
      </c>
      <c r="H52" s="8" t="s">
        <v>18</v>
      </c>
      <c r="I52" s="8"/>
      <c r="J52" s="2"/>
      <c r="K52" s="8" t="s">
        <v>450</v>
      </c>
      <c r="L52" s="8"/>
      <c r="M52" s="8"/>
      <c r="N52" s="8"/>
      <c r="O52" s="2"/>
      <c r="P52" s="26"/>
    </row>
    <row r="53" spans="1:29" ht="15" thickBot="1" x14ac:dyDescent="0.35">
      <c r="A53" s="4" t="s">
        <v>23</v>
      </c>
      <c r="B53" s="4">
        <v>2</v>
      </c>
      <c r="C53" s="9">
        <v>1</v>
      </c>
      <c r="D53" s="10" t="s">
        <v>280</v>
      </c>
      <c r="E53" s="10"/>
      <c r="F53" s="10"/>
      <c r="G53" s="10" t="s">
        <v>13</v>
      </c>
      <c r="H53" s="8" t="s">
        <v>18</v>
      </c>
      <c r="I53" s="8"/>
      <c r="J53" s="2"/>
      <c r="K53" s="8" t="s">
        <v>449</v>
      </c>
      <c r="L53" s="8"/>
      <c r="M53" s="8"/>
      <c r="N53" s="8"/>
      <c r="O53" s="2"/>
      <c r="P53" s="26"/>
    </row>
    <row r="54" spans="1:29" ht="15" thickBot="1" x14ac:dyDescent="0.35">
      <c r="A54" s="4" t="s">
        <v>23</v>
      </c>
      <c r="B54" s="4">
        <v>2</v>
      </c>
      <c r="C54" s="9">
        <v>1</v>
      </c>
      <c r="D54" s="10" t="s">
        <v>280</v>
      </c>
      <c r="E54" s="10"/>
      <c r="F54" s="10"/>
      <c r="G54" s="10" t="s">
        <v>13</v>
      </c>
      <c r="H54" s="8" t="s">
        <v>18</v>
      </c>
      <c r="I54" s="8"/>
      <c r="J54" s="2"/>
      <c r="K54" s="8" t="s">
        <v>450</v>
      </c>
      <c r="L54" s="8"/>
      <c r="M54" s="8"/>
      <c r="N54" s="8"/>
      <c r="O54" s="2"/>
      <c r="P54" s="26"/>
    </row>
    <row r="55" spans="1:29" ht="15" thickBot="1" x14ac:dyDescent="0.35">
      <c r="A55" s="4" t="s">
        <v>20</v>
      </c>
      <c r="B55" s="4">
        <v>5</v>
      </c>
      <c r="C55" s="9">
        <v>2</v>
      </c>
      <c r="D55" s="10" t="s">
        <v>279</v>
      </c>
      <c r="E55" s="10"/>
      <c r="F55" s="10"/>
      <c r="G55" s="10" t="s">
        <v>25</v>
      </c>
      <c r="H55" s="8"/>
      <c r="I55" s="8"/>
      <c r="J55" s="2"/>
      <c r="K55" s="8" t="s">
        <v>449</v>
      </c>
      <c r="L55" s="8" t="s">
        <v>450</v>
      </c>
      <c r="M55" s="8"/>
      <c r="N55" s="8"/>
      <c r="O55" s="2"/>
      <c r="P55" s="26"/>
    </row>
    <row r="56" spans="1:29" ht="15" thickBot="1" x14ac:dyDescent="0.35">
      <c r="A56" s="4" t="s">
        <v>21</v>
      </c>
      <c r="B56" s="4">
        <v>2</v>
      </c>
      <c r="C56" s="9">
        <v>1</v>
      </c>
      <c r="D56" s="10" t="s">
        <v>280</v>
      </c>
      <c r="E56" s="10"/>
      <c r="F56" s="10"/>
      <c r="G56" s="10" t="s">
        <v>25</v>
      </c>
      <c r="H56" s="8"/>
      <c r="I56" s="8"/>
      <c r="J56" s="2"/>
      <c r="K56" s="8" t="s">
        <v>449</v>
      </c>
      <c r="L56" s="8" t="s">
        <v>450</v>
      </c>
      <c r="M56" s="8"/>
      <c r="N56" s="8"/>
      <c r="O56" s="2"/>
      <c r="P56" s="26"/>
    </row>
    <row r="57" spans="1:29" ht="15" thickBot="1" x14ac:dyDescent="0.35">
      <c r="A57" s="4" t="s">
        <v>24</v>
      </c>
      <c r="B57" s="4">
        <v>5</v>
      </c>
      <c r="C57" s="9">
        <v>2</v>
      </c>
      <c r="D57" s="10"/>
      <c r="E57" s="10"/>
      <c r="F57" s="10"/>
      <c r="G57" s="10" t="s">
        <v>26</v>
      </c>
      <c r="H57" s="8"/>
      <c r="I57" s="8"/>
      <c r="J57" s="2"/>
      <c r="K57" s="8" t="s">
        <v>449</v>
      </c>
      <c r="L57" s="8" t="s">
        <v>450</v>
      </c>
      <c r="M57" s="8"/>
      <c r="N57" s="8"/>
      <c r="O57" s="2"/>
      <c r="P57" s="26"/>
    </row>
    <row r="58" spans="1:29" s="49" customFormat="1" ht="15" thickBot="1" x14ac:dyDescent="0.35">
      <c r="A58" s="42"/>
      <c r="B58" s="42"/>
      <c r="C58" s="43"/>
      <c r="D58" s="44"/>
      <c r="E58" s="44"/>
      <c r="F58" s="45"/>
      <c r="G58" s="44"/>
      <c r="H58" s="46"/>
      <c r="I58" s="46"/>
      <c r="J58" s="47"/>
      <c r="K58" s="46"/>
      <c r="L58" s="46"/>
      <c r="M58" s="46"/>
      <c r="N58" s="46"/>
      <c r="O58" s="47"/>
      <c r="P58" s="48"/>
    </row>
    <row r="59" spans="1:29" ht="15" thickBot="1" x14ac:dyDescent="0.35">
      <c r="A59" s="4" t="s">
        <v>328</v>
      </c>
      <c r="B59" s="4">
        <v>5</v>
      </c>
      <c r="C59" s="9">
        <v>2</v>
      </c>
      <c r="D59" s="10" t="s">
        <v>279</v>
      </c>
      <c r="E59" s="10"/>
      <c r="F59" s="10"/>
      <c r="G59" s="10" t="s">
        <v>19</v>
      </c>
      <c r="H59" s="8" t="s">
        <v>45</v>
      </c>
      <c r="I59" s="8"/>
      <c r="J59" s="2"/>
      <c r="K59" s="8" t="s">
        <v>330</v>
      </c>
      <c r="L59" s="8" t="s">
        <v>332</v>
      </c>
      <c r="M59" s="8"/>
      <c r="N59" s="8"/>
      <c r="O59" s="2"/>
      <c r="P59" s="26"/>
    </row>
    <row r="60" spans="1:29" ht="15" thickBot="1" x14ac:dyDescent="0.35">
      <c r="A60" s="40" t="s">
        <v>328</v>
      </c>
      <c r="B60" s="4">
        <v>5</v>
      </c>
      <c r="C60" s="9">
        <v>2</v>
      </c>
      <c r="D60" s="10" t="s">
        <v>279</v>
      </c>
      <c r="E60" s="10"/>
      <c r="F60" s="10"/>
      <c r="G60" s="10" t="s">
        <v>19</v>
      </c>
      <c r="H60" s="8" t="s">
        <v>45</v>
      </c>
      <c r="I60" s="8"/>
      <c r="J60" s="2"/>
      <c r="K60" s="8" t="s">
        <v>331</v>
      </c>
      <c r="L60" s="8"/>
      <c r="M60" s="8"/>
      <c r="N60" s="8"/>
      <c r="O60" s="2"/>
      <c r="P60" s="26"/>
    </row>
    <row r="61" spans="1:29" ht="15" thickBot="1" x14ac:dyDescent="0.35">
      <c r="A61" s="4" t="s">
        <v>329</v>
      </c>
      <c r="B61" s="4">
        <v>2</v>
      </c>
      <c r="C61" s="9">
        <v>1</v>
      </c>
      <c r="D61" s="10" t="s">
        <v>280</v>
      </c>
      <c r="E61" s="10"/>
      <c r="F61" s="10"/>
      <c r="G61" s="10" t="s">
        <v>336</v>
      </c>
      <c r="H61" s="8"/>
      <c r="I61" s="8"/>
      <c r="J61" s="2"/>
      <c r="K61" s="8" t="s">
        <v>330</v>
      </c>
      <c r="L61" s="8" t="s">
        <v>332</v>
      </c>
      <c r="M61" s="8"/>
      <c r="N61" s="8"/>
      <c r="O61" s="2"/>
      <c r="P61" s="26"/>
      <c r="R61" s="55" t="s">
        <v>451</v>
      </c>
      <c r="S61" s="54"/>
      <c r="T61" s="54"/>
      <c r="V61" s="5" t="s">
        <v>332</v>
      </c>
      <c r="Y61" s="5" t="s">
        <v>461</v>
      </c>
    </row>
    <row r="62" spans="1:29" ht="15" thickBot="1" x14ac:dyDescent="0.35">
      <c r="A62" s="4" t="s">
        <v>329</v>
      </c>
      <c r="B62" s="4">
        <v>2</v>
      </c>
      <c r="C62" s="9">
        <v>1</v>
      </c>
      <c r="D62" s="10" t="s">
        <v>280</v>
      </c>
      <c r="E62" s="10"/>
      <c r="F62" s="10"/>
      <c r="G62" s="10" t="s">
        <v>336</v>
      </c>
      <c r="H62" s="8"/>
      <c r="I62" s="8"/>
      <c r="J62" s="2"/>
      <c r="K62" s="8" t="s">
        <v>331</v>
      </c>
      <c r="L62" s="8"/>
      <c r="M62" s="8"/>
      <c r="N62" s="8"/>
      <c r="O62" s="2"/>
      <c r="P62" s="26"/>
      <c r="R62" s="5" t="s">
        <v>345</v>
      </c>
      <c r="S62" s="54" t="s">
        <v>452</v>
      </c>
      <c r="T62" s="54">
        <v>4</v>
      </c>
      <c r="V62" s="5" t="s">
        <v>345</v>
      </c>
      <c r="W62" s="54" t="s">
        <v>452</v>
      </c>
      <c r="X62" s="54">
        <v>4</v>
      </c>
    </row>
    <row r="63" spans="1:29" ht="15" thickBot="1" x14ac:dyDescent="0.35">
      <c r="A63" s="4" t="s">
        <v>337</v>
      </c>
      <c r="B63" s="4">
        <v>5</v>
      </c>
      <c r="C63" s="9">
        <v>2</v>
      </c>
      <c r="D63" s="10"/>
      <c r="E63" s="10"/>
      <c r="F63" s="10"/>
      <c r="G63" s="10" t="s">
        <v>42</v>
      </c>
      <c r="H63" s="8"/>
      <c r="I63" s="8"/>
      <c r="J63" s="2"/>
      <c r="K63" s="8" t="s">
        <v>330</v>
      </c>
      <c r="L63" s="8" t="s">
        <v>331</v>
      </c>
      <c r="M63" s="8"/>
      <c r="N63" s="8"/>
      <c r="O63" s="2"/>
      <c r="P63" s="26"/>
      <c r="R63" s="5" t="s">
        <v>351</v>
      </c>
      <c r="S63" s="54" t="s">
        <v>453</v>
      </c>
      <c r="T63" s="54">
        <v>5</v>
      </c>
      <c r="V63" s="5" t="s">
        <v>328</v>
      </c>
      <c r="W63" s="54" t="s">
        <v>453</v>
      </c>
      <c r="X63" s="54">
        <v>5</v>
      </c>
      <c r="Y63" s="57" t="s">
        <v>457</v>
      </c>
      <c r="Z63" s="57" t="s">
        <v>458</v>
      </c>
      <c r="AA63" s="57" t="s">
        <v>362</v>
      </c>
      <c r="AB63" s="57" t="s">
        <v>459</v>
      </c>
      <c r="AC63" s="57" t="s">
        <v>460</v>
      </c>
    </row>
    <row r="64" spans="1:29" ht="15" thickBot="1" x14ac:dyDescent="0.35">
      <c r="A64" s="4" t="s">
        <v>338</v>
      </c>
      <c r="B64" s="4">
        <v>5</v>
      </c>
      <c r="C64" s="9">
        <v>2</v>
      </c>
      <c r="D64" s="10"/>
      <c r="E64" s="10"/>
      <c r="F64" s="10"/>
      <c r="G64" s="10" t="s">
        <v>26</v>
      </c>
      <c r="H64" s="8"/>
      <c r="I64" s="8"/>
      <c r="J64" s="2"/>
      <c r="K64" s="8" t="s">
        <v>330</v>
      </c>
      <c r="L64" s="8" t="s">
        <v>331</v>
      </c>
      <c r="M64" s="8"/>
      <c r="N64" s="8"/>
      <c r="O64" s="2"/>
      <c r="P64" s="26"/>
      <c r="R64" s="5" t="s">
        <v>352</v>
      </c>
      <c r="S64" s="54">
        <v>2</v>
      </c>
      <c r="T64" s="54">
        <v>2</v>
      </c>
      <c r="V64" s="5" t="s">
        <v>329</v>
      </c>
      <c r="W64" s="54">
        <v>2</v>
      </c>
      <c r="X64" s="54">
        <v>2</v>
      </c>
      <c r="Y64" s="57">
        <v>3</v>
      </c>
      <c r="Z64" s="57">
        <v>3</v>
      </c>
      <c r="AA64" s="57">
        <v>2</v>
      </c>
      <c r="AB64" s="57">
        <v>3</v>
      </c>
      <c r="AC64" s="57">
        <v>2</v>
      </c>
    </row>
    <row r="65" spans="1:29" ht="15" thickBot="1" x14ac:dyDescent="0.35">
      <c r="A65" s="4" t="s">
        <v>339</v>
      </c>
      <c r="B65" s="4">
        <v>5</v>
      </c>
      <c r="C65" s="9">
        <v>2</v>
      </c>
      <c r="D65" s="10"/>
      <c r="E65" s="10"/>
      <c r="F65" s="10"/>
      <c r="G65" s="10" t="s">
        <v>340</v>
      </c>
      <c r="H65" s="8"/>
      <c r="I65" s="8"/>
      <c r="J65" s="2"/>
      <c r="K65" s="8" t="s">
        <v>330</v>
      </c>
      <c r="L65" s="8"/>
      <c r="M65" s="8"/>
      <c r="N65" s="8"/>
      <c r="O65" s="2"/>
      <c r="P65" s="26"/>
      <c r="R65" s="5" t="s">
        <v>353</v>
      </c>
      <c r="S65" s="54" t="s">
        <v>452</v>
      </c>
      <c r="T65" s="54">
        <v>4</v>
      </c>
      <c r="V65" s="5" t="s">
        <v>454</v>
      </c>
      <c r="W65" s="54" t="s">
        <v>455</v>
      </c>
      <c r="X65" s="54">
        <v>6</v>
      </c>
      <c r="Y65" s="57">
        <v>3</v>
      </c>
      <c r="Z65" s="57">
        <v>3</v>
      </c>
      <c r="AA65" s="57">
        <v>2</v>
      </c>
      <c r="AB65" s="57">
        <v>3</v>
      </c>
      <c r="AC65" s="57">
        <v>2</v>
      </c>
    </row>
    <row r="66" spans="1:29" ht="15" thickBot="1" x14ac:dyDescent="0.35">
      <c r="A66" s="4" t="s">
        <v>339</v>
      </c>
      <c r="B66" s="4">
        <v>5</v>
      </c>
      <c r="C66" s="9">
        <v>2</v>
      </c>
      <c r="D66" s="10"/>
      <c r="E66" s="10"/>
      <c r="F66" s="10"/>
      <c r="G66" s="10" t="s">
        <v>340</v>
      </c>
      <c r="H66" s="8"/>
      <c r="I66" s="8"/>
      <c r="J66" s="2"/>
      <c r="K66" s="8" t="s">
        <v>331</v>
      </c>
      <c r="L66" s="8"/>
      <c r="M66" s="8"/>
      <c r="N66" s="8"/>
      <c r="O66" s="2"/>
      <c r="P66" s="26"/>
      <c r="R66" s="5" t="s">
        <v>454</v>
      </c>
      <c r="S66" s="54" t="s">
        <v>455</v>
      </c>
      <c r="T66" s="54">
        <v>6</v>
      </c>
      <c r="V66" s="5" t="s">
        <v>359</v>
      </c>
      <c r="W66" s="54" t="s">
        <v>453</v>
      </c>
      <c r="X66" s="54">
        <v>5</v>
      </c>
      <c r="Y66" s="57"/>
      <c r="Z66" s="57"/>
      <c r="AA66" s="57">
        <v>2</v>
      </c>
      <c r="AC66" s="57">
        <v>2</v>
      </c>
    </row>
    <row r="67" spans="1:29" ht="15" thickBot="1" x14ac:dyDescent="0.35">
      <c r="A67" s="4" t="s">
        <v>342</v>
      </c>
      <c r="B67" s="4">
        <v>3</v>
      </c>
      <c r="C67" s="9">
        <v>1</v>
      </c>
      <c r="D67" s="10"/>
      <c r="E67" s="10"/>
      <c r="F67" s="10"/>
      <c r="G67" s="10" t="s">
        <v>344</v>
      </c>
      <c r="H67" s="8"/>
      <c r="I67" s="8"/>
      <c r="J67" s="2"/>
      <c r="K67" s="8" t="s">
        <v>330</v>
      </c>
      <c r="L67" s="8"/>
      <c r="M67" s="8"/>
      <c r="N67" s="8"/>
      <c r="O67" s="2"/>
      <c r="P67" s="26"/>
      <c r="R67" s="5" t="s">
        <v>359</v>
      </c>
      <c r="S67" s="54" t="s">
        <v>453</v>
      </c>
      <c r="T67" s="54">
        <v>5</v>
      </c>
      <c r="V67" s="5" t="s">
        <v>260</v>
      </c>
      <c r="W67" s="54" t="s">
        <v>453</v>
      </c>
      <c r="X67" s="54">
        <v>5</v>
      </c>
      <c r="Y67" s="57"/>
      <c r="Z67" s="57"/>
      <c r="AA67" s="57"/>
      <c r="AB67" s="57"/>
      <c r="AC67" s="57"/>
    </row>
    <row r="68" spans="1:29" ht="15" thickBot="1" x14ac:dyDescent="0.35">
      <c r="A68" s="4" t="s">
        <v>345</v>
      </c>
      <c r="B68" s="4">
        <v>4</v>
      </c>
      <c r="C68" s="9">
        <v>2</v>
      </c>
      <c r="D68" s="10"/>
      <c r="E68" s="10"/>
      <c r="F68" s="10"/>
      <c r="G68" s="10" t="s">
        <v>347</v>
      </c>
      <c r="H68" s="8"/>
      <c r="I68" s="8"/>
      <c r="J68" s="2"/>
      <c r="K68" s="8" t="s">
        <v>330</v>
      </c>
      <c r="L68" s="8" t="s">
        <v>331</v>
      </c>
      <c r="M68" s="8"/>
      <c r="N68" s="8"/>
      <c r="O68" s="2"/>
      <c r="P68" s="26"/>
      <c r="R68" s="5" t="s">
        <v>260</v>
      </c>
      <c r="S68" s="54" t="s">
        <v>453</v>
      </c>
      <c r="T68" s="54">
        <v>5</v>
      </c>
      <c r="V68" s="5" t="s">
        <v>362</v>
      </c>
      <c r="W68" s="54">
        <v>3</v>
      </c>
      <c r="X68" s="54">
        <v>3</v>
      </c>
      <c r="Y68" s="57" t="s">
        <v>328</v>
      </c>
      <c r="Z68" s="57" t="s">
        <v>465</v>
      </c>
      <c r="AA68" s="57" t="s">
        <v>463</v>
      </c>
      <c r="AB68" s="57" t="s">
        <v>465</v>
      </c>
      <c r="AC68" s="57" t="s">
        <v>463</v>
      </c>
    </row>
    <row r="69" spans="1:29" ht="15" thickBot="1" x14ac:dyDescent="0.35">
      <c r="A69" s="4" t="s">
        <v>345</v>
      </c>
      <c r="B69" s="4">
        <v>4</v>
      </c>
      <c r="C69" s="9">
        <v>2</v>
      </c>
      <c r="D69" s="10"/>
      <c r="E69" s="10"/>
      <c r="F69" s="10"/>
      <c r="G69" s="10" t="s">
        <v>347</v>
      </c>
      <c r="H69" s="8"/>
      <c r="I69" s="8"/>
      <c r="J69" s="2"/>
      <c r="K69" s="8" t="s">
        <v>332</v>
      </c>
      <c r="L69" s="8" t="s">
        <v>334</v>
      </c>
      <c r="M69" s="8"/>
      <c r="N69" s="8"/>
      <c r="O69" s="2"/>
      <c r="P69" s="26"/>
      <c r="S69" s="54"/>
      <c r="T69" s="56">
        <f>SUM(T62:T68)</f>
        <v>31</v>
      </c>
      <c r="X69" s="54">
        <f>SUM(X62:X68)</f>
        <v>30</v>
      </c>
      <c r="Y69" s="57" t="s">
        <v>462</v>
      </c>
      <c r="Z69" s="57" t="s">
        <v>359</v>
      </c>
      <c r="AA69" s="57" t="s">
        <v>328</v>
      </c>
      <c r="AB69" s="57" t="s">
        <v>362</v>
      </c>
      <c r="AC69" s="57" t="s">
        <v>464</v>
      </c>
    </row>
    <row r="70" spans="1:29" ht="15" thickBot="1" x14ac:dyDescent="0.35">
      <c r="A70" s="4" t="s">
        <v>345</v>
      </c>
      <c r="B70" s="4">
        <v>4</v>
      </c>
      <c r="C70" s="9">
        <v>2</v>
      </c>
      <c r="D70" s="10"/>
      <c r="E70" s="10"/>
      <c r="F70" s="10"/>
      <c r="G70" s="10" t="s">
        <v>347</v>
      </c>
      <c r="H70" s="8"/>
      <c r="I70" s="8"/>
      <c r="J70" s="2"/>
      <c r="K70" s="8" t="s">
        <v>333</v>
      </c>
      <c r="L70" s="8"/>
      <c r="M70" s="8"/>
      <c r="N70" s="8"/>
      <c r="O70" s="2"/>
      <c r="P70" s="26"/>
      <c r="Y70" s="57"/>
      <c r="Z70" s="57"/>
      <c r="AA70" s="57" t="s">
        <v>462</v>
      </c>
      <c r="AC70" s="57" t="s">
        <v>359</v>
      </c>
    </row>
    <row r="71" spans="1:29" ht="15" thickBot="1" x14ac:dyDescent="0.35">
      <c r="A71" s="4" t="s">
        <v>348</v>
      </c>
      <c r="B71" s="4">
        <v>3</v>
      </c>
      <c r="C71" s="9">
        <v>1</v>
      </c>
      <c r="D71" s="10"/>
      <c r="E71" s="10"/>
      <c r="F71" s="10"/>
      <c r="G71" s="10" t="s">
        <v>350</v>
      </c>
      <c r="H71" s="8"/>
      <c r="I71" s="8"/>
      <c r="J71" s="2"/>
      <c r="K71" s="8" t="s">
        <v>331</v>
      </c>
      <c r="L71" s="8"/>
      <c r="M71" s="8"/>
      <c r="N71" s="8"/>
      <c r="O71" s="2"/>
      <c r="P71" s="26"/>
    </row>
    <row r="72" spans="1:29" ht="15" thickBot="1" x14ac:dyDescent="0.35">
      <c r="A72" s="4" t="s">
        <v>351</v>
      </c>
      <c r="B72" s="4">
        <v>5</v>
      </c>
      <c r="C72" s="9">
        <v>2</v>
      </c>
      <c r="D72" s="10" t="s">
        <v>279</v>
      </c>
      <c r="E72" s="10"/>
      <c r="F72" s="10"/>
      <c r="G72" s="10" t="s">
        <v>25</v>
      </c>
      <c r="H72" s="8" t="s">
        <v>17</v>
      </c>
      <c r="I72" s="8"/>
      <c r="J72" s="2"/>
      <c r="K72" s="8" t="s">
        <v>333</v>
      </c>
      <c r="L72" s="8"/>
      <c r="M72" s="8"/>
      <c r="N72" s="8"/>
      <c r="O72" s="2"/>
      <c r="P72" s="26"/>
    </row>
    <row r="73" spans="1:29" ht="15" thickBot="1" x14ac:dyDescent="0.35">
      <c r="A73" s="4" t="s">
        <v>351</v>
      </c>
      <c r="B73" s="4">
        <v>5</v>
      </c>
      <c r="C73" s="9">
        <v>2</v>
      </c>
      <c r="D73" s="10" t="s">
        <v>279</v>
      </c>
      <c r="E73" s="10"/>
      <c r="F73" s="10"/>
      <c r="G73" s="10" t="s">
        <v>25</v>
      </c>
      <c r="H73" s="8" t="s">
        <v>17</v>
      </c>
      <c r="I73" s="8"/>
      <c r="J73" s="2"/>
      <c r="K73" s="8" t="s">
        <v>334</v>
      </c>
      <c r="L73" s="8"/>
      <c r="M73" s="8"/>
      <c r="N73" s="8"/>
      <c r="O73" s="2"/>
      <c r="P73" s="26"/>
      <c r="R73" s="5" t="s">
        <v>331</v>
      </c>
      <c r="V73" s="5" t="s">
        <v>330</v>
      </c>
    </row>
    <row r="74" spans="1:29" ht="15" thickBot="1" x14ac:dyDescent="0.35">
      <c r="A74" s="4" t="s">
        <v>352</v>
      </c>
      <c r="B74" s="58">
        <v>1</v>
      </c>
      <c r="C74" s="9">
        <v>1</v>
      </c>
      <c r="D74" s="10" t="s">
        <v>280</v>
      </c>
      <c r="E74" s="10"/>
      <c r="F74" s="10"/>
      <c r="G74" s="10" t="s">
        <v>25</v>
      </c>
      <c r="H74" s="8"/>
      <c r="I74" s="8"/>
      <c r="J74" s="2"/>
      <c r="K74" s="8" t="s">
        <v>333</v>
      </c>
      <c r="L74" s="8"/>
      <c r="M74" s="8"/>
      <c r="N74" s="8"/>
      <c r="O74" s="2"/>
      <c r="P74" s="26"/>
      <c r="R74" s="5" t="s">
        <v>345</v>
      </c>
      <c r="S74" s="54" t="s">
        <v>452</v>
      </c>
      <c r="T74" s="54">
        <v>4</v>
      </c>
      <c r="V74" s="5" t="s">
        <v>345</v>
      </c>
      <c r="W74" s="54" t="s">
        <v>452</v>
      </c>
      <c r="X74" s="54">
        <v>4</v>
      </c>
    </row>
    <row r="75" spans="1:29" ht="15" thickBot="1" x14ac:dyDescent="0.35">
      <c r="A75" s="4" t="s">
        <v>352</v>
      </c>
      <c r="B75" s="58">
        <v>1</v>
      </c>
      <c r="C75" s="9">
        <v>1</v>
      </c>
      <c r="D75" s="10" t="s">
        <v>280</v>
      </c>
      <c r="E75" s="10"/>
      <c r="F75" s="10"/>
      <c r="G75" s="10" t="s">
        <v>25</v>
      </c>
      <c r="H75" s="8"/>
      <c r="I75" s="8"/>
      <c r="J75" s="2"/>
      <c r="K75" s="8" t="s">
        <v>334</v>
      </c>
      <c r="L75" s="8"/>
      <c r="M75" s="8"/>
      <c r="N75" s="8"/>
      <c r="O75" s="2"/>
      <c r="P75" s="26"/>
      <c r="R75" s="5" t="s">
        <v>328</v>
      </c>
      <c r="S75" s="54" t="s">
        <v>453</v>
      </c>
      <c r="T75" s="54">
        <v>5</v>
      </c>
      <c r="V75" s="5" t="s">
        <v>328</v>
      </c>
      <c r="W75" s="54" t="s">
        <v>453</v>
      </c>
      <c r="X75" s="54">
        <v>5</v>
      </c>
    </row>
    <row r="76" spans="1:29" ht="15" thickBot="1" x14ac:dyDescent="0.35">
      <c r="A76" s="4" t="s">
        <v>353</v>
      </c>
      <c r="B76" s="4">
        <v>4</v>
      </c>
      <c r="C76" s="9">
        <v>2</v>
      </c>
      <c r="D76" s="10"/>
      <c r="E76" s="10"/>
      <c r="F76" s="10"/>
      <c r="G76" s="10" t="s">
        <v>355</v>
      </c>
      <c r="H76" s="8"/>
      <c r="I76" s="8"/>
      <c r="J76" s="2"/>
      <c r="K76" s="8" t="s">
        <v>333</v>
      </c>
      <c r="L76" s="8"/>
      <c r="M76" s="8"/>
      <c r="N76" s="8"/>
      <c r="O76" s="2"/>
      <c r="P76" s="26"/>
      <c r="R76" s="5" t="s">
        <v>329</v>
      </c>
      <c r="S76" s="54">
        <v>2</v>
      </c>
      <c r="T76" s="54">
        <v>2</v>
      </c>
      <c r="V76" s="5" t="s">
        <v>329</v>
      </c>
      <c r="W76" s="54">
        <v>2</v>
      </c>
      <c r="X76" s="54">
        <v>2</v>
      </c>
    </row>
    <row r="77" spans="1:29" ht="15" thickBot="1" x14ac:dyDescent="0.35">
      <c r="A77" s="4" t="s">
        <v>353</v>
      </c>
      <c r="B77" s="4">
        <v>4</v>
      </c>
      <c r="C77" s="9">
        <v>2</v>
      </c>
      <c r="D77" s="10"/>
      <c r="E77" s="10"/>
      <c r="F77" s="10"/>
      <c r="G77" s="10" t="s">
        <v>355</v>
      </c>
      <c r="H77" s="8"/>
      <c r="I77" s="8"/>
      <c r="J77" s="2"/>
      <c r="K77" s="8" t="s">
        <v>334</v>
      </c>
      <c r="L77" s="8"/>
      <c r="M77" s="8"/>
      <c r="N77" s="8"/>
      <c r="O77" s="2"/>
      <c r="P77" s="26"/>
      <c r="R77" s="5" t="s">
        <v>337</v>
      </c>
      <c r="S77" s="54" t="s">
        <v>453</v>
      </c>
      <c r="T77" s="54">
        <v>5</v>
      </c>
      <c r="V77" s="5" t="s">
        <v>337</v>
      </c>
      <c r="W77" s="54" t="s">
        <v>453</v>
      </c>
      <c r="X77" s="54">
        <v>5</v>
      </c>
    </row>
    <row r="78" spans="1:29" ht="15" thickBot="1" x14ac:dyDescent="0.35">
      <c r="A78" s="4" t="s">
        <v>356</v>
      </c>
      <c r="B78" s="4">
        <v>6</v>
      </c>
      <c r="C78" s="9">
        <v>2</v>
      </c>
      <c r="D78" s="10"/>
      <c r="E78" s="10"/>
      <c r="F78" s="10"/>
      <c r="G78" s="73" t="s">
        <v>357</v>
      </c>
      <c r="H78" s="8"/>
      <c r="I78" s="8"/>
      <c r="J78" s="2"/>
      <c r="K78" s="8" t="s">
        <v>332</v>
      </c>
      <c r="L78" s="8" t="s">
        <v>334</v>
      </c>
      <c r="M78" s="8"/>
      <c r="N78" s="8"/>
      <c r="O78" s="2"/>
      <c r="P78" s="26"/>
      <c r="R78" s="5" t="s">
        <v>338</v>
      </c>
      <c r="S78" s="54" t="s">
        <v>453</v>
      </c>
      <c r="T78" s="54">
        <v>5</v>
      </c>
      <c r="V78" s="5" t="s">
        <v>338</v>
      </c>
      <c r="W78" s="54" t="s">
        <v>453</v>
      </c>
      <c r="X78" s="54">
        <v>5</v>
      </c>
    </row>
    <row r="79" spans="1:29" ht="15" thickBot="1" x14ac:dyDescent="0.35">
      <c r="A79" s="4" t="s">
        <v>356</v>
      </c>
      <c r="B79" s="4">
        <v>6</v>
      </c>
      <c r="C79" s="9">
        <v>2</v>
      </c>
      <c r="D79" s="10"/>
      <c r="E79" s="10"/>
      <c r="F79" s="10"/>
      <c r="G79" s="73" t="s">
        <v>357</v>
      </c>
      <c r="H79" s="8"/>
      <c r="I79" s="8"/>
      <c r="J79" s="2"/>
      <c r="K79" s="8" t="s">
        <v>333</v>
      </c>
      <c r="L79" s="8"/>
      <c r="M79" s="8"/>
      <c r="N79" s="8"/>
      <c r="O79" s="2"/>
      <c r="P79" s="26"/>
      <c r="R79" s="5" t="s">
        <v>339</v>
      </c>
      <c r="S79" s="54" t="s">
        <v>453</v>
      </c>
      <c r="T79" s="54">
        <v>5</v>
      </c>
      <c r="V79" s="5" t="s">
        <v>339</v>
      </c>
      <c r="W79" s="54" t="s">
        <v>453</v>
      </c>
      <c r="X79" s="54">
        <v>5</v>
      </c>
    </row>
    <row r="80" spans="1:29" ht="15" thickBot="1" x14ac:dyDescent="0.35">
      <c r="A80" s="4" t="s">
        <v>359</v>
      </c>
      <c r="B80" s="4">
        <v>5</v>
      </c>
      <c r="C80" s="9">
        <v>2</v>
      </c>
      <c r="D80" s="10"/>
      <c r="E80" s="10"/>
      <c r="F80" s="10"/>
      <c r="G80" s="10" t="s">
        <v>43</v>
      </c>
      <c r="H80" s="8" t="s">
        <v>44</v>
      </c>
      <c r="I80" s="8"/>
      <c r="J80" s="2"/>
      <c r="K80" s="8" t="s">
        <v>332</v>
      </c>
      <c r="L80" s="8" t="s">
        <v>334</v>
      </c>
      <c r="M80" s="8"/>
      <c r="N80" s="8"/>
      <c r="O80" s="2"/>
      <c r="P80" s="26"/>
      <c r="R80" s="5" t="s">
        <v>348</v>
      </c>
      <c r="S80" s="54">
        <v>3</v>
      </c>
      <c r="T80" s="54">
        <v>3</v>
      </c>
      <c r="V80" s="5" t="s">
        <v>342</v>
      </c>
      <c r="W80" s="54">
        <v>3</v>
      </c>
      <c r="X80" s="54">
        <v>3</v>
      </c>
    </row>
    <row r="81" spans="1:24" ht="15" thickBot="1" x14ac:dyDescent="0.35">
      <c r="A81" s="4" t="s">
        <v>359</v>
      </c>
      <c r="B81" s="4">
        <v>5</v>
      </c>
      <c r="C81" s="9">
        <v>2</v>
      </c>
      <c r="D81" s="10"/>
      <c r="E81" s="10"/>
      <c r="F81" s="10"/>
      <c r="G81" s="10" t="s">
        <v>43</v>
      </c>
      <c r="H81" s="8" t="s">
        <v>44</v>
      </c>
      <c r="I81" s="8"/>
      <c r="J81" s="2"/>
      <c r="K81" s="8" t="s">
        <v>333</v>
      </c>
      <c r="L81" s="8"/>
      <c r="M81" s="8"/>
      <c r="N81" s="8"/>
      <c r="O81" s="2"/>
      <c r="P81" s="26"/>
      <c r="T81" s="54">
        <f>SUM(T74:T80)</f>
        <v>29</v>
      </c>
      <c r="X81" s="54">
        <f>SUM(X74:X80)</f>
        <v>29</v>
      </c>
    </row>
    <row r="82" spans="1:24" ht="15" thickBot="1" x14ac:dyDescent="0.35">
      <c r="A82" s="4" t="s">
        <v>260</v>
      </c>
      <c r="B82" s="4">
        <v>5</v>
      </c>
      <c r="C82" s="9">
        <v>2</v>
      </c>
      <c r="D82" s="10"/>
      <c r="E82" s="10"/>
      <c r="F82" s="10"/>
      <c r="G82" s="10" t="s">
        <v>46</v>
      </c>
      <c r="H82" s="8" t="s">
        <v>361</v>
      </c>
      <c r="I82" s="8"/>
      <c r="J82" s="2"/>
      <c r="K82" s="8" t="s">
        <v>332</v>
      </c>
      <c r="L82" s="8" t="s">
        <v>334</v>
      </c>
      <c r="M82" s="8"/>
      <c r="N82" s="8"/>
      <c r="O82" s="2"/>
      <c r="P82" s="26"/>
    </row>
    <row r="83" spans="1:24" ht="15" thickBot="1" x14ac:dyDescent="0.35">
      <c r="A83" s="4" t="s">
        <v>260</v>
      </c>
      <c r="B83" s="4">
        <v>5</v>
      </c>
      <c r="C83" s="9">
        <v>2</v>
      </c>
      <c r="D83" s="10"/>
      <c r="E83" s="10"/>
      <c r="F83" s="10"/>
      <c r="G83" s="10" t="s">
        <v>46</v>
      </c>
      <c r="H83" s="8" t="s">
        <v>361</v>
      </c>
      <c r="I83" s="8"/>
      <c r="J83" s="2"/>
      <c r="K83" s="8" t="s">
        <v>333</v>
      </c>
      <c r="L83" s="8"/>
      <c r="M83" s="8"/>
      <c r="N83" s="8"/>
      <c r="O83" s="2"/>
      <c r="P83" s="26"/>
    </row>
    <row r="84" spans="1:24" ht="15" thickBot="1" x14ac:dyDescent="0.35">
      <c r="A84" s="4" t="s">
        <v>362</v>
      </c>
      <c r="B84" s="4">
        <v>3</v>
      </c>
      <c r="C84" s="9">
        <v>1</v>
      </c>
      <c r="D84" s="10"/>
      <c r="E84" s="10"/>
      <c r="F84" s="10"/>
      <c r="G84" s="10" t="s">
        <v>364</v>
      </c>
      <c r="H84" s="8"/>
      <c r="I84" s="8"/>
      <c r="J84" s="41"/>
      <c r="K84" s="8" t="s">
        <v>332</v>
      </c>
      <c r="L84" s="8"/>
      <c r="M84" s="8"/>
      <c r="N84" s="8"/>
      <c r="O84" s="2"/>
      <c r="P84" s="26"/>
    </row>
    <row r="85" spans="1:24" s="49" customFormat="1" ht="15" thickBot="1" x14ac:dyDescent="0.35">
      <c r="A85" s="42"/>
      <c r="B85" s="42"/>
      <c r="C85" s="43"/>
      <c r="D85" s="44"/>
      <c r="E85" s="44"/>
      <c r="F85" s="44"/>
      <c r="G85" s="44"/>
      <c r="H85" s="46"/>
      <c r="I85" s="46"/>
      <c r="J85" s="47"/>
      <c r="K85" s="46"/>
      <c r="L85" s="46"/>
      <c r="M85" s="46"/>
      <c r="N85" s="46"/>
      <c r="O85" s="47"/>
      <c r="P85" s="48"/>
    </row>
    <row r="86" spans="1:24" ht="15" thickBot="1" x14ac:dyDescent="0.35">
      <c r="A86" s="4" t="s">
        <v>365</v>
      </c>
      <c r="B86" s="4">
        <v>4</v>
      </c>
      <c r="C86" s="9">
        <v>2</v>
      </c>
      <c r="D86" s="10"/>
      <c r="E86" s="10"/>
      <c r="F86" s="10"/>
      <c r="G86" s="10" t="s">
        <v>367</v>
      </c>
      <c r="H86" s="8" t="s">
        <v>72</v>
      </c>
      <c r="I86" s="8" t="s">
        <v>499</v>
      </c>
      <c r="J86" s="2"/>
      <c r="K86" s="8" t="s">
        <v>368</v>
      </c>
      <c r="L86" s="8" t="s">
        <v>369</v>
      </c>
      <c r="M86" s="8"/>
      <c r="N86" s="8"/>
      <c r="O86" s="2"/>
      <c r="P86" s="26"/>
    </row>
    <row r="87" spans="1:24" ht="15" thickBot="1" x14ac:dyDescent="0.35">
      <c r="A87" s="4" t="s">
        <v>365</v>
      </c>
      <c r="B87" s="4">
        <v>4</v>
      </c>
      <c r="C87" s="9">
        <v>2</v>
      </c>
      <c r="D87" s="10"/>
      <c r="E87" s="10"/>
      <c r="F87" s="10"/>
      <c r="G87" s="10" t="s">
        <v>367</v>
      </c>
      <c r="H87" s="8" t="s">
        <v>72</v>
      </c>
      <c r="I87" s="8" t="s">
        <v>499</v>
      </c>
      <c r="J87" s="2"/>
      <c r="K87" s="8" t="s">
        <v>370</v>
      </c>
      <c r="L87" s="8" t="s">
        <v>372</v>
      </c>
      <c r="M87" s="8"/>
      <c r="N87" s="8"/>
      <c r="O87" s="2"/>
      <c r="P87" s="26"/>
    </row>
    <row r="88" spans="1:24" ht="15" thickBot="1" x14ac:dyDescent="0.35">
      <c r="A88" s="4" t="s">
        <v>365</v>
      </c>
      <c r="B88" s="4">
        <v>4</v>
      </c>
      <c r="C88" s="9">
        <v>2</v>
      </c>
      <c r="D88" s="10"/>
      <c r="E88" s="10"/>
      <c r="F88" s="10"/>
      <c r="G88" s="10" t="s">
        <v>367</v>
      </c>
      <c r="H88" s="8" t="s">
        <v>72</v>
      </c>
      <c r="I88" s="8" t="s">
        <v>499</v>
      </c>
      <c r="J88" s="2"/>
      <c r="K88" s="8" t="s">
        <v>371</v>
      </c>
      <c r="L88" s="8"/>
      <c r="M88" s="8"/>
      <c r="N88" s="8"/>
      <c r="O88" s="2"/>
      <c r="P88" s="26"/>
    </row>
    <row r="89" spans="1:24" ht="15" thickBot="1" x14ac:dyDescent="0.35">
      <c r="A89" s="4" t="s">
        <v>373</v>
      </c>
      <c r="B89" s="4">
        <v>4</v>
      </c>
      <c r="C89" s="9">
        <v>2</v>
      </c>
      <c r="D89" s="10"/>
      <c r="E89" s="10"/>
      <c r="F89" s="10"/>
      <c r="G89" s="10" t="s">
        <v>375</v>
      </c>
      <c r="H89" s="8"/>
      <c r="I89" s="8"/>
      <c r="J89" s="2"/>
      <c r="K89" s="8" t="s">
        <v>368</v>
      </c>
      <c r="L89" s="8" t="s">
        <v>369</v>
      </c>
      <c r="M89" s="8"/>
      <c r="N89" s="8"/>
      <c r="O89" s="2"/>
      <c r="P89" s="26"/>
    </row>
    <row r="90" spans="1:24" ht="15" thickBot="1" x14ac:dyDescent="0.35">
      <c r="A90" s="4" t="s">
        <v>376</v>
      </c>
      <c r="B90" s="4">
        <v>5</v>
      </c>
      <c r="C90" s="9">
        <v>2</v>
      </c>
      <c r="D90" s="10"/>
      <c r="E90" s="10"/>
      <c r="F90" s="10"/>
      <c r="G90" s="30" t="s">
        <v>540</v>
      </c>
      <c r="H90" s="8"/>
      <c r="I90" s="8"/>
      <c r="J90" s="2"/>
      <c r="K90" s="8" t="s">
        <v>368</v>
      </c>
      <c r="L90" s="8"/>
      <c r="M90" s="8"/>
      <c r="N90" s="8"/>
      <c r="O90" s="2"/>
      <c r="P90" s="26"/>
    </row>
    <row r="91" spans="1:24" ht="15" thickBot="1" x14ac:dyDescent="0.35">
      <c r="A91" s="4" t="s">
        <v>377</v>
      </c>
      <c r="B91" s="4">
        <v>5</v>
      </c>
      <c r="C91" s="9">
        <v>2</v>
      </c>
      <c r="D91" s="10"/>
      <c r="E91" s="10"/>
      <c r="F91" s="10">
        <v>2</v>
      </c>
      <c r="G91" s="10" t="s">
        <v>68</v>
      </c>
      <c r="H91" s="8" t="s">
        <v>69</v>
      </c>
      <c r="I91" s="8"/>
      <c r="J91" s="2"/>
      <c r="K91" s="8" t="s">
        <v>368</v>
      </c>
      <c r="L91" s="8"/>
      <c r="M91" s="8"/>
      <c r="N91" s="8"/>
      <c r="O91" s="2"/>
      <c r="P91" s="26"/>
    </row>
    <row r="92" spans="1:24" ht="15" thickBot="1" x14ac:dyDescent="0.35">
      <c r="A92" s="4" t="s">
        <v>378</v>
      </c>
      <c r="B92" s="4">
        <v>6</v>
      </c>
      <c r="C92" s="9">
        <v>1</v>
      </c>
      <c r="D92" s="10"/>
      <c r="E92" s="10"/>
      <c r="F92" s="10">
        <v>2</v>
      </c>
      <c r="G92" s="10" t="s">
        <v>381</v>
      </c>
      <c r="H92" s="8" t="s">
        <v>441</v>
      </c>
      <c r="I92" s="8"/>
      <c r="J92" s="2"/>
      <c r="K92" s="8" t="s">
        <v>368</v>
      </c>
      <c r="L92" s="8"/>
      <c r="M92" s="8"/>
      <c r="N92" s="8"/>
      <c r="O92" s="2"/>
      <c r="P92" s="26"/>
    </row>
    <row r="93" spans="1:24" ht="15" thickBot="1" x14ac:dyDescent="0.35">
      <c r="A93" s="4" t="s">
        <v>277</v>
      </c>
      <c r="B93" s="4">
        <v>3</v>
      </c>
      <c r="C93" s="9">
        <v>2</v>
      </c>
      <c r="D93" s="10"/>
      <c r="E93" s="10"/>
      <c r="F93" s="10"/>
      <c r="G93" s="73" t="s">
        <v>502</v>
      </c>
      <c r="H93" s="8"/>
      <c r="I93" s="8"/>
      <c r="J93" s="2"/>
      <c r="K93" s="8" t="s">
        <v>368</v>
      </c>
      <c r="L93" s="8" t="s">
        <v>369</v>
      </c>
      <c r="M93" s="8"/>
      <c r="N93" s="8"/>
      <c r="O93" s="2"/>
      <c r="P93" s="26"/>
    </row>
    <row r="94" spans="1:24" ht="15" thickBot="1" x14ac:dyDescent="0.35">
      <c r="A94" s="4" t="s">
        <v>277</v>
      </c>
      <c r="B94" s="4">
        <v>3</v>
      </c>
      <c r="C94" s="9">
        <v>2</v>
      </c>
      <c r="D94" s="10"/>
      <c r="E94" s="10"/>
      <c r="F94" s="10"/>
      <c r="G94" s="73" t="s">
        <v>502</v>
      </c>
      <c r="H94" s="8"/>
      <c r="I94" s="8"/>
      <c r="J94" s="2"/>
      <c r="K94" s="8" t="s">
        <v>370</v>
      </c>
      <c r="L94" s="8" t="s">
        <v>372</v>
      </c>
      <c r="M94" s="8"/>
      <c r="N94" s="8"/>
      <c r="O94" s="2"/>
      <c r="P94" s="26"/>
    </row>
    <row r="95" spans="1:24" ht="15" thickBot="1" x14ac:dyDescent="0.35">
      <c r="A95" s="4" t="s">
        <v>277</v>
      </c>
      <c r="B95" s="4">
        <v>3</v>
      </c>
      <c r="C95" s="9">
        <v>2</v>
      </c>
      <c r="D95" s="10"/>
      <c r="E95" s="10"/>
      <c r="F95" s="10"/>
      <c r="G95" s="73" t="s">
        <v>502</v>
      </c>
      <c r="H95" s="8"/>
      <c r="I95" s="8"/>
      <c r="J95" s="2"/>
      <c r="K95" s="8" t="s">
        <v>371</v>
      </c>
      <c r="L95" s="8"/>
      <c r="M95" s="8"/>
      <c r="N95" s="8"/>
      <c r="O95" s="2"/>
      <c r="P95" s="26"/>
    </row>
    <row r="96" spans="1:24" ht="15" thickBot="1" x14ac:dyDescent="0.35">
      <c r="A96" s="4" t="s">
        <v>379</v>
      </c>
      <c r="B96" s="4">
        <v>6</v>
      </c>
      <c r="C96" s="9">
        <v>2</v>
      </c>
      <c r="D96" s="10"/>
      <c r="E96" s="10"/>
      <c r="F96" s="10"/>
      <c r="G96" s="10" t="s">
        <v>42</v>
      </c>
      <c r="H96" s="8"/>
      <c r="I96" s="8"/>
      <c r="J96" s="2"/>
      <c r="K96" s="8" t="s">
        <v>370</v>
      </c>
      <c r="L96" s="8" t="s">
        <v>369</v>
      </c>
      <c r="M96" s="8"/>
      <c r="N96" s="8"/>
      <c r="O96" s="2"/>
      <c r="P96" s="26"/>
    </row>
    <row r="97" spans="1:16" ht="15" thickBot="1" x14ac:dyDescent="0.35">
      <c r="A97" s="4" t="s">
        <v>382</v>
      </c>
      <c r="B97" s="4">
        <v>4</v>
      </c>
      <c r="C97" s="9">
        <v>2</v>
      </c>
      <c r="D97" s="10"/>
      <c r="E97" s="10"/>
      <c r="F97" s="10"/>
      <c r="G97" s="30" t="s">
        <v>540</v>
      </c>
      <c r="H97" s="8"/>
      <c r="I97" s="8"/>
      <c r="J97" s="2"/>
      <c r="K97" s="8" t="s">
        <v>369</v>
      </c>
      <c r="L97" s="8"/>
      <c r="M97" s="8"/>
      <c r="N97" s="8"/>
      <c r="O97" s="2"/>
      <c r="P97" s="26"/>
    </row>
    <row r="98" spans="1:16" ht="15" thickBot="1" x14ac:dyDescent="0.35">
      <c r="A98" s="4" t="s">
        <v>429</v>
      </c>
      <c r="B98" s="4">
        <v>6</v>
      </c>
      <c r="C98" s="9">
        <v>2</v>
      </c>
      <c r="D98" s="10"/>
      <c r="E98" s="10"/>
      <c r="F98" s="10"/>
      <c r="G98" s="10" t="s">
        <v>73</v>
      </c>
      <c r="H98" s="8"/>
      <c r="I98" s="8"/>
      <c r="J98" s="2"/>
      <c r="K98" s="8" t="s">
        <v>369</v>
      </c>
      <c r="L98" s="8"/>
      <c r="M98" s="8"/>
      <c r="N98" s="8"/>
      <c r="O98" s="2"/>
      <c r="P98" s="26"/>
    </row>
    <row r="99" spans="1:16" ht="15" thickBot="1" x14ac:dyDescent="0.35">
      <c r="A99" s="4" t="s">
        <v>275</v>
      </c>
      <c r="B99" s="4">
        <v>5</v>
      </c>
      <c r="C99" s="9">
        <v>2</v>
      </c>
      <c r="D99" s="10"/>
      <c r="E99" s="10"/>
      <c r="F99" s="10"/>
      <c r="G99" s="10" t="s">
        <v>509</v>
      </c>
      <c r="H99" s="31" t="s">
        <v>524</v>
      </c>
      <c r="I99" s="8"/>
      <c r="J99" s="2"/>
      <c r="K99" s="8" t="s">
        <v>371</v>
      </c>
      <c r="L99" s="8"/>
      <c r="M99" s="8"/>
      <c r="N99" s="8"/>
      <c r="O99" s="2"/>
      <c r="P99" s="26"/>
    </row>
    <row r="100" spans="1:16" ht="15" thickBot="1" x14ac:dyDescent="0.35">
      <c r="A100" s="4" t="s">
        <v>275</v>
      </c>
      <c r="B100" s="4">
        <v>5</v>
      </c>
      <c r="C100" s="9">
        <v>2</v>
      </c>
      <c r="D100" s="10"/>
      <c r="E100" s="10"/>
      <c r="F100" s="10"/>
      <c r="G100" s="10" t="s">
        <v>509</v>
      </c>
      <c r="H100" s="31" t="s">
        <v>524</v>
      </c>
      <c r="I100" s="8"/>
      <c r="J100" s="2"/>
      <c r="K100" s="8" t="s">
        <v>372</v>
      </c>
      <c r="L100" s="8"/>
      <c r="M100" s="8"/>
      <c r="N100" s="8"/>
      <c r="O100" s="2"/>
      <c r="P100" s="26"/>
    </row>
    <row r="101" spans="1:16" ht="15" thickBot="1" x14ac:dyDescent="0.35">
      <c r="A101" s="4" t="s">
        <v>383</v>
      </c>
      <c r="B101" s="4">
        <v>5</v>
      </c>
      <c r="C101" s="9">
        <v>2</v>
      </c>
      <c r="D101" s="10"/>
      <c r="E101" s="10"/>
      <c r="F101" s="10"/>
      <c r="G101" s="10" t="s">
        <v>385</v>
      </c>
      <c r="H101" s="8" t="s">
        <v>387</v>
      </c>
      <c r="I101" s="8"/>
      <c r="J101" s="2"/>
      <c r="K101" s="8" t="s">
        <v>370</v>
      </c>
      <c r="L101" s="8" t="s">
        <v>372</v>
      </c>
      <c r="M101" s="8"/>
      <c r="N101" s="8"/>
      <c r="O101" s="2"/>
      <c r="P101" s="26"/>
    </row>
    <row r="102" spans="1:16" ht="15" thickBot="1" x14ac:dyDescent="0.35">
      <c r="A102" s="4" t="s">
        <v>383</v>
      </c>
      <c r="B102" s="4">
        <v>5</v>
      </c>
      <c r="C102" s="9">
        <v>2</v>
      </c>
      <c r="D102" s="10"/>
      <c r="E102" s="10"/>
      <c r="F102" s="10"/>
      <c r="G102" s="10" t="s">
        <v>385</v>
      </c>
      <c r="H102" s="8" t="s">
        <v>387</v>
      </c>
      <c r="I102" s="8"/>
      <c r="J102" s="2"/>
      <c r="K102" s="8" t="s">
        <v>371</v>
      </c>
      <c r="L102" s="8"/>
      <c r="M102" s="8"/>
      <c r="N102" s="8"/>
      <c r="O102" s="2"/>
      <c r="P102" s="26"/>
    </row>
    <row r="103" spans="1:16" ht="15" thickBot="1" x14ac:dyDescent="0.35">
      <c r="A103" s="4" t="s">
        <v>272</v>
      </c>
      <c r="B103" s="4">
        <v>4</v>
      </c>
      <c r="C103" s="9">
        <v>2</v>
      </c>
      <c r="D103" s="10"/>
      <c r="E103" s="10"/>
      <c r="F103" s="10"/>
      <c r="G103" s="10" t="s">
        <v>447</v>
      </c>
      <c r="H103" s="8"/>
      <c r="I103" s="8"/>
      <c r="J103" s="2"/>
      <c r="K103" s="8" t="s">
        <v>371</v>
      </c>
      <c r="L103" s="8"/>
      <c r="M103" s="8"/>
      <c r="N103" s="8"/>
      <c r="O103" s="2"/>
      <c r="P103" s="26"/>
    </row>
    <row r="104" spans="1:16" ht="15" thickBot="1" x14ac:dyDescent="0.35">
      <c r="A104" s="4" t="s">
        <v>272</v>
      </c>
      <c r="B104" s="4">
        <v>4</v>
      </c>
      <c r="C104" s="9">
        <v>2</v>
      </c>
      <c r="D104" s="10"/>
      <c r="E104" s="10"/>
      <c r="F104" s="10"/>
      <c r="G104" s="10" t="s">
        <v>447</v>
      </c>
      <c r="H104" s="8"/>
      <c r="I104" s="8"/>
      <c r="J104" s="2"/>
      <c r="K104" s="8" t="s">
        <v>372</v>
      </c>
      <c r="L104" s="8"/>
      <c r="M104" s="8"/>
      <c r="N104" s="8"/>
      <c r="O104" s="2"/>
      <c r="P104" s="26"/>
    </row>
    <row r="105" spans="1:16" ht="15" thickBot="1" x14ac:dyDescent="0.35">
      <c r="A105" s="4" t="s">
        <v>389</v>
      </c>
      <c r="B105" s="4">
        <v>4</v>
      </c>
      <c r="C105" s="9">
        <v>2</v>
      </c>
      <c r="D105" s="10"/>
      <c r="E105" s="10"/>
      <c r="F105" s="10"/>
      <c r="G105" s="10" t="s">
        <v>67</v>
      </c>
      <c r="H105" s="8" t="s">
        <v>391</v>
      </c>
      <c r="I105" s="8"/>
      <c r="J105" s="2"/>
      <c r="K105" s="8" t="s">
        <v>370</v>
      </c>
      <c r="L105" s="8" t="s">
        <v>372</v>
      </c>
      <c r="M105" s="8"/>
      <c r="N105" s="8"/>
      <c r="O105" s="2"/>
      <c r="P105" s="26"/>
    </row>
    <row r="106" spans="1:16" ht="15" thickBot="1" x14ac:dyDescent="0.35">
      <c r="A106" s="4" t="s">
        <v>389</v>
      </c>
      <c r="B106" s="4">
        <v>4</v>
      </c>
      <c r="C106" s="9">
        <v>2</v>
      </c>
      <c r="D106" s="10"/>
      <c r="E106" s="10"/>
      <c r="F106" s="10"/>
      <c r="G106" s="10" t="s">
        <v>67</v>
      </c>
      <c r="H106" s="8" t="s">
        <v>391</v>
      </c>
      <c r="I106" s="8"/>
      <c r="J106" s="2"/>
      <c r="K106" s="8" t="s">
        <v>371</v>
      </c>
      <c r="L106" s="8"/>
      <c r="M106" s="8"/>
      <c r="N106" s="8"/>
      <c r="O106" s="2"/>
      <c r="P106" s="26"/>
    </row>
    <row r="107" spans="1:16" ht="15" thickBot="1" x14ac:dyDescent="0.35">
      <c r="A107" s="4" t="s">
        <v>388</v>
      </c>
      <c r="B107" s="4">
        <v>5</v>
      </c>
      <c r="C107" s="9">
        <v>2</v>
      </c>
      <c r="D107" s="10"/>
      <c r="E107" s="10"/>
      <c r="F107" s="10">
        <v>3</v>
      </c>
      <c r="G107" s="10" t="s">
        <v>74</v>
      </c>
      <c r="H107" s="8" t="s">
        <v>64</v>
      </c>
      <c r="I107" s="8" t="s">
        <v>80</v>
      </c>
      <c r="J107" s="2"/>
      <c r="K107" s="8" t="s">
        <v>370</v>
      </c>
      <c r="L107" s="8"/>
      <c r="M107" s="8"/>
      <c r="N107" s="8"/>
      <c r="O107" s="2"/>
      <c r="P107" s="26"/>
    </row>
    <row r="108" spans="1:16" s="49" customFormat="1" ht="15" thickBot="1" x14ac:dyDescent="0.35">
      <c r="A108" s="42"/>
      <c r="B108" s="42"/>
      <c r="C108" s="43"/>
      <c r="D108" s="44"/>
      <c r="E108" s="44"/>
      <c r="F108" s="44"/>
      <c r="G108" s="44"/>
      <c r="H108" s="46"/>
      <c r="I108" s="46"/>
      <c r="J108" s="47"/>
      <c r="K108" s="46"/>
      <c r="L108" s="46"/>
      <c r="M108" s="46"/>
      <c r="N108" s="46"/>
      <c r="O108" s="47"/>
      <c r="P108" s="48"/>
    </row>
    <row r="109" spans="1:16" ht="15" thickBot="1" x14ac:dyDescent="0.35">
      <c r="A109" s="4" t="s">
        <v>263</v>
      </c>
      <c r="B109" s="4">
        <v>3</v>
      </c>
      <c r="C109" s="9">
        <v>2</v>
      </c>
      <c r="D109" s="10"/>
      <c r="E109" s="10"/>
      <c r="F109" s="10"/>
      <c r="G109" s="73" t="s">
        <v>513</v>
      </c>
      <c r="H109" s="82" t="s">
        <v>515</v>
      </c>
      <c r="I109" s="8"/>
      <c r="J109" s="2"/>
      <c r="K109" s="8" t="s">
        <v>392</v>
      </c>
      <c r="L109" s="8" t="s">
        <v>393</v>
      </c>
      <c r="M109" s="8" t="s">
        <v>394</v>
      </c>
      <c r="N109" s="8"/>
      <c r="O109" s="2"/>
      <c r="P109" s="26"/>
    </row>
    <row r="110" spans="1:16" ht="15" thickBot="1" x14ac:dyDescent="0.35">
      <c r="A110" s="4" t="s">
        <v>263</v>
      </c>
      <c r="B110" s="4">
        <v>3</v>
      </c>
      <c r="C110" s="9">
        <v>2</v>
      </c>
      <c r="D110" s="10"/>
      <c r="E110" s="10"/>
      <c r="F110" s="10"/>
      <c r="G110" s="73" t="s">
        <v>513</v>
      </c>
      <c r="H110" s="82" t="s">
        <v>515</v>
      </c>
      <c r="I110" s="8"/>
      <c r="J110" s="2"/>
      <c r="K110" s="8" t="s">
        <v>395</v>
      </c>
      <c r="L110" s="8" t="s">
        <v>396</v>
      </c>
      <c r="M110" s="8"/>
      <c r="N110" s="8"/>
      <c r="O110" s="2"/>
      <c r="P110" s="26"/>
    </row>
    <row r="111" spans="1:16" ht="15" thickBot="1" x14ac:dyDescent="0.35">
      <c r="A111" s="4" t="s">
        <v>397</v>
      </c>
      <c r="B111" s="4">
        <v>4</v>
      </c>
      <c r="C111" s="9">
        <v>2</v>
      </c>
      <c r="D111" s="10"/>
      <c r="E111" s="10"/>
      <c r="F111" s="10">
        <v>2</v>
      </c>
      <c r="G111" s="10" t="s">
        <v>71</v>
      </c>
      <c r="H111" s="8" t="s">
        <v>70</v>
      </c>
      <c r="I111" s="8"/>
      <c r="J111" s="2"/>
      <c r="K111" s="8" t="s">
        <v>392</v>
      </c>
      <c r="L111" s="8"/>
      <c r="M111" s="8"/>
      <c r="N111" s="8"/>
      <c r="O111" s="2"/>
      <c r="P111" s="26"/>
    </row>
    <row r="112" spans="1:16" ht="15" thickBot="1" x14ac:dyDescent="0.35">
      <c r="A112" s="58" t="s">
        <v>538</v>
      </c>
      <c r="B112" s="4">
        <v>4</v>
      </c>
      <c r="C112" s="9">
        <v>2</v>
      </c>
      <c r="D112" s="10"/>
      <c r="E112" s="10"/>
      <c r="F112" s="10">
        <v>2</v>
      </c>
      <c r="G112" s="10" t="s">
        <v>535</v>
      </c>
      <c r="H112" s="8" t="s">
        <v>401</v>
      </c>
      <c r="I112" s="8"/>
      <c r="J112" s="2"/>
      <c r="K112" s="8" t="s">
        <v>392</v>
      </c>
      <c r="L112" s="8" t="s">
        <v>393</v>
      </c>
      <c r="M112" s="8" t="s">
        <v>394</v>
      </c>
      <c r="N112" s="8"/>
      <c r="O112" s="2"/>
      <c r="P112" s="26"/>
    </row>
    <row r="113" spans="1:16" ht="15" thickBot="1" x14ac:dyDescent="0.35">
      <c r="A113" s="58" t="s">
        <v>538</v>
      </c>
      <c r="B113" s="4">
        <v>4</v>
      </c>
      <c r="C113" s="9">
        <v>2</v>
      </c>
      <c r="D113" s="10"/>
      <c r="E113" s="10"/>
      <c r="F113" s="10">
        <v>2</v>
      </c>
      <c r="G113" s="10" t="s">
        <v>535</v>
      </c>
      <c r="H113" s="8" t="s">
        <v>401</v>
      </c>
      <c r="I113" s="8"/>
      <c r="J113" s="2"/>
      <c r="K113" s="8" t="s">
        <v>395</v>
      </c>
      <c r="L113" s="8" t="s">
        <v>396</v>
      </c>
      <c r="M113" s="8"/>
      <c r="N113" s="8"/>
      <c r="O113" s="2"/>
      <c r="P113" s="26"/>
    </row>
    <row r="114" spans="1:16" ht="15" thickBot="1" x14ac:dyDescent="0.35">
      <c r="A114" s="4" t="s">
        <v>399</v>
      </c>
      <c r="B114" s="4">
        <v>4</v>
      </c>
      <c r="C114" s="4">
        <v>2</v>
      </c>
      <c r="D114" s="9"/>
      <c r="E114" s="10"/>
      <c r="F114" s="10">
        <v>2</v>
      </c>
      <c r="G114" s="10" t="s">
        <v>478</v>
      </c>
      <c r="H114" s="8" t="s">
        <v>537</v>
      </c>
      <c r="I114" s="8"/>
      <c r="J114" s="2"/>
      <c r="K114" s="8" t="s">
        <v>392</v>
      </c>
      <c r="L114" s="8"/>
      <c r="M114" s="8"/>
      <c r="N114" s="8"/>
      <c r="O114" s="2"/>
      <c r="P114" s="26"/>
    </row>
    <row r="115" spans="1:16" ht="15" thickBot="1" x14ac:dyDescent="0.35">
      <c r="A115" s="4" t="s">
        <v>402</v>
      </c>
      <c r="B115" s="4">
        <v>5</v>
      </c>
      <c r="C115" s="9">
        <v>2</v>
      </c>
      <c r="D115" s="10"/>
      <c r="E115" s="10"/>
      <c r="F115" s="10"/>
      <c r="G115" s="10" t="s">
        <v>181</v>
      </c>
      <c r="H115" s="8"/>
      <c r="I115" s="8"/>
      <c r="J115" s="2"/>
      <c r="K115" s="8" t="s">
        <v>393</v>
      </c>
      <c r="L115" s="8"/>
      <c r="M115" s="8"/>
      <c r="N115" s="8"/>
      <c r="O115" s="2"/>
      <c r="P115" s="26"/>
    </row>
    <row r="116" spans="1:16" ht="15" thickBot="1" x14ac:dyDescent="0.35">
      <c r="A116" s="4" t="s">
        <v>405</v>
      </c>
      <c r="B116" s="4">
        <v>3</v>
      </c>
      <c r="C116" s="50">
        <v>1</v>
      </c>
      <c r="D116" s="10"/>
      <c r="E116" s="10"/>
      <c r="F116" s="30">
        <v>2</v>
      </c>
      <c r="G116" s="10" t="s">
        <v>407</v>
      </c>
      <c r="H116" s="8" t="s">
        <v>408</v>
      </c>
      <c r="I116" s="8"/>
      <c r="J116" s="2"/>
      <c r="K116" s="8" t="s">
        <v>393</v>
      </c>
      <c r="L116" s="8"/>
      <c r="M116" s="8"/>
      <c r="N116" s="8"/>
      <c r="O116" s="2"/>
      <c r="P116" s="26"/>
    </row>
    <row r="117" spans="1:16" ht="15" thickBot="1" x14ac:dyDescent="0.35">
      <c r="A117" s="4" t="s">
        <v>409</v>
      </c>
      <c r="B117" s="4">
        <v>5</v>
      </c>
      <c r="C117" s="9">
        <v>2</v>
      </c>
      <c r="D117" s="10"/>
      <c r="E117" s="10"/>
      <c r="F117" s="10"/>
      <c r="G117" s="10" t="s">
        <v>411</v>
      </c>
      <c r="H117" s="8"/>
      <c r="I117" s="8"/>
      <c r="J117" s="2"/>
      <c r="K117" s="8" t="s">
        <v>393</v>
      </c>
      <c r="L117" s="8"/>
      <c r="M117" s="8"/>
      <c r="N117" s="8"/>
      <c r="O117" s="2"/>
      <c r="P117" s="26"/>
    </row>
    <row r="118" spans="1:16" ht="15" thickBot="1" x14ac:dyDescent="0.35">
      <c r="A118" s="4" t="s">
        <v>414</v>
      </c>
      <c r="B118" s="4">
        <v>4</v>
      </c>
      <c r="C118" s="9">
        <v>2</v>
      </c>
      <c r="D118" s="10"/>
      <c r="E118" s="10"/>
      <c r="F118" s="30"/>
      <c r="G118" s="10" t="s">
        <v>494</v>
      </c>
      <c r="H118" s="31"/>
      <c r="I118" s="8"/>
      <c r="J118" s="2"/>
      <c r="K118" s="31" t="s">
        <v>395</v>
      </c>
      <c r="L118" s="31" t="s">
        <v>396</v>
      </c>
      <c r="M118" s="31" t="s">
        <v>394</v>
      </c>
      <c r="N118" s="8"/>
      <c r="O118" s="2"/>
      <c r="P118" s="26"/>
    </row>
    <row r="119" spans="1:16" ht="15" thickBot="1" x14ac:dyDescent="0.35">
      <c r="A119" s="4" t="s">
        <v>415</v>
      </c>
      <c r="B119" s="4">
        <v>4</v>
      </c>
      <c r="C119" s="9">
        <v>2</v>
      </c>
      <c r="D119" s="10"/>
      <c r="E119" s="10"/>
      <c r="F119" s="10"/>
      <c r="G119" s="10" t="s">
        <v>65</v>
      </c>
      <c r="H119" s="8"/>
      <c r="I119" s="8"/>
      <c r="J119" s="2"/>
      <c r="K119" s="8" t="s">
        <v>395</v>
      </c>
      <c r="L119" s="8" t="s">
        <v>396</v>
      </c>
      <c r="M119" s="8"/>
      <c r="N119" s="8"/>
      <c r="O119" s="2"/>
      <c r="P119" s="26"/>
    </row>
    <row r="120" spans="1:16" ht="15" thickBot="1" x14ac:dyDescent="0.35">
      <c r="A120" s="4" t="s">
        <v>416</v>
      </c>
      <c r="B120" s="4">
        <v>4</v>
      </c>
      <c r="C120" s="9">
        <v>2</v>
      </c>
      <c r="D120" s="10"/>
      <c r="E120" s="10"/>
      <c r="F120" s="10">
        <v>0</v>
      </c>
      <c r="G120" s="30"/>
      <c r="H120" s="8"/>
      <c r="I120" s="8"/>
      <c r="J120" s="2"/>
      <c r="K120" s="8" t="s">
        <v>395</v>
      </c>
      <c r="L120" s="8" t="s">
        <v>396</v>
      </c>
      <c r="M120" s="8"/>
      <c r="N120" s="8"/>
      <c r="O120" s="2"/>
      <c r="P120" s="26"/>
    </row>
    <row r="121" spans="1:16" ht="15" thickBot="1" x14ac:dyDescent="0.35">
      <c r="A121" s="4" t="s">
        <v>269</v>
      </c>
      <c r="B121" s="4">
        <v>2</v>
      </c>
      <c r="C121" s="9">
        <v>1</v>
      </c>
      <c r="D121" s="10"/>
      <c r="E121" s="10"/>
      <c r="F121" s="10"/>
      <c r="G121" s="10" t="s">
        <v>271</v>
      </c>
      <c r="H121" s="8"/>
      <c r="I121" s="8"/>
      <c r="J121" s="2"/>
      <c r="K121" s="82" t="s">
        <v>264</v>
      </c>
      <c r="L121" s="82" t="s">
        <v>396</v>
      </c>
      <c r="M121" s="8"/>
      <c r="N121" s="8"/>
      <c r="O121" s="2"/>
      <c r="P121" s="26"/>
    </row>
    <row r="122" spans="1:16" ht="15" thickBot="1" x14ac:dyDescent="0.35">
      <c r="A122" s="4" t="s">
        <v>269</v>
      </c>
      <c r="B122" s="4">
        <v>2</v>
      </c>
      <c r="C122" s="9">
        <v>1</v>
      </c>
      <c r="D122" s="10"/>
      <c r="E122" s="10"/>
      <c r="F122" s="10"/>
      <c r="G122" s="10" t="s">
        <v>271</v>
      </c>
      <c r="H122" s="8"/>
      <c r="I122" s="8"/>
      <c r="J122" s="2"/>
      <c r="K122" s="82" t="s">
        <v>395</v>
      </c>
      <c r="L122" s="8"/>
      <c r="M122" s="8"/>
      <c r="N122" s="8"/>
      <c r="O122" s="2"/>
      <c r="P122" s="26"/>
    </row>
    <row r="123" spans="1:16" ht="15" thickBot="1" x14ac:dyDescent="0.35">
      <c r="A123" s="4" t="s">
        <v>417</v>
      </c>
      <c r="B123" s="4">
        <v>4</v>
      </c>
      <c r="C123" s="9">
        <v>1</v>
      </c>
      <c r="D123" s="10"/>
      <c r="E123" s="10"/>
      <c r="F123" s="10">
        <v>3</v>
      </c>
      <c r="G123" s="10" t="s">
        <v>419</v>
      </c>
      <c r="H123" s="8" t="s">
        <v>421</v>
      </c>
      <c r="I123" s="8" t="s">
        <v>422</v>
      </c>
      <c r="J123" s="2"/>
      <c r="K123" s="8" t="s">
        <v>394</v>
      </c>
      <c r="L123" s="8" t="s">
        <v>396</v>
      </c>
      <c r="M123" s="8"/>
      <c r="N123" s="8"/>
      <c r="O123" s="2"/>
      <c r="P123" s="26"/>
    </row>
    <row r="124" spans="1:16" ht="15" thickBot="1" x14ac:dyDescent="0.35">
      <c r="A124" s="4" t="s">
        <v>417</v>
      </c>
      <c r="B124" s="4">
        <v>4</v>
      </c>
      <c r="C124" s="9">
        <v>1</v>
      </c>
      <c r="D124" s="10"/>
      <c r="E124" s="10"/>
      <c r="F124" s="10">
        <v>3</v>
      </c>
      <c r="G124" s="10" t="s">
        <v>419</v>
      </c>
      <c r="H124" s="8" t="s">
        <v>421</v>
      </c>
      <c r="I124" s="8" t="s">
        <v>422</v>
      </c>
      <c r="J124" s="2"/>
      <c r="K124" s="8" t="s">
        <v>395</v>
      </c>
      <c r="L124" s="8"/>
      <c r="M124" s="8"/>
      <c r="N124" s="8"/>
      <c r="O124" s="2"/>
      <c r="P124" s="26"/>
    </row>
    <row r="125" spans="1:16" ht="15" thickBot="1" x14ac:dyDescent="0.35">
      <c r="A125" s="4" t="s">
        <v>423</v>
      </c>
      <c r="B125" s="4">
        <v>5</v>
      </c>
      <c r="C125" s="9">
        <v>2</v>
      </c>
      <c r="D125" s="10"/>
      <c r="E125" s="10"/>
      <c r="F125" s="10"/>
      <c r="G125" s="10" t="s">
        <v>425</v>
      </c>
      <c r="H125" s="8"/>
      <c r="I125" s="8"/>
      <c r="J125" s="2"/>
      <c r="K125" s="8" t="s">
        <v>394</v>
      </c>
      <c r="L125" s="8"/>
      <c r="M125" s="8"/>
      <c r="N125" s="8"/>
      <c r="O125" s="2"/>
      <c r="P125" s="26"/>
    </row>
    <row r="126" spans="1:16" ht="15" thickBot="1" x14ac:dyDescent="0.35">
      <c r="A126" s="4" t="s">
        <v>426</v>
      </c>
      <c r="B126" s="51"/>
      <c r="C126" s="50"/>
      <c r="D126" s="10"/>
      <c r="E126" s="10"/>
      <c r="F126" s="10"/>
      <c r="G126" s="10" t="s">
        <v>44</v>
      </c>
      <c r="H126" s="8"/>
      <c r="I126" s="8"/>
      <c r="J126" s="2"/>
      <c r="K126" s="8" t="s">
        <v>394</v>
      </c>
      <c r="L126" s="8"/>
      <c r="M126" s="8"/>
      <c r="N126" s="8"/>
      <c r="O126" s="2"/>
      <c r="P126" s="26"/>
    </row>
    <row r="127" spans="1:16" s="49" customFormat="1" ht="15" thickBot="1" x14ac:dyDescent="0.35">
      <c r="A127" s="42"/>
      <c r="B127" s="42"/>
      <c r="C127" s="43"/>
      <c r="D127" s="44"/>
      <c r="E127" s="44"/>
      <c r="F127" s="44"/>
      <c r="G127" s="44"/>
      <c r="H127" s="46"/>
      <c r="I127" s="46"/>
      <c r="J127" s="47"/>
      <c r="K127" s="46"/>
      <c r="L127" s="46"/>
      <c r="M127" s="46"/>
      <c r="N127" s="46"/>
      <c r="O127" s="47"/>
      <c r="P127" s="48"/>
    </row>
    <row r="128" spans="1:16" ht="15" thickBot="1" x14ac:dyDescent="0.35">
      <c r="A128" s="4" t="s">
        <v>466</v>
      </c>
      <c r="B128" s="83">
        <v>4</v>
      </c>
      <c r="C128" s="84">
        <v>2</v>
      </c>
      <c r="D128" s="10"/>
      <c r="E128" s="10"/>
      <c r="F128" s="10"/>
      <c r="G128" s="10" t="s">
        <v>476</v>
      </c>
      <c r="H128" s="8"/>
      <c r="I128" s="8"/>
      <c r="J128" s="2"/>
      <c r="K128" s="8" t="s">
        <v>495</v>
      </c>
      <c r="L128" s="8"/>
      <c r="M128" s="8"/>
      <c r="N128" s="8"/>
      <c r="O128" s="2"/>
      <c r="P128" s="26"/>
    </row>
    <row r="129" spans="1:16" ht="15" thickBot="1" x14ac:dyDescent="0.35">
      <c r="A129" s="4" t="s">
        <v>467</v>
      </c>
      <c r="B129" s="4">
        <v>4</v>
      </c>
      <c r="C129" s="9">
        <v>2</v>
      </c>
      <c r="D129" s="10"/>
      <c r="E129" s="10"/>
      <c r="F129" s="10"/>
      <c r="G129" s="10" t="s">
        <v>478</v>
      </c>
      <c r="H129" s="8"/>
      <c r="I129" s="8"/>
      <c r="J129" s="2"/>
      <c r="K129" s="8" t="s">
        <v>495</v>
      </c>
      <c r="L129" s="8"/>
      <c r="M129" s="8"/>
      <c r="N129" s="8"/>
      <c r="O129" s="2"/>
      <c r="P129" s="26"/>
    </row>
    <row r="130" spans="1:16" ht="15" thickBot="1" x14ac:dyDescent="0.35">
      <c r="A130" s="4" t="s">
        <v>468</v>
      </c>
      <c r="B130" s="4">
        <v>3</v>
      </c>
      <c r="C130" s="9">
        <v>1</v>
      </c>
      <c r="D130" s="10"/>
      <c r="E130" s="10"/>
      <c r="F130" s="10"/>
      <c r="G130" s="10" t="s">
        <v>480</v>
      </c>
      <c r="H130" s="8" t="s">
        <v>482</v>
      </c>
      <c r="I130" s="8"/>
      <c r="J130" s="2"/>
      <c r="K130" s="8" t="s">
        <v>495</v>
      </c>
      <c r="L130" s="8" t="s">
        <v>496</v>
      </c>
      <c r="M130" s="8"/>
      <c r="N130" s="8"/>
      <c r="O130" s="2"/>
      <c r="P130" s="26"/>
    </row>
    <row r="131" spans="1:16" ht="15" thickBot="1" x14ac:dyDescent="0.35">
      <c r="A131" s="4" t="s">
        <v>468</v>
      </c>
      <c r="B131" s="4">
        <v>3</v>
      </c>
      <c r="C131" s="9">
        <v>1</v>
      </c>
      <c r="D131" s="10"/>
      <c r="E131" s="10"/>
      <c r="F131" s="10"/>
      <c r="G131" s="10" t="s">
        <v>480</v>
      </c>
      <c r="H131" s="8" t="s">
        <v>482</v>
      </c>
      <c r="I131" s="8"/>
      <c r="J131" s="2"/>
      <c r="K131" s="8" t="s">
        <v>497</v>
      </c>
      <c r="L131" s="8" t="s">
        <v>498</v>
      </c>
      <c r="M131" s="8"/>
      <c r="N131" s="8"/>
      <c r="O131" s="2"/>
      <c r="P131" s="26"/>
    </row>
    <row r="132" spans="1:16" ht="15" thickBot="1" x14ac:dyDescent="0.35">
      <c r="A132" s="4" t="s">
        <v>469</v>
      </c>
      <c r="B132" s="4">
        <v>5</v>
      </c>
      <c r="C132" s="9">
        <v>2</v>
      </c>
      <c r="D132" s="10"/>
      <c r="E132" s="10"/>
      <c r="F132" s="10"/>
      <c r="G132" s="10" t="s">
        <v>484</v>
      </c>
      <c r="H132" s="8"/>
      <c r="I132" s="8"/>
      <c r="J132" s="2"/>
      <c r="K132" s="8" t="s">
        <v>495</v>
      </c>
      <c r="L132" s="8"/>
      <c r="M132" s="8"/>
      <c r="N132" s="8"/>
      <c r="O132" s="2"/>
      <c r="P132" s="26"/>
    </row>
    <row r="133" spans="1:16" ht="15" thickBot="1" x14ac:dyDescent="0.35">
      <c r="A133" s="4" t="s">
        <v>470</v>
      </c>
      <c r="B133" s="4">
        <v>4</v>
      </c>
      <c r="C133" s="9">
        <v>2</v>
      </c>
      <c r="D133" s="10"/>
      <c r="E133" s="10"/>
      <c r="F133" s="10"/>
      <c r="G133" s="10" t="s">
        <v>486</v>
      </c>
      <c r="H133" s="8"/>
      <c r="I133" s="8"/>
      <c r="J133" s="2"/>
      <c r="K133" s="8" t="s">
        <v>496</v>
      </c>
      <c r="L133" s="8"/>
      <c r="M133" s="8"/>
      <c r="N133" s="8"/>
      <c r="O133" s="2"/>
      <c r="P133" s="26"/>
    </row>
    <row r="134" spans="1:16" ht="15" thickBot="1" x14ac:dyDescent="0.35">
      <c r="A134" s="4" t="s">
        <v>471</v>
      </c>
      <c r="B134" s="4">
        <v>5</v>
      </c>
      <c r="C134" s="9">
        <v>2</v>
      </c>
      <c r="D134" s="10"/>
      <c r="E134" s="10"/>
      <c r="F134" s="30"/>
      <c r="G134" s="10" t="s">
        <v>488</v>
      </c>
      <c r="H134" s="31"/>
      <c r="I134" s="8"/>
      <c r="J134" s="2"/>
      <c r="K134" s="8" t="s">
        <v>496</v>
      </c>
      <c r="L134" s="8"/>
      <c r="M134" s="8"/>
      <c r="N134" s="8"/>
      <c r="O134" s="2"/>
      <c r="P134" s="26"/>
    </row>
    <row r="135" spans="1:16" ht="15" thickBot="1" x14ac:dyDescent="0.35">
      <c r="A135" s="4" t="s">
        <v>472</v>
      </c>
      <c r="B135" s="83">
        <v>5</v>
      </c>
      <c r="C135" s="84">
        <v>2</v>
      </c>
      <c r="D135" s="10"/>
      <c r="E135" s="10"/>
      <c r="F135" s="34"/>
      <c r="G135" s="10" t="s">
        <v>490</v>
      </c>
      <c r="H135" s="8"/>
      <c r="I135" s="8"/>
      <c r="J135" s="2"/>
      <c r="K135" s="8" t="s">
        <v>496</v>
      </c>
      <c r="L135" s="8"/>
      <c r="M135" s="8"/>
      <c r="N135" s="8"/>
      <c r="O135" s="2"/>
      <c r="P135" s="26"/>
    </row>
    <row r="136" spans="1:16" ht="15" thickBot="1" x14ac:dyDescent="0.35">
      <c r="A136" s="4" t="s">
        <v>473</v>
      </c>
      <c r="B136" s="4">
        <v>4</v>
      </c>
      <c r="C136" s="9">
        <v>2</v>
      </c>
      <c r="D136" s="10"/>
      <c r="E136" s="10"/>
      <c r="F136" s="10"/>
      <c r="G136" s="10" t="s">
        <v>492</v>
      </c>
      <c r="H136" s="8"/>
      <c r="I136" s="8"/>
      <c r="J136" s="2"/>
      <c r="K136" s="8" t="s">
        <v>497</v>
      </c>
      <c r="L136" s="8"/>
      <c r="M136" s="8"/>
      <c r="N136" s="8"/>
      <c r="O136" s="2"/>
      <c r="P136" s="26"/>
    </row>
    <row r="137" spans="1:16" ht="15" thickBot="1" x14ac:dyDescent="0.35">
      <c r="A137" s="51" t="s">
        <v>414</v>
      </c>
      <c r="B137" s="4">
        <v>4</v>
      </c>
      <c r="C137" s="9">
        <v>2</v>
      </c>
      <c r="D137" s="10"/>
      <c r="E137" s="10"/>
      <c r="F137" s="30"/>
      <c r="G137" s="10" t="s">
        <v>494</v>
      </c>
      <c r="H137" s="31"/>
      <c r="I137" s="8"/>
      <c r="J137" s="2"/>
      <c r="K137" s="8" t="s">
        <v>498</v>
      </c>
      <c r="L137" s="8"/>
      <c r="M137" s="8"/>
      <c r="N137" s="8"/>
      <c r="O137" s="2"/>
      <c r="P137" s="26"/>
    </row>
    <row r="138" spans="1:16" ht="15" thickBot="1" x14ac:dyDescent="0.35">
      <c r="A138" s="4" t="s">
        <v>474</v>
      </c>
      <c r="B138" s="4">
        <v>4</v>
      </c>
      <c r="C138" s="9">
        <v>1</v>
      </c>
      <c r="D138" s="10"/>
      <c r="E138" s="10"/>
      <c r="F138" s="10">
        <v>3</v>
      </c>
      <c r="G138" s="10" t="s">
        <v>419</v>
      </c>
      <c r="H138" s="8" t="s">
        <v>421</v>
      </c>
      <c r="I138" s="8" t="s">
        <v>422</v>
      </c>
      <c r="J138" s="2"/>
      <c r="K138" s="8" t="s">
        <v>497</v>
      </c>
      <c r="L138" s="8" t="s">
        <v>498</v>
      </c>
      <c r="M138" s="8"/>
      <c r="N138" s="8"/>
      <c r="O138" s="2"/>
      <c r="P138" s="26"/>
    </row>
    <row r="139" spans="1:16" s="65" customFormat="1" ht="15" thickBot="1" x14ac:dyDescent="0.35">
      <c r="A139" s="59"/>
      <c r="B139" s="59"/>
      <c r="C139" s="60"/>
      <c r="D139" s="61"/>
      <c r="E139" s="61"/>
      <c r="F139" s="61"/>
      <c r="G139" s="61"/>
      <c r="H139" s="62"/>
      <c r="I139" s="62"/>
      <c r="J139" s="63"/>
      <c r="K139" s="62"/>
      <c r="L139" s="62"/>
      <c r="M139" s="62"/>
      <c r="N139" s="62"/>
      <c r="O139" s="63"/>
      <c r="P139" s="64"/>
    </row>
    <row r="140" spans="1:16" ht="15" thickBot="1" x14ac:dyDescent="0.35">
      <c r="A140" s="4" t="s">
        <v>282</v>
      </c>
      <c r="B140" s="4">
        <v>4</v>
      </c>
      <c r="C140" s="9">
        <v>2</v>
      </c>
      <c r="D140" s="10"/>
      <c r="E140" s="10" t="s">
        <v>238</v>
      </c>
      <c r="F140" s="10"/>
      <c r="G140" s="10" t="s">
        <v>16</v>
      </c>
      <c r="H140" s="8"/>
      <c r="I140" s="8"/>
      <c r="J140" s="2"/>
      <c r="K140" s="31" t="s">
        <v>497</v>
      </c>
      <c r="L140" s="31" t="s">
        <v>498</v>
      </c>
      <c r="M140" s="8"/>
      <c r="N140" s="8"/>
      <c r="O140" s="2"/>
      <c r="P140" s="26"/>
    </row>
    <row r="141" spans="1:16" ht="15" thickBot="1" x14ac:dyDescent="0.35">
      <c r="A141" s="4" t="s">
        <v>283</v>
      </c>
      <c r="B141" s="4">
        <v>3</v>
      </c>
      <c r="C141" s="9">
        <v>1</v>
      </c>
      <c r="D141" s="10"/>
      <c r="E141" s="10" t="s">
        <v>238</v>
      </c>
      <c r="F141" s="10"/>
      <c r="G141" s="10" t="s">
        <v>67</v>
      </c>
      <c r="H141" s="8"/>
      <c r="I141" s="8"/>
      <c r="J141" s="2"/>
      <c r="K141" s="8" t="s">
        <v>517</v>
      </c>
      <c r="L141" s="31" t="s">
        <v>497</v>
      </c>
      <c r="M141" s="31" t="s">
        <v>498</v>
      </c>
      <c r="N141" s="8"/>
      <c r="O141" s="2"/>
      <c r="P141" s="26"/>
    </row>
    <row r="142" spans="1:16" ht="15" thickBot="1" x14ac:dyDescent="0.35">
      <c r="A142" s="4" t="s">
        <v>284</v>
      </c>
      <c r="B142" s="4">
        <v>3</v>
      </c>
      <c r="C142" s="9">
        <v>1</v>
      </c>
      <c r="D142" s="10"/>
      <c r="E142" s="10" t="s">
        <v>238</v>
      </c>
      <c r="F142" s="10"/>
      <c r="G142" s="10" t="s">
        <v>43</v>
      </c>
      <c r="H142" s="8"/>
      <c r="I142" s="8"/>
      <c r="J142" s="2"/>
      <c r="K142" s="8" t="s">
        <v>517</v>
      </c>
      <c r="L142" s="31" t="s">
        <v>497</v>
      </c>
      <c r="M142" s="31" t="s">
        <v>498</v>
      </c>
      <c r="N142" s="8"/>
      <c r="O142" s="2"/>
      <c r="P142" s="26"/>
    </row>
    <row r="143" spans="1:16" ht="15" thickBot="1" x14ac:dyDescent="0.35">
      <c r="A143" s="4" t="s">
        <v>542</v>
      </c>
      <c r="B143" s="4">
        <v>4</v>
      </c>
      <c r="C143" s="9">
        <v>2</v>
      </c>
      <c r="D143" s="10"/>
      <c r="E143" s="10" t="s">
        <v>238</v>
      </c>
      <c r="F143" s="10"/>
      <c r="G143" s="10" t="s">
        <v>72</v>
      </c>
      <c r="H143" s="8"/>
      <c r="I143" s="8"/>
      <c r="J143" s="2"/>
      <c r="K143" s="8" t="s">
        <v>393</v>
      </c>
      <c r="L143" s="8"/>
      <c r="M143" s="8"/>
      <c r="N143" s="8"/>
      <c r="O143" s="2"/>
      <c r="P143" s="26"/>
    </row>
    <row r="144" spans="1:16" ht="15" thickBot="1" x14ac:dyDescent="0.35">
      <c r="A144" s="4" t="s">
        <v>543</v>
      </c>
      <c r="B144" s="4">
        <v>4</v>
      </c>
      <c r="C144" s="9">
        <v>2</v>
      </c>
      <c r="D144" s="10"/>
      <c r="E144" s="10" t="s">
        <v>238</v>
      </c>
      <c r="F144" s="10"/>
      <c r="G144" s="10" t="s">
        <v>528</v>
      </c>
      <c r="H144" s="8"/>
      <c r="I144" s="8"/>
      <c r="J144" s="2"/>
      <c r="K144" s="8" t="s">
        <v>393</v>
      </c>
      <c r="L144" s="8"/>
      <c r="M144" s="8"/>
      <c r="N144" s="8"/>
      <c r="O144" s="2"/>
      <c r="P144" s="26"/>
    </row>
    <row r="145" spans="1:16" ht="15" thickBot="1" x14ac:dyDescent="0.35">
      <c r="A145" s="4" t="s">
        <v>544</v>
      </c>
      <c r="B145" s="4">
        <v>4</v>
      </c>
      <c r="C145" s="9">
        <v>2</v>
      </c>
      <c r="D145" s="10"/>
      <c r="E145" s="10" t="s">
        <v>238</v>
      </c>
      <c r="F145" s="10"/>
      <c r="G145" s="10" t="s">
        <v>541</v>
      </c>
      <c r="H145" s="8"/>
      <c r="I145" s="8"/>
      <c r="J145" s="2"/>
      <c r="K145" s="8" t="s">
        <v>392</v>
      </c>
      <c r="L145" s="8"/>
      <c r="M145" s="8"/>
      <c r="N145" s="8"/>
      <c r="O145" s="2"/>
      <c r="P145" s="26"/>
    </row>
    <row r="146" spans="1:16" ht="15" thickBot="1" x14ac:dyDescent="0.35">
      <c r="A146" s="4" t="s">
        <v>545</v>
      </c>
      <c r="B146" s="4">
        <v>4</v>
      </c>
      <c r="C146" s="9">
        <v>2</v>
      </c>
      <c r="D146" s="10"/>
      <c r="E146" s="10" t="s">
        <v>238</v>
      </c>
      <c r="F146" s="10"/>
      <c r="G146" s="10" t="s">
        <v>547</v>
      </c>
      <c r="H146" s="8"/>
      <c r="I146" s="8"/>
      <c r="J146" s="2"/>
      <c r="K146" s="8" t="s">
        <v>392</v>
      </c>
      <c r="L146" s="8"/>
      <c r="M146" s="8"/>
      <c r="N146" s="8"/>
      <c r="O146" s="2"/>
      <c r="P146" s="26"/>
    </row>
    <row r="147" spans="1:16" ht="15" thickBot="1" x14ac:dyDescent="0.35">
      <c r="A147" s="4" t="s">
        <v>546</v>
      </c>
      <c r="B147" s="4">
        <v>4</v>
      </c>
      <c r="C147" s="9">
        <v>2</v>
      </c>
      <c r="D147" s="10"/>
      <c r="E147" s="10" t="s">
        <v>238</v>
      </c>
      <c r="F147" s="10"/>
      <c r="G147" s="10" t="s">
        <v>540</v>
      </c>
      <c r="H147" s="8"/>
      <c r="I147" s="8"/>
      <c r="J147" s="2"/>
      <c r="K147" s="8" t="s">
        <v>392</v>
      </c>
      <c r="L147" s="8"/>
      <c r="M147" s="8"/>
      <c r="N147" s="8"/>
      <c r="O147" s="2"/>
      <c r="P147" s="26"/>
    </row>
    <row r="148" spans="1:16" ht="15" thickBot="1" x14ac:dyDescent="0.35">
      <c r="A148" s="4" t="s">
        <v>548</v>
      </c>
      <c r="B148" s="4">
        <v>4</v>
      </c>
      <c r="C148" s="9">
        <v>2</v>
      </c>
      <c r="D148" s="10"/>
      <c r="E148" s="10" t="s">
        <v>238</v>
      </c>
      <c r="F148" s="10"/>
      <c r="G148" s="10" t="s">
        <v>69</v>
      </c>
      <c r="H148" s="8"/>
      <c r="I148" s="8"/>
      <c r="J148" s="2"/>
      <c r="K148" s="8" t="s">
        <v>392</v>
      </c>
      <c r="L148" s="8"/>
      <c r="M148" s="8"/>
      <c r="N148" s="8"/>
      <c r="O148" s="2"/>
      <c r="P148" s="26"/>
    </row>
    <row r="149" spans="1:16" ht="15" thickBot="1" x14ac:dyDescent="0.35">
      <c r="A149" s="4"/>
      <c r="B149" s="4"/>
      <c r="C149" s="9"/>
      <c r="D149" s="10"/>
      <c r="E149" s="10"/>
      <c r="F149" s="10"/>
      <c r="G149" s="10"/>
      <c r="H149" s="8"/>
      <c r="I149" s="8"/>
      <c r="J149" s="2"/>
      <c r="K149" s="8"/>
      <c r="L149" s="8"/>
      <c r="M149" s="8"/>
      <c r="N149" s="8"/>
      <c r="O149" s="2"/>
      <c r="P149" s="26"/>
    </row>
    <row r="150" spans="1:16" ht="15" thickBot="1" x14ac:dyDescent="0.35">
      <c r="A150" s="4"/>
      <c r="B150" s="4"/>
      <c r="C150" s="9"/>
      <c r="D150" s="10"/>
      <c r="E150" s="10"/>
      <c r="F150" s="10"/>
      <c r="G150" s="10"/>
      <c r="H150" s="8"/>
      <c r="I150" s="8"/>
      <c r="J150" s="2"/>
      <c r="K150" s="8"/>
      <c r="L150" s="8"/>
      <c r="M150" s="8"/>
      <c r="N150" s="8"/>
      <c r="O150" s="2"/>
      <c r="P150" s="26"/>
    </row>
    <row r="151" spans="1:16" ht="15" thickBot="1" x14ac:dyDescent="0.35">
      <c r="A151" s="4"/>
      <c r="B151" s="4"/>
      <c r="C151" s="9"/>
      <c r="D151" s="10"/>
      <c r="E151" s="10"/>
      <c r="F151" s="10"/>
      <c r="G151" s="10"/>
      <c r="H151" s="8"/>
      <c r="I151" s="8"/>
      <c r="J151" s="2"/>
      <c r="K151" s="8"/>
      <c r="L151" s="8"/>
      <c r="M151" s="8"/>
      <c r="N151" s="8"/>
      <c r="O151" s="2"/>
      <c r="P151" s="26"/>
    </row>
    <row r="152" spans="1:16" ht="15" thickBot="1" x14ac:dyDescent="0.35">
      <c r="A152" s="4"/>
      <c r="B152" s="4"/>
      <c r="C152" s="9"/>
      <c r="D152" s="10"/>
      <c r="E152" s="10"/>
      <c r="F152" s="10"/>
      <c r="G152" s="10"/>
      <c r="H152" s="8"/>
      <c r="I152" s="8"/>
      <c r="J152" s="2"/>
      <c r="K152" s="8"/>
      <c r="L152" s="8"/>
      <c r="M152" s="8"/>
      <c r="N152" s="8"/>
      <c r="O152" s="2"/>
      <c r="P152" s="26"/>
    </row>
    <row r="153" spans="1:16" ht="15" thickBot="1" x14ac:dyDescent="0.35">
      <c r="A153" s="4"/>
      <c r="B153" s="4"/>
      <c r="C153" s="9"/>
      <c r="D153" s="10"/>
      <c r="E153" s="10"/>
      <c r="F153" s="10"/>
      <c r="G153" s="10"/>
      <c r="H153" s="8"/>
      <c r="I153" s="8"/>
      <c r="J153" s="2"/>
      <c r="K153" s="8"/>
      <c r="L153" s="8"/>
      <c r="M153" s="8"/>
      <c r="N153" s="8"/>
      <c r="O153" s="2"/>
      <c r="P153" s="26"/>
    </row>
    <row r="154" spans="1:16" ht="15" thickBot="1" x14ac:dyDescent="0.35">
      <c r="A154" s="4"/>
      <c r="B154" s="4"/>
      <c r="C154" s="9"/>
      <c r="D154" s="10"/>
      <c r="E154" s="27"/>
      <c r="F154" s="27"/>
      <c r="G154" s="27"/>
      <c r="H154" s="28"/>
      <c r="I154" s="28"/>
      <c r="J154" s="23"/>
      <c r="K154" s="28"/>
      <c r="L154" s="28"/>
      <c r="M154" s="28"/>
      <c r="N154" s="28"/>
      <c r="O154" s="23"/>
      <c r="P154" s="26"/>
    </row>
    <row r="155" spans="1:16" ht="15" thickBot="1" x14ac:dyDescent="0.35">
      <c r="A155" s="4"/>
      <c r="B155" s="4"/>
      <c r="C155" s="9"/>
      <c r="D155" s="10"/>
      <c r="E155" s="10"/>
      <c r="F155" s="10"/>
      <c r="G155" s="10"/>
      <c r="H155" s="8"/>
      <c r="I155" s="8"/>
      <c r="J155" s="2"/>
      <c r="K155" s="8"/>
      <c r="L155" s="8"/>
      <c r="M155" s="8"/>
      <c r="N155" s="8"/>
      <c r="O155" s="2"/>
      <c r="P155" s="26"/>
    </row>
    <row r="156" spans="1:16" ht="15" thickBot="1" x14ac:dyDescent="0.35">
      <c r="A156" s="4"/>
      <c r="B156" s="4"/>
      <c r="C156" s="9"/>
      <c r="D156" s="10"/>
      <c r="E156" s="10"/>
      <c r="F156" s="10"/>
      <c r="G156" s="10"/>
      <c r="H156" s="8"/>
      <c r="I156" s="8"/>
      <c r="J156" s="2"/>
      <c r="K156" s="8"/>
      <c r="L156" s="8"/>
      <c r="M156" s="8"/>
      <c r="N156" s="8"/>
      <c r="O156" s="2"/>
      <c r="P156" s="26"/>
    </row>
    <row r="157" spans="1:16" ht="15" thickBot="1" x14ac:dyDescent="0.35">
      <c r="A157" s="4"/>
      <c r="B157" s="4"/>
      <c r="C157" s="9"/>
      <c r="D157" s="10"/>
      <c r="E157" s="10"/>
      <c r="F157" s="10"/>
      <c r="G157" s="10"/>
      <c r="H157" s="8"/>
      <c r="I157" s="8"/>
      <c r="J157" s="2"/>
      <c r="K157" s="8"/>
      <c r="L157" s="8"/>
      <c r="M157" s="8"/>
      <c r="N157" s="8"/>
      <c r="O157" s="2"/>
      <c r="P157" s="26"/>
    </row>
    <row r="158" spans="1:16" ht="15" thickBot="1" x14ac:dyDescent="0.35">
      <c r="A158" s="4"/>
      <c r="B158" s="4"/>
      <c r="C158" s="9"/>
      <c r="D158" s="10"/>
      <c r="E158" s="10"/>
      <c r="F158" s="10"/>
      <c r="G158" s="10"/>
      <c r="H158" s="8"/>
      <c r="I158" s="8"/>
      <c r="J158" s="2"/>
      <c r="K158" s="8"/>
      <c r="L158" s="8"/>
      <c r="M158" s="8"/>
      <c r="N158" s="8"/>
      <c r="O158" s="2"/>
      <c r="P158" s="26"/>
    </row>
    <row r="159" spans="1:16" ht="15" thickBot="1" x14ac:dyDescent="0.35">
      <c r="A159" s="4"/>
      <c r="B159" s="4"/>
      <c r="C159" s="9"/>
      <c r="D159" s="10"/>
      <c r="E159" s="10"/>
      <c r="F159" s="10"/>
      <c r="G159" s="10"/>
      <c r="H159" s="8"/>
      <c r="I159" s="8"/>
      <c r="J159" s="2"/>
      <c r="K159" s="8"/>
      <c r="L159" s="8"/>
      <c r="M159" s="8"/>
      <c r="N159" s="8"/>
      <c r="O159" s="2"/>
      <c r="P159" s="26"/>
    </row>
    <row r="160" spans="1:16" x14ac:dyDescent="0.3">
      <c r="A160" s="19"/>
      <c r="B160" s="19"/>
      <c r="C160" s="24"/>
      <c r="D160" s="27"/>
      <c r="E160" s="27"/>
      <c r="F160" s="27"/>
      <c r="G160" s="27"/>
      <c r="H160" s="28"/>
      <c r="I160" s="28"/>
      <c r="J160" s="23"/>
      <c r="K160" s="28"/>
      <c r="L160" s="28"/>
      <c r="M160" s="28"/>
      <c r="N160" s="28"/>
      <c r="O160" s="23"/>
      <c r="P160" s="29"/>
    </row>
  </sheetData>
  <phoneticPr fontId="2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B2CF085-B107-4035-BD52-EA31218E5090}">
          <x14:formula1>
            <xm:f>grupos!$A$2:$A$31</xm:f>
          </x14:formula1>
          <xm:sqref>N140:O140 K141:O160 K140:L140 K2:O139</xm:sqref>
        </x14:dataValidation>
        <x14:dataValidation type="list" allowBlank="1" showInputMessage="1" showErrorMessage="1" xr:uid="{BEF44E82-C065-494E-839C-AA870BCB249F}">
          <x14:formula1>
            <xm:f>profesores!$B$2:$B$142</xm:f>
          </x14:formula1>
          <xm:sqref>G2:J172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O761"/>
  <sheetViews>
    <sheetView tabSelected="1" zoomScale="82" zoomScaleNormal="82" workbookViewId="0">
      <selection activeCell="I22" sqref="I22"/>
    </sheetView>
  </sheetViews>
  <sheetFormatPr baseColWidth="10" defaultColWidth="8.88671875" defaultRowHeight="16.2" customHeight="1" x14ac:dyDescent="0.3"/>
  <cols>
    <col min="1" max="1" width="26.77734375" style="15" customWidth="1"/>
    <col min="2" max="2" width="10.44140625" customWidth="1"/>
    <col min="3" max="3" width="10.5546875" customWidth="1"/>
    <col min="4" max="6" width="9.77734375" customWidth="1"/>
    <col min="7" max="7" width="9.77734375" style="36" customWidth="1"/>
    <col min="8" max="11" width="9.77734375" customWidth="1"/>
    <col min="12" max="13" width="16" customWidth="1"/>
    <col min="14" max="14" width="17.109375" customWidth="1"/>
    <col min="19" max="19" width="19.44140625" hidden="1" customWidth="1"/>
    <col min="20" max="20" width="13.109375" hidden="1" customWidth="1"/>
    <col min="21" max="28" width="0" hidden="1" customWidth="1"/>
    <col min="29" max="29" width="11.88671875" hidden="1" customWidth="1"/>
    <col min="30" max="34" width="0" hidden="1" customWidth="1"/>
  </cols>
  <sheetData>
    <row r="1" spans="1:34" ht="29.4" customHeight="1" thickBot="1" x14ac:dyDescent="0.35">
      <c r="A1" s="81" t="s">
        <v>268</v>
      </c>
      <c r="B1" s="1" t="s">
        <v>0</v>
      </c>
      <c r="C1" s="1" t="s">
        <v>236</v>
      </c>
      <c r="D1" s="8" t="s">
        <v>47</v>
      </c>
      <c r="E1" s="2" t="s">
        <v>48</v>
      </c>
      <c r="F1" s="8" t="s">
        <v>49</v>
      </c>
      <c r="G1" s="35" t="s">
        <v>50</v>
      </c>
      <c r="H1" s="8" t="s">
        <v>51</v>
      </c>
      <c r="I1" s="2" t="s">
        <v>52</v>
      </c>
      <c r="J1" s="8" t="s">
        <v>53</v>
      </c>
      <c r="K1" s="2" t="s">
        <v>54</v>
      </c>
      <c r="L1" s="1" t="s">
        <v>162</v>
      </c>
      <c r="M1" s="10" t="s">
        <v>163</v>
      </c>
    </row>
    <row r="2" spans="1:34" ht="16.2" customHeight="1" thickBot="1" x14ac:dyDescent="0.35">
      <c r="A2" s="15" t="s">
        <v>363</v>
      </c>
      <c r="B2" s="1" t="s">
        <v>364</v>
      </c>
      <c r="C2" s="1"/>
      <c r="D2" s="9" t="s">
        <v>362</v>
      </c>
      <c r="E2" s="14">
        <v>1</v>
      </c>
      <c r="F2" s="9"/>
      <c r="G2" s="14"/>
      <c r="H2" s="9"/>
      <c r="I2" s="14"/>
      <c r="J2" s="9"/>
      <c r="K2" s="4"/>
      <c r="L2" s="16"/>
      <c r="M2" s="21"/>
      <c r="O2">
        <f t="shared" ref="O2:O47" si="0">E2+G2+I2+K2</f>
        <v>1</v>
      </c>
      <c r="Q2">
        <f>COUNTIF($B$2:$B$100,Tabla3[[#This Row],[Profesor]])</f>
        <v>1</v>
      </c>
    </row>
    <row r="3" spans="1:34" ht="16.2" customHeight="1" thickBot="1" x14ac:dyDescent="0.35">
      <c r="A3" s="15" t="s">
        <v>428</v>
      </c>
      <c r="B3" s="3" t="s">
        <v>273</v>
      </c>
      <c r="C3" s="3"/>
      <c r="D3" s="9" t="s">
        <v>523</v>
      </c>
      <c r="E3" s="14">
        <v>4</v>
      </c>
      <c r="F3" s="9"/>
      <c r="G3" s="14"/>
      <c r="H3" s="9"/>
      <c r="I3" s="4"/>
      <c r="J3" s="9"/>
      <c r="K3" s="4"/>
      <c r="L3" s="16"/>
      <c r="M3" s="20"/>
      <c r="O3">
        <f t="shared" si="0"/>
        <v>4</v>
      </c>
      <c r="Q3">
        <f>COUNTIF($B$2:$B$100,Tabla3[[#This Row],[Profesor]])</f>
        <v>1</v>
      </c>
    </row>
    <row r="4" spans="1:34" ht="16.2" customHeight="1" thickBot="1" x14ac:dyDescent="0.35">
      <c r="A4" s="15" t="s">
        <v>532</v>
      </c>
      <c r="B4" s="3" t="s">
        <v>533</v>
      </c>
      <c r="C4" s="3"/>
      <c r="D4" s="9"/>
      <c r="E4" s="32"/>
      <c r="F4" s="9"/>
      <c r="G4" s="14"/>
      <c r="H4" s="9"/>
      <c r="I4" s="4"/>
      <c r="J4" s="9"/>
      <c r="K4" s="4"/>
      <c r="L4" s="16"/>
      <c r="M4" s="20"/>
      <c r="O4">
        <f t="shared" si="0"/>
        <v>0</v>
      </c>
      <c r="Q4">
        <f>COUNTIF($B$2:$B$100,Tabla3[[#This Row],[Profesor]])</f>
        <v>1</v>
      </c>
      <c r="S4" s="15" t="s">
        <v>103</v>
      </c>
      <c r="T4" t="s">
        <v>183</v>
      </c>
      <c r="AB4" s="15" t="s">
        <v>103</v>
      </c>
      <c r="AC4" t="s">
        <v>183</v>
      </c>
    </row>
    <row r="5" spans="1:34" ht="16.2" customHeight="1" thickBot="1" x14ac:dyDescent="0.35">
      <c r="A5" s="79" t="s">
        <v>274</v>
      </c>
      <c r="B5" s="3" t="s">
        <v>427</v>
      </c>
      <c r="C5" s="3"/>
      <c r="D5" s="9" t="s">
        <v>272</v>
      </c>
      <c r="E5" s="14">
        <v>1</v>
      </c>
      <c r="F5" s="9"/>
      <c r="G5" s="14"/>
      <c r="H5" s="9"/>
      <c r="I5" s="4"/>
      <c r="J5" s="9"/>
      <c r="K5" s="4"/>
      <c r="L5" s="16"/>
      <c r="M5" s="20"/>
      <c r="O5">
        <f t="shared" si="0"/>
        <v>1</v>
      </c>
      <c r="Q5">
        <f>COUNTIF($B$2:$B$100,Tabla3[[#This Row],[Profesor]])</f>
        <v>1</v>
      </c>
      <c r="U5" t="s">
        <v>164</v>
      </c>
      <c r="V5" t="s">
        <v>165</v>
      </c>
      <c r="W5" t="s">
        <v>166</v>
      </c>
      <c r="X5" t="s">
        <v>167</v>
      </c>
      <c r="Y5" t="s">
        <v>168</v>
      </c>
      <c r="AD5" t="s">
        <v>164</v>
      </c>
      <c r="AE5" t="s">
        <v>165</v>
      </c>
      <c r="AF5" t="s">
        <v>166</v>
      </c>
      <c r="AG5" t="s">
        <v>167</v>
      </c>
      <c r="AH5" t="s">
        <v>168</v>
      </c>
    </row>
    <row r="6" spans="1:34" ht="16.2" customHeight="1" thickBot="1" x14ac:dyDescent="0.35">
      <c r="A6" s="15" t="s">
        <v>105</v>
      </c>
      <c r="B6" s="3" t="s">
        <v>18</v>
      </c>
      <c r="C6" s="3"/>
      <c r="D6" s="13" t="s">
        <v>8</v>
      </c>
      <c r="E6" s="14">
        <v>1</v>
      </c>
      <c r="F6" s="13" t="s">
        <v>22</v>
      </c>
      <c r="G6" s="14">
        <v>1</v>
      </c>
      <c r="H6" s="13" t="s">
        <v>23</v>
      </c>
      <c r="I6" s="14">
        <v>1</v>
      </c>
      <c r="J6" s="13"/>
      <c r="K6" s="4"/>
      <c r="L6" s="16" t="s">
        <v>506</v>
      </c>
      <c r="M6" s="20"/>
      <c r="O6">
        <f t="shared" si="0"/>
        <v>3</v>
      </c>
      <c r="Q6">
        <f>COUNTIF($B$2:$B$100,Tabla3[[#This Row],[Profesor]])</f>
        <v>1</v>
      </c>
      <c r="T6" t="s">
        <v>154</v>
      </c>
      <c r="U6" t="s">
        <v>155</v>
      </c>
      <c r="V6" t="s">
        <v>155</v>
      </c>
      <c r="W6" t="s">
        <v>155</v>
      </c>
      <c r="X6" t="s">
        <v>155</v>
      </c>
      <c r="Y6" t="s">
        <v>155</v>
      </c>
      <c r="AC6" t="s">
        <v>154</v>
      </c>
      <c r="AD6" t="s">
        <v>155</v>
      </c>
      <c r="AE6" t="s">
        <v>155</v>
      </c>
      <c r="AF6" t="s">
        <v>155</v>
      </c>
      <c r="AG6" t="s">
        <v>155</v>
      </c>
      <c r="AH6" t="s">
        <v>155</v>
      </c>
    </row>
    <row r="7" spans="1:34" ht="16.2" customHeight="1" thickBot="1" x14ac:dyDescent="0.35">
      <c r="A7" s="15" t="s">
        <v>358</v>
      </c>
      <c r="B7" s="3" t="s">
        <v>357</v>
      </c>
      <c r="C7" s="3"/>
      <c r="D7" s="9" t="s">
        <v>356</v>
      </c>
      <c r="E7" s="86">
        <v>2</v>
      </c>
      <c r="F7" s="9"/>
      <c r="G7" s="14"/>
      <c r="H7" s="9"/>
      <c r="I7" s="4"/>
      <c r="J7" s="9"/>
      <c r="K7" s="4"/>
      <c r="L7" s="16"/>
      <c r="M7" s="20"/>
      <c r="O7">
        <f t="shared" si="0"/>
        <v>2</v>
      </c>
      <c r="Q7">
        <f>COUNTIF($B$2:$B$100,Tabla3[[#This Row],[Profesor]])</f>
        <v>1</v>
      </c>
      <c r="T7" t="s">
        <v>156</v>
      </c>
      <c r="U7" t="s">
        <v>22</v>
      </c>
      <c r="V7" t="s">
        <v>155</v>
      </c>
      <c r="W7" t="s">
        <v>22</v>
      </c>
      <c r="X7" t="s">
        <v>155</v>
      </c>
      <c r="Y7" t="s">
        <v>155</v>
      </c>
      <c r="AC7" t="s">
        <v>156</v>
      </c>
      <c r="AD7" t="s">
        <v>22</v>
      </c>
      <c r="AE7" t="s">
        <v>155</v>
      </c>
      <c r="AF7" t="s">
        <v>155</v>
      </c>
      <c r="AG7" t="s">
        <v>155</v>
      </c>
      <c r="AH7" t="s">
        <v>155</v>
      </c>
    </row>
    <row r="8" spans="1:34" ht="16.2" customHeight="1" thickBot="1" x14ac:dyDescent="0.35">
      <c r="A8" s="80" t="s">
        <v>475</v>
      </c>
      <c r="B8" s="3" t="s">
        <v>476</v>
      </c>
      <c r="C8" s="3"/>
      <c r="D8" s="9" t="s">
        <v>466</v>
      </c>
      <c r="E8" s="14">
        <v>1</v>
      </c>
      <c r="F8" s="9"/>
      <c r="G8" s="14"/>
      <c r="H8" s="9"/>
      <c r="I8" s="4"/>
      <c r="J8" s="9"/>
      <c r="K8" s="4"/>
      <c r="L8" s="16"/>
      <c r="M8" s="20"/>
      <c r="O8">
        <f t="shared" si="0"/>
        <v>1</v>
      </c>
      <c r="Q8">
        <f>COUNTIF($B$2:$B$100,Tabla3[[#This Row],[Profesor]])</f>
        <v>1</v>
      </c>
      <c r="T8" t="s">
        <v>157</v>
      </c>
      <c r="U8" t="s">
        <v>22</v>
      </c>
      <c r="V8" t="s">
        <v>75</v>
      </c>
      <c r="W8" t="s">
        <v>22</v>
      </c>
      <c r="X8" t="s">
        <v>155</v>
      </c>
      <c r="Y8" t="s">
        <v>75</v>
      </c>
      <c r="AC8" t="s">
        <v>157</v>
      </c>
      <c r="AD8" t="s">
        <v>22</v>
      </c>
      <c r="AE8" t="s">
        <v>155</v>
      </c>
      <c r="AF8" t="s">
        <v>75</v>
      </c>
      <c r="AG8" t="s">
        <v>22</v>
      </c>
      <c r="AH8" t="s">
        <v>155</v>
      </c>
    </row>
    <row r="9" spans="1:34" ht="16.2" customHeight="1" thickBot="1" x14ac:dyDescent="0.35">
      <c r="A9" s="15" t="s">
        <v>109</v>
      </c>
      <c r="B9" s="3" t="s">
        <v>2</v>
      </c>
      <c r="C9" s="3"/>
      <c r="D9" s="13" t="s">
        <v>6</v>
      </c>
      <c r="E9" s="14">
        <v>1</v>
      </c>
      <c r="F9" s="13"/>
      <c r="G9" s="14"/>
      <c r="H9" s="13"/>
      <c r="I9" s="14"/>
      <c r="J9" s="13"/>
      <c r="K9" s="4"/>
      <c r="L9" s="16"/>
      <c r="M9" s="20"/>
      <c r="O9">
        <f t="shared" si="0"/>
        <v>1</v>
      </c>
      <c r="Q9">
        <f>COUNTIF($B$2:$B$100,Tabla3[[#This Row],[Profesor]])</f>
        <v>1</v>
      </c>
      <c r="T9" t="s">
        <v>158</v>
      </c>
      <c r="U9" t="s">
        <v>155</v>
      </c>
      <c r="V9" t="s">
        <v>75</v>
      </c>
      <c r="W9" t="s">
        <v>22</v>
      </c>
      <c r="X9" t="s">
        <v>155</v>
      </c>
      <c r="Y9" t="s">
        <v>75</v>
      </c>
      <c r="AC9" t="s">
        <v>158</v>
      </c>
      <c r="AD9" t="s">
        <v>22</v>
      </c>
      <c r="AE9" t="s">
        <v>155</v>
      </c>
      <c r="AF9" t="s">
        <v>75</v>
      </c>
      <c r="AG9" t="s">
        <v>22</v>
      </c>
      <c r="AH9" t="s">
        <v>155</v>
      </c>
    </row>
    <row r="10" spans="1:34" ht="16.2" customHeight="1" thickBot="1" x14ac:dyDescent="0.35">
      <c r="A10" s="15" t="s">
        <v>430</v>
      </c>
      <c r="B10" s="3" t="s">
        <v>265</v>
      </c>
      <c r="C10" s="3"/>
      <c r="D10" s="9" t="s">
        <v>95</v>
      </c>
      <c r="E10" s="14">
        <v>1</v>
      </c>
      <c r="F10" s="9"/>
      <c r="G10" s="14"/>
      <c r="H10" s="9"/>
      <c r="I10" s="4"/>
      <c r="J10" s="9"/>
      <c r="K10" s="4"/>
      <c r="L10" s="16"/>
      <c r="M10" s="20"/>
      <c r="O10">
        <f t="shared" si="0"/>
        <v>1</v>
      </c>
      <c r="Q10">
        <f>COUNTIF($B$2:$B$100,Tabla3[[#This Row],[Profesor]])</f>
        <v>1</v>
      </c>
      <c r="T10" t="s">
        <v>159</v>
      </c>
      <c r="U10" t="s">
        <v>155</v>
      </c>
      <c r="V10" t="s">
        <v>155</v>
      </c>
      <c r="W10" t="s">
        <v>155</v>
      </c>
      <c r="X10" t="s">
        <v>155</v>
      </c>
      <c r="Y10" t="s">
        <v>155</v>
      </c>
      <c r="AC10" t="s">
        <v>159</v>
      </c>
      <c r="AD10" t="s">
        <v>75</v>
      </c>
      <c r="AE10" t="s">
        <v>155</v>
      </c>
      <c r="AF10" t="s">
        <v>155</v>
      </c>
      <c r="AG10" t="s">
        <v>155</v>
      </c>
      <c r="AH10" t="s">
        <v>155</v>
      </c>
    </row>
    <row r="11" spans="1:34" ht="16.2" customHeight="1" thickBot="1" x14ac:dyDescent="0.35">
      <c r="A11" s="15" t="s">
        <v>431</v>
      </c>
      <c r="B11" s="3" t="s">
        <v>408</v>
      </c>
      <c r="C11" s="3"/>
      <c r="D11" s="9" t="s">
        <v>405</v>
      </c>
      <c r="E11" s="14">
        <v>1</v>
      </c>
      <c r="F11" s="9"/>
      <c r="G11" s="14"/>
      <c r="H11" s="9"/>
      <c r="I11" s="4"/>
      <c r="J11" s="9"/>
      <c r="K11" s="4"/>
      <c r="L11" s="16"/>
      <c r="M11" s="20"/>
      <c r="O11">
        <f t="shared" si="0"/>
        <v>1</v>
      </c>
      <c r="Q11">
        <f>COUNTIF($B$2:$B$100,Tabla3[[#This Row],[Profesor]])</f>
        <v>1</v>
      </c>
      <c r="T11" t="s">
        <v>170</v>
      </c>
      <c r="U11" t="s">
        <v>155</v>
      </c>
      <c r="V11" t="s">
        <v>155</v>
      </c>
      <c r="W11" t="s">
        <v>155</v>
      </c>
      <c r="X11" t="s">
        <v>155</v>
      </c>
      <c r="Y11" t="s">
        <v>155</v>
      </c>
      <c r="AC11" t="s">
        <v>170</v>
      </c>
      <c r="AD11" t="s">
        <v>155</v>
      </c>
      <c r="AE11" t="s">
        <v>155</v>
      </c>
      <c r="AF11" t="s">
        <v>155</v>
      </c>
      <c r="AG11" t="s">
        <v>155</v>
      </c>
      <c r="AH11" t="s">
        <v>155</v>
      </c>
    </row>
    <row r="12" spans="1:34" ht="16.2" customHeight="1" thickBot="1" x14ac:dyDescent="0.35">
      <c r="A12" s="15" t="s">
        <v>539</v>
      </c>
      <c r="B12" s="3" t="s">
        <v>540</v>
      </c>
      <c r="C12" s="3"/>
      <c r="D12" s="9" t="s">
        <v>376</v>
      </c>
      <c r="E12" s="14">
        <v>1</v>
      </c>
      <c r="F12" s="9" t="s">
        <v>546</v>
      </c>
      <c r="G12" s="14">
        <v>1</v>
      </c>
      <c r="H12" s="9"/>
      <c r="I12" s="4"/>
      <c r="J12" s="13"/>
      <c r="K12" s="4"/>
      <c r="L12" s="16" t="s">
        <v>550</v>
      </c>
      <c r="M12" s="20"/>
      <c r="O12">
        <f t="shared" si="0"/>
        <v>2</v>
      </c>
      <c r="Q12">
        <f>COUNTIF($B$2:$B$100,Tabla3[[#This Row],[Profesor]])</f>
        <v>1</v>
      </c>
      <c r="T12" t="s">
        <v>172</v>
      </c>
      <c r="U12" t="s">
        <v>155</v>
      </c>
      <c r="V12" t="s">
        <v>155</v>
      </c>
      <c r="W12" t="s">
        <v>155</v>
      </c>
      <c r="X12" t="s">
        <v>155</v>
      </c>
      <c r="Y12" t="s">
        <v>155</v>
      </c>
      <c r="AC12" t="s">
        <v>172</v>
      </c>
      <c r="AD12" t="s">
        <v>155</v>
      </c>
      <c r="AE12" t="s">
        <v>155</v>
      </c>
      <c r="AF12" t="s">
        <v>155</v>
      </c>
      <c r="AG12" t="s">
        <v>155</v>
      </c>
      <c r="AH12" t="s">
        <v>155</v>
      </c>
    </row>
    <row r="13" spans="1:34" ht="16.2" customHeight="1" thickBot="1" x14ac:dyDescent="0.35">
      <c r="A13" s="15" t="s">
        <v>525</v>
      </c>
      <c r="B13" s="1" t="s">
        <v>524</v>
      </c>
      <c r="C13" s="1"/>
      <c r="D13" s="9" t="s">
        <v>275</v>
      </c>
      <c r="E13" s="14">
        <v>1</v>
      </c>
      <c r="F13" s="9"/>
      <c r="G13" s="14"/>
      <c r="H13" s="9"/>
      <c r="I13" s="4"/>
      <c r="J13" s="9"/>
      <c r="K13" s="4"/>
      <c r="L13" s="16"/>
      <c r="M13" s="21"/>
      <c r="O13">
        <f t="shared" si="0"/>
        <v>1</v>
      </c>
      <c r="Q13">
        <f>COUNTIF($B$2:$B$100,Tabla3[[#This Row],[Profesor]])</f>
        <v>1</v>
      </c>
    </row>
    <row r="14" spans="1:34" ht="16.2" customHeight="1" thickBot="1" x14ac:dyDescent="0.35">
      <c r="A14" s="15" t="s">
        <v>432</v>
      </c>
      <c r="B14" s="1" t="s">
        <v>14</v>
      </c>
      <c r="C14" s="1"/>
      <c r="D14" s="13" t="s">
        <v>522</v>
      </c>
      <c r="E14" s="14">
        <v>4</v>
      </c>
      <c r="F14" s="13"/>
      <c r="G14" s="14"/>
      <c r="H14" s="13"/>
      <c r="I14" s="14"/>
      <c r="J14" s="13"/>
      <c r="K14" s="4"/>
      <c r="L14" s="16"/>
      <c r="M14" s="21"/>
      <c r="O14">
        <f t="shared" si="0"/>
        <v>4</v>
      </c>
      <c r="Q14">
        <f>COUNTIF($B$2:$B$100,Tabla3[[#This Row],[Profesor]])</f>
        <v>1</v>
      </c>
      <c r="S14" s="15" t="s">
        <v>104</v>
      </c>
      <c r="T14" t="s">
        <v>184</v>
      </c>
      <c r="AB14" s="15" t="s">
        <v>104</v>
      </c>
      <c r="AC14" t="s">
        <v>184</v>
      </c>
    </row>
    <row r="15" spans="1:34" ht="16.2" customHeight="1" thickBot="1" x14ac:dyDescent="0.35">
      <c r="A15" s="15" t="s">
        <v>249</v>
      </c>
      <c r="B15" s="1" t="s">
        <v>248</v>
      </c>
      <c r="C15" s="1"/>
      <c r="D15" s="9" t="s">
        <v>245</v>
      </c>
      <c r="E15" s="14">
        <v>1</v>
      </c>
      <c r="F15" s="9" t="s">
        <v>258</v>
      </c>
      <c r="G15" s="14">
        <v>1</v>
      </c>
      <c r="H15" s="9"/>
      <c r="I15" s="4"/>
      <c r="J15" s="9"/>
      <c r="K15" s="4"/>
      <c r="L15" s="16"/>
      <c r="M15" s="21"/>
      <c r="O15">
        <f t="shared" si="0"/>
        <v>2</v>
      </c>
      <c r="Q15">
        <f>COUNTIF($B$2:$B$100,Tabla3[[#This Row],[Profesor]])</f>
        <v>1</v>
      </c>
      <c r="U15" t="s">
        <v>164</v>
      </c>
      <c r="V15" t="s">
        <v>165</v>
      </c>
      <c r="W15" t="s">
        <v>166</v>
      </c>
      <c r="X15" t="s">
        <v>167</v>
      </c>
      <c r="Y15" t="s">
        <v>168</v>
      </c>
      <c r="AD15" t="s">
        <v>164</v>
      </c>
      <c r="AE15" t="s">
        <v>165</v>
      </c>
      <c r="AF15" t="s">
        <v>166</v>
      </c>
      <c r="AG15" t="s">
        <v>167</v>
      </c>
      <c r="AH15" t="s">
        <v>168</v>
      </c>
    </row>
    <row r="16" spans="1:34" ht="16.2" customHeight="1" thickBot="1" x14ac:dyDescent="0.35">
      <c r="A16" s="15" t="s">
        <v>366</v>
      </c>
      <c r="B16" s="1" t="s">
        <v>367</v>
      </c>
      <c r="C16" s="1"/>
      <c r="D16" s="9" t="s">
        <v>365</v>
      </c>
      <c r="E16" s="14">
        <v>1</v>
      </c>
      <c r="F16" s="9"/>
      <c r="G16" s="14"/>
      <c r="H16" s="9"/>
      <c r="I16" s="4"/>
      <c r="J16" s="9"/>
      <c r="K16" s="4"/>
      <c r="L16" s="16"/>
      <c r="M16" s="21"/>
      <c r="O16">
        <f t="shared" si="0"/>
        <v>1</v>
      </c>
      <c r="Q16">
        <f>COUNTIF($B$2:$B$100,Tabla3[[#This Row],[Profesor]])</f>
        <v>1</v>
      </c>
      <c r="T16" t="s">
        <v>154</v>
      </c>
      <c r="U16" t="s">
        <v>155</v>
      </c>
      <c r="V16" t="s">
        <v>155</v>
      </c>
      <c r="W16" t="s">
        <v>155</v>
      </c>
      <c r="X16" t="s">
        <v>155</v>
      </c>
      <c r="Y16" t="s">
        <v>155</v>
      </c>
      <c r="AC16" t="s">
        <v>154</v>
      </c>
      <c r="AD16" t="s">
        <v>155</v>
      </c>
      <c r="AE16" t="s">
        <v>155</v>
      </c>
      <c r="AF16" t="s">
        <v>155</v>
      </c>
      <c r="AG16" t="s">
        <v>155</v>
      </c>
      <c r="AH16" t="s">
        <v>155</v>
      </c>
    </row>
    <row r="17" spans="1:34" ht="16.2" customHeight="1" thickBot="1" x14ac:dyDescent="0.35">
      <c r="A17" s="15" t="s">
        <v>341</v>
      </c>
      <c r="B17" s="1" t="s">
        <v>340</v>
      </c>
      <c r="C17" s="1"/>
      <c r="D17" s="9" t="s">
        <v>339</v>
      </c>
      <c r="E17" s="14">
        <v>2</v>
      </c>
      <c r="F17" s="9"/>
      <c r="G17" s="14"/>
      <c r="H17" s="9"/>
      <c r="I17" s="4"/>
      <c r="J17" s="9"/>
      <c r="K17" s="4"/>
      <c r="L17" s="16"/>
      <c r="M17" s="21"/>
      <c r="O17">
        <f t="shared" si="0"/>
        <v>2</v>
      </c>
      <c r="Q17">
        <f>COUNTIF($B$2:$B$100,Tabla3[[#This Row],[Profesor]])</f>
        <v>1</v>
      </c>
      <c r="T17" t="s">
        <v>156</v>
      </c>
      <c r="U17" t="s">
        <v>155</v>
      </c>
      <c r="V17" t="s">
        <v>155</v>
      </c>
      <c r="W17" t="s">
        <v>155</v>
      </c>
      <c r="X17" t="s">
        <v>155</v>
      </c>
      <c r="Y17" t="s">
        <v>155</v>
      </c>
      <c r="AC17" t="s">
        <v>156</v>
      </c>
      <c r="AD17" t="s">
        <v>155</v>
      </c>
      <c r="AE17" t="s">
        <v>155</v>
      </c>
      <c r="AF17" t="s">
        <v>155</v>
      </c>
      <c r="AG17" t="s">
        <v>155</v>
      </c>
      <c r="AH17" t="s">
        <v>155</v>
      </c>
    </row>
    <row r="18" spans="1:34" ht="16.2" customHeight="1" thickBot="1" x14ac:dyDescent="0.35">
      <c r="A18" s="15" t="s">
        <v>126</v>
      </c>
      <c r="B18" s="1" t="s">
        <v>65</v>
      </c>
      <c r="C18" s="1"/>
      <c r="D18" s="13" t="s">
        <v>90</v>
      </c>
      <c r="E18" s="14">
        <v>1</v>
      </c>
      <c r="F18" s="13" t="s">
        <v>415</v>
      </c>
      <c r="G18" s="14">
        <v>1</v>
      </c>
      <c r="H18" s="13"/>
      <c r="I18" s="14"/>
      <c r="J18" s="13"/>
      <c r="K18" s="4"/>
      <c r="L18" s="16"/>
      <c r="M18" s="21"/>
      <c r="O18">
        <f t="shared" si="0"/>
        <v>2</v>
      </c>
      <c r="Q18">
        <f>COUNTIF($B$2:$B$100,Tabla3[[#This Row],[Profesor]])</f>
        <v>1</v>
      </c>
      <c r="T18" t="s">
        <v>157</v>
      </c>
      <c r="U18" t="s">
        <v>155</v>
      </c>
      <c r="V18" t="s">
        <v>155</v>
      </c>
      <c r="W18" t="s">
        <v>155</v>
      </c>
      <c r="X18" t="s">
        <v>155</v>
      </c>
      <c r="Y18" t="s">
        <v>155</v>
      </c>
      <c r="AC18" t="s">
        <v>157</v>
      </c>
      <c r="AD18" t="s">
        <v>155</v>
      </c>
      <c r="AE18" t="s">
        <v>155</v>
      </c>
      <c r="AF18" t="s">
        <v>155</v>
      </c>
      <c r="AG18" t="s">
        <v>155</v>
      </c>
      <c r="AH18" t="s">
        <v>155</v>
      </c>
    </row>
    <row r="19" spans="1:34" ht="16.2" customHeight="1" thickBot="1" x14ac:dyDescent="0.35">
      <c r="A19" s="79" t="s">
        <v>418</v>
      </c>
      <c r="B19" s="1" t="s">
        <v>419</v>
      </c>
      <c r="C19" s="1"/>
      <c r="D19" s="9" t="s">
        <v>417</v>
      </c>
      <c r="E19" s="14">
        <v>2</v>
      </c>
      <c r="F19" s="9" t="s">
        <v>474</v>
      </c>
      <c r="G19" s="14">
        <v>1</v>
      </c>
      <c r="H19" s="9"/>
      <c r="I19" s="4"/>
      <c r="J19" s="9"/>
      <c r="K19" s="4"/>
      <c r="L19" s="16"/>
      <c r="M19" s="21"/>
      <c r="O19">
        <f t="shared" si="0"/>
        <v>3</v>
      </c>
      <c r="Q19">
        <f>COUNTIF($B$2:$B$100,Tabla3[[#This Row],[Profesor]])</f>
        <v>1</v>
      </c>
      <c r="T19" t="s">
        <v>158</v>
      </c>
      <c r="U19" t="s">
        <v>155</v>
      </c>
      <c r="V19" t="s">
        <v>22</v>
      </c>
      <c r="W19" t="s">
        <v>155</v>
      </c>
      <c r="X19" t="s">
        <v>155</v>
      </c>
      <c r="Y19" t="s">
        <v>155</v>
      </c>
      <c r="AC19" t="s">
        <v>158</v>
      </c>
      <c r="AD19" t="s">
        <v>155</v>
      </c>
      <c r="AE19" t="s">
        <v>22</v>
      </c>
      <c r="AF19" t="s">
        <v>155</v>
      </c>
      <c r="AG19" t="s">
        <v>155</v>
      </c>
      <c r="AH19" t="s">
        <v>155</v>
      </c>
    </row>
    <row r="20" spans="1:34" ht="16.2" customHeight="1" thickBot="1" x14ac:dyDescent="0.35">
      <c r="A20" s="79" t="s">
        <v>549</v>
      </c>
      <c r="B20" s="1" t="s">
        <v>547</v>
      </c>
      <c r="C20" s="1"/>
      <c r="D20" s="9" t="s">
        <v>545</v>
      </c>
      <c r="E20" s="14">
        <v>1</v>
      </c>
      <c r="F20" s="9"/>
      <c r="G20" s="14"/>
      <c r="H20" s="9"/>
      <c r="I20" s="4"/>
      <c r="J20" s="9"/>
      <c r="K20" s="4"/>
      <c r="L20" s="16"/>
      <c r="M20" s="21"/>
      <c r="O20">
        <f t="shared" si="0"/>
        <v>1</v>
      </c>
      <c r="Q20">
        <f>COUNTIF($B$2:$B$100,Tabla3[[#This Row],[Profesor]])</f>
        <v>1</v>
      </c>
      <c r="T20" t="s">
        <v>159</v>
      </c>
      <c r="U20" t="s">
        <v>155</v>
      </c>
      <c r="V20" t="s">
        <v>22</v>
      </c>
      <c r="W20" t="s">
        <v>155</v>
      </c>
      <c r="X20" t="s">
        <v>22</v>
      </c>
      <c r="Y20" t="s">
        <v>155</v>
      </c>
      <c r="AC20" t="s">
        <v>159</v>
      </c>
      <c r="AD20" t="s">
        <v>155</v>
      </c>
      <c r="AE20" t="s">
        <v>22</v>
      </c>
      <c r="AF20" t="s">
        <v>155</v>
      </c>
      <c r="AG20" t="s">
        <v>22</v>
      </c>
      <c r="AH20" t="s">
        <v>155</v>
      </c>
    </row>
    <row r="21" spans="1:34" ht="16.2" customHeight="1" thickBot="1" x14ac:dyDescent="0.35">
      <c r="A21" s="15" t="s">
        <v>149</v>
      </c>
      <c r="B21" s="1" t="s">
        <v>72</v>
      </c>
      <c r="C21" s="1" t="s">
        <v>238</v>
      </c>
      <c r="D21" s="9" t="s">
        <v>365</v>
      </c>
      <c r="E21" s="14">
        <v>1</v>
      </c>
      <c r="F21" s="9" t="s">
        <v>542</v>
      </c>
      <c r="G21" s="14">
        <v>1</v>
      </c>
      <c r="H21" s="9"/>
      <c r="I21" s="4"/>
      <c r="J21" s="9"/>
      <c r="K21" s="4"/>
      <c r="L21" s="16"/>
      <c r="M21" s="21"/>
      <c r="O21">
        <f t="shared" si="0"/>
        <v>2</v>
      </c>
      <c r="Q21">
        <f>COUNTIF($B$2:$B$100,Tabla3[[#This Row],[Profesor]])</f>
        <v>1</v>
      </c>
    </row>
    <row r="22" spans="1:34" ht="16.2" customHeight="1" thickBot="1" x14ac:dyDescent="0.35">
      <c r="A22" s="15" t="s">
        <v>433</v>
      </c>
      <c r="B22" s="1" t="s">
        <v>43</v>
      </c>
      <c r="C22" s="1"/>
      <c r="D22" s="13" t="s">
        <v>102</v>
      </c>
      <c r="E22" s="14">
        <v>1</v>
      </c>
      <c r="F22" s="13" t="s">
        <v>359</v>
      </c>
      <c r="G22" s="14">
        <v>1</v>
      </c>
      <c r="H22" s="13" t="s">
        <v>284</v>
      </c>
      <c r="I22" s="14">
        <v>1</v>
      </c>
      <c r="J22" s="13"/>
      <c r="K22" s="4"/>
      <c r="L22" s="16"/>
      <c r="M22" s="21"/>
      <c r="O22">
        <f t="shared" si="0"/>
        <v>3</v>
      </c>
      <c r="Q22">
        <f>COUNTIF($B$2:$B$100,Tabla3[[#This Row],[Profesor]])</f>
        <v>1</v>
      </c>
      <c r="S22" s="15" t="s">
        <v>105</v>
      </c>
      <c r="T22" t="s">
        <v>185</v>
      </c>
      <c r="AB22" s="15" t="s">
        <v>105</v>
      </c>
      <c r="AC22" t="s">
        <v>185</v>
      </c>
    </row>
    <row r="23" spans="1:34" ht="16.2" customHeight="1" thickBot="1" x14ac:dyDescent="0.35">
      <c r="A23" s="15" t="s">
        <v>413</v>
      </c>
      <c r="B23" s="1" t="s">
        <v>412</v>
      </c>
      <c r="C23" s="1"/>
      <c r="D23" s="9"/>
      <c r="E23" s="32"/>
      <c r="F23" s="9"/>
      <c r="G23" s="14"/>
      <c r="H23" s="9"/>
      <c r="I23" s="4"/>
      <c r="J23" s="9"/>
      <c r="K23" s="4"/>
      <c r="L23" s="16"/>
      <c r="M23" s="21"/>
      <c r="O23">
        <f t="shared" si="0"/>
        <v>0</v>
      </c>
      <c r="Q23">
        <f>COUNTIF($B$2:$B$100,Tabla3[[#This Row],[Profesor]])</f>
        <v>1</v>
      </c>
      <c r="T23" t="s">
        <v>154</v>
      </c>
      <c r="U23" t="s">
        <v>155</v>
      </c>
      <c r="V23" t="s">
        <v>155</v>
      </c>
      <c r="W23" t="s">
        <v>155</v>
      </c>
      <c r="X23" t="s">
        <v>155</v>
      </c>
      <c r="Y23" t="s">
        <v>155</v>
      </c>
      <c r="AC23" t="s">
        <v>154</v>
      </c>
      <c r="AD23" t="s">
        <v>155</v>
      </c>
      <c r="AE23" t="s">
        <v>155</v>
      </c>
      <c r="AF23" t="s">
        <v>155</v>
      </c>
      <c r="AG23" t="s">
        <v>155</v>
      </c>
      <c r="AH23" t="s">
        <v>155</v>
      </c>
    </row>
    <row r="24" spans="1:34" ht="16.2" customHeight="1" thickBot="1" x14ac:dyDescent="0.35">
      <c r="A24" s="15" t="s">
        <v>119</v>
      </c>
      <c r="B24" s="1" t="s">
        <v>15</v>
      </c>
      <c r="C24" s="1"/>
      <c r="D24" s="13" t="s">
        <v>244</v>
      </c>
      <c r="E24" s="14">
        <v>1</v>
      </c>
      <c r="F24" s="13" t="s">
        <v>6</v>
      </c>
      <c r="G24" s="14">
        <v>1</v>
      </c>
      <c r="H24" s="13"/>
      <c r="I24" s="4"/>
      <c r="J24" s="13"/>
      <c r="K24" s="4"/>
      <c r="L24" s="16"/>
      <c r="M24" s="21"/>
      <c r="O24">
        <f t="shared" si="0"/>
        <v>2</v>
      </c>
      <c r="Q24">
        <f>COUNTIF($B$2:$B$100,Tabla3[[#This Row],[Profesor]])</f>
        <v>1</v>
      </c>
      <c r="T24" t="s">
        <v>156</v>
      </c>
      <c r="U24" t="s">
        <v>155</v>
      </c>
      <c r="V24" t="s">
        <v>155</v>
      </c>
      <c r="W24" t="s">
        <v>155</v>
      </c>
      <c r="X24" t="s">
        <v>155</v>
      </c>
      <c r="Y24" t="s">
        <v>155</v>
      </c>
      <c r="AC24" t="s">
        <v>156</v>
      </c>
      <c r="AD24" t="s">
        <v>155</v>
      </c>
      <c r="AE24" t="s">
        <v>155</v>
      </c>
      <c r="AF24" t="s">
        <v>155</v>
      </c>
      <c r="AG24" t="s">
        <v>155</v>
      </c>
      <c r="AH24" t="s">
        <v>155</v>
      </c>
    </row>
    <row r="25" spans="1:34" ht="16.2" customHeight="1" thickBot="1" x14ac:dyDescent="0.35">
      <c r="A25" s="15" t="s">
        <v>148</v>
      </c>
      <c r="B25" s="1" t="s">
        <v>541</v>
      </c>
      <c r="C25" s="1"/>
      <c r="D25" s="9" t="s">
        <v>544</v>
      </c>
      <c r="E25" s="14">
        <v>1</v>
      </c>
      <c r="F25" s="9"/>
      <c r="G25" s="14"/>
      <c r="H25" s="9"/>
      <c r="I25" s="4"/>
      <c r="J25" s="13"/>
      <c r="K25" s="4"/>
      <c r="L25" s="16"/>
      <c r="M25" s="21"/>
      <c r="O25">
        <f t="shared" si="0"/>
        <v>1</v>
      </c>
      <c r="Q25">
        <f>COUNTIF($B$2:$B$100,Tabla3[[#This Row],[Profesor]])</f>
        <v>1</v>
      </c>
      <c r="T25" t="s">
        <v>157</v>
      </c>
      <c r="U25" t="s">
        <v>155</v>
      </c>
      <c r="V25" t="s">
        <v>155</v>
      </c>
      <c r="W25" t="s">
        <v>155</v>
      </c>
      <c r="X25" t="s">
        <v>22</v>
      </c>
      <c r="Y25" t="s">
        <v>155</v>
      </c>
      <c r="AC25" t="s">
        <v>157</v>
      </c>
      <c r="AD25" t="s">
        <v>155</v>
      </c>
      <c r="AE25" t="s">
        <v>155</v>
      </c>
      <c r="AF25" t="s">
        <v>155</v>
      </c>
      <c r="AG25" t="s">
        <v>155</v>
      </c>
      <c r="AH25" t="s">
        <v>155</v>
      </c>
    </row>
    <row r="26" spans="1:34" ht="16.2" customHeight="1" thickBot="1" x14ac:dyDescent="0.35">
      <c r="A26" s="15" t="s">
        <v>380</v>
      </c>
      <c r="B26" s="1" t="s">
        <v>381</v>
      </c>
      <c r="C26" s="1"/>
      <c r="D26" s="9" t="s">
        <v>378</v>
      </c>
      <c r="E26" s="14">
        <v>1</v>
      </c>
      <c r="F26" s="9"/>
      <c r="G26" s="14"/>
      <c r="H26" s="9"/>
      <c r="I26" s="4"/>
      <c r="J26" s="9"/>
      <c r="K26" s="4"/>
      <c r="L26" s="16"/>
      <c r="M26" s="21"/>
      <c r="O26">
        <f t="shared" si="0"/>
        <v>1</v>
      </c>
      <c r="Q26">
        <f>COUNTIF($B$2:$B$100,Tabla3[[#This Row],[Profesor]])</f>
        <v>1</v>
      </c>
      <c r="T26" t="s">
        <v>158</v>
      </c>
      <c r="U26" t="s">
        <v>155</v>
      </c>
      <c r="V26" t="s">
        <v>155</v>
      </c>
      <c r="W26" t="s">
        <v>155</v>
      </c>
      <c r="X26" t="s">
        <v>22</v>
      </c>
      <c r="Y26" t="s">
        <v>155</v>
      </c>
      <c r="AC26" t="s">
        <v>158</v>
      </c>
      <c r="AD26" t="s">
        <v>155</v>
      </c>
      <c r="AE26" t="s">
        <v>155</v>
      </c>
      <c r="AF26" t="s">
        <v>155</v>
      </c>
      <c r="AG26" t="s">
        <v>22</v>
      </c>
      <c r="AH26" t="s">
        <v>155</v>
      </c>
    </row>
    <row r="27" spans="1:34" ht="16.2" customHeight="1" thickBot="1" x14ac:dyDescent="0.35">
      <c r="A27" s="15" t="s">
        <v>343</v>
      </c>
      <c r="B27" s="1" t="s">
        <v>344</v>
      </c>
      <c r="C27" s="1"/>
      <c r="D27" s="9" t="s">
        <v>342</v>
      </c>
      <c r="E27" s="14">
        <v>1</v>
      </c>
      <c r="F27" s="9"/>
      <c r="G27" s="14"/>
      <c r="H27" s="9"/>
      <c r="I27" s="4"/>
      <c r="J27" s="9"/>
      <c r="K27" s="4"/>
      <c r="L27" s="16"/>
      <c r="M27" s="21"/>
      <c r="O27">
        <f t="shared" si="0"/>
        <v>1</v>
      </c>
      <c r="Q27">
        <f>COUNTIF($B$2:$B$100,Tabla3[[#This Row],[Profesor]])</f>
        <v>1</v>
      </c>
      <c r="T27" t="s">
        <v>159</v>
      </c>
      <c r="U27" t="s">
        <v>155</v>
      </c>
      <c r="V27" t="s">
        <v>22</v>
      </c>
      <c r="W27" t="s">
        <v>155</v>
      </c>
      <c r="X27" t="s">
        <v>22</v>
      </c>
      <c r="Y27" t="s">
        <v>155</v>
      </c>
      <c r="AC27" t="s">
        <v>159</v>
      </c>
      <c r="AD27" t="s">
        <v>155</v>
      </c>
      <c r="AE27" t="s">
        <v>22</v>
      </c>
      <c r="AF27" t="s">
        <v>155</v>
      </c>
      <c r="AG27" t="s">
        <v>22</v>
      </c>
      <c r="AH27" t="s">
        <v>155</v>
      </c>
    </row>
    <row r="28" spans="1:34" ht="16.2" customHeight="1" thickBot="1" x14ac:dyDescent="0.35">
      <c r="A28" s="15" t="s">
        <v>410</v>
      </c>
      <c r="B28" s="1" t="s">
        <v>411</v>
      </c>
      <c r="C28" s="1"/>
      <c r="D28" s="9" t="s">
        <v>409</v>
      </c>
      <c r="E28" s="14">
        <v>1</v>
      </c>
      <c r="F28" s="9"/>
      <c r="G28" s="14"/>
      <c r="H28" s="9"/>
      <c r="I28" s="4"/>
      <c r="J28" s="9"/>
      <c r="K28" s="4"/>
      <c r="L28" s="16"/>
      <c r="M28" s="21"/>
      <c r="O28">
        <f t="shared" si="0"/>
        <v>1</v>
      </c>
      <c r="Q28">
        <f>COUNTIF($B$2:$B$100,Tabla3[[#This Row],[Profesor]])</f>
        <v>1</v>
      </c>
      <c r="T28" t="s">
        <v>160</v>
      </c>
      <c r="U28" t="s">
        <v>155</v>
      </c>
      <c r="V28" t="s">
        <v>22</v>
      </c>
      <c r="W28" t="s">
        <v>155</v>
      </c>
      <c r="X28" t="s">
        <v>155</v>
      </c>
      <c r="Y28" t="s">
        <v>155</v>
      </c>
      <c r="AC28" t="s">
        <v>160</v>
      </c>
      <c r="AD28" t="s">
        <v>155</v>
      </c>
      <c r="AE28" t="s">
        <v>22</v>
      </c>
      <c r="AF28" t="s">
        <v>155</v>
      </c>
      <c r="AG28" t="s">
        <v>22</v>
      </c>
      <c r="AH28" t="s">
        <v>155</v>
      </c>
    </row>
    <row r="29" spans="1:34" ht="16.2" customHeight="1" thickBot="1" x14ac:dyDescent="0.35">
      <c r="A29" s="15" t="s">
        <v>530</v>
      </c>
      <c r="B29" s="1" t="s">
        <v>531</v>
      </c>
      <c r="C29" s="1"/>
      <c r="D29" s="9"/>
      <c r="E29" s="14"/>
      <c r="F29" s="9"/>
      <c r="G29" s="14"/>
      <c r="H29" s="9"/>
      <c r="I29" s="4"/>
      <c r="J29" s="9"/>
      <c r="K29" s="4"/>
      <c r="L29" s="16"/>
      <c r="M29" s="21"/>
      <c r="O29">
        <f t="shared" si="0"/>
        <v>0</v>
      </c>
      <c r="Q29">
        <f>COUNTIF($B$2:$B$100,Tabla3[[#This Row],[Profesor]])</f>
        <v>1</v>
      </c>
      <c r="T29" t="s">
        <v>170</v>
      </c>
      <c r="U29" t="s">
        <v>155</v>
      </c>
      <c r="V29" t="s">
        <v>8</v>
      </c>
      <c r="W29" t="s">
        <v>155</v>
      </c>
      <c r="X29" t="s">
        <v>8</v>
      </c>
      <c r="Y29" t="s">
        <v>155</v>
      </c>
      <c r="AC29" t="s">
        <v>170</v>
      </c>
      <c r="AD29" t="s">
        <v>155</v>
      </c>
      <c r="AE29" t="s">
        <v>8</v>
      </c>
      <c r="AF29" t="s">
        <v>155</v>
      </c>
      <c r="AG29" t="s">
        <v>8</v>
      </c>
      <c r="AH29" t="s">
        <v>155</v>
      </c>
    </row>
    <row r="30" spans="1:34" ht="16.2" customHeight="1" thickBot="1" x14ac:dyDescent="0.35">
      <c r="A30" s="15" t="s">
        <v>360</v>
      </c>
      <c r="B30" s="1" t="s">
        <v>361</v>
      </c>
      <c r="C30" s="1"/>
      <c r="D30" s="9" t="s">
        <v>260</v>
      </c>
      <c r="E30" s="14">
        <v>1</v>
      </c>
      <c r="F30" s="9"/>
      <c r="G30" s="14"/>
      <c r="H30" s="9"/>
      <c r="I30" s="4"/>
      <c r="J30" s="9"/>
      <c r="K30" s="4"/>
      <c r="L30" s="16"/>
      <c r="M30" s="21"/>
      <c r="O30">
        <f t="shared" si="0"/>
        <v>1</v>
      </c>
      <c r="Q30">
        <f>COUNTIF($B$2:$B$100,Tabla3[[#This Row],[Profesor]])</f>
        <v>1</v>
      </c>
      <c r="T30" t="s">
        <v>171</v>
      </c>
      <c r="U30" t="s">
        <v>155</v>
      </c>
      <c r="V30" t="s">
        <v>155</v>
      </c>
      <c r="W30" t="s">
        <v>155</v>
      </c>
      <c r="X30" t="s">
        <v>8</v>
      </c>
      <c r="Y30" t="s">
        <v>155</v>
      </c>
      <c r="AC30" t="s">
        <v>171</v>
      </c>
      <c r="AD30" t="s">
        <v>155</v>
      </c>
      <c r="AE30" t="s">
        <v>155</v>
      </c>
      <c r="AF30" t="s">
        <v>155</v>
      </c>
      <c r="AG30" t="s">
        <v>8</v>
      </c>
      <c r="AH30" t="s">
        <v>155</v>
      </c>
    </row>
    <row r="31" spans="1:34" ht="16.2" customHeight="1" thickBot="1" x14ac:dyDescent="0.35">
      <c r="A31" s="15" t="s">
        <v>112</v>
      </c>
      <c r="B31" s="1" t="s">
        <v>42</v>
      </c>
      <c r="C31" s="1"/>
      <c r="D31" s="13" t="s">
        <v>337</v>
      </c>
      <c r="E31" s="14">
        <v>1</v>
      </c>
      <c r="F31" s="13" t="s">
        <v>379</v>
      </c>
      <c r="G31" s="14">
        <v>1</v>
      </c>
      <c r="H31" s="13"/>
      <c r="I31" s="14"/>
      <c r="J31" s="13"/>
      <c r="K31" s="4"/>
      <c r="L31" s="16"/>
      <c r="M31" s="74" t="s">
        <v>511</v>
      </c>
      <c r="O31">
        <f t="shared" si="0"/>
        <v>2</v>
      </c>
      <c r="Q31">
        <f>COUNTIF($B$2:$B$100,Tabla3[[#This Row],[Profesor]])</f>
        <v>1</v>
      </c>
      <c r="T31" t="s">
        <v>172</v>
      </c>
      <c r="U31" t="s">
        <v>155</v>
      </c>
      <c r="V31" t="s">
        <v>155</v>
      </c>
      <c r="W31" t="s">
        <v>155</v>
      </c>
      <c r="X31" t="s">
        <v>155</v>
      </c>
      <c r="Y31" t="s">
        <v>155</v>
      </c>
      <c r="AC31" t="s">
        <v>172</v>
      </c>
      <c r="AD31" t="s">
        <v>155</v>
      </c>
      <c r="AE31" t="s">
        <v>155</v>
      </c>
      <c r="AF31" t="s">
        <v>155</v>
      </c>
      <c r="AG31" t="s">
        <v>155</v>
      </c>
      <c r="AH31" t="s">
        <v>155</v>
      </c>
    </row>
    <row r="32" spans="1:34" ht="16.2" customHeight="1" thickBot="1" x14ac:dyDescent="0.35">
      <c r="A32" s="15" t="s">
        <v>390</v>
      </c>
      <c r="B32" s="1" t="s">
        <v>391</v>
      </c>
      <c r="C32" s="1"/>
      <c r="D32" s="9" t="s">
        <v>389</v>
      </c>
      <c r="E32" s="14">
        <v>1</v>
      </c>
      <c r="F32" s="9"/>
      <c r="G32" s="14"/>
      <c r="H32" s="9"/>
      <c r="I32" s="4"/>
      <c r="J32" s="9"/>
      <c r="K32" s="4"/>
      <c r="L32" s="16"/>
      <c r="M32" s="21"/>
      <c r="O32">
        <f t="shared" si="0"/>
        <v>1</v>
      </c>
      <c r="Q32">
        <f>COUNTIF($B$2:$B$100,Tabla3[[#This Row],[Profesor]])</f>
        <v>1</v>
      </c>
      <c r="T32" t="s">
        <v>154</v>
      </c>
      <c r="U32" t="s">
        <v>23</v>
      </c>
      <c r="V32" t="s">
        <v>155</v>
      </c>
      <c r="W32" t="s">
        <v>23</v>
      </c>
      <c r="X32" t="s">
        <v>155</v>
      </c>
      <c r="Y32" t="s">
        <v>155</v>
      </c>
      <c r="AC32" t="s">
        <v>154</v>
      </c>
      <c r="AD32" t="s">
        <v>75</v>
      </c>
      <c r="AE32" t="s">
        <v>155</v>
      </c>
      <c r="AF32" t="s">
        <v>155</v>
      </c>
      <c r="AG32" t="s">
        <v>155</v>
      </c>
      <c r="AH32" t="s">
        <v>75</v>
      </c>
    </row>
    <row r="33" spans="1:34" ht="16.2" customHeight="1" thickBot="1" x14ac:dyDescent="0.35">
      <c r="A33" s="15" t="s">
        <v>104</v>
      </c>
      <c r="B33" s="1" t="s">
        <v>13</v>
      </c>
      <c r="C33" s="1"/>
      <c r="D33" s="13" t="s">
        <v>8</v>
      </c>
      <c r="E33" s="14">
        <v>1</v>
      </c>
      <c r="F33" s="13" t="s">
        <v>22</v>
      </c>
      <c r="G33" s="14">
        <v>1</v>
      </c>
      <c r="H33" s="13" t="s">
        <v>23</v>
      </c>
      <c r="I33" s="14">
        <v>1</v>
      </c>
      <c r="J33" s="13"/>
      <c r="K33" s="4"/>
      <c r="L33" s="16"/>
      <c r="M33" s="21"/>
      <c r="O33">
        <f t="shared" si="0"/>
        <v>3</v>
      </c>
      <c r="Q33">
        <f>COUNTIF($B$2:$B$100,Tabla3[[#This Row],[Profesor]])</f>
        <v>1</v>
      </c>
      <c r="T33" t="s">
        <v>158</v>
      </c>
      <c r="U33" t="s">
        <v>155</v>
      </c>
      <c r="V33" t="s">
        <v>155</v>
      </c>
      <c r="W33" t="s">
        <v>75</v>
      </c>
      <c r="X33" t="s">
        <v>155</v>
      </c>
      <c r="Y33" t="s">
        <v>155</v>
      </c>
      <c r="AC33" t="s">
        <v>158</v>
      </c>
      <c r="AD33" t="s">
        <v>155</v>
      </c>
      <c r="AE33" t="s">
        <v>155</v>
      </c>
      <c r="AF33" t="s">
        <v>155</v>
      </c>
      <c r="AG33" t="s">
        <v>155</v>
      </c>
      <c r="AH33" t="s">
        <v>155</v>
      </c>
    </row>
    <row r="34" spans="1:34" ht="16.2" customHeight="1" thickBot="1" x14ac:dyDescent="0.35">
      <c r="A34" s="15" t="s">
        <v>374</v>
      </c>
      <c r="B34" s="1" t="s">
        <v>375</v>
      </c>
      <c r="C34" s="1"/>
      <c r="D34" s="9" t="s">
        <v>373</v>
      </c>
      <c r="E34" s="14">
        <v>1</v>
      </c>
      <c r="F34" s="9"/>
      <c r="G34" s="14"/>
      <c r="H34" s="9"/>
      <c r="I34" s="4"/>
      <c r="J34" s="9"/>
      <c r="K34" s="4"/>
      <c r="L34" s="16"/>
      <c r="M34" s="21"/>
      <c r="O34">
        <f t="shared" si="0"/>
        <v>1</v>
      </c>
      <c r="Q34">
        <f>COUNTIF($B$2:$B$100,Tabla3[[#This Row],[Profesor]])</f>
        <v>1</v>
      </c>
      <c r="T34" t="s">
        <v>159</v>
      </c>
      <c r="U34" t="s">
        <v>75</v>
      </c>
      <c r="V34" t="s">
        <v>155</v>
      </c>
      <c r="W34" t="s">
        <v>23</v>
      </c>
      <c r="X34" t="s">
        <v>155</v>
      </c>
      <c r="Y34" t="s">
        <v>155</v>
      </c>
      <c r="AC34" t="s">
        <v>159</v>
      </c>
      <c r="AD34" t="s">
        <v>23</v>
      </c>
      <c r="AE34" t="s">
        <v>155</v>
      </c>
      <c r="AF34" t="s">
        <v>23</v>
      </c>
      <c r="AG34" t="s">
        <v>155</v>
      </c>
      <c r="AH34" t="s">
        <v>155</v>
      </c>
    </row>
    <row r="35" spans="1:34" ht="16.2" customHeight="1" thickBot="1" x14ac:dyDescent="0.35">
      <c r="A35" s="15" t="s">
        <v>493</v>
      </c>
      <c r="B35" s="1" t="s">
        <v>494</v>
      </c>
      <c r="C35" s="1"/>
      <c r="D35" s="9" t="s">
        <v>414</v>
      </c>
      <c r="E35" s="14">
        <v>2</v>
      </c>
      <c r="F35" s="9"/>
      <c r="G35" s="14"/>
      <c r="H35" s="9"/>
      <c r="I35" s="4"/>
      <c r="J35" s="9"/>
      <c r="K35" s="4"/>
      <c r="L35" s="16"/>
      <c r="M35" s="21"/>
      <c r="O35">
        <f t="shared" si="0"/>
        <v>2</v>
      </c>
      <c r="Q35">
        <f>COUNTIF($B$2:$B$100,Tabla3[[#This Row],[Profesor]])</f>
        <v>1</v>
      </c>
      <c r="T35" t="s">
        <v>160</v>
      </c>
      <c r="U35" t="s">
        <v>75</v>
      </c>
      <c r="V35" t="s">
        <v>155</v>
      </c>
      <c r="W35" t="s">
        <v>23</v>
      </c>
      <c r="X35" t="s">
        <v>155</v>
      </c>
      <c r="Y35" t="s">
        <v>155</v>
      </c>
      <c r="AC35" t="s">
        <v>160</v>
      </c>
      <c r="AD35" t="s">
        <v>23</v>
      </c>
      <c r="AE35" t="s">
        <v>155</v>
      </c>
      <c r="AF35" t="s">
        <v>23</v>
      </c>
      <c r="AG35" t="s">
        <v>155</v>
      </c>
      <c r="AH35" t="s">
        <v>155</v>
      </c>
    </row>
    <row r="36" spans="1:34" ht="16.2" customHeight="1" thickBot="1" x14ac:dyDescent="0.35">
      <c r="A36" s="15" t="s">
        <v>483</v>
      </c>
      <c r="B36" s="1" t="s">
        <v>484</v>
      </c>
      <c r="C36" s="1"/>
      <c r="D36" s="9" t="s">
        <v>469</v>
      </c>
      <c r="E36" s="14">
        <v>1</v>
      </c>
      <c r="F36" s="9"/>
      <c r="G36" s="14"/>
      <c r="H36" s="9"/>
      <c r="I36" s="4"/>
      <c r="J36" s="9"/>
      <c r="K36" s="4"/>
      <c r="L36" s="16"/>
      <c r="M36" s="21"/>
      <c r="O36">
        <f>E36+G36+I36+K36</f>
        <v>1</v>
      </c>
      <c r="Q36">
        <f>COUNTIF($B$2:$B$100,Tabla3[[#This Row],[Profesor]])</f>
        <v>1</v>
      </c>
      <c r="T36" t="s">
        <v>169</v>
      </c>
      <c r="U36" t="s">
        <v>155</v>
      </c>
      <c r="V36" t="s">
        <v>155</v>
      </c>
      <c r="W36" t="s">
        <v>155</v>
      </c>
      <c r="X36" t="s">
        <v>155</v>
      </c>
      <c r="Y36" t="s">
        <v>155</v>
      </c>
      <c r="AC36" t="s">
        <v>169</v>
      </c>
      <c r="AD36" t="s">
        <v>155</v>
      </c>
      <c r="AE36" t="s">
        <v>155</v>
      </c>
      <c r="AF36" t="s">
        <v>155</v>
      </c>
      <c r="AG36" t="s">
        <v>155</v>
      </c>
      <c r="AH36" t="s">
        <v>155</v>
      </c>
    </row>
    <row r="37" spans="1:34" ht="16.2" customHeight="1" thickBot="1" x14ac:dyDescent="0.35">
      <c r="A37" s="15" t="s">
        <v>384</v>
      </c>
      <c r="B37" s="1" t="s">
        <v>385</v>
      </c>
      <c r="C37" s="1"/>
      <c r="D37" s="9" t="s">
        <v>383</v>
      </c>
      <c r="E37" s="14">
        <v>1</v>
      </c>
      <c r="F37" s="9"/>
      <c r="G37" s="14"/>
      <c r="H37" s="9"/>
      <c r="I37" s="4"/>
      <c r="J37" s="9"/>
      <c r="K37" s="4"/>
      <c r="L37" s="16"/>
      <c r="M37" s="21"/>
      <c r="O37">
        <f t="shared" si="0"/>
        <v>1</v>
      </c>
      <c r="Q37">
        <f>COUNTIF($B$2:$B$100,Tabla3[[#This Row],[Profesor]])</f>
        <v>1</v>
      </c>
      <c r="T37" t="s">
        <v>171</v>
      </c>
      <c r="U37" t="s">
        <v>155</v>
      </c>
      <c r="V37" t="s">
        <v>155</v>
      </c>
      <c r="W37" t="s">
        <v>155</v>
      </c>
      <c r="X37" t="s">
        <v>155</v>
      </c>
      <c r="Y37" t="s">
        <v>155</v>
      </c>
      <c r="AC37" t="s">
        <v>171</v>
      </c>
      <c r="AD37" t="s">
        <v>155</v>
      </c>
      <c r="AE37" t="s">
        <v>155</v>
      </c>
      <c r="AF37" t="s">
        <v>155</v>
      </c>
      <c r="AG37" t="s">
        <v>155</v>
      </c>
      <c r="AH37" t="s">
        <v>155</v>
      </c>
    </row>
    <row r="38" spans="1:34" ht="16.2" customHeight="1" thickBot="1" x14ac:dyDescent="0.35">
      <c r="A38" s="79" t="s">
        <v>113</v>
      </c>
      <c r="B38" s="1" t="s">
        <v>499</v>
      </c>
      <c r="C38" s="1"/>
      <c r="D38" s="9" t="s">
        <v>365</v>
      </c>
      <c r="E38" s="14">
        <v>1</v>
      </c>
      <c r="F38" s="9"/>
      <c r="G38" s="14"/>
      <c r="H38" s="9"/>
      <c r="I38" s="4"/>
      <c r="J38" s="9"/>
      <c r="K38" s="4"/>
      <c r="L38" s="16"/>
      <c r="M38" s="21"/>
      <c r="O38">
        <f t="shared" si="0"/>
        <v>1</v>
      </c>
      <c r="Q38">
        <f>COUNTIF($B$2:$B$100,Tabla3[[#This Row],[Profesor]])</f>
        <v>1</v>
      </c>
      <c r="T38" t="s">
        <v>172</v>
      </c>
      <c r="U38" t="s">
        <v>155</v>
      </c>
      <c r="V38" t="s">
        <v>155</v>
      </c>
      <c r="W38" t="s">
        <v>155</v>
      </c>
      <c r="X38" t="s">
        <v>155</v>
      </c>
      <c r="Y38" t="s">
        <v>155</v>
      </c>
      <c r="AC38" t="s">
        <v>172</v>
      </c>
      <c r="AD38" t="s">
        <v>155</v>
      </c>
      <c r="AE38" t="s">
        <v>155</v>
      </c>
      <c r="AF38" t="s">
        <v>155</v>
      </c>
      <c r="AG38" t="s">
        <v>155</v>
      </c>
      <c r="AH38" t="s">
        <v>155</v>
      </c>
    </row>
    <row r="39" spans="1:34" ht="16.2" customHeight="1" thickBot="1" x14ac:dyDescent="0.35">
      <c r="A39" s="15" t="s">
        <v>122</v>
      </c>
      <c r="B39" s="1" t="s">
        <v>74</v>
      </c>
      <c r="C39" s="1"/>
      <c r="D39" s="13" t="s">
        <v>79</v>
      </c>
      <c r="E39" s="14">
        <v>1</v>
      </c>
      <c r="F39" s="13" t="s">
        <v>388</v>
      </c>
      <c r="G39" s="14">
        <v>1</v>
      </c>
      <c r="H39" s="13"/>
      <c r="I39" s="14"/>
      <c r="J39" s="13"/>
      <c r="K39" s="4"/>
      <c r="L39" s="16"/>
      <c r="M39" s="21"/>
      <c r="O39">
        <f t="shared" si="0"/>
        <v>2</v>
      </c>
      <c r="Q39">
        <f>COUNTIF($B$2:$B$100,Tabla3[[#This Row],[Profesor]])</f>
        <v>1</v>
      </c>
    </row>
    <row r="40" spans="1:34" ht="16.2" customHeight="1" thickBot="1" x14ac:dyDescent="0.35">
      <c r="A40" s="79" t="s">
        <v>534</v>
      </c>
      <c r="B40" s="1" t="s">
        <v>535</v>
      </c>
      <c r="C40" s="1"/>
      <c r="D40" s="9" t="s">
        <v>538</v>
      </c>
      <c r="E40" s="14">
        <v>2</v>
      </c>
      <c r="F40" s="9"/>
      <c r="G40" s="14"/>
      <c r="H40" s="9"/>
      <c r="I40" s="4"/>
      <c r="J40" s="9"/>
      <c r="K40" s="4"/>
      <c r="L40" s="16"/>
      <c r="M40" s="21"/>
      <c r="O40">
        <f t="shared" si="0"/>
        <v>2</v>
      </c>
      <c r="Q40">
        <f>COUNTIF($B$2:$B$100,Tabla3[[#This Row],[Profesor]])</f>
        <v>1</v>
      </c>
    </row>
    <row r="41" spans="1:34" ht="16.2" customHeight="1" thickBot="1" x14ac:dyDescent="0.35">
      <c r="A41" s="79" t="s">
        <v>346</v>
      </c>
      <c r="B41" s="1" t="s">
        <v>347</v>
      </c>
      <c r="C41" s="1"/>
      <c r="D41" s="9" t="s">
        <v>345</v>
      </c>
      <c r="E41" s="14">
        <v>3</v>
      </c>
      <c r="F41" s="9"/>
      <c r="G41" s="14"/>
      <c r="H41" s="9"/>
      <c r="I41" s="4"/>
      <c r="J41" s="9"/>
      <c r="K41" s="4"/>
      <c r="L41" s="16"/>
      <c r="M41" s="21"/>
      <c r="O41">
        <f t="shared" si="0"/>
        <v>3</v>
      </c>
      <c r="Q41">
        <f>COUNTIF($B$2:$B$100,Tabla3[[#This Row],[Profesor]])</f>
        <v>1</v>
      </c>
    </row>
    <row r="42" spans="1:34" ht="16.2" customHeight="1" thickBot="1" x14ac:dyDescent="0.35">
      <c r="A42" s="15" t="s">
        <v>386</v>
      </c>
      <c r="B42" s="1" t="s">
        <v>387</v>
      </c>
      <c r="C42" s="1"/>
      <c r="D42" s="9" t="s">
        <v>383</v>
      </c>
      <c r="E42" s="14">
        <v>1</v>
      </c>
      <c r="F42" s="9"/>
      <c r="G42" s="14"/>
      <c r="H42" s="9"/>
      <c r="I42" s="4"/>
      <c r="J42" s="9"/>
      <c r="K42" s="4"/>
      <c r="L42" s="16"/>
      <c r="M42" s="21" t="s">
        <v>510</v>
      </c>
      <c r="O42">
        <f t="shared" si="0"/>
        <v>1</v>
      </c>
      <c r="Q42">
        <f>COUNTIF($B$2:$B$100,Tabla3[[#This Row],[Profesor]])</f>
        <v>1</v>
      </c>
    </row>
    <row r="43" spans="1:34" ht="16.2" customHeight="1" thickBot="1" x14ac:dyDescent="0.35">
      <c r="A43" s="15" t="s">
        <v>500</v>
      </c>
      <c r="B43" s="1" t="s">
        <v>501</v>
      </c>
      <c r="C43" s="1"/>
      <c r="D43" s="9" t="s">
        <v>262</v>
      </c>
      <c r="E43" s="14">
        <v>1</v>
      </c>
      <c r="F43" s="9" t="s">
        <v>277</v>
      </c>
      <c r="G43" s="14">
        <v>1</v>
      </c>
      <c r="H43" s="9"/>
      <c r="I43" s="14"/>
      <c r="J43" s="9"/>
      <c r="K43" s="4"/>
      <c r="L43" s="16"/>
      <c r="M43" s="21"/>
      <c r="O43">
        <f t="shared" si="0"/>
        <v>2</v>
      </c>
      <c r="Q43">
        <f>COUNTIF($B$2:$B$100,Tabla3[[#This Row],[Profesor]])</f>
        <v>1</v>
      </c>
    </row>
    <row r="44" spans="1:34" ht="16.2" customHeight="1" thickBot="1" x14ac:dyDescent="0.35">
      <c r="A44" s="15" t="s">
        <v>503</v>
      </c>
      <c r="B44" s="1" t="s">
        <v>502</v>
      </c>
      <c r="C44" s="1"/>
      <c r="D44" s="9" t="s">
        <v>277</v>
      </c>
      <c r="E44" s="14">
        <v>3</v>
      </c>
      <c r="F44" s="9"/>
      <c r="G44" s="14"/>
      <c r="H44" s="9"/>
      <c r="I44" s="4"/>
      <c r="J44" s="9"/>
      <c r="K44" s="4"/>
      <c r="L44" s="16"/>
      <c r="M44" s="21"/>
      <c r="O44">
        <f t="shared" si="0"/>
        <v>3</v>
      </c>
      <c r="Q44">
        <f>COUNTIF($B$2:$B$100,Tabla3[[#This Row],[Profesor]])</f>
        <v>1</v>
      </c>
    </row>
    <row r="45" spans="1:34" ht="16.2" customHeight="1" thickBot="1" x14ac:dyDescent="0.35">
      <c r="A45" s="15" t="s">
        <v>514</v>
      </c>
      <c r="B45" s="1" t="s">
        <v>515</v>
      </c>
      <c r="C45" s="1"/>
      <c r="D45" s="9" t="s">
        <v>263</v>
      </c>
      <c r="E45" s="14">
        <v>2</v>
      </c>
      <c r="F45" s="9"/>
      <c r="G45" s="14"/>
      <c r="H45" s="9"/>
      <c r="I45" s="4"/>
      <c r="J45" s="9"/>
      <c r="K45" s="4"/>
      <c r="L45" s="16"/>
      <c r="M45" s="21"/>
      <c r="O45">
        <f t="shared" si="0"/>
        <v>2</v>
      </c>
      <c r="Q45">
        <f>COUNTIF($B$2:$B$100,Tabla3[[#This Row],[Profesor]])</f>
        <v>1</v>
      </c>
    </row>
    <row r="46" spans="1:34" ht="16.2" customHeight="1" thickBot="1" x14ac:dyDescent="0.35">
      <c r="A46" s="79" t="s">
        <v>434</v>
      </c>
      <c r="B46" s="1" t="s">
        <v>422</v>
      </c>
      <c r="C46" s="1"/>
      <c r="D46" s="9" t="s">
        <v>417</v>
      </c>
      <c r="E46" s="14">
        <v>2</v>
      </c>
      <c r="F46" s="9" t="s">
        <v>474</v>
      </c>
      <c r="G46" s="14">
        <v>1</v>
      </c>
      <c r="H46" s="9"/>
      <c r="I46" s="4"/>
      <c r="J46" s="9"/>
      <c r="K46" s="4"/>
      <c r="L46" s="16"/>
      <c r="M46" s="21"/>
      <c r="O46">
        <f t="shared" si="0"/>
        <v>3</v>
      </c>
      <c r="Q46">
        <f>COUNTIF($B$2:$B$100,Tabla3[[#This Row],[Profesor]])</f>
        <v>1</v>
      </c>
    </row>
    <row r="47" spans="1:34" ht="16.2" customHeight="1" thickBot="1" x14ac:dyDescent="0.35">
      <c r="A47" s="15" t="s">
        <v>178</v>
      </c>
      <c r="B47" s="1" t="s">
        <v>179</v>
      </c>
      <c r="C47" s="1"/>
      <c r="D47" s="9" t="s">
        <v>77</v>
      </c>
      <c r="E47" s="14">
        <v>1</v>
      </c>
      <c r="F47" s="9"/>
      <c r="G47" s="14"/>
      <c r="H47" s="9"/>
      <c r="I47" s="4"/>
      <c r="J47" s="9"/>
      <c r="K47" s="4"/>
      <c r="L47" s="16"/>
      <c r="M47" s="21"/>
      <c r="O47">
        <f t="shared" si="0"/>
        <v>1</v>
      </c>
      <c r="Q47">
        <f>COUNTIF($B$2:$B$100,Tabla3[[#This Row],[Profesor]])</f>
        <v>1</v>
      </c>
    </row>
    <row r="48" spans="1:34" ht="16.2" customHeight="1" thickBot="1" x14ac:dyDescent="0.35">
      <c r="A48" s="15" t="s">
        <v>435</v>
      </c>
      <c r="B48" s="1" t="s">
        <v>19</v>
      </c>
      <c r="C48" s="1"/>
      <c r="D48" s="13" t="s">
        <v>8</v>
      </c>
      <c r="E48" s="14">
        <v>1</v>
      </c>
      <c r="F48" s="13" t="s">
        <v>328</v>
      </c>
      <c r="G48" s="14">
        <v>1</v>
      </c>
      <c r="H48" s="13" t="s">
        <v>398</v>
      </c>
      <c r="I48" s="32">
        <v>2</v>
      </c>
      <c r="J48" s="13"/>
      <c r="K48" s="4"/>
      <c r="L48" s="16"/>
      <c r="M48" s="21"/>
      <c r="O48">
        <f t="shared" ref="O48:O59" si="1">E48+G48+I48+K48</f>
        <v>4</v>
      </c>
      <c r="Q48">
        <f>COUNTIF($B$2:$B$100,Tabla3[[#This Row],[Profesor]])</f>
        <v>1</v>
      </c>
    </row>
    <row r="49" spans="1:17" ht="16.2" customHeight="1" thickBot="1" x14ac:dyDescent="0.35">
      <c r="A49" s="15" t="s">
        <v>436</v>
      </c>
      <c r="B49" s="1" t="s">
        <v>67</v>
      </c>
      <c r="C49" s="1"/>
      <c r="D49" s="9" t="s">
        <v>283</v>
      </c>
      <c r="E49" s="14">
        <v>1</v>
      </c>
      <c r="F49" s="9" t="s">
        <v>389</v>
      </c>
      <c r="G49" s="14">
        <v>1</v>
      </c>
      <c r="H49" s="9"/>
      <c r="I49" s="4"/>
      <c r="J49" s="9"/>
      <c r="K49" s="4"/>
      <c r="L49" s="16"/>
      <c r="M49" s="21"/>
      <c r="O49">
        <f t="shared" si="1"/>
        <v>2</v>
      </c>
      <c r="Q49">
        <f>COUNTIF($B$2:$B$100,Tabla3[[#This Row],[Profesor]])</f>
        <v>1</v>
      </c>
    </row>
    <row r="50" spans="1:17" ht="16.2" customHeight="1" thickBot="1" x14ac:dyDescent="0.35">
      <c r="A50" s="15" t="s">
        <v>437</v>
      </c>
      <c r="B50" s="1" t="s">
        <v>12</v>
      </c>
      <c r="C50" s="1" t="s">
        <v>238</v>
      </c>
      <c r="D50" s="13" t="s">
        <v>7</v>
      </c>
      <c r="E50" s="14">
        <v>4</v>
      </c>
      <c r="F50" s="13"/>
      <c r="G50" s="14"/>
      <c r="H50" s="13"/>
      <c r="I50" s="14"/>
      <c r="J50" s="13"/>
      <c r="K50" s="4"/>
      <c r="L50" s="16"/>
      <c r="M50" s="21"/>
      <c r="O50">
        <f t="shared" si="1"/>
        <v>4</v>
      </c>
      <c r="Q50">
        <f>COUNTIF($B$2:$B$100,Tabla3[[#This Row],[Profesor]])</f>
        <v>1</v>
      </c>
    </row>
    <row r="51" spans="1:17" ht="16.2" customHeight="1" thickBot="1" x14ac:dyDescent="0.35">
      <c r="A51" s="79" t="s">
        <v>134</v>
      </c>
      <c r="B51" s="1" t="s">
        <v>526</v>
      </c>
      <c r="C51" s="1"/>
      <c r="D51" s="50"/>
      <c r="E51" s="14"/>
      <c r="F51" s="9"/>
      <c r="G51" s="14"/>
      <c r="H51" s="9"/>
      <c r="I51" s="4"/>
      <c r="J51" s="9"/>
      <c r="K51" s="4"/>
      <c r="L51" s="16"/>
      <c r="M51" s="21"/>
      <c r="O51">
        <f t="shared" si="1"/>
        <v>0</v>
      </c>
      <c r="Q51">
        <f>COUNTIF($B$2:$B$100,Tabla3[[#This Row],[Profesor]])</f>
        <v>1</v>
      </c>
    </row>
    <row r="52" spans="1:17" ht="16.2" customHeight="1" thickBot="1" x14ac:dyDescent="0.35">
      <c r="A52" s="15" t="s">
        <v>446</v>
      </c>
      <c r="B52" s="1" t="s">
        <v>447</v>
      </c>
      <c r="C52" s="1"/>
      <c r="D52" s="9" t="s">
        <v>272</v>
      </c>
      <c r="E52" s="14">
        <v>2</v>
      </c>
      <c r="F52" s="9"/>
      <c r="G52" s="14"/>
      <c r="H52" s="9"/>
      <c r="I52" s="4"/>
      <c r="J52" s="9"/>
      <c r="K52" s="4"/>
      <c r="L52" s="16"/>
      <c r="M52" s="21"/>
      <c r="O52">
        <f t="shared" si="1"/>
        <v>2</v>
      </c>
      <c r="Q52">
        <f>COUNTIF($B$2:$B$100,Tabla3[[#This Row],[Profesor]])</f>
        <v>1</v>
      </c>
    </row>
    <row r="53" spans="1:17" ht="16.2" customHeight="1" thickBot="1" x14ac:dyDescent="0.35">
      <c r="A53" s="15" t="s">
        <v>118</v>
      </c>
      <c r="B53" s="1" t="s">
        <v>25</v>
      </c>
      <c r="C53" s="1" t="s">
        <v>238</v>
      </c>
      <c r="D53" s="13" t="s">
        <v>20</v>
      </c>
      <c r="E53" s="14">
        <v>1</v>
      </c>
      <c r="F53" s="13" t="s">
        <v>21</v>
      </c>
      <c r="G53" s="14">
        <v>1</v>
      </c>
      <c r="H53" s="13" t="s">
        <v>351</v>
      </c>
      <c r="I53" s="14">
        <v>1</v>
      </c>
      <c r="J53" s="13" t="s">
        <v>352</v>
      </c>
      <c r="K53" s="14">
        <v>2</v>
      </c>
      <c r="L53" s="16" t="s">
        <v>504</v>
      </c>
      <c r="M53" s="21" t="s">
        <v>505</v>
      </c>
      <c r="O53">
        <f t="shared" si="1"/>
        <v>5</v>
      </c>
      <c r="Q53">
        <f>COUNTIF($B$2:$B$100,Tabla3[[#This Row],[Profesor]])</f>
        <v>1</v>
      </c>
    </row>
    <row r="54" spans="1:17" ht="16.2" customHeight="1" thickBot="1" x14ac:dyDescent="0.35">
      <c r="A54" s="15" t="s">
        <v>270</v>
      </c>
      <c r="B54" s="1" t="s">
        <v>271</v>
      </c>
      <c r="C54" s="1" t="s">
        <v>238</v>
      </c>
      <c r="D54" s="9" t="s">
        <v>269</v>
      </c>
      <c r="E54" s="14">
        <v>2</v>
      </c>
      <c r="F54" s="9"/>
      <c r="G54" s="14"/>
      <c r="H54" s="9"/>
      <c r="I54" s="4"/>
      <c r="J54" s="9"/>
      <c r="K54" s="4"/>
      <c r="L54" s="16"/>
      <c r="M54" s="21" t="s">
        <v>529</v>
      </c>
      <c r="O54">
        <f t="shared" si="1"/>
        <v>2</v>
      </c>
      <c r="Q54">
        <f>COUNTIF($B$2:$B$100,Tabla3[[#This Row],[Profesor]])</f>
        <v>1</v>
      </c>
    </row>
    <row r="55" spans="1:17" ht="16.2" customHeight="1" thickBot="1" x14ac:dyDescent="0.35">
      <c r="A55" s="15" t="s">
        <v>477</v>
      </c>
      <c r="B55" s="1" t="s">
        <v>478</v>
      </c>
      <c r="C55" s="1"/>
      <c r="D55" s="9" t="s">
        <v>467</v>
      </c>
      <c r="E55" s="14">
        <v>1</v>
      </c>
      <c r="F55" s="9" t="s">
        <v>399</v>
      </c>
      <c r="G55" s="14">
        <v>1</v>
      </c>
      <c r="H55" s="9"/>
      <c r="I55" s="4"/>
      <c r="J55" s="9"/>
      <c r="K55" s="4"/>
      <c r="L55" s="16"/>
      <c r="M55" s="21"/>
      <c r="O55">
        <f t="shared" si="1"/>
        <v>2</v>
      </c>
      <c r="Q55">
        <f>COUNTIF($B$2:$B$100,Tabla3[[#This Row],[Profesor]])</f>
        <v>1</v>
      </c>
    </row>
    <row r="56" spans="1:17" ht="16.2" customHeight="1" thickBot="1" x14ac:dyDescent="0.35">
      <c r="A56" s="15" t="s">
        <v>485</v>
      </c>
      <c r="B56" s="1" t="s">
        <v>486</v>
      </c>
      <c r="C56" s="1"/>
      <c r="D56" s="9" t="s">
        <v>470</v>
      </c>
      <c r="E56" s="14">
        <v>1</v>
      </c>
      <c r="F56" s="9"/>
      <c r="G56" s="14"/>
      <c r="H56" s="9"/>
      <c r="I56" s="4"/>
      <c r="J56" s="9"/>
      <c r="K56" s="4"/>
      <c r="L56" s="16"/>
      <c r="M56" s="21"/>
      <c r="O56">
        <f t="shared" si="1"/>
        <v>1</v>
      </c>
      <c r="Q56">
        <f>COUNTIF($B$2:$B$100,Tabla3[[#This Row],[Profesor]])</f>
        <v>1</v>
      </c>
    </row>
    <row r="57" spans="1:17" ht="16.2" customHeight="1" thickBot="1" x14ac:dyDescent="0.35">
      <c r="A57" s="15" t="s">
        <v>145</v>
      </c>
      <c r="B57" s="1" t="s">
        <v>70</v>
      </c>
      <c r="C57" s="1"/>
      <c r="D57" s="9" t="s">
        <v>397</v>
      </c>
      <c r="E57" s="14">
        <v>1</v>
      </c>
      <c r="F57" s="9"/>
      <c r="G57" s="14"/>
      <c r="H57" s="9"/>
      <c r="I57" s="4"/>
      <c r="J57" s="9"/>
      <c r="K57" s="4"/>
      <c r="L57" s="16"/>
      <c r="M57" s="21"/>
      <c r="O57">
        <f t="shared" si="1"/>
        <v>1</v>
      </c>
      <c r="Q57">
        <f>COUNTIF($B$2:$B$100,Tabla3[[#This Row],[Profesor]])</f>
        <v>1</v>
      </c>
    </row>
    <row r="58" spans="1:17" ht="16.2" customHeight="1" thickBot="1" x14ac:dyDescent="0.35">
      <c r="A58" s="80" t="s">
        <v>135</v>
      </c>
      <c r="B58" s="1" t="s">
        <v>66</v>
      </c>
      <c r="C58" s="1"/>
      <c r="D58" s="9" t="s">
        <v>91</v>
      </c>
      <c r="E58" s="14">
        <v>1</v>
      </c>
      <c r="F58" s="9"/>
      <c r="G58" s="14"/>
      <c r="H58" s="9"/>
      <c r="I58" s="4"/>
      <c r="J58" s="9"/>
      <c r="K58" s="4"/>
      <c r="L58" s="16"/>
      <c r="M58" s="21"/>
      <c r="O58">
        <f t="shared" si="1"/>
        <v>1</v>
      </c>
      <c r="Q58">
        <f>COUNTIF($B$2:$B$100,Tabla3[[#This Row],[Profesor]])</f>
        <v>1</v>
      </c>
    </row>
    <row r="59" spans="1:17" ht="16.2" customHeight="1" thickBot="1" x14ac:dyDescent="0.35">
      <c r="A59" s="15" t="s">
        <v>111</v>
      </c>
      <c r="B59" s="1" t="s">
        <v>26</v>
      </c>
      <c r="C59" s="1"/>
      <c r="D59" s="13" t="s">
        <v>338</v>
      </c>
      <c r="E59" s="14">
        <v>1</v>
      </c>
      <c r="F59" s="13" t="s">
        <v>24</v>
      </c>
      <c r="G59" s="14">
        <v>1</v>
      </c>
      <c r="H59" s="13"/>
      <c r="I59" s="14"/>
      <c r="J59" s="13"/>
      <c r="K59" s="4"/>
      <c r="L59" s="16"/>
      <c r="M59" s="21"/>
      <c r="O59">
        <f t="shared" si="1"/>
        <v>2</v>
      </c>
      <c r="Q59">
        <f>COUNTIF($B$2:$B$100,Tabla3[[#This Row],[Profesor]])</f>
        <v>1</v>
      </c>
    </row>
    <row r="60" spans="1:17" ht="16.2" customHeight="1" thickBot="1" x14ac:dyDescent="0.35">
      <c r="A60" s="15" t="s">
        <v>491</v>
      </c>
      <c r="B60" s="1" t="s">
        <v>492</v>
      </c>
      <c r="C60" s="1"/>
      <c r="D60" s="9" t="s">
        <v>473</v>
      </c>
      <c r="E60" s="14">
        <v>1</v>
      </c>
      <c r="F60" s="9"/>
      <c r="G60" s="14"/>
      <c r="H60" s="9"/>
      <c r="I60" s="4"/>
      <c r="J60" s="9"/>
      <c r="K60" s="4"/>
      <c r="L60" s="16"/>
      <c r="M60" s="21"/>
      <c r="O60">
        <f t="shared" ref="O60:O61" si="2">E60+G60+I60+K60</f>
        <v>1</v>
      </c>
      <c r="Q60">
        <f>COUNTIF($B$2:$B$100,Tabla3[[#This Row],[Profesor]])</f>
        <v>1</v>
      </c>
    </row>
    <row r="61" spans="1:17" ht="16.2" customHeight="1" thickBot="1" x14ac:dyDescent="0.35">
      <c r="A61" s="15" t="s">
        <v>320</v>
      </c>
      <c r="B61" s="1" t="s">
        <v>321</v>
      </c>
      <c r="C61" s="1"/>
      <c r="D61" s="9" t="s">
        <v>317</v>
      </c>
      <c r="E61" s="14">
        <v>1</v>
      </c>
      <c r="F61" s="9"/>
      <c r="G61" s="14"/>
      <c r="H61" s="9"/>
      <c r="I61" s="4"/>
      <c r="J61" s="9"/>
      <c r="K61" s="4"/>
      <c r="L61" s="16"/>
      <c r="M61" s="21"/>
      <c r="O61">
        <f t="shared" si="2"/>
        <v>1</v>
      </c>
      <c r="Q61">
        <f>COUNTIF($B$2:$B$100,Tabla3[[#This Row],[Profesor]])</f>
        <v>1</v>
      </c>
    </row>
    <row r="62" spans="1:17" ht="16.2" customHeight="1" thickBot="1" x14ac:dyDescent="0.35">
      <c r="A62" s="79" t="s">
        <v>250</v>
      </c>
      <c r="B62" s="1" t="s">
        <v>251</v>
      </c>
      <c r="C62" s="1"/>
      <c r="D62" s="9" t="s">
        <v>246</v>
      </c>
      <c r="E62" s="14">
        <v>1</v>
      </c>
      <c r="F62" s="9"/>
      <c r="G62" s="14"/>
      <c r="H62" s="9"/>
      <c r="I62" s="4"/>
      <c r="J62" s="9"/>
      <c r="K62" s="4"/>
      <c r="L62" s="16"/>
      <c r="M62" s="21"/>
      <c r="O62">
        <f t="shared" ref="O62:O65" si="3">E62+G62+I62+K62</f>
        <v>1</v>
      </c>
      <c r="Q62">
        <f>COUNTIF($B$2:$B$100,Tabla3[[#This Row],[Profesor]])</f>
        <v>1</v>
      </c>
    </row>
    <row r="63" spans="1:17" ht="16.2" customHeight="1" thickBot="1" x14ac:dyDescent="0.35">
      <c r="A63" s="15" t="s">
        <v>107</v>
      </c>
      <c r="B63" s="1" t="s">
        <v>16</v>
      </c>
      <c r="C63" s="1"/>
      <c r="D63" s="13" t="s">
        <v>282</v>
      </c>
      <c r="E63" s="14">
        <v>1</v>
      </c>
      <c r="F63" s="13" t="s">
        <v>8</v>
      </c>
      <c r="G63" s="14">
        <v>1</v>
      </c>
      <c r="H63" s="13" t="s">
        <v>6</v>
      </c>
      <c r="I63" s="14">
        <v>1</v>
      </c>
      <c r="J63" s="13"/>
      <c r="K63" s="4"/>
      <c r="L63" s="16"/>
      <c r="M63" s="21"/>
      <c r="O63">
        <f t="shared" si="3"/>
        <v>3</v>
      </c>
      <c r="Q63">
        <f>COUNTIF($B$2:$B$100,Tabla3[[#This Row],[Profesor]])</f>
        <v>1</v>
      </c>
    </row>
    <row r="64" spans="1:17" ht="16.2" customHeight="1" thickBot="1" x14ac:dyDescent="0.35">
      <c r="A64" s="79" t="s">
        <v>403</v>
      </c>
      <c r="B64" s="1" t="s">
        <v>181</v>
      </c>
      <c r="C64" s="1"/>
      <c r="D64" s="9" t="s">
        <v>402</v>
      </c>
      <c r="E64" s="14">
        <v>1</v>
      </c>
      <c r="F64" s="9"/>
      <c r="G64" s="14"/>
      <c r="H64" s="9"/>
      <c r="I64" s="4"/>
      <c r="J64" s="9"/>
      <c r="K64" s="4"/>
      <c r="L64" s="16"/>
      <c r="M64" s="21"/>
      <c r="O64">
        <f t="shared" si="3"/>
        <v>1</v>
      </c>
      <c r="Q64">
        <f>COUNTIF($B$2:$B$100,Tabla3[[#This Row],[Profesor]])</f>
        <v>1</v>
      </c>
    </row>
    <row r="65" spans="1:41" ht="16.2" customHeight="1" thickBot="1" x14ac:dyDescent="0.35">
      <c r="A65" s="15" t="s">
        <v>438</v>
      </c>
      <c r="B65" s="1" t="s">
        <v>404</v>
      </c>
      <c r="C65" s="1"/>
      <c r="D65" s="9" t="s">
        <v>77</v>
      </c>
      <c r="E65" s="14">
        <v>1</v>
      </c>
      <c r="F65" s="9"/>
      <c r="G65" s="14"/>
      <c r="H65" s="9"/>
      <c r="I65" s="4"/>
      <c r="J65" s="9"/>
      <c r="K65" s="4"/>
      <c r="L65" s="16"/>
      <c r="M65" s="21"/>
      <c r="O65">
        <f t="shared" si="3"/>
        <v>1</v>
      </c>
      <c r="Q65">
        <f>COUNTIF($B$2:$B$100,Tabla3[[#This Row],[Profesor]])</f>
        <v>1</v>
      </c>
    </row>
    <row r="66" spans="1:41" ht="16.2" customHeight="1" thickBot="1" x14ac:dyDescent="0.35">
      <c r="A66" s="15" t="s">
        <v>487</v>
      </c>
      <c r="B66" s="1" t="s">
        <v>488</v>
      </c>
      <c r="C66" s="1"/>
      <c r="D66" s="9" t="s">
        <v>471</v>
      </c>
      <c r="E66" s="14">
        <v>1</v>
      </c>
      <c r="F66" s="9"/>
      <c r="G66" s="14"/>
      <c r="H66" s="9"/>
      <c r="I66" s="4"/>
      <c r="J66" s="9"/>
      <c r="K66" s="4"/>
      <c r="L66" s="16"/>
      <c r="M66" s="21"/>
      <c r="O66">
        <f t="shared" ref="O66:O67" si="4">E66+G66+I66+K66</f>
        <v>1</v>
      </c>
      <c r="Q66">
        <f>COUNTIF($B$2:$B$100,Tabla3[[#This Row],[Profesor]])</f>
        <v>1</v>
      </c>
    </row>
    <row r="67" spans="1:41" ht="16.2" customHeight="1" thickBot="1" x14ac:dyDescent="0.35">
      <c r="A67" s="15" t="s">
        <v>481</v>
      </c>
      <c r="B67" s="1" t="s">
        <v>482</v>
      </c>
      <c r="C67" s="1"/>
      <c r="D67" s="9" t="s">
        <v>468</v>
      </c>
      <c r="E67" s="14">
        <v>1</v>
      </c>
      <c r="F67" s="9"/>
      <c r="G67" s="14"/>
      <c r="H67" s="9"/>
      <c r="I67" s="4"/>
      <c r="J67" s="9"/>
      <c r="K67" s="4"/>
      <c r="L67" s="16"/>
      <c r="M67" s="21"/>
      <c r="O67">
        <f t="shared" si="4"/>
        <v>1</v>
      </c>
      <c r="Q67">
        <f>COUNTIF($B$2:$B$100,Tabla3[[#This Row],[Profesor]])</f>
        <v>1</v>
      </c>
    </row>
    <row r="68" spans="1:41" ht="16.2" customHeight="1" thickBot="1" x14ac:dyDescent="0.35">
      <c r="A68" s="15" t="s">
        <v>508</v>
      </c>
      <c r="B68" s="1" t="s">
        <v>509</v>
      </c>
      <c r="C68" s="1"/>
      <c r="D68" s="9" t="s">
        <v>275</v>
      </c>
      <c r="E68" s="14">
        <v>1</v>
      </c>
      <c r="F68" s="9"/>
      <c r="G68" s="14"/>
      <c r="H68" s="9"/>
      <c r="I68" s="4"/>
      <c r="J68" s="9"/>
      <c r="K68" s="4"/>
      <c r="L68" s="16"/>
      <c r="M68" s="21"/>
      <c r="O68">
        <f t="shared" ref="O68:O72" si="5">E68+G68+I68+K68</f>
        <v>1</v>
      </c>
      <c r="Q68">
        <f>COUNTIF($B$2:$B$100,Tabla3[[#This Row],[Profesor]])</f>
        <v>1</v>
      </c>
    </row>
    <row r="69" spans="1:41" ht="16.2" customHeight="1" thickBot="1" x14ac:dyDescent="0.35">
      <c r="A69" s="15" t="s">
        <v>439</v>
      </c>
      <c r="B69" s="1" t="s">
        <v>64</v>
      </c>
      <c r="C69" s="1"/>
      <c r="D69" s="13" t="s">
        <v>79</v>
      </c>
      <c r="E69" s="14">
        <v>1</v>
      </c>
      <c r="F69" s="13" t="s">
        <v>388</v>
      </c>
      <c r="G69" s="14">
        <v>1</v>
      </c>
      <c r="H69" s="13"/>
      <c r="I69" s="14"/>
      <c r="J69" s="13"/>
      <c r="K69" s="4"/>
      <c r="L69" s="16"/>
      <c r="M69" s="21"/>
      <c r="O69">
        <f t="shared" si="5"/>
        <v>2</v>
      </c>
      <c r="Q69">
        <f>COUNTIF($B$2:$B$100,Tabla3[[#This Row],[Profesor]])</f>
        <v>1</v>
      </c>
    </row>
    <row r="70" spans="1:41" ht="16.2" customHeight="1" thickBot="1" x14ac:dyDescent="0.35">
      <c r="A70" s="79" t="s">
        <v>536</v>
      </c>
      <c r="B70" s="1" t="s">
        <v>537</v>
      </c>
      <c r="C70" s="1"/>
      <c r="D70" s="9" t="s">
        <v>399</v>
      </c>
      <c r="E70" s="14">
        <v>1</v>
      </c>
      <c r="F70" s="9"/>
      <c r="G70" s="14"/>
      <c r="H70" s="9"/>
      <c r="I70" s="4"/>
      <c r="J70" s="9"/>
      <c r="K70" s="4"/>
      <c r="L70" s="16"/>
      <c r="M70" s="21"/>
      <c r="O70">
        <f t="shared" si="5"/>
        <v>1</v>
      </c>
      <c r="Q70">
        <f>COUNTIF($B$2:$B$100,Tabla3[[#This Row],[Profesor]])</f>
        <v>1</v>
      </c>
    </row>
    <row r="71" spans="1:41" ht="16.2" customHeight="1" thickBot="1" x14ac:dyDescent="0.35">
      <c r="A71" s="15" t="s">
        <v>106</v>
      </c>
      <c r="B71" s="1" t="s">
        <v>17</v>
      </c>
      <c r="C71" s="1"/>
      <c r="D71" s="13" t="s">
        <v>351</v>
      </c>
      <c r="E71" s="14">
        <v>1</v>
      </c>
      <c r="F71" s="13"/>
      <c r="G71" s="14"/>
      <c r="H71" s="13"/>
      <c r="I71" s="14"/>
      <c r="J71" s="13"/>
      <c r="K71" s="4"/>
      <c r="L71" s="16" t="s">
        <v>507</v>
      </c>
      <c r="M71" s="21"/>
      <c r="O71">
        <f t="shared" si="5"/>
        <v>1</v>
      </c>
      <c r="Q71">
        <f>COUNTIF($B$2:$B$100,Tabla3[[#This Row],[Profesor]])</f>
        <v>1</v>
      </c>
    </row>
    <row r="72" spans="1:41" ht="16.2" customHeight="1" thickBot="1" x14ac:dyDescent="0.35">
      <c r="A72" s="15" t="s">
        <v>143</v>
      </c>
      <c r="B72" s="1" t="s">
        <v>68</v>
      </c>
      <c r="C72" s="1"/>
      <c r="D72" s="9" t="s">
        <v>377</v>
      </c>
      <c r="E72" s="14">
        <v>1</v>
      </c>
      <c r="F72" s="9"/>
      <c r="G72" s="14"/>
      <c r="H72" s="9"/>
      <c r="I72" s="4"/>
      <c r="J72" s="9"/>
      <c r="K72" s="4"/>
      <c r="L72" s="16"/>
      <c r="M72" s="21"/>
      <c r="O72">
        <f t="shared" si="5"/>
        <v>1</v>
      </c>
      <c r="Q72">
        <f>COUNTIF($B$2:$B$100,Tabla3[[#This Row],[Profesor]])</f>
        <v>1</v>
      </c>
    </row>
    <row r="73" spans="1:41" ht="16.2" customHeight="1" thickBot="1" x14ac:dyDescent="0.35">
      <c r="A73" s="79" t="s">
        <v>146</v>
      </c>
      <c r="B73" s="1" t="s">
        <v>71</v>
      </c>
      <c r="C73" s="1"/>
      <c r="D73" s="9" t="s">
        <v>397</v>
      </c>
      <c r="E73" s="14">
        <v>1</v>
      </c>
      <c r="F73" s="9"/>
      <c r="G73" s="14"/>
      <c r="H73" s="9"/>
      <c r="I73" s="4"/>
      <c r="J73" s="9"/>
      <c r="K73" s="4"/>
      <c r="L73" s="16"/>
      <c r="M73" s="21"/>
      <c r="O73">
        <f t="shared" ref="O73:O76" si="6">E73+G73+I73+K73</f>
        <v>1</v>
      </c>
      <c r="Q73">
        <f>COUNTIF($B$2:$B$100,Tabla3[[#This Row],[Profesor]])</f>
        <v>1</v>
      </c>
    </row>
    <row r="74" spans="1:41" ht="16.2" customHeight="1" thickBot="1" x14ac:dyDescent="0.35">
      <c r="A74" s="15" t="s">
        <v>151</v>
      </c>
      <c r="B74" s="1" t="s">
        <v>73</v>
      </c>
      <c r="C74" s="1"/>
      <c r="D74" s="9" t="s">
        <v>429</v>
      </c>
      <c r="E74" s="14">
        <v>1</v>
      </c>
      <c r="F74" s="9"/>
      <c r="G74" s="14"/>
      <c r="H74" s="9"/>
      <c r="I74" s="4"/>
      <c r="J74" s="9"/>
      <c r="K74" s="4"/>
      <c r="L74" s="16"/>
      <c r="M74" s="21"/>
      <c r="O74">
        <f t="shared" si="6"/>
        <v>1</v>
      </c>
      <c r="Q74">
        <f>COUNTIF($B$2:$B$100,Tabla3[[#This Row],[Profesor]])</f>
        <v>1</v>
      </c>
    </row>
    <row r="75" spans="1:41" ht="16.2" customHeight="1" thickBot="1" x14ac:dyDescent="0.35">
      <c r="A75" s="80" t="s">
        <v>479</v>
      </c>
      <c r="B75" s="1" t="s">
        <v>480</v>
      </c>
      <c r="C75" s="1"/>
      <c r="D75" s="9" t="s">
        <v>468</v>
      </c>
      <c r="E75" s="14">
        <v>1</v>
      </c>
      <c r="F75" s="9"/>
      <c r="G75" s="14"/>
      <c r="H75" s="9"/>
      <c r="I75" s="4"/>
      <c r="J75" s="9"/>
      <c r="K75" s="4"/>
      <c r="L75" s="16"/>
      <c r="M75" s="21"/>
      <c r="O75">
        <f t="shared" si="6"/>
        <v>1</v>
      </c>
      <c r="Q75">
        <f>COUNTIF($B$2:$B$100,Tabla3[[#This Row],[Profesor]])</f>
        <v>1</v>
      </c>
    </row>
    <row r="76" spans="1:41" ht="16.2" customHeight="1" thickBot="1" x14ac:dyDescent="0.35">
      <c r="A76" s="15" t="s">
        <v>527</v>
      </c>
      <c r="B76" s="1" t="s">
        <v>528</v>
      </c>
      <c r="C76" s="1"/>
      <c r="D76" s="9" t="s">
        <v>543</v>
      </c>
      <c r="E76" s="14">
        <v>1</v>
      </c>
      <c r="F76" s="9"/>
      <c r="G76" s="14"/>
      <c r="H76" s="9"/>
      <c r="I76" s="4"/>
      <c r="J76" s="9"/>
      <c r="K76" s="4"/>
      <c r="L76" s="16"/>
      <c r="M76" s="21"/>
      <c r="O76">
        <f t="shared" si="6"/>
        <v>1</v>
      </c>
      <c r="Q76">
        <f>COUNTIF($B$2:$B$100,Tabla3[[#This Row],[Profesor]])</f>
        <v>1</v>
      </c>
    </row>
    <row r="77" spans="1:41" ht="16.2" customHeight="1" thickBot="1" x14ac:dyDescent="0.35">
      <c r="A77" s="15" t="s">
        <v>335</v>
      </c>
      <c r="B77" s="1" t="s">
        <v>336</v>
      </c>
      <c r="C77" s="1"/>
      <c r="D77" s="9" t="s">
        <v>329</v>
      </c>
      <c r="E77" s="14">
        <v>2</v>
      </c>
      <c r="F77" s="9"/>
      <c r="G77" s="14"/>
      <c r="H77" s="9"/>
      <c r="I77" s="4"/>
      <c r="J77" s="9"/>
      <c r="K77" s="4"/>
      <c r="L77" s="16"/>
      <c r="M77" s="21"/>
      <c r="O77">
        <f t="shared" ref="O77" si="7">E77+G77+I77+K77</f>
        <v>2</v>
      </c>
      <c r="Q77">
        <f>COUNTIF($B$2:$B$100,Tabla3[[#This Row],[Profesor]])</f>
        <v>1</v>
      </c>
    </row>
    <row r="78" spans="1:41" ht="16.2" customHeight="1" thickBot="1" x14ac:dyDescent="0.35">
      <c r="A78" s="15" t="s">
        <v>440</v>
      </c>
      <c r="B78" s="1" t="s">
        <v>441</v>
      </c>
      <c r="C78" s="1"/>
      <c r="D78" s="13" t="s">
        <v>378</v>
      </c>
      <c r="E78" s="14">
        <v>1</v>
      </c>
      <c r="F78" s="13"/>
      <c r="G78" s="14"/>
      <c r="H78" s="13"/>
      <c r="I78" s="14"/>
      <c r="J78" s="13"/>
      <c r="K78" s="4"/>
      <c r="L78" s="16"/>
      <c r="M78" s="21"/>
      <c r="O78">
        <f t="shared" ref="O78:O100" si="8">E78+G78+I78+K78</f>
        <v>1</v>
      </c>
      <c r="Q78">
        <f>COUNTIF($B$2:$B$100,Tabla3[[#This Row],[Profesor]])</f>
        <v>1</v>
      </c>
    </row>
    <row r="79" spans="1:41" ht="16.2" customHeight="1" thickBot="1" x14ac:dyDescent="0.35">
      <c r="A79" s="15" t="s">
        <v>442</v>
      </c>
      <c r="B79" s="1" t="s">
        <v>63</v>
      </c>
      <c r="C79" s="1"/>
      <c r="D79" s="13" t="s">
        <v>260</v>
      </c>
      <c r="E79" s="14">
        <v>1</v>
      </c>
      <c r="F79" s="13"/>
      <c r="G79" s="14"/>
      <c r="H79" s="13"/>
      <c r="I79" s="14"/>
      <c r="J79" s="13"/>
      <c r="K79" s="4"/>
      <c r="L79" s="16"/>
      <c r="M79" s="21"/>
      <c r="O79">
        <f t="shared" si="8"/>
        <v>1</v>
      </c>
      <c r="Q79">
        <f>COUNTIF($B$2:$B$100,Tabla3[[#This Row],[Profesor]])</f>
        <v>1</v>
      </c>
      <c r="AO79" s="36"/>
    </row>
    <row r="80" spans="1:41" ht="16.2" customHeight="1" thickBot="1" x14ac:dyDescent="0.35">
      <c r="A80" s="79" t="s">
        <v>420</v>
      </c>
      <c r="B80" s="1" t="s">
        <v>421</v>
      </c>
      <c r="C80" s="1"/>
      <c r="D80" s="9" t="s">
        <v>417</v>
      </c>
      <c r="E80" s="14">
        <v>2</v>
      </c>
      <c r="F80" s="9" t="s">
        <v>474</v>
      </c>
      <c r="G80" s="14">
        <v>1</v>
      </c>
      <c r="H80" s="9"/>
      <c r="I80" s="4"/>
      <c r="J80" s="9"/>
      <c r="K80" s="4"/>
      <c r="L80" s="16"/>
      <c r="M80" s="21"/>
      <c r="O80">
        <f t="shared" si="8"/>
        <v>3</v>
      </c>
      <c r="Q80">
        <f>COUNTIF($B$2:$B$100,Tabla3[[#This Row],[Profesor]])</f>
        <v>1</v>
      </c>
    </row>
    <row r="81" spans="1:41" ht="16.2" customHeight="1" thickBot="1" x14ac:dyDescent="0.35">
      <c r="A81" s="15" t="s">
        <v>489</v>
      </c>
      <c r="B81" s="1" t="s">
        <v>490</v>
      </c>
      <c r="C81" s="1"/>
      <c r="D81" s="9" t="s">
        <v>472</v>
      </c>
      <c r="E81" s="14">
        <v>1</v>
      </c>
      <c r="F81" s="9"/>
      <c r="G81" s="14"/>
      <c r="H81" s="9"/>
      <c r="I81" s="4"/>
      <c r="J81" s="9"/>
      <c r="K81" s="4"/>
      <c r="L81" s="16"/>
      <c r="M81" s="21"/>
      <c r="O81">
        <f t="shared" si="8"/>
        <v>1</v>
      </c>
      <c r="Q81">
        <f>COUNTIF($B$2:$B$100,Tabla3[[#This Row],[Profesor]])</f>
        <v>1</v>
      </c>
      <c r="AO81" s="36"/>
    </row>
    <row r="82" spans="1:41" ht="16.2" customHeight="1" thickBot="1" x14ac:dyDescent="0.35">
      <c r="A82" s="15" t="s">
        <v>518</v>
      </c>
      <c r="B82" s="1" t="s">
        <v>519</v>
      </c>
      <c r="C82" s="1"/>
      <c r="D82" s="9" t="s">
        <v>317</v>
      </c>
      <c r="E82" s="14">
        <v>1</v>
      </c>
      <c r="F82" s="9"/>
      <c r="G82" s="14"/>
      <c r="H82" s="9"/>
      <c r="I82" s="4"/>
      <c r="J82" s="9"/>
      <c r="K82" s="4"/>
      <c r="L82" s="16"/>
      <c r="M82" s="21"/>
      <c r="O82">
        <f t="shared" si="8"/>
        <v>1</v>
      </c>
      <c r="Q82">
        <f>COUNTIF($B$2:$B$100,Tabla3[[#This Row],[Profesor]])</f>
        <v>1</v>
      </c>
    </row>
    <row r="83" spans="1:41" ht="16.2" customHeight="1" thickBot="1" x14ac:dyDescent="0.35">
      <c r="A83" s="15" t="s">
        <v>521</v>
      </c>
      <c r="B83" s="1" t="s">
        <v>520</v>
      </c>
      <c r="C83" s="1"/>
      <c r="D83" s="9" t="s">
        <v>317</v>
      </c>
      <c r="E83" s="14">
        <v>1</v>
      </c>
      <c r="F83" s="9"/>
      <c r="G83" s="14"/>
      <c r="H83" s="9"/>
      <c r="I83" s="4"/>
      <c r="J83" s="9"/>
      <c r="K83" s="4"/>
      <c r="L83" s="16"/>
      <c r="M83" s="21"/>
      <c r="O83">
        <f t="shared" ref="O83" si="9">E83+G83+I83+K83</f>
        <v>1</v>
      </c>
      <c r="Q83">
        <f>COUNTIF($B$2:$B$100,Tabla3[[#This Row],[Profesor]])</f>
        <v>1</v>
      </c>
      <c r="AO83" s="36"/>
    </row>
    <row r="84" spans="1:41" ht="16.2" customHeight="1" thickBot="1" x14ac:dyDescent="0.35">
      <c r="A84" s="15" t="s">
        <v>254</v>
      </c>
      <c r="B84" s="1" t="s">
        <v>253</v>
      </c>
      <c r="C84" s="1" t="s">
        <v>238</v>
      </c>
      <c r="D84" s="9" t="s">
        <v>252</v>
      </c>
      <c r="E84" s="14">
        <v>1</v>
      </c>
      <c r="F84" s="9" t="s">
        <v>275</v>
      </c>
      <c r="G84" s="14">
        <v>1</v>
      </c>
      <c r="H84" s="9"/>
      <c r="I84" s="4"/>
      <c r="J84" s="9"/>
      <c r="K84" s="4"/>
      <c r="L84" s="16"/>
      <c r="M84" s="21"/>
      <c r="O84">
        <f t="shared" ref="O84" si="10">E84+G84+I84+K84</f>
        <v>2</v>
      </c>
      <c r="Q84">
        <f>COUNTIF($B$2:$B$100,Tabla3[[#This Row],[Profesor]])</f>
        <v>1</v>
      </c>
    </row>
    <row r="85" spans="1:41" ht="16.2" customHeight="1" thickBot="1" x14ac:dyDescent="0.35">
      <c r="A85" s="80" t="s">
        <v>354</v>
      </c>
      <c r="B85" s="1" t="s">
        <v>355</v>
      </c>
      <c r="C85" s="1"/>
      <c r="D85" s="9" t="s">
        <v>353</v>
      </c>
      <c r="E85" s="14">
        <v>2</v>
      </c>
      <c r="F85" s="9"/>
      <c r="G85" s="14"/>
      <c r="H85" s="9"/>
      <c r="I85" s="4"/>
      <c r="J85" s="9"/>
      <c r="K85" s="4"/>
      <c r="L85" s="16"/>
      <c r="M85" s="21"/>
      <c r="O85">
        <f t="shared" ref="O85" si="11">E85+G85+I85+K85</f>
        <v>2</v>
      </c>
      <c r="Q85">
        <f>COUNTIF($B$2:$B$100,Tabla3[[#This Row],[Profesor]])</f>
        <v>1</v>
      </c>
    </row>
    <row r="86" spans="1:41" ht="16.2" customHeight="1" thickBot="1" x14ac:dyDescent="0.35">
      <c r="A86" s="15" t="s">
        <v>117</v>
      </c>
      <c r="B86" s="1" t="s">
        <v>62</v>
      </c>
      <c r="C86" s="1"/>
      <c r="D86" s="13" t="s">
        <v>9</v>
      </c>
      <c r="E86" s="14">
        <v>4</v>
      </c>
      <c r="F86" s="13"/>
      <c r="G86" s="14"/>
      <c r="H86" s="13"/>
      <c r="I86" s="14"/>
      <c r="J86" s="13"/>
      <c r="K86" s="4"/>
      <c r="L86" s="16"/>
      <c r="M86" s="21"/>
      <c r="O86">
        <f t="shared" ref="O86:O90" si="12">E86+G86+I86+K86</f>
        <v>4</v>
      </c>
      <c r="Q86">
        <f>COUNTIF($B$2:$B$100,Tabla3[[#This Row],[Profesor]])</f>
        <v>1</v>
      </c>
    </row>
    <row r="87" spans="1:41" ht="16.2" customHeight="1" thickBot="1" x14ac:dyDescent="0.35">
      <c r="A87" s="80" t="s">
        <v>256</v>
      </c>
      <c r="B87" s="1" t="s">
        <v>257</v>
      </c>
      <c r="C87" s="1"/>
      <c r="D87" s="9" t="s">
        <v>255</v>
      </c>
      <c r="E87" s="14">
        <v>1</v>
      </c>
      <c r="F87" s="9"/>
      <c r="G87" s="14"/>
      <c r="H87" s="9"/>
      <c r="I87" s="4"/>
      <c r="J87" s="9"/>
      <c r="K87" s="4"/>
      <c r="L87" s="16"/>
      <c r="M87" s="21"/>
      <c r="O87">
        <f t="shared" si="12"/>
        <v>1</v>
      </c>
      <c r="Q87">
        <f>COUNTIF($B$2:$B$100,Tabla3[[#This Row],[Profesor]])</f>
        <v>1</v>
      </c>
    </row>
    <row r="88" spans="1:41" ht="16.2" customHeight="1" thickBot="1" x14ac:dyDescent="0.35">
      <c r="A88" s="79" t="s">
        <v>349</v>
      </c>
      <c r="B88" s="1" t="s">
        <v>350</v>
      </c>
      <c r="C88" s="1"/>
      <c r="D88" s="9" t="s">
        <v>348</v>
      </c>
      <c r="E88" s="14">
        <v>1</v>
      </c>
      <c r="F88" s="9"/>
      <c r="G88" s="14"/>
      <c r="H88" s="9"/>
      <c r="I88" s="4"/>
      <c r="J88" s="9"/>
      <c r="K88" s="4"/>
      <c r="L88" s="16"/>
      <c r="M88" s="21"/>
      <c r="O88">
        <f t="shared" si="12"/>
        <v>1</v>
      </c>
      <c r="Q88">
        <f>COUNTIF($B$2:$B$100,Tabla3[[#This Row],[Profesor]])</f>
        <v>1</v>
      </c>
    </row>
    <row r="89" spans="1:41" ht="16.2" customHeight="1" thickBot="1" x14ac:dyDescent="0.35">
      <c r="A89" s="15" t="s">
        <v>443</v>
      </c>
      <c r="B89" s="1" t="s">
        <v>46</v>
      </c>
      <c r="C89" s="1"/>
      <c r="D89" s="13" t="s">
        <v>260</v>
      </c>
      <c r="E89" s="14">
        <v>1</v>
      </c>
      <c r="F89" s="13"/>
      <c r="G89" s="14"/>
      <c r="H89" s="13"/>
      <c r="I89" s="14"/>
      <c r="J89" s="13"/>
      <c r="K89" s="4"/>
      <c r="L89" s="16"/>
      <c r="M89" s="21"/>
      <c r="O89">
        <f t="shared" si="12"/>
        <v>1</v>
      </c>
      <c r="Q89">
        <f>COUNTIF($B$2:$B$100,Tabla3[[#This Row],[Profesor]])</f>
        <v>1</v>
      </c>
    </row>
    <row r="90" spans="1:41" ht="16.2" customHeight="1" thickBot="1" x14ac:dyDescent="0.35">
      <c r="A90" s="79" t="s">
        <v>406</v>
      </c>
      <c r="B90" s="1" t="s">
        <v>407</v>
      </c>
      <c r="C90" s="1"/>
      <c r="D90" s="9" t="s">
        <v>405</v>
      </c>
      <c r="E90" s="14">
        <v>1</v>
      </c>
      <c r="F90" s="9"/>
      <c r="G90" s="14"/>
      <c r="H90" s="9"/>
      <c r="I90" s="4"/>
      <c r="J90" s="9"/>
      <c r="K90" s="4"/>
      <c r="L90" s="16"/>
      <c r="M90" s="21"/>
      <c r="O90">
        <f t="shared" si="12"/>
        <v>1</v>
      </c>
      <c r="Q90">
        <f>COUNTIF($B$2:$B$100,Tabla3[[#This Row],[Profesor]])</f>
        <v>1</v>
      </c>
    </row>
    <row r="91" spans="1:41" ht="16.2" customHeight="1" thickBot="1" x14ac:dyDescent="0.35">
      <c r="A91" s="79" t="s">
        <v>400</v>
      </c>
      <c r="B91" s="1" t="s">
        <v>401</v>
      </c>
      <c r="C91" s="1"/>
      <c r="D91" s="9" t="s">
        <v>538</v>
      </c>
      <c r="E91" s="14">
        <v>2</v>
      </c>
      <c r="F91" s="9"/>
      <c r="G91" s="14"/>
      <c r="H91" s="9"/>
      <c r="I91" s="4"/>
      <c r="J91" s="9"/>
      <c r="K91" s="4"/>
      <c r="L91" s="16"/>
      <c r="M91" s="21"/>
      <c r="O91">
        <f t="shared" ref="O91" si="13">E91+G91+I91+K91</f>
        <v>2</v>
      </c>
      <c r="Q91">
        <f>COUNTIF($B$2:$B$100,Tabla3[[#This Row],[Profesor]])</f>
        <v>1</v>
      </c>
    </row>
    <row r="92" spans="1:41" ht="16.2" customHeight="1" thickBot="1" x14ac:dyDescent="0.35">
      <c r="A92" s="15" t="s">
        <v>124</v>
      </c>
      <c r="B92" s="1" t="s">
        <v>80</v>
      </c>
      <c r="C92" s="1"/>
      <c r="D92" s="13" t="s">
        <v>79</v>
      </c>
      <c r="E92" s="14">
        <v>1</v>
      </c>
      <c r="F92" s="13" t="s">
        <v>388</v>
      </c>
      <c r="G92" s="14">
        <v>1</v>
      </c>
      <c r="H92" s="13"/>
      <c r="I92" s="14"/>
      <c r="J92" s="13"/>
      <c r="K92" s="4"/>
      <c r="L92" s="16"/>
      <c r="M92" s="21"/>
      <c r="O92">
        <f t="shared" ref="O92:O96" si="14">E92+G92+I92+K92</f>
        <v>2</v>
      </c>
      <c r="Q92">
        <f>COUNTIF($B$2:$B$100,Tabla3[[#This Row],[Profesor]])</f>
        <v>1</v>
      </c>
    </row>
    <row r="93" spans="1:41" ht="16.2" customHeight="1" thickBot="1" x14ac:dyDescent="0.35">
      <c r="A93" s="15" t="s">
        <v>444</v>
      </c>
      <c r="B93" s="1" t="s">
        <v>44</v>
      </c>
      <c r="C93" s="52"/>
      <c r="D93" s="13" t="s">
        <v>359</v>
      </c>
      <c r="E93" s="14">
        <v>1</v>
      </c>
      <c r="F93" s="13" t="s">
        <v>426</v>
      </c>
      <c r="G93" s="14">
        <v>1</v>
      </c>
      <c r="H93" s="13"/>
      <c r="I93" s="14"/>
      <c r="J93" s="13"/>
      <c r="K93" s="4"/>
      <c r="L93" s="16"/>
      <c r="M93" s="21"/>
      <c r="O93">
        <f t="shared" si="14"/>
        <v>2</v>
      </c>
      <c r="Q93">
        <f>COUNTIF($B$2:$B$100,Tabla3[[#This Row],[Profesor]])</f>
        <v>1</v>
      </c>
    </row>
    <row r="94" spans="1:41" ht="16.2" customHeight="1" thickBot="1" x14ac:dyDescent="0.35">
      <c r="A94" s="15" t="s">
        <v>144</v>
      </c>
      <c r="B94" s="1" t="s">
        <v>69</v>
      </c>
      <c r="C94" s="1"/>
      <c r="D94" s="9" t="s">
        <v>377</v>
      </c>
      <c r="E94" s="14">
        <v>1</v>
      </c>
      <c r="F94" s="9" t="s">
        <v>548</v>
      </c>
      <c r="G94" s="14">
        <v>1</v>
      </c>
      <c r="H94" s="9"/>
      <c r="I94" s="4"/>
      <c r="J94" s="9"/>
      <c r="K94" s="4"/>
      <c r="L94" s="16"/>
      <c r="M94" s="21"/>
      <c r="O94">
        <f t="shared" si="14"/>
        <v>2</v>
      </c>
      <c r="Q94">
        <f>COUNTIF($B$2:$B$100,Tabla3[[#This Row],[Profesor]])</f>
        <v>1</v>
      </c>
    </row>
    <row r="95" spans="1:41" ht="16.2" customHeight="1" thickBot="1" x14ac:dyDescent="0.35">
      <c r="A95" s="15" t="s">
        <v>276</v>
      </c>
      <c r="B95" s="1" t="s">
        <v>287</v>
      </c>
      <c r="C95" s="1"/>
      <c r="D95" s="9" t="s">
        <v>92</v>
      </c>
      <c r="E95" s="14">
        <v>1</v>
      </c>
      <c r="F95" s="9"/>
      <c r="G95" s="14"/>
      <c r="H95" s="9"/>
      <c r="I95" s="4"/>
      <c r="J95" s="9"/>
      <c r="K95" s="4"/>
      <c r="L95" s="16"/>
      <c r="M95" s="21"/>
      <c r="O95">
        <f t="shared" si="14"/>
        <v>1</v>
      </c>
      <c r="Q95">
        <f>COUNTIF($B$2:$B$100,Tabla3[[#This Row],[Profesor]])</f>
        <v>1</v>
      </c>
    </row>
    <row r="96" spans="1:41" ht="16.2" customHeight="1" thickBot="1" x14ac:dyDescent="0.35">
      <c r="A96" s="15" t="s">
        <v>108</v>
      </c>
      <c r="B96" s="1" t="s">
        <v>45</v>
      </c>
      <c r="C96" s="1"/>
      <c r="D96" s="13" t="s">
        <v>6</v>
      </c>
      <c r="E96" s="14">
        <v>1</v>
      </c>
      <c r="F96" s="13" t="s">
        <v>328</v>
      </c>
      <c r="G96" s="14">
        <v>1</v>
      </c>
      <c r="H96" s="13"/>
      <c r="I96" s="14"/>
      <c r="J96" s="13"/>
      <c r="K96" s="4"/>
      <c r="L96" s="16"/>
      <c r="M96" s="21"/>
      <c r="O96">
        <f t="shared" si="14"/>
        <v>2</v>
      </c>
      <c r="Q96">
        <f>COUNTIF($B$2:$B$100,Tabla3[[#This Row],[Profesor]])</f>
        <v>1</v>
      </c>
    </row>
    <row r="97" spans="1:34" ht="16.2" customHeight="1" thickBot="1" x14ac:dyDescent="0.35">
      <c r="A97" s="15" t="s">
        <v>424</v>
      </c>
      <c r="B97" s="1" t="s">
        <v>425</v>
      </c>
      <c r="C97" s="1"/>
      <c r="D97" s="9" t="s">
        <v>423</v>
      </c>
      <c r="E97" s="14">
        <v>1</v>
      </c>
      <c r="F97" s="9"/>
      <c r="G97" s="14"/>
      <c r="H97" s="9"/>
      <c r="I97" s="4"/>
      <c r="J97" s="9"/>
      <c r="K97" s="4"/>
      <c r="L97" s="16"/>
      <c r="M97" s="21"/>
      <c r="O97">
        <f t="shared" ref="O97" si="15">E97+G97+I97+K97</f>
        <v>1</v>
      </c>
      <c r="Q97">
        <f>COUNTIF($B$2:$B$100,Tabla3[[#This Row],[Profesor]])</f>
        <v>1</v>
      </c>
    </row>
    <row r="98" spans="1:34" ht="16.2" customHeight="1" thickBot="1" x14ac:dyDescent="0.35">
      <c r="A98" s="79" t="s">
        <v>319</v>
      </c>
      <c r="B98" s="1" t="s">
        <v>318</v>
      </c>
      <c r="C98" s="1"/>
      <c r="D98" s="9" t="s">
        <v>317</v>
      </c>
      <c r="E98" s="14">
        <v>1</v>
      </c>
      <c r="F98" s="9"/>
      <c r="G98" s="14"/>
      <c r="H98" s="9"/>
      <c r="I98" s="4"/>
      <c r="J98" s="9"/>
      <c r="K98" s="4"/>
      <c r="L98" s="16"/>
      <c r="M98" s="21"/>
      <c r="O98">
        <f t="shared" ref="O98" si="16">E98+G98+I98+K98</f>
        <v>1</v>
      </c>
      <c r="Q98">
        <f>COUNTIF($B$2:$B$100,Tabla3[[#This Row],[Profesor]])</f>
        <v>1</v>
      </c>
    </row>
    <row r="99" spans="1:34" ht="16.2" customHeight="1" thickBot="1" x14ac:dyDescent="0.35">
      <c r="A99" s="15" t="s">
        <v>512</v>
      </c>
      <c r="B99" s="1" t="s">
        <v>513</v>
      </c>
      <c r="C99" s="1"/>
      <c r="D99" s="9" t="s">
        <v>263</v>
      </c>
      <c r="E99" s="14">
        <v>1</v>
      </c>
      <c r="F99" s="9"/>
      <c r="G99" s="14"/>
      <c r="H99" s="9"/>
      <c r="I99" s="4"/>
      <c r="J99" s="9"/>
      <c r="K99" s="4"/>
      <c r="L99" s="16"/>
      <c r="M99" s="21"/>
      <c r="O99">
        <f t="shared" ref="O99" si="17">E99+G99+I99+K99</f>
        <v>1</v>
      </c>
      <c r="Q99">
        <f>COUNTIF($B$2:$B$100,Tabla3[[#This Row],[Profesor]])</f>
        <v>1</v>
      </c>
    </row>
    <row r="100" spans="1:34" ht="16.2" customHeight="1" thickBot="1" x14ac:dyDescent="0.35">
      <c r="B100" s="1"/>
      <c r="C100" s="1"/>
      <c r="D100" s="9"/>
      <c r="E100" s="14"/>
      <c r="F100" s="13"/>
      <c r="G100" s="14"/>
      <c r="H100" s="13"/>
      <c r="I100" s="4"/>
      <c r="J100" s="13"/>
      <c r="K100" s="4"/>
      <c r="L100" s="16"/>
      <c r="M100" s="21"/>
      <c r="O100">
        <f t="shared" si="8"/>
        <v>0</v>
      </c>
      <c r="Q100">
        <f>COUNTIF($B$2:$B$100,Tabla3[[#This Row],[Profesor]])</f>
        <v>0</v>
      </c>
      <c r="S100" s="15" t="s">
        <v>107</v>
      </c>
      <c r="T100" t="s">
        <v>186</v>
      </c>
      <c r="AB100" s="15" t="s">
        <v>107</v>
      </c>
      <c r="AC100" t="s">
        <v>186</v>
      </c>
    </row>
    <row r="101" spans="1:34" ht="16.2" customHeight="1" x14ac:dyDescent="0.3">
      <c r="U101" t="s">
        <v>164</v>
      </c>
      <c r="V101" t="s">
        <v>165</v>
      </c>
      <c r="W101" t="s">
        <v>166</v>
      </c>
      <c r="X101" t="s">
        <v>167</v>
      </c>
      <c r="Y101" t="s">
        <v>168</v>
      </c>
      <c r="AD101" t="s">
        <v>164</v>
      </c>
      <c r="AE101" t="s">
        <v>165</v>
      </c>
      <c r="AF101" t="s">
        <v>166</v>
      </c>
      <c r="AG101" t="s">
        <v>167</v>
      </c>
      <c r="AH101" t="s">
        <v>168</v>
      </c>
    </row>
    <row r="102" spans="1:34" ht="16.2" customHeight="1" x14ac:dyDescent="0.3">
      <c r="N102" t="s">
        <v>241</v>
      </c>
      <c r="T102" t="s">
        <v>154</v>
      </c>
      <c r="U102" t="s">
        <v>155</v>
      </c>
      <c r="V102" t="s">
        <v>155</v>
      </c>
      <c r="W102" t="s">
        <v>155</v>
      </c>
      <c r="X102" t="s">
        <v>155</v>
      </c>
      <c r="Y102" t="s">
        <v>155</v>
      </c>
      <c r="AC102" t="s">
        <v>154</v>
      </c>
      <c r="AD102" t="s">
        <v>155</v>
      </c>
      <c r="AE102" t="s">
        <v>155</v>
      </c>
      <c r="AF102" t="s">
        <v>155</v>
      </c>
      <c r="AG102" t="s">
        <v>155</v>
      </c>
      <c r="AH102" t="s">
        <v>155</v>
      </c>
    </row>
    <row r="103" spans="1:34" ht="16.2" customHeight="1" x14ac:dyDescent="0.3">
      <c r="N103">
        <v>1</v>
      </c>
      <c r="O103">
        <f t="shared" ref="O103:O109" si="18">COUNTIF($O$2:$O$100,N103)</f>
        <v>52</v>
      </c>
      <c r="T103" t="s">
        <v>156</v>
      </c>
      <c r="U103" t="s">
        <v>155</v>
      </c>
      <c r="V103" t="s">
        <v>155</v>
      </c>
      <c r="W103" t="s">
        <v>155</v>
      </c>
      <c r="X103" t="s">
        <v>155</v>
      </c>
      <c r="Y103" t="s">
        <v>155</v>
      </c>
      <c r="AC103" t="s">
        <v>156</v>
      </c>
      <c r="AD103" t="s">
        <v>155</v>
      </c>
      <c r="AE103" t="s">
        <v>155</v>
      </c>
      <c r="AF103" t="s">
        <v>155</v>
      </c>
      <c r="AG103" t="s">
        <v>155</v>
      </c>
      <c r="AH103" t="s">
        <v>155</v>
      </c>
    </row>
    <row r="104" spans="1:34" ht="16.2" customHeight="1" x14ac:dyDescent="0.3">
      <c r="N104">
        <v>2</v>
      </c>
      <c r="O104">
        <f t="shared" si="18"/>
        <v>27</v>
      </c>
      <c r="T104" t="s">
        <v>157</v>
      </c>
      <c r="U104" t="s">
        <v>155</v>
      </c>
      <c r="V104" t="s">
        <v>155</v>
      </c>
      <c r="W104" t="s">
        <v>155</v>
      </c>
      <c r="X104" t="s">
        <v>155</v>
      </c>
      <c r="Y104" t="s">
        <v>155</v>
      </c>
      <c r="AC104" t="s">
        <v>157</v>
      </c>
      <c r="AD104" t="s">
        <v>155</v>
      </c>
      <c r="AE104" t="s">
        <v>155</v>
      </c>
      <c r="AF104" t="s">
        <v>155</v>
      </c>
      <c r="AG104" t="s">
        <v>155</v>
      </c>
      <c r="AH104" t="s">
        <v>155</v>
      </c>
    </row>
    <row r="105" spans="1:34" ht="16.2" customHeight="1" x14ac:dyDescent="0.3">
      <c r="N105">
        <v>3</v>
      </c>
      <c r="O105">
        <f t="shared" si="18"/>
        <v>9</v>
      </c>
      <c r="T105" t="s">
        <v>158</v>
      </c>
      <c r="U105" t="s">
        <v>155</v>
      </c>
      <c r="V105" t="s">
        <v>155</v>
      </c>
      <c r="W105" t="s">
        <v>155</v>
      </c>
      <c r="X105" t="s">
        <v>20</v>
      </c>
      <c r="Y105" t="s">
        <v>155</v>
      </c>
      <c r="AC105" t="s">
        <v>158</v>
      </c>
      <c r="AD105" t="s">
        <v>155</v>
      </c>
      <c r="AE105" t="s">
        <v>20</v>
      </c>
      <c r="AF105" t="s">
        <v>155</v>
      </c>
      <c r="AG105" t="s">
        <v>155</v>
      </c>
      <c r="AH105" t="s">
        <v>155</v>
      </c>
    </row>
    <row r="106" spans="1:34" ht="16.2" customHeight="1" x14ac:dyDescent="0.3">
      <c r="N106">
        <v>4</v>
      </c>
      <c r="O106">
        <f t="shared" si="18"/>
        <v>5</v>
      </c>
      <c r="T106" t="s">
        <v>159</v>
      </c>
      <c r="U106" t="s">
        <v>155</v>
      </c>
      <c r="V106" t="s">
        <v>20</v>
      </c>
      <c r="W106" t="s">
        <v>155</v>
      </c>
      <c r="X106" t="s">
        <v>20</v>
      </c>
      <c r="Y106" t="s">
        <v>155</v>
      </c>
      <c r="AC106" t="s">
        <v>159</v>
      </c>
      <c r="AD106" t="s">
        <v>155</v>
      </c>
      <c r="AE106" t="s">
        <v>20</v>
      </c>
      <c r="AF106" t="s">
        <v>155</v>
      </c>
      <c r="AG106" t="s">
        <v>20</v>
      </c>
      <c r="AH106" t="s">
        <v>155</v>
      </c>
    </row>
    <row r="107" spans="1:34" ht="16.2" customHeight="1" x14ac:dyDescent="0.3">
      <c r="N107">
        <v>5</v>
      </c>
      <c r="O107">
        <f t="shared" si="18"/>
        <v>1</v>
      </c>
      <c r="T107" t="s">
        <v>160</v>
      </c>
      <c r="U107" t="s">
        <v>155</v>
      </c>
      <c r="V107" t="s">
        <v>20</v>
      </c>
      <c r="W107" t="s">
        <v>155</v>
      </c>
      <c r="X107" t="s">
        <v>20</v>
      </c>
      <c r="Y107" t="s">
        <v>155</v>
      </c>
      <c r="AC107" t="s">
        <v>160</v>
      </c>
      <c r="AD107" t="s">
        <v>155</v>
      </c>
      <c r="AE107" t="s">
        <v>20</v>
      </c>
      <c r="AF107" t="s">
        <v>155</v>
      </c>
      <c r="AG107" t="s">
        <v>20</v>
      </c>
      <c r="AH107" t="s">
        <v>155</v>
      </c>
    </row>
    <row r="108" spans="1:34" ht="16.2" customHeight="1" x14ac:dyDescent="0.3">
      <c r="N108">
        <v>6</v>
      </c>
      <c r="O108">
        <f t="shared" si="18"/>
        <v>0</v>
      </c>
      <c r="T108" t="s">
        <v>169</v>
      </c>
      <c r="U108" t="s">
        <v>155</v>
      </c>
      <c r="V108" t="s">
        <v>155</v>
      </c>
      <c r="W108" t="s">
        <v>155</v>
      </c>
      <c r="X108" t="s">
        <v>155</v>
      </c>
      <c r="Y108" t="s">
        <v>155</v>
      </c>
      <c r="AC108" t="s">
        <v>169</v>
      </c>
      <c r="AD108" t="s">
        <v>155</v>
      </c>
      <c r="AE108" t="s">
        <v>155</v>
      </c>
      <c r="AF108" t="s">
        <v>155</v>
      </c>
      <c r="AG108" t="s">
        <v>155</v>
      </c>
      <c r="AH108" t="s">
        <v>155</v>
      </c>
    </row>
    <row r="109" spans="1:34" ht="16.2" customHeight="1" x14ac:dyDescent="0.3">
      <c r="N109">
        <v>7</v>
      </c>
      <c r="O109">
        <f t="shared" si="18"/>
        <v>0</v>
      </c>
      <c r="T109" t="s">
        <v>170</v>
      </c>
      <c r="U109" t="s">
        <v>155</v>
      </c>
      <c r="V109" t="s">
        <v>155</v>
      </c>
      <c r="W109" t="s">
        <v>155</v>
      </c>
      <c r="X109" t="s">
        <v>155</v>
      </c>
      <c r="Y109" t="s">
        <v>155</v>
      </c>
      <c r="AC109" t="s">
        <v>170</v>
      </c>
      <c r="AD109" t="s">
        <v>155</v>
      </c>
      <c r="AE109" t="s">
        <v>155</v>
      </c>
      <c r="AF109" t="s">
        <v>155</v>
      </c>
      <c r="AG109" t="s">
        <v>155</v>
      </c>
      <c r="AH109" t="s">
        <v>155</v>
      </c>
    </row>
    <row r="110" spans="1:34" ht="16.2" customHeight="1" x14ac:dyDescent="0.3">
      <c r="T110" t="s">
        <v>171</v>
      </c>
      <c r="U110" t="s">
        <v>155</v>
      </c>
      <c r="V110" t="s">
        <v>155</v>
      </c>
      <c r="W110" t="s">
        <v>155</v>
      </c>
      <c r="X110" t="s">
        <v>155</v>
      </c>
      <c r="Y110" t="s">
        <v>155</v>
      </c>
      <c r="AC110" t="s">
        <v>171</v>
      </c>
      <c r="AD110" t="s">
        <v>155</v>
      </c>
      <c r="AE110" t="s">
        <v>155</v>
      </c>
      <c r="AF110" t="s">
        <v>155</v>
      </c>
      <c r="AG110" t="s">
        <v>155</v>
      </c>
      <c r="AH110" t="s">
        <v>155</v>
      </c>
    </row>
    <row r="111" spans="1:34" ht="16.2" customHeight="1" x14ac:dyDescent="0.3">
      <c r="O111" cm="1">
        <f t="array" ref="O111">SUM(N103:N109*O103:O109)</f>
        <v>158</v>
      </c>
      <c r="T111" t="s">
        <v>172</v>
      </c>
      <c r="U111" t="s">
        <v>155</v>
      </c>
      <c r="V111" t="s">
        <v>155</v>
      </c>
      <c r="W111" t="s">
        <v>155</v>
      </c>
      <c r="X111" t="s">
        <v>155</v>
      </c>
      <c r="Y111" t="s">
        <v>155</v>
      </c>
      <c r="AC111" t="s">
        <v>172</v>
      </c>
      <c r="AD111" t="s">
        <v>155</v>
      </c>
      <c r="AE111" t="s">
        <v>155</v>
      </c>
      <c r="AF111" t="s">
        <v>155</v>
      </c>
      <c r="AG111" t="s">
        <v>155</v>
      </c>
      <c r="AH111" t="s">
        <v>155</v>
      </c>
    </row>
    <row r="113" spans="19:34" ht="16.2" customHeight="1" x14ac:dyDescent="0.3">
      <c r="S113" s="15" t="s">
        <v>108</v>
      </c>
      <c r="T113" t="s">
        <v>187</v>
      </c>
      <c r="AB113" s="15" t="s">
        <v>108</v>
      </c>
      <c r="AC113" t="s">
        <v>187</v>
      </c>
    </row>
    <row r="114" spans="19:34" ht="16.2" customHeight="1" x14ac:dyDescent="0.3">
      <c r="U114" t="s">
        <v>164</v>
      </c>
      <c r="V114" t="s">
        <v>165</v>
      </c>
      <c r="W114" t="s">
        <v>166</v>
      </c>
      <c r="X114" t="s">
        <v>167</v>
      </c>
      <c r="Y114" t="s">
        <v>168</v>
      </c>
      <c r="AD114" t="s">
        <v>164</v>
      </c>
      <c r="AE114" t="s">
        <v>165</v>
      </c>
      <c r="AF114" t="s">
        <v>166</v>
      </c>
      <c r="AG114" t="s">
        <v>167</v>
      </c>
      <c r="AH114" t="s">
        <v>168</v>
      </c>
    </row>
    <row r="115" spans="19:34" ht="16.2" customHeight="1" x14ac:dyDescent="0.3">
      <c r="T115" t="s">
        <v>154</v>
      </c>
      <c r="U115" t="s">
        <v>155</v>
      </c>
      <c r="V115" t="s">
        <v>155</v>
      </c>
      <c r="W115" t="s">
        <v>155</v>
      </c>
      <c r="X115" t="s">
        <v>155</v>
      </c>
      <c r="Y115" t="s">
        <v>155</v>
      </c>
      <c r="AC115" t="s">
        <v>154</v>
      </c>
      <c r="AD115" t="s">
        <v>155</v>
      </c>
      <c r="AE115" t="s">
        <v>155</v>
      </c>
      <c r="AF115" t="s">
        <v>155</v>
      </c>
      <c r="AG115" t="s">
        <v>155</v>
      </c>
      <c r="AH115" t="s">
        <v>155</v>
      </c>
    </row>
    <row r="116" spans="19:34" ht="16.2" customHeight="1" x14ac:dyDescent="0.3">
      <c r="T116" t="s">
        <v>156</v>
      </c>
      <c r="U116" t="s">
        <v>155</v>
      </c>
      <c r="V116" t="s">
        <v>155</v>
      </c>
      <c r="W116" t="s">
        <v>155</v>
      </c>
      <c r="X116" t="s">
        <v>155</v>
      </c>
      <c r="Y116" t="s">
        <v>155</v>
      </c>
      <c r="AC116" t="s">
        <v>156</v>
      </c>
      <c r="AD116" t="s">
        <v>155</v>
      </c>
      <c r="AE116" t="s">
        <v>155</v>
      </c>
      <c r="AF116" t="s">
        <v>155</v>
      </c>
      <c r="AG116" t="s">
        <v>155</v>
      </c>
      <c r="AH116" t="s">
        <v>155</v>
      </c>
    </row>
    <row r="117" spans="19:34" ht="16.2" customHeight="1" x14ac:dyDescent="0.3">
      <c r="T117" t="s">
        <v>157</v>
      </c>
      <c r="U117" t="s">
        <v>155</v>
      </c>
      <c r="V117" t="s">
        <v>155</v>
      </c>
      <c r="W117" t="s">
        <v>155</v>
      </c>
      <c r="X117" t="s">
        <v>20</v>
      </c>
      <c r="Y117" t="s">
        <v>155</v>
      </c>
      <c r="AC117" t="s">
        <v>157</v>
      </c>
      <c r="AD117" t="s">
        <v>155</v>
      </c>
      <c r="AE117" t="s">
        <v>155</v>
      </c>
      <c r="AF117" t="s">
        <v>155</v>
      </c>
      <c r="AG117" t="s">
        <v>155</v>
      </c>
      <c r="AH117" t="s">
        <v>155</v>
      </c>
    </row>
    <row r="118" spans="19:34" ht="16.2" customHeight="1" x14ac:dyDescent="0.3">
      <c r="T118" t="s">
        <v>158</v>
      </c>
      <c r="U118" t="s">
        <v>20</v>
      </c>
      <c r="V118" t="s">
        <v>155</v>
      </c>
      <c r="W118" t="s">
        <v>155</v>
      </c>
      <c r="X118" t="s">
        <v>20</v>
      </c>
      <c r="Y118" t="s">
        <v>155</v>
      </c>
      <c r="AC118" t="s">
        <v>158</v>
      </c>
      <c r="AD118" t="s">
        <v>155</v>
      </c>
      <c r="AE118" t="s">
        <v>155</v>
      </c>
      <c r="AF118" t="s">
        <v>20</v>
      </c>
      <c r="AG118" t="s">
        <v>155</v>
      </c>
      <c r="AH118" t="s">
        <v>155</v>
      </c>
    </row>
    <row r="119" spans="19:34" ht="16.2" customHeight="1" x14ac:dyDescent="0.3">
      <c r="T119" t="s">
        <v>159</v>
      </c>
      <c r="U119" t="s">
        <v>20</v>
      </c>
      <c r="V119" t="s">
        <v>155</v>
      </c>
      <c r="W119" t="s">
        <v>155</v>
      </c>
      <c r="X119" t="s">
        <v>155</v>
      </c>
      <c r="Y119" t="s">
        <v>155</v>
      </c>
      <c r="AC119" t="s">
        <v>159</v>
      </c>
      <c r="AD119" t="s">
        <v>155</v>
      </c>
      <c r="AE119" t="s">
        <v>155</v>
      </c>
      <c r="AF119" t="s">
        <v>20</v>
      </c>
      <c r="AG119" t="s">
        <v>155</v>
      </c>
      <c r="AH119" t="s">
        <v>20</v>
      </c>
    </row>
    <row r="120" spans="19:34" ht="16.2" customHeight="1" x14ac:dyDescent="0.3">
      <c r="T120" t="s">
        <v>160</v>
      </c>
      <c r="U120" t="s">
        <v>20</v>
      </c>
      <c r="V120" t="s">
        <v>155</v>
      </c>
      <c r="W120" t="s">
        <v>155</v>
      </c>
      <c r="X120" t="s">
        <v>155</v>
      </c>
      <c r="Y120" t="s">
        <v>155</v>
      </c>
      <c r="AC120" t="s">
        <v>160</v>
      </c>
      <c r="AD120" t="s">
        <v>155</v>
      </c>
      <c r="AE120" t="s">
        <v>155</v>
      </c>
      <c r="AF120" t="s">
        <v>20</v>
      </c>
      <c r="AG120" t="s">
        <v>155</v>
      </c>
      <c r="AH120" t="s">
        <v>20</v>
      </c>
    </row>
    <row r="121" spans="19:34" ht="16.2" customHeight="1" x14ac:dyDescent="0.3">
      <c r="T121" t="s">
        <v>169</v>
      </c>
      <c r="U121" t="s">
        <v>155</v>
      </c>
      <c r="V121" t="s">
        <v>155</v>
      </c>
      <c r="W121" t="s">
        <v>155</v>
      </c>
      <c r="X121" t="s">
        <v>155</v>
      </c>
      <c r="Y121" t="s">
        <v>155</v>
      </c>
      <c r="AC121" t="s">
        <v>169</v>
      </c>
      <c r="AD121" t="s">
        <v>155</v>
      </c>
      <c r="AE121" t="s">
        <v>155</v>
      </c>
      <c r="AF121" t="s">
        <v>155</v>
      </c>
      <c r="AG121" t="s">
        <v>155</v>
      </c>
      <c r="AH121" t="s">
        <v>155</v>
      </c>
    </row>
    <row r="122" spans="19:34" ht="16.2" customHeight="1" x14ac:dyDescent="0.3">
      <c r="T122" t="s">
        <v>170</v>
      </c>
      <c r="U122" t="s">
        <v>155</v>
      </c>
      <c r="V122" t="s">
        <v>155</v>
      </c>
      <c r="W122" t="s">
        <v>155</v>
      </c>
      <c r="X122" t="s">
        <v>155</v>
      </c>
      <c r="Y122" t="s">
        <v>155</v>
      </c>
      <c r="AC122" t="s">
        <v>170</v>
      </c>
      <c r="AD122" t="s">
        <v>155</v>
      </c>
      <c r="AE122" t="s">
        <v>155</v>
      </c>
      <c r="AF122" t="s">
        <v>155</v>
      </c>
      <c r="AG122" t="s">
        <v>155</v>
      </c>
      <c r="AH122" t="s">
        <v>155</v>
      </c>
    </row>
    <row r="123" spans="19:34" ht="16.2" customHeight="1" x14ac:dyDescent="0.3">
      <c r="T123" t="s">
        <v>171</v>
      </c>
      <c r="U123" t="s">
        <v>155</v>
      </c>
      <c r="V123" t="s">
        <v>155</v>
      </c>
      <c r="W123" t="s">
        <v>155</v>
      </c>
      <c r="X123" t="s">
        <v>155</v>
      </c>
      <c r="Y123" t="s">
        <v>155</v>
      </c>
      <c r="AC123" t="s">
        <v>171</v>
      </c>
      <c r="AD123" t="s">
        <v>155</v>
      </c>
      <c r="AE123" t="s">
        <v>155</v>
      </c>
      <c r="AF123" t="s">
        <v>155</v>
      </c>
      <c r="AG123" t="s">
        <v>155</v>
      </c>
      <c r="AH123" t="s">
        <v>155</v>
      </c>
    </row>
    <row r="124" spans="19:34" ht="16.2" customHeight="1" x14ac:dyDescent="0.3">
      <c r="T124" t="s">
        <v>172</v>
      </c>
      <c r="U124" t="s">
        <v>155</v>
      </c>
      <c r="V124" t="s">
        <v>155</v>
      </c>
      <c r="W124" t="s">
        <v>155</v>
      </c>
      <c r="X124" t="s">
        <v>155</v>
      </c>
      <c r="Y124" t="s">
        <v>155</v>
      </c>
      <c r="AC124" t="s">
        <v>172</v>
      </c>
      <c r="AD124" t="s">
        <v>155</v>
      </c>
      <c r="AE124" t="s">
        <v>155</v>
      </c>
      <c r="AF124" t="s">
        <v>155</v>
      </c>
      <c r="AG124" t="s">
        <v>155</v>
      </c>
      <c r="AH124" t="s">
        <v>155</v>
      </c>
    </row>
    <row r="126" spans="19:34" ht="16.2" customHeight="1" x14ac:dyDescent="0.3">
      <c r="S126" s="15" t="s">
        <v>109</v>
      </c>
      <c r="T126" t="s">
        <v>188</v>
      </c>
      <c r="AB126" s="15" t="s">
        <v>109</v>
      </c>
      <c r="AC126" t="s">
        <v>188</v>
      </c>
    </row>
    <row r="127" spans="19:34" ht="16.2" customHeight="1" x14ac:dyDescent="0.3">
      <c r="U127" t="s">
        <v>164</v>
      </c>
      <c r="V127" t="s">
        <v>165</v>
      </c>
      <c r="W127" t="s">
        <v>166</v>
      </c>
      <c r="X127" t="s">
        <v>167</v>
      </c>
      <c r="Y127" t="s">
        <v>168</v>
      </c>
      <c r="AD127" t="s">
        <v>164</v>
      </c>
      <c r="AE127" t="s">
        <v>165</v>
      </c>
      <c r="AF127" t="s">
        <v>166</v>
      </c>
      <c r="AG127" t="s">
        <v>167</v>
      </c>
      <c r="AH127" t="s">
        <v>168</v>
      </c>
    </row>
    <row r="128" spans="19:34" ht="16.2" customHeight="1" x14ac:dyDescent="0.3">
      <c r="T128" t="s">
        <v>154</v>
      </c>
      <c r="U128" t="s">
        <v>155</v>
      </c>
      <c r="V128" t="s">
        <v>20</v>
      </c>
      <c r="W128" t="s">
        <v>155</v>
      </c>
      <c r="X128" t="s">
        <v>20</v>
      </c>
      <c r="Y128" t="s">
        <v>155</v>
      </c>
      <c r="AC128" t="s">
        <v>154</v>
      </c>
      <c r="AD128" t="s">
        <v>20</v>
      </c>
      <c r="AE128" t="s">
        <v>155</v>
      </c>
      <c r="AF128" t="s">
        <v>20</v>
      </c>
      <c r="AG128" t="s">
        <v>155</v>
      </c>
      <c r="AH128" t="s">
        <v>155</v>
      </c>
    </row>
    <row r="129" spans="19:34" ht="16.2" customHeight="1" x14ac:dyDescent="0.3">
      <c r="T129" t="s">
        <v>156</v>
      </c>
      <c r="U129" t="s">
        <v>155</v>
      </c>
      <c r="V129" t="s">
        <v>20</v>
      </c>
      <c r="W129" t="s">
        <v>155</v>
      </c>
      <c r="X129" t="s">
        <v>20</v>
      </c>
      <c r="Y129" t="s">
        <v>155</v>
      </c>
      <c r="AC129" t="s">
        <v>156</v>
      </c>
      <c r="AD129" t="s">
        <v>20</v>
      </c>
      <c r="AE129" t="s">
        <v>155</v>
      </c>
      <c r="AF129" t="s">
        <v>20</v>
      </c>
      <c r="AG129" t="s">
        <v>155</v>
      </c>
      <c r="AH129" t="s">
        <v>155</v>
      </c>
    </row>
    <row r="130" spans="19:34" ht="16.2" customHeight="1" x14ac:dyDescent="0.3">
      <c r="T130" t="s">
        <v>157</v>
      </c>
      <c r="U130" t="s">
        <v>155</v>
      </c>
      <c r="V130" t="s">
        <v>155</v>
      </c>
      <c r="W130" t="s">
        <v>155</v>
      </c>
      <c r="X130" t="s">
        <v>155</v>
      </c>
      <c r="Y130" t="s">
        <v>155</v>
      </c>
      <c r="AC130" t="s">
        <v>157</v>
      </c>
      <c r="AD130" t="s">
        <v>155</v>
      </c>
      <c r="AE130" t="s">
        <v>155</v>
      </c>
      <c r="AF130" t="s">
        <v>155</v>
      </c>
      <c r="AG130" t="s">
        <v>155</v>
      </c>
      <c r="AH130" t="s">
        <v>155</v>
      </c>
    </row>
    <row r="131" spans="19:34" ht="16.2" customHeight="1" x14ac:dyDescent="0.3">
      <c r="T131" t="s">
        <v>158</v>
      </c>
      <c r="U131" t="s">
        <v>155</v>
      </c>
      <c r="V131" t="s">
        <v>155</v>
      </c>
      <c r="W131" t="s">
        <v>155</v>
      </c>
      <c r="X131" t="s">
        <v>155</v>
      </c>
      <c r="Y131" t="s">
        <v>155</v>
      </c>
      <c r="AC131" t="s">
        <v>158</v>
      </c>
      <c r="AD131" t="s">
        <v>155</v>
      </c>
      <c r="AE131" t="s">
        <v>155</v>
      </c>
      <c r="AF131" t="s">
        <v>155</v>
      </c>
      <c r="AG131" t="s">
        <v>155</v>
      </c>
      <c r="AH131" t="s">
        <v>155</v>
      </c>
    </row>
    <row r="132" spans="19:34" ht="16.2" customHeight="1" x14ac:dyDescent="0.3">
      <c r="T132" t="s">
        <v>159</v>
      </c>
      <c r="U132" t="s">
        <v>155</v>
      </c>
      <c r="V132" t="s">
        <v>155</v>
      </c>
      <c r="W132" t="s">
        <v>155</v>
      </c>
      <c r="X132" t="s">
        <v>155</v>
      </c>
      <c r="Y132" t="s">
        <v>155</v>
      </c>
      <c r="AC132" t="s">
        <v>159</v>
      </c>
      <c r="AD132" t="s">
        <v>155</v>
      </c>
      <c r="AE132" t="s">
        <v>155</v>
      </c>
      <c r="AF132" t="s">
        <v>155</v>
      </c>
      <c r="AG132" t="s">
        <v>155</v>
      </c>
      <c r="AH132" t="s">
        <v>155</v>
      </c>
    </row>
    <row r="133" spans="19:34" ht="16.2" customHeight="1" x14ac:dyDescent="0.3">
      <c r="T133" t="s">
        <v>160</v>
      </c>
      <c r="U133" t="s">
        <v>155</v>
      </c>
      <c r="V133" t="s">
        <v>155</v>
      </c>
      <c r="W133" t="s">
        <v>155</v>
      </c>
      <c r="X133" t="s">
        <v>155</v>
      </c>
      <c r="Y133" t="s">
        <v>155</v>
      </c>
      <c r="AC133" t="s">
        <v>160</v>
      </c>
      <c r="AD133" t="s">
        <v>155</v>
      </c>
      <c r="AE133" t="s">
        <v>155</v>
      </c>
      <c r="AF133" t="s">
        <v>155</v>
      </c>
      <c r="AG133" t="s">
        <v>155</v>
      </c>
      <c r="AH133" t="s">
        <v>155</v>
      </c>
    </row>
    <row r="134" spans="19:34" ht="16.2" customHeight="1" x14ac:dyDescent="0.3">
      <c r="T134" t="s">
        <v>169</v>
      </c>
      <c r="U134" t="s">
        <v>155</v>
      </c>
      <c r="V134" t="s">
        <v>155</v>
      </c>
      <c r="W134" t="s">
        <v>155</v>
      </c>
      <c r="X134" t="s">
        <v>155</v>
      </c>
      <c r="Y134" t="s">
        <v>155</v>
      </c>
      <c r="AC134" t="s">
        <v>169</v>
      </c>
      <c r="AD134" t="s">
        <v>155</v>
      </c>
      <c r="AE134" t="s">
        <v>155</v>
      </c>
      <c r="AF134" t="s">
        <v>155</v>
      </c>
      <c r="AG134" t="s">
        <v>155</v>
      </c>
      <c r="AH134" t="s">
        <v>155</v>
      </c>
    </row>
    <row r="135" spans="19:34" ht="16.2" customHeight="1" x14ac:dyDescent="0.3">
      <c r="T135" t="s">
        <v>170</v>
      </c>
      <c r="U135" t="s">
        <v>155</v>
      </c>
      <c r="V135" t="s">
        <v>155</v>
      </c>
      <c r="W135" t="s">
        <v>155</v>
      </c>
      <c r="X135" t="s">
        <v>155</v>
      </c>
      <c r="Y135" t="s">
        <v>155</v>
      </c>
      <c r="AC135" t="s">
        <v>170</v>
      </c>
      <c r="AD135" t="s">
        <v>155</v>
      </c>
      <c r="AE135" t="s">
        <v>155</v>
      </c>
      <c r="AF135" t="s">
        <v>155</v>
      </c>
      <c r="AG135" t="s">
        <v>155</v>
      </c>
      <c r="AH135" t="s">
        <v>155</v>
      </c>
    </row>
    <row r="136" spans="19:34" ht="16.2" customHeight="1" x14ac:dyDescent="0.3">
      <c r="T136" t="s">
        <v>171</v>
      </c>
      <c r="U136" t="s">
        <v>155</v>
      </c>
      <c r="V136" t="s">
        <v>155</v>
      </c>
      <c r="W136" t="s">
        <v>155</v>
      </c>
      <c r="X136" t="s">
        <v>155</v>
      </c>
      <c r="Y136" t="s">
        <v>155</v>
      </c>
      <c r="AC136" t="s">
        <v>171</v>
      </c>
      <c r="AD136" t="s">
        <v>155</v>
      </c>
      <c r="AE136" t="s">
        <v>155</v>
      </c>
      <c r="AF136" t="s">
        <v>155</v>
      </c>
      <c r="AG136" t="s">
        <v>155</v>
      </c>
      <c r="AH136" t="s">
        <v>155</v>
      </c>
    </row>
    <row r="137" spans="19:34" ht="16.2" customHeight="1" x14ac:dyDescent="0.3">
      <c r="T137" t="s">
        <v>172</v>
      </c>
      <c r="U137" t="s">
        <v>155</v>
      </c>
      <c r="V137" t="s">
        <v>155</v>
      </c>
      <c r="W137" t="s">
        <v>155</v>
      </c>
      <c r="X137" t="s">
        <v>155</v>
      </c>
      <c r="Y137" t="s">
        <v>155</v>
      </c>
      <c r="AC137" t="s">
        <v>172</v>
      </c>
      <c r="AD137" t="s">
        <v>155</v>
      </c>
      <c r="AE137" t="s">
        <v>155</v>
      </c>
      <c r="AF137" t="s">
        <v>155</v>
      </c>
      <c r="AG137" t="s">
        <v>155</v>
      </c>
      <c r="AH137" t="s">
        <v>155</v>
      </c>
    </row>
    <row r="139" spans="19:34" ht="16.2" customHeight="1" x14ac:dyDescent="0.3">
      <c r="S139" s="15" t="s">
        <v>110</v>
      </c>
      <c r="T139" t="s">
        <v>189</v>
      </c>
      <c r="AB139" s="15" t="s">
        <v>110</v>
      </c>
      <c r="AC139" t="s">
        <v>189</v>
      </c>
    </row>
    <row r="140" spans="19:34" ht="16.2" customHeight="1" x14ac:dyDescent="0.3">
      <c r="U140" t="s">
        <v>164</v>
      </c>
      <c r="V140" t="s">
        <v>165</v>
      </c>
      <c r="W140" t="s">
        <v>166</v>
      </c>
      <c r="X140" t="s">
        <v>167</v>
      </c>
      <c r="Y140" t="s">
        <v>168</v>
      </c>
      <c r="AD140" t="s">
        <v>164</v>
      </c>
      <c r="AE140" t="s">
        <v>165</v>
      </c>
      <c r="AF140" t="s">
        <v>166</v>
      </c>
      <c r="AG140" t="s">
        <v>167</v>
      </c>
      <c r="AH140" t="s">
        <v>168</v>
      </c>
    </row>
    <row r="141" spans="19:34" ht="16.2" customHeight="1" x14ac:dyDescent="0.3">
      <c r="T141" t="s">
        <v>154</v>
      </c>
      <c r="U141" t="s">
        <v>155</v>
      </c>
      <c r="V141" t="s">
        <v>155</v>
      </c>
      <c r="W141" t="s">
        <v>155</v>
      </c>
      <c r="X141" t="s">
        <v>155</v>
      </c>
      <c r="Y141" t="s">
        <v>21</v>
      </c>
      <c r="AC141" t="s">
        <v>154</v>
      </c>
      <c r="AD141" t="s">
        <v>155</v>
      </c>
      <c r="AE141" t="s">
        <v>155</v>
      </c>
      <c r="AF141" t="s">
        <v>155</v>
      </c>
      <c r="AG141" t="s">
        <v>155</v>
      </c>
      <c r="AH141" t="s">
        <v>21</v>
      </c>
    </row>
    <row r="142" spans="19:34" ht="16.2" customHeight="1" x14ac:dyDescent="0.3">
      <c r="T142" t="s">
        <v>156</v>
      </c>
      <c r="U142" t="s">
        <v>155</v>
      </c>
      <c r="V142" t="s">
        <v>155</v>
      </c>
      <c r="W142" t="s">
        <v>155</v>
      </c>
      <c r="X142" t="s">
        <v>155</v>
      </c>
      <c r="Y142" t="s">
        <v>21</v>
      </c>
      <c r="AC142" t="s">
        <v>156</v>
      </c>
      <c r="AD142" t="s">
        <v>155</v>
      </c>
      <c r="AE142" t="s">
        <v>155</v>
      </c>
      <c r="AF142" t="s">
        <v>155</v>
      </c>
      <c r="AG142" t="s">
        <v>155</v>
      </c>
      <c r="AH142" t="s">
        <v>21</v>
      </c>
    </row>
    <row r="143" spans="19:34" ht="16.2" customHeight="1" x14ac:dyDescent="0.3">
      <c r="T143" t="s">
        <v>157</v>
      </c>
      <c r="U143" t="s">
        <v>155</v>
      </c>
      <c r="V143" t="s">
        <v>155</v>
      </c>
      <c r="W143" t="s">
        <v>155</v>
      </c>
      <c r="X143" t="s">
        <v>155</v>
      </c>
      <c r="Y143" t="s">
        <v>21</v>
      </c>
      <c r="AC143" t="s">
        <v>157</v>
      </c>
      <c r="AD143" t="s">
        <v>155</v>
      </c>
      <c r="AE143" t="s">
        <v>155</v>
      </c>
      <c r="AF143" t="s">
        <v>155</v>
      </c>
      <c r="AG143" t="s">
        <v>155</v>
      </c>
      <c r="AH143" t="s">
        <v>21</v>
      </c>
    </row>
    <row r="144" spans="19:34" ht="16.2" customHeight="1" x14ac:dyDescent="0.3">
      <c r="T144" t="s">
        <v>158</v>
      </c>
      <c r="U144" t="s">
        <v>155</v>
      </c>
      <c r="V144" t="s">
        <v>155</v>
      </c>
      <c r="W144" t="s">
        <v>155</v>
      </c>
      <c r="X144" t="s">
        <v>155</v>
      </c>
      <c r="Y144" t="s">
        <v>21</v>
      </c>
      <c r="AC144" t="s">
        <v>158</v>
      </c>
      <c r="AD144" t="s">
        <v>155</v>
      </c>
      <c r="AE144" t="s">
        <v>155</v>
      </c>
      <c r="AF144" t="s">
        <v>155</v>
      </c>
      <c r="AG144" t="s">
        <v>155</v>
      </c>
      <c r="AH144" t="s">
        <v>21</v>
      </c>
    </row>
    <row r="145" spans="19:34" ht="16.2" customHeight="1" x14ac:dyDescent="0.3">
      <c r="T145" t="s">
        <v>159</v>
      </c>
      <c r="U145" t="s">
        <v>155</v>
      </c>
      <c r="V145" t="s">
        <v>155</v>
      </c>
      <c r="W145" t="s">
        <v>155</v>
      </c>
      <c r="X145" t="s">
        <v>155</v>
      </c>
      <c r="Y145" t="s">
        <v>21</v>
      </c>
      <c r="AC145" t="s">
        <v>159</v>
      </c>
      <c r="AD145" t="s">
        <v>155</v>
      </c>
      <c r="AE145" t="s">
        <v>155</v>
      </c>
      <c r="AF145" t="s">
        <v>155</v>
      </c>
      <c r="AG145" t="s">
        <v>155</v>
      </c>
      <c r="AH145" t="s">
        <v>21</v>
      </c>
    </row>
    <row r="146" spans="19:34" ht="16.2" customHeight="1" x14ac:dyDescent="0.3">
      <c r="T146" t="s">
        <v>160</v>
      </c>
      <c r="U146" t="s">
        <v>155</v>
      </c>
      <c r="V146" t="s">
        <v>155</v>
      </c>
      <c r="W146" t="s">
        <v>155</v>
      </c>
      <c r="X146" t="s">
        <v>155</v>
      </c>
      <c r="Y146" t="s">
        <v>21</v>
      </c>
      <c r="AC146" t="s">
        <v>160</v>
      </c>
      <c r="AD146" t="s">
        <v>155</v>
      </c>
      <c r="AE146" t="s">
        <v>155</v>
      </c>
      <c r="AF146" t="s">
        <v>155</v>
      </c>
      <c r="AG146" t="s">
        <v>155</v>
      </c>
      <c r="AH146" t="s">
        <v>21</v>
      </c>
    </row>
    <row r="147" spans="19:34" ht="16.2" customHeight="1" x14ac:dyDescent="0.3">
      <c r="T147" t="s">
        <v>169</v>
      </c>
      <c r="U147" t="s">
        <v>155</v>
      </c>
      <c r="V147" t="s">
        <v>155</v>
      </c>
      <c r="W147" t="s">
        <v>155</v>
      </c>
      <c r="X147" t="s">
        <v>155</v>
      </c>
      <c r="Y147" t="s">
        <v>155</v>
      </c>
      <c r="AC147" t="s">
        <v>169</v>
      </c>
      <c r="AD147" t="s">
        <v>155</v>
      </c>
      <c r="AE147" t="s">
        <v>155</v>
      </c>
      <c r="AF147" t="s">
        <v>155</v>
      </c>
      <c r="AG147" t="s">
        <v>155</v>
      </c>
      <c r="AH147" t="s">
        <v>155</v>
      </c>
    </row>
    <row r="148" spans="19:34" ht="16.2" customHeight="1" x14ac:dyDescent="0.3">
      <c r="T148" t="s">
        <v>170</v>
      </c>
      <c r="U148" t="s">
        <v>155</v>
      </c>
      <c r="V148" t="s">
        <v>155</v>
      </c>
      <c r="W148" t="s">
        <v>155</v>
      </c>
      <c r="X148" t="s">
        <v>155</v>
      </c>
      <c r="Y148" t="s">
        <v>155</v>
      </c>
      <c r="AC148" t="s">
        <v>170</v>
      </c>
      <c r="AD148" t="s">
        <v>155</v>
      </c>
      <c r="AE148" t="s">
        <v>155</v>
      </c>
      <c r="AF148" t="s">
        <v>155</v>
      </c>
      <c r="AG148" t="s">
        <v>155</v>
      </c>
      <c r="AH148" t="s">
        <v>155</v>
      </c>
    </row>
    <row r="149" spans="19:34" ht="16.2" customHeight="1" x14ac:dyDescent="0.3">
      <c r="T149" t="s">
        <v>171</v>
      </c>
      <c r="U149" t="s">
        <v>155</v>
      </c>
      <c r="V149" t="s">
        <v>155</v>
      </c>
      <c r="W149" t="s">
        <v>155</v>
      </c>
      <c r="X149" t="s">
        <v>155</v>
      </c>
      <c r="Y149" t="s">
        <v>155</v>
      </c>
      <c r="AC149" t="s">
        <v>171</v>
      </c>
      <c r="AD149" t="s">
        <v>155</v>
      </c>
      <c r="AE149" t="s">
        <v>155</v>
      </c>
      <c r="AF149" t="s">
        <v>155</v>
      </c>
      <c r="AG149" t="s">
        <v>155</v>
      </c>
      <c r="AH149" t="s">
        <v>155</v>
      </c>
    </row>
    <row r="150" spans="19:34" ht="16.2" customHeight="1" x14ac:dyDescent="0.3">
      <c r="T150" t="s">
        <v>172</v>
      </c>
      <c r="U150" t="s">
        <v>155</v>
      </c>
      <c r="V150" t="s">
        <v>155</v>
      </c>
      <c r="W150" t="s">
        <v>155</v>
      </c>
      <c r="X150" t="s">
        <v>155</v>
      </c>
      <c r="Y150" t="s">
        <v>155</v>
      </c>
      <c r="AC150" t="s">
        <v>172</v>
      </c>
      <c r="AD150" t="s">
        <v>155</v>
      </c>
      <c r="AE150" t="s">
        <v>155</v>
      </c>
      <c r="AF150" t="s">
        <v>155</v>
      </c>
      <c r="AG150" t="s">
        <v>155</v>
      </c>
      <c r="AH150" t="s">
        <v>155</v>
      </c>
    </row>
    <row r="152" spans="19:34" ht="16.2" customHeight="1" x14ac:dyDescent="0.3">
      <c r="S152" s="15" t="s">
        <v>111</v>
      </c>
      <c r="T152" t="s">
        <v>190</v>
      </c>
      <c r="AB152" s="15" t="s">
        <v>111</v>
      </c>
      <c r="AC152" t="s">
        <v>190</v>
      </c>
    </row>
    <row r="153" spans="19:34" ht="16.2" customHeight="1" x14ac:dyDescent="0.3">
      <c r="U153" t="s">
        <v>164</v>
      </c>
      <c r="V153" t="s">
        <v>165</v>
      </c>
      <c r="W153" t="s">
        <v>166</v>
      </c>
      <c r="X153" t="s">
        <v>167</v>
      </c>
      <c r="Y153" t="s">
        <v>168</v>
      </c>
      <c r="AD153" t="s">
        <v>164</v>
      </c>
      <c r="AE153" t="s">
        <v>165</v>
      </c>
      <c r="AF153" t="s">
        <v>166</v>
      </c>
      <c r="AG153" t="s">
        <v>167</v>
      </c>
      <c r="AH153" t="s">
        <v>168</v>
      </c>
    </row>
    <row r="154" spans="19:34" ht="16.2" customHeight="1" x14ac:dyDescent="0.3">
      <c r="T154" t="s">
        <v>154</v>
      </c>
      <c r="U154" t="s">
        <v>155</v>
      </c>
      <c r="V154" t="s">
        <v>155</v>
      </c>
      <c r="W154" t="s">
        <v>155</v>
      </c>
      <c r="X154" t="s">
        <v>155</v>
      </c>
      <c r="Y154" t="s">
        <v>155</v>
      </c>
      <c r="AC154" t="s">
        <v>154</v>
      </c>
      <c r="AD154" t="s">
        <v>155</v>
      </c>
      <c r="AE154" t="s">
        <v>155</v>
      </c>
      <c r="AF154" t="s">
        <v>155</v>
      </c>
      <c r="AG154" t="s">
        <v>155</v>
      </c>
      <c r="AH154" t="s">
        <v>155</v>
      </c>
    </row>
    <row r="155" spans="19:34" ht="16.2" customHeight="1" x14ac:dyDescent="0.3">
      <c r="T155" t="s">
        <v>156</v>
      </c>
      <c r="U155" t="s">
        <v>155</v>
      </c>
      <c r="V155" t="s">
        <v>155</v>
      </c>
      <c r="W155" t="s">
        <v>155</v>
      </c>
      <c r="X155" t="s">
        <v>155</v>
      </c>
      <c r="Y155" t="s">
        <v>155</v>
      </c>
      <c r="AC155" t="s">
        <v>156</v>
      </c>
      <c r="AD155" t="s">
        <v>155</v>
      </c>
      <c r="AE155" t="s">
        <v>155</v>
      </c>
      <c r="AF155" t="s">
        <v>155</v>
      </c>
      <c r="AG155" t="s">
        <v>155</v>
      </c>
      <c r="AH155" t="s">
        <v>155</v>
      </c>
    </row>
    <row r="156" spans="19:34" ht="16.2" customHeight="1" x14ac:dyDescent="0.3">
      <c r="T156" t="s">
        <v>157</v>
      </c>
      <c r="U156" t="s">
        <v>155</v>
      </c>
      <c r="V156" t="s">
        <v>155</v>
      </c>
      <c r="W156" t="s">
        <v>24</v>
      </c>
      <c r="X156" t="s">
        <v>155</v>
      </c>
      <c r="Y156" t="s">
        <v>24</v>
      </c>
      <c r="AC156" t="s">
        <v>157</v>
      </c>
      <c r="AD156" t="s">
        <v>155</v>
      </c>
      <c r="AE156" t="s">
        <v>155</v>
      </c>
      <c r="AF156" t="s">
        <v>24</v>
      </c>
      <c r="AG156" t="s">
        <v>155</v>
      </c>
      <c r="AH156" t="s">
        <v>24</v>
      </c>
    </row>
    <row r="157" spans="19:34" ht="16.2" customHeight="1" x14ac:dyDescent="0.3">
      <c r="T157" t="s">
        <v>158</v>
      </c>
      <c r="U157" t="s">
        <v>155</v>
      </c>
      <c r="V157" t="s">
        <v>155</v>
      </c>
      <c r="W157" t="s">
        <v>24</v>
      </c>
      <c r="X157" t="s">
        <v>155</v>
      </c>
      <c r="Y157" t="s">
        <v>24</v>
      </c>
      <c r="AC157" t="s">
        <v>158</v>
      </c>
      <c r="AD157" t="s">
        <v>155</v>
      </c>
      <c r="AE157" t="s">
        <v>155</v>
      </c>
      <c r="AF157" t="s">
        <v>24</v>
      </c>
      <c r="AG157" t="s">
        <v>155</v>
      </c>
      <c r="AH157" t="s">
        <v>24</v>
      </c>
    </row>
    <row r="158" spans="19:34" ht="16.2" customHeight="1" x14ac:dyDescent="0.3">
      <c r="T158" t="s">
        <v>159</v>
      </c>
      <c r="U158" t="s">
        <v>155</v>
      </c>
      <c r="V158" t="s">
        <v>155</v>
      </c>
      <c r="W158" t="s">
        <v>24</v>
      </c>
      <c r="X158" t="s">
        <v>155</v>
      </c>
      <c r="Y158" t="s">
        <v>155</v>
      </c>
      <c r="AC158" t="s">
        <v>159</v>
      </c>
      <c r="AD158" t="s">
        <v>155</v>
      </c>
      <c r="AE158" t="s">
        <v>155</v>
      </c>
      <c r="AF158" t="s">
        <v>24</v>
      </c>
      <c r="AG158" t="s">
        <v>155</v>
      </c>
      <c r="AH158" t="s">
        <v>155</v>
      </c>
    </row>
    <row r="159" spans="19:34" ht="16.2" customHeight="1" x14ac:dyDescent="0.3">
      <c r="T159" t="s">
        <v>160</v>
      </c>
      <c r="U159" t="s">
        <v>155</v>
      </c>
      <c r="V159" t="s">
        <v>155</v>
      </c>
      <c r="W159" t="s">
        <v>155</v>
      </c>
      <c r="X159" t="s">
        <v>155</v>
      </c>
      <c r="Y159" t="s">
        <v>155</v>
      </c>
      <c r="AC159" t="s">
        <v>160</v>
      </c>
      <c r="AD159" t="s">
        <v>155</v>
      </c>
      <c r="AE159" t="s">
        <v>155</v>
      </c>
      <c r="AF159" t="s">
        <v>155</v>
      </c>
      <c r="AG159" t="s">
        <v>155</v>
      </c>
      <c r="AH159" t="s">
        <v>155</v>
      </c>
    </row>
    <row r="160" spans="19:34" ht="16.2" customHeight="1" x14ac:dyDescent="0.3">
      <c r="T160" t="s">
        <v>169</v>
      </c>
      <c r="U160" t="s">
        <v>155</v>
      </c>
      <c r="V160" t="s">
        <v>155</v>
      </c>
      <c r="W160" t="s">
        <v>155</v>
      </c>
      <c r="X160" t="s">
        <v>155</v>
      </c>
      <c r="Y160" t="s">
        <v>155</v>
      </c>
      <c r="AC160" t="s">
        <v>169</v>
      </c>
      <c r="AD160" t="s">
        <v>155</v>
      </c>
      <c r="AE160" t="s">
        <v>155</v>
      </c>
      <c r="AF160" t="s">
        <v>155</v>
      </c>
      <c r="AG160" t="s">
        <v>155</v>
      </c>
      <c r="AH160" t="s">
        <v>155</v>
      </c>
    </row>
    <row r="161" spans="19:34" ht="16.2" customHeight="1" x14ac:dyDescent="0.3">
      <c r="T161" t="s">
        <v>170</v>
      </c>
      <c r="U161" t="s">
        <v>155</v>
      </c>
      <c r="V161" t="s">
        <v>155</v>
      </c>
      <c r="W161" t="s">
        <v>155</v>
      </c>
      <c r="X161" t="s">
        <v>155</v>
      </c>
      <c r="Y161" t="s">
        <v>155</v>
      </c>
      <c r="AC161" t="s">
        <v>170</v>
      </c>
      <c r="AD161" t="s">
        <v>155</v>
      </c>
      <c r="AE161" t="s">
        <v>155</v>
      </c>
      <c r="AF161" t="s">
        <v>155</v>
      </c>
      <c r="AG161" t="s">
        <v>155</v>
      </c>
      <c r="AH161" t="s">
        <v>155</v>
      </c>
    </row>
    <row r="162" spans="19:34" ht="16.2" customHeight="1" x14ac:dyDescent="0.3">
      <c r="T162" t="s">
        <v>171</v>
      </c>
      <c r="U162" t="s">
        <v>155</v>
      </c>
      <c r="V162" t="s">
        <v>155</v>
      </c>
      <c r="W162" t="s">
        <v>155</v>
      </c>
      <c r="X162" t="s">
        <v>155</v>
      </c>
      <c r="Y162" t="s">
        <v>155</v>
      </c>
      <c r="AC162" t="s">
        <v>171</v>
      </c>
      <c r="AD162" t="s">
        <v>155</v>
      </c>
      <c r="AE162" t="s">
        <v>155</v>
      </c>
      <c r="AF162" t="s">
        <v>155</v>
      </c>
      <c r="AG162" t="s">
        <v>155</v>
      </c>
      <c r="AH162" t="s">
        <v>155</v>
      </c>
    </row>
    <row r="163" spans="19:34" ht="16.2" customHeight="1" x14ac:dyDescent="0.3">
      <c r="T163" t="s">
        <v>172</v>
      </c>
      <c r="U163" t="s">
        <v>155</v>
      </c>
      <c r="V163" t="s">
        <v>155</v>
      </c>
      <c r="W163" t="s">
        <v>155</v>
      </c>
      <c r="X163" t="s">
        <v>155</v>
      </c>
      <c r="Y163" t="s">
        <v>155</v>
      </c>
      <c r="AC163" t="s">
        <v>172</v>
      </c>
      <c r="AD163" t="s">
        <v>155</v>
      </c>
      <c r="AE163" t="s">
        <v>155</v>
      </c>
      <c r="AF163" t="s">
        <v>155</v>
      </c>
      <c r="AG163" t="s">
        <v>155</v>
      </c>
      <c r="AH163" t="s">
        <v>155</v>
      </c>
    </row>
    <row r="165" spans="19:34" ht="16.2" customHeight="1" x14ac:dyDescent="0.3">
      <c r="S165" s="15" t="s">
        <v>112</v>
      </c>
      <c r="T165" t="s">
        <v>191</v>
      </c>
      <c r="AB165" s="15" t="s">
        <v>112</v>
      </c>
      <c r="AC165" t="s">
        <v>191</v>
      </c>
    </row>
    <row r="166" spans="19:34" ht="16.2" customHeight="1" x14ac:dyDescent="0.3">
      <c r="U166" t="s">
        <v>164</v>
      </c>
      <c r="V166" t="s">
        <v>165</v>
      </c>
      <c r="W166" t="s">
        <v>166</v>
      </c>
      <c r="X166" t="s">
        <v>167</v>
      </c>
      <c r="Y166" t="s">
        <v>168</v>
      </c>
      <c r="AD166" t="s">
        <v>164</v>
      </c>
      <c r="AE166" t="s">
        <v>165</v>
      </c>
      <c r="AF166" t="s">
        <v>166</v>
      </c>
      <c r="AG166" t="s">
        <v>167</v>
      </c>
      <c r="AH166" t="s">
        <v>168</v>
      </c>
    </row>
    <row r="167" spans="19:34" ht="16.2" customHeight="1" x14ac:dyDescent="0.3">
      <c r="T167" t="s">
        <v>154</v>
      </c>
      <c r="U167" t="s">
        <v>155</v>
      </c>
      <c r="V167" t="s">
        <v>155</v>
      </c>
      <c r="W167" t="s">
        <v>155</v>
      </c>
      <c r="X167" t="s">
        <v>155</v>
      </c>
      <c r="Y167" t="s">
        <v>155</v>
      </c>
      <c r="AC167" t="s">
        <v>154</v>
      </c>
      <c r="AD167" t="s">
        <v>155</v>
      </c>
      <c r="AE167" t="s">
        <v>155</v>
      </c>
      <c r="AF167" t="s">
        <v>155</v>
      </c>
      <c r="AG167" t="s">
        <v>155</v>
      </c>
      <c r="AH167" t="s">
        <v>155</v>
      </c>
    </row>
    <row r="168" spans="19:34" ht="16.2" customHeight="1" x14ac:dyDescent="0.3">
      <c r="T168" t="s">
        <v>156</v>
      </c>
      <c r="U168" t="s">
        <v>155</v>
      </c>
      <c r="V168" t="s">
        <v>155</v>
      </c>
      <c r="W168" t="s">
        <v>155</v>
      </c>
      <c r="X168" t="s">
        <v>155</v>
      </c>
      <c r="Y168" t="s">
        <v>155</v>
      </c>
      <c r="AC168" t="s">
        <v>156</v>
      </c>
      <c r="AD168" t="s">
        <v>89</v>
      </c>
      <c r="AE168" t="s">
        <v>155</v>
      </c>
      <c r="AF168" t="s">
        <v>155</v>
      </c>
      <c r="AG168" t="s">
        <v>155</v>
      </c>
      <c r="AH168" t="s">
        <v>155</v>
      </c>
    </row>
    <row r="169" spans="19:34" ht="16.2" customHeight="1" x14ac:dyDescent="0.3">
      <c r="T169" t="s">
        <v>157</v>
      </c>
      <c r="U169" t="s">
        <v>89</v>
      </c>
      <c r="V169" t="s">
        <v>24</v>
      </c>
      <c r="W169" t="s">
        <v>89</v>
      </c>
      <c r="X169" t="s">
        <v>155</v>
      </c>
      <c r="Y169" t="s">
        <v>24</v>
      </c>
      <c r="AC169" t="s">
        <v>157</v>
      </c>
      <c r="AD169" t="s">
        <v>89</v>
      </c>
      <c r="AE169" t="s">
        <v>24</v>
      </c>
      <c r="AF169" t="s">
        <v>89</v>
      </c>
      <c r="AG169" t="s">
        <v>155</v>
      </c>
      <c r="AH169" t="s">
        <v>24</v>
      </c>
    </row>
    <row r="170" spans="19:34" ht="16.2" customHeight="1" x14ac:dyDescent="0.3">
      <c r="T170" t="s">
        <v>158</v>
      </c>
      <c r="U170" t="s">
        <v>89</v>
      </c>
      <c r="V170" t="s">
        <v>24</v>
      </c>
      <c r="W170" t="s">
        <v>89</v>
      </c>
      <c r="X170" t="s">
        <v>155</v>
      </c>
      <c r="Y170" t="s">
        <v>24</v>
      </c>
      <c r="AC170" t="s">
        <v>158</v>
      </c>
      <c r="AD170" t="s">
        <v>89</v>
      </c>
      <c r="AE170" t="s">
        <v>24</v>
      </c>
      <c r="AF170" t="s">
        <v>89</v>
      </c>
      <c r="AG170" t="s">
        <v>155</v>
      </c>
      <c r="AH170" t="s">
        <v>24</v>
      </c>
    </row>
    <row r="171" spans="19:34" ht="16.2" customHeight="1" x14ac:dyDescent="0.3">
      <c r="T171" t="s">
        <v>159</v>
      </c>
      <c r="U171" t="s">
        <v>89</v>
      </c>
      <c r="V171" t="s">
        <v>155</v>
      </c>
      <c r="W171" t="s">
        <v>89</v>
      </c>
      <c r="X171" t="s">
        <v>155</v>
      </c>
      <c r="Y171" t="s">
        <v>24</v>
      </c>
      <c r="AC171" t="s">
        <v>159</v>
      </c>
      <c r="AD171" t="s">
        <v>155</v>
      </c>
      <c r="AE171" t="s">
        <v>155</v>
      </c>
      <c r="AF171" t="s">
        <v>89</v>
      </c>
      <c r="AG171" t="s">
        <v>155</v>
      </c>
      <c r="AH171" t="s">
        <v>24</v>
      </c>
    </row>
    <row r="172" spans="19:34" ht="16.2" customHeight="1" x14ac:dyDescent="0.3">
      <c r="T172" t="s">
        <v>160</v>
      </c>
      <c r="U172" t="s">
        <v>155</v>
      </c>
      <c r="V172" t="s">
        <v>155</v>
      </c>
      <c r="W172" t="s">
        <v>155</v>
      </c>
      <c r="X172" t="s">
        <v>155</v>
      </c>
      <c r="Y172" t="s">
        <v>155</v>
      </c>
      <c r="AC172" t="s">
        <v>160</v>
      </c>
      <c r="AD172" t="s">
        <v>155</v>
      </c>
      <c r="AE172" t="s">
        <v>155</v>
      </c>
      <c r="AF172" t="s">
        <v>155</v>
      </c>
      <c r="AG172" t="s">
        <v>155</v>
      </c>
      <c r="AH172" t="s">
        <v>155</v>
      </c>
    </row>
    <row r="173" spans="19:34" ht="16.2" customHeight="1" x14ac:dyDescent="0.3">
      <c r="T173" t="s">
        <v>169</v>
      </c>
      <c r="U173" t="s">
        <v>155</v>
      </c>
      <c r="V173" t="s">
        <v>155</v>
      </c>
      <c r="W173" t="s">
        <v>155</v>
      </c>
      <c r="X173" t="s">
        <v>155</v>
      </c>
      <c r="Y173" t="s">
        <v>155</v>
      </c>
      <c r="AC173" t="s">
        <v>169</v>
      </c>
      <c r="AD173" t="s">
        <v>155</v>
      </c>
      <c r="AE173" t="s">
        <v>155</v>
      </c>
      <c r="AF173" t="s">
        <v>155</v>
      </c>
      <c r="AG173" t="s">
        <v>155</v>
      </c>
      <c r="AH173" t="s">
        <v>155</v>
      </c>
    </row>
    <row r="174" spans="19:34" ht="16.2" customHeight="1" x14ac:dyDescent="0.3">
      <c r="T174" t="s">
        <v>170</v>
      </c>
      <c r="U174" t="s">
        <v>155</v>
      </c>
      <c r="V174" t="s">
        <v>155</v>
      </c>
      <c r="W174" t="s">
        <v>155</v>
      </c>
      <c r="X174" t="s">
        <v>155</v>
      </c>
      <c r="Y174" t="s">
        <v>155</v>
      </c>
      <c r="AC174" t="s">
        <v>170</v>
      </c>
      <c r="AD174" t="s">
        <v>155</v>
      </c>
      <c r="AE174" t="s">
        <v>155</v>
      </c>
      <c r="AF174" t="s">
        <v>155</v>
      </c>
      <c r="AG174" t="s">
        <v>155</v>
      </c>
      <c r="AH174" t="s">
        <v>155</v>
      </c>
    </row>
    <row r="175" spans="19:34" ht="16.2" customHeight="1" x14ac:dyDescent="0.3">
      <c r="T175" t="s">
        <v>171</v>
      </c>
      <c r="U175" t="s">
        <v>155</v>
      </c>
      <c r="V175" t="s">
        <v>155</v>
      </c>
      <c r="W175" t="s">
        <v>155</v>
      </c>
      <c r="X175" t="s">
        <v>155</v>
      </c>
      <c r="Y175" t="s">
        <v>155</v>
      </c>
      <c r="AC175" t="s">
        <v>171</v>
      </c>
      <c r="AD175" t="s">
        <v>155</v>
      </c>
      <c r="AE175" t="s">
        <v>155</v>
      </c>
      <c r="AF175" t="s">
        <v>155</v>
      </c>
      <c r="AG175" t="s">
        <v>155</v>
      </c>
      <c r="AH175" t="s">
        <v>155</v>
      </c>
    </row>
    <row r="176" spans="19:34" ht="16.2" customHeight="1" x14ac:dyDescent="0.3">
      <c r="T176" t="s">
        <v>172</v>
      </c>
      <c r="U176" t="s">
        <v>155</v>
      </c>
      <c r="V176" t="s">
        <v>155</v>
      </c>
      <c r="W176" t="s">
        <v>155</v>
      </c>
      <c r="X176" t="s">
        <v>155</v>
      </c>
      <c r="Y176" t="s">
        <v>155</v>
      </c>
      <c r="AC176" t="s">
        <v>172</v>
      </c>
      <c r="AD176" t="s">
        <v>155</v>
      </c>
      <c r="AE176" t="s">
        <v>155</v>
      </c>
      <c r="AF176" t="s">
        <v>155</v>
      </c>
      <c r="AG176" t="s">
        <v>155</v>
      </c>
      <c r="AH176" t="s">
        <v>155</v>
      </c>
    </row>
    <row r="178" spans="19:34" ht="16.2" customHeight="1" x14ac:dyDescent="0.3">
      <c r="S178" s="15" t="s">
        <v>113</v>
      </c>
      <c r="T178" t="s">
        <v>192</v>
      </c>
      <c r="AB178" s="15" t="s">
        <v>113</v>
      </c>
      <c r="AC178" t="s">
        <v>192</v>
      </c>
    </row>
    <row r="179" spans="19:34" ht="16.2" customHeight="1" x14ac:dyDescent="0.3">
      <c r="U179" t="s">
        <v>164</v>
      </c>
      <c r="V179" t="s">
        <v>165</v>
      </c>
      <c r="W179" t="s">
        <v>166</v>
      </c>
      <c r="X179" t="s">
        <v>167</v>
      </c>
      <c r="Y179" t="s">
        <v>168</v>
      </c>
      <c r="AD179" t="s">
        <v>164</v>
      </c>
      <c r="AE179" t="s">
        <v>165</v>
      </c>
      <c r="AF179" t="s">
        <v>166</v>
      </c>
      <c r="AG179" t="s">
        <v>167</v>
      </c>
      <c r="AH179" t="s">
        <v>168</v>
      </c>
    </row>
    <row r="180" spans="19:34" ht="16.2" customHeight="1" x14ac:dyDescent="0.3">
      <c r="T180" t="s">
        <v>154</v>
      </c>
      <c r="U180" t="s">
        <v>155</v>
      </c>
      <c r="V180" t="s">
        <v>155</v>
      </c>
      <c r="W180" t="s">
        <v>155</v>
      </c>
      <c r="X180" t="s">
        <v>155</v>
      </c>
      <c r="Y180" t="s">
        <v>155</v>
      </c>
      <c r="AC180" t="s">
        <v>154</v>
      </c>
      <c r="AD180" t="s">
        <v>155</v>
      </c>
      <c r="AE180" t="s">
        <v>155</v>
      </c>
      <c r="AF180" t="s">
        <v>155</v>
      </c>
      <c r="AG180" t="s">
        <v>155</v>
      </c>
      <c r="AH180" t="s">
        <v>155</v>
      </c>
    </row>
    <row r="181" spans="19:34" ht="16.2" customHeight="1" x14ac:dyDescent="0.3">
      <c r="T181" t="s">
        <v>156</v>
      </c>
      <c r="U181" t="s">
        <v>155</v>
      </c>
      <c r="V181" t="s">
        <v>155</v>
      </c>
      <c r="W181" t="s">
        <v>155</v>
      </c>
      <c r="X181" t="s">
        <v>155</v>
      </c>
      <c r="Y181" t="s">
        <v>155</v>
      </c>
      <c r="AC181" t="s">
        <v>156</v>
      </c>
      <c r="AD181" t="s">
        <v>155</v>
      </c>
      <c r="AE181" t="s">
        <v>155</v>
      </c>
      <c r="AF181" t="s">
        <v>155</v>
      </c>
      <c r="AG181" t="s">
        <v>155</v>
      </c>
      <c r="AH181" t="s">
        <v>155</v>
      </c>
    </row>
    <row r="182" spans="19:34" ht="16.2" customHeight="1" x14ac:dyDescent="0.3">
      <c r="T182" t="s">
        <v>157</v>
      </c>
      <c r="U182" t="s">
        <v>155</v>
      </c>
      <c r="V182" t="s">
        <v>155</v>
      </c>
      <c r="W182" t="s">
        <v>155</v>
      </c>
      <c r="X182" t="s">
        <v>155</v>
      </c>
      <c r="Y182" t="s">
        <v>155</v>
      </c>
      <c r="AC182" t="s">
        <v>157</v>
      </c>
      <c r="AD182" t="s">
        <v>24</v>
      </c>
      <c r="AE182" t="s">
        <v>155</v>
      </c>
      <c r="AF182" t="s">
        <v>155</v>
      </c>
      <c r="AG182" t="s">
        <v>24</v>
      </c>
      <c r="AH182" t="s">
        <v>155</v>
      </c>
    </row>
    <row r="183" spans="19:34" ht="16.2" customHeight="1" x14ac:dyDescent="0.3">
      <c r="T183" t="s">
        <v>158</v>
      </c>
      <c r="U183" t="s">
        <v>24</v>
      </c>
      <c r="V183" t="s">
        <v>155</v>
      </c>
      <c r="W183" t="s">
        <v>155</v>
      </c>
      <c r="X183" t="s">
        <v>155</v>
      </c>
      <c r="Y183" t="s">
        <v>155</v>
      </c>
      <c r="AC183" t="s">
        <v>158</v>
      </c>
      <c r="AD183" t="s">
        <v>24</v>
      </c>
      <c r="AE183" t="s">
        <v>155</v>
      </c>
      <c r="AF183" t="s">
        <v>155</v>
      </c>
      <c r="AG183" t="s">
        <v>24</v>
      </c>
      <c r="AH183" t="s">
        <v>155</v>
      </c>
    </row>
    <row r="184" spans="19:34" ht="16.2" customHeight="1" x14ac:dyDescent="0.3">
      <c r="T184" t="s">
        <v>159</v>
      </c>
      <c r="U184" t="s">
        <v>24</v>
      </c>
      <c r="V184" t="s">
        <v>155</v>
      </c>
      <c r="W184" t="s">
        <v>155</v>
      </c>
      <c r="X184" t="s">
        <v>155</v>
      </c>
      <c r="Y184" t="s">
        <v>24</v>
      </c>
      <c r="AC184" t="s">
        <v>159</v>
      </c>
      <c r="AD184" t="s">
        <v>24</v>
      </c>
      <c r="AE184" t="s">
        <v>155</v>
      </c>
      <c r="AF184" t="s">
        <v>155</v>
      </c>
      <c r="AG184" t="s">
        <v>155</v>
      </c>
      <c r="AH184" t="s">
        <v>155</v>
      </c>
    </row>
    <row r="185" spans="19:34" ht="16.2" customHeight="1" x14ac:dyDescent="0.3">
      <c r="T185" t="s">
        <v>160</v>
      </c>
      <c r="U185" t="s">
        <v>24</v>
      </c>
      <c r="V185" t="s">
        <v>155</v>
      </c>
      <c r="W185" t="s">
        <v>155</v>
      </c>
      <c r="X185" t="s">
        <v>155</v>
      </c>
      <c r="Y185" t="s">
        <v>24</v>
      </c>
      <c r="AC185" t="s">
        <v>160</v>
      </c>
      <c r="AD185" t="s">
        <v>155</v>
      </c>
      <c r="AE185" t="s">
        <v>155</v>
      </c>
      <c r="AF185" t="s">
        <v>155</v>
      </c>
      <c r="AG185" t="s">
        <v>155</v>
      </c>
      <c r="AH185" t="s">
        <v>155</v>
      </c>
    </row>
    <row r="186" spans="19:34" ht="16.2" customHeight="1" x14ac:dyDescent="0.3">
      <c r="T186" t="s">
        <v>169</v>
      </c>
      <c r="U186" t="s">
        <v>155</v>
      </c>
      <c r="V186" t="s">
        <v>155</v>
      </c>
      <c r="W186" t="s">
        <v>155</v>
      </c>
      <c r="X186" t="s">
        <v>155</v>
      </c>
      <c r="Y186" t="s">
        <v>155</v>
      </c>
      <c r="AC186" t="s">
        <v>169</v>
      </c>
      <c r="AD186" t="s">
        <v>155</v>
      </c>
      <c r="AE186" t="s">
        <v>155</v>
      </c>
      <c r="AF186" t="s">
        <v>155</v>
      </c>
      <c r="AG186" t="s">
        <v>155</v>
      </c>
      <c r="AH186" t="s">
        <v>155</v>
      </c>
    </row>
    <row r="187" spans="19:34" ht="16.2" customHeight="1" x14ac:dyDescent="0.3">
      <c r="T187" t="s">
        <v>170</v>
      </c>
      <c r="U187" t="s">
        <v>155</v>
      </c>
      <c r="V187" t="s">
        <v>155</v>
      </c>
      <c r="W187" t="s">
        <v>155</v>
      </c>
      <c r="X187" t="s">
        <v>155</v>
      </c>
      <c r="Y187" t="s">
        <v>155</v>
      </c>
      <c r="AC187" t="s">
        <v>170</v>
      </c>
      <c r="AD187" t="s">
        <v>155</v>
      </c>
      <c r="AE187" t="s">
        <v>155</v>
      </c>
      <c r="AF187" t="s">
        <v>155</v>
      </c>
      <c r="AG187" t="s">
        <v>155</v>
      </c>
      <c r="AH187" t="s">
        <v>155</v>
      </c>
    </row>
    <row r="188" spans="19:34" ht="16.2" customHeight="1" x14ac:dyDescent="0.3">
      <c r="T188" t="s">
        <v>171</v>
      </c>
      <c r="U188" t="s">
        <v>155</v>
      </c>
      <c r="V188" t="s">
        <v>155</v>
      </c>
      <c r="W188" t="s">
        <v>155</v>
      </c>
      <c r="X188" t="s">
        <v>155</v>
      </c>
      <c r="Y188" t="s">
        <v>155</v>
      </c>
      <c r="AC188" t="s">
        <v>171</v>
      </c>
      <c r="AD188" t="s">
        <v>155</v>
      </c>
      <c r="AE188" t="s">
        <v>155</v>
      </c>
      <c r="AF188" t="s">
        <v>155</v>
      </c>
      <c r="AG188" t="s">
        <v>155</v>
      </c>
      <c r="AH188" t="s">
        <v>155</v>
      </c>
    </row>
    <row r="189" spans="19:34" ht="16.2" customHeight="1" x14ac:dyDescent="0.3">
      <c r="T189" t="s">
        <v>172</v>
      </c>
      <c r="U189" t="s">
        <v>155</v>
      </c>
      <c r="V189" t="s">
        <v>155</v>
      </c>
      <c r="W189" t="s">
        <v>155</v>
      </c>
      <c r="X189" t="s">
        <v>155</v>
      </c>
      <c r="Y189" t="s">
        <v>155</v>
      </c>
      <c r="AC189" t="s">
        <v>172</v>
      </c>
      <c r="AD189" t="s">
        <v>155</v>
      </c>
      <c r="AE189" t="s">
        <v>155</v>
      </c>
      <c r="AF189" t="s">
        <v>155</v>
      </c>
      <c r="AG189" t="s">
        <v>155</v>
      </c>
      <c r="AH189" t="s">
        <v>155</v>
      </c>
    </row>
    <row r="191" spans="19:34" ht="16.2" customHeight="1" x14ac:dyDescent="0.3">
      <c r="S191" s="15" t="s">
        <v>114</v>
      </c>
      <c r="T191" t="s">
        <v>193</v>
      </c>
      <c r="AB191" s="15" t="s">
        <v>114</v>
      </c>
      <c r="AC191" t="s">
        <v>193</v>
      </c>
    </row>
    <row r="192" spans="19:34" ht="16.2" customHeight="1" x14ac:dyDescent="0.3">
      <c r="U192" t="s">
        <v>164</v>
      </c>
      <c r="V192" t="s">
        <v>165</v>
      </c>
      <c r="W192" t="s">
        <v>166</v>
      </c>
      <c r="X192" t="s">
        <v>167</v>
      </c>
      <c r="Y192" t="s">
        <v>168</v>
      </c>
      <c r="AD192" t="s">
        <v>164</v>
      </c>
      <c r="AE192" t="s">
        <v>165</v>
      </c>
      <c r="AF192" t="s">
        <v>166</v>
      </c>
      <c r="AG192" t="s">
        <v>167</v>
      </c>
      <c r="AH192" t="s">
        <v>168</v>
      </c>
    </row>
    <row r="193" spans="19:34" ht="16.2" customHeight="1" x14ac:dyDescent="0.3">
      <c r="T193" t="s">
        <v>154</v>
      </c>
      <c r="U193" t="s">
        <v>155</v>
      </c>
      <c r="V193" t="s">
        <v>102</v>
      </c>
      <c r="W193" t="s">
        <v>155</v>
      </c>
      <c r="X193" t="s">
        <v>102</v>
      </c>
      <c r="Y193" t="s">
        <v>155</v>
      </c>
      <c r="AC193" t="s">
        <v>154</v>
      </c>
      <c r="AD193" t="s">
        <v>155</v>
      </c>
      <c r="AE193" t="s">
        <v>102</v>
      </c>
      <c r="AF193" t="s">
        <v>155</v>
      </c>
      <c r="AG193" t="s">
        <v>102</v>
      </c>
      <c r="AH193" t="s">
        <v>155</v>
      </c>
    </row>
    <row r="194" spans="19:34" ht="16.2" customHeight="1" x14ac:dyDescent="0.3">
      <c r="T194" t="s">
        <v>156</v>
      </c>
      <c r="U194" t="s">
        <v>155</v>
      </c>
      <c r="V194" t="s">
        <v>102</v>
      </c>
      <c r="W194" t="s">
        <v>155</v>
      </c>
      <c r="X194" t="s">
        <v>102</v>
      </c>
      <c r="Y194" t="s">
        <v>155</v>
      </c>
      <c r="AC194" t="s">
        <v>156</v>
      </c>
      <c r="AD194" t="s">
        <v>155</v>
      </c>
      <c r="AE194" t="s">
        <v>102</v>
      </c>
      <c r="AF194" t="s">
        <v>155</v>
      </c>
      <c r="AG194" t="s">
        <v>102</v>
      </c>
      <c r="AH194" t="s">
        <v>155</v>
      </c>
    </row>
    <row r="195" spans="19:34" ht="16.2" customHeight="1" x14ac:dyDescent="0.3">
      <c r="T195" t="s">
        <v>157</v>
      </c>
      <c r="U195" t="s">
        <v>155</v>
      </c>
      <c r="V195" t="s">
        <v>102</v>
      </c>
      <c r="W195" t="s">
        <v>155</v>
      </c>
      <c r="X195" t="s">
        <v>155</v>
      </c>
      <c r="Y195" t="s">
        <v>155</v>
      </c>
      <c r="AC195" t="s">
        <v>157</v>
      </c>
      <c r="AD195" t="s">
        <v>155</v>
      </c>
      <c r="AE195" t="s">
        <v>102</v>
      </c>
      <c r="AF195" t="s">
        <v>155</v>
      </c>
      <c r="AG195" t="s">
        <v>155</v>
      </c>
      <c r="AH195" t="s">
        <v>155</v>
      </c>
    </row>
    <row r="196" spans="19:34" ht="16.2" customHeight="1" x14ac:dyDescent="0.3">
      <c r="T196" t="s">
        <v>158</v>
      </c>
      <c r="U196" t="s">
        <v>155</v>
      </c>
      <c r="V196" t="s">
        <v>155</v>
      </c>
      <c r="W196" t="s">
        <v>155</v>
      </c>
      <c r="X196" t="s">
        <v>155</v>
      </c>
      <c r="Y196" t="s">
        <v>155</v>
      </c>
      <c r="AC196" t="s">
        <v>158</v>
      </c>
      <c r="AD196" t="s">
        <v>155</v>
      </c>
      <c r="AE196" t="s">
        <v>155</v>
      </c>
      <c r="AF196" t="s">
        <v>155</v>
      </c>
      <c r="AG196" t="s">
        <v>155</v>
      </c>
      <c r="AH196" t="s">
        <v>155</v>
      </c>
    </row>
    <row r="197" spans="19:34" ht="16.2" customHeight="1" x14ac:dyDescent="0.3">
      <c r="T197" t="s">
        <v>159</v>
      </c>
      <c r="U197" t="s">
        <v>155</v>
      </c>
      <c r="V197" t="s">
        <v>155</v>
      </c>
      <c r="W197" t="s">
        <v>155</v>
      </c>
      <c r="X197" t="s">
        <v>155</v>
      </c>
      <c r="Y197" t="s">
        <v>155</v>
      </c>
      <c r="AC197" t="s">
        <v>159</v>
      </c>
      <c r="AD197" t="s">
        <v>155</v>
      </c>
      <c r="AE197" t="s">
        <v>155</v>
      </c>
      <c r="AF197" t="s">
        <v>155</v>
      </c>
      <c r="AG197" t="s">
        <v>155</v>
      </c>
      <c r="AH197" t="s">
        <v>155</v>
      </c>
    </row>
    <row r="198" spans="19:34" ht="16.2" customHeight="1" x14ac:dyDescent="0.3">
      <c r="T198" t="s">
        <v>160</v>
      </c>
      <c r="U198" t="s">
        <v>155</v>
      </c>
      <c r="V198" t="s">
        <v>155</v>
      </c>
      <c r="W198" t="s">
        <v>155</v>
      </c>
      <c r="X198" t="s">
        <v>155</v>
      </c>
      <c r="Y198" t="s">
        <v>155</v>
      </c>
      <c r="AC198" t="s">
        <v>160</v>
      </c>
      <c r="AD198" t="s">
        <v>155</v>
      </c>
      <c r="AE198" t="s">
        <v>155</v>
      </c>
      <c r="AF198" t="s">
        <v>155</v>
      </c>
      <c r="AG198" t="s">
        <v>155</v>
      </c>
      <c r="AH198" t="s">
        <v>155</v>
      </c>
    </row>
    <row r="199" spans="19:34" ht="16.2" customHeight="1" x14ac:dyDescent="0.3">
      <c r="T199" t="s">
        <v>169</v>
      </c>
      <c r="U199" t="s">
        <v>155</v>
      </c>
      <c r="V199" t="s">
        <v>155</v>
      </c>
      <c r="W199" t="s">
        <v>155</v>
      </c>
      <c r="X199" t="s">
        <v>155</v>
      </c>
      <c r="Y199" t="s">
        <v>155</v>
      </c>
      <c r="AC199" t="s">
        <v>169</v>
      </c>
      <c r="AD199" t="s">
        <v>155</v>
      </c>
      <c r="AE199" t="s">
        <v>155</v>
      </c>
      <c r="AF199" t="s">
        <v>155</v>
      </c>
      <c r="AG199" t="s">
        <v>155</v>
      </c>
      <c r="AH199" t="s">
        <v>155</v>
      </c>
    </row>
    <row r="200" spans="19:34" ht="16.2" customHeight="1" x14ac:dyDescent="0.3">
      <c r="T200" t="s">
        <v>170</v>
      </c>
      <c r="U200" t="s">
        <v>155</v>
      </c>
      <c r="V200" t="s">
        <v>155</v>
      </c>
      <c r="W200" t="s">
        <v>155</v>
      </c>
      <c r="X200" t="s">
        <v>155</v>
      </c>
      <c r="Y200" t="s">
        <v>155</v>
      </c>
      <c r="AC200" t="s">
        <v>170</v>
      </c>
      <c r="AD200" t="s">
        <v>155</v>
      </c>
      <c r="AE200" t="s">
        <v>155</v>
      </c>
      <c r="AF200" t="s">
        <v>155</v>
      </c>
      <c r="AG200" t="s">
        <v>155</v>
      </c>
      <c r="AH200" t="s">
        <v>155</v>
      </c>
    </row>
    <row r="201" spans="19:34" ht="16.2" customHeight="1" x14ac:dyDescent="0.3">
      <c r="T201" t="s">
        <v>171</v>
      </c>
      <c r="U201" t="s">
        <v>155</v>
      </c>
      <c r="V201" t="s">
        <v>155</v>
      </c>
      <c r="W201" t="s">
        <v>155</v>
      </c>
      <c r="X201" t="s">
        <v>155</v>
      </c>
      <c r="Y201" t="s">
        <v>155</v>
      </c>
      <c r="AC201" t="s">
        <v>171</v>
      </c>
      <c r="AD201" t="s">
        <v>155</v>
      </c>
      <c r="AE201" t="s">
        <v>155</v>
      </c>
      <c r="AF201" t="s">
        <v>155</v>
      </c>
      <c r="AG201" t="s">
        <v>155</v>
      </c>
      <c r="AH201" t="s">
        <v>155</v>
      </c>
    </row>
    <row r="202" spans="19:34" ht="16.2" customHeight="1" x14ac:dyDescent="0.3">
      <c r="T202" t="s">
        <v>172</v>
      </c>
      <c r="U202" t="s">
        <v>155</v>
      </c>
      <c r="V202" t="s">
        <v>155</v>
      </c>
      <c r="W202" t="s">
        <v>155</v>
      </c>
      <c r="X202" t="s">
        <v>155</v>
      </c>
      <c r="Y202" t="s">
        <v>155</v>
      </c>
      <c r="AC202" t="s">
        <v>172</v>
      </c>
      <c r="AD202" t="s">
        <v>155</v>
      </c>
      <c r="AE202" t="s">
        <v>155</v>
      </c>
      <c r="AF202" t="s">
        <v>155</v>
      </c>
      <c r="AG202" t="s">
        <v>155</v>
      </c>
      <c r="AH202" t="s">
        <v>155</v>
      </c>
    </row>
    <row r="204" spans="19:34" ht="16.2" customHeight="1" x14ac:dyDescent="0.3">
      <c r="S204" s="15" t="s">
        <v>115</v>
      </c>
      <c r="T204" t="s">
        <v>194</v>
      </c>
      <c r="AB204" s="15" t="s">
        <v>115</v>
      </c>
      <c r="AC204" t="s">
        <v>194</v>
      </c>
    </row>
    <row r="205" spans="19:34" ht="16.2" customHeight="1" x14ac:dyDescent="0.3">
      <c r="U205" t="s">
        <v>164</v>
      </c>
      <c r="V205" t="s">
        <v>165</v>
      </c>
      <c r="W205" t="s">
        <v>166</v>
      </c>
      <c r="X205" t="s">
        <v>167</v>
      </c>
      <c r="Y205" t="s">
        <v>168</v>
      </c>
      <c r="AD205" t="s">
        <v>164</v>
      </c>
      <c r="AE205" t="s">
        <v>165</v>
      </c>
      <c r="AF205" t="s">
        <v>166</v>
      </c>
      <c r="AG205" t="s">
        <v>167</v>
      </c>
      <c r="AH205" t="s">
        <v>168</v>
      </c>
    </row>
    <row r="206" spans="19:34" ht="16.2" customHeight="1" x14ac:dyDescent="0.3">
      <c r="T206" t="s">
        <v>154</v>
      </c>
      <c r="U206" t="s">
        <v>155</v>
      </c>
      <c r="V206" t="s">
        <v>102</v>
      </c>
      <c r="W206" t="s">
        <v>155</v>
      </c>
      <c r="X206" t="s">
        <v>102</v>
      </c>
      <c r="Y206" t="s">
        <v>155</v>
      </c>
      <c r="AC206" t="s">
        <v>154</v>
      </c>
      <c r="AD206" t="s">
        <v>155</v>
      </c>
      <c r="AE206" t="s">
        <v>102</v>
      </c>
      <c r="AF206" t="s">
        <v>155</v>
      </c>
      <c r="AG206" t="s">
        <v>102</v>
      </c>
      <c r="AH206" t="s">
        <v>155</v>
      </c>
    </row>
    <row r="207" spans="19:34" ht="16.2" customHeight="1" x14ac:dyDescent="0.3">
      <c r="T207" t="s">
        <v>156</v>
      </c>
      <c r="U207" t="s">
        <v>155</v>
      </c>
      <c r="V207" t="s">
        <v>102</v>
      </c>
      <c r="W207" t="s">
        <v>155</v>
      </c>
      <c r="X207" t="s">
        <v>102</v>
      </c>
      <c r="Y207" t="s">
        <v>155</v>
      </c>
      <c r="AC207" t="s">
        <v>156</v>
      </c>
      <c r="AD207" t="s">
        <v>155</v>
      </c>
      <c r="AE207" t="s">
        <v>102</v>
      </c>
      <c r="AF207" t="s">
        <v>155</v>
      </c>
      <c r="AG207" t="s">
        <v>102</v>
      </c>
      <c r="AH207" t="s">
        <v>155</v>
      </c>
    </row>
    <row r="208" spans="19:34" ht="16.2" customHeight="1" x14ac:dyDescent="0.3">
      <c r="T208" t="s">
        <v>157</v>
      </c>
      <c r="U208" t="s">
        <v>155</v>
      </c>
      <c r="V208" t="s">
        <v>155</v>
      </c>
      <c r="W208" t="s">
        <v>155</v>
      </c>
      <c r="X208" t="s">
        <v>102</v>
      </c>
      <c r="Y208" t="s">
        <v>155</v>
      </c>
      <c r="AC208" t="s">
        <v>157</v>
      </c>
      <c r="AD208" t="s">
        <v>155</v>
      </c>
      <c r="AE208" t="s">
        <v>102</v>
      </c>
      <c r="AF208" t="s">
        <v>155</v>
      </c>
      <c r="AG208" t="s">
        <v>155</v>
      </c>
      <c r="AH208" t="s">
        <v>155</v>
      </c>
    </row>
    <row r="209" spans="19:34" ht="16.2" customHeight="1" x14ac:dyDescent="0.3">
      <c r="T209" t="s">
        <v>158</v>
      </c>
      <c r="U209" t="s">
        <v>155</v>
      </c>
      <c r="V209" t="s">
        <v>155</v>
      </c>
      <c r="W209" t="s">
        <v>155</v>
      </c>
      <c r="X209" t="s">
        <v>155</v>
      </c>
      <c r="Y209" t="s">
        <v>155</v>
      </c>
      <c r="AC209" t="s">
        <v>158</v>
      </c>
      <c r="AD209" t="s">
        <v>155</v>
      </c>
      <c r="AE209" t="s">
        <v>155</v>
      </c>
      <c r="AF209" t="s">
        <v>155</v>
      </c>
      <c r="AG209" t="s">
        <v>155</v>
      </c>
      <c r="AH209" t="s">
        <v>155</v>
      </c>
    </row>
    <row r="210" spans="19:34" ht="16.2" customHeight="1" x14ac:dyDescent="0.3">
      <c r="T210" t="s">
        <v>159</v>
      </c>
      <c r="U210" t="s">
        <v>155</v>
      </c>
      <c r="V210" t="s">
        <v>155</v>
      </c>
      <c r="W210" t="s">
        <v>155</v>
      </c>
      <c r="X210" t="s">
        <v>155</v>
      </c>
      <c r="Y210" t="s">
        <v>155</v>
      </c>
      <c r="AC210" t="s">
        <v>159</v>
      </c>
      <c r="AD210" t="s">
        <v>155</v>
      </c>
      <c r="AE210" t="s">
        <v>155</v>
      </c>
      <c r="AF210" t="s">
        <v>155</v>
      </c>
      <c r="AG210" t="s">
        <v>155</v>
      </c>
      <c r="AH210" t="s">
        <v>155</v>
      </c>
    </row>
    <row r="211" spans="19:34" ht="16.2" customHeight="1" x14ac:dyDescent="0.3">
      <c r="T211" t="s">
        <v>160</v>
      </c>
      <c r="U211" t="s">
        <v>155</v>
      </c>
      <c r="V211" t="s">
        <v>155</v>
      </c>
      <c r="W211" t="s">
        <v>155</v>
      </c>
      <c r="X211" t="s">
        <v>155</v>
      </c>
      <c r="Y211" t="s">
        <v>155</v>
      </c>
      <c r="AC211" t="s">
        <v>160</v>
      </c>
      <c r="AD211" t="s">
        <v>155</v>
      </c>
      <c r="AE211" t="s">
        <v>155</v>
      </c>
      <c r="AF211" t="s">
        <v>155</v>
      </c>
      <c r="AG211" t="s">
        <v>155</v>
      </c>
      <c r="AH211" t="s">
        <v>155</v>
      </c>
    </row>
    <row r="212" spans="19:34" ht="16.2" customHeight="1" x14ac:dyDescent="0.3">
      <c r="T212" t="s">
        <v>169</v>
      </c>
      <c r="U212" t="s">
        <v>155</v>
      </c>
      <c r="V212" t="s">
        <v>155</v>
      </c>
      <c r="W212" t="s">
        <v>155</v>
      </c>
      <c r="X212" t="s">
        <v>155</v>
      </c>
      <c r="Y212" t="s">
        <v>155</v>
      </c>
      <c r="AC212" t="s">
        <v>169</v>
      </c>
      <c r="AD212" t="s">
        <v>155</v>
      </c>
      <c r="AE212" t="s">
        <v>155</v>
      </c>
      <c r="AF212" t="s">
        <v>155</v>
      </c>
      <c r="AG212" t="s">
        <v>155</v>
      </c>
      <c r="AH212" t="s">
        <v>155</v>
      </c>
    </row>
    <row r="213" spans="19:34" ht="16.2" customHeight="1" x14ac:dyDescent="0.3">
      <c r="T213" t="s">
        <v>170</v>
      </c>
      <c r="U213" t="s">
        <v>155</v>
      </c>
      <c r="V213" t="s">
        <v>155</v>
      </c>
      <c r="W213" t="s">
        <v>155</v>
      </c>
      <c r="X213" t="s">
        <v>155</v>
      </c>
      <c r="Y213" t="s">
        <v>155</v>
      </c>
      <c r="AC213" t="s">
        <v>170</v>
      </c>
      <c r="AD213" t="s">
        <v>155</v>
      </c>
      <c r="AE213" t="s">
        <v>155</v>
      </c>
      <c r="AF213" t="s">
        <v>155</v>
      </c>
      <c r="AG213" t="s">
        <v>155</v>
      </c>
      <c r="AH213" t="s">
        <v>155</v>
      </c>
    </row>
    <row r="214" spans="19:34" ht="16.2" customHeight="1" x14ac:dyDescent="0.3">
      <c r="T214" t="s">
        <v>171</v>
      </c>
      <c r="U214" t="s">
        <v>155</v>
      </c>
      <c r="V214" t="s">
        <v>155</v>
      </c>
      <c r="W214" t="s">
        <v>155</v>
      </c>
      <c r="X214" t="s">
        <v>155</v>
      </c>
      <c r="Y214" t="s">
        <v>155</v>
      </c>
      <c r="AC214" t="s">
        <v>171</v>
      </c>
      <c r="AD214" t="s">
        <v>155</v>
      </c>
      <c r="AE214" t="s">
        <v>155</v>
      </c>
      <c r="AF214" t="s">
        <v>155</v>
      </c>
      <c r="AG214" t="s">
        <v>155</v>
      </c>
      <c r="AH214" t="s">
        <v>155</v>
      </c>
    </row>
    <row r="215" spans="19:34" ht="16.2" customHeight="1" x14ac:dyDescent="0.3">
      <c r="T215" t="s">
        <v>172</v>
      </c>
      <c r="U215" t="s">
        <v>155</v>
      </c>
      <c r="V215" t="s">
        <v>155</v>
      </c>
      <c r="W215" t="s">
        <v>155</v>
      </c>
      <c r="X215" t="s">
        <v>155</v>
      </c>
      <c r="Y215" t="s">
        <v>155</v>
      </c>
      <c r="AC215" t="s">
        <v>172</v>
      </c>
      <c r="AD215" t="s">
        <v>155</v>
      </c>
      <c r="AE215" t="s">
        <v>155</v>
      </c>
      <c r="AF215" t="s">
        <v>155</v>
      </c>
      <c r="AG215" t="s">
        <v>155</v>
      </c>
      <c r="AH215" t="s">
        <v>155</v>
      </c>
    </row>
    <row r="217" spans="19:34" ht="16.2" customHeight="1" x14ac:dyDescent="0.3">
      <c r="S217" s="15" t="s">
        <v>116</v>
      </c>
      <c r="T217" t="s">
        <v>195</v>
      </c>
      <c r="AB217" s="15" t="s">
        <v>116</v>
      </c>
      <c r="AC217" t="s">
        <v>195</v>
      </c>
    </row>
    <row r="218" spans="19:34" ht="16.2" customHeight="1" x14ac:dyDescent="0.3">
      <c r="U218" t="s">
        <v>164</v>
      </c>
      <c r="V218" t="s">
        <v>165</v>
      </c>
      <c r="W218" t="s">
        <v>166</v>
      </c>
      <c r="X218" t="s">
        <v>167</v>
      </c>
      <c r="Y218" t="s">
        <v>168</v>
      </c>
      <c r="AD218" t="s">
        <v>164</v>
      </c>
      <c r="AE218" t="s">
        <v>165</v>
      </c>
      <c r="AF218" t="s">
        <v>166</v>
      </c>
      <c r="AG218" t="s">
        <v>167</v>
      </c>
      <c r="AH218" t="s">
        <v>168</v>
      </c>
    </row>
    <row r="219" spans="19:34" ht="16.2" customHeight="1" x14ac:dyDescent="0.3">
      <c r="T219" t="s">
        <v>154</v>
      </c>
      <c r="U219" t="s">
        <v>155</v>
      </c>
      <c r="V219" t="s">
        <v>155</v>
      </c>
      <c r="W219" t="s">
        <v>155</v>
      </c>
      <c r="X219" t="s">
        <v>155</v>
      </c>
      <c r="Y219" t="s">
        <v>155</v>
      </c>
      <c r="AC219" t="s">
        <v>154</v>
      </c>
      <c r="AD219" t="s">
        <v>155</v>
      </c>
      <c r="AE219" t="s">
        <v>155</v>
      </c>
      <c r="AF219" t="s">
        <v>155</v>
      </c>
      <c r="AG219" t="s">
        <v>155</v>
      </c>
      <c r="AH219" t="s">
        <v>155</v>
      </c>
    </row>
    <row r="220" spans="19:34" ht="16.2" customHeight="1" x14ac:dyDescent="0.3">
      <c r="T220" t="s">
        <v>156</v>
      </c>
      <c r="U220" t="s">
        <v>155</v>
      </c>
      <c r="V220" t="s">
        <v>155</v>
      </c>
      <c r="W220" t="s">
        <v>155</v>
      </c>
      <c r="X220" t="s">
        <v>155</v>
      </c>
      <c r="Y220" t="s">
        <v>155</v>
      </c>
      <c r="AC220" t="s">
        <v>156</v>
      </c>
      <c r="AD220" t="s">
        <v>155</v>
      </c>
      <c r="AE220" t="s">
        <v>155</v>
      </c>
      <c r="AF220" t="s">
        <v>155</v>
      </c>
      <c r="AG220" t="s">
        <v>155</v>
      </c>
      <c r="AH220" t="s">
        <v>155</v>
      </c>
    </row>
    <row r="221" spans="19:34" ht="16.2" customHeight="1" x14ac:dyDescent="0.3">
      <c r="T221" t="s">
        <v>157</v>
      </c>
      <c r="U221" t="s">
        <v>102</v>
      </c>
      <c r="V221" t="s">
        <v>155</v>
      </c>
      <c r="W221" t="s">
        <v>102</v>
      </c>
      <c r="X221" t="s">
        <v>155</v>
      </c>
      <c r="Y221" t="s">
        <v>155</v>
      </c>
      <c r="AC221" t="s">
        <v>157</v>
      </c>
      <c r="AD221" t="s">
        <v>102</v>
      </c>
      <c r="AE221" t="s">
        <v>155</v>
      </c>
      <c r="AF221" t="s">
        <v>102</v>
      </c>
      <c r="AG221" t="s">
        <v>155</v>
      </c>
      <c r="AH221" t="s">
        <v>155</v>
      </c>
    </row>
    <row r="222" spans="19:34" ht="16.2" customHeight="1" x14ac:dyDescent="0.3">
      <c r="T222" t="s">
        <v>158</v>
      </c>
      <c r="U222" t="s">
        <v>102</v>
      </c>
      <c r="V222" t="s">
        <v>155</v>
      </c>
      <c r="W222" t="s">
        <v>102</v>
      </c>
      <c r="X222" t="s">
        <v>155</v>
      </c>
      <c r="Y222" t="s">
        <v>155</v>
      </c>
      <c r="AC222" t="s">
        <v>158</v>
      </c>
      <c r="AD222" t="s">
        <v>102</v>
      </c>
      <c r="AE222" t="s">
        <v>155</v>
      </c>
      <c r="AF222" t="s">
        <v>102</v>
      </c>
      <c r="AG222" t="s">
        <v>155</v>
      </c>
      <c r="AH222" t="s">
        <v>155</v>
      </c>
    </row>
    <row r="223" spans="19:34" ht="16.2" customHeight="1" x14ac:dyDescent="0.3">
      <c r="T223" t="s">
        <v>159</v>
      </c>
      <c r="U223" t="s">
        <v>155</v>
      </c>
      <c r="V223" t="s">
        <v>155</v>
      </c>
      <c r="W223" t="s">
        <v>102</v>
      </c>
      <c r="X223" t="s">
        <v>155</v>
      </c>
      <c r="Y223" t="s">
        <v>155</v>
      </c>
      <c r="AC223" t="s">
        <v>159</v>
      </c>
      <c r="AD223" t="s">
        <v>102</v>
      </c>
      <c r="AE223" t="s">
        <v>155</v>
      </c>
      <c r="AF223" t="s">
        <v>155</v>
      </c>
      <c r="AG223" t="s">
        <v>155</v>
      </c>
      <c r="AH223" t="s">
        <v>155</v>
      </c>
    </row>
    <row r="224" spans="19:34" ht="16.2" customHeight="1" x14ac:dyDescent="0.3">
      <c r="T224" t="s">
        <v>160</v>
      </c>
      <c r="U224" t="s">
        <v>155</v>
      </c>
      <c r="V224" t="s">
        <v>155</v>
      </c>
      <c r="W224" t="s">
        <v>155</v>
      </c>
      <c r="X224" t="s">
        <v>155</v>
      </c>
      <c r="Y224" t="s">
        <v>155</v>
      </c>
      <c r="AC224" t="s">
        <v>160</v>
      </c>
      <c r="AD224" t="s">
        <v>155</v>
      </c>
      <c r="AE224" t="s">
        <v>155</v>
      </c>
      <c r="AF224" t="s">
        <v>155</v>
      </c>
      <c r="AG224" t="s">
        <v>155</v>
      </c>
      <c r="AH224" t="s">
        <v>155</v>
      </c>
    </row>
    <row r="225" spans="19:34" ht="16.2" customHeight="1" x14ac:dyDescent="0.3">
      <c r="T225" t="s">
        <v>169</v>
      </c>
      <c r="U225" t="s">
        <v>155</v>
      </c>
      <c r="V225" t="s">
        <v>155</v>
      </c>
      <c r="W225" t="s">
        <v>155</v>
      </c>
      <c r="X225" t="s">
        <v>155</v>
      </c>
      <c r="Y225" t="s">
        <v>155</v>
      </c>
      <c r="AC225" t="s">
        <v>169</v>
      </c>
      <c r="AD225" t="s">
        <v>155</v>
      </c>
      <c r="AE225" t="s">
        <v>155</v>
      </c>
      <c r="AF225" t="s">
        <v>155</v>
      </c>
      <c r="AG225" t="s">
        <v>155</v>
      </c>
      <c r="AH225" t="s">
        <v>155</v>
      </c>
    </row>
    <row r="226" spans="19:34" ht="16.2" customHeight="1" x14ac:dyDescent="0.3">
      <c r="T226" t="s">
        <v>170</v>
      </c>
      <c r="U226" t="s">
        <v>155</v>
      </c>
      <c r="V226" t="s">
        <v>155</v>
      </c>
      <c r="W226" t="s">
        <v>155</v>
      </c>
      <c r="X226" t="s">
        <v>155</v>
      </c>
      <c r="Y226" t="s">
        <v>155</v>
      </c>
      <c r="AC226" t="s">
        <v>170</v>
      </c>
      <c r="AD226" t="s">
        <v>155</v>
      </c>
      <c r="AE226" t="s">
        <v>155</v>
      </c>
      <c r="AF226" t="s">
        <v>155</v>
      </c>
      <c r="AG226" t="s">
        <v>155</v>
      </c>
      <c r="AH226" t="s">
        <v>155</v>
      </c>
    </row>
    <row r="227" spans="19:34" ht="16.2" customHeight="1" x14ac:dyDescent="0.3">
      <c r="T227" t="s">
        <v>171</v>
      </c>
      <c r="U227" t="s">
        <v>155</v>
      </c>
      <c r="V227" t="s">
        <v>155</v>
      </c>
      <c r="W227" t="s">
        <v>155</v>
      </c>
      <c r="X227" t="s">
        <v>155</v>
      </c>
      <c r="Y227" t="s">
        <v>155</v>
      </c>
      <c r="AC227" t="s">
        <v>171</v>
      </c>
      <c r="AD227" t="s">
        <v>155</v>
      </c>
      <c r="AE227" t="s">
        <v>155</v>
      </c>
      <c r="AF227" t="s">
        <v>155</v>
      </c>
      <c r="AG227" t="s">
        <v>155</v>
      </c>
      <c r="AH227" t="s">
        <v>155</v>
      </c>
    </row>
    <row r="228" spans="19:34" ht="16.2" customHeight="1" x14ac:dyDescent="0.3">
      <c r="T228" t="s">
        <v>172</v>
      </c>
      <c r="U228" t="s">
        <v>155</v>
      </c>
      <c r="V228" t="s">
        <v>155</v>
      </c>
      <c r="W228" t="s">
        <v>155</v>
      </c>
      <c r="X228" t="s">
        <v>155</v>
      </c>
      <c r="Y228" t="s">
        <v>155</v>
      </c>
      <c r="AC228" t="s">
        <v>172</v>
      </c>
      <c r="AD228" t="s">
        <v>155</v>
      </c>
      <c r="AE228" t="s">
        <v>155</v>
      </c>
      <c r="AF228" t="s">
        <v>155</v>
      </c>
      <c r="AG228" t="s">
        <v>155</v>
      </c>
      <c r="AH228" t="s">
        <v>155</v>
      </c>
    </row>
    <row r="230" spans="19:34" ht="16.2" customHeight="1" x14ac:dyDescent="0.3">
      <c r="S230" s="15" t="s">
        <v>117</v>
      </c>
      <c r="T230" t="s">
        <v>196</v>
      </c>
      <c r="AB230" s="15" t="s">
        <v>117</v>
      </c>
      <c r="AC230" t="s">
        <v>196</v>
      </c>
    </row>
    <row r="231" spans="19:34" ht="16.2" customHeight="1" x14ac:dyDescent="0.3">
      <c r="U231" t="s">
        <v>164</v>
      </c>
      <c r="V231" t="s">
        <v>165</v>
      </c>
      <c r="W231" t="s">
        <v>166</v>
      </c>
      <c r="X231" t="s">
        <v>167</v>
      </c>
      <c r="Y231" t="s">
        <v>168</v>
      </c>
      <c r="AD231" t="s">
        <v>164</v>
      </c>
      <c r="AE231" t="s">
        <v>165</v>
      </c>
      <c r="AF231" t="s">
        <v>166</v>
      </c>
      <c r="AG231" t="s">
        <v>167</v>
      </c>
      <c r="AH231" t="s">
        <v>168</v>
      </c>
    </row>
    <row r="232" spans="19:34" ht="16.2" customHeight="1" x14ac:dyDescent="0.3">
      <c r="T232" t="s">
        <v>154</v>
      </c>
      <c r="U232" t="s">
        <v>155</v>
      </c>
      <c r="V232" t="s">
        <v>155</v>
      </c>
      <c r="W232" t="s">
        <v>155</v>
      </c>
      <c r="X232" t="s">
        <v>155</v>
      </c>
      <c r="Y232" t="s">
        <v>155</v>
      </c>
      <c r="AC232" t="s">
        <v>154</v>
      </c>
      <c r="AD232" t="s">
        <v>155</v>
      </c>
      <c r="AE232" t="s">
        <v>155</v>
      </c>
      <c r="AF232" t="s">
        <v>155</v>
      </c>
      <c r="AG232" t="s">
        <v>155</v>
      </c>
      <c r="AH232" t="s">
        <v>155</v>
      </c>
    </row>
    <row r="233" spans="19:34" ht="16.2" customHeight="1" x14ac:dyDescent="0.3">
      <c r="T233" t="s">
        <v>156</v>
      </c>
      <c r="U233" t="s">
        <v>155</v>
      </c>
      <c r="V233" t="s">
        <v>155</v>
      </c>
      <c r="W233" t="s">
        <v>155</v>
      </c>
      <c r="X233" t="s">
        <v>155</v>
      </c>
      <c r="Y233" t="s">
        <v>155</v>
      </c>
      <c r="AC233" t="s">
        <v>156</v>
      </c>
      <c r="AD233" t="s">
        <v>155</v>
      </c>
      <c r="AE233" t="s">
        <v>155</v>
      </c>
      <c r="AF233" t="s">
        <v>155</v>
      </c>
      <c r="AG233" t="s">
        <v>155</v>
      </c>
      <c r="AH233" t="s">
        <v>155</v>
      </c>
    </row>
    <row r="234" spans="19:34" ht="16.2" customHeight="1" x14ac:dyDescent="0.3">
      <c r="T234" t="s">
        <v>157</v>
      </c>
      <c r="U234" t="s">
        <v>155</v>
      </c>
      <c r="V234" t="s">
        <v>155</v>
      </c>
      <c r="W234" t="s">
        <v>155</v>
      </c>
      <c r="X234" t="s">
        <v>155</v>
      </c>
      <c r="Y234" t="s">
        <v>155</v>
      </c>
      <c r="AC234" t="s">
        <v>157</v>
      </c>
      <c r="AD234" t="s">
        <v>155</v>
      </c>
      <c r="AE234" t="s">
        <v>155</v>
      </c>
      <c r="AF234" t="s">
        <v>155</v>
      </c>
      <c r="AG234" t="s">
        <v>155</v>
      </c>
      <c r="AH234" t="s">
        <v>155</v>
      </c>
    </row>
    <row r="235" spans="19:34" ht="16.2" customHeight="1" x14ac:dyDescent="0.3">
      <c r="T235" t="s">
        <v>158</v>
      </c>
      <c r="U235" t="s">
        <v>155</v>
      </c>
      <c r="V235" t="s">
        <v>155</v>
      </c>
      <c r="W235" t="s">
        <v>155</v>
      </c>
      <c r="X235" t="s">
        <v>155</v>
      </c>
      <c r="Y235" t="s">
        <v>155</v>
      </c>
      <c r="AC235" t="s">
        <v>158</v>
      </c>
      <c r="AD235" t="s">
        <v>155</v>
      </c>
      <c r="AE235" t="s">
        <v>155</v>
      </c>
      <c r="AF235" t="s">
        <v>155</v>
      </c>
      <c r="AG235" t="s">
        <v>155</v>
      </c>
      <c r="AH235" t="s">
        <v>155</v>
      </c>
    </row>
    <row r="236" spans="19:34" ht="16.2" customHeight="1" x14ac:dyDescent="0.3">
      <c r="T236" t="s">
        <v>159</v>
      </c>
      <c r="U236" t="s">
        <v>155</v>
      </c>
      <c r="V236" t="s">
        <v>155</v>
      </c>
      <c r="W236" t="s">
        <v>155</v>
      </c>
      <c r="X236" t="s">
        <v>155</v>
      </c>
      <c r="Y236" t="s">
        <v>155</v>
      </c>
      <c r="AC236" t="s">
        <v>159</v>
      </c>
      <c r="AD236" t="s">
        <v>155</v>
      </c>
      <c r="AE236" t="s">
        <v>155</v>
      </c>
      <c r="AF236" t="s">
        <v>155</v>
      </c>
      <c r="AG236" t="s">
        <v>155</v>
      </c>
      <c r="AH236" t="s">
        <v>155</v>
      </c>
    </row>
    <row r="237" spans="19:34" ht="16.2" customHeight="1" x14ac:dyDescent="0.3">
      <c r="T237" t="s">
        <v>160</v>
      </c>
      <c r="U237" t="s">
        <v>155</v>
      </c>
      <c r="V237" t="s">
        <v>155</v>
      </c>
      <c r="W237" t="s">
        <v>155</v>
      </c>
      <c r="X237" t="s">
        <v>155</v>
      </c>
      <c r="Y237" t="s">
        <v>155</v>
      </c>
      <c r="AC237" t="s">
        <v>160</v>
      </c>
      <c r="AD237" t="s">
        <v>155</v>
      </c>
      <c r="AE237" t="s">
        <v>155</v>
      </c>
      <c r="AF237" t="s">
        <v>155</v>
      </c>
      <c r="AG237" t="s">
        <v>155</v>
      </c>
      <c r="AH237" t="s">
        <v>155</v>
      </c>
    </row>
    <row r="238" spans="19:34" ht="16.2" customHeight="1" x14ac:dyDescent="0.3">
      <c r="T238" t="s">
        <v>169</v>
      </c>
      <c r="U238" t="s">
        <v>155</v>
      </c>
      <c r="V238" t="s">
        <v>155</v>
      </c>
      <c r="W238" t="s">
        <v>155</v>
      </c>
      <c r="X238" t="s">
        <v>155</v>
      </c>
      <c r="Y238" t="s">
        <v>9</v>
      </c>
      <c r="AC238" t="s">
        <v>169</v>
      </c>
      <c r="AD238" t="s">
        <v>155</v>
      </c>
      <c r="AE238" t="s">
        <v>155</v>
      </c>
      <c r="AF238" t="s">
        <v>155</v>
      </c>
      <c r="AG238" t="s">
        <v>155</v>
      </c>
      <c r="AH238" t="s">
        <v>9</v>
      </c>
    </row>
    <row r="239" spans="19:34" ht="16.2" customHeight="1" x14ac:dyDescent="0.3">
      <c r="T239" t="s">
        <v>170</v>
      </c>
      <c r="U239" t="s">
        <v>155</v>
      </c>
      <c r="V239" t="s">
        <v>155</v>
      </c>
      <c r="W239" t="s">
        <v>155</v>
      </c>
      <c r="X239" t="s">
        <v>155</v>
      </c>
      <c r="Y239" t="s">
        <v>9</v>
      </c>
      <c r="AC239" t="s">
        <v>170</v>
      </c>
      <c r="AD239" t="s">
        <v>155</v>
      </c>
      <c r="AE239" t="s">
        <v>155</v>
      </c>
      <c r="AF239" t="s">
        <v>155</v>
      </c>
      <c r="AG239" t="s">
        <v>155</v>
      </c>
      <c r="AH239" t="s">
        <v>9</v>
      </c>
    </row>
    <row r="240" spans="19:34" ht="16.2" customHeight="1" x14ac:dyDescent="0.3">
      <c r="T240" t="s">
        <v>171</v>
      </c>
      <c r="U240" t="s">
        <v>155</v>
      </c>
      <c r="V240" t="s">
        <v>155</v>
      </c>
      <c r="W240" t="s">
        <v>155</v>
      </c>
      <c r="X240" t="s">
        <v>155</v>
      </c>
      <c r="Y240" t="s">
        <v>9</v>
      </c>
      <c r="AC240" t="s">
        <v>171</v>
      </c>
      <c r="AD240" t="s">
        <v>155</v>
      </c>
      <c r="AE240" t="s">
        <v>155</v>
      </c>
      <c r="AF240" t="s">
        <v>155</v>
      </c>
      <c r="AG240" t="s">
        <v>155</v>
      </c>
      <c r="AH240" t="s">
        <v>9</v>
      </c>
    </row>
    <row r="241" spans="19:34" ht="16.2" customHeight="1" x14ac:dyDescent="0.3">
      <c r="T241" t="s">
        <v>172</v>
      </c>
      <c r="U241" t="s">
        <v>155</v>
      </c>
      <c r="V241" t="s">
        <v>155</v>
      </c>
      <c r="W241" t="s">
        <v>155</v>
      </c>
      <c r="X241" t="s">
        <v>155</v>
      </c>
      <c r="Y241" t="s">
        <v>9</v>
      </c>
      <c r="AC241" t="s">
        <v>172</v>
      </c>
      <c r="AD241" t="s">
        <v>155</v>
      </c>
      <c r="AE241" t="s">
        <v>155</v>
      </c>
      <c r="AF241" t="s">
        <v>155</v>
      </c>
      <c r="AG241" t="s">
        <v>155</v>
      </c>
      <c r="AH241" t="s">
        <v>9</v>
      </c>
    </row>
    <row r="243" spans="19:34" ht="16.2" customHeight="1" x14ac:dyDescent="0.3">
      <c r="S243" s="15" t="s">
        <v>118</v>
      </c>
      <c r="T243" t="s">
        <v>197</v>
      </c>
      <c r="AB243" s="15" t="s">
        <v>118</v>
      </c>
      <c r="AC243" t="s">
        <v>197</v>
      </c>
    </row>
    <row r="244" spans="19:34" ht="16.2" customHeight="1" x14ac:dyDescent="0.3">
      <c r="U244" t="s">
        <v>164</v>
      </c>
      <c r="V244" t="s">
        <v>165</v>
      </c>
      <c r="W244" t="s">
        <v>166</v>
      </c>
      <c r="X244" t="s">
        <v>167</v>
      </c>
      <c r="Y244" t="s">
        <v>168</v>
      </c>
      <c r="AD244" t="s">
        <v>164</v>
      </c>
      <c r="AE244" t="s">
        <v>165</v>
      </c>
      <c r="AF244" t="s">
        <v>166</v>
      </c>
      <c r="AG244" t="s">
        <v>167</v>
      </c>
      <c r="AH244" t="s">
        <v>168</v>
      </c>
    </row>
    <row r="245" spans="19:34" ht="16.2" customHeight="1" x14ac:dyDescent="0.3">
      <c r="T245" t="s">
        <v>154</v>
      </c>
      <c r="U245" t="s">
        <v>155</v>
      </c>
      <c r="V245" t="s">
        <v>155</v>
      </c>
      <c r="W245" t="s">
        <v>155</v>
      </c>
      <c r="X245" t="s">
        <v>155</v>
      </c>
      <c r="Y245" t="s">
        <v>155</v>
      </c>
      <c r="AC245" t="s">
        <v>154</v>
      </c>
      <c r="AD245" t="s">
        <v>155</v>
      </c>
      <c r="AE245" t="s">
        <v>155</v>
      </c>
      <c r="AF245" t="s">
        <v>155</v>
      </c>
      <c r="AG245" t="s">
        <v>155</v>
      </c>
      <c r="AH245" t="s">
        <v>155</v>
      </c>
    </row>
    <row r="246" spans="19:34" ht="16.2" customHeight="1" x14ac:dyDescent="0.3">
      <c r="T246" t="s">
        <v>156</v>
      </c>
      <c r="U246" t="s">
        <v>155</v>
      </c>
      <c r="V246" t="s">
        <v>155</v>
      </c>
      <c r="W246" t="s">
        <v>155</v>
      </c>
      <c r="X246" t="s">
        <v>155</v>
      </c>
      <c r="Y246" t="s">
        <v>155</v>
      </c>
      <c r="AC246" t="s">
        <v>156</v>
      </c>
      <c r="AD246" t="s">
        <v>155</v>
      </c>
      <c r="AE246" t="s">
        <v>155</v>
      </c>
      <c r="AF246" t="s">
        <v>155</v>
      </c>
      <c r="AG246" t="s">
        <v>155</v>
      </c>
      <c r="AH246" t="s">
        <v>155</v>
      </c>
    </row>
    <row r="247" spans="19:34" ht="16.2" customHeight="1" x14ac:dyDescent="0.3">
      <c r="T247" t="s">
        <v>157</v>
      </c>
      <c r="U247" t="s">
        <v>155</v>
      </c>
      <c r="V247" t="s">
        <v>155</v>
      </c>
      <c r="W247" t="s">
        <v>155</v>
      </c>
      <c r="X247" t="s">
        <v>155</v>
      </c>
      <c r="Y247" t="s">
        <v>155</v>
      </c>
      <c r="AC247" t="s">
        <v>157</v>
      </c>
      <c r="AD247" t="s">
        <v>155</v>
      </c>
      <c r="AE247" t="s">
        <v>155</v>
      </c>
      <c r="AF247" t="s">
        <v>155</v>
      </c>
      <c r="AG247" t="s">
        <v>155</v>
      </c>
      <c r="AH247" t="s">
        <v>155</v>
      </c>
    </row>
    <row r="248" spans="19:34" ht="16.2" customHeight="1" x14ac:dyDescent="0.3">
      <c r="T248" t="s">
        <v>158</v>
      </c>
      <c r="U248" t="s">
        <v>75</v>
      </c>
      <c r="V248" t="s">
        <v>155</v>
      </c>
      <c r="W248" t="s">
        <v>75</v>
      </c>
      <c r="X248" t="s">
        <v>155</v>
      </c>
      <c r="Y248" t="s">
        <v>155</v>
      </c>
      <c r="AC248" t="s">
        <v>158</v>
      </c>
      <c r="AD248" t="s">
        <v>75</v>
      </c>
      <c r="AE248" t="s">
        <v>155</v>
      </c>
      <c r="AF248" t="s">
        <v>75</v>
      </c>
      <c r="AG248" t="s">
        <v>155</v>
      </c>
      <c r="AH248" t="s">
        <v>155</v>
      </c>
    </row>
    <row r="249" spans="19:34" ht="16.2" customHeight="1" x14ac:dyDescent="0.3">
      <c r="T249" t="s">
        <v>159</v>
      </c>
      <c r="U249" t="s">
        <v>75</v>
      </c>
      <c r="V249" t="s">
        <v>155</v>
      </c>
      <c r="W249" t="s">
        <v>75</v>
      </c>
      <c r="X249" t="s">
        <v>155</v>
      </c>
      <c r="Y249" t="s">
        <v>155</v>
      </c>
      <c r="AC249" t="s">
        <v>159</v>
      </c>
      <c r="AD249" t="s">
        <v>75</v>
      </c>
      <c r="AE249" t="s">
        <v>155</v>
      </c>
      <c r="AF249" t="s">
        <v>75</v>
      </c>
      <c r="AG249" t="s">
        <v>155</v>
      </c>
      <c r="AH249" t="s">
        <v>155</v>
      </c>
    </row>
    <row r="250" spans="19:34" ht="16.2" customHeight="1" x14ac:dyDescent="0.3">
      <c r="T250" t="s">
        <v>160</v>
      </c>
      <c r="U250" t="s">
        <v>155</v>
      </c>
      <c r="V250" t="s">
        <v>155</v>
      </c>
      <c r="W250" t="s">
        <v>155</v>
      </c>
      <c r="X250" t="s">
        <v>155</v>
      </c>
      <c r="Y250" t="s">
        <v>155</v>
      </c>
      <c r="AC250" t="s">
        <v>160</v>
      </c>
      <c r="AD250" t="s">
        <v>155</v>
      </c>
      <c r="AE250" t="s">
        <v>155</v>
      </c>
      <c r="AF250" t="s">
        <v>155</v>
      </c>
      <c r="AG250" t="s">
        <v>155</v>
      </c>
      <c r="AH250" t="s">
        <v>155</v>
      </c>
    </row>
    <row r="251" spans="19:34" ht="16.2" customHeight="1" x14ac:dyDescent="0.3">
      <c r="T251" t="s">
        <v>169</v>
      </c>
      <c r="U251" t="s">
        <v>7</v>
      </c>
      <c r="V251" t="s">
        <v>155</v>
      </c>
      <c r="W251" t="s">
        <v>6</v>
      </c>
      <c r="X251" t="s">
        <v>155</v>
      </c>
      <c r="Y251" t="s">
        <v>155</v>
      </c>
      <c r="AC251" t="s">
        <v>169</v>
      </c>
      <c r="AD251" t="s">
        <v>6</v>
      </c>
      <c r="AE251" t="s">
        <v>155</v>
      </c>
      <c r="AF251" t="s">
        <v>6</v>
      </c>
      <c r="AG251" t="s">
        <v>155</v>
      </c>
      <c r="AH251" t="s">
        <v>155</v>
      </c>
    </row>
    <row r="252" spans="19:34" ht="16.2" customHeight="1" x14ac:dyDescent="0.3">
      <c r="T252" t="s">
        <v>170</v>
      </c>
      <c r="U252" t="s">
        <v>7</v>
      </c>
      <c r="V252" t="s">
        <v>155</v>
      </c>
      <c r="W252" t="s">
        <v>6</v>
      </c>
      <c r="X252" t="s">
        <v>155</v>
      </c>
      <c r="Y252" t="s">
        <v>155</v>
      </c>
      <c r="AC252" t="s">
        <v>170</v>
      </c>
      <c r="AD252" t="s">
        <v>6</v>
      </c>
      <c r="AE252" t="s">
        <v>155</v>
      </c>
      <c r="AF252" t="s">
        <v>6</v>
      </c>
      <c r="AG252" t="s">
        <v>155</v>
      </c>
      <c r="AH252" t="s">
        <v>155</v>
      </c>
    </row>
    <row r="253" spans="19:34" ht="16.2" customHeight="1" x14ac:dyDescent="0.3">
      <c r="T253" t="s">
        <v>171</v>
      </c>
      <c r="U253" t="s">
        <v>6</v>
      </c>
      <c r="V253" t="s">
        <v>155</v>
      </c>
      <c r="W253" t="s">
        <v>6</v>
      </c>
      <c r="X253" t="s">
        <v>155</v>
      </c>
      <c r="Y253" t="s">
        <v>155</v>
      </c>
      <c r="AC253" t="s">
        <v>171</v>
      </c>
      <c r="AD253" t="s">
        <v>6</v>
      </c>
      <c r="AE253" t="s">
        <v>155</v>
      </c>
      <c r="AF253" t="s">
        <v>7</v>
      </c>
      <c r="AG253" t="s">
        <v>155</v>
      </c>
      <c r="AH253" t="s">
        <v>155</v>
      </c>
    </row>
    <row r="254" spans="19:34" ht="16.2" customHeight="1" x14ac:dyDescent="0.3">
      <c r="T254" t="s">
        <v>172</v>
      </c>
      <c r="U254" t="s">
        <v>6</v>
      </c>
      <c r="V254" t="s">
        <v>155</v>
      </c>
      <c r="W254" t="s">
        <v>155</v>
      </c>
      <c r="X254" t="s">
        <v>155</v>
      </c>
      <c r="Y254" t="s">
        <v>155</v>
      </c>
      <c r="AC254" t="s">
        <v>172</v>
      </c>
      <c r="AD254" t="s">
        <v>155</v>
      </c>
      <c r="AE254" t="s">
        <v>155</v>
      </c>
      <c r="AF254" t="s">
        <v>7</v>
      </c>
      <c r="AG254" t="s">
        <v>155</v>
      </c>
      <c r="AH254" t="s">
        <v>155</v>
      </c>
    </row>
    <row r="256" spans="19:34" ht="16.2" customHeight="1" x14ac:dyDescent="0.3">
      <c r="S256" s="15" t="s">
        <v>119</v>
      </c>
      <c r="T256" t="s">
        <v>198</v>
      </c>
      <c r="AB256" s="15" t="s">
        <v>119</v>
      </c>
      <c r="AC256" t="s">
        <v>198</v>
      </c>
    </row>
    <row r="257" spans="19:34" ht="16.2" customHeight="1" x14ac:dyDescent="0.3">
      <c r="U257" t="s">
        <v>164</v>
      </c>
      <c r="V257" t="s">
        <v>165</v>
      </c>
      <c r="W257" t="s">
        <v>166</v>
      </c>
      <c r="X257" t="s">
        <v>167</v>
      </c>
      <c r="Y257" t="s">
        <v>168</v>
      </c>
      <c r="AD257" t="s">
        <v>164</v>
      </c>
      <c r="AE257" t="s">
        <v>165</v>
      </c>
      <c r="AF257" t="s">
        <v>166</v>
      </c>
      <c r="AG257" t="s">
        <v>167</v>
      </c>
      <c r="AH257" t="s">
        <v>168</v>
      </c>
    </row>
    <row r="258" spans="19:34" ht="16.2" customHeight="1" x14ac:dyDescent="0.3">
      <c r="T258" t="s">
        <v>154</v>
      </c>
      <c r="U258" t="s">
        <v>155</v>
      </c>
      <c r="V258" t="s">
        <v>155</v>
      </c>
      <c r="W258" t="s">
        <v>155</v>
      </c>
      <c r="X258" t="s">
        <v>155</v>
      </c>
      <c r="Y258" t="s">
        <v>155</v>
      </c>
      <c r="AC258" t="s">
        <v>154</v>
      </c>
      <c r="AD258" t="s">
        <v>155</v>
      </c>
      <c r="AE258" t="s">
        <v>155</v>
      </c>
      <c r="AF258" t="s">
        <v>155</v>
      </c>
      <c r="AG258" t="s">
        <v>155</v>
      </c>
      <c r="AH258" t="s">
        <v>155</v>
      </c>
    </row>
    <row r="259" spans="19:34" ht="16.2" customHeight="1" x14ac:dyDescent="0.3">
      <c r="T259" t="s">
        <v>156</v>
      </c>
      <c r="U259" t="s">
        <v>155</v>
      </c>
      <c r="V259" t="s">
        <v>155</v>
      </c>
      <c r="W259" t="s">
        <v>155</v>
      </c>
      <c r="X259" t="s">
        <v>155</v>
      </c>
      <c r="Y259" t="s">
        <v>155</v>
      </c>
      <c r="AC259" t="s">
        <v>156</v>
      </c>
      <c r="AD259" t="s">
        <v>155</v>
      </c>
      <c r="AE259" t="s">
        <v>155</v>
      </c>
      <c r="AF259" t="s">
        <v>155</v>
      </c>
      <c r="AG259" t="s">
        <v>155</v>
      </c>
      <c r="AH259" t="s">
        <v>155</v>
      </c>
    </row>
    <row r="260" spans="19:34" ht="16.2" customHeight="1" x14ac:dyDescent="0.3">
      <c r="T260" t="s">
        <v>157</v>
      </c>
      <c r="U260" t="s">
        <v>155</v>
      </c>
      <c r="V260" t="s">
        <v>155</v>
      </c>
      <c r="W260" t="s">
        <v>155</v>
      </c>
      <c r="X260" t="s">
        <v>155</v>
      </c>
      <c r="Y260" t="s">
        <v>155</v>
      </c>
      <c r="AC260" t="s">
        <v>157</v>
      </c>
      <c r="AD260" t="s">
        <v>155</v>
      </c>
      <c r="AE260" t="s">
        <v>155</v>
      </c>
      <c r="AF260" t="s">
        <v>155</v>
      </c>
      <c r="AG260" t="s">
        <v>155</v>
      </c>
      <c r="AH260" t="s">
        <v>155</v>
      </c>
    </row>
    <row r="261" spans="19:34" ht="16.2" customHeight="1" x14ac:dyDescent="0.3">
      <c r="T261" t="s">
        <v>158</v>
      </c>
      <c r="U261" t="s">
        <v>155</v>
      </c>
      <c r="V261" t="s">
        <v>155</v>
      </c>
      <c r="W261" t="s">
        <v>155</v>
      </c>
      <c r="X261" t="s">
        <v>76</v>
      </c>
      <c r="Y261" t="s">
        <v>155</v>
      </c>
      <c r="AC261" t="s">
        <v>158</v>
      </c>
      <c r="AD261" t="s">
        <v>155</v>
      </c>
      <c r="AE261" t="s">
        <v>155</v>
      </c>
      <c r="AF261" t="s">
        <v>155</v>
      </c>
      <c r="AG261" t="s">
        <v>76</v>
      </c>
      <c r="AH261" t="s">
        <v>155</v>
      </c>
    </row>
    <row r="262" spans="19:34" ht="16.2" customHeight="1" x14ac:dyDescent="0.3">
      <c r="T262" t="s">
        <v>159</v>
      </c>
      <c r="U262" t="s">
        <v>155</v>
      </c>
      <c r="V262" t="s">
        <v>155</v>
      </c>
      <c r="W262" t="s">
        <v>155</v>
      </c>
      <c r="X262" t="s">
        <v>76</v>
      </c>
      <c r="Y262" t="s">
        <v>76</v>
      </c>
      <c r="AC262" t="s">
        <v>159</v>
      </c>
      <c r="AD262" t="s">
        <v>155</v>
      </c>
      <c r="AE262" t="s">
        <v>155</v>
      </c>
      <c r="AF262" t="s">
        <v>76</v>
      </c>
      <c r="AG262" t="s">
        <v>76</v>
      </c>
      <c r="AH262" t="s">
        <v>155</v>
      </c>
    </row>
    <row r="263" spans="19:34" ht="16.2" customHeight="1" x14ac:dyDescent="0.3">
      <c r="T263" t="s">
        <v>160</v>
      </c>
      <c r="U263" t="s">
        <v>155</v>
      </c>
      <c r="V263" t="s">
        <v>155</v>
      </c>
      <c r="W263" t="s">
        <v>155</v>
      </c>
      <c r="X263" t="s">
        <v>76</v>
      </c>
      <c r="Y263" t="s">
        <v>76</v>
      </c>
      <c r="AC263" t="s">
        <v>160</v>
      </c>
      <c r="AD263" t="s">
        <v>155</v>
      </c>
      <c r="AE263" t="s">
        <v>155</v>
      </c>
      <c r="AF263" t="s">
        <v>76</v>
      </c>
      <c r="AG263" t="s">
        <v>76</v>
      </c>
      <c r="AH263" t="s">
        <v>155</v>
      </c>
    </row>
    <row r="264" spans="19:34" ht="16.2" customHeight="1" x14ac:dyDescent="0.3">
      <c r="T264" t="s">
        <v>169</v>
      </c>
      <c r="U264" t="s">
        <v>155</v>
      </c>
      <c r="V264" t="s">
        <v>155</v>
      </c>
      <c r="W264" t="s">
        <v>155</v>
      </c>
      <c r="X264" t="s">
        <v>155</v>
      </c>
      <c r="Y264" t="s">
        <v>155</v>
      </c>
      <c r="AC264" t="s">
        <v>169</v>
      </c>
      <c r="AD264" t="s">
        <v>155</v>
      </c>
      <c r="AE264" t="s">
        <v>155</v>
      </c>
      <c r="AF264" t="s">
        <v>155</v>
      </c>
      <c r="AG264" t="s">
        <v>155</v>
      </c>
      <c r="AH264" t="s">
        <v>155</v>
      </c>
    </row>
    <row r="265" spans="19:34" ht="16.2" customHeight="1" x14ac:dyDescent="0.3">
      <c r="T265" t="s">
        <v>170</v>
      </c>
      <c r="U265" t="s">
        <v>155</v>
      </c>
      <c r="V265" t="s">
        <v>155</v>
      </c>
      <c r="W265" t="s">
        <v>155</v>
      </c>
      <c r="X265" t="s">
        <v>155</v>
      </c>
      <c r="Y265" t="s">
        <v>155</v>
      </c>
      <c r="AC265" t="s">
        <v>170</v>
      </c>
      <c r="AD265" t="s">
        <v>155</v>
      </c>
      <c r="AE265" t="s">
        <v>155</v>
      </c>
      <c r="AF265" t="s">
        <v>155</v>
      </c>
      <c r="AG265" t="s">
        <v>155</v>
      </c>
      <c r="AH265" t="s">
        <v>155</v>
      </c>
    </row>
    <row r="266" spans="19:34" ht="16.2" customHeight="1" x14ac:dyDescent="0.3">
      <c r="T266" t="s">
        <v>171</v>
      </c>
      <c r="U266" t="s">
        <v>155</v>
      </c>
      <c r="V266" t="s">
        <v>155</v>
      </c>
      <c r="W266" t="s">
        <v>155</v>
      </c>
      <c r="X266" t="s">
        <v>155</v>
      </c>
      <c r="Y266" t="s">
        <v>155</v>
      </c>
      <c r="AC266" t="s">
        <v>171</v>
      </c>
      <c r="AD266" t="s">
        <v>155</v>
      </c>
      <c r="AE266" t="s">
        <v>155</v>
      </c>
      <c r="AF266" t="s">
        <v>155</v>
      </c>
      <c r="AG266" t="s">
        <v>155</v>
      </c>
      <c r="AH266" t="s">
        <v>155</v>
      </c>
    </row>
    <row r="267" spans="19:34" ht="16.2" customHeight="1" x14ac:dyDescent="0.3">
      <c r="T267" t="s">
        <v>172</v>
      </c>
      <c r="U267" t="s">
        <v>155</v>
      </c>
      <c r="V267" t="s">
        <v>155</v>
      </c>
      <c r="W267" t="s">
        <v>155</v>
      </c>
      <c r="X267" t="s">
        <v>155</v>
      </c>
      <c r="Y267" t="s">
        <v>155</v>
      </c>
      <c r="AC267" t="s">
        <v>172</v>
      </c>
      <c r="AD267" t="s">
        <v>155</v>
      </c>
      <c r="AE267" t="s">
        <v>155</v>
      </c>
      <c r="AF267" t="s">
        <v>155</v>
      </c>
      <c r="AG267" t="s">
        <v>155</v>
      </c>
      <c r="AH267" t="s">
        <v>155</v>
      </c>
    </row>
    <row r="269" spans="19:34" ht="16.2" customHeight="1" x14ac:dyDescent="0.3">
      <c r="S269" s="15" t="s">
        <v>120</v>
      </c>
      <c r="T269" t="s">
        <v>199</v>
      </c>
      <c r="AB269" s="15" t="s">
        <v>120</v>
      </c>
      <c r="AC269" t="s">
        <v>199</v>
      </c>
    </row>
    <row r="270" spans="19:34" ht="16.2" customHeight="1" x14ac:dyDescent="0.3">
      <c r="U270" t="s">
        <v>164</v>
      </c>
      <c r="V270" t="s">
        <v>165</v>
      </c>
      <c r="W270" t="s">
        <v>166</v>
      </c>
      <c r="X270" t="s">
        <v>167</v>
      </c>
      <c r="Y270" t="s">
        <v>168</v>
      </c>
      <c r="AD270" t="s">
        <v>164</v>
      </c>
      <c r="AE270" t="s">
        <v>165</v>
      </c>
      <c r="AF270" t="s">
        <v>166</v>
      </c>
      <c r="AG270" t="s">
        <v>167</v>
      </c>
      <c r="AH270" t="s">
        <v>168</v>
      </c>
    </row>
    <row r="271" spans="19:34" ht="16.2" customHeight="1" x14ac:dyDescent="0.3">
      <c r="T271" t="s">
        <v>154</v>
      </c>
      <c r="U271" t="s">
        <v>155</v>
      </c>
      <c r="V271" t="s">
        <v>155</v>
      </c>
      <c r="W271" t="s">
        <v>155</v>
      </c>
      <c r="X271" t="s">
        <v>155</v>
      </c>
      <c r="Y271" t="s">
        <v>155</v>
      </c>
      <c r="AC271" t="s">
        <v>154</v>
      </c>
      <c r="AD271" t="s">
        <v>155</v>
      </c>
      <c r="AE271" t="s">
        <v>155</v>
      </c>
      <c r="AF271" t="s">
        <v>155</v>
      </c>
      <c r="AG271" t="s">
        <v>155</v>
      </c>
      <c r="AH271" t="s">
        <v>155</v>
      </c>
    </row>
    <row r="272" spans="19:34" ht="16.2" customHeight="1" x14ac:dyDescent="0.3">
      <c r="T272" t="s">
        <v>156</v>
      </c>
      <c r="U272" t="s">
        <v>155</v>
      </c>
      <c r="V272" t="s">
        <v>155</v>
      </c>
      <c r="W272" t="s">
        <v>155</v>
      </c>
      <c r="X272" t="s">
        <v>155</v>
      </c>
      <c r="Y272" t="s">
        <v>155</v>
      </c>
      <c r="AC272" t="s">
        <v>156</v>
      </c>
      <c r="AD272" t="s">
        <v>155</v>
      </c>
      <c r="AE272" t="s">
        <v>155</v>
      </c>
      <c r="AF272" t="s">
        <v>155</v>
      </c>
      <c r="AG272" t="s">
        <v>155</v>
      </c>
      <c r="AH272" t="s">
        <v>155</v>
      </c>
    </row>
    <row r="273" spans="19:34" ht="16.2" customHeight="1" x14ac:dyDescent="0.3">
      <c r="T273" t="s">
        <v>157</v>
      </c>
      <c r="U273" t="s">
        <v>155</v>
      </c>
      <c r="V273" t="s">
        <v>155</v>
      </c>
      <c r="W273" t="s">
        <v>155</v>
      </c>
      <c r="X273" t="s">
        <v>155</v>
      </c>
      <c r="Y273" t="s">
        <v>155</v>
      </c>
      <c r="AC273" t="s">
        <v>157</v>
      </c>
      <c r="AD273" t="s">
        <v>155</v>
      </c>
      <c r="AE273" t="s">
        <v>155</v>
      </c>
      <c r="AF273" t="s">
        <v>155</v>
      </c>
      <c r="AG273" t="s">
        <v>155</v>
      </c>
      <c r="AH273" t="s">
        <v>155</v>
      </c>
    </row>
    <row r="274" spans="19:34" ht="16.2" customHeight="1" x14ac:dyDescent="0.3">
      <c r="T274" t="s">
        <v>158</v>
      </c>
      <c r="U274" t="s">
        <v>155</v>
      </c>
      <c r="V274" t="s">
        <v>155</v>
      </c>
      <c r="W274" t="s">
        <v>155</v>
      </c>
      <c r="X274" t="s">
        <v>78</v>
      </c>
      <c r="Y274" t="s">
        <v>155</v>
      </c>
      <c r="AC274" t="s">
        <v>158</v>
      </c>
      <c r="AD274" t="s">
        <v>155</v>
      </c>
      <c r="AE274" t="s">
        <v>155</v>
      </c>
      <c r="AF274" t="s">
        <v>155</v>
      </c>
      <c r="AG274" t="s">
        <v>78</v>
      </c>
      <c r="AH274" t="s">
        <v>155</v>
      </c>
    </row>
    <row r="275" spans="19:34" ht="16.2" customHeight="1" x14ac:dyDescent="0.3">
      <c r="T275" t="s">
        <v>159</v>
      </c>
      <c r="U275" t="s">
        <v>155</v>
      </c>
      <c r="V275" t="s">
        <v>78</v>
      </c>
      <c r="W275" t="s">
        <v>155</v>
      </c>
      <c r="X275" t="s">
        <v>78</v>
      </c>
      <c r="Y275" t="s">
        <v>155</v>
      </c>
      <c r="AC275" t="s">
        <v>159</v>
      </c>
      <c r="AD275" t="s">
        <v>155</v>
      </c>
      <c r="AE275" t="s">
        <v>78</v>
      </c>
      <c r="AF275" t="s">
        <v>155</v>
      </c>
      <c r="AG275" t="s">
        <v>78</v>
      </c>
      <c r="AH275" t="s">
        <v>155</v>
      </c>
    </row>
    <row r="276" spans="19:34" ht="16.2" customHeight="1" x14ac:dyDescent="0.3">
      <c r="T276" t="s">
        <v>160</v>
      </c>
      <c r="U276" t="s">
        <v>155</v>
      </c>
      <c r="V276" t="s">
        <v>78</v>
      </c>
      <c r="W276" t="s">
        <v>155</v>
      </c>
      <c r="X276" t="s">
        <v>155</v>
      </c>
      <c r="Y276" t="s">
        <v>155</v>
      </c>
      <c r="AC276" t="s">
        <v>160</v>
      </c>
      <c r="AD276" t="s">
        <v>155</v>
      </c>
      <c r="AE276" t="s">
        <v>78</v>
      </c>
      <c r="AF276" t="s">
        <v>155</v>
      </c>
      <c r="AG276" t="s">
        <v>155</v>
      </c>
      <c r="AH276" t="s">
        <v>155</v>
      </c>
    </row>
    <row r="277" spans="19:34" ht="16.2" customHeight="1" x14ac:dyDescent="0.3">
      <c r="T277" t="s">
        <v>169</v>
      </c>
      <c r="U277" t="s">
        <v>155</v>
      </c>
      <c r="V277" t="s">
        <v>155</v>
      </c>
      <c r="W277" t="s">
        <v>155</v>
      </c>
      <c r="X277" t="s">
        <v>155</v>
      </c>
      <c r="Y277" t="s">
        <v>155</v>
      </c>
      <c r="AC277" t="s">
        <v>169</v>
      </c>
      <c r="AD277" t="s">
        <v>155</v>
      </c>
      <c r="AE277" t="s">
        <v>155</v>
      </c>
      <c r="AF277" t="s">
        <v>155</v>
      </c>
      <c r="AG277" t="s">
        <v>155</v>
      </c>
      <c r="AH277" t="s">
        <v>155</v>
      </c>
    </row>
    <row r="278" spans="19:34" ht="16.2" customHeight="1" x14ac:dyDescent="0.3">
      <c r="T278" t="s">
        <v>170</v>
      </c>
      <c r="U278" t="s">
        <v>155</v>
      </c>
      <c r="V278" t="s">
        <v>155</v>
      </c>
      <c r="W278" t="s">
        <v>155</v>
      </c>
      <c r="X278" t="s">
        <v>155</v>
      </c>
      <c r="Y278" t="s">
        <v>155</v>
      </c>
      <c r="AC278" t="s">
        <v>170</v>
      </c>
      <c r="AD278" t="s">
        <v>155</v>
      </c>
      <c r="AE278" t="s">
        <v>155</v>
      </c>
      <c r="AF278" t="s">
        <v>155</v>
      </c>
      <c r="AG278" t="s">
        <v>155</v>
      </c>
      <c r="AH278" t="s">
        <v>155</v>
      </c>
    </row>
    <row r="279" spans="19:34" ht="16.2" customHeight="1" x14ac:dyDescent="0.3">
      <c r="T279" t="s">
        <v>171</v>
      </c>
      <c r="U279" t="s">
        <v>155</v>
      </c>
      <c r="V279" t="s">
        <v>155</v>
      </c>
      <c r="W279" t="s">
        <v>155</v>
      </c>
      <c r="X279" t="s">
        <v>155</v>
      </c>
      <c r="Y279" t="s">
        <v>155</v>
      </c>
      <c r="AC279" t="s">
        <v>171</v>
      </c>
      <c r="AD279" t="s">
        <v>155</v>
      </c>
      <c r="AE279" t="s">
        <v>155</v>
      </c>
      <c r="AF279" t="s">
        <v>155</v>
      </c>
      <c r="AG279" t="s">
        <v>155</v>
      </c>
      <c r="AH279" t="s">
        <v>155</v>
      </c>
    </row>
    <row r="280" spans="19:34" ht="16.2" customHeight="1" x14ac:dyDescent="0.3">
      <c r="T280" t="s">
        <v>172</v>
      </c>
      <c r="U280" t="s">
        <v>155</v>
      </c>
      <c r="V280" t="s">
        <v>155</v>
      </c>
      <c r="W280" t="s">
        <v>155</v>
      </c>
      <c r="X280" t="s">
        <v>155</v>
      </c>
      <c r="Y280" t="s">
        <v>155</v>
      </c>
      <c r="AC280" t="s">
        <v>172</v>
      </c>
      <c r="AD280" t="s">
        <v>155</v>
      </c>
      <c r="AE280" t="s">
        <v>155</v>
      </c>
      <c r="AF280" t="s">
        <v>155</v>
      </c>
      <c r="AG280" t="s">
        <v>155</v>
      </c>
      <c r="AH280" t="s">
        <v>155</v>
      </c>
    </row>
    <row r="282" spans="19:34" ht="16.2" customHeight="1" x14ac:dyDescent="0.3">
      <c r="S282" s="15" t="s">
        <v>121</v>
      </c>
      <c r="T282" t="s">
        <v>200</v>
      </c>
      <c r="AB282" s="15" t="s">
        <v>121</v>
      </c>
      <c r="AC282" t="s">
        <v>200</v>
      </c>
    </row>
    <row r="283" spans="19:34" ht="16.2" customHeight="1" x14ac:dyDescent="0.3">
      <c r="U283" t="s">
        <v>164</v>
      </c>
      <c r="V283" t="s">
        <v>165</v>
      </c>
      <c r="W283" t="s">
        <v>166</v>
      </c>
      <c r="X283" t="s">
        <v>167</v>
      </c>
      <c r="Y283" t="s">
        <v>168</v>
      </c>
      <c r="AD283" t="s">
        <v>164</v>
      </c>
      <c r="AE283" t="s">
        <v>165</v>
      </c>
      <c r="AF283" t="s">
        <v>166</v>
      </c>
      <c r="AG283" t="s">
        <v>167</v>
      </c>
      <c r="AH283" t="s">
        <v>168</v>
      </c>
    </row>
    <row r="284" spans="19:34" ht="16.2" customHeight="1" x14ac:dyDescent="0.3">
      <c r="T284" t="s">
        <v>154</v>
      </c>
      <c r="U284" t="s">
        <v>78</v>
      </c>
      <c r="V284" t="s">
        <v>155</v>
      </c>
      <c r="W284" t="s">
        <v>155</v>
      </c>
      <c r="X284" t="s">
        <v>155</v>
      </c>
      <c r="Y284" t="s">
        <v>78</v>
      </c>
      <c r="AC284" t="s">
        <v>154</v>
      </c>
      <c r="AD284" t="s">
        <v>78</v>
      </c>
      <c r="AE284" t="s">
        <v>155</v>
      </c>
      <c r="AF284" t="s">
        <v>155</v>
      </c>
      <c r="AG284" t="s">
        <v>155</v>
      </c>
      <c r="AH284" t="s">
        <v>78</v>
      </c>
    </row>
    <row r="285" spans="19:34" ht="16.2" customHeight="1" x14ac:dyDescent="0.3">
      <c r="T285" t="s">
        <v>156</v>
      </c>
      <c r="U285" t="s">
        <v>78</v>
      </c>
      <c r="V285" t="s">
        <v>155</v>
      </c>
      <c r="W285" t="s">
        <v>155</v>
      </c>
      <c r="X285" t="s">
        <v>155</v>
      </c>
      <c r="Y285" t="s">
        <v>78</v>
      </c>
      <c r="AC285" t="s">
        <v>156</v>
      </c>
      <c r="AD285" t="s">
        <v>78</v>
      </c>
      <c r="AE285" t="s">
        <v>155</v>
      </c>
      <c r="AF285" t="s">
        <v>155</v>
      </c>
      <c r="AG285" t="s">
        <v>155</v>
      </c>
      <c r="AH285" t="s">
        <v>78</v>
      </c>
    </row>
    <row r="286" spans="19:34" ht="16.2" customHeight="1" x14ac:dyDescent="0.3">
      <c r="T286" t="s">
        <v>157</v>
      </c>
      <c r="U286" t="s">
        <v>155</v>
      </c>
      <c r="V286" t="s">
        <v>155</v>
      </c>
      <c r="W286" t="s">
        <v>155</v>
      </c>
      <c r="X286" t="s">
        <v>155</v>
      </c>
      <c r="Y286" t="s">
        <v>155</v>
      </c>
      <c r="AC286" t="s">
        <v>157</v>
      </c>
      <c r="AD286" t="s">
        <v>155</v>
      </c>
      <c r="AE286" t="s">
        <v>155</v>
      </c>
      <c r="AF286" t="s">
        <v>155</v>
      </c>
      <c r="AG286" t="s">
        <v>155</v>
      </c>
      <c r="AH286" t="s">
        <v>155</v>
      </c>
    </row>
    <row r="287" spans="19:34" ht="16.2" customHeight="1" x14ac:dyDescent="0.3">
      <c r="T287" t="s">
        <v>158</v>
      </c>
      <c r="U287" t="s">
        <v>155</v>
      </c>
      <c r="V287" t="s">
        <v>155</v>
      </c>
      <c r="W287" t="s">
        <v>155</v>
      </c>
      <c r="X287" t="s">
        <v>155</v>
      </c>
      <c r="Y287" t="s">
        <v>155</v>
      </c>
      <c r="AC287" t="s">
        <v>158</v>
      </c>
      <c r="AD287" t="s">
        <v>155</v>
      </c>
      <c r="AE287" t="s">
        <v>155</v>
      </c>
      <c r="AF287" t="s">
        <v>155</v>
      </c>
      <c r="AG287" t="s">
        <v>155</v>
      </c>
      <c r="AH287" t="s">
        <v>155</v>
      </c>
    </row>
    <row r="288" spans="19:34" ht="16.2" customHeight="1" x14ac:dyDescent="0.3">
      <c r="T288" t="s">
        <v>159</v>
      </c>
      <c r="U288" t="s">
        <v>155</v>
      </c>
      <c r="V288" t="s">
        <v>155</v>
      </c>
      <c r="W288" t="s">
        <v>155</v>
      </c>
      <c r="X288" t="s">
        <v>155</v>
      </c>
      <c r="Y288" t="s">
        <v>155</v>
      </c>
      <c r="AC288" t="s">
        <v>159</v>
      </c>
      <c r="AD288" t="s">
        <v>155</v>
      </c>
      <c r="AE288" t="s">
        <v>155</v>
      </c>
      <c r="AF288" t="s">
        <v>155</v>
      </c>
      <c r="AG288" t="s">
        <v>155</v>
      </c>
      <c r="AH288" t="s">
        <v>155</v>
      </c>
    </row>
    <row r="289" spans="19:34" ht="16.2" customHeight="1" x14ac:dyDescent="0.3">
      <c r="T289" t="s">
        <v>160</v>
      </c>
      <c r="U289" t="s">
        <v>155</v>
      </c>
      <c r="V289" t="s">
        <v>155</v>
      </c>
      <c r="W289" t="s">
        <v>155</v>
      </c>
      <c r="X289" t="s">
        <v>155</v>
      </c>
      <c r="Y289" t="s">
        <v>155</v>
      </c>
      <c r="AC289" t="s">
        <v>160</v>
      </c>
      <c r="AD289" t="s">
        <v>155</v>
      </c>
      <c r="AE289" t="s">
        <v>155</v>
      </c>
      <c r="AF289" t="s">
        <v>155</v>
      </c>
      <c r="AG289" t="s">
        <v>155</v>
      </c>
      <c r="AH289" t="s">
        <v>155</v>
      </c>
    </row>
    <row r="290" spans="19:34" ht="16.2" customHeight="1" x14ac:dyDescent="0.3">
      <c r="T290" t="s">
        <v>169</v>
      </c>
      <c r="U290" t="s">
        <v>155</v>
      </c>
      <c r="V290" t="s">
        <v>155</v>
      </c>
      <c r="W290" t="s">
        <v>155</v>
      </c>
      <c r="X290" t="s">
        <v>155</v>
      </c>
      <c r="Y290" t="s">
        <v>155</v>
      </c>
      <c r="AC290" t="s">
        <v>169</v>
      </c>
      <c r="AD290" t="s">
        <v>155</v>
      </c>
      <c r="AE290" t="s">
        <v>155</v>
      </c>
      <c r="AF290" t="s">
        <v>155</v>
      </c>
      <c r="AG290" t="s">
        <v>155</v>
      </c>
      <c r="AH290" t="s">
        <v>155</v>
      </c>
    </row>
    <row r="291" spans="19:34" ht="16.2" customHeight="1" x14ac:dyDescent="0.3">
      <c r="T291" t="s">
        <v>170</v>
      </c>
      <c r="U291" t="s">
        <v>155</v>
      </c>
      <c r="V291" t="s">
        <v>155</v>
      </c>
      <c r="W291" t="s">
        <v>155</v>
      </c>
      <c r="X291" t="s">
        <v>155</v>
      </c>
      <c r="Y291" t="s">
        <v>155</v>
      </c>
      <c r="AC291" t="s">
        <v>170</v>
      </c>
      <c r="AD291" t="s">
        <v>155</v>
      </c>
      <c r="AE291" t="s">
        <v>155</v>
      </c>
      <c r="AF291" t="s">
        <v>155</v>
      </c>
      <c r="AG291" t="s">
        <v>155</v>
      </c>
      <c r="AH291" t="s">
        <v>155</v>
      </c>
    </row>
    <row r="292" spans="19:34" ht="16.2" customHeight="1" x14ac:dyDescent="0.3">
      <c r="T292" t="s">
        <v>171</v>
      </c>
      <c r="U292" t="s">
        <v>155</v>
      </c>
      <c r="V292" t="s">
        <v>155</v>
      </c>
      <c r="W292" t="s">
        <v>155</v>
      </c>
      <c r="X292" t="s">
        <v>155</v>
      </c>
      <c r="Y292" t="s">
        <v>155</v>
      </c>
      <c r="AC292" t="s">
        <v>171</v>
      </c>
      <c r="AD292" t="s">
        <v>155</v>
      </c>
      <c r="AE292" t="s">
        <v>155</v>
      </c>
      <c r="AF292" t="s">
        <v>155</v>
      </c>
      <c r="AG292" t="s">
        <v>155</v>
      </c>
      <c r="AH292" t="s">
        <v>155</v>
      </c>
    </row>
    <row r="293" spans="19:34" ht="16.2" customHeight="1" x14ac:dyDescent="0.3">
      <c r="T293" t="s">
        <v>172</v>
      </c>
      <c r="U293" t="s">
        <v>155</v>
      </c>
      <c r="V293" t="s">
        <v>155</v>
      </c>
      <c r="W293" t="s">
        <v>155</v>
      </c>
      <c r="X293" t="s">
        <v>155</v>
      </c>
      <c r="Y293" t="s">
        <v>155</v>
      </c>
      <c r="AC293" t="s">
        <v>172</v>
      </c>
      <c r="AD293" t="s">
        <v>155</v>
      </c>
      <c r="AE293" t="s">
        <v>155</v>
      </c>
      <c r="AF293" t="s">
        <v>155</v>
      </c>
      <c r="AG293" t="s">
        <v>155</v>
      </c>
      <c r="AH293" t="s">
        <v>155</v>
      </c>
    </row>
    <row r="295" spans="19:34" ht="16.2" customHeight="1" x14ac:dyDescent="0.3">
      <c r="S295" s="15" t="s">
        <v>122</v>
      </c>
      <c r="T295" t="s">
        <v>201</v>
      </c>
      <c r="AB295" s="15" t="s">
        <v>122</v>
      </c>
      <c r="AC295" t="s">
        <v>201</v>
      </c>
    </row>
    <row r="296" spans="19:34" ht="16.2" customHeight="1" x14ac:dyDescent="0.3">
      <c r="U296" t="s">
        <v>164</v>
      </c>
      <c r="V296" t="s">
        <v>165</v>
      </c>
      <c r="W296" t="s">
        <v>166</v>
      </c>
      <c r="X296" t="s">
        <v>167</v>
      </c>
      <c r="Y296" t="s">
        <v>168</v>
      </c>
      <c r="AD296" t="s">
        <v>164</v>
      </c>
      <c r="AE296" t="s">
        <v>165</v>
      </c>
      <c r="AF296" t="s">
        <v>166</v>
      </c>
      <c r="AG296" t="s">
        <v>167</v>
      </c>
      <c r="AH296" t="s">
        <v>168</v>
      </c>
    </row>
    <row r="297" spans="19:34" ht="16.2" customHeight="1" x14ac:dyDescent="0.3">
      <c r="T297" t="s">
        <v>154</v>
      </c>
      <c r="U297" t="s">
        <v>155</v>
      </c>
      <c r="V297" t="s">
        <v>79</v>
      </c>
      <c r="W297" t="s">
        <v>79</v>
      </c>
      <c r="X297" t="s">
        <v>79</v>
      </c>
      <c r="Y297" t="s">
        <v>79</v>
      </c>
      <c r="AC297" t="s">
        <v>154</v>
      </c>
      <c r="AD297" t="s">
        <v>155</v>
      </c>
      <c r="AE297" t="s">
        <v>79</v>
      </c>
      <c r="AF297" t="s">
        <v>79</v>
      </c>
      <c r="AG297" t="s">
        <v>79</v>
      </c>
      <c r="AH297" t="s">
        <v>79</v>
      </c>
    </row>
    <row r="298" spans="19:34" ht="16.2" customHeight="1" x14ac:dyDescent="0.3">
      <c r="T298" t="s">
        <v>156</v>
      </c>
      <c r="U298" t="s">
        <v>155</v>
      </c>
      <c r="V298" t="s">
        <v>79</v>
      </c>
      <c r="W298" t="s">
        <v>79</v>
      </c>
      <c r="X298" t="s">
        <v>79</v>
      </c>
      <c r="Y298" t="s">
        <v>79</v>
      </c>
      <c r="AC298" t="s">
        <v>156</v>
      </c>
      <c r="AD298" t="s">
        <v>155</v>
      </c>
      <c r="AE298" t="s">
        <v>79</v>
      </c>
      <c r="AF298" t="s">
        <v>79</v>
      </c>
      <c r="AG298" t="s">
        <v>79</v>
      </c>
      <c r="AH298" t="s">
        <v>79</v>
      </c>
    </row>
    <row r="299" spans="19:34" ht="16.2" customHeight="1" x14ac:dyDescent="0.3">
      <c r="T299" t="s">
        <v>157</v>
      </c>
      <c r="U299" t="s">
        <v>155</v>
      </c>
      <c r="V299" t="s">
        <v>155</v>
      </c>
      <c r="W299" t="s">
        <v>79</v>
      </c>
      <c r="X299" t="s">
        <v>79</v>
      </c>
      <c r="Y299" t="s">
        <v>155</v>
      </c>
      <c r="AC299" t="s">
        <v>157</v>
      </c>
      <c r="AD299" t="s">
        <v>155</v>
      </c>
      <c r="AE299" t="s">
        <v>155</v>
      </c>
      <c r="AF299" t="s">
        <v>79</v>
      </c>
      <c r="AG299" t="s">
        <v>79</v>
      </c>
      <c r="AH299" t="s">
        <v>155</v>
      </c>
    </row>
    <row r="300" spans="19:34" ht="16.2" customHeight="1" x14ac:dyDescent="0.3">
      <c r="T300" t="s">
        <v>158</v>
      </c>
      <c r="U300" t="s">
        <v>155</v>
      </c>
      <c r="V300" t="s">
        <v>155</v>
      </c>
      <c r="W300" t="s">
        <v>155</v>
      </c>
      <c r="X300" t="s">
        <v>155</v>
      </c>
      <c r="Y300" t="s">
        <v>155</v>
      </c>
      <c r="AC300" t="s">
        <v>158</v>
      </c>
      <c r="AD300" t="s">
        <v>155</v>
      </c>
      <c r="AE300" t="s">
        <v>155</v>
      </c>
      <c r="AF300" t="s">
        <v>155</v>
      </c>
      <c r="AG300" t="s">
        <v>155</v>
      </c>
      <c r="AH300" t="s">
        <v>155</v>
      </c>
    </row>
    <row r="301" spans="19:34" ht="16.2" customHeight="1" x14ac:dyDescent="0.3">
      <c r="T301" t="s">
        <v>159</v>
      </c>
      <c r="U301" t="s">
        <v>155</v>
      </c>
      <c r="V301" t="s">
        <v>155</v>
      </c>
      <c r="W301" t="s">
        <v>155</v>
      </c>
      <c r="X301" t="s">
        <v>155</v>
      </c>
      <c r="Y301" t="s">
        <v>155</v>
      </c>
      <c r="AC301" t="s">
        <v>159</v>
      </c>
      <c r="AD301" t="s">
        <v>155</v>
      </c>
      <c r="AE301" t="s">
        <v>155</v>
      </c>
      <c r="AF301" t="s">
        <v>155</v>
      </c>
      <c r="AG301" t="s">
        <v>155</v>
      </c>
      <c r="AH301" t="s">
        <v>155</v>
      </c>
    </row>
    <row r="302" spans="19:34" ht="16.2" customHeight="1" x14ac:dyDescent="0.3">
      <c r="T302" t="s">
        <v>160</v>
      </c>
      <c r="U302" t="s">
        <v>155</v>
      </c>
      <c r="V302" t="s">
        <v>155</v>
      </c>
      <c r="W302" t="s">
        <v>155</v>
      </c>
      <c r="X302" t="s">
        <v>155</v>
      </c>
      <c r="Y302" t="s">
        <v>155</v>
      </c>
      <c r="AC302" t="s">
        <v>160</v>
      </c>
      <c r="AD302" t="s">
        <v>155</v>
      </c>
      <c r="AE302" t="s">
        <v>155</v>
      </c>
      <c r="AF302" t="s">
        <v>155</v>
      </c>
      <c r="AG302" t="s">
        <v>155</v>
      </c>
      <c r="AH302" t="s">
        <v>155</v>
      </c>
    </row>
    <row r="303" spans="19:34" ht="16.2" customHeight="1" x14ac:dyDescent="0.3">
      <c r="T303" t="s">
        <v>169</v>
      </c>
      <c r="U303" t="s">
        <v>155</v>
      </c>
      <c r="V303" t="s">
        <v>155</v>
      </c>
      <c r="W303" t="s">
        <v>155</v>
      </c>
      <c r="X303" t="s">
        <v>155</v>
      </c>
      <c r="Y303" t="s">
        <v>155</v>
      </c>
      <c r="AC303" t="s">
        <v>169</v>
      </c>
      <c r="AD303" t="s">
        <v>155</v>
      </c>
      <c r="AE303" t="s">
        <v>155</v>
      </c>
      <c r="AF303" t="s">
        <v>155</v>
      </c>
      <c r="AG303" t="s">
        <v>155</v>
      </c>
      <c r="AH303" t="s">
        <v>155</v>
      </c>
    </row>
    <row r="304" spans="19:34" ht="16.2" customHeight="1" x14ac:dyDescent="0.3">
      <c r="T304" t="s">
        <v>170</v>
      </c>
      <c r="U304" t="s">
        <v>155</v>
      </c>
      <c r="V304" t="s">
        <v>155</v>
      </c>
      <c r="W304" t="s">
        <v>155</v>
      </c>
      <c r="X304" t="s">
        <v>155</v>
      </c>
      <c r="Y304" t="s">
        <v>155</v>
      </c>
      <c r="AC304" t="s">
        <v>170</v>
      </c>
      <c r="AD304" t="s">
        <v>155</v>
      </c>
      <c r="AE304" t="s">
        <v>155</v>
      </c>
      <c r="AF304" t="s">
        <v>155</v>
      </c>
      <c r="AG304" t="s">
        <v>155</v>
      </c>
      <c r="AH304" t="s">
        <v>155</v>
      </c>
    </row>
    <row r="305" spans="19:34" ht="16.2" customHeight="1" x14ac:dyDescent="0.3">
      <c r="T305" t="s">
        <v>171</v>
      </c>
      <c r="U305" t="s">
        <v>155</v>
      </c>
      <c r="V305" t="s">
        <v>155</v>
      </c>
      <c r="W305" t="s">
        <v>155</v>
      </c>
      <c r="X305" t="s">
        <v>155</v>
      </c>
      <c r="Y305" t="s">
        <v>155</v>
      </c>
      <c r="AC305" t="s">
        <v>171</v>
      </c>
      <c r="AD305" t="s">
        <v>155</v>
      </c>
      <c r="AE305" t="s">
        <v>155</v>
      </c>
      <c r="AF305" t="s">
        <v>155</v>
      </c>
      <c r="AG305" t="s">
        <v>155</v>
      </c>
      <c r="AH305" t="s">
        <v>155</v>
      </c>
    </row>
    <row r="306" spans="19:34" ht="16.2" customHeight="1" x14ac:dyDescent="0.3">
      <c r="T306" t="s">
        <v>172</v>
      </c>
      <c r="U306" t="s">
        <v>155</v>
      </c>
      <c r="V306" t="s">
        <v>155</v>
      </c>
      <c r="W306" t="s">
        <v>155</v>
      </c>
      <c r="X306" t="s">
        <v>155</v>
      </c>
      <c r="Y306" t="s">
        <v>155</v>
      </c>
      <c r="AC306" t="s">
        <v>172</v>
      </c>
      <c r="AD306" t="s">
        <v>155</v>
      </c>
      <c r="AE306" t="s">
        <v>155</v>
      </c>
      <c r="AF306" t="s">
        <v>155</v>
      </c>
      <c r="AG306" t="s">
        <v>155</v>
      </c>
      <c r="AH306" t="s">
        <v>155</v>
      </c>
    </row>
    <row r="308" spans="19:34" ht="16.2" customHeight="1" x14ac:dyDescent="0.3">
      <c r="S308" s="15" t="s">
        <v>123</v>
      </c>
      <c r="T308" t="s">
        <v>202</v>
      </c>
      <c r="AB308" s="15" t="s">
        <v>123</v>
      </c>
      <c r="AC308" t="s">
        <v>202</v>
      </c>
    </row>
    <row r="309" spans="19:34" ht="16.2" customHeight="1" x14ac:dyDescent="0.3">
      <c r="U309" t="s">
        <v>164</v>
      </c>
      <c r="V309" t="s">
        <v>165</v>
      </c>
      <c r="W309" t="s">
        <v>166</v>
      </c>
      <c r="X309" t="s">
        <v>167</v>
      </c>
      <c r="Y309" t="s">
        <v>168</v>
      </c>
      <c r="AD309" t="s">
        <v>164</v>
      </c>
      <c r="AE309" t="s">
        <v>165</v>
      </c>
      <c r="AF309" t="s">
        <v>166</v>
      </c>
      <c r="AG309" t="s">
        <v>167</v>
      </c>
      <c r="AH309" t="s">
        <v>168</v>
      </c>
    </row>
    <row r="310" spans="19:34" ht="16.2" customHeight="1" x14ac:dyDescent="0.3">
      <c r="T310" t="s">
        <v>154</v>
      </c>
      <c r="U310" t="s">
        <v>155</v>
      </c>
      <c r="V310" t="s">
        <v>79</v>
      </c>
      <c r="W310" t="s">
        <v>79</v>
      </c>
      <c r="X310" t="s">
        <v>79</v>
      </c>
      <c r="Y310" t="s">
        <v>79</v>
      </c>
      <c r="AC310" t="s">
        <v>154</v>
      </c>
      <c r="AD310" t="s">
        <v>155</v>
      </c>
      <c r="AE310" t="s">
        <v>79</v>
      </c>
      <c r="AF310" t="s">
        <v>79</v>
      </c>
      <c r="AG310" t="s">
        <v>79</v>
      </c>
      <c r="AH310" t="s">
        <v>79</v>
      </c>
    </row>
    <row r="311" spans="19:34" ht="16.2" customHeight="1" x14ac:dyDescent="0.3">
      <c r="T311" t="s">
        <v>156</v>
      </c>
      <c r="U311" t="s">
        <v>155</v>
      </c>
      <c r="V311" t="s">
        <v>79</v>
      </c>
      <c r="W311" t="s">
        <v>79</v>
      </c>
      <c r="X311" t="s">
        <v>79</v>
      </c>
      <c r="Y311" t="s">
        <v>79</v>
      </c>
      <c r="AC311" t="s">
        <v>156</v>
      </c>
      <c r="AD311" t="s">
        <v>155</v>
      </c>
      <c r="AE311" t="s">
        <v>79</v>
      </c>
      <c r="AF311" t="s">
        <v>79</v>
      </c>
      <c r="AG311" t="s">
        <v>79</v>
      </c>
      <c r="AH311" t="s">
        <v>79</v>
      </c>
    </row>
    <row r="312" spans="19:34" ht="16.2" customHeight="1" x14ac:dyDescent="0.3">
      <c r="T312" t="s">
        <v>157</v>
      </c>
      <c r="U312" t="s">
        <v>155</v>
      </c>
      <c r="V312" t="s">
        <v>155</v>
      </c>
      <c r="W312" t="s">
        <v>79</v>
      </c>
      <c r="X312" t="s">
        <v>79</v>
      </c>
      <c r="Y312" t="s">
        <v>155</v>
      </c>
      <c r="AC312" t="s">
        <v>157</v>
      </c>
      <c r="AD312" t="s">
        <v>155</v>
      </c>
      <c r="AE312" t="s">
        <v>155</v>
      </c>
      <c r="AF312" t="s">
        <v>79</v>
      </c>
      <c r="AG312" t="s">
        <v>79</v>
      </c>
      <c r="AH312" t="s">
        <v>155</v>
      </c>
    </row>
    <row r="313" spans="19:34" ht="16.2" customHeight="1" x14ac:dyDescent="0.3">
      <c r="T313" t="s">
        <v>158</v>
      </c>
      <c r="U313" t="s">
        <v>155</v>
      </c>
      <c r="V313" t="s">
        <v>155</v>
      </c>
      <c r="W313" t="s">
        <v>155</v>
      </c>
      <c r="X313" t="s">
        <v>155</v>
      </c>
      <c r="Y313" t="s">
        <v>155</v>
      </c>
      <c r="AC313" t="s">
        <v>158</v>
      </c>
      <c r="AD313" t="s">
        <v>155</v>
      </c>
      <c r="AE313" t="s">
        <v>155</v>
      </c>
      <c r="AF313" t="s">
        <v>155</v>
      </c>
      <c r="AG313" t="s">
        <v>155</v>
      </c>
      <c r="AH313" t="s">
        <v>155</v>
      </c>
    </row>
    <row r="314" spans="19:34" ht="16.2" customHeight="1" x14ac:dyDescent="0.3">
      <c r="T314" t="s">
        <v>159</v>
      </c>
      <c r="U314" t="s">
        <v>155</v>
      </c>
      <c r="V314" t="s">
        <v>155</v>
      </c>
      <c r="W314" t="s">
        <v>155</v>
      </c>
      <c r="X314" t="s">
        <v>155</v>
      </c>
      <c r="Y314" t="s">
        <v>155</v>
      </c>
      <c r="AC314" t="s">
        <v>159</v>
      </c>
      <c r="AD314" t="s">
        <v>155</v>
      </c>
      <c r="AE314" t="s">
        <v>155</v>
      </c>
      <c r="AF314" t="s">
        <v>155</v>
      </c>
      <c r="AG314" t="s">
        <v>155</v>
      </c>
      <c r="AH314" t="s">
        <v>155</v>
      </c>
    </row>
    <row r="315" spans="19:34" ht="16.2" customHeight="1" x14ac:dyDescent="0.3">
      <c r="T315" t="s">
        <v>160</v>
      </c>
      <c r="U315" t="s">
        <v>155</v>
      </c>
      <c r="V315" t="s">
        <v>155</v>
      </c>
      <c r="W315" t="s">
        <v>155</v>
      </c>
      <c r="X315" t="s">
        <v>155</v>
      </c>
      <c r="Y315" t="s">
        <v>155</v>
      </c>
      <c r="AC315" t="s">
        <v>160</v>
      </c>
      <c r="AD315" t="s">
        <v>155</v>
      </c>
      <c r="AE315" t="s">
        <v>155</v>
      </c>
      <c r="AF315" t="s">
        <v>155</v>
      </c>
      <c r="AG315" t="s">
        <v>155</v>
      </c>
      <c r="AH315" t="s">
        <v>155</v>
      </c>
    </row>
    <row r="316" spans="19:34" ht="16.2" customHeight="1" x14ac:dyDescent="0.3">
      <c r="T316" t="s">
        <v>169</v>
      </c>
      <c r="U316" t="s">
        <v>155</v>
      </c>
      <c r="V316" t="s">
        <v>155</v>
      </c>
      <c r="W316" t="s">
        <v>155</v>
      </c>
      <c r="X316" t="s">
        <v>155</v>
      </c>
      <c r="Y316" t="s">
        <v>155</v>
      </c>
      <c r="AC316" t="s">
        <v>169</v>
      </c>
      <c r="AD316" t="s">
        <v>155</v>
      </c>
      <c r="AE316" t="s">
        <v>155</v>
      </c>
      <c r="AF316" t="s">
        <v>155</v>
      </c>
      <c r="AG316" t="s">
        <v>155</v>
      </c>
      <c r="AH316" t="s">
        <v>155</v>
      </c>
    </row>
    <row r="317" spans="19:34" ht="16.2" customHeight="1" x14ac:dyDescent="0.3">
      <c r="T317" t="s">
        <v>170</v>
      </c>
      <c r="U317" t="s">
        <v>155</v>
      </c>
      <c r="V317" t="s">
        <v>155</v>
      </c>
      <c r="W317" t="s">
        <v>155</v>
      </c>
      <c r="X317" t="s">
        <v>155</v>
      </c>
      <c r="Y317" t="s">
        <v>155</v>
      </c>
      <c r="AC317" t="s">
        <v>170</v>
      </c>
      <c r="AD317" t="s">
        <v>155</v>
      </c>
      <c r="AE317" t="s">
        <v>155</v>
      </c>
      <c r="AF317" t="s">
        <v>155</v>
      </c>
      <c r="AG317" t="s">
        <v>155</v>
      </c>
      <c r="AH317" t="s">
        <v>155</v>
      </c>
    </row>
    <row r="318" spans="19:34" ht="16.2" customHeight="1" x14ac:dyDescent="0.3">
      <c r="T318" t="s">
        <v>171</v>
      </c>
      <c r="U318" t="s">
        <v>155</v>
      </c>
      <c r="V318" t="s">
        <v>155</v>
      </c>
      <c r="W318" t="s">
        <v>155</v>
      </c>
      <c r="X318" t="s">
        <v>155</v>
      </c>
      <c r="Y318" t="s">
        <v>155</v>
      </c>
      <c r="AC318" t="s">
        <v>171</v>
      </c>
      <c r="AD318" t="s">
        <v>155</v>
      </c>
      <c r="AE318" t="s">
        <v>155</v>
      </c>
      <c r="AF318" t="s">
        <v>155</v>
      </c>
      <c r="AG318" t="s">
        <v>155</v>
      </c>
      <c r="AH318" t="s">
        <v>155</v>
      </c>
    </row>
    <row r="319" spans="19:34" ht="16.2" customHeight="1" x14ac:dyDescent="0.3">
      <c r="T319" t="s">
        <v>172</v>
      </c>
      <c r="U319" t="s">
        <v>155</v>
      </c>
      <c r="V319" t="s">
        <v>155</v>
      </c>
      <c r="W319" t="s">
        <v>155</v>
      </c>
      <c r="X319" t="s">
        <v>155</v>
      </c>
      <c r="Y319" t="s">
        <v>155</v>
      </c>
      <c r="AC319" t="s">
        <v>172</v>
      </c>
      <c r="AD319" t="s">
        <v>155</v>
      </c>
      <c r="AE319" t="s">
        <v>155</v>
      </c>
      <c r="AF319" t="s">
        <v>155</v>
      </c>
      <c r="AG319" t="s">
        <v>155</v>
      </c>
      <c r="AH319" t="s">
        <v>155</v>
      </c>
    </row>
    <row r="321" spans="19:34" ht="16.2" customHeight="1" x14ac:dyDescent="0.3">
      <c r="S321" s="15" t="s">
        <v>124</v>
      </c>
      <c r="T321" t="s">
        <v>203</v>
      </c>
      <c r="AB321" s="15" t="s">
        <v>124</v>
      </c>
      <c r="AC321" t="s">
        <v>203</v>
      </c>
    </row>
    <row r="322" spans="19:34" ht="16.2" customHeight="1" x14ac:dyDescent="0.3">
      <c r="U322" t="s">
        <v>164</v>
      </c>
      <c r="V322" t="s">
        <v>165</v>
      </c>
      <c r="W322" t="s">
        <v>166</v>
      </c>
      <c r="X322" t="s">
        <v>167</v>
      </c>
      <c r="Y322" t="s">
        <v>168</v>
      </c>
      <c r="AD322" t="s">
        <v>164</v>
      </c>
      <c r="AE322" t="s">
        <v>165</v>
      </c>
      <c r="AF322" t="s">
        <v>166</v>
      </c>
      <c r="AG322" t="s">
        <v>167</v>
      </c>
      <c r="AH322" t="s">
        <v>168</v>
      </c>
    </row>
    <row r="323" spans="19:34" ht="16.2" customHeight="1" x14ac:dyDescent="0.3">
      <c r="T323" t="s">
        <v>154</v>
      </c>
      <c r="U323" t="s">
        <v>155</v>
      </c>
      <c r="V323" t="s">
        <v>79</v>
      </c>
      <c r="W323" t="s">
        <v>79</v>
      </c>
      <c r="X323" t="s">
        <v>79</v>
      </c>
      <c r="Y323" t="s">
        <v>79</v>
      </c>
      <c r="AC323" t="s">
        <v>154</v>
      </c>
      <c r="AD323" t="s">
        <v>155</v>
      </c>
      <c r="AE323" t="s">
        <v>79</v>
      </c>
      <c r="AF323" t="s">
        <v>79</v>
      </c>
      <c r="AG323" t="s">
        <v>79</v>
      </c>
      <c r="AH323" t="s">
        <v>79</v>
      </c>
    </row>
    <row r="324" spans="19:34" ht="16.2" customHeight="1" x14ac:dyDescent="0.3">
      <c r="T324" t="s">
        <v>156</v>
      </c>
      <c r="U324" t="s">
        <v>155</v>
      </c>
      <c r="V324" t="s">
        <v>79</v>
      </c>
      <c r="W324" t="s">
        <v>79</v>
      </c>
      <c r="X324" t="s">
        <v>79</v>
      </c>
      <c r="Y324" t="s">
        <v>79</v>
      </c>
      <c r="AC324" t="s">
        <v>156</v>
      </c>
      <c r="AD324" t="s">
        <v>155</v>
      </c>
      <c r="AE324" t="s">
        <v>79</v>
      </c>
      <c r="AF324" t="s">
        <v>79</v>
      </c>
      <c r="AG324" t="s">
        <v>79</v>
      </c>
      <c r="AH324" t="s">
        <v>79</v>
      </c>
    </row>
    <row r="325" spans="19:34" ht="16.2" customHeight="1" x14ac:dyDescent="0.3">
      <c r="T325" t="s">
        <v>157</v>
      </c>
      <c r="U325" t="s">
        <v>155</v>
      </c>
      <c r="V325" t="s">
        <v>155</v>
      </c>
      <c r="W325" t="s">
        <v>79</v>
      </c>
      <c r="X325" t="s">
        <v>79</v>
      </c>
      <c r="Y325" t="s">
        <v>155</v>
      </c>
      <c r="AC325" t="s">
        <v>157</v>
      </c>
      <c r="AD325" t="s">
        <v>155</v>
      </c>
      <c r="AE325" t="s">
        <v>155</v>
      </c>
      <c r="AF325" t="s">
        <v>79</v>
      </c>
      <c r="AG325" t="s">
        <v>79</v>
      </c>
      <c r="AH325" t="s">
        <v>155</v>
      </c>
    </row>
    <row r="326" spans="19:34" ht="16.2" customHeight="1" x14ac:dyDescent="0.3">
      <c r="T326" t="s">
        <v>158</v>
      </c>
      <c r="U326" t="s">
        <v>155</v>
      </c>
      <c r="V326" t="s">
        <v>155</v>
      </c>
      <c r="W326" t="s">
        <v>155</v>
      </c>
      <c r="X326" t="s">
        <v>155</v>
      </c>
      <c r="Y326" t="s">
        <v>155</v>
      </c>
      <c r="AC326" t="s">
        <v>158</v>
      </c>
      <c r="AD326" t="s">
        <v>155</v>
      </c>
      <c r="AE326" t="s">
        <v>155</v>
      </c>
      <c r="AF326" t="s">
        <v>155</v>
      </c>
      <c r="AG326" t="s">
        <v>155</v>
      </c>
      <c r="AH326" t="s">
        <v>155</v>
      </c>
    </row>
    <row r="327" spans="19:34" ht="16.2" customHeight="1" x14ac:dyDescent="0.3">
      <c r="T327" t="s">
        <v>159</v>
      </c>
      <c r="U327" t="s">
        <v>155</v>
      </c>
      <c r="V327" t="s">
        <v>155</v>
      </c>
      <c r="W327" t="s">
        <v>155</v>
      </c>
      <c r="X327" t="s">
        <v>155</v>
      </c>
      <c r="Y327" t="s">
        <v>155</v>
      </c>
      <c r="AC327" t="s">
        <v>159</v>
      </c>
      <c r="AD327" t="s">
        <v>155</v>
      </c>
      <c r="AE327" t="s">
        <v>155</v>
      </c>
      <c r="AF327" t="s">
        <v>155</v>
      </c>
      <c r="AG327" t="s">
        <v>155</v>
      </c>
      <c r="AH327" t="s">
        <v>155</v>
      </c>
    </row>
    <row r="328" spans="19:34" ht="16.2" customHeight="1" x14ac:dyDescent="0.3">
      <c r="T328" t="s">
        <v>160</v>
      </c>
      <c r="U328" t="s">
        <v>155</v>
      </c>
      <c r="V328" t="s">
        <v>155</v>
      </c>
      <c r="W328" t="s">
        <v>155</v>
      </c>
      <c r="X328" t="s">
        <v>155</v>
      </c>
      <c r="Y328" t="s">
        <v>155</v>
      </c>
      <c r="AC328" t="s">
        <v>160</v>
      </c>
      <c r="AD328" t="s">
        <v>155</v>
      </c>
      <c r="AE328" t="s">
        <v>155</v>
      </c>
      <c r="AF328" t="s">
        <v>155</v>
      </c>
      <c r="AG328" t="s">
        <v>155</v>
      </c>
      <c r="AH328" t="s">
        <v>155</v>
      </c>
    </row>
    <row r="329" spans="19:34" ht="16.2" customHeight="1" x14ac:dyDescent="0.3">
      <c r="T329" t="s">
        <v>169</v>
      </c>
      <c r="U329" t="s">
        <v>155</v>
      </c>
      <c r="V329" t="s">
        <v>155</v>
      </c>
      <c r="W329" t="s">
        <v>155</v>
      </c>
      <c r="X329" t="s">
        <v>155</v>
      </c>
      <c r="Y329" t="s">
        <v>155</v>
      </c>
      <c r="AC329" t="s">
        <v>169</v>
      </c>
      <c r="AD329" t="s">
        <v>155</v>
      </c>
      <c r="AE329" t="s">
        <v>155</v>
      </c>
      <c r="AF329" t="s">
        <v>155</v>
      </c>
      <c r="AG329" t="s">
        <v>155</v>
      </c>
      <c r="AH329" t="s">
        <v>155</v>
      </c>
    </row>
    <row r="330" spans="19:34" ht="16.2" customHeight="1" x14ac:dyDescent="0.3">
      <c r="T330" t="s">
        <v>170</v>
      </c>
      <c r="U330" t="s">
        <v>155</v>
      </c>
      <c r="V330" t="s">
        <v>155</v>
      </c>
      <c r="W330" t="s">
        <v>155</v>
      </c>
      <c r="X330" t="s">
        <v>155</v>
      </c>
      <c r="Y330" t="s">
        <v>155</v>
      </c>
      <c r="AC330" t="s">
        <v>170</v>
      </c>
      <c r="AD330" t="s">
        <v>155</v>
      </c>
      <c r="AE330" t="s">
        <v>155</v>
      </c>
      <c r="AF330" t="s">
        <v>155</v>
      </c>
      <c r="AG330" t="s">
        <v>155</v>
      </c>
      <c r="AH330" t="s">
        <v>155</v>
      </c>
    </row>
    <row r="331" spans="19:34" ht="16.2" customHeight="1" x14ac:dyDescent="0.3">
      <c r="T331" t="s">
        <v>171</v>
      </c>
      <c r="U331" t="s">
        <v>155</v>
      </c>
      <c r="V331" t="s">
        <v>155</v>
      </c>
      <c r="W331" t="s">
        <v>155</v>
      </c>
      <c r="X331" t="s">
        <v>155</v>
      </c>
      <c r="Y331" t="s">
        <v>155</v>
      </c>
      <c r="AC331" t="s">
        <v>171</v>
      </c>
      <c r="AD331" t="s">
        <v>155</v>
      </c>
      <c r="AE331" t="s">
        <v>155</v>
      </c>
      <c r="AF331" t="s">
        <v>155</v>
      </c>
      <c r="AG331" t="s">
        <v>155</v>
      </c>
      <c r="AH331" t="s">
        <v>155</v>
      </c>
    </row>
    <row r="332" spans="19:34" ht="16.2" customHeight="1" x14ac:dyDescent="0.3">
      <c r="T332" t="s">
        <v>172</v>
      </c>
      <c r="U332" t="s">
        <v>155</v>
      </c>
      <c r="V332" t="s">
        <v>155</v>
      </c>
      <c r="W332" t="s">
        <v>155</v>
      </c>
      <c r="X332" t="s">
        <v>155</v>
      </c>
      <c r="Y332" t="s">
        <v>155</v>
      </c>
      <c r="AC332" t="s">
        <v>172</v>
      </c>
      <c r="AD332" t="s">
        <v>155</v>
      </c>
      <c r="AE332" t="s">
        <v>155</v>
      </c>
      <c r="AF332" t="s">
        <v>155</v>
      </c>
      <c r="AG332" t="s">
        <v>155</v>
      </c>
      <c r="AH332" t="s">
        <v>155</v>
      </c>
    </row>
    <row r="334" spans="19:34" ht="16.2" customHeight="1" x14ac:dyDescent="0.3">
      <c r="S334" s="15" t="s">
        <v>125</v>
      </c>
      <c r="T334" t="s">
        <v>204</v>
      </c>
      <c r="AB334" s="15" t="s">
        <v>125</v>
      </c>
      <c r="AC334" t="s">
        <v>204</v>
      </c>
    </row>
    <row r="335" spans="19:34" ht="16.2" customHeight="1" x14ac:dyDescent="0.3">
      <c r="U335" t="s">
        <v>164</v>
      </c>
      <c r="V335" t="s">
        <v>165</v>
      </c>
      <c r="W335" t="s">
        <v>166</v>
      </c>
      <c r="X335" t="s">
        <v>167</v>
      </c>
      <c r="Y335" t="s">
        <v>168</v>
      </c>
      <c r="AD335" t="s">
        <v>164</v>
      </c>
      <c r="AE335" t="s">
        <v>165</v>
      </c>
      <c r="AF335" t="s">
        <v>166</v>
      </c>
      <c r="AG335" t="s">
        <v>167</v>
      </c>
      <c r="AH335" t="s">
        <v>168</v>
      </c>
    </row>
    <row r="336" spans="19:34" ht="16.2" customHeight="1" x14ac:dyDescent="0.3">
      <c r="T336" t="s">
        <v>154</v>
      </c>
      <c r="U336" t="s">
        <v>81</v>
      </c>
      <c r="V336" t="s">
        <v>155</v>
      </c>
      <c r="W336" t="s">
        <v>155</v>
      </c>
      <c r="X336" t="s">
        <v>81</v>
      </c>
      <c r="Y336" t="s">
        <v>155</v>
      </c>
      <c r="AC336" t="s">
        <v>154</v>
      </c>
      <c r="AD336" t="s">
        <v>81</v>
      </c>
      <c r="AE336" t="s">
        <v>155</v>
      </c>
      <c r="AF336" t="s">
        <v>155</v>
      </c>
      <c r="AG336" t="s">
        <v>81</v>
      </c>
      <c r="AH336" t="s">
        <v>155</v>
      </c>
    </row>
    <row r="337" spans="19:34" ht="16.2" customHeight="1" x14ac:dyDescent="0.3">
      <c r="T337" t="s">
        <v>156</v>
      </c>
      <c r="U337" t="s">
        <v>81</v>
      </c>
      <c r="V337" t="s">
        <v>155</v>
      </c>
      <c r="W337" t="s">
        <v>155</v>
      </c>
      <c r="X337" t="s">
        <v>81</v>
      </c>
      <c r="Y337" t="s">
        <v>155</v>
      </c>
      <c r="AC337" t="s">
        <v>156</v>
      </c>
      <c r="AD337" t="s">
        <v>81</v>
      </c>
      <c r="AE337" t="s">
        <v>155</v>
      </c>
      <c r="AF337" t="s">
        <v>155</v>
      </c>
      <c r="AG337" t="s">
        <v>81</v>
      </c>
      <c r="AH337" t="s">
        <v>155</v>
      </c>
    </row>
    <row r="338" spans="19:34" ht="16.2" customHeight="1" x14ac:dyDescent="0.3">
      <c r="T338" t="s">
        <v>157</v>
      </c>
      <c r="U338" t="s">
        <v>81</v>
      </c>
      <c r="V338" t="s">
        <v>155</v>
      </c>
      <c r="W338" t="s">
        <v>155</v>
      </c>
      <c r="X338" t="s">
        <v>81</v>
      </c>
      <c r="Y338" t="s">
        <v>155</v>
      </c>
      <c r="AC338" t="s">
        <v>157</v>
      </c>
      <c r="AD338" t="s">
        <v>81</v>
      </c>
      <c r="AE338" t="s">
        <v>155</v>
      </c>
      <c r="AF338" t="s">
        <v>155</v>
      </c>
      <c r="AG338" t="s">
        <v>81</v>
      </c>
      <c r="AH338" t="s">
        <v>155</v>
      </c>
    </row>
    <row r="339" spans="19:34" ht="16.2" customHeight="1" x14ac:dyDescent="0.3">
      <c r="T339" t="s">
        <v>158</v>
      </c>
      <c r="U339" t="s">
        <v>155</v>
      </c>
      <c r="V339" t="s">
        <v>155</v>
      </c>
      <c r="W339" t="s">
        <v>155</v>
      </c>
      <c r="X339" t="s">
        <v>155</v>
      </c>
      <c r="Y339" t="s">
        <v>155</v>
      </c>
      <c r="AC339" t="s">
        <v>158</v>
      </c>
      <c r="AD339" t="s">
        <v>155</v>
      </c>
      <c r="AE339" t="s">
        <v>155</v>
      </c>
      <c r="AF339" t="s">
        <v>155</v>
      </c>
      <c r="AG339" t="s">
        <v>155</v>
      </c>
      <c r="AH339" t="s">
        <v>155</v>
      </c>
    </row>
    <row r="340" spans="19:34" ht="16.2" customHeight="1" x14ac:dyDescent="0.3">
      <c r="T340" t="s">
        <v>159</v>
      </c>
      <c r="U340" t="s">
        <v>155</v>
      </c>
      <c r="V340" t="s">
        <v>155</v>
      </c>
      <c r="W340" t="s">
        <v>155</v>
      </c>
      <c r="X340" t="s">
        <v>155</v>
      </c>
      <c r="Y340" t="s">
        <v>155</v>
      </c>
      <c r="AC340" t="s">
        <v>159</v>
      </c>
      <c r="AD340" t="s">
        <v>155</v>
      </c>
      <c r="AE340" t="s">
        <v>155</v>
      </c>
      <c r="AF340" t="s">
        <v>155</v>
      </c>
      <c r="AG340" t="s">
        <v>155</v>
      </c>
      <c r="AH340" t="s">
        <v>155</v>
      </c>
    </row>
    <row r="341" spans="19:34" ht="16.2" customHeight="1" x14ac:dyDescent="0.3">
      <c r="T341" t="s">
        <v>160</v>
      </c>
      <c r="U341" t="s">
        <v>155</v>
      </c>
      <c r="V341" t="s">
        <v>155</v>
      </c>
      <c r="W341" t="s">
        <v>155</v>
      </c>
      <c r="X341" t="s">
        <v>155</v>
      </c>
      <c r="Y341" t="s">
        <v>155</v>
      </c>
      <c r="AC341" t="s">
        <v>160</v>
      </c>
      <c r="AD341" t="s">
        <v>155</v>
      </c>
      <c r="AE341" t="s">
        <v>155</v>
      </c>
      <c r="AF341" t="s">
        <v>155</v>
      </c>
      <c r="AG341" t="s">
        <v>155</v>
      </c>
      <c r="AH341" t="s">
        <v>155</v>
      </c>
    </row>
    <row r="342" spans="19:34" ht="16.2" customHeight="1" x14ac:dyDescent="0.3">
      <c r="T342" t="s">
        <v>169</v>
      </c>
      <c r="U342" t="s">
        <v>155</v>
      </c>
      <c r="V342" t="s">
        <v>155</v>
      </c>
      <c r="W342" t="s">
        <v>155</v>
      </c>
      <c r="X342" t="s">
        <v>155</v>
      </c>
      <c r="Y342" t="s">
        <v>155</v>
      </c>
      <c r="AC342" t="s">
        <v>169</v>
      </c>
      <c r="AD342" t="s">
        <v>155</v>
      </c>
      <c r="AE342" t="s">
        <v>155</v>
      </c>
      <c r="AF342" t="s">
        <v>155</v>
      </c>
      <c r="AG342" t="s">
        <v>155</v>
      </c>
      <c r="AH342" t="s">
        <v>155</v>
      </c>
    </row>
    <row r="343" spans="19:34" ht="16.2" customHeight="1" x14ac:dyDescent="0.3">
      <c r="T343" t="s">
        <v>170</v>
      </c>
      <c r="U343" t="s">
        <v>155</v>
      </c>
      <c r="V343" t="s">
        <v>155</v>
      </c>
      <c r="W343" t="s">
        <v>155</v>
      </c>
      <c r="X343" t="s">
        <v>155</v>
      </c>
      <c r="Y343" t="s">
        <v>155</v>
      </c>
      <c r="AC343" t="s">
        <v>170</v>
      </c>
      <c r="AD343" t="s">
        <v>155</v>
      </c>
      <c r="AE343" t="s">
        <v>155</v>
      </c>
      <c r="AF343" t="s">
        <v>155</v>
      </c>
      <c r="AG343" t="s">
        <v>155</v>
      </c>
      <c r="AH343" t="s">
        <v>155</v>
      </c>
    </row>
    <row r="344" spans="19:34" ht="16.2" customHeight="1" x14ac:dyDescent="0.3">
      <c r="T344" t="s">
        <v>171</v>
      </c>
      <c r="U344" t="s">
        <v>155</v>
      </c>
      <c r="V344" t="s">
        <v>155</v>
      </c>
      <c r="W344" t="s">
        <v>155</v>
      </c>
      <c r="X344" t="s">
        <v>155</v>
      </c>
      <c r="Y344" t="s">
        <v>155</v>
      </c>
      <c r="AC344" t="s">
        <v>171</v>
      </c>
      <c r="AD344" t="s">
        <v>155</v>
      </c>
      <c r="AE344" t="s">
        <v>155</v>
      </c>
      <c r="AF344" t="s">
        <v>155</v>
      </c>
      <c r="AG344" t="s">
        <v>155</v>
      </c>
      <c r="AH344" t="s">
        <v>155</v>
      </c>
    </row>
    <row r="345" spans="19:34" ht="16.2" customHeight="1" x14ac:dyDescent="0.3">
      <c r="T345" t="s">
        <v>172</v>
      </c>
      <c r="U345" t="s">
        <v>155</v>
      </c>
      <c r="V345" t="s">
        <v>155</v>
      </c>
      <c r="W345" t="s">
        <v>155</v>
      </c>
      <c r="X345" t="s">
        <v>155</v>
      </c>
      <c r="Y345" t="s">
        <v>155</v>
      </c>
      <c r="AC345" t="s">
        <v>172</v>
      </c>
      <c r="AD345" t="s">
        <v>155</v>
      </c>
      <c r="AE345" t="s">
        <v>155</v>
      </c>
      <c r="AF345" t="s">
        <v>155</v>
      </c>
      <c r="AG345" t="s">
        <v>155</v>
      </c>
      <c r="AH345" t="s">
        <v>155</v>
      </c>
    </row>
    <row r="347" spans="19:34" ht="16.2" customHeight="1" x14ac:dyDescent="0.3">
      <c r="S347" s="15" t="s">
        <v>126</v>
      </c>
      <c r="T347" t="s">
        <v>205</v>
      </c>
      <c r="AB347" s="15" t="s">
        <v>126</v>
      </c>
      <c r="AC347" t="s">
        <v>205</v>
      </c>
    </row>
    <row r="348" spans="19:34" ht="16.2" customHeight="1" x14ac:dyDescent="0.3">
      <c r="U348" t="s">
        <v>164</v>
      </c>
      <c r="V348" t="s">
        <v>165</v>
      </c>
      <c r="W348" t="s">
        <v>166</v>
      </c>
      <c r="X348" t="s">
        <v>167</v>
      </c>
      <c r="Y348" t="s">
        <v>168</v>
      </c>
      <c r="AD348" t="s">
        <v>164</v>
      </c>
      <c r="AE348" t="s">
        <v>165</v>
      </c>
      <c r="AF348" t="s">
        <v>166</v>
      </c>
      <c r="AG348" t="s">
        <v>167</v>
      </c>
      <c r="AH348" t="s">
        <v>168</v>
      </c>
    </row>
    <row r="349" spans="19:34" ht="16.2" customHeight="1" x14ac:dyDescent="0.3">
      <c r="T349" t="s">
        <v>154</v>
      </c>
      <c r="U349" t="s">
        <v>155</v>
      </c>
      <c r="V349" t="s">
        <v>155</v>
      </c>
      <c r="W349" t="s">
        <v>155</v>
      </c>
      <c r="X349" t="s">
        <v>155</v>
      </c>
      <c r="Y349" t="s">
        <v>155</v>
      </c>
      <c r="AC349" t="s">
        <v>154</v>
      </c>
      <c r="AD349" t="s">
        <v>155</v>
      </c>
      <c r="AE349" t="s">
        <v>155</v>
      </c>
      <c r="AF349" t="s">
        <v>155</v>
      </c>
      <c r="AG349" t="s">
        <v>155</v>
      </c>
      <c r="AH349" t="s">
        <v>155</v>
      </c>
    </row>
    <row r="350" spans="19:34" ht="16.2" customHeight="1" x14ac:dyDescent="0.3">
      <c r="T350" t="s">
        <v>156</v>
      </c>
      <c r="U350" t="s">
        <v>82</v>
      </c>
      <c r="V350" t="s">
        <v>155</v>
      </c>
      <c r="W350" t="s">
        <v>155</v>
      </c>
      <c r="X350" t="s">
        <v>82</v>
      </c>
      <c r="Y350" t="s">
        <v>155</v>
      </c>
      <c r="AC350" t="s">
        <v>156</v>
      </c>
      <c r="AD350" t="s">
        <v>82</v>
      </c>
      <c r="AE350" t="s">
        <v>155</v>
      </c>
      <c r="AF350" t="s">
        <v>155</v>
      </c>
      <c r="AG350" t="s">
        <v>82</v>
      </c>
      <c r="AH350" t="s">
        <v>155</v>
      </c>
    </row>
    <row r="351" spans="19:34" ht="16.2" customHeight="1" x14ac:dyDescent="0.3">
      <c r="T351" t="s">
        <v>157</v>
      </c>
      <c r="U351" t="s">
        <v>82</v>
      </c>
      <c r="V351" t="s">
        <v>90</v>
      </c>
      <c r="W351" t="s">
        <v>155</v>
      </c>
      <c r="X351" t="s">
        <v>82</v>
      </c>
      <c r="Y351" t="s">
        <v>155</v>
      </c>
      <c r="AC351" t="s">
        <v>157</v>
      </c>
      <c r="AD351" t="s">
        <v>82</v>
      </c>
      <c r="AE351" t="s">
        <v>90</v>
      </c>
      <c r="AF351" t="s">
        <v>155</v>
      </c>
      <c r="AG351" t="s">
        <v>82</v>
      </c>
      <c r="AH351" t="s">
        <v>155</v>
      </c>
    </row>
    <row r="352" spans="19:34" ht="16.2" customHeight="1" x14ac:dyDescent="0.3">
      <c r="T352" t="s">
        <v>158</v>
      </c>
      <c r="U352" t="s">
        <v>155</v>
      </c>
      <c r="V352" t="s">
        <v>90</v>
      </c>
      <c r="W352" t="s">
        <v>155</v>
      </c>
      <c r="X352" t="s">
        <v>90</v>
      </c>
      <c r="Y352" t="s">
        <v>155</v>
      </c>
      <c r="AC352" t="s">
        <v>158</v>
      </c>
      <c r="AD352" t="s">
        <v>155</v>
      </c>
      <c r="AE352" t="s">
        <v>90</v>
      </c>
      <c r="AF352" t="s">
        <v>155</v>
      </c>
      <c r="AG352" t="s">
        <v>90</v>
      </c>
      <c r="AH352" t="s">
        <v>155</v>
      </c>
    </row>
    <row r="353" spans="19:34" ht="16.2" customHeight="1" x14ac:dyDescent="0.3">
      <c r="T353" t="s">
        <v>159</v>
      </c>
      <c r="U353" t="s">
        <v>155</v>
      </c>
      <c r="V353" t="s">
        <v>155</v>
      </c>
      <c r="W353" t="s">
        <v>155</v>
      </c>
      <c r="X353" t="s">
        <v>90</v>
      </c>
      <c r="Y353" t="s">
        <v>155</v>
      </c>
      <c r="AC353" t="s">
        <v>159</v>
      </c>
      <c r="AD353" t="s">
        <v>155</v>
      </c>
      <c r="AE353" t="s">
        <v>155</v>
      </c>
      <c r="AF353" t="s">
        <v>155</v>
      </c>
      <c r="AG353" t="s">
        <v>90</v>
      </c>
      <c r="AH353" t="s">
        <v>155</v>
      </c>
    </row>
    <row r="354" spans="19:34" ht="16.2" customHeight="1" x14ac:dyDescent="0.3">
      <c r="T354" t="s">
        <v>160</v>
      </c>
      <c r="U354" t="s">
        <v>155</v>
      </c>
      <c r="V354" t="s">
        <v>155</v>
      </c>
      <c r="W354" t="s">
        <v>155</v>
      </c>
      <c r="X354" t="s">
        <v>155</v>
      </c>
      <c r="Y354" t="s">
        <v>155</v>
      </c>
      <c r="AC354" t="s">
        <v>160</v>
      </c>
      <c r="AD354" t="s">
        <v>155</v>
      </c>
      <c r="AE354" t="s">
        <v>155</v>
      </c>
      <c r="AF354" t="s">
        <v>155</v>
      </c>
      <c r="AG354" t="s">
        <v>155</v>
      </c>
      <c r="AH354" t="s">
        <v>155</v>
      </c>
    </row>
    <row r="355" spans="19:34" ht="16.2" customHeight="1" x14ac:dyDescent="0.3">
      <c r="T355" t="s">
        <v>169</v>
      </c>
      <c r="U355" t="s">
        <v>155</v>
      </c>
      <c r="V355" t="s">
        <v>155</v>
      </c>
      <c r="W355" t="s">
        <v>155</v>
      </c>
      <c r="X355" t="s">
        <v>155</v>
      </c>
      <c r="Y355" t="s">
        <v>155</v>
      </c>
      <c r="AC355" t="s">
        <v>169</v>
      </c>
      <c r="AD355" t="s">
        <v>155</v>
      </c>
      <c r="AE355" t="s">
        <v>155</v>
      </c>
      <c r="AF355" t="s">
        <v>155</v>
      </c>
      <c r="AG355" t="s">
        <v>155</v>
      </c>
      <c r="AH355" t="s">
        <v>155</v>
      </c>
    </row>
    <row r="356" spans="19:34" ht="16.2" customHeight="1" x14ac:dyDescent="0.3">
      <c r="T356" t="s">
        <v>170</v>
      </c>
      <c r="U356" t="s">
        <v>155</v>
      </c>
      <c r="V356" t="s">
        <v>155</v>
      </c>
      <c r="W356" t="s">
        <v>155</v>
      </c>
      <c r="X356" t="s">
        <v>155</v>
      </c>
      <c r="Y356" t="s">
        <v>155</v>
      </c>
      <c r="AC356" t="s">
        <v>170</v>
      </c>
      <c r="AD356" t="s">
        <v>155</v>
      </c>
      <c r="AE356" t="s">
        <v>155</v>
      </c>
      <c r="AF356" t="s">
        <v>155</v>
      </c>
      <c r="AG356" t="s">
        <v>155</v>
      </c>
      <c r="AH356" t="s">
        <v>155</v>
      </c>
    </row>
    <row r="357" spans="19:34" ht="16.2" customHeight="1" x14ac:dyDescent="0.3">
      <c r="T357" t="s">
        <v>171</v>
      </c>
      <c r="U357" t="s">
        <v>155</v>
      </c>
      <c r="V357" t="s">
        <v>155</v>
      </c>
      <c r="W357" t="s">
        <v>155</v>
      </c>
      <c r="X357" t="s">
        <v>155</v>
      </c>
      <c r="Y357" t="s">
        <v>155</v>
      </c>
      <c r="AC357" t="s">
        <v>171</v>
      </c>
      <c r="AD357" t="s">
        <v>155</v>
      </c>
      <c r="AE357" t="s">
        <v>155</v>
      </c>
      <c r="AF357" t="s">
        <v>155</v>
      </c>
      <c r="AG357" t="s">
        <v>155</v>
      </c>
      <c r="AH357" t="s">
        <v>155</v>
      </c>
    </row>
    <row r="358" spans="19:34" ht="16.2" customHeight="1" x14ac:dyDescent="0.3">
      <c r="T358" t="s">
        <v>172</v>
      </c>
      <c r="U358" t="s">
        <v>155</v>
      </c>
      <c r="V358" t="s">
        <v>155</v>
      </c>
      <c r="W358" t="s">
        <v>155</v>
      </c>
      <c r="X358" t="s">
        <v>155</v>
      </c>
      <c r="Y358" t="s">
        <v>155</v>
      </c>
      <c r="AC358" t="s">
        <v>172</v>
      </c>
      <c r="AD358" t="s">
        <v>155</v>
      </c>
      <c r="AE358" t="s">
        <v>155</v>
      </c>
      <c r="AF358" t="s">
        <v>155</v>
      </c>
      <c r="AG358" t="s">
        <v>155</v>
      </c>
      <c r="AH358" t="s">
        <v>155</v>
      </c>
    </row>
    <row r="360" spans="19:34" ht="16.2" customHeight="1" x14ac:dyDescent="0.3">
      <c r="S360" s="15" t="s">
        <v>127</v>
      </c>
      <c r="T360" t="s">
        <v>206</v>
      </c>
      <c r="AB360" s="15" t="s">
        <v>127</v>
      </c>
      <c r="AC360" t="s">
        <v>206</v>
      </c>
    </row>
    <row r="361" spans="19:34" ht="16.2" customHeight="1" x14ac:dyDescent="0.3">
      <c r="U361" t="s">
        <v>164</v>
      </c>
      <c r="V361" t="s">
        <v>165</v>
      </c>
      <c r="W361" t="s">
        <v>166</v>
      </c>
      <c r="X361" t="s">
        <v>167</v>
      </c>
      <c r="Y361" t="s">
        <v>168</v>
      </c>
      <c r="AD361" t="s">
        <v>164</v>
      </c>
      <c r="AE361" t="s">
        <v>165</v>
      </c>
      <c r="AF361" t="s">
        <v>166</v>
      </c>
      <c r="AG361" t="s">
        <v>167</v>
      </c>
      <c r="AH361" t="s">
        <v>168</v>
      </c>
    </row>
    <row r="362" spans="19:34" ht="16.2" customHeight="1" x14ac:dyDescent="0.3">
      <c r="T362" t="s">
        <v>154</v>
      </c>
      <c r="U362" t="s">
        <v>175</v>
      </c>
      <c r="V362" t="s">
        <v>155</v>
      </c>
      <c r="W362" t="s">
        <v>175</v>
      </c>
      <c r="X362" t="s">
        <v>155</v>
      </c>
      <c r="Y362" t="s">
        <v>155</v>
      </c>
      <c r="AC362" t="s">
        <v>154</v>
      </c>
      <c r="AD362" t="s">
        <v>94</v>
      </c>
      <c r="AE362" t="s">
        <v>155</v>
      </c>
      <c r="AF362" t="s">
        <v>175</v>
      </c>
      <c r="AG362" t="s">
        <v>155</v>
      </c>
      <c r="AH362" t="s">
        <v>155</v>
      </c>
    </row>
    <row r="363" spans="19:34" ht="16.2" customHeight="1" x14ac:dyDescent="0.3">
      <c r="T363" t="s">
        <v>156</v>
      </c>
      <c r="U363" t="s">
        <v>175</v>
      </c>
      <c r="V363" t="s">
        <v>155</v>
      </c>
      <c r="W363" t="s">
        <v>175</v>
      </c>
      <c r="X363" t="s">
        <v>155</v>
      </c>
      <c r="Y363" t="s">
        <v>155</v>
      </c>
      <c r="AC363" t="s">
        <v>156</v>
      </c>
      <c r="AD363" t="s">
        <v>94</v>
      </c>
      <c r="AE363" t="s">
        <v>155</v>
      </c>
      <c r="AF363" t="s">
        <v>175</v>
      </c>
      <c r="AG363" t="s">
        <v>155</v>
      </c>
      <c r="AH363" t="s">
        <v>155</v>
      </c>
    </row>
    <row r="364" spans="19:34" ht="16.2" customHeight="1" x14ac:dyDescent="0.3">
      <c r="T364" t="s">
        <v>157</v>
      </c>
      <c r="U364" t="s">
        <v>82</v>
      </c>
      <c r="V364" t="s">
        <v>155</v>
      </c>
      <c r="W364" t="s">
        <v>155</v>
      </c>
      <c r="X364" t="s">
        <v>155</v>
      </c>
      <c r="Y364" t="s">
        <v>155</v>
      </c>
      <c r="AC364" t="s">
        <v>157</v>
      </c>
      <c r="AD364" t="s">
        <v>82</v>
      </c>
      <c r="AE364" t="s">
        <v>155</v>
      </c>
      <c r="AF364" t="s">
        <v>155</v>
      </c>
      <c r="AG364" t="s">
        <v>155</v>
      </c>
      <c r="AH364" t="s">
        <v>155</v>
      </c>
    </row>
    <row r="365" spans="19:34" ht="16.2" customHeight="1" x14ac:dyDescent="0.3">
      <c r="T365" t="s">
        <v>158</v>
      </c>
      <c r="U365" t="s">
        <v>82</v>
      </c>
      <c r="V365" t="s">
        <v>155</v>
      </c>
      <c r="W365" t="s">
        <v>155</v>
      </c>
      <c r="X365" t="s">
        <v>155</v>
      </c>
      <c r="Y365" t="s">
        <v>155</v>
      </c>
      <c r="AC365" t="s">
        <v>158</v>
      </c>
      <c r="AD365" t="s">
        <v>82</v>
      </c>
      <c r="AE365" t="s">
        <v>155</v>
      </c>
      <c r="AF365" t="s">
        <v>155</v>
      </c>
      <c r="AG365" t="s">
        <v>155</v>
      </c>
      <c r="AH365" t="s">
        <v>155</v>
      </c>
    </row>
    <row r="366" spans="19:34" ht="16.2" customHeight="1" x14ac:dyDescent="0.3">
      <c r="T366" t="s">
        <v>159</v>
      </c>
      <c r="U366" t="s">
        <v>94</v>
      </c>
      <c r="V366" t="s">
        <v>155</v>
      </c>
      <c r="W366" t="s">
        <v>82</v>
      </c>
      <c r="X366" t="s">
        <v>155</v>
      </c>
      <c r="Y366" t="s">
        <v>155</v>
      </c>
      <c r="AC366" t="s">
        <v>159</v>
      </c>
      <c r="AD366" t="s">
        <v>175</v>
      </c>
      <c r="AE366" t="s">
        <v>155</v>
      </c>
      <c r="AF366" t="s">
        <v>82</v>
      </c>
      <c r="AG366" t="s">
        <v>155</v>
      </c>
      <c r="AH366" t="s">
        <v>155</v>
      </c>
    </row>
    <row r="367" spans="19:34" ht="16.2" customHeight="1" x14ac:dyDescent="0.3">
      <c r="T367" t="s">
        <v>160</v>
      </c>
      <c r="U367" t="s">
        <v>94</v>
      </c>
      <c r="V367" t="s">
        <v>155</v>
      </c>
      <c r="W367" t="s">
        <v>82</v>
      </c>
      <c r="X367" t="s">
        <v>155</v>
      </c>
      <c r="Y367" t="s">
        <v>155</v>
      </c>
      <c r="AC367" t="s">
        <v>160</v>
      </c>
      <c r="AD367" t="s">
        <v>175</v>
      </c>
      <c r="AE367" t="s">
        <v>155</v>
      </c>
      <c r="AF367" t="s">
        <v>82</v>
      </c>
      <c r="AG367" t="s">
        <v>155</v>
      </c>
      <c r="AH367" t="s">
        <v>155</v>
      </c>
    </row>
    <row r="368" spans="19:34" ht="16.2" customHeight="1" x14ac:dyDescent="0.3">
      <c r="T368" t="s">
        <v>169</v>
      </c>
      <c r="U368" t="s">
        <v>155</v>
      </c>
      <c r="V368" t="s">
        <v>155</v>
      </c>
      <c r="W368" t="s">
        <v>155</v>
      </c>
      <c r="X368" t="s">
        <v>155</v>
      </c>
      <c r="Y368" t="s">
        <v>155</v>
      </c>
      <c r="AC368" t="s">
        <v>169</v>
      </c>
      <c r="AD368" t="s">
        <v>155</v>
      </c>
      <c r="AE368" t="s">
        <v>155</v>
      </c>
      <c r="AF368" t="s">
        <v>155</v>
      </c>
      <c r="AG368" t="s">
        <v>155</v>
      </c>
      <c r="AH368" t="s">
        <v>155</v>
      </c>
    </row>
    <row r="369" spans="19:34" ht="16.2" customHeight="1" x14ac:dyDescent="0.3">
      <c r="T369" t="s">
        <v>170</v>
      </c>
      <c r="U369" t="s">
        <v>155</v>
      </c>
      <c r="V369" t="s">
        <v>155</v>
      </c>
      <c r="W369" t="s">
        <v>155</v>
      </c>
      <c r="X369" t="s">
        <v>155</v>
      </c>
      <c r="Y369" t="s">
        <v>155</v>
      </c>
      <c r="AC369" t="s">
        <v>170</v>
      </c>
      <c r="AD369" t="s">
        <v>155</v>
      </c>
      <c r="AE369" t="s">
        <v>155</v>
      </c>
      <c r="AF369" t="s">
        <v>155</v>
      </c>
      <c r="AG369" t="s">
        <v>155</v>
      </c>
      <c r="AH369" t="s">
        <v>155</v>
      </c>
    </row>
    <row r="370" spans="19:34" ht="16.2" customHeight="1" x14ac:dyDescent="0.3">
      <c r="T370" t="s">
        <v>171</v>
      </c>
      <c r="U370" t="s">
        <v>155</v>
      </c>
      <c r="V370" t="s">
        <v>155</v>
      </c>
      <c r="W370" t="s">
        <v>155</v>
      </c>
      <c r="X370" t="s">
        <v>155</v>
      </c>
      <c r="Y370" t="s">
        <v>155</v>
      </c>
      <c r="AC370" t="s">
        <v>171</v>
      </c>
      <c r="AD370" t="s">
        <v>155</v>
      </c>
      <c r="AE370" t="s">
        <v>155</v>
      </c>
      <c r="AF370" t="s">
        <v>155</v>
      </c>
      <c r="AG370" t="s">
        <v>155</v>
      </c>
      <c r="AH370" t="s">
        <v>155</v>
      </c>
    </row>
    <row r="371" spans="19:34" ht="16.2" customHeight="1" x14ac:dyDescent="0.3">
      <c r="T371" t="s">
        <v>172</v>
      </c>
      <c r="U371" t="s">
        <v>155</v>
      </c>
      <c r="V371" t="s">
        <v>155</v>
      </c>
      <c r="W371" t="s">
        <v>155</v>
      </c>
      <c r="X371" t="s">
        <v>155</v>
      </c>
      <c r="Y371" t="s">
        <v>155</v>
      </c>
      <c r="AC371" t="s">
        <v>172</v>
      </c>
      <c r="AD371" t="s">
        <v>155</v>
      </c>
      <c r="AE371" t="s">
        <v>155</v>
      </c>
      <c r="AF371" t="s">
        <v>155</v>
      </c>
      <c r="AG371" t="s">
        <v>155</v>
      </c>
      <c r="AH371" t="s">
        <v>155</v>
      </c>
    </row>
    <row r="373" spans="19:34" ht="16.2" customHeight="1" x14ac:dyDescent="0.3">
      <c r="S373" s="15" t="s">
        <v>128</v>
      </c>
      <c r="T373" t="s">
        <v>207</v>
      </c>
      <c r="AB373" s="15" t="s">
        <v>128</v>
      </c>
      <c r="AC373" t="s">
        <v>207</v>
      </c>
    </row>
    <row r="374" spans="19:34" ht="16.2" customHeight="1" x14ac:dyDescent="0.3">
      <c r="U374" t="s">
        <v>164</v>
      </c>
      <c r="V374" t="s">
        <v>165</v>
      </c>
      <c r="W374" t="s">
        <v>166</v>
      </c>
      <c r="X374" t="s">
        <v>167</v>
      </c>
      <c r="Y374" t="s">
        <v>168</v>
      </c>
      <c r="AD374" t="s">
        <v>164</v>
      </c>
      <c r="AE374" t="s">
        <v>165</v>
      </c>
      <c r="AF374" t="s">
        <v>166</v>
      </c>
      <c r="AG374" t="s">
        <v>167</v>
      </c>
      <c r="AH374" t="s">
        <v>168</v>
      </c>
    </row>
    <row r="375" spans="19:34" ht="16.2" customHeight="1" x14ac:dyDescent="0.3">
      <c r="T375" t="s">
        <v>154</v>
      </c>
      <c r="U375" t="s">
        <v>155</v>
      </c>
      <c r="V375" t="s">
        <v>155</v>
      </c>
      <c r="W375" t="s">
        <v>155</v>
      </c>
      <c r="X375" t="s">
        <v>155</v>
      </c>
      <c r="Y375" t="s">
        <v>155</v>
      </c>
      <c r="AC375" t="s">
        <v>154</v>
      </c>
      <c r="AD375" t="s">
        <v>155</v>
      </c>
      <c r="AE375" t="s">
        <v>155</v>
      </c>
      <c r="AF375" t="s">
        <v>155</v>
      </c>
      <c r="AG375" t="s">
        <v>155</v>
      </c>
      <c r="AH375" t="s">
        <v>155</v>
      </c>
    </row>
    <row r="376" spans="19:34" ht="16.2" customHeight="1" x14ac:dyDescent="0.3">
      <c r="T376" t="s">
        <v>156</v>
      </c>
      <c r="U376" t="s">
        <v>155</v>
      </c>
      <c r="V376" t="s">
        <v>155</v>
      </c>
      <c r="W376" t="s">
        <v>155</v>
      </c>
      <c r="X376" t="s">
        <v>155</v>
      </c>
      <c r="Y376" t="s">
        <v>155</v>
      </c>
      <c r="AC376" t="s">
        <v>156</v>
      </c>
      <c r="AD376" t="s">
        <v>155</v>
      </c>
      <c r="AE376" t="s">
        <v>155</v>
      </c>
      <c r="AF376" t="s">
        <v>155</v>
      </c>
      <c r="AG376" t="s">
        <v>155</v>
      </c>
      <c r="AH376" t="s">
        <v>155</v>
      </c>
    </row>
    <row r="377" spans="19:34" ht="16.2" customHeight="1" x14ac:dyDescent="0.3">
      <c r="T377" t="s">
        <v>157</v>
      </c>
      <c r="U377" t="s">
        <v>155</v>
      </c>
      <c r="V377" t="s">
        <v>155</v>
      </c>
      <c r="W377" t="s">
        <v>155</v>
      </c>
      <c r="X377" t="s">
        <v>155</v>
      </c>
      <c r="Y377" t="s">
        <v>155</v>
      </c>
      <c r="AC377" t="s">
        <v>157</v>
      </c>
      <c r="AD377" t="s">
        <v>155</v>
      </c>
      <c r="AE377" t="s">
        <v>83</v>
      </c>
      <c r="AF377" t="s">
        <v>155</v>
      </c>
      <c r="AG377" t="s">
        <v>155</v>
      </c>
      <c r="AH377" t="s">
        <v>155</v>
      </c>
    </row>
    <row r="378" spans="19:34" ht="16.2" customHeight="1" x14ac:dyDescent="0.3">
      <c r="T378" t="s">
        <v>158</v>
      </c>
      <c r="U378" t="s">
        <v>155</v>
      </c>
      <c r="V378" t="s">
        <v>155</v>
      </c>
      <c r="W378" t="s">
        <v>155</v>
      </c>
      <c r="X378" t="s">
        <v>83</v>
      </c>
      <c r="Y378" t="s">
        <v>155</v>
      </c>
      <c r="AC378" t="s">
        <v>158</v>
      </c>
      <c r="AD378" t="s">
        <v>155</v>
      </c>
      <c r="AE378" t="s">
        <v>83</v>
      </c>
      <c r="AF378" t="s">
        <v>155</v>
      </c>
      <c r="AG378" t="s">
        <v>155</v>
      </c>
      <c r="AH378" t="s">
        <v>155</v>
      </c>
    </row>
    <row r="379" spans="19:34" ht="16.2" customHeight="1" x14ac:dyDescent="0.3">
      <c r="T379" t="s">
        <v>159</v>
      </c>
      <c r="U379" t="s">
        <v>155</v>
      </c>
      <c r="V379" t="s">
        <v>83</v>
      </c>
      <c r="W379" t="s">
        <v>155</v>
      </c>
      <c r="X379" t="s">
        <v>83</v>
      </c>
      <c r="Y379" t="s">
        <v>155</v>
      </c>
      <c r="AC379" t="s">
        <v>159</v>
      </c>
      <c r="AD379" t="s">
        <v>155</v>
      </c>
      <c r="AE379" t="s">
        <v>83</v>
      </c>
      <c r="AF379" t="s">
        <v>155</v>
      </c>
      <c r="AG379" t="s">
        <v>155</v>
      </c>
      <c r="AH379" t="s">
        <v>83</v>
      </c>
    </row>
    <row r="380" spans="19:34" ht="16.2" customHeight="1" x14ac:dyDescent="0.3">
      <c r="T380" t="s">
        <v>160</v>
      </c>
      <c r="U380" t="s">
        <v>155</v>
      </c>
      <c r="V380" t="s">
        <v>83</v>
      </c>
      <c r="W380" t="s">
        <v>155</v>
      </c>
      <c r="X380" t="s">
        <v>83</v>
      </c>
      <c r="Y380" t="s">
        <v>155</v>
      </c>
      <c r="AC380" t="s">
        <v>160</v>
      </c>
      <c r="AD380" t="s">
        <v>155</v>
      </c>
      <c r="AE380" t="s">
        <v>155</v>
      </c>
      <c r="AF380" t="s">
        <v>155</v>
      </c>
      <c r="AG380" t="s">
        <v>155</v>
      </c>
      <c r="AH380" t="s">
        <v>83</v>
      </c>
    </row>
    <row r="381" spans="19:34" ht="16.2" customHeight="1" x14ac:dyDescent="0.3">
      <c r="T381" t="s">
        <v>169</v>
      </c>
      <c r="U381" t="s">
        <v>155</v>
      </c>
      <c r="V381" t="s">
        <v>155</v>
      </c>
      <c r="W381" t="s">
        <v>155</v>
      </c>
      <c r="X381" t="s">
        <v>155</v>
      </c>
      <c r="Y381" t="s">
        <v>155</v>
      </c>
      <c r="AC381" t="s">
        <v>169</v>
      </c>
      <c r="AD381" t="s">
        <v>155</v>
      </c>
      <c r="AE381" t="s">
        <v>155</v>
      </c>
      <c r="AF381" t="s">
        <v>155</v>
      </c>
      <c r="AG381" t="s">
        <v>155</v>
      </c>
      <c r="AH381" t="s">
        <v>155</v>
      </c>
    </row>
    <row r="382" spans="19:34" ht="16.2" customHeight="1" x14ac:dyDescent="0.3">
      <c r="T382" t="s">
        <v>170</v>
      </c>
      <c r="U382" t="s">
        <v>155</v>
      </c>
      <c r="V382" t="s">
        <v>155</v>
      </c>
      <c r="W382" t="s">
        <v>155</v>
      </c>
      <c r="X382" t="s">
        <v>155</v>
      </c>
      <c r="Y382" t="s">
        <v>155</v>
      </c>
      <c r="AC382" t="s">
        <v>170</v>
      </c>
      <c r="AD382" t="s">
        <v>155</v>
      </c>
      <c r="AE382" t="s">
        <v>155</v>
      </c>
      <c r="AF382" t="s">
        <v>155</v>
      </c>
      <c r="AG382" t="s">
        <v>155</v>
      </c>
      <c r="AH382" t="s">
        <v>155</v>
      </c>
    </row>
    <row r="383" spans="19:34" ht="16.2" customHeight="1" x14ac:dyDescent="0.3">
      <c r="T383" t="s">
        <v>171</v>
      </c>
      <c r="U383" t="s">
        <v>155</v>
      </c>
      <c r="V383" t="s">
        <v>155</v>
      </c>
      <c r="W383" t="s">
        <v>155</v>
      </c>
      <c r="X383" t="s">
        <v>155</v>
      </c>
      <c r="Y383" t="s">
        <v>155</v>
      </c>
      <c r="AC383" t="s">
        <v>171</v>
      </c>
      <c r="AD383" t="s">
        <v>155</v>
      </c>
      <c r="AE383" t="s">
        <v>155</v>
      </c>
      <c r="AF383" t="s">
        <v>155</v>
      </c>
      <c r="AG383" t="s">
        <v>155</v>
      </c>
      <c r="AH383" t="s">
        <v>155</v>
      </c>
    </row>
    <row r="384" spans="19:34" ht="16.2" customHeight="1" x14ac:dyDescent="0.3">
      <c r="T384" t="s">
        <v>172</v>
      </c>
      <c r="U384" t="s">
        <v>155</v>
      </c>
      <c r="V384" t="s">
        <v>155</v>
      </c>
      <c r="W384" t="s">
        <v>155</v>
      </c>
      <c r="X384" t="s">
        <v>155</v>
      </c>
      <c r="Y384" t="s">
        <v>155</v>
      </c>
      <c r="AC384" t="s">
        <v>172</v>
      </c>
      <c r="AD384" t="s">
        <v>155</v>
      </c>
      <c r="AE384" t="s">
        <v>155</v>
      </c>
      <c r="AF384" t="s">
        <v>155</v>
      </c>
      <c r="AG384" t="s">
        <v>155</v>
      </c>
      <c r="AH384" t="s">
        <v>155</v>
      </c>
    </row>
    <row r="386" spans="19:34" ht="16.2" customHeight="1" x14ac:dyDescent="0.3">
      <c r="S386" s="15" t="s">
        <v>129</v>
      </c>
      <c r="T386" t="s">
        <v>208</v>
      </c>
      <c r="AB386" s="15" t="s">
        <v>129</v>
      </c>
      <c r="AC386" t="s">
        <v>208</v>
      </c>
    </row>
    <row r="387" spans="19:34" ht="16.2" customHeight="1" x14ac:dyDescent="0.3">
      <c r="U387" t="s">
        <v>164</v>
      </c>
      <c r="V387" t="s">
        <v>165</v>
      </c>
      <c r="W387" t="s">
        <v>166</v>
      </c>
      <c r="X387" t="s">
        <v>167</v>
      </c>
      <c r="Y387" t="s">
        <v>168</v>
      </c>
      <c r="AD387" t="s">
        <v>164</v>
      </c>
      <c r="AE387" t="s">
        <v>165</v>
      </c>
      <c r="AF387" t="s">
        <v>166</v>
      </c>
      <c r="AG387" t="s">
        <v>167</v>
      </c>
      <c r="AH387" t="s">
        <v>168</v>
      </c>
    </row>
    <row r="388" spans="19:34" ht="16.2" customHeight="1" x14ac:dyDescent="0.3">
      <c r="T388" t="s">
        <v>154</v>
      </c>
      <c r="U388" t="s">
        <v>155</v>
      </c>
      <c r="V388" t="s">
        <v>155</v>
      </c>
      <c r="W388" t="s">
        <v>155</v>
      </c>
      <c r="X388" t="s">
        <v>155</v>
      </c>
      <c r="Y388" t="s">
        <v>155</v>
      </c>
      <c r="AC388" t="s">
        <v>154</v>
      </c>
      <c r="AD388" t="s">
        <v>155</v>
      </c>
      <c r="AE388" t="s">
        <v>155</v>
      </c>
      <c r="AF388" t="s">
        <v>155</v>
      </c>
      <c r="AG388" t="s">
        <v>155</v>
      </c>
      <c r="AH388" t="s">
        <v>155</v>
      </c>
    </row>
    <row r="389" spans="19:34" ht="16.2" customHeight="1" x14ac:dyDescent="0.3">
      <c r="T389" t="s">
        <v>156</v>
      </c>
      <c r="U389" t="s">
        <v>84</v>
      </c>
      <c r="V389" t="s">
        <v>155</v>
      </c>
      <c r="W389" t="s">
        <v>155</v>
      </c>
      <c r="X389" t="s">
        <v>155</v>
      </c>
      <c r="Y389" t="s">
        <v>155</v>
      </c>
      <c r="AC389" t="s">
        <v>156</v>
      </c>
      <c r="AD389" t="s">
        <v>155</v>
      </c>
      <c r="AE389" t="s">
        <v>155</v>
      </c>
      <c r="AF389" t="s">
        <v>155</v>
      </c>
      <c r="AG389" t="s">
        <v>155</v>
      </c>
      <c r="AH389" t="s">
        <v>155</v>
      </c>
    </row>
    <row r="390" spans="19:34" ht="16.2" customHeight="1" x14ac:dyDescent="0.3">
      <c r="T390" t="s">
        <v>157</v>
      </c>
      <c r="U390" t="s">
        <v>84</v>
      </c>
      <c r="V390" t="s">
        <v>155</v>
      </c>
      <c r="W390" t="s">
        <v>155</v>
      </c>
      <c r="X390" t="s">
        <v>155</v>
      </c>
      <c r="Y390" t="s">
        <v>155</v>
      </c>
      <c r="AC390" t="s">
        <v>157</v>
      </c>
      <c r="AD390" t="s">
        <v>155</v>
      </c>
      <c r="AE390" t="s">
        <v>155</v>
      </c>
      <c r="AF390" t="s">
        <v>155</v>
      </c>
      <c r="AG390" t="s">
        <v>155</v>
      </c>
      <c r="AH390" t="s">
        <v>155</v>
      </c>
    </row>
    <row r="391" spans="19:34" ht="16.2" customHeight="1" x14ac:dyDescent="0.3">
      <c r="T391" t="s">
        <v>158</v>
      </c>
      <c r="U391" t="s">
        <v>84</v>
      </c>
      <c r="V391" t="s">
        <v>155</v>
      </c>
      <c r="W391" t="s">
        <v>155</v>
      </c>
      <c r="X391" t="s">
        <v>155</v>
      </c>
      <c r="Y391" t="s">
        <v>155</v>
      </c>
      <c r="AC391" t="s">
        <v>158</v>
      </c>
      <c r="AD391" t="s">
        <v>155</v>
      </c>
      <c r="AE391" t="s">
        <v>155</v>
      </c>
      <c r="AF391" t="s">
        <v>155</v>
      </c>
      <c r="AG391" t="s">
        <v>84</v>
      </c>
      <c r="AH391" t="s">
        <v>155</v>
      </c>
    </row>
    <row r="392" spans="19:34" ht="16.2" customHeight="1" x14ac:dyDescent="0.3">
      <c r="T392" t="s">
        <v>159</v>
      </c>
      <c r="U392" t="s">
        <v>155</v>
      </c>
      <c r="V392" t="s">
        <v>155</v>
      </c>
      <c r="W392" t="s">
        <v>84</v>
      </c>
      <c r="X392" t="s">
        <v>155</v>
      </c>
      <c r="Y392" t="s">
        <v>155</v>
      </c>
      <c r="AC392" t="s">
        <v>159</v>
      </c>
      <c r="AD392" t="s">
        <v>84</v>
      </c>
      <c r="AE392" t="s">
        <v>155</v>
      </c>
      <c r="AF392" t="s">
        <v>155</v>
      </c>
      <c r="AG392" t="s">
        <v>84</v>
      </c>
      <c r="AH392" t="s">
        <v>155</v>
      </c>
    </row>
    <row r="393" spans="19:34" ht="16.2" customHeight="1" x14ac:dyDescent="0.3">
      <c r="T393" t="s">
        <v>160</v>
      </c>
      <c r="U393" t="s">
        <v>155</v>
      </c>
      <c r="V393" t="s">
        <v>155</v>
      </c>
      <c r="W393" t="s">
        <v>84</v>
      </c>
      <c r="X393" t="s">
        <v>155</v>
      </c>
      <c r="Y393" t="s">
        <v>155</v>
      </c>
      <c r="AC393" t="s">
        <v>160</v>
      </c>
      <c r="AD393" t="s">
        <v>84</v>
      </c>
      <c r="AE393" t="s">
        <v>155</v>
      </c>
      <c r="AF393" t="s">
        <v>155</v>
      </c>
      <c r="AG393" t="s">
        <v>84</v>
      </c>
      <c r="AH393" t="s">
        <v>155</v>
      </c>
    </row>
    <row r="394" spans="19:34" ht="16.2" customHeight="1" x14ac:dyDescent="0.3">
      <c r="T394" t="s">
        <v>169</v>
      </c>
      <c r="U394" t="s">
        <v>155</v>
      </c>
      <c r="V394" t="s">
        <v>155</v>
      </c>
      <c r="W394" t="s">
        <v>155</v>
      </c>
      <c r="X394" t="s">
        <v>155</v>
      </c>
      <c r="Y394" t="s">
        <v>155</v>
      </c>
      <c r="AC394" t="s">
        <v>169</v>
      </c>
      <c r="AD394" t="s">
        <v>155</v>
      </c>
      <c r="AE394" t="s">
        <v>155</v>
      </c>
      <c r="AF394" t="s">
        <v>155</v>
      </c>
      <c r="AG394" t="s">
        <v>155</v>
      </c>
      <c r="AH394" t="s">
        <v>155</v>
      </c>
    </row>
    <row r="395" spans="19:34" ht="16.2" customHeight="1" x14ac:dyDescent="0.3">
      <c r="T395" t="s">
        <v>170</v>
      </c>
      <c r="U395" t="s">
        <v>155</v>
      </c>
      <c r="V395" t="s">
        <v>155</v>
      </c>
      <c r="W395" t="s">
        <v>155</v>
      </c>
      <c r="X395" t="s">
        <v>155</v>
      </c>
      <c r="Y395" t="s">
        <v>155</v>
      </c>
      <c r="AC395" t="s">
        <v>170</v>
      </c>
      <c r="AD395" t="s">
        <v>155</v>
      </c>
      <c r="AE395" t="s">
        <v>155</v>
      </c>
      <c r="AF395" t="s">
        <v>155</v>
      </c>
      <c r="AG395" t="s">
        <v>155</v>
      </c>
      <c r="AH395" t="s">
        <v>155</v>
      </c>
    </row>
    <row r="396" spans="19:34" ht="16.2" customHeight="1" x14ac:dyDescent="0.3">
      <c r="T396" t="s">
        <v>171</v>
      </c>
      <c r="U396" t="s">
        <v>155</v>
      </c>
      <c r="V396" t="s">
        <v>155</v>
      </c>
      <c r="W396" t="s">
        <v>155</v>
      </c>
      <c r="X396" t="s">
        <v>155</v>
      </c>
      <c r="Y396" t="s">
        <v>155</v>
      </c>
      <c r="AC396" t="s">
        <v>171</v>
      </c>
      <c r="AD396" t="s">
        <v>155</v>
      </c>
      <c r="AE396" t="s">
        <v>155</v>
      </c>
      <c r="AF396" t="s">
        <v>155</v>
      </c>
      <c r="AG396" t="s">
        <v>155</v>
      </c>
      <c r="AH396" t="s">
        <v>155</v>
      </c>
    </row>
    <row r="397" spans="19:34" ht="16.2" customHeight="1" x14ac:dyDescent="0.3">
      <c r="T397" t="s">
        <v>172</v>
      </c>
      <c r="U397" t="s">
        <v>155</v>
      </c>
      <c r="V397" t="s">
        <v>155</v>
      </c>
      <c r="W397" t="s">
        <v>155</v>
      </c>
      <c r="X397" t="s">
        <v>155</v>
      </c>
      <c r="Y397" t="s">
        <v>155</v>
      </c>
      <c r="AC397" t="s">
        <v>172</v>
      </c>
      <c r="AD397" t="s">
        <v>155</v>
      </c>
      <c r="AE397" t="s">
        <v>155</v>
      </c>
      <c r="AF397" t="s">
        <v>155</v>
      </c>
      <c r="AG397" t="s">
        <v>155</v>
      </c>
      <c r="AH397" t="s">
        <v>155</v>
      </c>
    </row>
    <row r="399" spans="19:34" ht="16.2" customHeight="1" x14ac:dyDescent="0.3">
      <c r="S399" s="15" t="s">
        <v>130</v>
      </c>
      <c r="T399" t="s">
        <v>209</v>
      </c>
      <c r="AB399" s="15" t="s">
        <v>130</v>
      </c>
      <c r="AC399" t="s">
        <v>209</v>
      </c>
    </row>
    <row r="400" spans="19:34" ht="16.2" customHeight="1" x14ac:dyDescent="0.3">
      <c r="U400" t="s">
        <v>164</v>
      </c>
      <c r="V400" t="s">
        <v>165</v>
      </c>
      <c r="W400" t="s">
        <v>166</v>
      </c>
      <c r="X400" t="s">
        <v>167</v>
      </c>
      <c r="Y400" t="s">
        <v>168</v>
      </c>
      <c r="AD400" t="s">
        <v>164</v>
      </c>
      <c r="AE400" t="s">
        <v>165</v>
      </c>
      <c r="AF400" t="s">
        <v>166</v>
      </c>
      <c r="AG400" t="s">
        <v>167</v>
      </c>
      <c r="AH400" t="s">
        <v>168</v>
      </c>
    </row>
    <row r="401" spans="19:34" ht="16.2" customHeight="1" x14ac:dyDescent="0.3">
      <c r="T401" t="s">
        <v>154</v>
      </c>
      <c r="U401" t="s">
        <v>155</v>
      </c>
      <c r="V401" t="s">
        <v>155</v>
      </c>
      <c r="W401" t="s">
        <v>155</v>
      </c>
      <c r="X401" t="s">
        <v>85</v>
      </c>
      <c r="Y401" t="s">
        <v>155</v>
      </c>
      <c r="AC401" t="s">
        <v>154</v>
      </c>
      <c r="AD401" t="s">
        <v>155</v>
      </c>
      <c r="AE401" t="s">
        <v>155</v>
      </c>
      <c r="AF401" t="s">
        <v>155</v>
      </c>
      <c r="AG401" t="s">
        <v>85</v>
      </c>
      <c r="AH401" t="s">
        <v>155</v>
      </c>
    </row>
    <row r="402" spans="19:34" ht="16.2" customHeight="1" x14ac:dyDescent="0.3">
      <c r="T402" t="s">
        <v>156</v>
      </c>
      <c r="U402" t="s">
        <v>155</v>
      </c>
      <c r="V402" t="s">
        <v>155</v>
      </c>
      <c r="W402" t="s">
        <v>155</v>
      </c>
      <c r="X402" t="s">
        <v>85</v>
      </c>
      <c r="Y402" t="s">
        <v>155</v>
      </c>
      <c r="AC402" t="s">
        <v>156</v>
      </c>
      <c r="AD402" t="s">
        <v>155</v>
      </c>
      <c r="AE402" t="s">
        <v>155</v>
      </c>
      <c r="AF402" t="s">
        <v>155</v>
      </c>
      <c r="AG402" t="s">
        <v>85</v>
      </c>
      <c r="AH402" t="s">
        <v>155</v>
      </c>
    </row>
    <row r="403" spans="19:34" ht="16.2" customHeight="1" x14ac:dyDescent="0.3">
      <c r="T403" t="s">
        <v>157</v>
      </c>
      <c r="U403" t="s">
        <v>155</v>
      </c>
      <c r="V403" t="s">
        <v>155</v>
      </c>
      <c r="W403" t="s">
        <v>155</v>
      </c>
      <c r="X403" t="s">
        <v>85</v>
      </c>
      <c r="Y403" t="s">
        <v>155</v>
      </c>
      <c r="AC403" t="s">
        <v>157</v>
      </c>
      <c r="AD403" t="s">
        <v>155</v>
      </c>
      <c r="AE403" t="s">
        <v>155</v>
      </c>
      <c r="AF403" t="s">
        <v>155</v>
      </c>
      <c r="AG403" t="s">
        <v>85</v>
      </c>
      <c r="AH403" t="s">
        <v>155</v>
      </c>
    </row>
    <row r="404" spans="19:34" ht="16.2" customHeight="1" x14ac:dyDescent="0.3">
      <c r="T404" t="s">
        <v>158</v>
      </c>
      <c r="U404" t="s">
        <v>155</v>
      </c>
      <c r="V404" t="s">
        <v>155</v>
      </c>
      <c r="W404" t="s">
        <v>155</v>
      </c>
      <c r="X404" t="s">
        <v>155</v>
      </c>
      <c r="Y404" t="s">
        <v>155</v>
      </c>
      <c r="AC404" t="s">
        <v>158</v>
      </c>
      <c r="AD404" t="s">
        <v>155</v>
      </c>
      <c r="AE404" t="s">
        <v>155</v>
      </c>
      <c r="AF404" t="s">
        <v>155</v>
      </c>
      <c r="AG404" t="s">
        <v>155</v>
      </c>
      <c r="AH404" t="s">
        <v>155</v>
      </c>
    </row>
    <row r="405" spans="19:34" ht="16.2" customHeight="1" x14ac:dyDescent="0.3">
      <c r="T405" t="s">
        <v>159</v>
      </c>
      <c r="U405" t="s">
        <v>155</v>
      </c>
      <c r="V405" t="s">
        <v>155</v>
      </c>
      <c r="W405" t="s">
        <v>155</v>
      </c>
      <c r="X405" t="s">
        <v>155</v>
      </c>
      <c r="Y405" t="s">
        <v>155</v>
      </c>
      <c r="AC405" t="s">
        <v>159</v>
      </c>
      <c r="AD405" t="s">
        <v>155</v>
      </c>
      <c r="AE405" t="s">
        <v>155</v>
      </c>
      <c r="AF405" t="s">
        <v>155</v>
      </c>
      <c r="AG405" t="s">
        <v>155</v>
      </c>
      <c r="AH405" t="s">
        <v>155</v>
      </c>
    </row>
    <row r="406" spans="19:34" ht="16.2" customHeight="1" x14ac:dyDescent="0.3">
      <c r="T406" t="s">
        <v>160</v>
      </c>
      <c r="U406" t="s">
        <v>155</v>
      </c>
      <c r="V406" t="s">
        <v>155</v>
      </c>
      <c r="W406" t="s">
        <v>155</v>
      </c>
      <c r="X406" t="s">
        <v>155</v>
      </c>
      <c r="Y406" t="s">
        <v>155</v>
      </c>
      <c r="AC406" t="s">
        <v>160</v>
      </c>
      <c r="AD406" t="s">
        <v>155</v>
      </c>
      <c r="AE406" t="s">
        <v>155</v>
      </c>
      <c r="AF406" t="s">
        <v>155</v>
      </c>
      <c r="AG406" t="s">
        <v>155</v>
      </c>
      <c r="AH406" t="s">
        <v>155</v>
      </c>
    </row>
    <row r="407" spans="19:34" ht="16.2" customHeight="1" x14ac:dyDescent="0.3">
      <c r="T407" t="s">
        <v>169</v>
      </c>
      <c r="U407" t="s">
        <v>155</v>
      </c>
      <c r="V407" t="s">
        <v>155</v>
      </c>
      <c r="W407" t="s">
        <v>155</v>
      </c>
      <c r="X407" t="s">
        <v>155</v>
      </c>
      <c r="Y407" t="s">
        <v>155</v>
      </c>
      <c r="AC407" t="s">
        <v>169</v>
      </c>
      <c r="AD407" t="s">
        <v>155</v>
      </c>
      <c r="AE407" t="s">
        <v>155</v>
      </c>
      <c r="AF407" t="s">
        <v>155</v>
      </c>
      <c r="AG407" t="s">
        <v>155</v>
      </c>
      <c r="AH407" t="s">
        <v>155</v>
      </c>
    </row>
    <row r="408" spans="19:34" ht="16.2" customHeight="1" x14ac:dyDescent="0.3">
      <c r="T408" t="s">
        <v>170</v>
      </c>
      <c r="U408" t="s">
        <v>155</v>
      </c>
      <c r="V408" t="s">
        <v>155</v>
      </c>
      <c r="W408" t="s">
        <v>155</v>
      </c>
      <c r="X408" t="s">
        <v>155</v>
      </c>
      <c r="Y408" t="s">
        <v>155</v>
      </c>
      <c r="AC408" t="s">
        <v>170</v>
      </c>
      <c r="AD408" t="s">
        <v>155</v>
      </c>
      <c r="AE408" t="s">
        <v>155</v>
      </c>
      <c r="AF408" t="s">
        <v>155</v>
      </c>
      <c r="AG408" t="s">
        <v>155</v>
      </c>
      <c r="AH408" t="s">
        <v>155</v>
      </c>
    </row>
    <row r="409" spans="19:34" ht="16.2" customHeight="1" x14ac:dyDescent="0.3">
      <c r="T409" t="s">
        <v>171</v>
      </c>
      <c r="U409" t="s">
        <v>155</v>
      </c>
      <c r="V409" t="s">
        <v>155</v>
      </c>
      <c r="W409" t="s">
        <v>155</v>
      </c>
      <c r="X409" t="s">
        <v>155</v>
      </c>
      <c r="Y409" t="s">
        <v>155</v>
      </c>
      <c r="AC409" t="s">
        <v>171</v>
      </c>
      <c r="AD409" t="s">
        <v>155</v>
      </c>
      <c r="AE409" t="s">
        <v>155</v>
      </c>
      <c r="AF409" t="s">
        <v>155</v>
      </c>
      <c r="AG409" t="s">
        <v>155</v>
      </c>
      <c r="AH409" t="s">
        <v>155</v>
      </c>
    </row>
    <row r="410" spans="19:34" ht="16.2" customHeight="1" x14ac:dyDescent="0.3">
      <c r="T410" t="s">
        <v>172</v>
      </c>
      <c r="U410" t="s">
        <v>155</v>
      </c>
      <c r="V410" t="s">
        <v>155</v>
      </c>
      <c r="W410" t="s">
        <v>155</v>
      </c>
      <c r="X410" t="s">
        <v>155</v>
      </c>
      <c r="Y410" t="s">
        <v>155</v>
      </c>
      <c r="AC410" t="s">
        <v>172</v>
      </c>
      <c r="AD410" t="s">
        <v>155</v>
      </c>
      <c r="AE410" t="s">
        <v>155</v>
      </c>
      <c r="AF410" t="s">
        <v>155</v>
      </c>
      <c r="AG410" t="s">
        <v>155</v>
      </c>
      <c r="AH410" t="s">
        <v>155</v>
      </c>
    </row>
    <row r="412" spans="19:34" ht="16.2" customHeight="1" x14ac:dyDescent="0.3">
      <c r="S412" s="15" t="s">
        <v>131</v>
      </c>
      <c r="T412" t="s">
        <v>210</v>
      </c>
      <c r="AB412" s="15" t="s">
        <v>131</v>
      </c>
      <c r="AC412" t="s">
        <v>210</v>
      </c>
    </row>
    <row r="413" spans="19:34" ht="16.2" customHeight="1" x14ac:dyDescent="0.3">
      <c r="U413" t="s">
        <v>164</v>
      </c>
      <c r="V413" t="s">
        <v>165</v>
      </c>
      <c r="W413" t="s">
        <v>166</v>
      </c>
      <c r="X413" t="s">
        <v>167</v>
      </c>
      <c r="Y413" t="s">
        <v>168</v>
      </c>
      <c r="AD413" t="s">
        <v>164</v>
      </c>
      <c r="AE413" t="s">
        <v>165</v>
      </c>
      <c r="AF413" t="s">
        <v>166</v>
      </c>
      <c r="AG413" t="s">
        <v>167</v>
      </c>
      <c r="AH413" t="s">
        <v>168</v>
      </c>
    </row>
    <row r="414" spans="19:34" ht="16.2" customHeight="1" x14ac:dyDescent="0.3">
      <c r="T414" t="s">
        <v>154</v>
      </c>
      <c r="U414" t="s">
        <v>155</v>
      </c>
      <c r="V414" t="s">
        <v>86</v>
      </c>
      <c r="W414" t="s">
        <v>155</v>
      </c>
      <c r="X414" t="s">
        <v>155</v>
      </c>
      <c r="Y414" t="s">
        <v>155</v>
      </c>
      <c r="AC414" t="s">
        <v>154</v>
      </c>
      <c r="AD414" t="s">
        <v>155</v>
      </c>
      <c r="AE414" t="s">
        <v>86</v>
      </c>
      <c r="AF414" t="s">
        <v>155</v>
      </c>
      <c r="AG414" t="s">
        <v>155</v>
      </c>
      <c r="AH414" t="s">
        <v>155</v>
      </c>
    </row>
    <row r="415" spans="19:34" ht="16.2" customHeight="1" x14ac:dyDescent="0.3">
      <c r="T415" t="s">
        <v>156</v>
      </c>
      <c r="U415" t="s">
        <v>155</v>
      </c>
      <c r="V415" t="s">
        <v>86</v>
      </c>
      <c r="W415" t="s">
        <v>155</v>
      </c>
      <c r="X415" t="s">
        <v>155</v>
      </c>
      <c r="Y415" t="s">
        <v>155</v>
      </c>
      <c r="AC415" t="s">
        <v>156</v>
      </c>
      <c r="AD415" t="s">
        <v>155</v>
      </c>
      <c r="AE415" t="s">
        <v>86</v>
      </c>
      <c r="AF415" t="s">
        <v>155</v>
      </c>
      <c r="AG415" t="s">
        <v>155</v>
      </c>
      <c r="AH415" t="s">
        <v>155</v>
      </c>
    </row>
    <row r="416" spans="19:34" ht="16.2" customHeight="1" x14ac:dyDescent="0.3">
      <c r="T416" t="s">
        <v>157</v>
      </c>
      <c r="U416" t="s">
        <v>155</v>
      </c>
      <c r="V416" t="s">
        <v>155</v>
      </c>
      <c r="W416" t="s">
        <v>86</v>
      </c>
      <c r="X416" t="s">
        <v>155</v>
      </c>
      <c r="Y416" t="s">
        <v>155</v>
      </c>
      <c r="AC416" t="s">
        <v>157</v>
      </c>
      <c r="AD416" t="s">
        <v>155</v>
      </c>
      <c r="AE416" t="s">
        <v>155</v>
      </c>
      <c r="AF416" t="s">
        <v>86</v>
      </c>
      <c r="AG416" t="s">
        <v>155</v>
      </c>
      <c r="AH416" t="s">
        <v>155</v>
      </c>
    </row>
    <row r="417" spans="19:34" ht="16.2" customHeight="1" x14ac:dyDescent="0.3">
      <c r="T417" t="s">
        <v>158</v>
      </c>
      <c r="U417" t="s">
        <v>155</v>
      </c>
      <c r="V417" t="s">
        <v>155</v>
      </c>
      <c r="W417" t="s">
        <v>86</v>
      </c>
      <c r="X417" t="s">
        <v>155</v>
      </c>
      <c r="Y417" t="s">
        <v>155</v>
      </c>
      <c r="AC417" t="s">
        <v>158</v>
      </c>
      <c r="AD417" t="s">
        <v>155</v>
      </c>
      <c r="AE417" t="s">
        <v>155</v>
      </c>
      <c r="AF417" t="s">
        <v>86</v>
      </c>
      <c r="AG417" t="s">
        <v>155</v>
      </c>
      <c r="AH417" t="s">
        <v>155</v>
      </c>
    </row>
    <row r="418" spans="19:34" ht="16.2" customHeight="1" x14ac:dyDescent="0.3">
      <c r="T418" t="s">
        <v>159</v>
      </c>
      <c r="U418" t="s">
        <v>155</v>
      </c>
      <c r="V418" t="s">
        <v>155</v>
      </c>
      <c r="W418" t="s">
        <v>155</v>
      </c>
      <c r="X418" t="s">
        <v>155</v>
      </c>
      <c r="Y418" t="s">
        <v>155</v>
      </c>
      <c r="AC418" t="s">
        <v>159</v>
      </c>
      <c r="AD418" t="s">
        <v>155</v>
      </c>
      <c r="AE418" t="s">
        <v>155</v>
      </c>
      <c r="AF418" t="s">
        <v>155</v>
      </c>
      <c r="AG418" t="s">
        <v>155</v>
      </c>
      <c r="AH418" t="s">
        <v>155</v>
      </c>
    </row>
    <row r="419" spans="19:34" ht="16.2" customHeight="1" x14ac:dyDescent="0.3">
      <c r="T419" t="s">
        <v>160</v>
      </c>
      <c r="U419" t="s">
        <v>155</v>
      </c>
      <c r="V419" t="s">
        <v>155</v>
      </c>
      <c r="W419" t="s">
        <v>155</v>
      </c>
      <c r="X419" t="s">
        <v>155</v>
      </c>
      <c r="Y419" t="s">
        <v>155</v>
      </c>
      <c r="AC419" t="s">
        <v>160</v>
      </c>
      <c r="AD419" t="s">
        <v>155</v>
      </c>
      <c r="AE419" t="s">
        <v>155</v>
      </c>
      <c r="AF419" t="s">
        <v>155</v>
      </c>
      <c r="AG419" t="s">
        <v>155</v>
      </c>
      <c r="AH419" t="s">
        <v>155</v>
      </c>
    </row>
    <row r="420" spans="19:34" ht="16.2" customHeight="1" x14ac:dyDescent="0.3">
      <c r="T420" t="s">
        <v>169</v>
      </c>
      <c r="U420" t="s">
        <v>155</v>
      </c>
      <c r="V420" t="s">
        <v>155</v>
      </c>
      <c r="W420" t="s">
        <v>155</v>
      </c>
      <c r="X420" t="s">
        <v>155</v>
      </c>
      <c r="Y420" t="s">
        <v>155</v>
      </c>
      <c r="AC420" t="s">
        <v>169</v>
      </c>
      <c r="AD420" t="s">
        <v>155</v>
      </c>
      <c r="AE420" t="s">
        <v>155</v>
      </c>
      <c r="AF420" t="s">
        <v>155</v>
      </c>
      <c r="AG420" t="s">
        <v>155</v>
      </c>
      <c r="AH420" t="s">
        <v>155</v>
      </c>
    </row>
    <row r="421" spans="19:34" ht="16.2" customHeight="1" x14ac:dyDescent="0.3">
      <c r="T421" t="s">
        <v>170</v>
      </c>
      <c r="U421" t="s">
        <v>155</v>
      </c>
      <c r="V421" t="s">
        <v>155</v>
      </c>
      <c r="W421" t="s">
        <v>155</v>
      </c>
      <c r="X421" t="s">
        <v>155</v>
      </c>
      <c r="Y421" t="s">
        <v>155</v>
      </c>
      <c r="AC421" t="s">
        <v>170</v>
      </c>
      <c r="AD421" t="s">
        <v>155</v>
      </c>
      <c r="AE421" t="s">
        <v>155</v>
      </c>
      <c r="AF421" t="s">
        <v>155</v>
      </c>
      <c r="AG421" t="s">
        <v>155</v>
      </c>
      <c r="AH421" t="s">
        <v>155</v>
      </c>
    </row>
    <row r="422" spans="19:34" ht="16.2" customHeight="1" x14ac:dyDescent="0.3">
      <c r="T422" t="s">
        <v>171</v>
      </c>
      <c r="U422" t="s">
        <v>155</v>
      </c>
      <c r="V422" t="s">
        <v>155</v>
      </c>
      <c r="W422" t="s">
        <v>155</v>
      </c>
      <c r="X422" t="s">
        <v>155</v>
      </c>
      <c r="Y422" t="s">
        <v>155</v>
      </c>
      <c r="AC422" t="s">
        <v>171</v>
      </c>
      <c r="AD422" t="s">
        <v>155</v>
      </c>
      <c r="AE422" t="s">
        <v>155</v>
      </c>
      <c r="AF422" t="s">
        <v>155</v>
      </c>
      <c r="AG422" t="s">
        <v>155</v>
      </c>
      <c r="AH422" t="s">
        <v>155</v>
      </c>
    </row>
    <row r="423" spans="19:34" ht="16.2" customHeight="1" x14ac:dyDescent="0.3">
      <c r="T423" t="s">
        <v>172</v>
      </c>
      <c r="U423" t="s">
        <v>155</v>
      </c>
      <c r="V423" t="s">
        <v>155</v>
      </c>
      <c r="W423" t="s">
        <v>155</v>
      </c>
      <c r="X423" t="s">
        <v>155</v>
      </c>
      <c r="Y423" t="s">
        <v>155</v>
      </c>
      <c r="AC423" t="s">
        <v>172</v>
      </c>
      <c r="AD423" t="s">
        <v>155</v>
      </c>
      <c r="AE423" t="s">
        <v>155</v>
      </c>
      <c r="AF423" t="s">
        <v>155</v>
      </c>
      <c r="AG423" t="s">
        <v>155</v>
      </c>
      <c r="AH423" t="s">
        <v>155</v>
      </c>
    </row>
    <row r="425" spans="19:34" ht="16.2" customHeight="1" x14ac:dyDescent="0.3">
      <c r="S425" s="15" t="s">
        <v>152</v>
      </c>
      <c r="T425" t="s">
        <v>211</v>
      </c>
      <c r="AB425" s="15" t="s">
        <v>152</v>
      </c>
      <c r="AC425" t="s">
        <v>211</v>
      </c>
    </row>
    <row r="426" spans="19:34" ht="16.2" customHeight="1" x14ac:dyDescent="0.3">
      <c r="U426" t="s">
        <v>164</v>
      </c>
      <c r="V426" t="s">
        <v>165</v>
      </c>
      <c r="W426" t="s">
        <v>166</v>
      </c>
      <c r="X426" t="s">
        <v>167</v>
      </c>
      <c r="Y426" t="s">
        <v>168</v>
      </c>
      <c r="AD426" t="s">
        <v>164</v>
      </c>
      <c r="AE426" t="s">
        <v>165</v>
      </c>
      <c r="AF426" t="s">
        <v>166</v>
      </c>
      <c r="AG426" t="s">
        <v>167</v>
      </c>
      <c r="AH426" t="s">
        <v>168</v>
      </c>
    </row>
    <row r="427" spans="19:34" ht="16.2" customHeight="1" x14ac:dyDescent="0.3">
      <c r="T427" t="s">
        <v>154</v>
      </c>
      <c r="U427" t="s">
        <v>155</v>
      </c>
      <c r="V427" t="s">
        <v>87</v>
      </c>
      <c r="W427" t="s">
        <v>155</v>
      </c>
      <c r="X427" t="s">
        <v>87</v>
      </c>
      <c r="Y427" t="s">
        <v>155</v>
      </c>
      <c r="AC427" t="s">
        <v>154</v>
      </c>
      <c r="AD427" t="s">
        <v>155</v>
      </c>
      <c r="AE427" t="s">
        <v>87</v>
      </c>
      <c r="AF427" t="s">
        <v>155</v>
      </c>
      <c r="AG427" t="s">
        <v>87</v>
      </c>
      <c r="AH427" t="s">
        <v>155</v>
      </c>
    </row>
    <row r="428" spans="19:34" ht="16.2" customHeight="1" x14ac:dyDescent="0.3">
      <c r="T428" t="s">
        <v>156</v>
      </c>
      <c r="U428" t="s">
        <v>155</v>
      </c>
      <c r="V428" t="s">
        <v>87</v>
      </c>
      <c r="W428" t="s">
        <v>155</v>
      </c>
      <c r="X428" t="s">
        <v>87</v>
      </c>
      <c r="Y428" t="s">
        <v>155</v>
      </c>
      <c r="AC428" t="s">
        <v>156</v>
      </c>
      <c r="AD428" t="s">
        <v>155</v>
      </c>
      <c r="AE428" t="s">
        <v>87</v>
      </c>
      <c r="AF428" t="s">
        <v>155</v>
      </c>
      <c r="AG428" t="s">
        <v>87</v>
      </c>
      <c r="AH428" t="s">
        <v>155</v>
      </c>
    </row>
    <row r="429" spans="19:34" ht="16.2" customHeight="1" x14ac:dyDescent="0.3">
      <c r="T429" t="s">
        <v>157</v>
      </c>
      <c r="U429" t="s">
        <v>155</v>
      </c>
      <c r="V429" t="s">
        <v>155</v>
      </c>
      <c r="W429" t="s">
        <v>155</v>
      </c>
      <c r="X429" t="s">
        <v>87</v>
      </c>
      <c r="Y429" t="s">
        <v>155</v>
      </c>
      <c r="AC429" t="s">
        <v>157</v>
      </c>
      <c r="AD429" t="s">
        <v>155</v>
      </c>
      <c r="AE429" t="s">
        <v>155</v>
      </c>
      <c r="AF429" t="s">
        <v>155</v>
      </c>
      <c r="AG429" t="s">
        <v>87</v>
      </c>
      <c r="AH429" t="s">
        <v>155</v>
      </c>
    </row>
    <row r="430" spans="19:34" ht="16.2" customHeight="1" x14ac:dyDescent="0.3">
      <c r="T430" t="s">
        <v>158</v>
      </c>
      <c r="U430" t="s">
        <v>155</v>
      </c>
      <c r="V430" t="s">
        <v>155</v>
      </c>
      <c r="W430" t="s">
        <v>155</v>
      </c>
      <c r="X430" t="s">
        <v>155</v>
      </c>
      <c r="Y430" t="s">
        <v>155</v>
      </c>
      <c r="AC430" t="s">
        <v>158</v>
      </c>
      <c r="AD430" t="s">
        <v>155</v>
      </c>
      <c r="AE430" t="s">
        <v>155</v>
      </c>
      <c r="AF430" t="s">
        <v>155</v>
      </c>
      <c r="AG430" t="s">
        <v>155</v>
      </c>
      <c r="AH430" t="s">
        <v>155</v>
      </c>
    </row>
    <row r="431" spans="19:34" ht="16.2" customHeight="1" x14ac:dyDescent="0.3">
      <c r="T431" t="s">
        <v>159</v>
      </c>
      <c r="U431" t="s">
        <v>155</v>
      </c>
      <c r="V431" t="s">
        <v>155</v>
      </c>
      <c r="W431" t="s">
        <v>155</v>
      </c>
      <c r="X431" t="s">
        <v>155</v>
      </c>
      <c r="Y431" t="s">
        <v>155</v>
      </c>
      <c r="AC431" t="s">
        <v>159</v>
      </c>
      <c r="AD431" t="s">
        <v>155</v>
      </c>
      <c r="AE431" t="s">
        <v>155</v>
      </c>
      <c r="AF431" t="s">
        <v>155</v>
      </c>
      <c r="AG431" t="s">
        <v>155</v>
      </c>
      <c r="AH431" t="s">
        <v>155</v>
      </c>
    </row>
    <row r="432" spans="19:34" ht="16.2" customHeight="1" x14ac:dyDescent="0.3">
      <c r="T432" t="s">
        <v>160</v>
      </c>
      <c r="U432" t="s">
        <v>155</v>
      </c>
      <c r="V432" t="s">
        <v>155</v>
      </c>
      <c r="W432" t="s">
        <v>155</v>
      </c>
      <c r="X432" t="s">
        <v>155</v>
      </c>
      <c r="Y432" t="s">
        <v>155</v>
      </c>
      <c r="AC432" t="s">
        <v>160</v>
      </c>
      <c r="AD432" t="s">
        <v>155</v>
      </c>
      <c r="AE432" t="s">
        <v>155</v>
      </c>
      <c r="AF432" t="s">
        <v>155</v>
      </c>
      <c r="AG432" t="s">
        <v>155</v>
      </c>
      <c r="AH432" t="s">
        <v>155</v>
      </c>
    </row>
    <row r="433" spans="19:34" ht="16.2" customHeight="1" x14ac:dyDescent="0.3">
      <c r="T433" t="s">
        <v>169</v>
      </c>
      <c r="U433" t="s">
        <v>155</v>
      </c>
      <c r="V433" t="s">
        <v>155</v>
      </c>
      <c r="W433" t="s">
        <v>155</v>
      </c>
      <c r="X433" t="s">
        <v>155</v>
      </c>
      <c r="Y433" t="s">
        <v>155</v>
      </c>
      <c r="AC433" t="s">
        <v>169</v>
      </c>
      <c r="AD433" t="s">
        <v>155</v>
      </c>
      <c r="AE433" t="s">
        <v>155</v>
      </c>
      <c r="AF433" t="s">
        <v>155</v>
      </c>
      <c r="AG433" t="s">
        <v>155</v>
      </c>
      <c r="AH433" t="s">
        <v>155</v>
      </c>
    </row>
    <row r="434" spans="19:34" ht="16.2" customHeight="1" x14ac:dyDescent="0.3">
      <c r="T434" t="s">
        <v>170</v>
      </c>
      <c r="U434" t="s">
        <v>155</v>
      </c>
      <c r="V434" t="s">
        <v>155</v>
      </c>
      <c r="W434" t="s">
        <v>155</v>
      </c>
      <c r="X434" t="s">
        <v>155</v>
      </c>
      <c r="Y434" t="s">
        <v>155</v>
      </c>
      <c r="AC434" t="s">
        <v>170</v>
      </c>
      <c r="AD434" t="s">
        <v>155</v>
      </c>
      <c r="AE434" t="s">
        <v>155</v>
      </c>
      <c r="AF434" t="s">
        <v>155</v>
      </c>
      <c r="AG434" t="s">
        <v>155</v>
      </c>
      <c r="AH434" t="s">
        <v>155</v>
      </c>
    </row>
    <row r="435" spans="19:34" ht="16.2" customHeight="1" x14ac:dyDescent="0.3">
      <c r="T435" t="s">
        <v>171</v>
      </c>
      <c r="U435" t="s">
        <v>155</v>
      </c>
      <c r="V435" t="s">
        <v>155</v>
      </c>
      <c r="W435" t="s">
        <v>155</v>
      </c>
      <c r="X435" t="s">
        <v>155</v>
      </c>
      <c r="Y435" t="s">
        <v>155</v>
      </c>
      <c r="AC435" t="s">
        <v>171</v>
      </c>
      <c r="AD435" t="s">
        <v>155</v>
      </c>
      <c r="AE435" t="s">
        <v>155</v>
      </c>
      <c r="AF435" t="s">
        <v>155</v>
      </c>
      <c r="AG435" t="s">
        <v>155</v>
      </c>
      <c r="AH435" t="s">
        <v>155</v>
      </c>
    </row>
    <row r="436" spans="19:34" ht="16.2" customHeight="1" x14ac:dyDescent="0.3">
      <c r="T436" t="s">
        <v>172</v>
      </c>
      <c r="U436" t="s">
        <v>155</v>
      </c>
      <c r="V436" t="s">
        <v>155</v>
      </c>
      <c r="W436" t="s">
        <v>155</v>
      </c>
      <c r="X436" t="s">
        <v>155</v>
      </c>
      <c r="Y436" t="s">
        <v>155</v>
      </c>
      <c r="AC436" t="s">
        <v>172</v>
      </c>
      <c r="AD436" t="s">
        <v>155</v>
      </c>
      <c r="AE436" t="s">
        <v>155</v>
      </c>
      <c r="AF436" t="s">
        <v>155</v>
      </c>
      <c r="AG436" t="s">
        <v>155</v>
      </c>
      <c r="AH436" t="s">
        <v>155</v>
      </c>
    </row>
    <row r="438" spans="19:34" ht="16.2" customHeight="1" x14ac:dyDescent="0.3">
      <c r="S438" s="15" t="s">
        <v>132</v>
      </c>
      <c r="T438" t="s">
        <v>212</v>
      </c>
      <c r="AB438" s="15" t="s">
        <v>132</v>
      </c>
      <c r="AC438" t="s">
        <v>212</v>
      </c>
    </row>
    <row r="439" spans="19:34" ht="16.2" customHeight="1" x14ac:dyDescent="0.3">
      <c r="U439" t="s">
        <v>164</v>
      </c>
      <c r="V439" t="s">
        <v>165</v>
      </c>
      <c r="W439" t="s">
        <v>166</v>
      </c>
      <c r="X439" t="s">
        <v>167</v>
      </c>
      <c r="Y439" t="s">
        <v>168</v>
      </c>
      <c r="AD439" t="s">
        <v>164</v>
      </c>
      <c r="AE439" t="s">
        <v>165</v>
      </c>
      <c r="AF439" t="s">
        <v>166</v>
      </c>
      <c r="AG439" t="s">
        <v>167</v>
      </c>
      <c r="AH439" t="s">
        <v>168</v>
      </c>
    </row>
    <row r="440" spans="19:34" ht="16.2" customHeight="1" x14ac:dyDescent="0.3">
      <c r="T440" t="s">
        <v>154</v>
      </c>
      <c r="U440" t="s">
        <v>155</v>
      </c>
      <c r="V440" t="s">
        <v>155</v>
      </c>
      <c r="W440" t="s">
        <v>176</v>
      </c>
      <c r="X440" t="s">
        <v>155</v>
      </c>
      <c r="Y440" t="s">
        <v>155</v>
      </c>
      <c r="AC440" t="s">
        <v>154</v>
      </c>
      <c r="AD440" t="s">
        <v>155</v>
      </c>
      <c r="AE440" t="s">
        <v>155</v>
      </c>
      <c r="AF440" t="s">
        <v>176</v>
      </c>
      <c r="AG440" t="s">
        <v>155</v>
      </c>
      <c r="AH440" t="s">
        <v>155</v>
      </c>
    </row>
    <row r="441" spans="19:34" ht="16.2" customHeight="1" x14ac:dyDescent="0.3">
      <c r="T441" t="s">
        <v>156</v>
      </c>
      <c r="U441" t="s">
        <v>155</v>
      </c>
      <c r="V441" t="s">
        <v>155</v>
      </c>
      <c r="W441" t="s">
        <v>176</v>
      </c>
      <c r="X441" t="s">
        <v>155</v>
      </c>
      <c r="Y441" t="s">
        <v>155</v>
      </c>
      <c r="AC441" t="s">
        <v>156</v>
      </c>
      <c r="AD441" t="s">
        <v>155</v>
      </c>
      <c r="AE441" t="s">
        <v>155</v>
      </c>
      <c r="AF441" t="s">
        <v>176</v>
      </c>
      <c r="AG441" t="s">
        <v>155</v>
      </c>
      <c r="AH441" t="s">
        <v>155</v>
      </c>
    </row>
    <row r="442" spans="19:34" ht="16.2" customHeight="1" x14ac:dyDescent="0.3">
      <c r="T442" t="s">
        <v>157</v>
      </c>
      <c r="U442" t="s">
        <v>155</v>
      </c>
      <c r="V442" t="s">
        <v>155</v>
      </c>
      <c r="W442" t="s">
        <v>176</v>
      </c>
      <c r="X442" t="s">
        <v>155</v>
      </c>
      <c r="Y442" t="s">
        <v>155</v>
      </c>
      <c r="AC442" t="s">
        <v>157</v>
      </c>
      <c r="AD442" t="s">
        <v>155</v>
      </c>
      <c r="AE442" t="s">
        <v>155</v>
      </c>
      <c r="AF442" t="s">
        <v>176</v>
      </c>
      <c r="AG442" t="s">
        <v>155</v>
      </c>
      <c r="AH442" t="s">
        <v>155</v>
      </c>
    </row>
    <row r="443" spans="19:34" ht="16.2" customHeight="1" x14ac:dyDescent="0.3">
      <c r="T443" t="s">
        <v>158</v>
      </c>
      <c r="U443" t="s">
        <v>155</v>
      </c>
      <c r="V443" t="s">
        <v>155</v>
      </c>
      <c r="W443" t="s">
        <v>176</v>
      </c>
      <c r="X443" t="s">
        <v>155</v>
      </c>
      <c r="Y443" t="s">
        <v>155</v>
      </c>
      <c r="AC443" t="s">
        <v>158</v>
      </c>
      <c r="AD443" t="s">
        <v>155</v>
      </c>
      <c r="AE443" t="s">
        <v>155</v>
      </c>
      <c r="AF443" t="s">
        <v>176</v>
      </c>
      <c r="AG443" t="s">
        <v>155</v>
      </c>
      <c r="AH443" t="s">
        <v>155</v>
      </c>
    </row>
    <row r="444" spans="19:34" ht="16.2" customHeight="1" x14ac:dyDescent="0.3">
      <c r="T444" t="s">
        <v>159</v>
      </c>
      <c r="U444" t="s">
        <v>155</v>
      </c>
      <c r="V444" t="s">
        <v>155</v>
      </c>
      <c r="W444" t="s">
        <v>155</v>
      </c>
      <c r="X444" t="s">
        <v>155</v>
      </c>
      <c r="Y444" t="s">
        <v>155</v>
      </c>
      <c r="AC444" t="s">
        <v>159</v>
      </c>
      <c r="AD444" t="s">
        <v>155</v>
      </c>
      <c r="AE444" t="s">
        <v>155</v>
      </c>
      <c r="AF444" t="s">
        <v>155</v>
      </c>
      <c r="AG444" t="s">
        <v>155</v>
      </c>
      <c r="AH444" t="s">
        <v>155</v>
      </c>
    </row>
    <row r="445" spans="19:34" ht="16.2" customHeight="1" x14ac:dyDescent="0.3">
      <c r="T445" t="s">
        <v>160</v>
      </c>
      <c r="U445" t="s">
        <v>155</v>
      </c>
      <c r="V445" t="s">
        <v>155</v>
      </c>
      <c r="W445" t="s">
        <v>155</v>
      </c>
      <c r="X445" t="s">
        <v>155</v>
      </c>
      <c r="Y445" t="s">
        <v>155</v>
      </c>
      <c r="AC445" t="s">
        <v>160</v>
      </c>
      <c r="AD445" t="s">
        <v>155</v>
      </c>
      <c r="AE445" t="s">
        <v>155</v>
      </c>
      <c r="AF445" t="s">
        <v>155</v>
      </c>
      <c r="AG445" t="s">
        <v>155</v>
      </c>
      <c r="AH445" t="s">
        <v>155</v>
      </c>
    </row>
    <row r="446" spans="19:34" ht="16.2" customHeight="1" x14ac:dyDescent="0.3">
      <c r="T446" t="s">
        <v>169</v>
      </c>
      <c r="U446" t="s">
        <v>155</v>
      </c>
      <c r="V446" t="s">
        <v>155</v>
      </c>
      <c r="W446" t="s">
        <v>155</v>
      </c>
      <c r="X446" t="s">
        <v>155</v>
      </c>
      <c r="Y446" t="s">
        <v>155</v>
      </c>
      <c r="AC446" t="s">
        <v>169</v>
      </c>
      <c r="AD446" t="s">
        <v>155</v>
      </c>
      <c r="AE446" t="s">
        <v>155</v>
      </c>
      <c r="AF446" t="s">
        <v>155</v>
      </c>
      <c r="AG446" t="s">
        <v>155</v>
      </c>
      <c r="AH446" t="s">
        <v>155</v>
      </c>
    </row>
    <row r="447" spans="19:34" ht="16.2" customHeight="1" x14ac:dyDescent="0.3">
      <c r="T447" t="s">
        <v>170</v>
      </c>
      <c r="U447" t="s">
        <v>155</v>
      </c>
      <c r="V447" t="s">
        <v>155</v>
      </c>
      <c r="W447" t="s">
        <v>155</v>
      </c>
      <c r="X447" t="s">
        <v>155</v>
      </c>
      <c r="Y447" t="s">
        <v>155</v>
      </c>
      <c r="AC447" t="s">
        <v>170</v>
      </c>
      <c r="AD447" t="s">
        <v>155</v>
      </c>
      <c r="AE447" t="s">
        <v>155</v>
      </c>
      <c r="AF447" t="s">
        <v>155</v>
      </c>
      <c r="AG447" t="s">
        <v>155</v>
      </c>
      <c r="AH447" t="s">
        <v>155</v>
      </c>
    </row>
    <row r="448" spans="19:34" ht="16.2" customHeight="1" x14ac:dyDescent="0.3">
      <c r="T448" t="s">
        <v>171</v>
      </c>
      <c r="U448" t="s">
        <v>155</v>
      </c>
      <c r="V448" t="s">
        <v>155</v>
      </c>
      <c r="W448" t="s">
        <v>155</v>
      </c>
      <c r="X448" t="s">
        <v>155</v>
      </c>
      <c r="Y448" t="s">
        <v>155</v>
      </c>
      <c r="AC448" t="s">
        <v>171</v>
      </c>
      <c r="AD448" t="s">
        <v>155</v>
      </c>
      <c r="AE448" t="s">
        <v>155</v>
      </c>
      <c r="AF448" t="s">
        <v>155</v>
      </c>
      <c r="AG448" t="s">
        <v>155</v>
      </c>
      <c r="AH448" t="s">
        <v>155</v>
      </c>
    </row>
    <row r="449" spans="19:34" ht="16.2" customHeight="1" x14ac:dyDescent="0.3">
      <c r="T449" t="s">
        <v>172</v>
      </c>
      <c r="U449" t="s">
        <v>155</v>
      </c>
      <c r="V449" t="s">
        <v>155</v>
      </c>
      <c r="W449" t="s">
        <v>155</v>
      </c>
      <c r="X449" t="s">
        <v>155</v>
      </c>
      <c r="Y449" t="s">
        <v>155</v>
      </c>
      <c r="AC449" t="s">
        <v>172</v>
      </c>
      <c r="AD449" t="s">
        <v>155</v>
      </c>
      <c r="AE449" t="s">
        <v>155</v>
      </c>
      <c r="AF449" t="s">
        <v>155</v>
      </c>
      <c r="AG449" t="s">
        <v>155</v>
      </c>
      <c r="AH449" t="s">
        <v>155</v>
      </c>
    </row>
    <row r="451" spans="19:34" ht="16.2" customHeight="1" x14ac:dyDescent="0.3">
      <c r="S451" s="15" t="s">
        <v>177</v>
      </c>
      <c r="T451" t="s">
        <v>213</v>
      </c>
      <c r="AB451" s="15" t="s">
        <v>177</v>
      </c>
      <c r="AC451" t="s">
        <v>213</v>
      </c>
    </row>
    <row r="452" spans="19:34" ht="16.2" customHeight="1" x14ac:dyDescent="0.3">
      <c r="U452" t="s">
        <v>164</v>
      </c>
      <c r="V452" t="s">
        <v>165</v>
      </c>
      <c r="W452" t="s">
        <v>166</v>
      </c>
      <c r="X452" t="s">
        <v>167</v>
      </c>
      <c r="Y452" t="s">
        <v>168</v>
      </c>
      <c r="AD452" t="s">
        <v>164</v>
      </c>
      <c r="AE452" t="s">
        <v>165</v>
      </c>
      <c r="AF452" t="s">
        <v>166</v>
      </c>
      <c r="AG452" t="s">
        <v>167</v>
      </c>
      <c r="AH452" t="s">
        <v>168</v>
      </c>
    </row>
    <row r="453" spans="19:34" ht="16.2" customHeight="1" x14ac:dyDescent="0.3">
      <c r="T453" t="s">
        <v>154</v>
      </c>
      <c r="U453" t="s">
        <v>155</v>
      </c>
      <c r="V453" t="s">
        <v>155</v>
      </c>
      <c r="W453" t="s">
        <v>77</v>
      </c>
      <c r="X453" t="s">
        <v>155</v>
      </c>
      <c r="Y453" t="s">
        <v>155</v>
      </c>
      <c r="AC453" t="s">
        <v>154</v>
      </c>
      <c r="AD453" t="s">
        <v>155</v>
      </c>
      <c r="AE453" t="s">
        <v>155</v>
      </c>
      <c r="AF453" t="s">
        <v>77</v>
      </c>
      <c r="AG453" t="s">
        <v>155</v>
      </c>
      <c r="AH453" t="s">
        <v>155</v>
      </c>
    </row>
    <row r="454" spans="19:34" ht="16.2" customHeight="1" x14ac:dyDescent="0.3">
      <c r="T454" t="s">
        <v>156</v>
      </c>
      <c r="U454" t="s">
        <v>155</v>
      </c>
      <c r="V454" t="s">
        <v>155</v>
      </c>
      <c r="W454" t="s">
        <v>77</v>
      </c>
      <c r="X454" t="s">
        <v>155</v>
      </c>
      <c r="Y454" t="s">
        <v>155</v>
      </c>
      <c r="AC454" t="s">
        <v>156</v>
      </c>
      <c r="AD454" t="s">
        <v>155</v>
      </c>
      <c r="AE454" t="s">
        <v>155</v>
      </c>
      <c r="AF454" t="s">
        <v>77</v>
      </c>
      <c r="AG454" t="s">
        <v>155</v>
      </c>
      <c r="AH454" t="s">
        <v>155</v>
      </c>
    </row>
    <row r="455" spans="19:34" ht="16.2" customHeight="1" x14ac:dyDescent="0.3">
      <c r="T455" t="s">
        <v>157</v>
      </c>
      <c r="U455" t="s">
        <v>155</v>
      </c>
      <c r="V455" t="s">
        <v>155</v>
      </c>
      <c r="W455" t="s">
        <v>155</v>
      </c>
      <c r="X455" t="s">
        <v>155</v>
      </c>
      <c r="Y455" t="s">
        <v>155</v>
      </c>
      <c r="AC455" t="s">
        <v>157</v>
      </c>
      <c r="AD455" t="s">
        <v>155</v>
      </c>
      <c r="AE455" t="s">
        <v>155</v>
      </c>
      <c r="AF455" t="s">
        <v>155</v>
      </c>
      <c r="AG455" t="s">
        <v>155</v>
      </c>
      <c r="AH455" t="s">
        <v>155</v>
      </c>
    </row>
    <row r="456" spans="19:34" ht="16.2" customHeight="1" x14ac:dyDescent="0.3">
      <c r="T456" t="s">
        <v>158</v>
      </c>
      <c r="U456" t="s">
        <v>155</v>
      </c>
      <c r="V456" t="s">
        <v>155</v>
      </c>
      <c r="W456" t="s">
        <v>155</v>
      </c>
      <c r="X456" t="s">
        <v>155</v>
      </c>
      <c r="Y456" t="s">
        <v>155</v>
      </c>
      <c r="AC456" t="s">
        <v>158</v>
      </c>
      <c r="AD456" t="s">
        <v>155</v>
      </c>
      <c r="AE456" t="s">
        <v>155</v>
      </c>
      <c r="AF456" t="s">
        <v>155</v>
      </c>
      <c r="AG456" t="s">
        <v>155</v>
      </c>
      <c r="AH456" t="s">
        <v>155</v>
      </c>
    </row>
    <row r="457" spans="19:34" ht="16.2" customHeight="1" x14ac:dyDescent="0.3">
      <c r="T457" t="s">
        <v>159</v>
      </c>
      <c r="U457" t="s">
        <v>155</v>
      </c>
      <c r="V457" t="s">
        <v>155</v>
      </c>
      <c r="W457" t="s">
        <v>155</v>
      </c>
      <c r="X457" t="s">
        <v>155</v>
      </c>
      <c r="Y457" t="s">
        <v>155</v>
      </c>
      <c r="AC457" t="s">
        <v>159</v>
      </c>
      <c r="AD457" t="s">
        <v>155</v>
      </c>
      <c r="AE457" t="s">
        <v>155</v>
      </c>
      <c r="AF457" t="s">
        <v>155</v>
      </c>
      <c r="AG457" t="s">
        <v>155</v>
      </c>
      <c r="AH457" t="s">
        <v>155</v>
      </c>
    </row>
    <row r="458" spans="19:34" ht="16.2" customHeight="1" x14ac:dyDescent="0.3">
      <c r="T458" t="s">
        <v>160</v>
      </c>
      <c r="U458" t="s">
        <v>155</v>
      </c>
      <c r="V458" t="s">
        <v>155</v>
      </c>
      <c r="W458" t="s">
        <v>155</v>
      </c>
      <c r="X458" t="s">
        <v>155</v>
      </c>
      <c r="Y458" t="s">
        <v>155</v>
      </c>
      <c r="AC458" t="s">
        <v>160</v>
      </c>
      <c r="AD458" t="s">
        <v>155</v>
      </c>
      <c r="AE458" t="s">
        <v>155</v>
      </c>
      <c r="AF458" t="s">
        <v>155</v>
      </c>
      <c r="AG458" t="s">
        <v>155</v>
      </c>
      <c r="AH458" t="s">
        <v>155</v>
      </c>
    </row>
    <row r="459" spans="19:34" ht="16.2" customHeight="1" x14ac:dyDescent="0.3">
      <c r="T459" t="s">
        <v>169</v>
      </c>
      <c r="U459" t="s">
        <v>155</v>
      </c>
      <c r="V459" t="s">
        <v>155</v>
      </c>
      <c r="W459" t="s">
        <v>155</v>
      </c>
      <c r="X459" t="s">
        <v>155</v>
      </c>
      <c r="Y459" t="s">
        <v>155</v>
      </c>
      <c r="AC459" t="s">
        <v>169</v>
      </c>
      <c r="AD459" t="s">
        <v>155</v>
      </c>
      <c r="AE459" t="s">
        <v>155</v>
      </c>
      <c r="AF459" t="s">
        <v>155</v>
      </c>
      <c r="AG459" t="s">
        <v>155</v>
      </c>
      <c r="AH459" t="s">
        <v>155</v>
      </c>
    </row>
    <row r="460" spans="19:34" ht="16.2" customHeight="1" x14ac:dyDescent="0.3">
      <c r="T460" t="s">
        <v>170</v>
      </c>
      <c r="U460" t="s">
        <v>155</v>
      </c>
      <c r="V460" t="s">
        <v>155</v>
      </c>
      <c r="W460" t="s">
        <v>155</v>
      </c>
      <c r="X460" t="s">
        <v>155</v>
      </c>
      <c r="Y460" t="s">
        <v>155</v>
      </c>
      <c r="AC460" t="s">
        <v>170</v>
      </c>
      <c r="AD460" t="s">
        <v>155</v>
      </c>
      <c r="AE460" t="s">
        <v>155</v>
      </c>
      <c r="AF460" t="s">
        <v>155</v>
      </c>
      <c r="AG460" t="s">
        <v>155</v>
      </c>
      <c r="AH460" t="s">
        <v>155</v>
      </c>
    </row>
    <row r="461" spans="19:34" ht="16.2" customHeight="1" x14ac:dyDescent="0.3">
      <c r="T461" t="s">
        <v>171</v>
      </c>
      <c r="U461" t="s">
        <v>155</v>
      </c>
      <c r="V461" t="s">
        <v>155</v>
      </c>
      <c r="W461" t="s">
        <v>155</v>
      </c>
      <c r="X461" t="s">
        <v>155</v>
      </c>
      <c r="Y461" t="s">
        <v>155</v>
      </c>
      <c r="AC461" t="s">
        <v>171</v>
      </c>
      <c r="AD461" t="s">
        <v>155</v>
      </c>
      <c r="AE461" t="s">
        <v>155</v>
      </c>
      <c r="AF461" t="s">
        <v>155</v>
      </c>
      <c r="AG461" t="s">
        <v>155</v>
      </c>
      <c r="AH461" t="s">
        <v>155</v>
      </c>
    </row>
    <row r="462" spans="19:34" ht="16.2" customHeight="1" x14ac:dyDescent="0.3">
      <c r="T462" t="s">
        <v>172</v>
      </c>
      <c r="U462" t="s">
        <v>155</v>
      </c>
      <c r="V462" t="s">
        <v>155</v>
      </c>
      <c r="W462" t="s">
        <v>155</v>
      </c>
      <c r="X462" t="s">
        <v>155</v>
      </c>
      <c r="Y462" t="s">
        <v>155</v>
      </c>
      <c r="AC462" t="s">
        <v>172</v>
      </c>
      <c r="AD462" t="s">
        <v>155</v>
      </c>
      <c r="AE462" t="s">
        <v>155</v>
      </c>
      <c r="AF462" t="s">
        <v>155</v>
      </c>
      <c r="AG462" t="s">
        <v>155</v>
      </c>
      <c r="AH462" t="s">
        <v>155</v>
      </c>
    </row>
    <row r="464" spans="19:34" ht="16.2" customHeight="1" x14ac:dyDescent="0.3">
      <c r="S464" s="15" t="s">
        <v>180</v>
      </c>
      <c r="T464" t="s">
        <v>214</v>
      </c>
      <c r="AB464" s="15" t="s">
        <v>180</v>
      </c>
      <c r="AC464" t="s">
        <v>214</v>
      </c>
    </row>
    <row r="465" spans="19:34" ht="16.2" customHeight="1" x14ac:dyDescent="0.3">
      <c r="U465" t="s">
        <v>164</v>
      </c>
      <c r="V465" t="s">
        <v>165</v>
      </c>
      <c r="W465" t="s">
        <v>166</v>
      </c>
      <c r="X465" t="s">
        <v>167</v>
      </c>
      <c r="Y465" t="s">
        <v>168</v>
      </c>
      <c r="AD465" t="s">
        <v>164</v>
      </c>
      <c r="AE465" t="s">
        <v>165</v>
      </c>
      <c r="AF465" t="s">
        <v>166</v>
      </c>
      <c r="AG465" t="s">
        <v>167</v>
      </c>
      <c r="AH465" t="s">
        <v>168</v>
      </c>
    </row>
    <row r="466" spans="19:34" ht="16.2" customHeight="1" x14ac:dyDescent="0.3">
      <c r="T466" t="s">
        <v>154</v>
      </c>
      <c r="U466" t="s">
        <v>155</v>
      </c>
      <c r="V466" t="s">
        <v>155</v>
      </c>
      <c r="W466" t="s">
        <v>155</v>
      </c>
      <c r="X466" t="s">
        <v>155</v>
      </c>
      <c r="Y466" t="s">
        <v>155</v>
      </c>
      <c r="AC466" t="s">
        <v>154</v>
      </c>
      <c r="AD466" t="s">
        <v>155</v>
      </c>
      <c r="AE466" t="s">
        <v>155</v>
      </c>
      <c r="AF466" t="s">
        <v>155</v>
      </c>
      <c r="AG466" t="s">
        <v>155</v>
      </c>
      <c r="AH466" t="s">
        <v>155</v>
      </c>
    </row>
    <row r="467" spans="19:34" ht="16.2" customHeight="1" x14ac:dyDescent="0.3">
      <c r="T467" t="s">
        <v>156</v>
      </c>
      <c r="U467" t="s">
        <v>155</v>
      </c>
      <c r="V467" t="s">
        <v>155</v>
      </c>
      <c r="W467" t="s">
        <v>155</v>
      </c>
      <c r="X467" t="s">
        <v>155</v>
      </c>
      <c r="Y467" t="s">
        <v>155</v>
      </c>
      <c r="AC467" t="s">
        <v>156</v>
      </c>
      <c r="AD467" t="s">
        <v>155</v>
      </c>
      <c r="AE467" t="s">
        <v>155</v>
      </c>
      <c r="AF467" t="s">
        <v>155</v>
      </c>
      <c r="AG467" t="s">
        <v>155</v>
      </c>
      <c r="AH467" t="s">
        <v>155</v>
      </c>
    </row>
    <row r="468" spans="19:34" ht="16.2" customHeight="1" x14ac:dyDescent="0.3">
      <c r="T468" t="s">
        <v>157</v>
      </c>
      <c r="U468" t="s">
        <v>155</v>
      </c>
      <c r="V468" t="s">
        <v>155</v>
      </c>
      <c r="W468" t="s">
        <v>155</v>
      </c>
      <c r="X468" t="s">
        <v>155</v>
      </c>
      <c r="Y468" t="s">
        <v>77</v>
      </c>
      <c r="AC468" t="s">
        <v>157</v>
      </c>
      <c r="AD468" t="s">
        <v>155</v>
      </c>
      <c r="AE468" t="s">
        <v>155</v>
      </c>
      <c r="AF468" t="s">
        <v>155</v>
      </c>
      <c r="AG468" t="s">
        <v>155</v>
      </c>
      <c r="AH468" t="s">
        <v>77</v>
      </c>
    </row>
    <row r="469" spans="19:34" ht="16.2" customHeight="1" x14ac:dyDescent="0.3">
      <c r="T469" t="s">
        <v>158</v>
      </c>
      <c r="U469" t="s">
        <v>155</v>
      </c>
      <c r="V469" t="s">
        <v>155</v>
      </c>
      <c r="W469" t="s">
        <v>155</v>
      </c>
      <c r="X469" t="s">
        <v>155</v>
      </c>
      <c r="Y469" t="s">
        <v>77</v>
      </c>
      <c r="AC469" t="s">
        <v>158</v>
      </c>
      <c r="AD469" t="s">
        <v>155</v>
      </c>
      <c r="AE469" t="s">
        <v>155</v>
      </c>
      <c r="AF469" t="s">
        <v>155</v>
      </c>
      <c r="AG469" t="s">
        <v>155</v>
      </c>
      <c r="AH469" t="s">
        <v>77</v>
      </c>
    </row>
    <row r="470" spans="19:34" ht="16.2" customHeight="1" x14ac:dyDescent="0.3">
      <c r="T470" t="s">
        <v>159</v>
      </c>
      <c r="U470" t="s">
        <v>155</v>
      </c>
      <c r="V470" t="s">
        <v>155</v>
      </c>
      <c r="W470" t="s">
        <v>155</v>
      </c>
      <c r="X470" t="s">
        <v>155</v>
      </c>
      <c r="Y470" t="s">
        <v>155</v>
      </c>
      <c r="AC470" t="s">
        <v>159</v>
      </c>
      <c r="AD470" t="s">
        <v>155</v>
      </c>
      <c r="AE470" t="s">
        <v>155</v>
      </c>
      <c r="AF470" t="s">
        <v>155</v>
      </c>
      <c r="AG470" t="s">
        <v>155</v>
      </c>
      <c r="AH470" t="s">
        <v>155</v>
      </c>
    </row>
    <row r="471" spans="19:34" ht="16.2" customHeight="1" x14ac:dyDescent="0.3">
      <c r="T471" t="s">
        <v>160</v>
      </c>
      <c r="U471" t="s">
        <v>155</v>
      </c>
      <c r="V471" t="s">
        <v>155</v>
      </c>
      <c r="W471" t="s">
        <v>155</v>
      </c>
      <c r="X471" t="s">
        <v>155</v>
      </c>
      <c r="Y471" t="s">
        <v>155</v>
      </c>
      <c r="AC471" t="s">
        <v>160</v>
      </c>
      <c r="AD471" t="s">
        <v>155</v>
      </c>
      <c r="AE471" t="s">
        <v>155</v>
      </c>
      <c r="AF471" t="s">
        <v>155</v>
      </c>
      <c r="AG471" t="s">
        <v>155</v>
      </c>
      <c r="AH471" t="s">
        <v>155</v>
      </c>
    </row>
    <row r="472" spans="19:34" ht="16.2" customHeight="1" x14ac:dyDescent="0.3">
      <c r="T472" t="s">
        <v>169</v>
      </c>
      <c r="U472" t="s">
        <v>155</v>
      </c>
      <c r="V472" t="s">
        <v>155</v>
      </c>
      <c r="W472" t="s">
        <v>155</v>
      </c>
      <c r="X472" t="s">
        <v>155</v>
      </c>
      <c r="Y472" t="s">
        <v>155</v>
      </c>
      <c r="AC472" t="s">
        <v>169</v>
      </c>
      <c r="AD472" t="s">
        <v>155</v>
      </c>
      <c r="AE472" t="s">
        <v>155</v>
      </c>
      <c r="AF472" t="s">
        <v>155</v>
      </c>
      <c r="AG472" t="s">
        <v>155</v>
      </c>
      <c r="AH472" t="s">
        <v>155</v>
      </c>
    </row>
    <row r="473" spans="19:34" ht="16.2" customHeight="1" x14ac:dyDescent="0.3">
      <c r="T473" t="s">
        <v>170</v>
      </c>
      <c r="U473" t="s">
        <v>155</v>
      </c>
      <c r="V473" t="s">
        <v>155</v>
      </c>
      <c r="W473" t="s">
        <v>155</v>
      </c>
      <c r="X473" t="s">
        <v>155</v>
      </c>
      <c r="Y473" t="s">
        <v>155</v>
      </c>
      <c r="AC473" t="s">
        <v>170</v>
      </c>
      <c r="AD473" t="s">
        <v>155</v>
      </c>
      <c r="AE473" t="s">
        <v>155</v>
      </c>
      <c r="AF473" t="s">
        <v>155</v>
      </c>
      <c r="AG473" t="s">
        <v>155</v>
      </c>
      <c r="AH473" t="s">
        <v>155</v>
      </c>
    </row>
    <row r="474" spans="19:34" ht="16.2" customHeight="1" x14ac:dyDescent="0.3">
      <c r="T474" t="s">
        <v>171</v>
      </c>
      <c r="U474" t="s">
        <v>155</v>
      </c>
      <c r="V474" t="s">
        <v>155</v>
      </c>
      <c r="W474" t="s">
        <v>155</v>
      </c>
      <c r="X474" t="s">
        <v>155</v>
      </c>
      <c r="Y474" t="s">
        <v>155</v>
      </c>
      <c r="AC474" t="s">
        <v>171</v>
      </c>
      <c r="AD474" t="s">
        <v>155</v>
      </c>
      <c r="AE474" t="s">
        <v>155</v>
      </c>
      <c r="AF474" t="s">
        <v>155</v>
      </c>
      <c r="AG474" t="s">
        <v>155</v>
      </c>
      <c r="AH474" t="s">
        <v>155</v>
      </c>
    </row>
    <row r="475" spans="19:34" ht="16.2" customHeight="1" x14ac:dyDescent="0.3">
      <c r="T475" t="s">
        <v>172</v>
      </c>
      <c r="U475" t="s">
        <v>155</v>
      </c>
      <c r="V475" t="s">
        <v>155</v>
      </c>
      <c r="W475" t="s">
        <v>155</v>
      </c>
      <c r="X475" t="s">
        <v>155</v>
      </c>
      <c r="Y475" t="s">
        <v>155</v>
      </c>
      <c r="AC475" t="s">
        <v>172</v>
      </c>
      <c r="AD475" t="s">
        <v>155</v>
      </c>
      <c r="AE475" t="s">
        <v>155</v>
      </c>
      <c r="AF475" t="s">
        <v>155</v>
      </c>
      <c r="AG475" t="s">
        <v>155</v>
      </c>
      <c r="AH475" t="s">
        <v>155</v>
      </c>
    </row>
    <row r="477" spans="19:34" ht="16.2" customHeight="1" x14ac:dyDescent="0.3">
      <c r="S477" s="15" t="s">
        <v>178</v>
      </c>
      <c r="T477" t="s">
        <v>215</v>
      </c>
      <c r="AB477" s="15" t="s">
        <v>178</v>
      </c>
      <c r="AC477" t="s">
        <v>215</v>
      </c>
    </row>
    <row r="478" spans="19:34" ht="16.2" customHeight="1" x14ac:dyDescent="0.3">
      <c r="U478" t="s">
        <v>164</v>
      </c>
      <c r="V478" t="s">
        <v>165</v>
      </c>
      <c r="W478" t="s">
        <v>166</v>
      </c>
      <c r="X478" t="s">
        <v>167</v>
      </c>
      <c r="Y478" t="s">
        <v>168</v>
      </c>
      <c r="AD478" t="s">
        <v>164</v>
      </c>
      <c r="AE478" t="s">
        <v>165</v>
      </c>
      <c r="AF478" t="s">
        <v>166</v>
      </c>
      <c r="AG478" t="s">
        <v>167</v>
      </c>
      <c r="AH478" t="s">
        <v>168</v>
      </c>
    </row>
    <row r="479" spans="19:34" ht="16.2" customHeight="1" x14ac:dyDescent="0.3">
      <c r="T479" t="s">
        <v>154</v>
      </c>
      <c r="U479" t="s">
        <v>155</v>
      </c>
      <c r="V479" t="s">
        <v>155</v>
      </c>
      <c r="W479" t="s">
        <v>155</v>
      </c>
      <c r="X479" t="s">
        <v>155</v>
      </c>
      <c r="Y479" t="s">
        <v>155</v>
      </c>
      <c r="AC479" t="s">
        <v>154</v>
      </c>
      <c r="AD479" t="s">
        <v>155</v>
      </c>
      <c r="AE479" t="s">
        <v>155</v>
      </c>
      <c r="AF479" t="s">
        <v>155</v>
      </c>
      <c r="AG479" t="s">
        <v>155</v>
      </c>
      <c r="AH479" t="s">
        <v>155</v>
      </c>
    </row>
    <row r="480" spans="19:34" ht="16.2" customHeight="1" x14ac:dyDescent="0.3">
      <c r="T480" t="s">
        <v>156</v>
      </c>
      <c r="U480" t="s">
        <v>155</v>
      </c>
      <c r="V480" t="s">
        <v>155</v>
      </c>
      <c r="W480" t="s">
        <v>155</v>
      </c>
      <c r="X480" t="s">
        <v>155</v>
      </c>
      <c r="Y480" t="s">
        <v>155</v>
      </c>
      <c r="AC480" t="s">
        <v>156</v>
      </c>
      <c r="AD480" t="s">
        <v>155</v>
      </c>
      <c r="AE480" t="s">
        <v>155</v>
      </c>
      <c r="AF480" t="s">
        <v>155</v>
      </c>
      <c r="AG480" t="s">
        <v>155</v>
      </c>
      <c r="AH480" t="s">
        <v>155</v>
      </c>
    </row>
    <row r="481" spans="19:34" ht="16.2" customHeight="1" x14ac:dyDescent="0.3">
      <c r="T481" t="s">
        <v>157</v>
      </c>
      <c r="U481" t="s">
        <v>155</v>
      </c>
      <c r="V481" t="s">
        <v>155</v>
      </c>
      <c r="W481" t="s">
        <v>155</v>
      </c>
      <c r="X481" t="s">
        <v>155</v>
      </c>
      <c r="Y481" t="s">
        <v>77</v>
      </c>
      <c r="AC481" t="s">
        <v>157</v>
      </c>
      <c r="AD481" t="s">
        <v>155</v>
      </c>
      <c r="AE481" t="s">
        <v>155</v>
      </c>
      <c r="AF481" t="s">
        <v>155</v>
      </c>
      <c r="AG481" t="s">
        <v>155</v>
      </c>
      <c r="AH481" t="s">
        <v>77</v>
      </c>
    </row>
    <row r="482" spans="19:34" ht="16.2" customHeight="1" x14ac:dyDescent="0.3">
      <c r="T482" t="s">
        <v>158</v>
      </c>
      <c r="U482" t="s">
        <v>155</v>
      </c>
      <c r="V482" t="s">
        <v>155</v>
      </c>
      <c r="W482" t="s">
        <v>155</v>
      </c>
      <c r="X482" t="s">
        <v>155</v>
      </c>
      <c r="Y482" t="s">
        <v>77</v>
      </c>
      <c r="AC482" t="s">
        <v>158</v>
      </c>
      <c r="AD482" t="s">
        <v>155</v>
      </c>
      <c r="AE482" t="s">
        <v>155</v>
      </c>
      <c r="AF482" t="s">
        <v>155</v>
      </c>
      <c r="AG482" t="s">
        <v>155</v>
      </c>
      <c r="AH482" t="s">
        <v>77</v>
      </c>
    </row>
    <row r="483" spans="19:34" ht="16.2" customHeight="1" x14ac:dyDescent="0.3">
      <c r="T483" t="s">
        <v>159</v>
      </c>
      <c r="U483" t="s">
        <v>155</v>
      </c>
      <c r="V483" t="s">
        <v>155</v>
      </c>
      <c r="W483" t="s">
        <v>155</v>
      </c>
      <c r="X483" t="s">
        <v>155</v>
      </c>
      <c r="Y483" t="s">
        <v>155</v>
      </c>
      <c r="AC483" t="s">
        <v>159</v>
      </c>
      <c r="AD483" t="s">
        <v>155</v>
      </c>
      <c r="AE483" t="s">
        <v>155</v>
      </c>
      <c r="AF483" t="s">
        <v>155</v>
      </c>
      <c r="AG483" t="s">
        <v>155</v>
      </c>
      <c r="AH483" t="s">
        <v>155</v>
      </c>
    </row>
    <row r="484" spans="19:34" ht="16.2" customHeight="1" x14ac:dyDescent="0.3">
      <c r="T484" t="s">
        <v>160</v>
      </c>
      <c r="U484" t="s">
        <v>155</v>
      </c>
      <c r="V484" t="s">
        <v>155</v>
      </c>
      <c r="W484" t="s">
        <v>155</v>
      </c>
      <c r="X484" t="s">
        <v>155</v>
      </c>
      <c r="Y484" t="s">
        <v>155</v>
      </c>
      <c r="AC484" t="s">
        <v>160</v>
      </c>
      <c r="AD484" t="s">
        <v>155</v>
      </c>
      <c r="AE484" t="s">
        <v>155</v>
      </c>
      <c r="AF484" t="s">
        <v>155</v>
      </c>
      <c r="AG484" t="s">
        <v>155</v>
      </c>
      <c r="AH484" t="s">
        <v>155</v>
      </c>
    </row>
    <row r="485" spans="19:34" ht="16.2" customHeight="1" x14ac:dyDescent="0.3">
      <c r="T485" t="s">
        <v>169</v>
      </c>
      <c r="U485" t="s">
        <v>155</v>
      </c>
      <c r="V485" t="s">
        <v>155</v>
      </c>
      <c r="W485" t="s">
        <v>155</v>
      </c>
      <c r="X485" t="s">
        <v>155</v>
      </c>
      <c r="Y485" t="s">
        <v>155</v>
      </c>
      <c r="AC485" t="s">
        <v>169</v>
      </c>
      <c r="AD485" t="s">
        <v>155</v>
      </c>
      <c r="AE485" t="s">
        <v>155</v>
      </c>
      <c r="AF485" t="s">
        <v>155</v>
      </c>
      <c r="AG485" t="s">
        <v>155</v>
      </c>
      <c r="AH485" t="s">
        <v>155</v>
      </c>
    </row>
    <row r="486" spans="19:34" ht="16.2" customHeight="1" x14ac:dyDescent="0.3">
      <c r="T486" t="s">
        <v>170</v>
      </c>
      <c r="U486" t="s">
        <v>155</v>
      </c>
      <c r="V486" t="s">
        <v>155</v>
      </c>
      <c r="W486" t="s">
        <v>155</v>
      </c>
      <c r="X486" t="s">
        <v>155</v>
      </c>
      <c r="Y486" t="s">
        <v>155</v>
      </c>
      <c r="AC486" t="s">
        <v>170</v>
      </c>
      <c r="AD486" t="s">
        <v>155</v>
      </c>
      <c r="AE486" t="s">
        <v>155</v>
      </c>
      <c r="AF486" t="s">
        <v>155</v>
      </c>
      <c r="AG486" t="s">
        <v>155</v>
      </c>
      <c r="AH486" t="s">
        <v>155</v>
      </c>
    </row>
    <row r="487" spans="19:34" ht="16.2" customHeight="1" x14ac:dyDescent="0.3">
      <c r="T487" t="s">
        <v>171</v>
      </c>
      <c r="U487" t="s">
        <v>155</v>
      </c>
      <c r="V487" t="s">
        <v>155</v>
      </c>
      <c r="W487" t="s">
        <v>155</v>
      </c>
      <c r="X487" t="s">
        <v>155</v>
      </c>
      <c r="Y487" t="s">
        <v>155</v>
      </c>
      <c r="AC487" t="s">
        <v>171</v>
      </c>
      <c r="AD487" t="s">
        <v>155</v>
      </c>
      <c r="AE487" t="s">
        <v>155</v>
      </c>
      <c r="AF487" t="s">
        <v>155</v>
      </c>
      <c r="AG487" t="s">
        <v>155</v>
      </c>
      <c r="AH487" t="s">
        <v>155</v>
      </c>
    </row>
    <row r="488" spans="19:34" ht="16.2" customHeight="1" x14ac:dyDescent="0.3">
      <c r="T488" t="s">
        <v>172</v>
      </c>
      <c r="U488" t="s">
        <v>155</v>
      </c>
      <c r="V488" t="s">
        <v>155</v>
      </c>
      <c r="W488" t="s">
        <v>155</v>
      </c>
      <c r="X488" t="s">
        <v>155</v>
      </c>
      <c r="Y488" t="s">
        <v>155</v>
      </c>
      <c r="AC488" t="s">
        <v>172</v>
      </c>
      <c r="AD488" t="s">
        <v>155</v>
      </c>
      <c r="AE488" t="s">
        <v>155</v>
      </c>
      <c r="AF488" t="s">
        <v>155</v>
      </c>
      <c r="AG488" t="s">
        <v>155</v>
      </c>
      <c r="AH488" t="s">
        <v>155</v>
      </c>
    </row>
    <row r="490" spans="19:34" ht="16.2" customHeight="1" x14ac:dyDescent="0.3">
      <c r="S490" s="15" t="s">
        <v>182</v>
      </c>
      <c r="T490" t="s">
        <v>216</v>
      </c>
      <c r="AB490" s="15" t="s">
        <v>182</v>
      </c>
      <c r="AC490" t="s">
        <v>216</v>
      </c>
    </row>
    <row r="491" spans="19:34" ht="16.2" customHeight="1" x14ac:dyDescent="0.3">
      <c r="U491" t="s">
        <v>164</v>
      </c>
      <c r="V491" t="s">
        <v>165</v>
      </c>
      <c r="W491" t="s">
        <v>166</v>
      </c>
      <c r="X491" t="s">
        <v>167</v>
      </c>
      <c r="Y491" t="s">
        <v>168</v>
      </c>
      <c r="AD491" t="s">
        <v>164</v>
      </c>
      <c r="AE491" t="s">
        <v>165</v>
      </c>
      <c r="AF491" t="s">
        <v>166</v>
      </c>
      <c r="AG491" t="s">
        <v>167</v>
      </c>
      <c r="AH491" t="s">
        <v>168</v>
      </c>
    </row>
    <row r="492" spans="19:34" ht="16.2" customHeight="1" x14ac:dyDescent="0.3">
      <c r="T492" t="s">
        <v>154</v>
      </c>
      <c r="U492" t="s">
        <v>155</v>
      </c>
      <c r="V492" t="s">
        <v>77</v>
      </c>
      <c r="W492" t="s">
        <v>155</v>
      </c>
      <c r="X492" t="s">
        <v>155</v>
      </c>
      <c r="Y492" t="s">
        <v>155</v>
      </c>
      <c r="AC492" t="s">
        <v>154</v>
      </c>
      <c r="AD492" t="s">
        <v>155</v>
      </c>
      <c r="AE492" t="s">
        <v>77</v>
      </c>
      <c r="AF492" t="s">
        <v>155</v>
      </c>
      <c r="AG492" t="s">
        <v>155</v>
      </c>
      <c r="AH492" t="s">
        <v>155</v>
      </c>
    </row>
    <row r="493" spans="19:34" ht="16.2" customHeight="1" x14ac:dyDescent="0.3">
      <c r="T493" t="s">
        <v>156</v>
      </c>
      <c r="U493" t="s">
        <v>155</v>
      </c>
      <c r="V493" t="s">
        <v>77</v>
      </c>
      <c r="W493" t="s">
        <v>155</v>
      </c>
      <c r="X493" t="s">
        <v>155</v>
      </c>
      <c r="Y493" t="s">
        <v>155</v>
      </c>
      <c r="AC493" t="s">
        <v>156</v>
      </c>
      <c r="AD493" t="s">
        <v>155</v>
      </c>
      <c r="AE493" t="s">
        <v>77</v>
      </c>
      <c r="AF493" t="s">
        <v>155</v>
      </c>
      <c r="AG493" t="s">
        <v>155</v>
      </c>
      <c r="AH493" t="s">
        <v>155</v>
      </c>
    </row>
    <row r="494" spans="19:34" ht="16.2" customHeight="1" x14ac:dyDescent="0.3">
      <c r="T494" t="s">
        <v>157</v>
      </c>
      <c r="U494" t="s">
        <v>155</v>
      </c>
      <c r="V494" t="s">
        <v>155</v>
      </c>
      <c r="W494" t="s">
        <v>155</v>
      </c>
      <c r="X494" t="s">
        <v>155</v>
      </c>
      <c r="Y494" t="s">
        <v>155</v>
      </c>
      <c r="AC494" t="s">
        <v>157</v>
      </c>
      <c r="AD494" t="s">
        <v>155</v>
      </c>
      <c r="AE494" t="s">
        <v>155</v>
      </c>
      <c r="AF494" t="s">
        <v>155</v>
      </c>
      <c r="AG494" t="s">
        <v>155</v>
      </c>
      <c r="AH494" t="s">
        <v>155</v>
      </c>
    </row>
    <row r="495" spans="19:34" ht="16.2" customHeight="1" x14ac:dyDescent="0.3">
      <c r="T495" t="s">
        <v>158</v>
      </c>
      <c r="U495" t="s">
        <v>155</v>
      </c>
      <c r="V495" t="s">
        <v>155</v>
      </c>
      <c r="W495" t="s">
        <v>155</v>
      </c>
      <c r="X495" t="s">
        <v>155</v>
      </c>
      <c r="Y495" t="s">
        <v>155</v>
      </c>
      <c r="AC495" t="s">
        <v>158</v>
      </c>
      <c r="AD495" t="s">
        <v>155</v>
      </c>
      <c r="AE495" t="s">
        <v>155</v>
      </c>
      <c r="AF495" t="s">
        <v>155</v>
      </c>
      <c r="AG495" t="s">
        <v>155</v>
      </c>
      <c r="AH495" t="s">
        <v>155</v>
      </c>
    </row>
    <row r="496" spans="19:34" ht="16.2" customHeight="1" x14ac:dyDescent="0.3">
      <c r="T496" t="s">
        <v>159</v>
      </c>
      <c r="U496" t="s">
        <v>155</v>
      </c>
      <c r="V496" t="s">
        <v>155</v>
      </c>
      <c r="W496" t="s">
        <v>155</v>
      </c>
      <c r="X496" t="s">
        <v>155</v>
      </c>
      <c r="Y496" t="s">
        <v>155</v>
      </c>
      <c r="AC496" t="s">
        <v>159</v>
      </c>
      <c r="AD496" t="s">
        <v>155</v>
      </c>
      <c r="AE496" t="s">
        <v>155</v>
      </c>
      <c r="AF496" t="s">
        <v>155</v>
      </c>
      <c r="AG496" t="s">
        <v>155</v>
      </c>
      <c r="AH496" t="s">
        <v>155</v>
      </c>
    </row>
    <row r="497" spans="19:34" ht="16.2" customHeight="1" x14ac:dyDescent="0.3">
      <c r="T497" t="s">
        <v>160</v>
      </c>
      <c r="U497" t="s">
        <v>155</v>
      </c>
      <c r="V497" t="s">
        <v>155</v>
      </c>
      <c r="W497" t="s">
        <v>155</v>
      </c>
      <c r="X497" t="s">
        <v>155</v>
      </c>
      <c r="Y497" t="s">
        <v>155</v>
      </c>
      <c r="AC497" t="s">
        <v>160</v>
      </c>
      <c r="AD497" t="s">
        <v>155</v>
      </c>
      <c r="AE497" t="s">
        <v>155</v>
      </c>
      <c r="AF497" t="s">
        <v>155</v>
      </c>
      <c r="AG497" t="s">
        <v>155</v>
      </c>
      <c r="AH497" t="s">
        <v>155</v>
      </c>
    </row>
    <row r="498" spans="19:34" ht="16.2" customHeight="1" x14ac:dyDescent="0.3">
      <c r="T498" t="s">
        <v>169</v>
      </c>
      <c r="U498" t="s">
        <v>155</v>
      </c>
      <c r="V498" t="s">
        <v>155</v>
      </c>
      <c r="W498" t="s">
        <v>155</v>
      </c>
      <c r="X498" t="s">
        <v>155</v>
      </c>
      <c r="Y498" t="s">
        <v>155</v>
      </c>
      <c r="AC498" t="s">
        <v>169</v>
      </c>
      <c r="AD498" t="s">
        <v>155</v>
      </c>
      <c r="AE498" t="s">
        <v>155</v>
      </c>
      <c r="AF498" t="s">
        <v>155</v>
      </c>
      <c r="AG498" t="s">
        <v>155</v>
      </c>
      <c r="AH498" t="s">
        <v>155</v>
      </c>
    </row>
    <row r="499" spans="19:34" ht="16.2" customHeight="1" x14ac:dyDescent="0.3">
      <c r="T499" t="s">
        <v>170</v>
      </c>
      <c r="U499" t="s">
        <v>155</v>
      </c>
      <c r="V499" t="s">
        <v>155</v>
      </c>
      <c r="W499" t="s">
        <v>155</v>
      </c>
      <c r="X499" t="s">
        <v>155</v>
      </c>
      <c r="Y499" t="s">
        <v>155</v>
      </c>
      <c r="AC499" t="s">
        <v>170</v>
      </c>
      <c r="AD499" t="s">
        <v>155</v>
      </c>
      <c r="AE499" t="s">
        <v>155</v>
      </c>
      <c r="AF499" t="s">
        <v>155</v>
      </c>
      <c r="AG499" t="s">
        <v>155</v>
      </c>
      <c r="AH499" t="s">
        <v>155</v>
      </c>
    </row>
    <row r="500" spans="19:34" ht="16.2" customHeight="1" x14ac:dyDescent="0.3">
      <c r="T500" t="s">
        <v>171</v>
      </c>
      <c r="U500" t="s">
        <v>155</v>
      </c>
      <c r="V500" t="s">
        <v>155</v>
      </c>
      <c r="W500" t="s">
        <v>155</v>
      </c>
      <c r="X500" t="s">
        <v>155</v>
      </c>
      <c r="Y500" t="s">
        <v>155</v>
      </c>
      <c r="AC500" t="s">
        <v>171</v>
      </c>
      <c r="AD500" t="s">
        <v>155</v>
      </c>
      <c r="AE500" t="s">
        <v>155</v>
      </c>
      <c r="AF500" t="s">
        <v>155</v>
      </c>
      <c r="AG500" t="s">
        <v>155</v>
      </c>
      <c r="AH500" t="s">
        <v>155</v>
      </c>
    </row>
    <row r="501" spans="19:34" ht="16.2" customHeight="1" x14ac:dyDescent="0.3">
      <c r="T501" t="s">
        <v>172</v>
      </c>
      <c r="U501" t="s">
        <v>155</v>
      </c>
      <c r="V501" t="s">
        <v>155</v>
      </c>
      <c r="W501" t="s">
        <v>155</v>
      </c>
      <c r="X501" t="s">
        <v>155</v>
      </c>
      <c r="Y501" t="s">
        <v>155</v>
      </c>
      <c r="AC501" t="s">
        <v>172</v>
      </c>
      <c r="AD501" t="s">
        <v>155</v>
      </c>
      <c r="AE501" t="s">
        <v>155</v>
      </c>
      <c r="AF501" t="s">
        <v>155</v>
      </c>
      <c r="AG501" t="s">
        <v>155</v>
      </c>
      <c r="AH501" t="s">
        <v>155</v>
      </c>
    </row>
    <row r="503" spans="19:34" ht="16.2" customHeight="1" x14ac:dyDescent="0.3">
      <c r="S503" s="15" t="s">
        <v>133</v>
      </c>
      <c r="T503" t="s">
        <v>217</v>
      </c>
      <c r="AB503" s="15" t="s">
        <v>133</v>
      </c>
      <c r="AC503" t="s">
        <v>217</v>
      </c>
    </row>
    <row r="504" spans="19:34" ht="16.2" customHeight="1" x14ac:dyDescent="0.3">
      <c r="U504" t="s">
        <v>164</v>
      </c>
      <c r="V504" t="s">
        <v>165</v>
      </c>
      <c r="W504" t="s">
        <v>166</v>
      </c>
      <c r="X504" t="s">
        <v>167</v>
      </c>
      <c r="Y504" t="s">
        <v>168</v>
      </c>
      <c r="AD504" t="s">
        <v>164</v>
      </c>
      <c r="AE504" t="s">
        <v>165</v>
      </c>
      <c r="AF504" t="s">
        <v>166</v>
      </c>
      <c r="AG504" t="s">
        <v>167</v>
      </c>
      <c r="AH504" t="s">
        <v>168</v>
      </c>
    </row>
    <row r="505" spans="19:34" ht="16.2" customHeight="1" x14ac:dyDescent="0.3">
      <c r="T505" t="s">
        <v>154</v>
      </c>
      <c r="U505" t="s">
        <v>155</v>
      </c>
      <c r="V505" t="s">
        <v>88</v>
      </c>
      <c r="W505" t="s">
        <v>155</v>
      </c>
      <c r="X505" t="s">
        <v>88</v>
      </c>
      <c r="Y505" t="s">
        <v>155</v>
      </c>
      <c r="AC505" t="s">
        <v>154</v>
      </c>
      <c r="AD505" t="s">
        <v>155</v>
      </c>
      <c r="AE505" t="s">
        <v>88</v>
      </c>
      <c r="AF505" t="s">
        <v>155</v>
      </c>
      <c r="AG505" t="s">
        <v>88</v>
      </c>
      <c r="AH505" t="s">
        <v>155</v>
      </c>
    </row>
    <row r="506" spans="19:34" ht="16.2" customHeight="1" x14ac:dyDescent="0.3">
      <c r="T506" t="s">
        <v>156</v>
      </c>
      <c r="U506" t="s">
        <v>155</v>
      </c>
      <c r="V506" t="s">
        <v>88</v>
      </c>
      <c r="W506" t="s">
        <v>155</v>
      </c>
      <c r="X506" t="s">
        <v>88</v>
      </c>
      <c r="Y506" t="s">
        <v>155</v>
      </c>
      <c r="AC506" t="s">
        <v>156</v>
      </c>
      <c r="AD506" t="s">
        <v>155</v>
      </c>
      <c r="AE506" t="s">
        <v>88</v>
      </c>
      <c r="AF506" t="s">
        <v>155</v>
      </c>
      <c r="AG506" t="s">
        <v>88</v>
      </c>
      <c r="AH506" t="s">
        <v>155</v>
      </c>
    </row>
    <row r="507" spans="19:34" ht="16.2" customHeight="1" x14ac:dyDescent="0.3">
      <c r="T507" t="s">
        <v>157</v>
      </c>
      <c r="U507" t="s">
        <v>155</v>
      </c>
      <c r="V507" t="s">
        <v>155</v>
      </c>
      <c r="W507" t="s">
        <v>155</v>
      </c>
      <c r="X507" t="s">
        <v>88</v>
      </c>
      <c r="Y507" t="s">
        <v>155</v>
      </c>
      <c r="AC507" t="s">
        <v>157</v>
      </c>
      <c r="AD507" t="s">
        <v>155</v>
      </c>
      <c r="AE507" t="s">
        <v>155</v>
      </c>
      <c r="AF507" t="s">
        <v>155</v>
      </c>
      <c r="AG507" t="s">
        <v>88</v>
      </c>
      <c r="AH507" t="s">
        <v>155</v>
      </c>
    </row>
    <row r="508" spans="19:34" ht="16.2" customHeight="1" x14ac:dyDescent="0.3">
      <c r="T508" t="s">
        <v>158</v>
      </c>
      <c r="U508" t="s">
        <v>155</v>
      </c>
      <c r="V508" t="s">
        <v>155</v>
      </c>
      <c r="W508" t="s">
        <v>155</v>
      </c>
      <c r="X508" t="s">
        <v>155</v>
      </c>
      <c r="Y508" t="s">
        <v>155</v>
      </c>
      <c r="AC508" t="s">
        <v>158</v>
      </c>
      <c r="AD508" t="s">
        <v>155</v>
      </c>
      <c r="AE508" t="s">
        <v>155</v>
      </c>
      <c r="AF508" t="s">
        <v>155</v>
      </c>
      <c r="AG508" t="s">
        <v>155</v>
      </c>
      <c r="AH508" t="s">
        <v>155</v>
      </c>
    </row>
    <row r="509" spans="19:34" ht="16.2" customHeight="1" x14ac:dyDescent="0.3">
      <c r="T509" t="s">
        <v>159</v>
      </c>
      <c r="U509" t="s">
        <v>155</v>
      </c>
      <c r="V509" t="s">
        <v>155</v>
      </c>
      <c r="W509" t="s">
        <v>155</v>
      </c>
      <c r="X509" t="s">
        <v>155</v>
      </c>
      <c r="Y509" t="s">
        <v>155</v>
      </c>
      <c r="AC509" t="s">
        <v>159</v>
      </c>
      <c r="AD509" t="s">
        <v>155</v>
      </c>
      <c r="AE509" t="s">
        <v>155</v>
      </c>
      <c r="AF509" t="s">
        <v>155</v>
      </c>
      <c r="AG509" t="s">
        <v>155</v>
      </c>
      <c r="AH509" t="s">
        <v>155</v>
      </c>
    </row>
    <row r="510" spans="19:34" ht="16.2" customHeight="1" x14ac:dyDescent="0.3">
      <c r="T510" t="s">
        <v>160</v>
      </c>
      <c r="U510" t="s">
        <v>155</v>
      </c>
      <c r="V510" t="s">
        <v>155</v>
      </c>
      <c r="W510" t="s">
        <v>155</v>
      </c>
      <c r="X510" t="s">
        <v>155</v>
      </c>
      <c r="Y510" t="s">
        <v>155</v>
      </c>
      <c r="AC510" t="s">
        <v>160</v>
      </c>
      <c r="AD510" t="s">
        <v>155</v>
      </c>
      <c r="AE510" t="s">
        <v>155</v>
      </c>
      <c r="AF510" t="s">
        <v>155</v>
      </c>
      <c r="AG510" t="s">
        <v>155</v>
      </c>
      <c r="AH510" t="s">
        <v>155</v>
      </c>
    </row>
    <row r="511" spans="19:34" ht="16.2" customHeight="1" x14ac:dyDescent="0.3">
      <c r="T511" t="s">
        <v>169</v>
      </c>
      <c r="U511" t="s">
        <v>155</v>
      </c>
      <c r="V511" t="s">
        <v>155</v>
      </c>
      <c r="W511" t="s">
        <v>155</v>
      </c>
      <c r="X511" t="s">
        <v>155</v>
      </c>
      <c r="Y511" t="s">
        <v>155</v>
      </c>
      <c r="AC511" t="s">
        <v>169</v>
      </c>
      <c r="AD511" t="s">
        <v>155</v>
      </c>
      <c r="AE511" t="s">
        <v>155</v>
      </c>
      <c r="AF511" t="s">
        <v>155</v>
      </c>
      <c r="AG511" t="s">
        <v>155</v>
      </c>
      <c r="AH511" t="s">
        <v>155</v>
      </c>
    </row>
    <row r="512" spans="19:34" ht="16.2" customHeight="1" x14ac:dyDescent="0.3">
      <c r="T512" t="s">
        <v>170</v>
      </c>
      <c r="U512" t="s">
        <v>155</v>
      </c>
      <c r="V512" t="s">
        <v>155</v>
      </c>
      <c r="W512" t="s">
        <v>155</v>
      </c>
      <c r="X512" t="s">
        <v>155</v>
      </c>
      <c r="Y512" t="s">
        <v>155</v>
      </c>
      <c r="AC512" t="s">
        <v>170</v>
      </c>
      <c r="AD512" t="s">
        <v>155</v>
      </c>
      <c r="AE512" t="s">
        <v>155</v>
      </c>
      <c r="AF512" t="s">
        <v>155</v>
      </c>
      <c r="AG512" t="s">
        <v>155</v>
      </c>
      <c r="AH512" t="s">
        <v>155</v>
      </c>
    </row>
    <row r="513" spans="19:34" ht="16.2" customHeight="1" x14ac:dyDescent="0.3">
      <c r="T513" t="s">
        <v>171</v>
      </c>
      <c r="U513" t="s">
        <v>155</v>
      </c>
      <c r="V513" t="s">
        <v>155</v>
      </c>
      <c r="W513" t="s">
        <v>155</v>
      </c>
      <c r="X513" t="s">
        <v>155</v>
      </c>
      <c r="Y513" t="s">
        <v>155</v>
      </c>
      <c r="AC513" t="s">
        <v>171</v>
      </c>
      <c r="AD513" t="s">
        <v>155</v>
      </c>
      <c r="AE513" t="s">
        <v>155</v>
      </c>
      <c r="AF513" t="s">
        <v>155</v>
      </c>
      <c r="AG513" t="s">
        <v>155</v>
      </c>
      <c r="AH513" t="s">
        <v>155</v>
      </c>
    </row>
    <row r="514" spans="19:34" ht="16.2" customHeight="1" x14ac:dyDescent="0.3">
      <c r="T514" t="s">
        <v>172</v>
      </c>
      <c r="U514" t="s">
        <v>155</v>
      </c>
      <c r="V514" t="s">
        <v>155</v>
      </c>
      <c r="W514" t="s">
        <v>155</v>
      </c>
      <c r="X514" t="s">
        <v>155</v>
      </c>
      <c r="Y514" t="s">
        <v>155</v>
      </c>
      <c r="AC514" t="s">
        <v>172</v>
      </c>
      <c r="AD514" t="s">
        <v>155</v>
      </c>
      <c r="AE514" t="s">
        <v>155</v>
      </c>
      <c r="AF514" t="s">
        <v>155</v>
      </c>
      <c r="AG514" t="s">
        <v>155</v>
      </c>
      <c r="AH514" t="s">
        <v>155</v>
      </c>
    </row>
    <row r="516" spans="19:34" ht="16.2" customHeight="1" x14ac:dyDescent="0.3">
      <c r="S516" s="15" t="s">
        <v>134</v>
      </c>
      <c r="T516" t="s">
        <v>218</v>
      </c>
      <c r="AB516" s="15" t="s">
        <v>134</v>
      </c>
      <c r="AC516" t="s">
        <v>218</v>
      </c>
    </row>
    <row r="517" spans="19:34" ht="16.2" customHeight="1" x14ac:dyDescent="0.3">
      <c r="U517" t="s">
        <v>164</v>
      </c>
      <c r="V517" t="s">
        <v>165</v>
      </c>
      <c r="W517" t="s">
        <v>166</v>
      </c>
      <c r="X517" t="s">
        <v>167</v>
      </c>
      <c r="Y517" t="s">
        <v>168</v>
      </c>
      <c r="AD517" t="s">
        <v>164</v>
      </c>
      <c r="AE517" t="s">
        <v>165</v>
      </c>
      <c r="AF517" t="s">
        <v>166</v>
      </c>
      <c r="AG517" t="s">
        <v>167</v>
      </c>
      <c r="AH517" t="s">
        <v>168</v>
      </c>
    </row>
    <row r="518" spans="19:34" ht="16.2" customHeight="1" x14ac:dyDescent="0.3">
      <c r="T518" t="s">
        <v>154</v>
      </c>
      <c r="U518" t="s">
        <v>155</v>
      </c>
      <c r="V518" t="s">
        <v>155</v>
      </c>
      <c r="W518" t="s">
        <v>90</v>
      </c>
      <c r="X518" t="s">
        <v>155</v>
      </c>
      <c r="Y518" t="s">
        <v>90</v>
      </c>
      <c r="AC518" t="s">
        <v>154</v>
      </c>
      <c r="AD518" t="s">
        <v>155</v>
      </c>
      <c r="AE518" t="s">
        <v>155</v>
      </c>
      <c r="AF518" t="s">
        <v>90</v>
      </c>
      <c r="AG518" t="s">
        <v>155</v>
      </c>
      <c r="AH518" t="s">
        <v>90</v>
      </c>
    </row>
    <row r="519" spans="19:34" ht="16.2" customHeight="1" x14ac:dyDescent="0.3">
      <c r="T519" t="s">
        <v>156</v>
      </c>
      <c r="U519" t="s">
        <v>155</v>
      </c>
      <c r="V519" t="s">
        <v>155</v>
      </c>
      <c r="W519" t="s">
        <v>90</v>
      </c>
      <c r="X519" t="s">
        <v>155</v>
      </c>
      <c r="Y519" t="s">
        <v>90</v>
      </c>
      <c r="AC519" t="s">
        <v>156</v>
      </c>
      <c r="AD519" t="s">
        <v>155</v>
      </c>
      <c r="AE519" t="s">
        <v>155</v>
      </c>
      <c r="AF519" t="s">
        <v>90</v>
      </c>
      <c r="AG519" t="s">
        <v>155</v>
      </c>
      <c r="AH519" t="s">
        <v>90</v>
      </c>
    </row>
    <row r="520" spans="19:34" ht="16.2" customHeight="1" x14ac:dyDescent="0.3">
      <c r="T520" t="s">
        <v>157</v>
      </c>
      <c r="U520" t="s">
        <v>155</v>
      </c>
      <c r="V520" t="s">
        <v>155</v>
      </c>
      <c r="W520" t="s">
        <v>155</v>
      </c>
      <c r="X520" t="s">
        <v>155</v>
      </c>
      <c r="Y520" t="s">
        <v>155</v>
      </c>
      <c r="AC520" t="s">
        <v>157</v>
      </c>
      <c r="AD520" t="s">
        <v>155</v>
      </c>
      <c r="AE520" t="s">
        <v>155</v>
      </c>
      <c r="AF520" t="s">
        <v>155</v>
      </c>
      <c r="AG520" t="s">
        <v>155</v>
      </c>
      <c r="AH520" t="s">
        <v>155</v>
      </c>
    </row>
    <row r="521" spans="19:34" ht="16.2" customHeight="1" x14ac:dyDescent="0.3">
      <c r="T521" t="s">
        <v>158</v>
      </c>
      <c r="U521" t="s">
        <v>155</v>
      </c>
      <c r="V521" t="s">
        <v>155</v>
      </c>
      <c r="W521" t="s">
        <v>155</v>
      </c>
      <c r="X521" t="s">
        <v>155</v>
      </c>
      <c r="Y521" t="s">
        <v>155</v>
      </c>
      <c r="AC521" t="s">
        <v>158</v>
      </c>
      <c r="AD521" t="s">
        <v>155</v>
      </c>
      <c r="AE521" t="s">
        <v>155</v>
      </c>
      <c r="AF521" t="s">
        <v>155</v>
      </c>
      <c r="AG521" t="s">
        <v>155</v>
      </c>
      <c r="AH521" t="s">
        <v>155</v>
      </c>
    </row>
    <row r="522" spans="19:34" ht="16.2" customHeight="1" x14ac:dyDescent="0.3">
      <c r="T522" t="s">
        <v>159</v>
      </c>
      <c r="U522" t="s">
        <v>155</v>
      </c>
      <c r="V522" t="s">
        <v>155</v>
      </c>
      <c r="W522" t="s">
        <v>155</v>
      </c>
      <c r="X522" t="s">
        <v>155</v>
      </c>
      <c r="Y522" t="s">
        <v>155</v>
      </c>
      <c r="AC522" t="s">
        <v>159</v>
      </c>
      <c r="AD522" t="s">
        <v>155</v>
      </c>
      <c r="AE522" t="s">
        <v>155</v>
      </c>
      <c r="AF522" t="s">
        <v>155</v>
      </c>
      <c r="AG522" t="s">
        <v>155</v>
      </c>
      <c r="AH522" t="s">
        <v>155</v>
      </c>
    </row>
    <row r="523" spans="19:34" ht="16.2" customHeight="1" x14ac:dyDescent="0.3">
      <c r="T523" t="s">
        <v>160</v>
      </c>
      <c r="U523" t="s">
        <v>155</v>
      </c>
      <c r="V523" t="s">
        <v>155</v>
      </c>
      <c r="W523" t="s">
        <v>155</v>
      </c>
      <c r="X523" t="s">
        <v>155</v>
      </c>
      <c r="Y523" t="s">
        <v>155</v>
      </c>
      <c r="AC523" t="s">
        <v>160</v>
      </c>
      <c r="AD523" t="s">
        <v>155</v>
      </c>
      <c r="AE523" t="s">
        <v>155</v>
      </c>
      <c r="AF523" t="s">
        <v>155</v>
      </c>
      <c r="AG523" t="s">
        <v>155</v>
      </c>
      <c r="AH523" t="s">
        <v>155</v>
      </c>
    </row>
    <row r="524" spans="19:34" ht="16.2" customHeight="1" x14ac:dyDescent="0.3">
      <c r="T524" t="s">
        <v>169</v>
      </c>
      <c r="U524" t="s">
        <v>155</v>
      </c>
      <c r="V524" t="s">
        <v>155</v>
      </c>
      <c r="W524" t="s">
        <v>155</v>
      </c>
      <c r="X524" t="s">
        <v>155</v>
      </c>
      <c r="Y524" t="s">
        <v>155</v>
      </c>
      <c r="AC524" t="s">
        <v>169</v>
      </c>
      <c r="AD524" t="s">
        <v>155</v>
      </c>
      <c r="AE524" t="s">
        <v>155</v>
      </c>
      <c r="AF524" t="s">
        <v>155</v>
      </c>
      <c r="AG524" t="s">
        <v>155</v>
      </c>
      <c r="AH524" t="s">
        <v>155</v>
      </c>
    </row>
    <row r="525" spans="19:34" ht="16.2" customHeight="1" x14ac:dyDescent="0.3">
      <c r="T525" t="s">
        <v>170</v>
      </c>
      <c r="U525" t="s">
        <v>155</v>
      </c>
      <c r="V525" t="s">
        <v>155</v>
      </c>
      <c r="W525" t="s">
        <v>155</v>
      </c>
      <c r="X525" t="s">
        <v>155</v>
      </c>
      <c r="Y525" t="s">
        <v>155</v>
      </c>
      <c r="AC525" t="s">
        <v>170</v>
      </c>
      <c r="AD525" t="s">
        <v>155</v>
      </c>
      <c r="AE525" t="s">
        <v>155</v>
      </c>
      <c r="AF525" t="s">
        <v>155</v>
      </c>
      <c r="AG525" t="s">
        <v>155</v>
      </c>
      <c r="AH525" t="s">
        <v>155</v>
      </c>
    </row>
    <row r="526" spans="19:34" ht="16.2" customHeight="1" x14ac:dyDescent="0.3">
      <c r="T526" t="s">
        <v>171</v>
      </c>
      <c r="U526" t="s">
        <v>155</v>
      </c>
      <c r="V526" t="s">
        <v>155</v>
      </c>
      <c r="W526" t="s">
        <v>155</v>
      </c>
      <c r="X526" t="s">
        <v>155</v>
      </c>
      <c r="Y526" t="s">
        <v>155</v>
      </c>
      <c r="AC526" t="s">
        <v>171</v>
      </c>
      <c r="AD526" t="s">
        <v>155</v>
      </c>
      <c r="AE526" t="s">
        <v>155</v>
      </c>
      <c r="AF526" t="s">
        <v>155</v>
      </c>
      <c r="AG526" t="s">
        <v>155</v>
      </c>
      <c r="AH526" t="s">
        <v>155</v>
      </c>
    </row>
    <row r="527" spans="19:34" ht="16.2" customHeight="1" x14ac:dyDescent="0.3">
      <c r="T527" t="s">
        <v>172</v>
      </c>
      <c r="U527" t="s">
        <v>155</v>
      </c>
      <c r="V527" t="s">
        <v>155</v>
      </c>
      <c r="W527" t="s">
        <v>155</v>
      </c>
      <c r="X527" t="s">
        <v>155</v>
      </c>
      <c r="Y527" t="s">
        <v>155</v>
      </c>
      <c r="AC527" t="s">
        <v>172</v>
      </c>
      <c r="AD527" t="s">
        <v>155</v>
      </c>
      <c r="AE527" t="s">
        <v>155</v>
      </c>
      <c r="AF527" t="s">
        <v>155</v>
      </c>
      <c r="AG527" t="s">
        <v>155</v>
      </c>
      <c r="AH527" t="s">
        <v>155</v>
      </c>
    </row>
    <row r="529" spans="19:34" ht="16.2" customHeight="1" x14ac:dyDescent="0.3">
      <c r="S529" s="15" t="s">
        <v>135</v>
      </c>
      <c r="T529" t="s">
        <v>219</v>
      </c>
      <c r="AB529" s="15" t="s">
        <v>135</v>
      </c>
      <c r="AC529" t="s">
        <v>219</v>
      </c>
    </row>
    <row r="530" spans="19:34" ht="16.2" customHeight="1" x14ac:dyDescent="0.3">
      <c r="U530" t="s">
        <v>164</v>
      </c>
      <c r="V530" t="s">
        <v>165</v>
      </c>
      <c r="W530" t="s">
        <v>166</v>
      </c>
      <c r="X530" t="s">
        <v>167</v>
      </c>
      <c r="Y530" t="s">
        <v>168</v>
      </c>
      <c r="AD530" t="s">
        <v>164</v>
      </c>
      <c r="AE530" t="s">
        <v>165</v>
      </c>
      <c r="AF530" t="s">
        <v>166</v>
      </c>
      <c r="AG530" t="s">
        <v>167</v>
      </c>
      <c r="AH530" t="s">
        <v>168</v>
      </c>
    </row>
    <row r="531" spans="19:34" ht="16.2" customHeight="1" x14ac:dyDescent="0.3">
      <c r="T531" t="s">
        <v>154</v>
      </c>
      <c r="U531" t="s">
        <v>91</v>
      </c>
      <c r="V531" t="s">
        <v>155</v>
      </c>
      <c r="W531" t="s">
        <v>155</v>
      </c>
      <c r="X531" t="s">
        <v>155</v>
      </c>
      <c r="Y531" t="s">
        <v>91</v>
      </c>
      <c r="AC531" t="s">
        <v>154</v>
      </c>
      <c r="AD531" t="s">
        <v>155</v>
      </c>
      <c r="AE531" t="s">
        <v>155</v>
      </c>
      <c r="AF531" t="s">
        <v>155</v>
      </c>
      <c r="AG531" t="s">
        <v>155</v>
      </c>
      <c r="AH531" t="s">
        <v>91</v>
      </c>
    </row>
    <row r="532" spans="19:34" ht="16.2" customHeight="1" x14ac:dyDescent="0.3">
      <c r="T532" t="s">
        <v>156</v>
      </c>
      <c r="U532" t="s">
        <v>91</v>
      </c>
      <c r="V532" t="s">
        <v>155</v>
      </c>
      <c r="W532" t="s">
        <v>155</v>
      </c>
      <c r="X532" t="s">
        <v>155</v>
      </c>
      <c r="Y532" t="s">
        <v>91</v>
      </c>
      <c r="AC532" t="s">
        <v>156</v>
      </c>
      <c r="AD532" t="s">
        <v>155</v>
      </c>
      <c r="AE532" t="s">
        <v>155</v>
      </c>
      <c r="AF532" t="s">
        <v>155</v>
      </c>
      <c r="AG532" t="s">
        <v>155</v>
      </c>
      <c r="AH532" t="s">
        <v>91</v>
      </c>
    </row>
    <row r="533" spans="19:34" ht="16.2" customHeight="1" x14ac:dyDescent="0.3">
      <c r="T533" t="s">
        <v>157</v>
      </c>
      <c r="U533" t="s">
        <v>91</v>
      </c>
      <c r="V533" t="s">
        <v>155</v>
      </c>
      <c r="W533" t="s">
        <v>155</v>
      </c>
      <c r="X533" t="s">
        <v>91</v>
      </c>
      <c r="Y533" t="s">
        <v>155</v>
      </c>
      <c r="AC533" t="s">
        <v>157</v>
      </c>
      <c r="AD533" t="s">
        <v>91</v>
      </c>
      <c r="AE533" t="s">
        <v>155</v>
      </c>
      <c r="AF533" t="s">
        <v>155</v>
      </c>
      <c r="AG533" t="s">
        <v>155</v>
      </c>
      <c r="AH533" t="s">
        <v>155</v>
      </c>
    </row>
    <row r="534" spans="19:34" ht="16.2" customHeight="1" x14ac:dyDescent="0.3">
      <c r="T534" t="s">
        <v>158</v>
      </c>
      <c r="U534" t="s">
        <v>91</v>
      </c>
      <c r="V534" t="s">
        <v>155</v>
      </c>
      <c r="W534" t="s">
        <v>155</v>
      </c>
      <c r="X534" t="s">
        <v>91</v>
      </c>
      <c r="Y534" t="s">
        <v>155</v>
      </c>
      <c r="AC534" t="s">
        <v>158</v>
      </c>
      <c r="AD534" t="s">
        <v>91</v>
      </c>
      <c r="AE534" t="s">
        <v>155</v>
      </c>
      <c r="AF534" t="s">
        <v>155</v>
      </c>
      <c r="AG534" t="s">
        <v>155</v>
      </c>
      <c r="AH534" t="s">
        <v>155</v>
      </c>
    </row>
    <row r="535" spans="19:34" ht="16.2" customHeight="1" x14ac:dyDescent="0.3">
      <c r="T535" t="s">
        <v>159</v>
      </c>
      <c r="U535" t="s">
        <v>155</v>
      </c>
      <c r="V535" t="s">
        <v>155</v>
      </c>
      <c r="W535" t="s">
        <v>155</v>
      </c>
      <c r="X535" t="s">
        <v>155</v>
      </c>
      <c r="Y535" t="s">
        <v>155</v>
      </c>
      <c r="AC535" t="s">
        <v>159</v>
      </c>
      <c r="AD535" t="s">
        <v>91</v>
      </c>
      <c r="AE535" t="s">
        <v>155</v>
      </c>
      <c r="AF535" t="s">
        <v>155</v>
      </c>
      <c r="AG535" t="s">
        <v>91</v>
      </c>
      <c r="AH535" t="s">
        <v>155</v>
      </c>
    </row>
    <row r="536" spans="19:34" ht="16.2" customHeight="1" x14ac:dyDescent="0.3">
      <c r="T536" t="s">
        <v>160</v>
      </c>
      <c r="U536" t="s">
        <v>155</v>
      </c>
      <c r="V536" t="s">
        <v>155</v>
      </c>
      <c r="W536" t="s">
        <v>155</v>
      </c>
      <c r="X536" t="s">
        <v>155</v>
      </c>
      <c r="Y536" t="s">
        <v>155</v>
      </c>
      <c r="AC536" t="s">
        <v>160</v>
      </c>
      <c r="AD536" t="s">
        <v>91</v>
      </c>
      <c r="AE536" t="s">
        <v>155</v>
      </c>
      <c r="AF536" t="s">
        <v>155</v>
      </c>
      <c r="AG536" t="s">
        <v>91</v>
      </c>
      <c r="AH536" t="s">
        <v>155</v>
      </c>
    </row>
    <row r="537" spans="19:34" ht="16.2" customHeight="1" x14ac:dyDescent="0.3">
      <c r="T537" t="s">
        <v>169</v>
      </c>
      <c r="U537" t="s">
        <v>155</v>
      </c>
      <c r="V537" t="s">
        <v>155</v>
      </c>
      <c r="W537" t="s">
        <v>155</v>
      </c>
      <c r="X537" t="s">
        <v>155</v>
      </c>
      <c r="Y537" t="s">
        <v>155</v>
      </c>
      <c r="AC537" t="s">
        <v>169</v>
      </c>
      <c r="AD537" t="s">
        <v>155</v>
      </c>
      <c r="AE537" t="s">
        <v>155</v>
      </c>
      <c r="AF537" t="s">
        <v>155</v>
      </c>
      <c r="AG537" t="s">
        <v>155</v>
      </c>
      <c r="AH537" t="s">
        <v>155</v>
      </c>
    </row>
    <row r="538" spans="19:34" ht="16.2" customHeight="1" x14ac:dyDescent="0.3">
      <c r="T538" t="s">
        <v>170</v>
      </c>
      <c r="U538" t="s">
        <v>155</v>
      </c>
      <c r="V538" t="s">
        <v>155</v>
      </c>
      <c r="W538" t="s">
        <v>155</v>
      </c>
      <c r="X538" t="s">
        <v>155</v>
      </c>
      <c r="Y538" t="s">
        <v>155</v>
      </c>
      <c r="AC538" t="s">
        <v>170</v>
      </c>
      <c r="AD538" t="s">
        <v>155</v>
      </c>
      <c r="AE538" t="s">
        <v>155</v>
      </c>
      <c r="AF538" t="s">
        <v>155</v>
      </c>
      <c r="AG538" t="s">
        <v>155</v>
      </c>
      <c r="AH538" t="s">
        <v>155</v>
      </c>
    </row>
    <row r="539" spans="19:34" ht="16.2" customHeight="1" x14ac:dyDescent="0.3">
      <c r="T539" t="s">
        <v>171</v>
      </c>
      <c r="U539" t="s">
        <v>155</v>
      </c>
      <c r="V539" t="s">
        <v>155</v>
      </c>
      <c r="W539" t="s">
        <v>155</v>
      </c>
      <c r="X539" t="s">
        <v>155</v>
      </c>
      <c r="Y539" t="s">
        <v>155</v>
      </c>
      <c r="AC539" t="s">
        <v>171</v>
      </c>
      <c r="AD539" t="s">
        <v>155</v>
      </c>
      <c r="AE539" t="s">
        <v>155</v>
      </c>
      <c r="AF539" t="s">
        <v>155</v>
      </c>
      <c r="AG539" t="s">
        <v>155</v>
      </c>
      <c r="AH539" t="s">
        <v>155</v>
      </c>
    </row>
    <row r="540" spans="19:34" ht="16.2" customHeight="1" x14ac:dyDescent="0.3">
      <c r="T540" t="s">
        <v>172</v>
      </c>
      <c r="U540" t="s">
        <v>155</v>
      </c>
      <c r="V540" t="s">
        <v>155</v>
      </c>
      <c r="W540" t="s">
        <v>155</v>
      </c>
      <c r="X540" t="s">
        <v>155</v>
      </c>
      <c r="Y540" t="s">
        <v>155</v>
      </c>
      <c r="AC540" t="s">
        <v>172</v>
      </c>
      <c r="AD540" t="s">
        <v>155</v>
      </c>
      <c r="AE540" t="s">
        <v>155</v>
      </c>
      <c r="AF540" t="s">
        <v>155</v>
      </c>
      <c r="AG540" t="s">
        <v>155</v>
      </c>
      <c r="AH540" t="s">
        <v>155</v>
      </c>
    </row>
    <row r="542" spans="19:34" ht="16.2" customHeight="1" x14ac:dyDescent="0.3">
      <c r="S542" s="15" t="s">
        <v>136</v>
      </c>
      <c r="T542" t="s">
        <v>220</v>
      </c>
      <c r="AB542" s="15" t="s">
        <v>136</v>
      </c>
      <c r="AC542" t="s">
        <v>220</v>
      </c>
    </row>
    <row r="543" spans="19:34" ht="16.2" customHeight="1" x14ac:dyDescent="0.3">
      <c r="U543" t="s">
        <v>164</v>
      </c>
      <c r="V543" t="s">
        <v>165</v>
      </c>
      <c r="W543" t="s">
        <v>166</v>
      </c>
      <c r="X543" t="s">
        <v>167</v>
      </c>
      <c r="Y543" t="s">
        <v>168</v>
      </c>
      <c r="AD543" t="s">
        <v>164</v>
      </c>
      <c r="AE543" t="s">
        <v>165</v>
      </c>
      <c r="AF543" t="s">
        <v>166</v>
      </c>
      <c r="AG543" t="s">
        <v>167</v>
      </c>
      <c r="AH543" t="s">
        <v>168</v>
      </c>
    </row>
    <row r="544" spans="19:34" ht="16.2" customHeight="1" x14ac:dyDescent="0.3">
      <c r="T544" t="s">
        <v>154</v>
      </c>
      <c r="U544" t="s">
        <v>155</v>
      </c>
      <c r="V544" t="s">
        <v>155</v>
      </c>
      <c r="W544" t="s">
        <v>155</v>
      </c>
      <c r="X544" t="s">
        <v>155</v>
      </c>
      <c r="Y544" t="s">
        <v>155</v>
      </c>
      <c r="AC544" t="s">
        <v>154</v>
      </c>
      <c r="AD544" t="s">
        <v>155</v>
      </c>
      <c r="AE544" t="s">
        <v>155</v>
      </c>
      <c r="AF544" t="s">
        <v>155</v>
      </c>
      <c r="AG544" t="s">
        <v>155</v>
      </c>
      <c r="AH544" t="s">
        <v>155</v>
      </c>
    </row>
    <row r="545" spans="19:34" ht="16.2" customHeight="1" x14ac:dyDescent="0.3">
      <c r="T545" t="s">
        <v>156</v>
      </c>
      <c r="U545" t="s">
        <v>155</v>
      </c>
      <c r="V545" t="s">
        <v>155</v>
      </c>
      <c r="W545" t="s">
        <v>155</v>
      </c>
      <c r="X545" t="s">
        <v>155</v>
      </c>
      <c r="Y545" t="s">
        <v>155</v>
      </c>
      <c r="AC545" t="s">
        <v>156</v>
      </c>
      <c r="AD545" t="s">
        <v>155</v>
      </c>
      <c r="AE545" t="s">
        <v>155</v>
      </c>
      <c r="AF545" t="s">
        <v>155</v>
      </c>
      <c r="AG545" t="s">
        <v>155</v>
      </c>
      <c r="AH545" t="s">
        <v>155</v>
      </c>
    </row>
    <row r="546" spans="19:34" ht="16.2" customHeight="1" x14ac:dyDescent="0.3">
      <c r="T546" t="s">
        <v>157</v>
      </c>
      <c r="U546" t="s">
        <v>155</v>
      </c>
      <c r="V546" t="s">
        <v>155</v>
      </c>
      <c r="W546" t="s">
        <v>155</v>
      </c>
      <c r="X546" t="s">
        <v>155</v>
      </c>
      <c r="Y546" t="s">
        <v>155</v>
      </c>
      <c r="AC546" t="s">
        <v>157</v>
      </c>
      <c r="AD546" t="s">
        <v>155</v>
      </c>
      <c r="AE546" t="s">
        <v>155</v>
      </c>
      <c r="AF546" t="s">
        <v>155</v>
      </c>
      <c r="AG546" t="s">
        <v>155</v>
      </c>
      <c r="AH546" t="s">
        <v>155</v>
      </c>
    </row>
    <row r="547" spans="19:34" ht="16.2" customHeight="1" x14ac:dyDescent="0.3">
      <c r="T547" t="s">
        <v>158</v>
      </c>
      <c r="U547" t="s">
        <v>155</v>
      </c>
      <c r="V547" t="s">
        <v>155</v>
      </c>
      <c r="W547" t="s">
        <v>155</v>
      </c>
      <c r="X547" t="s">
        <v>155</v>
      </c>
      <c r="Y547" t="s">
        <v>155</v>
      </c>
      <c r="AC547" t="s">
        <v>158</v>
      </c>
      <c r="AD547" t="s">
        <v>155</v>
      </c>
      <c r="AE547" t="s">
        <v>155</v>
      </c>
      <c r="AF547" t="s">
        <v>155</v>
      </c>
      <c r="AG547" t="s">
        <v>155</v>
      </c>
      <c r="AH547" t="s">
        <v>155</v>
      </c>
    </row>
    <row r="548" spans="19:34" ht="16.2" customHeight="1" x14ac:dyDescent="0.3">
      <c r="T548" t="s">
        <v>159</v>
      </c>
      <c r="U548" t="s">
        <v>155</v>
      </c>
      <c r="V548" t="s">
        <v>155</v>
      </c>
      <c r="W548" t="s">
        <v>155</v>
      </c>
      <c r="X548" t="s">
        <v>155</v>
      </c>
      <c r="Y548" t="s">
        <v>92</v>
      </c>
      <c r="AC548" t="s">
        <v>159</v>
      </c>
      <c r="AD548" t="s">
        <v>155</v>
      </c>
      <c r="AE548" t="s">
        <v>155</v>
      </c>
      <c r="AF548" t="s">
        <v>155</v>
      </c>
      <c r="AG548" t="s">
        <v>155</v>
      </c>
      <c r="AH548" t="s">
        <v>92</v>
      </c>
    </row>
    <row r="549" spans="19:34" ht="16.2" customHeight="1" x14ac:dyDescent="0.3">
      <c r="T549" t="s">
        <v>160</v>
      </c>
      <c r="U549" t="s">
        <v>155</v>
      </c>
      <c r="V549" t="s">
        <v>155</v>
      </c>
      <c r="W549" t="s">
        <v>155</v>
      </c>
      <c r="X549" t="s">
        <v>155</v>
      </c>
      <c r="Y549" t="s">
        <v>92</v>
      </c>
      <c r="AC549" t="s">
        <v>160</v>
      </c>
      <c r="AD549" t="s">
        <v>155</v>
      </c>
      <c r="AE549" t="s">
        <v>155</v>
      </c>
      <c r="AF549" t="s">
        <v>155</v>
      </c>
      <c r="AG549" t="s">
        <v>155</v>
      </c>
      <c r="AH549" t="s">
        <v>92</v>
      </c>
    </row>
    <row r="550" spans="19:34" ht="16.2" customHeight="1" x14ac:dyDescent="0.3">
      <c r="T550" t="s">
        <v>169</v>
      </c>
      <c r="U550" t="s">
        <v>155</v>
      </c>
      <c r="V550" t="s">
        <v>155</v>
      </c>
      <c r="W550" t="s">
        <v>155</v>
      </c>
      <c r="X550" t="s">
        <v>155</v>
      </c>
      <c r="Y550" t="s">
        <v>155</v>
      </c>
      <c r="AC550" t="s">
        <v>169</v>
      </c>
      <c r="AD550" t="s">
        <v>155</v>
      </c>
      <c r="AE550" t="s">
        <v>155</v>
      </c>
      <c r="AF550" t="s">
        <v>155</v>
      </c>
      <c r="AG550" t="s">
        <v>155</v>
      </c>
      <c r="AH550" t="s">
        <v>155</v>
      </c>
    </row>
    <row r="551" spans="19:34" ht="16.2" customHeight="1" x14ac:dyDescent="0.3">
      <c r="T551" t="s">
        <v>170</v>
      </c>
      <c r="U551" t="s">
        <v>155</v>
      </c>
      <c r="V551" t="s">
        <v>155</v>
      </c>
      <c r="W551" t="s">
        <v>155</v>
      </c>
      <c r="X551" t="s">
        <v>155</v>
      </c>
      <c r="Y551" t="s">
        <v>155</v>
      </c>
      <c r="AC551" t="s">
        <v>170</v>
      </c>
      <c r="AD551" t="s">
        <v>155</v>
      </c>
      <c r="AE551" t="s">
        <v>155</v>
      </c>
      <c r="AF551" t="s">
        <v>155</v>
      </c>
      <c r="AG551" t="s">
        <v>155</v>
      </c>
      <c r="AH551" t="s">
        <v>155</v>
      </c>
    </row>
    <row r="552" spans="19:34" ht="16.2" customHeight="1" x14ac:dyDescent="0.3">
      <c r="T552" t="s">
        <v>171</v>
      </c>
      <c r="U552" t="s">
        <v>155</v>
      </c>
      <c r="V552" t="s">
        <v>155</v>
      </c>
      <c r="W552" t="s">
        <v>155</v>
      </c>
      <c r="X552" t="s">
        <v>155</v>
      </c>
      <c r="Y552" t="s">
        <v>155</v>
      </c>
      <c r="AC552" t="s">
        <v>171</v>
      </c>
      <c r="AD552" t="s">
        <v>155</v>
      </c>
      <c r="AE552" t="s">
        <v>155</v>
      </c>
      <c r="AF552" t="s">
        <v>155</v>
      </c>
      <c r="AG552" t="s">
        <v>155</v>
      </c>
      <c r="AH552" t="s">
        <v>155</v>
      </c>
    </row>
    <row r="553" spans="19:34" ht="16.2" customHeight="1" x14ac:dyDescent="0.3">
      <c r="T553" t="s">
        <v>172</v>
      </c>
      <c r="U553" t="s">
        <v>155</v>
      </c>
      <c r="V553" t="s">
        <v>155</v>
      </c>
      <c r="W553" t="s">
        <v>155</v>
      </c>
      <c r="X553" t="s">
        <v>155</v>
      </c>
      <c r="Y553" t="s">
        <v>155</v>
      </c>
      <c r="AC553" t="s">
        <v>172</v>
      </c>
      <c r="AD553" t="s">
        <v>155</v>
      </c>
      <c r="AE553" t="s">
        <v>155</v>
      </c>
      <c r="AF553" t="s">
        <v>155</v>
      </c>
      <c r="AG553" t="s">
        <v>155</v>
      </c>
      <c r="AH553" t="s">
        <v>155</v>
      </c>
    </row>
    <row r="555" spans="19:34" ht="16.2" customHeight="1" x14ac:dyDescent="0.3">
      <c r="S555" s="15" t="s">
        <v>137</v>
      </c>
      <c r="T555" t="s">
        <v>221</v>
      </c>
      <c r="AB555" s="15" t="s">
        <v>137</v>
      </c>
      <c r="AC555" t="s">
        <v>221</v>
      </c>
    </row>
    <row r="556" spans="19:34" ht="16.2" customHeight="1" x14ac:dyDescent="0.3">
      <c r="U556" t="s">
        <v>164</v>
      </c>
      <c r="V556" t="s">
        <v>165</v>
      </c>
      <c r="W556" t="s">
        <v>166</v>
      </c>
      <c r="X556" t="s">
        <v>167</v>
      </c>
      <c r="Y556" t="s">
        <v>168</v>
      </c>
      <c r="AD556" t="s">
        <v>164</v>
      </c>
      <c r="AE556" t="s">
        <v>165</v>
      </c>
      <c r="AF556" t="s">
        <v>166</v>
      </c>
      <c r="AG556" t="s">
        <v>167</v>
      </c>
      <c r="AH556" t="s">
        <v>168</v>
      </c>
    </row>
    <row r="557" spans="19:34" ht="16.2" customHeight="1" x14ac:dyDescent="0.3">
      <c r="T557" t="s">
        <v>154</v>
      </c>
      <c r="U557" t="s">
        <v>155</v>
      </c>
      <c r="V557" t="s">
        <v>155</v>
      </c>
      <c r="W557" t="s">
        <v>155</v>
      </c>
      <c r="X557" t="s">
        <v>155</v>
      </c>
      <c r="Y557" t="s">
        <v>155</v>
      </c>
      <c r="AC557" t="s">
        <v>154</v>
      </c>
      <c r="AD557" t="s">
        <v>155</v>
      </c>
      <c r="AE557" t="s">
        <v>155</v>
      </c>
      <c r="AF557" t="s">
        <v>155</v>
      </c>
      <c r="AG557" t="s">
        <v>155</v>
      </c>
      <c r="AH557" t="s">
        <v>155</v>
      </c>
    </row>
    <row r="558" spans="19:34" ht="16.2" customHeight="1" x14ac:dyDescent="0.3">
      <c r="T558" t="s">
        <v>156</v>
      </c>
      <c r="U558" t="s">
        <v>155</v>
      </c>
      <c r="V558" t="s">
        <v>155</v>
      </c>
      <c r="W558" t="s">
        <v>155</v>
      </c>
      <c r="X558" t="s">
        <v>155</v>
      </c>
      <c r="Y558" t="s">
        <v>155</v>
      </c>
      <c r="AC558" t="s">
        <v>156</v>
      </c>
      <c r="AD558" t="s">
        <v>155</v>
      </c>
      <c r="AE558" t="s">
        <v>155</v>
      </c>
      <c r="AF558" t="s">
        <v>155</v>
      </c>
      <c r="AG558" t="s">
        <v>155</v>
      </c>
      <c r="AH558" t="s">
        <v>155</v>
      </c>
    </row>
    <row r="559" spans="19:34" ht="16.2" customHeight="1" x14ac:dyDescent="0.3">
      <c r="T559" t="s">
        <v>157</v>
      </c>
      <c r="U559" t="s">
        <v>155</v>
      </c>
      <c r="V559" t="s">
        <v>155</v>
      </c>
      <c r="W559" t="s">
        <v>92</v>
      </c>
      <c r="X559" t="s">
        <v>155</v>
      </c>
      <c r="Y559" t="s">
        <v>155</v>
      </c>
      <c r="AC559" t="s">
        <v>157</v>
      </c>
      <c r="AD559" t="s">
        <v>155</v>
      </c>
      <c r="AE559" t="s">
        <v>155</v>
      </c>
      <c r="AF559" t="s">
        <v>92</v>
      </c>
      <c r="AG559" t="s">
        <v>155</v>
      </c>
      <c r="AH559" t="s">
        <v>155</v>
      </c>
    </row>
    <row r="560" spans="19:34" ht="16.2" customHeight="1" x14ac:dyDescent="0.3">
      <c r="T560" t="s">
        <v>158</v>
      </c>
      <c r="U560" t="s">
        <v>155</v>
      </c>
      <c r="V560" t="s">
        <v>155</v>
      </c>
      <c r="W560" t="s">
        <v>92</v>
      </c>
      <c r="X560" t="s">
        <v>155</v>
      </c>
      <c r="Y560" t="s">
        <v>155</v>
      </c>
      <c r="AC560" t="s">
        <v>158</v>
      </c>
      <c r="AD560" t="s">
        <v>155</v>
      </c>
      <c r="AE560" t="s">
        <v>155</v>
      </c>
      <c r="AF560" t="s">
        <v>92</v>
      </c>
      <c r="AG560" t="s">
        <v>155</v>
      </c>
      <c r="AH560" t="s">
        <v>155</v>
      </c>
    </row>
    <row r="561" spans="19:34" ht="16.2" customHeight="1" x14ac:dyDescent="0.3">
      <c r="T561" t="s">
        <v>159</v>
      </c>
      <c r="U561" t="s">
        <v>155</v>
      </c>
      <c r="V561" t="s">
        <v>155</v>
      </c>
      <c r="W561" t="s">
        <v>92</v>
      </c>
      <c r="X561" t="s">
        <v>155</v>
      </c>
      <c r="Y561" t="s">
        <v>155</v>
      </c>
      <c r="AC561" t="s">
        <v>159</v>
      </c>
      <c r="AD561" t="s">
        <v>155</v>
      </c>
      <c r="AE561" t="s">
        <v>155</v>
      </c>
      <c r="AF561" t="s">
        <v>92</v>
      </c>
      <c r="AG561" t="s">
        <v>155</v>
      </c>
      <c r="AH561" t="s">
        <v>155</v>
      </c>
    </row>
    <row r="562" spans="19:34" ht="16.2" customHeight="1" x14ac:dyDescent="0.3">
      <c r="T562" t="s">
        <v>160</v>
      </c>
      <c r="U562" t="s">
        <v>155</v>
      </c>
      <c r="V562" t="s">
        <v>155</v>
      </c>
      <c r="W562" t="s">
        <v>155</v>
      </c>
      <c r="X562" t="s">
        <v>155</v>
      </c>
      <c r="Y562" t="s">
        <v>155</v>
      </c>
      <c r="AC562" t="s">
        <v>160</v>
      </c>
      <c r="AD562" t="s">
        <v>155</v>
      </c>
      <c r="AE562" t="s">
        <v>155</v>
      </c>
      <c r="AF562" t="s">
        <v>155</v>
      </c>
      <c r="AG562" t="s">
        <v>155</v>
      </c>
      <c r="AH562" t="s">
        <v>155</v>
      </c>
    </row>
    <row r="563" spans="19:34" ht="16.2" customHeight="1" x14ac:dyDescent="0.3">
      <c r="T563" t="s">
        <v>169</v>
      </c>
      <c r="U563" t="s">
        <v>155</v>
      </c>
      <c r="V563" t="s">
        <v>155</v>
      </c>
      <c r="W563" t="s">
        <v>155</v>
      </c>
      <c r="X563" t="s">
        <v>155</v>
      </c>
      <c r="Y563" t="s">
        <v>155</v>
      </c>
      <c r="AC563" t="s">
        <v>169</v>
      </c>
      <c r="AD563" t="s">
        <v>155</v>
      </c>
      <c r="AE563" t="s">
        <v>155</v>
      </c>
      <c r="AF563" t="s">
        <v>155</v>
      </c>
      <c r="AG563" t="s">
        <v>155</v>
      </c>
      <c r="AH563" t="s">
        <v>155</v>
      </c>
    </row>
    <row r="564" spans="19:34" ht="16.2" customHeight="1" x14ac:dyDescent="0.3">
      <c r="T564" t="s">
        <v>170</v>
      </c>
      <c r="U564" t="s">
        <v>155</v>
      </c>
      <c r="V564" t="s">
        <v>155</v>
      </c>
      <c r="W564" t="s">
        <v>155</v>
      </c>
      <c r="X564" t="s">
        <v>155</v>
      </c>
      <c r="Y564" t="s">
        <v>155</v>
      </c>
      <c r="AC564" t="s">
        <v>170</v>
      </c>
      <c r="AD564" t="s">
        <v>155</v>
      </c>
      <c r="AE564" t="s">
        <v>155</v>
      </c>
      <c r="AF564" t="s">
        <v>155</v>
      </c>
      <c r="AG564" t="s">
        <v>155</v>
      </c>
      <c r="AH564" t="s">
        <v>155</v>
      </c>
    </row>
    <row r="565" spans="19:34" ht="16.2" customHeight="1" x14ac:dyDescent="0.3">
      <c r="T565" t="s">
        <v>171</v>
      </c>
      <c r="U565" t="s">
        <v>155</v>
      </c>
      <c r="V565" t="s">
        <v>155</v>
      </c>
      <c r="W565" t="s">
        <v>155</v>
      </c>
      <c r="X565" t="s">
        <v>155</v>
      </c>
      <c r="Y565" t="s">
        <v>155</v>
      </c>
      <c r="AC565" t="s">
        <v>171</v>
      </c>
      <c r="AD565" t="s">
        <v>155</v>
      </c>
      <c r="AE565" t="s">
        <v>155</v>
      </c>
      <c r="AF565" t="s">
        <v>155</v>
      </c>
      <c r="AG565" t="s">
        <v>155</v>
      </c>
      <c r="AH565" t="s">
        <v>155</v>
      </c>
    </row>
    <row r="566" spans="19:34" ht="16.2" customHeight="1" x14ac:dyDescent="0.3">
      <c r="T566" t="s">
        <v>172</v>
      </c>
      <c r="U566" t="s">
        <v>155</v>
      </c>
      <c r="V566" t="s">
        <v>155</v>
      </c>
      <c r="W566" t="s">
        <v>155</v>
      </c>
      <c r="X566" t="s">
        <v>155</v>
      </c>
      <c r="Y566" t="s">
        <v>155</v>
      </c>
      <c r="AC566" t="s">
        <v>172</v>
      </c>
      <c r="AD566" t="s">
        <v>155</v>
      </c>
      <c r="AE566" t="s">
        <v>155</v>
      </c>
      <c r="AF566" t="s">
        <v>155</v>
      </c>
      <c r="AG566" t="s">
        <v>155</v>
      </c>
      <c r="AH566" t="s">
        <v>155</v>
      </c>
    </row>
    <row r="568" spans="19:34" ht="16.2" customHeight="1" x14ac:dyDescent="0.3">
      <c r="S568" s="15" t="s">
        <v>138</v>
      </c>
      <c r="T568" t="s">
        <v>222</v>
      </c>
      <c r="AB568" s="15" t="s">
        <v>138</v>
      </c>
      <c r="AC568" t="s">
        <v>222</v>
      </c>
    </row>
    <row r="569" spans="19:34" ht="16.2" customHeight="1" x14ac:dyDescent="0.3">
      <c r="U569" t="s">
        <v>164</v>
      </c>
      <c r="V569" t="s">
        <v>165</v>
      </c>
      <c r="W569" t="s">
        <v>166</v>
      </c>
      <c r="X569" t="s">
        <v>167</v>
      </c>
      <c r="Y569" t="s">
        <v>168</v>
      </c>
      <c r="AD569" t="s">
        <v>164</v>
      </c>
      <c r="AE569" t="s">
        <v>165</v>
      </c>
      <c r="AF569" t="s">
        <v>166</v>
      </c>
      <c r="AG569" t="s">
        <v>167</v>
      </c>
      <c r="AH569" t="s">
        <v>168</v>
      </c>
    </row>
    <row r="570" spans="19:34" ht="16.2" customHeight="1" x14ac:dyDescent="0.3">
      <c r="T570" t="s">
        <v>154</v>
      </c>
      <c r="U570" t="s">
        <v>155</v>
      </c>
      <c r="V570" t="s">
        <v>93</v>
      </c>
      <c r="W570" t="s">
        <v>155</v>
      </c>
      <c r="X570" t="s">
        <v>155</v>
      </c>
      <c r="Y570" t="s">
        <v>155</v>
      </c>
      <c r="AC570" t="s">
        <v>154</v>
      </c>
      <c r="AD570" t="s">
        <v>155</v>
      </c>
      <c r="AE570" t="s">
        <v>93</v>
      </c>
      <c r="AF570" t="s">
        <v>155</v>
      </c>
      <c r="AG570" t="s">
        <v>155</v>
      </c>
      <c r="AH570" t="s">
        <v>155</v>
      </c>
    </row>
    <row r="571" spans="19:34" ht="16.2" customHeight="1" x14ac:dyDescent="0.3">
      <c r="T571" t="s">
        <v>156</v>
      </c>
      <c r="U571" t="s">
        <v>155</v>
      </c>
      <c r="V571" t="s">
        <v>93</v>
      </c>
      <c r="W571" t="s">
        <v>155</v>
      </c>
      <c r="X571" t="s">
        <v>155</v>
      </c>
      <c r="Y571" t="s">
        <v>155</v>
      </c>
      <c r="AC571" t="s">
        <v>156</v>
      </c>
      <c r="AD571" t="s">
        <v>155</v>
      </c>
      <c r="AE571" t="s">
        <v>93</v>
      </c>
      <c r="AF571" t="s">
        <v>155</v>
      </c>
      <c r="AG571" t="s">
        <v>155</v>
      </c>
      <c r="AH571" t="s">
        <v>155</v>
      </c>
    </row>
    <row r="572" spans="19:34" ht="16.2" customHeight="1" x14ac:dyDescent="0.3">
      <c r="T572" t="s">
        <v>157</v>
      </c>
      <c r="U572" t="s">
        <v>155</v>
      </c>
      <c r="V572" t="s">
        <v>155</v>
      </c>
      <c r="W572" t="s">
        <v>155</v>
      </c>
      <c r="X572" t="s">
        <v>155</v>
      </c>
      <c r="Y572" t="s">
        <v>93</v>
      </c>
      <c r="AC572" t="s">
        <v>157</v>
      </c>
      <c r="AD572" t="s">
        <v>155</v>
      </c>
      <c r="AE572" t="s">
        <v>155</v>
      </c>
      <c r="AF572" t="s">
        <v>155</v>
      </c>
      <c r="AG572" t="s">
        <v>155</v>
      </c>
      <c r="AH572" t="s">
        <v>93</v>
      </c>
    </row>
    <row r="573" spans="19:34" ht="16.2" customHeight="1" x14ac:dyDescent="0.3">
      <c r="T573" t="s">
        <v>158</v>
      </c>
      <c r="U573" t="s">
        <v>155</v>
      </c>
      <c r="V573" t="s">
        <v>155</v>
      </c>
      <c r="W573" t="s">
        <v>155</v>
      </c>
      <c r="X573" t="s">
        <v>155</v>
      </c>
      <c r="Y573" t="s">
        <v>93</v>
      </c>
      <c r="AC573" t="s">
        <v>158</v>
      </c>
      <c r="AD573" t="s">
        <v>155</v>
      </c>
      <c r="AE573" t="s">
        <v>155</v>
      </c>
      <c r="AF573" t="s">
        <v>155</v>
      </c>
      <c r="AG573" t="s">
        <v>155</v>
      </c>
      <c r="AH573" t="s">
        <v>93</v>
      </c>
    </row>
    <row r="574" spans="19:34" ht="16.2" customHeight="1" x14ac:dyDescent="0.3">
      <c r="T574" t="s">
        <v>159</v>
      </c>
      <c r="U574" t="s">
        <v>155</v>
      </c>
      <c r="V574" t="s">
        <v>155</v>
      </c>
      <c r="W574" t="s">
        <v>155</v>
      </c>
      <c r="X574" t="s">
        <v>155</v>
      </c>
      <c r="Y574" t="s">
        <v>155</v>
      </c>
      <c r="AC574" t="s">
        <v>159</v>
      </c>
      <c r="AD574" t="s">
        <v>155</v>
      </c>
      <c r="AE574" t="s">
        <v>155</v>
      </c>
      <c r="AF574" t="s">
        <v>155</v>
      </c>
      <c r="AG574" t="s">
        <v>155</v>
      </c>
      <c r="AH574" t="s">
        <v>155</v>
      </c>
    </row>
    <row r="575" spans="19:34" ht="16.2" customHeight="1" x14ac:dyDescent="0.3">
      <c r="T575" t="s">
        <v>160</v>
      </c>
      <c r="U575" t="s">
        <v>155</v>
      </c>
      <c r="V575" t="s">
        <v>155</v>
      </c>
      <c r="W575" t="s">
        <v>155</v>
      </c>
      <c r="X575" t="s">
        <v>155</v>
      </c>
      <c r="Y575" t="s">
        <v>155</v>
      </c>
      <c r="AC575" t="s">
        <v>160</v>
      </c>
      <c r="AD575" t="s">
        <v>155</v>
      </c>
      <c r="AE575" t="s">
        <v>155</v>
      </c>
      <c r="AF575" t="s">
        <v>155</v>
      </c>
      <c r="AG575" t="s">
        <v>155</v>
      </c>
      <c r="AH575" t="s">
        <v>155</v>
      </c>
    </row>
    <row r="576" spans="19:34" ht="16.2" customHeight="1" x14ac:dyDescent="0.3">
      <c r="T576" t="s">
        <v>169</v>
      </c>
      <c r="U576" t="s">
        <v>155</v>
      </c>
      <c r="V576" t="s">
        <v>155</v>
      </c>
      <c r="W576" t="s">
        <v>155</v>
      </c>
      <c r="X576" t="s">
        <v>155</v>
      </c>
      <c r="Y576" t="s">
        <v>155</v>
      </c>
      <c r="AC576" t="s">
        <v>169</v>
      </c>
      <c r="AD576" t="s">
        <v>155</v>
      </c>
      <c r="AE576" t="s">
        <v>155</v>
      </c>
      <c r="AF576" t="s">
        <v>155</v>
      </c>
      <c r="AG576" t="s">
        <v>155</v>
      </c>
      <c r="AH576" t="s">
        <v>155</v>
      </c>
    </row>
    <row r="577" spans="19:34" ht="16.2" customHeight="1" x14ac:dyDescent="0.3">
      <c r="T577" t="s">
        <v>170</v>
      </c>
      <c r="U577" t="s">
        <v>155</v>
      </c>
      <c r="V577" t="s">
        <v>155</v>
      </c>
      <c r="W577" t="s">
        <v>155</v>
      </c>
      <c r="X577" t="s">
        <v>155</v>
      </c>
      <c r="Y577" t="s">
        <v>155</v>
      </c>
      <c r="AC577" t="s">
        <v>170</v>
      </c>
      <c r="AD577" t="s">
        <v>155</v>
      </c>
      <c r="AE577" t="s">
        <v>155</v>
      </c>
      <c r="AF577" t="s">
        <v>155</v>
      </c>
      <c r="AG577" t="s">
        <v>155</v>
      </c>
      <c r="AH577" t="s">
        <v>155</v>
      </c>
    </row>
    <row r="578" spans="19:34" ht="16.2" customHeight="1" x14ac:dyDescent="0.3">
      <c r="T578" t="s">
        <v>171</v>
      </c>
      <c r="U578" t="s">
        <v>155</v>
      </c>
      <c r="V578" t="s">
        <v>155</v>
      </c>
      <c r="W578" t="s">
        <v>155</v>
      </c>
      <c r="X578" t="s">
        <v>155</v>
      </c>
      <c r="Y578" t="s">
        <v>155</v>
      </c>
      <c r="AC578" t="s">
        <v>171</v>
      </c>
      <c r="AD578" t="s">
        <v>155</v>
      </c>
      <c r="AE578" t="s">
        <v>155</v>
      </c>
      <c r="AF578" t="s">
        <v>155</v>
      </c>
      <c r="AG578" t="s">
        <v>155</v>
      </c>
      <c r="AH578" t="s">
        <v>155</v>
      </c>
    </row>
    <row r="579" spans="19:34" ht="16.2" customHeight="1" x14ac:dyDescent="0.3">
      <c r="T579" t="s">
        <v>172</v>
      </c>
      <c r="U579" t="s">
        <v>155</v>
      </c>
      <c r="V579" t="s">
        <v>155</v>
      </c>
      <c r="W579" t="s">
        <v>155</v>
      </c>
      <c r="X579" t="s">
        <v>155</v>
      </c>
      <c r="Y579" t="s">
        <v>155</v>
      </c>
      <c r="AC579" t="s">
        <v>172</v>
      </c>
      <c r="AD579" t="s">
        <v>155</v>
      </c>
      <c r="AE579" t="s">
        <v>155</v>
      </c>
      <c r="AF579" t="s">
        <v>155</v>
      </c>
      <c r="AG579" t="s">
        <v>155</v>
      </c>
      <c r="AH579" t="s">
        <v>155</v>
      </c>
    </row>
    <row r="581" spans="19:34" ht="16.2" customHeight="1" x14ac:dyDescent="0.3">
      <c r="S581" s="15" t="s">
        <v>139</v>
      </c>
      <c r="T581" t="s">
        <v>223</v>
      </c>
      <c r="AB581" s="15" t="s">
        <v>139</v>
      </c>
      <c r="AC581" t="s">
        <v>223</v>
      </c>
    </row>
    <row r="582" spans="19:34" ht="16.2" customHeight="1" x14ac:dyDescent="0.3">
      <c r="U582" t="s">
        <v>164</v>
      </c>
      <c r="V582" t="s">
        <v>165</v>
      </c>
      <c r="W582" t="s">
        <v>166</v>
      </c>
      <c r="X582" t="s">
        <v>167</v>
      </c>
      <c r="Y582" t="s">
        <v>168</v>
      </c>
      <c r="AD582" t="s">
        <v>164</v>
      </c>
      <c r="AE582" t="s">
        <v>165</v>
      </c>
      <c r="AF582" t="s">
        <v>166</v>
      </c>
      <c r="AG582" t="s">
        <v>167</v>
      </c>
      <c r="AH582" t="s">
        <v>168</v>
      </c>
    </row>
    <row r="583" spans="19:34" ht="16.2" customHeight="1" x14ac:dyDescent="0.3">
      <c r="T583" t="s">
        <v>154</v>
      </c>
      <c r="U583" t="s">
        <v>155</v>
      </c>
      <c r="V583" t="s">
        <v>155</v>
      </c>
      <c r="W583" t="s">
        <v>93</v>
      </c>
      <c r="X583" t="s">
        <v>155</v>
      </c>
      <c r="Y583" t="s">
        <v>155</v>
      </c>
      <c r="AC583" t="s">
        <v>154</v>
      </c>
      <c r="AD583" t="s">
        <v>155</v>
      </c>
      <c r="AE583" t="s">
        <v>155</v>
      </c>
      <c r="AF583" t="s">
        <v>93</v>
      </c>
      <c r="AG583" t="s">
        <v>155</v>
      </c>
      <c r="AH583" t="s">
        <v>155</v>
      </c>
    </row>
    <row r="584" spans="19:34" ht="16.2" customHeight="1" x14ac:dyDescent="0.3">
      <c r="T584" t="s">
        <v>156</v>
      </c>
      <c r="U584" t="s">
        <v>155</v>
      </c>
      <c r="V584" t="s">
        <v>155</v>
      </c>
      <c r="W584" t="s">
        <v>93</v>
      </c>
      <c r="X584" t="s">
        <v>155</v>
      </c>
      <c r="Y584" t="s">
        <v>155</v>
      </c>
      <c r="AC584" t="s">
        <v>156</v>
      </c>
      <c r="AD584" t="s">
        <v>155</v>
      </c>
      <c r="AE584" t="s">
        <v>155</v>
      </c>
      <c r="AF584" t="s">
        <v>93</v>
      </c>
      <c r="AG584" t="s">
        <v>155</v>
      </c>
      <c r="AH584" t="s">
        <v>155</v>
      </c>
    </row>
    <row r="585" spans="19:34" ht="16.2" customHeight="1" x14ac:dyDescent="0.3">
      <c r="T585" t="s">
        <v>157</v>
      </c>
      <c r="U585" t="s">
        <v>155</v>
      </c>
      <c r="V585" t="s">
        <v>155</v>
      </c>
      <c r="W585" t="s">
        <v>155</v>
      </c>
      <c r="X585" t="s">
        <v>155</v>
      </c>
      <c r="Y585" t="s">
        <v>93</v>
      </c>
      <c r="AC585" t="s">
        <v>157</v>
      </c>
      <c r="AD585" t="s">
        <v>155</v>
      </c>
      <c r="AE585" t="s">
        <v>155</v>
      </c>
      <c r="AF585" t="s">
        <v>155</v>
      </c>
      <c r="AG585" t="s">
        <v>155</v>
      </c>
      <c r="AH585" t="s">
        <v>93</v>
      </c>
    </row>
    <row r="586" spans="19:34" ht="16.2" customHeight="1" x14ac:dyDescent="0.3">
      <c r="T586" t="s">
        <v>158</v>
      </c>
      <c r="U586" t="s">
        <v>155</v>
      </c>
      <c r="V586" t="s">
        <v>155</v>
      </c>
      <c r="W586" t="s">
        <v>155</v>
      </c>
      <c r="X586" t="s">
        <v>155</v>
      </c>
      <c r="Y586" t="s">
        <v>93</v>
      </c>
      <c r="AC586" t="s">
        <v>158</v>
      </c>
      <c r="AD586" t="s">
        <v>155</v>
      </c>
      <c r="AE586" t="s">
        <v>155</v>
      </c>
      <c r="AF586" t="s">
        <v>155</v>
      </c>
      <c r="AG586" t="s">
        <v>155</v>
      </c>
      <c r="AH586" t="s">
        <v>93</v>
      </c>
    </row>
    <row r="587" spans="19:34" ht="16.2" customHeight="1" x14ac:dyDescent="0.3">
      <c r="T587" t="s">
        <v>159</v>
      </c>
      <c r="U587" t="s">
        <v>155</v>
      </c>
      <c r="V587" t="s">
        <v>155</v>
      </c>
      <c r="W587" t="s">
        <v>155</v>
      </c>
      <c r="X587" t="s">
        <v>155</v>
      </c>
      <c r="Y587" t="s">
        <v>155</v>
      </c>
      <c r="AC587" t="s">
        <v>159</v>
      </c>
      <c r="AD587" t="s">
        <v>155</v>
      </c>
      <c r="AE587" t="s">
        <v>155</v>
      </c>
      <c r="AF587" t="s">
        <v>155</v>
      </c>
      <c r="AG587" t="s">
        <v>155</v>
      </c>
      <c r="AH587" t="s">
        <v>155</v>
      </c>
    </row>
    <row r="588" spans="19:34" ht="16.2" customHeight="1" x14ac:dyDescent="0.3">
      <c r="T588" t="s">
        <v>160</v>
      </c>
      <c r="U588" t="s">
        <v>155</v>
      </c>
      <c r="V588" t="s">
        <v>155</v>
      </c>
      <c r="W588" t="s">
        <v>155</v>
      </c>
      <c r="X588" t="s">
        <v>155</v>
      </c>
      <c r="Y588" t="s">
        <v>155</v>
      </c>
      <c r="AC588" t="s">
        <v>160</v>
      </c>
      <c r="AD588" t="s">
        <v>155</v>
      </c>
      <c r="AE588" t="s">
        <v>155</v>
      </c>
      <c r="AF588" t="s">
        <v>155</v>
      </c>
      <c r="AG588" t="s">
        <v>155</v>
      </c>
      <c r="AH588" t="s">
        <v>155</v>
      </c>
    </row>
    <row r="589" spans="19:34" ht="16.2" customHeight="1" x14ac:dyDescent="0.3">
      <c r="T589" t="s">
        <v>169</v>
      </c>
      <c r="U589" t="s">
        <v>155</v>
      </c>
      <c r="V589" t="s">
        <v>155</v>
      </c>
      <c r="W589" t="s">
        <v>155</v>
      </c>
      <c r="X589" t="s">
        <v>155</v>
      </c>
      <c r="Y589" t="s">
        <v>155</v>
      </c>
      <c r="AC589" t="s">
        <v>169</v>
      </c>
      <c r="AD589" t="s">
        <v>155</v>
      </c>
      <c r="AE589" t="s">
        <v>155</v>
      </c>
      <c r="AF589" t="s">
        <v>155</v>
      </c>
      <c r="AG589" t="s">
        <v>155</v>
      </c>
      <c r="AH589" t="s">
        <v>155</v>
      </c>
    </row>
    <row r="590" spans="19:34" ht="16.2" customHeight="1" x14ac:dyDescent="0.3">
      <c r="T590" t="s">
        <v>170</v>
      </c>
      <c r="U590" t="s">
        <v>155</v>
      </c>
      <c r="V590" t="s">
        <v>155</v>
      </c>
      <c r="W590" t="s">
        <v>155</v>
      </c>
      <c r="X590" t="s">
        <v>155</v>
      </c>
      <c r="Y590" t="s">
        <v>155</v>
      </c>
      <c r="AC590" t="s">
        <v>170</v>
      </c>
      <c r="AD590" t="s">
        <v>155</v>
      </c>
      <c r="AE590" t="s">
        <v>155</v>
      </c>
      <c r="AF590" t="s">
        <v>155</v>
      </c>
      <c r="AG590" t="s">
        <v>155</v>
      </c>
      <c r="AH590" t="s">
        <v>155</v>
      </c>
    </row>
    <row r="591" spans="19:34" ht="16.2" customHeight="1" x14ac:dyDescent="0.3">
      <c r="T591" t="s">
        <v>171</v>
      </c>
      <c r="U591" t="s">
        <v>155</v>
      </c>
      <c r="V591" t="s">
        <v>155</v>
      </c>
      <c r="W591" t="s">
        <v>155</v>
      </c>
      <c r="X591" t="s">
        <v>155</v>
      </c>
      <c r="Y591" t="s">
        <v>155</v>
      </c>
      <c r="AC591" t="s">
        <v>171</v>
      </c>
      <c r="AD591" t="s">
        <v>155</v>
      </c>
      <c r="AE591" t="s">
        <v>155</v>
      </c>
      <c r="AF591" t="s">
        <v>155</v>
      </c>
      <c r="AG591" t="s">
        <v>155</v>
      </c>
      <c r="AH591" t="s">
        <v>155</v>
      </c>
    </row>
    <row r="592" spans="19:34" ht="16.2" customHeight="1" x14ac:dyDescent="0.3">
      <c r="T592" t="s">
        <v>172</v>
      </c>
      <c r="U592" t="s">
        <v>155</v>
      </c>
      <c r="V592" t="s">
        <v>155</v>
      </c>
      <c r="W592" t="s">
        <v>155</v>
      </c>
      <c r="X592" t="s">
        <v>155</v>
      </c>
      <c r="Y592" t="s">
        <v>155</v>
      </c>
      <c r="AC592" t="s">
        <v>172</v>
      </c>
      <c r="AD592" t="s">
        <v>155</v>
      </c>
      <c r="AE592" t="s">
        <v>155</v>
      </c>
      <c r="AF592" t="s">
        <v>155</v>
      </c>
      <c r="AG592" t="s">
        <v>155</v>
      </c>
      <c r="AH592" t="s">
        <v>155</v>
      </c>
    </row>
    <row r="594" spans="19:34" ht="16.2" customHeight="1" x14ac:dyDescent="0.3">
      <c r="S594" s="15" t="s">
        <v>140</v>
      </c>
      <c r="T594" t="s">
        <v>224</v>
      </c>
      <c r="AB594" s="15" t="s">
        <v>140</v>
      </c>
      <c r="AC594" t="s">
        <v>224</v>
      </c>
    </row>
    <row r="595" spans="19:34" ht="16.2" customHeight="1" x14ac:dyDescent="0.3">
      <c r="U595" t="s">
        <v>164</v>
      </c>
      <c r="V595" t="s">
        <v>165</v>
      </c>
      <c r="W595" t="s">
        <v>166</v>
      </c>
      <c r="X595" t="s">
        <v>167</v>
      </c>
      <c r="Y595" t="s">
        <v>168</v>
      </c>
      <c r="AD595" t="s">
        <v>164</v>
      </c>
      <c r="AE595" t="s">
        <v>165</v>
      </c>
      <c r="AF595" t="s">
        <v>166</v>
      </c>
      <c r="AG595" t="s">
        <v>167</v>
      </c>
      <c r="AH595" t="s">
        <v>168</v>
      </c>
    </row>
    <row r="596" spans="19:34" ht="16.2" customHeight="1" x14ac:dyDescent="0.3">
      <c r="T596" t="s">
        <v>154</v>
      </c>
      <c r="U596" t="s">
        <v>155</v>
      </c>
      <c r="V596" t="s">
        <v>155</v>
      </c>
      <c r="W596" t="s">
        <v>155</v>
      </c>
      <c r="X596" t="s">
        <v>155</v>
      </c>
      <c r="Y596" t="s">
        <v>155</v>
      </c>
      <c r="AC596" t="s">
        <v>154</v>
      </c>
      <c r="AD596" t="s">
        <v>155</v>
      </c>
      <c r="AE596" t="s">
        <v>155</v>
      </c>
      <c r="AF596" t="s">
        <v>155</v>
      </c>
      <c r="AG596" t="s">
        <v>155</v>
      </c>
      <c r="AH596" t="s">
        <v>155</v>
      </c>
    </row>
    <row r="597" spans="19:34" ht="16.2" customHeight="1" x14ac:dyDescent="0.3">
      <c r="T597" t="s">
        <v>156</v>
      </c>
      <c r="U597" t="s">
        <v>155</v>
      </c>
      <c r="V597" t="s">
        <v>155</v>
      </c>
      <c r="W597" t="s">
        <v>155</v>
      </c>
      <c r="X597" t="s">
        <v>155</v>
      </c>
      <c r="Y597" t="s">
        <v>155</v>
      </c>
      <c r="AC597" t="s">
        <v>156</v>
      </c>
      <c r="AD597" t="s">
        <v>155</v>
      </c>
      <c r="AE597" t="s">
        <v>155</v>
      </c>
      <c r="AF597" t="s">
        <v>155</v>
      </c>
      <c r="AG597" t="s">
        <v>155</v>
      </c>
      <c r="AH597" t="s">
        <v>155</v>
      </c>
    </row>
    <row r="598" spans="19:34" ht="16.2" customHeight="1" x14ac:dyDescent="0.3">
      <c r="T598" t="s">
        <v>157</v>
      </c>
      <c r="U598" t="s">
        <v>155</v>
      </c>
      <c r="V598" t="s">
        <v>95</v>
      </c>
      <c r="W598" t="s">
        <v>155</v>
      </c>
      <c r="X598" t="s">
        <v>155</v>
      </c>
      <c r="Y598" t="s">
        <v>155</v>
      </c>
      <c r="AC598" t="s">
        <v>157</v>
      </c>
      <c r="AD598" t="s">
        <v>155</v>
      </c>
      <c r="AE598" t="s">
        <v>95</v>
      </c>
      <c r="AF598" t="s">
        <v>155</v>
      </c>
      <c r="AG598" t="s">
        <v>95</v>
      </c>
      <c r="AH598" t="s">
        <v>155</v>
      </c>
    </row>
    <row r="599" spans="19:34" ht="16.2" customHeight="1" x14ac:dyDescent="0.3">
      <c r="T599" t="s">
        <v>158</v>
      </c>
      <c r="U599" t="s">
        <v>155</v>
      </c>
      <c r="V599" t="s">
        <v>95</v>
      </c>
      <c r="W599" t="s">
        <v>155</v>
      </c>
      <c r="X599" t="s">
        <v>155</v>
      </c>
      <c r="Y599" t="s">
        <v>155</v>
      </c>
      <c r="AC599" t="s">
        <v>158</v>
      </c>
      <c r="AD599" t="s">
        <v>155</v>
      </c>
      <c r="AE599" t="s">
        <v>95</v>
      </c>
      <c r="AF599" t="s">
        <v>155</v>
      </c>
      <c r="AG599" t="s">
        <v>95</v>
      </c>
      <c r="AH599" t="s">
        <v>155</v>
      </c>
    </row>
    <row r="600" spans="19:34" ht="16.2" customHeight="1" x14ac:dyDescent="0.3">
      <c r="T600" t="s">
        <v>159</v>
      </c>
      <c r="U600" t="s">
        <v>155</v>
      </c>
      <c r="V600" t="s">
        <v>155</v>
      </c>
      <c r="W600" t="s">
        <v>155</v>
      </c>
      <c r="X600" t="s">
        <v>155</v>
      </c>
      <c r="Y600" t="s">
        <v>95</v>
      </c>
      <c r="AC600" t="s">
        <v>159</v>
      </c>
      <c r="AD600" t="s">
        <v>155</v>
      </c>
      <c r="AE600" t="s">
        <v>155</v>
      </c>
      <c r="AF600" t="s">
        <v>155</v>
      </c>
      <c r="AG600" t="s">
        <v>155</v>
      </c>
      <c r="AH600" t="s">
        <v>155</v>
      </c>
    </row>
    <row r="601" spans="19:34" ht="16.2" customHeight="1" x14ac:dyDescent="0.3">
      <c r="T601" t="s">
        <v>160</v>
      </c>
      <c r="U601" t="s">
        <v>155</v>
      </c>
      <c r="V601" t="s">
        <v>155</v>
      </c>
      <c r="W601" t="s">
        <v>155</v>
      </c>
      <c r="X601" t="s">
        <v>155</v>
      </c>
      <c r="Y601" t="s">
        <v>95</v>
      </c>
      <c r="AC601" t="s">
        <v>160</v>
      </c>
      <c r="AD601" t="s">
        <v>155</v>
      </c>
      <c r="AE601" t="s">
        <v>155</v>
      </c>
      <c r="AF601" t="s">
        <v>155</v>
      </c>
      <c r="AG601" t="s">
        <v>155</v>
      </c>
      <c r="AH601" t="s">
        <v>155</v>
      </c>
    </row>
    <row r="602" spans="19:34" ht="16.2" customHeight="1" x14ac:dyDescent="0.3">
      <c r="T602" t="s">
        <v>169</v>
      </c>
      <c r="U602" t="s">
        <v>155</v>
      </c>
      <c r="V602" t="s">
        <v>155</v>
      </c>
      <c r="W602" t="s">
        <v>155</v>
      </c>
      <c r="X602" t="s">
        <v>155</v>
      </c>
      <c r="Y602" t="s">
        <v>155</v>
      </c>
      <c r="AC602" t="s">
        <v>169</v>
      </c>
      <c r="AD602" t="s">
        <v>155</v>
      </c>
      <c r="AE602" t="s">
        <v>155</v>
      </c>
      <c r="AF602" t="s">
        <v>155</v>
      </c>
      <c r="AG602" t="s">
        <v>155</v>
      </c>
      <c r="AH602" t="s">
        <v>155</v>
      </c>
    </row>
    <row r="603" spans="19:34" ht="16.2" customHeight="1" x14ac:dyDescent="0.3">
      <c r="T603" t="s">
        <v>170</v>
      </c>
      <c r="U603" t="s">
        <v>155</v>
      </c>
      <c r="V603" t="s">
        <v>155</v>
      </c>
      <c r="W603" t="s">
        <v>155</v>
      </c>
      <c r="X603" t="s">
        <v>155</v>
      </c>
      <c r="Y603" t="s">
        <v>155</v>
      </c>
      <c r="AC603" t="s">
        <v>170</v>
      </c>
      <c r="AD603" t="s">
        <v>155</v>
      </c>
      <c r="AE603" t="s">
        <v>155</v>
      </c>
      <c r="AF603" t="s">
        <v>155</v>
      </c>
      <c r="AG603" t="s">
        <v>155</v>
      </c>
      <c r="AH603" t="s">
        <v>155</v>
      </c>
    </row>
    <row r="604" spans="19:34" ht="16.2" customHeight="1" x14ac:dyDescent="0.3">
      <c r="T604" t="s">
        <v>171</v>
      </c>
      <c r="U604" t="s">
        <v>155</v>
      </c>
      <c r="V604" t="s">
        <v>155</v>
      </c>
      <c r="W604" t="s">
        <v>155</v>
      </c>
      <c r="X604" t="s">
        <v>155</v>
      </c>
      <c r="Y604" t="s">
        <v>155</v>
      </c>
      <c r="AC604" t="s">
        <v>171</v>
      </c>
      <c r="AD604" t="s">
        <v>155</v>
      </c>
      <c r="AE604" t="s">
        <v>155</v>
      </c>
      <c r="AF604" t="s">
        <v>155</v>
      </c>
      <c r="AG604" t="s">
        <v>155</v>
      </c>
      <c r="AH604" t="s">
        <v>155</v>
      </c>
    </row>
    <row r="605" spans="19:34" ht="16.2" customHeight="1" x14ac:dyDescent="0.3">
      <c r="T605" t="s">
        <v>172</v>
      </c>
      <c r="U605" t="s">
        <v>155</v>
      </c>
      <c r="V605" t="s">
        <v>155</v>
      </c>
      <c r="W605" t="s">
        <v>155</v>
      </c>
      <c r="X605" t="s">
        <v>155</v>
      </c>
      <c r="Y605" t="s">
        <v>155</v>
      </c>
      <c r="AC605" t="s">
        <v>172</v>
      </c>
      <c r="AD605" t="s">
        <v>155</v>
      </c>
      <c r="AE605" t="s">
        <v>155</v>
      </c>
      <c r="AF605" t="s">
        <v>155</v>
      </c>
      <c r="AG605" t="s">
        <v>155</v>
      </c>
      <c r="AH605" t="s">
        <v>155</v>
      </c>
    </row>
    <row r="607" spans="19:34" ht="16.2" customHeight="1" x14ac:dyDescent="0.3">
      <c r="S607" s="15" t="s">
        <v>141</v>
      </c>
      <c r="T607" t="s">
        <v>225</v>
      </c>
      <c r="AB607" s="15" t="s">
        <v>141</v>
      </c>
      <c r="AC607" t="s">
        <v>225</v>
      </c>
    </row>
    <row r="608" spans="19:34" ht="16.2" customHeight="1" x14ac:dyDescent="0.3">
      <c r="U608" t="s">
        <v>164</v>
      </c>
      <c r="V608" t="s">
        <v>165</v>
      </c>
      <c r="W608" t="s">
        <v>166</v>
      </c>
      <c r="X608" t="s">
        <v>167</v>
      </c>
      <c r="Y608" t="s">
        <v>168</v>
      </c>
      <c r="AD608" t="s">
        <v>164</v>
      </c>
      <c r="AE608" t="s">
        <v>165</v>
      </c>
      <c r="AF608" t="s">
        <v>166</v>
      </c>
      <c r="AG608" t="s">
        <v>167</v>
      </c>
      <c r="AH608" t="s">
        <v>168</v>
      </c>
    </row>
    <row r="609" spans="19:34" ht="16.2" customHeight="1" x14ac:dyDescent="0.3">
      <c r="T609" t="s">
        <v>154</v>
      </c>
      <c r="U609" t="s">
        <v>155</v>
      </c>
      <c r="V609" t="s">
        <v>155</v>
      </c>
      <c r="W609" t="s">
        <v>155</v>
      </c>
      <c r="X609" t="s">
        <v>155</v>
      </c>
      <c r="Y609" t="s">
        <v>155</v>
      </c>
      <c r="AC609" t="s">
        <v>154</v>
      </c>
      <c r="AD609" t="s">
        <v>155</v>
      </c>
      <c r="AE609" t="s">
        <v>155</v>
      </c>
      <c r="AF609" t="s">
        <v>155</v>
      </c>
      <c r="AG609" t="s">
        <v>155</v>
      </c>
      <c r="AH609" t="s">
        <v>155</v>
      </c>
    </row>
    <row r="610" spans="19:34" ht="16.2" customHeight="1" x14ac:dyDescent="0.3">
      <c r="T610" t="s">
        <v>156</v>
      </c>
      <c r="U610" t="s">
        <v>155</v>
      </c>
      <c r="V610" t="s">
        <v>155</v>
      </c>
      <c r="W610" t="s">
        <v>155</v>
      </c>
      <c r="X610" t="s">
        <v>95</v>
      </c>
      <c r="Y610" t="s">
        <v>155</v>
      </c>
      <c r="AC610" t="s">
        <v>156</v>
      </c>
      <c r="AD610" t="s">
        <v>155</v>
      </c>
      <c r="AE610" t="s">
        <v>155</v>
      </c>
      <c r="AF610" t="s">
        <v>155</v>
      </c>
      <c r="AG610" t="s">
        <v>95</v>
      </c>
      <c r="AH610" t="s">
        <v>155</v>
      </c>
    </row>
    <row r="611" spans="19:34" ht="16.2" customHeight="1" x14ac:dyDescent="0.3">
      <c r="T611" t="s">
        <v>157</v>
      </c>
      <c r="U611" t="s">
        <v>155</v>
      </c>
      <c r="V611" t="s">
        <v>155</v>
      </c>
      <c r="W611" t="s">
        <v>155</v>
      </c>
      <c r="X611" t="s">
        <v>95</v>
      </c>
      <c r="Y611" t="s">
        <v>155</v>
      </c>
      <c r="AC611" t="s">
        <v>157</v>
      </c>
      <c r="AD611" t="s">
        <v>155</v>
      </c>
      <c r="AE611" t="s">
        <v>155</v>
      </c>
      <c r="AF611" t="s">
        <v>155</v>
      </c>
      <c r="AG611" t="s">
        <v>95</v>
      </c>
      <c r="AH611" t="s">
        <v>155</v>
      </c>
    </row>
    <row r="612" spans="19:34" ht="16.2" customHeight="1" x14ac:dyDescent="0.3">
      <c r="T612" t="s">
        <v>158</v>
      </c>
      <c r="U612" t="s">
        <v>155</v>
      </c>
      <c r="V612" t="s">
        <v>155</v>
      </c>
      <c r="W612" t="s">
        <v>155</v>
      </c>
      <c r="X612" t="s">
        <v>155</v>
      </c>
      <c r="Y612" t="s">
        <v>155</v>
      </c>
      <c r="AC612" t="s">
        <v>158</v>
      </c>
      <c r="AD612" t="s">
        <v>155</v>
      </c>
      <c r="AE612" t="s">
        <v>155</v>
      </c>
      <c r="AF612" t="s">
        <v>155</v>
      </c>
      <c r="AG612" t="s">
        <v>155</v>
      </c>
      <c r="AH612" t="s">
        <v>155</v>
      </c>
    </row>
    <row r="613" spans="19:34" ht="16.2" customHeight="1" x14ac:dyDescent="0.3">
      <c r="T613" t="s">
        <v>159</v>
      </c>
      <c r="U613" t="s">
        <v>155</v>
      </c>
      <c r="V613" t="s">
        <v>155</v>
      </c>
      <c r="W613" t="s">
        <v>155</v>
      </c>
      <c r="X613" t="s">
        <v>155</v>
      </c>
      <c r="Y613" t="s">
        <v>155</v>
      </c>
      <c r="AC613" t="s">
        <v>159</v>
      </c>
      <c r="AD613" t="s">
        <v>155</v>
      </c>
      <c r="AE613" t="s">
        <v>155</v>
      </c>
      <c r="AF613" t="s">
        <v>155</v>
      </c>
      <c r="AG613" t="s">
        <v>155</v>
      </c>
      <c r="AH613" t="s">
        <v>155</v>
      </c>
    </row>
    <row r="614" spans="19:34" ht="16.2" customHeight="1" x14ac:dyDescent="0.3">
      <c r="T614" t="s">
        <v>160</v>
      </c>
      <c r="U614" t="s">
        <v>155</v>
      </c>
      <c r="V614" t="s">
        <v>155</v>
      </c>
      <c r="W614" t="s">
        <v>155</v>
      </c>
      <c r="X614" t="s">
        <v>155</v>
      </c>
      <c r="Y614" t="s">
        <v>155</v>
      </c>
      <c r="AC614" t="s">
        <v>160</v>
      </c>
      <c r="AD614" t="s">
        <v>155</v>
      </c>
      <c r="AE614" t="s">
        <v>155</v>
      </c>
      <c r="AF614" t="s">
        <v>155</v>
      </c>
      <c r="AG614" t="s">
        <v>155</v>
      </c>
      <c r="AH614" t="s">
        <v>155</v>
      </c>
    </row>
    <row r="615" spans="19:34" ht="16.2" customHeight="1" x14ac:dyDescent="0.3">
      <c r="T615" t="s">
        <v>169</v>
      </c>
      <c r="U615" t="s">
        <v>155</v>
      </c>
      <c r="V615" t="s">
        <v>155</v>
      </c>
      <c r="W615" t="s">
        <v>155</v>
      </c>
      <c r="X615" t="s">
        <v>155</v>
      </c>
      <c r="Y615" t="s">
        <v>155</v>
      </c>
      <c r="AC615" t="s">
        <v>169</v>
      </c>
      <c r="AD615" t="s">
        <v>155</v>
      </c>
      <c r="AE615" t="s">
        <v>155</v>
      </c>
      <c r="AF615" t="s">
        <v>155</v>
      </c>
      <c r="AG615" t="s">
        <v>155</v>
      </c>
      <c r="AH615" t="s">
        <v>155</v>
      </c>
    </row>
    <row r="616" spans="19:34" ht="16.2" customHeight="1" x14ac:dyDescent="0.3">
      <c r="T616" t="s">
        <v>170</v>
      </c>
      <c r="U616" t="s">
        <v>155</v>
      </c>
      <c r="V616" t="s">
        <v>155</v>
      </c>
      <c r="W616" t="s">
        <v>155</v>
      </c>
      <c r="X616" t="s">
        <v>155</v>
      </c>
      <c r="Y616" t="s">
        <v>155</v>
      </c>
      <c r="AC616" t="s">
        <v>170</v>
      </c>
      <c r="AD616" t="s">
        <v>155</v>
      </c>
      <c r="AE616" t="s">
        <v>155</v>
      </c>
      <c r="AF616" t="s">
        <v>155</v>
      </c>
      <c r="AG616" t="s">
        <v>155</v>
      </c>
      <c r="AH616" t="s">
        <v>155</v>
      </c>
    </row>
    <row r="617" spans="19:34" ht="16.2" customHeight="1" x14ac:dyDescent="0.3">
      <c r="T617" t="s">
        <v>171</v>
      </c>
      <c r="U617" t="s">
        <v>155</v>
      </c>
      <c r="V617" t="s">
        <v>155</v>
      </c>
      <c r="W617" t="s">
        <v>155</v>
      </c>
      <c r="X617" t="s">
        <v>155</v>
      </c>
      <c r="Y617" t="s">
        <v>155</v>
      </c>
      <c r="AC617" t="s">
        <v>171</v>
      </c>
      <c r="AD617" t="s">
        <v>155</v>
      </c>
      <c r="AE617" t="s">
        <v>155</v>
      </c>
      <c r="AF617" t="s">
        <v>155</v>
      </c>
      <c r="AG617" t="s">
        <v>155</v>
      </c>
      <c r="AH617" t="s">
        <v>155</v>
      </c>
    </row>
    <row r="618" spans="19:34" ht="16.2" customHeight="1" x14ac:dyDescent="0.3">
      <c r="T618" t="s">
        <v>172</v>
      </c>
      <c r="U618" t="s">
        <v>155</v>
      </c>
      <c r="V618" t="s">
        <v>155</v>
      </c>
      <c r="W618" t="s">
        <v>155</v>
      </c>
      <c r="X618" t="s">
        <v>155</v>
      </c>
      <c r="Y618" t="s">
        <v>155</v>
      </c>
      <c r="AC618" t="s">
        <v>172</v>
      </c>
      <c r="AD618" t="s">
        <v>155</v>
      </c>
      <c r="AE618" t="s">
        <v>155</v>
      </c>
      <c r="AF618" t="s">
        <v>155</v>
      </c>
      <c r="AG618" t="s">
        <v>155</v>
      </c>
      <c r="AH618" t="s">
        <v>155</v>
      </c>
    </row>
    <row r="620" spans="19:34" ht="16.2" customHeight="1" x14ac:dyDescent="0.3">
      <c r="S620" s="15" t="s">
        <v>142</v>
      </c>
      <c r="T620" t="s">
        <v>226</v>
      </c>
      <c r="AB620" s="15" t="s">
        <v>142</v>
      </c>
      <c r="AC620" t="s">
        <v>226</v>
      </c>
    </row>
    <row r="621" spans="19:34" ht="16.2" customHeight="1" x14ac:dyDescent="0.3">
      <c r="U621" t="s">
        <v>164</v>
      </c>
      <c r="V621" t="s">
        <v>165</v>
      </c>
      <c r="W621" t="s">
        <v>166</v>
      </c>
      <c r="X621" t="s">
        <v>167</v>
      </c>
      <c r="Y621" t="s">
        <v>168</v>
      </c>
      <c r="AD621" t="s">
        <v>164</v>
      </c>
      <c r="AE621" t="s">
        <v>165</v>
      </c>
      <c r="AF621" t="s">
        <v>166</v>
      </c>
      <c r="AG621" t="s">
        <v>167</v>
      </c>
      <c r="AH621" t="s">
        <v>168</v>
      </c>
    </row>
    <row r="622" spans="19:34" ht="16.2" customHeight="1" x14ac:dyDescent="0.3">
      <c r="T622" t="s">
        <v>154</v>
      </c>
      <c r="U622" t="s">
        <v>155</v>
      </c>
      <c r="V622" t="s">
        <v>155</v>
      </c>
      <c r="W622" t="s">
        <v>155</v>
      </c>
      <c r="X622" t="s">
        <v>155</v>
      </c>
      <c r="Y622" t="s">
        <v>155</v>
      </c>
      <c r="AC622" t="s">
        <v>154</v>
      </c>
      <c r="AD622" t="s">
        <v>155</v>
      </c>
      <c r="AE622" t="s">
        <v>155</v>
      </c>
      <c r="AF622" t="s">
        <v>155</v>
      </c>
      <c r="AG622" t="s">
        <v>155</v>
      </c>
      <c r="AH622" t="s">
        <v>155</v>
      </c>
    </row>
    <row r="623" spans="19:34" ht="16.2" customHeight="1" x14ac:dyDescent="0.3">
      <c r="T623" t="s">
        <v>156</v>
      </c>
      <c r="U623" t="s">
        <v>155</v>
      </c>
      <c r="V623" t="s">
        <v>155</v>
      </c>
      <c r="W623" t="s">
        <v>155</v>
      </c>
      <c r="X623" t="s">
        <v>155</v>
      </c>
      <c r="Y623" t="s">
        <v>155</v>
      </c>
      <c r="AC623" t="s">
        <v>156</v>
      </c>
      <c r="AD623" t="s">
        <v>155</v>
      </c>
      <c r="AE623" t="s">
        <v>155</v>
      </c>
      <c r="AF623" t="s">
        <v>155</v>
      </c>
      <c r="AG623" t="s">
        <v>155</v>
      </c>
      <c r="AH623" t="s">
        <v>155</v>
      </c>
    </row>
    <row r="624" spans="19:34" ht="16.2" customHeight="1" x14ac:dyDescent="0.3">
      <c r="T624" t="s">
        <v>157</v>
      </c>
      <c r="U624" t="s">
        <v>95</v>
      </c>
      <c r="V624" t="s">
        <v>155</v>
      </c>
      <c r="W624" t="s">
        <v>155</v>
      </c>
      <c r="X624" t="s">
        <v>155</v>
      </c>
      <c r="Y624" t="s">
        <v>155</v>
      </c>
      <c r="AC624" t="s">
        <v>157</v>
      </c>
      <c r="AD624" t="s">
        <v>95</v>
      </c>
      <c r="AE624" t="s">
        <v>155</v>
      </c>
      <c r="AF624" t="s">
        <v>155</v>
      </c>
      <c r="AG624" t="s">
        <v>155</v>
      </c>
      <c r="AH624" t="s">
        <v>155</v>
      </c>
    </row>
    <row r="625" spans="19:34" ht="16.2" customHeight="1" x14ac:dyDescent="0.3">
      <c r="T625" t="s">
        <v>158</v>
      </c>
      <c r="U625" t="s">
        <v>95</v>
      </c>
      <c r="V625" t="s">
        <v>155</v>
      </c>
      <c r="W625" t="s">
        <v>155</v>
      </c>
      <c r="X625" t="s">
        <v>155</v>
      </c>
      <c r="Y625" t="s">
        <v>155</v>
      </c>
      <c r="AC625" t="s">
        <v>158</v>
      </c>
      <c r="AD625" t="s">
        <v>95</v>
      </c>
      <c r="AE625" t="s">
        <v>155</v>
      </c>
      <c r="AF625" t="s">
        <v>155</v>
      </c>
      <c r="AG625" t="s">
        <v>155</v>
      </c>
      <c r="AH625" t="s">
        <v>155</v>
      </c>
    </row>
    <row r="626" spans="19:34" ht="16.2" customHeight="1" x14ac:dyDescent="0.3">
      <c r="T626" t="s">
        <v>159</v>
      </c>
      <c r="U626" t="s">
        <v>155</v>
      </c>
      <c r="V626" t="s">
        <v>155</v>
      </c>
      <c r="W626" t="s">
        <v>155</v>
      </c>
      <c r="X626" t="s">
        <v>155</v>
      </c>
      <c r="Y626" t="s">
        <v>155</v>
      </c>
      <c r="AC626" t="s">
        <v>159</v>
      </c>
      <c r="AD626" t="s">
        <v>155</v>
      </c>
      <c r="AE626" t="s">
        <v>155</v>
      </c>
      <c r="AF626" t="s">
        <v>155</v>
      </c>
      <c r="AG626" t="s">
        <v>155</v>
      </c>
      <c r="AH626" t="s">
        <v>155</v>
      </c>
    </row>
    <row r="627" spans="19:34" ht="16.2" customHeight="1" x14ac:dyDescent="0.3">
      <c r="T627" t="s">
        <v>160</v>
      </c>
      <c r="U627" t="s">
        <v>155</v>
      </c>
      <c r="V627" t="s">
        <v>155</v>
      </c>
      <c r="W627" t="s">
        <v>155</v>
      </c>
      <c r="X627" t="s">
        <v>155</v>
      </c>
      <c r="Y627" t="s">
        <v>155</v>
      </c>
      <c r="AC627" t="s">
        <v>160</v>
      </c>
      <c r="AD627" t="s">
        <v>155</v>
      </c>
      <c r="AE627" t="s">
        <v>155</v>
      </c>
      <c r="AF627" t="s">
        <v>155</v>
      </c>
      <c r="AG627" t="s">
        <v>155</v>
      </c>
      <c r="AH627" t="s">
        <v>155</v>
      </c>
    </row>
    <row r="628" spans="19:34" ht="16.2" customHeight="1" x14ac:dyDescent="0.3">
      <c r="T628" t="s">
        <v>169</v>
      </c>
      <c r="U628" t="s">
        <v>155</v>
      </c>
      <c r="V628" t="s">
        <v>155</v>
      </c>
      <c r="W628" t="s">
        <v>155</v>
      </c>
      <c r="X628" t="s">
        <v>155</v>
      </c>
      <c r="Y628" t="s">
        <v>155</v>
      </c>
      <c r="AC628" t="s">
        <v>169</v>
      </c>
      <c r="AD628" t="s">
        <v>155</v>
      </c>
      <c r="AE628" t="s">
        <v>155</v>
      </c>
      <c r="AF628" t="s">
        <v>155</v>
      </c>
      <c r="AG628" t="s">
        <v>155</v>
      </c>
      <c r="AH628" t="s">
        <v>155</v>
      </c>
    </row>
    <row r="629" spans="19:34" ht="16.2" customHeight="1" x14ac:dyDescent="0.3">
      <c r="T629" t="s">
        <v>170</v>
      </c>
      <c r="U629" t="s">
        <v>155</v>
      </c>
      <c r="V629" t="s">
        <v>155</v>
      </c>
      <c r="W629" t="s">
        <v>155</v>
      </c>
      <c r="X629" t="s">
        <v>155</v>
      </c>
      <c r="Y629" t="s">
        <v>155</v>
      </c>
      <c r="AC629" t="s">
        <v>170</v>
      </c>
      <c r="AD629" t="s">
        <v>155</v>
      </c>
      <c r="AE629" t="s">
        <v>155</v>
      </c>
      <c r="AF629" t="s">
        <v>155</v>
      </c>
      <c r="AG629" t="s">
        <v>155</v>
      </c>
      <c r="AH629" t="s">
        <v>155</v>
      </c>
    </row>
    <row r="630" spans="19:34" ht="16.2" customHeight="1" x14ac:dyDescent="0.3">
      <c r="T630" t="s">
        <v>171</v>
      </c>
      <c r="U630" t="s">
        <v>155</v>
      </c>
      <c r="V630" t="s">
        <v>155</v>
      </c>
      <c r="W630" t="s">
        <v>155</v>
      </c>
      <c r="X630" t="s">
        <v>155</v>
      </c>
      <c r="Y630" t="s">
        <v>155</v>
      </c>
      <c r="AC630" t="s">
        <v>171</v>
      </c>
      <c r="AD630" t="s">
        <v>155</v>
      </c>
      <c r="AE630" t="s">
        <v>155</v>
      </c>
      <c r="AF630" t="s">
        <v>155</v>
      </c>
      <c r="AG630" t="s">
        <v>155</v>
      </c>
      <c r="AH630" t="s">
        <v>155</v>
      </c>
    </row>
    <row r="631" spans="19:34" ht="16.2" customHeight="1" x14ac:dyDescent="0.3">
      <c r="T631" t="s">
        <v>172</v>
      </c>
      <c r="U631" t="s">
        <v>155</v>
      </c>
      <c r="V631" t="s">
        <v>155</v>
      </c>
      <c r="W631" t="s">
        <v>155</v>
      </c>
      <c r="X631" t="s">
        <v>155</v>
      </c>
      <c r="Y631" t="s">
        <v>155</v>
      </c>
      <c r="AC631" t="s">
        <v>172</v>
      </c>
      <c r="AD631" t="s">
        <v>155</v>
      </c>
      <c r="AE631" t="s">
        <v>155</v>
      </c>
      <c r="AF631" t="s">
        <v>155</v>
      </c>
      <c r="AG631" t="s">
        <v>155</v>
      </c>
      <c r="AH631" t="s">
        <v>155</v>
      </c>
    </row>
    <row r="633" spans="19:34" ht="16.2" customHeight="1" x14ac:dyDescent="0.3">
      <c r="S633" s="15" t="s">
        <v>143</v>
      </c>
      <c r="T633" t="s">
        <v>227</v>
      </c>
      <c r="AB633" s="15" t="s">
        <v>143</v>
      </c>
      <c r="AC633" t="s">
        <v>227</v>
      </c>
    </row>
    <row r="634" spans="19:34" ht="16.2" customHeight="1" x14ac:dyDescent="0.3">
      <c r="U634" t="s">
        <v>164</v>
      </c>
      <c r="V634" t="s">
        <v>165</v>
      </c>
      <c r="W634" t="s">
        <v>166</v>
      </c>
      <c r="X634" t="s">
        <v>167</v>
      </c>
      <c r="Y634" t="s">
        <v>168</v>
      </c>
      <c r="AD634" t="s">
        <v>164</v>
      </c>
      <c r="AE634" t="s">
        <v>165</v>
      </c>
      <c r="AF634" t="s">
        <v>166</v>
      </c>
      <c r="AG634" t="s">
        <v>167</v>
      </c>
      <c r="AH634" t="s">
        <v>168</v>
      </c>
    </row>
    <row r="635" spans="19:34" ht="16.2" customHeight="1" x14ac:dyDescent="0.3">
      <c r="T635" t="s">
        <v>154</v>
      </c>
      <c r="U635" t="s">
        <v>155</v>
      </c>
      <c r="V635" t="s">
        <v>155</v>
      </c>
      <c r="W635" t="s">
        <v>155</v>
      </c>
      <c r="X635" t="s">
        <v>155</v>
      </c>
      <c r="Y635" t="s">
        <v>155</v>
      </c>
      <c r="AC635" t="s">
        <v>154</v>
      </c>
      <c r="AD635" t="s">
        <v>155</v>
      </c>
      <c r="AE635" t="s">
        <v>155</v>
      </c>
      <c r="AF635" t="s">
        <v>155</v>
      </c>
      <c r="AG635" t="s">
        <v>155</v>
      </c>
      <c r="AH635" t="s">
        <v>155</v>
      </c>
    </row>
    <row r="636" spans="19:34" ht="16.2" customHeight="1" x14ac:dyDescent="0.3">
      <c r="T636" t="s">
        <v>156</v>
      </c>
      <c r="U636" t="s">
        <v>155</v>
      </c>
      <c r="V636" t="s">
        <v>155</v>
      </c>
      <c r="W636" t="s">
        <v>155</v>
      </c>
      <c r="X636" t="s">
        <v>155</v>
      </c>
      <c r="Y636" t="s">
        <v>155</v>
      </c>
      <c r="AC636" t="s">
        <v>156</v>
      </c>
      <c r="AD636" t="s">
        <v>155</v>
      </c>
      <c r="AE636" t="s">
        <v>155</v>
      </c>
      <c r="AF636" t="s">
        <v>155</v>
      </c>
      <c r="AG636" t="s">
        <v>155</v>
      </c>
      <c r="AH636" t="s">
        <v>155</v>
      </c>
    </row>
    <row r="637" spans="19:34" ht="16.2" customHeight="1" x14ac:dyDescent="0.3">
      <c r="T637" t="s">
        <v>157</v>
      </c>
      <c r="U637" t="s">
        <v>155</v>
      </c>
      <c r="V637" t="s">
        <v>155</v>
      </c>
      <c r="W637" t="s">
        <v>155</v>
      </c>
      <c r="X637" t="s">
        <v>155</v>
      </c>
      <c r="Y637" t="s">
        <v>155</v>
      </c>
      <c r="AC637" t="s">
        <v>157</v>
      </c>
      <c r="AD637" t="s">
        <v>155</v>
      </c>
      <c r="AE637" t="s">
        <v>155</v>
      </c>
      <c r="AF637" t="s">
        <v>96</v>
      </c>
      <c r="AG637" t="s">
        <v>155</v>
      </c>
      <c r="AH637" t="s">
        <v>155</v>
      </c>
    </row>
    <row r="638" spans="19:34" ht="16.2" customHeight="1" x14ac:dyDescent="0.3">
      <c r="T638" t="s">
        <v>158</v>
      </c>
      <c r="U638" t="s">
        <v>155</v>
      </c>
      <c r="V638" t="s">
        <v>96</v>
      </c>
      <c r="W638" t="s">
        <v>155</v>
      </c>
      <c r="X638" t="s">
        <v>155</v>
      </c>
      <c r="Y638" t="s">
        <v>155</v>
      </c>
      <c r="AC638" t="s">
        <v>158</v>
      </c>
      <c r="AD638" t="s">
        <v>155</v>
      </c>
      <c r="AE638" t="s">
        <v>155</v>
      </c>
      <c r="AF638" t="s">
        <v>96</v>
      </c>
      <c r="AG638" t="s">
        <v>155</v>
      </c>
      <c r="AH638" t="s">
        <v>155</v>
      </c>
    </row>
    <row r="639" spans="19:34" ht="16.2" customHeight="1" x14ac:dyDescent="0.3">
      <c r="T639" t="s">
        <v>159</v>
      </c>
      <c r="U639" t="s">
        <v>155</v>
      </c>
      <c r="V639" t="s">
        <v>96</v>
      </c>
      <c r="W639" t="s">
        <v>155</v>
      </c>
      <c r="X639" t="s">
        <v>96</v>
      </c>
      <c r="Y639" t="s">
        <v>155</v>
      </c>
      <c r="AC639" t="s">
        <v>159</v>
      </c>
      <c r="AD639" t="s">
        <v>96</v>
      </c>
      <c r="AE639" t="s">
        <v>155</v>
      </c>
      <c r="AF639" t="s">
        <v>155</v>
      </c>
      <c r="AG639" t="s">
        <v>155</v>
      </c>
      <c r="AH639" t="s">
        <v>155</v>
      </c>
    </row>
    <row r="640" spans="19:34" ht="16.2" customHeight="1" x14ac:dyDescent="0.3">
      <c r="T640" t="s">
        <v>160</v>
      </c>
      <c r="U640" t="s">
        <v>155</v>
      </c>
      <c r="V640" t="s">
        <v>155</v>
      </c>
      <c r="W640" t="s">
        <v>155</v>
      </c>
      <c r="X640" t="s">
        <v>96</v>
      </c>
      <c r="Y640" t="s">
        <v>155</v>
      </c>
      <c r="AC640" t="s">
        <v>160</v>
      </c>
      <c r="AD640" t="s">
        <v>96</v>
      </c>
      <c r="AE640" t="s">
        <v>155</v>
      </c>
      <c r="AF640" t="s">
        <v>155</v>
      </c>
      <c r="AG640" t="s">
        <v>155</v>
      </c>
      <c r="AH640" t="s">
        <v>155</v>
      </c>
    </row>
    <row r="641" spans="19:34" ht="16.2" customHeight="1" x14ac:dyDescent="0.3">
      <c r="T641" t="s">
        <v>169</v>
      </c>
      <c r="U641" t="s">
        <v>155</v>
      </c>
      <c r="V641" t="s">
        <v>155</v>
      </c>
      <c r="W641" t="s">
        <v>155</v>
      </c>
      <c r="X641" t="s">
        <v>155</v>
      </c>
      <c r="Y641" t="s">
        <v>155</v>
      </c>
      <c r="AC641" t="s">
        <v>169</v>
      </c>
      <c r="AD641" t="s">
        <v>155</v>
      </c>
      <c r="AE641" t="s">
        <v>155</v>
      </c>
      <c r="AF641" t="s">
        <v>155</v>
      </c>
      <c r="AG641" t="s">
        <v>155</v>
      </c>
      <c r="AH641" t="s">
        <v>155</v>
      </c>
    </row>
    <row r="642" spans="19:34" ht="16.2" customHeight="1" x14ac:dyDescent="0.3">
      <c r="T642" t="s">
        <v>170</v>
      </c>
      <c r="U642" t="s">
        <v>155</v>
      </c>
      <c r="V642" t="s">
        <v>155</v>
      </c>
      <c r="W642" t="s">
        <v>155</v>
      </c>
      <c r="X642" t="s">
        <v>155</v>
      </c>
      <c r="Y642" t="s">
        <v>155</v>
      </c>
      <c r="AC642" t="s">
        <v>170</v>
      </c>
      <c r="AD642" t="s">
        <v>155</v>
      </c>
      <c r="AE642" t="s">
        <v>155</v>
      </c>
      <c r="AF642" t="s">
        <v>155</v>
      </c>
      <c r="AG642" t="s">
        <v>155</v>
      </c>
      <c r="AH642" t="s">
        <v>155</v>
      </c>
    </row>
    <row r="643" spans="19:34" ht="16.2" customHeight="1" x14ac:dyDescent="0.3">
      <c r="T643" t="s">
        <v>171</v>
      </c>
      <c r="U643" t="s">
        <v>155</v>
      </c>
      <c r="V643" t="s">
        <v>155</v>
      </c>
      <c r="W643" t="s">
        <v>155</v>
      </c>
      <c r="X643" t="s">
        <v>155</v>
      </c>
      <c r="Y643" t="s">
        <v>155</v>
      </c>
      <c r="AC643" t="s">
        <v>171</v>
      </c>
      <c r="AD643" t="s">
        <v>155</v>
      </c>
      <c r="AE643" t="s">
        <v>155</v>
      </c>
      <c r="AF643" t="s">
        <v>155</v>
      </c>
      <c r="AG643" t="s">
        <v>155</v>
      </c>
      <c r="AH643" t="s">
        <v>155</v>
      </c>
    </row>
    <row r="644" spans="19:34" ht="16.2" customHeight="1" x14ac:dyDescent="0.3">
      <c r="T644" t="s">
        <v>172</v>
      </c>
      <c r="U644" t="s">
        <v>155</v>
      </c>
      <c r="V644" t="s">
        <v>155</v>
      </c>
      <c r="W644" t="s">
        <v>155</v>
      </c>
      <c r="X644" t="s">
        <v>155</v>
      </c>
      <c r="Y644" t="s">
        <v>155</v>
      </c>
      <c r="AC644" t="s">
        <v>172</v>
      </c>
      <c r="AD644" t="s">
        <v>155</v>
      </c>
      <c r="AE644" t="s">
        <v>155</v>
      </c>
      <c r="AF644" t="s">
        <v>155</v>
      </c>
      <c r="AG644" t="s">
        <v>155</v>
      </c>
      <c r="AH644" t="s">
        <v>155</v>
      </c>
    </row>
    <row r="646" spans="19:34" ht="16.2" customHeight="1" x14ac:dyDescent="0.3">
      <c r="S646" s="15" t="s">
        <v>144</v>
      </c>
      <c r="T646" t="s">
        <v>228</v>
      </c>
      <c r="AB646" s="15" t="s">
        <v>144</v>
      </c>
      <c r="AC646" t="s">
        <v>228</v>
      </c>
    </row>
    <row r="647" spans="19:34" ht="16.2" customHeight="1" x14ac:dyDescent="0.3">
      <c r="U647" t="s">
        <v>164</v>
      </c>
      <c r="V647" t="s">
        <v>165</v>
      </c>
      <c r="W647" t="s">
        <v>166</v>
      </c>
      <c r="X647" t="s">
        <v>167</v>
      </c>
      <c r="Y647" t="s">
        <v>168</v>
      </c>
      <c r="AD647" t="s">
        <v>164</v>
      </c>
      <c r="AE647" t="s">
        <v>165</v>
      </c>
      <c r="AF647" t="s">
        <v>166</v>
      </c>
      <c r="AG647" t="s">
        <v>167</v>
      </c>
      <c r="AH647" t="s">
        <v>168</v>
      </c>
    </row>
    <row r="648" spans="19:34" ht="16.2" customHeight="1" x14ac:dyDescent="0.3">
      <c r="T648" t="s">
        <v>154</v>
      </c>
      <c r="U648" t="s">
        <v>155</v>
      </c>
      <c r="V648" t="s">
        <v>155</v>
      </c>
      <c r="W648" t="s">
        <v>155</v>
      </c>
      <c r="X648" t="s">
        <v>155</v>
      </c>
      <c r="Y648" t="s">
        <v>155</v>
      </c>
      <c r="AC648" t="s">
        <v>154</v>
      </c>
      <c r="AD648" t="s">
        <v>155</v>
      </c>
      <c r="AE648" t="s">
        <v>155</v>
      </c>
      <c r="AF648" t="s">
        <v>155</v>
      </c>
      <c r="AG648" t="s">
        <v>155</v>
      </c>
      <c r="AH648" t="s">
        <v>155</v>
      </c>
    </row>
    <row r="649" spans="19:34" ht="16.2" customHeight="1" x14ac:dyDescent="0.3">
      <c r="T649" t="s">
        <v>156</v>
      </c>
      <c r="U649" t="s">
        <v>155</v>
      </c>
      <c r="V649" t="s">
        <v>155</v>
      </c>
      <c r="W649" t="s">
        <v>155</v>
      </c>
      <c r="X649" t="s">
        <v>155</v>
      </c>
      <c r="Y649" t="s">
        <v>155</v>
      </c>
      <c r="AC649" t="s">
        <v>156</v>
      </c>
      <c r="AD649" t="s">
        <v>155</v>
      </c>
      <c r="AE649" t="s">
        <v>155</v>
      </c>
      <c r="AF649" t="s">
        <v>155</v>
      </c>
      <c r="AG649" t="s">
        <v>155</v>
      </c>
      <c r="AH649" t="s">
        <v>155</v>
      </c>
    </row>
    <row r="650" spans="19:34" ht="16.2" customHeight="1" x14ac:dyDescent="0.3">
      <c r="T650" t="s">
        <v>157</v>
      </c>
      <c r="U650" t="s">
        <v>155</v>
      </c>
      <c r="V650" t="s">
        <v>155</v>
      </c>
      <c r="W650" t="s">
        <v>155</v>
      </c>
      <c r="X650" t="s">
        <v>155</v>
      </c>
      <c r="Y650" t="s">
        <v>155</v>
      </c>
      <c r="AC650" t="s">
        <v>157</v>
      </c>
      <c r="AD650" t="s">
        <v>155</v>
      </c>
      <c r="AE650" t="s">
        <v>155</v>
      </c>
      <c r="AF650" t="s">
        <v>96</v>
      </c>
      <c r="AG650" t="s">
        <v>155</v>
      </c>
      <c r="AH650" t="s">
        <v>155</v>
      </c>
    </row>
    <row r="651" spans="19:34" ht="16.2" customHeight="1" x14ac:dyDescent="0.3">
      <c r="T651" t="s">
        <v>158</v>
      </c>
      <c r="U651" t="s">
        <v>155</v>
      </c>
      <c r="V651" t="s">
        <v>96</v>
      </c>
      <c r="W651" t="s">
        <v>155</v>
      </c>
      <c r="X651" t="s">
        <v>155</v>
      </c>
      <c r="Y651" t="s">
        <v>155</v>
      </c>
      <c r="AC651" t="s">
        <v>158</v>
      </c>
      <c r="AD651" t="s">
        <v>155</v>
      </c>
      <c r="AE651" t="s">
        <v>155</v>
      </c>
      <c r="AF651" t="s">
        <v>96</v>
      </c>
      <c r="AG651" t="s">
        <v>155</v>
      </c>
      <c r="AH651" t="s">
        <v>155</v>
      </c>
    </row>
    <row r="652" spans="19:34" ht="16.2" customHeight="1" x14ac:dyDescent="0.3">
      <c r="T652" t="s">
        <v>159</v>
      </c>
      <c r="U652" t="s">
        <v>155</v>
      </c>
      <c r="V652" t="s">
        <v>96</v>
      </c>
      <c r="W652" t="s">
        <v>155</v>
      </c>
      <c r="X652" t="s">
        <v>96</v>
      </c>
      <c r="Y652" t="s">
        <v>155</v>
      </c>
      <c r="AC652" t="s">
        <v>159</v>
      </c>
      <c r="AD652" t="s">
        <v>96</v>
      </c>
      <c r="AE652" t="s">
        <v>155</v>
      </c>
      <c r="AF652" t="s">
        <v>155</v>
      </c>
      <c r="AG652" t="s">
        <v>155</v>
      </c>
      <c r="AH652" t="s">
        <v>155</v>
      </c>
    </row>
    <row r="653" spans="19:34" ht="16.2" customHeight="1" x14ac:dyDescent="0.3">
      <c r="T653" t="s">
        <v>160</v>
      </c>
      <c r="U653" t="s">
        <v>155</v>
      </c>
      <c r="V653" t="s">
        <v>155</v>
      </c>
      <c r="W653" t="s">
        <v>155</v>
      </c>
      <c r="X653" t="s">
        <v>96</v>
      </c>
      <c r="Y653" t="s">
        <v>155</v>
      </c>
      <c r="AC653" t="s">
        <v>160</v>
      </c>
      <c r="AD653" t="s">
        <v>96</v>
      </c>
      <c r="AE653" t="s">
        <v>155</v>
      </c>
      <c r="AF653" t="s">
        <v>155</v>
      </c>
      <c r="AG653" t="s">
        <v>155</v>
      </c>
      <c r="AH653" t="s">
        <v>155</v>
      </c>
    </row>
    <row r="654" spans="19:34" ht="16.2" customHeight="1" x14ac:dyDescent="0.3">
      <c r="T654" t="s">
        <v>169</v>
      </c>
      <c r="U654" t="s">
        <v>155</v>
      </c>
      <c r="V654" t="s">
        <v>155</v>
      </c>
      <c r="W654" t="s">
        <v>155</v>
      </c>
      <c r="X654" t="s">
        <v>155</v>
      </c>
      <c r="Y654" t="s">
        <v>155</v>
      </c>
      <c r="AC654" t="s">
        <v>169</v>
      </c>
      <c r="AD654" t="s">
        <v>155</v>
      </c>
      <c r="AE654" t="s">
        <v>155</v>
      </c>
      <c r="AF654" t="s">
        <v>155</v>
      </c>
      <c r="AG654" t="s">
        <v>155</v>
      </c>
      <c r="AH654" t="s">
        <v>155</v>
      </c>
    </row>
    <row r="655" spans="19:34" ht="16.2" customHeight="1" x14ac:dyDescent="0.3">
      <c r="T655" t="s">
        <v>170</v>
      </c>
      <c r="U655" t="s">
        <v>155</v>
      </c>
      <c r="V655" t="s">
        <v>155</v>
      </c>
      <c r="W655" t="s">
        <v>155</v>
      </c>
      <c r="X655" t="s">
        <v>155</v>
      </c>
      <c r="Y655" t="s">
        <v>155</v>
      </c>
      <c r="AC655" t="s">
        <v>170</v>
      </c>
      <c r="AD655" t="s">
        <v>155</v>
      </c>
      <c r="AE655" t="s">
        <v>155</v>
      </c>
      <c r="AF655" t="s">
        <v>155</v>
      </c>
      <c r="AG655" t="s">
        <v>155</v>
      </c>
      <c r="AH655" t="s">
        <v>155</v>
      </c>
    </row>
    <row r="656" spans="19:34" ht="16.2" customHeight="1" x14ac:dyDescent="0.3">
      <c r="T656" t="s">
        <v>171</v>
      </c>
      <c r="U656" t="s">
        <v>155</v>
      </c>
      <c r="V656" t="s">
        <v>155</v>
      </c>
      <c r="W656" t="s">
        <v>155</v>
      </c>
      <c r="X656" t="s">
        <v>155</v>
      </c>
      <c r="Y656" t="s">
        <v>155</v>
      </c>
      <c r="AC656" t="s">
        <v>171</v>
      </c>
      <c r="AD656" t="s">
        <v>155</v>
      </c>
      <c r="AE656" t="s">
        <v>155</v>
      </c>
      <c r="AF656" t="s">
        <v>155</v>
      </c>
      <c r="AG656" t="s">
        <v>155</v>
      </c>
      <c r="AH656" t="s">
        <v>155</v>
      </c>
    </row>
    <row r="657" spans="19:34" ht="16.2" customHeight="1" x14ac:dyDescent="0.3">
      <c r="T657" t="s">
        <v>172</v>
      </c>
      <c r="U657" t="s">
        <v>155</v>
      </c>
      <c r="V657" t="s">
        <v>155</v>
      </c>
      <c r="W657" t="s">
        <v>155</v>
      </c>
      <c r="X657" t="s">
        <v>155</v>
      </c>
      <c r="Y657" t="s">
        <v>155</v>
      </c>
      <c r="AC657" t="s">
        <v>172</v>
      </c>
      <c r="AD657" t="s">
        <v>155</v>
      </c>
      <c r="AE657" t="s">
        <v>155</v>
      </c>
      <c r="AF657" t="s">
        <v>155</v>
      </c>
      <c r="AG657" t="s">
        <v>155</v>
      </c>
      <c r="AH657" t="s">
        <v>155</v>
      </c>
    </row>
    <row r="659" spans="19:34" ht="16.2" customHeight="1" x14ac:dyDescent="0.3">
      <c r="S659" s="15" t="s">
        <v>145</v>
      </c>
      <c r="T659" t="s">
        <v>229</v>
      </c>
      <c r="AB659" s="15" t="s">
        <v>145</v>
      </c>
      <c r="AC659" t="s">
        <v>229</v>
      </c>
    </row>
    <row r="660" spans="19:34" ht="16.2" customHeight="1" x14ac:dyDescent="0.3">
      <c r="U660" t="s">
        <v>164</v>
      </c>
      <c r="V660" t="s">
        <v>165</v>
      </c>
      <c r="W660" t="s">
        <v>166</v>
      </c>
      <c r="X660" t="s">
        <v>167</v>
      </c>
      <c r="Y660" t="s">
        <v>168</v>
      </c>
      <c r="AD660" t="s">
        <v>164</v>
      </c>
      <c r="AE660" t="s">
        <v>165</v>
      </c>
      <c r="AF660" t="s">
        <v>166</v>
      </c>
      <c r="AG660" t="s">
        <v>167</v>
      </c>
      <c r="AH660" t="s">
        <v>168</v>
      </c>
    </row>
    <row r="661" spans="19:34" ht="16.2" customHeight="1" x14ac:dyDescent="0.3">
      <c r="T661" t="s">
        <v>154</v>
      </c>
      <c r="U661" t="s">
        <v>155</v>
      </c>
      <c r="V661" t="s">
        <v>97</v>
      </c>
      <c r="W661" t="s">
        <v>155</v>
      </c>
      <c r="X661" t="s">
        <v>155</v>
      </c>
      <c r="Y661" t="s">
        <v>97</v>
      </c>
      <c r="AC661" t="s">
        <v>154</v>
      </c>
      <c r="AD661" t="s">
        <v>155</v>
      </c>
      <c r="AE661" t="s">
        <v>97</v>
      </c>
      <c r="AF661" t="s">
        <v>155</v>
      </c>
      <c r="AG661" t="s">
        <v>155</v>
      </c>
      <c r="AH661" t="s">
        <v>97</v>
      </c>
    </row>
    <row r="662" spans="19:34" ht="16.2" customHeight="1" x14ac:dyDescent="0.3">
      <c r="T662" t="s">
        <v>156</v>
      </c>
      <c r="U662" t="s">
        <v>155</v>
      </c>
      <c r="V662" t="s">
        <v>97</v>
      </c>
      <c r="W662" t="s">
        <v>155</v>
      </c>
      <c r="X662" t="s">
        <v>155</v>
      </c>
      <c r="Y662" t="s">
        <v>97</v>
      </c>
      <c r="AC662" t="s">
        <v>156</v>
      </c>
      <c r="AD662" t="s">
        <v>155</v>
      </c>
      <c r="AE662" t="s">
        <v>97</v>
      </c>
      <c r="AF662" t="s">
        <v>155</v>
      </c>
      <c r="AG662" t="s">
        <v>155</v>
      </c>
      <c r="AH662" t="s">
        <v>97</v>
      </c>
    </row>
    <row r="663" spans="19:34" ht="16.2" customHeight="1" x14ac:dyDescent="0.3">
      <c r="T663" t="s">
        <v>157</v>
      </c>
      <c r="U663" t="s">
        <v>155</v>
      </c>
      <c r="V663" t="s">
        <v>97</v>
      </c>
      <c r="W663" t="s">
        <v>155</v>
      </c>
      <c r="X663" t="s">
        <v>155</v>
      </c>
      <c r="Y663" t="s">
        <v>155</v>
      </c>
      <c r="AC663" t="s">
        <v>157</v>
      </c>
      <c r="AD663" t="s">
        <v>155</v>
      </c>
      <c r="AE663" t="s">
        <v>97</v>
      </c>
      <c r="AF663" t="s">
        <v>155</v>
      </c>
      <c r="AG663" t="s">
        <v>155</v>
      </c>
      <c r="AH663" t="s">
        <v>155</v>
      </c>
    </row>
    <row r="664" spans="19:34" ht="16.2" customHeight="1" x14ac:dyDescent="0.3">
      <c r="T664" t="s">
        <v>158</v>
      </c>
      <c r="U664" t="s">
        <v>155</v>
      </c>
      <c r="V664" t="s">
        <v>155</v>
      </c>
      <c r="W664" t="s">
        <v>155</v>
      </c>
      <c r="X664" t="s">
        <v>155</v>
      </c>
      <c r="Y664" t="s">
        <v>155</v>
      </c>
      <c r="AC664" t="s">
        <v>158</v>
      </c>
      <c r="AD664" t="s">
        <v>155</v>
      </c>
      <c r="AE664" t="s">
        <v>155</v>
      </c>
      <c r="AF664" t="s">
        <v>155</v>
      </c>
      <c r="AG664" t="s">
        <v>155</v>
      </c>
      <c r="AH664" t="s">
        <v>155</v>
      </c>
    </row>
    <row r="665" spans="19:34" ht="16.2" customHeight="1" x14ac:dyDescent="0.3">
      <c r="T665" t="s">
        <v>159</v>
      </c>
      <c r="U665" t="s">
        <v>155</v>
      </c>
      <c r="V665" t="s">
        <v>155</v>
      </c>
      <c r="W665" t="s">
        <v>155</v>
      </c>
      <c r="X665" t="s">
        <v>155</v>
      </c>
      <c r="Y665" t="s">
        <v>155</v>
      </c>
      <c r="AC665" t="s">
        <v>159</v>
      </c>
      <c r="AD665" t="s">
        <v>155</v>
      </c>
      <c r="AE665" t="s">
        <v>155</v>
      </c>
      <c r="AF665" t="s">
        <v>155</v>
      </c>
      <c r="AG665" t="s">
        <v>155</v>
      </c>
      <c r="AH665" t="s">
        <v>155</v>
      </c>
    </row>
    <row r="666" spans="19:34" ht="16.2" customHeight="1" x14ac:dyDescent="0.3">
      <c r="T666" t="s">
        <v>160</v>
      </c>
      <c r="U666" t="s">
        <v>155</v>
      </c>
      <c r="V666" t="s">
        <v>155</v>
      </c>
      <c r="W666" t="s">
        <v>155</v>
      </c>
      <c r="X666" t="s">
        <v>155</v>
      </c>
      <c r="Y666" t="s">
        <v>155</v>
      </c>
      <c r="AC666" t="s">
        <v>160</v>
      </c>
      <c r="AD666" t="s">
        <v>155</v>
      </c>
      <c r="AE666" t="s">
        <v>155</v>
      </c>
      <c r="AF666" t="s">
        <v>155</v>
      </c>
      <c r="AG666" t="s">
        <v>155</v>
      </c>
      <c r="AH666" t="s">
        <v>155</v>
      </c>
    </row>
    <row r="667" spans="19:34" ht="16.2" customHeight="1" x14ac:dyDescent="0.3">
      <c r="T667" t="s">
        <v>169</v>
      </c>
      <c r="U667" t="s">
        <v>155</v>
      </c>
      <c r="V667" t="s">
        <v>155</v>
      </c>
      <c r="W667" t="s">
        <v>155</v>
      </c>
      <c r="X667" t="s">
        <v>155</v>
      </c>
      <c r="Y667" t="s">
        <v>155</v>
      </c>
      <c r="AC667" t="s">
        <v>169</v>
      </c>
      <c r="AD667" t="s">
        <v>155</v>
      </c>
      <c r="AE667" t="s">
        <v>155</v>
      </c>
      <c r="AF667" t="s">
        <v>155</v>
      </c>
      <c r="AG667" t="s">
        <v>155</v>
      </c>
      <c r="AH667" t="s">
        <v>155</v>
      </c>
    </row>
    <row r="668" spans="19:34" ht="16.2" customHeight="1" x14ac:dyDescent="0.3">
      <c r="T668" t="s">
        <v>170</v>
      </c>
      <c r="U668" t="s">
        <v>155</v>
      </c>
      <c r="V668" t="s">
        <v>155</v>
      </c>
      <c r="W668" t="s">
        <v>155</v>
      </c>
      <c r="X668" t="s">
        <v>155</v>
      </c>
      <c r="Y668" t="s">
        <v>155</v>
      </c>
      <c r="AC668" t="s">
        <v>170</v>
      </c>
      <c r="AD668" t="s">
        <v>155</v>
      </c>
      <c r="AE668" t="s">
        <v>155</v>
      </c>
      <c r="AF668" t="s">
        <v>155</v>
      </c>
      <c r="AG668" t="s">
        <v>155</v>
      </c>
      <c r="AH668" t="s">
        <v>155</v>
      </c>
    </row>
    <row r="669" spans="19:34" ht="16.2" customHeight="1" x14ac:dyDescent="0.3">
      <c r="T669" t="s">
        <v>171</v>
      </c>
      <c r="U669" t="s">
        <v>155</v>
      </c>
      <c r="V669" t="s">
        <v>155</v>
      </c>
      <c r="W669" t="s">
        <v>155</v>
      </c>
      <c r="X669" t="s">
        <v>155</v>
      </c>
      <c r="Y669" t="s">
        <v>155</v>
      </c>
      <c r="AC669" t="s">
        <v>171</v>
      </c>
      <c r="AD669" t="s">
        <v>155</v>
      </c>
      <c r="AE669" t="s">
        <v>155</v>
      </c>
      <c r="AF669" t="s">
        <v>155</v>
      </c>
      <c r="AG669" t="s">
        <v>155</v>
      </c>
      <c r="AH669" t="s">
        <v>155</v>
      </c>
    </row>
    <row r="670" spans="19:34" ht="16.2" customHeight="1" x14ac:dyDescent="0.3">
      <c r="T670" t="s">
        <v>172</v>
      </c>
      <c r="U670" t="s">
        <v>155</v>
      </c>
      <c r="V670" t="s">
        <v>155</v>
      </c>
      <c r="W670" t="s">
        <v>155</v>
      </c>
      <c r="X670" t="s">
        <v>155</v>
      </c>
      <c r="Y670" t="s">
        <v>155</v>
      </c>
      <c r="AC670" t="s">
        <v>172</v>
      </c>
      <c r="AD670" t="s">
        <v>155</v>
      </c>
      <c r="AE670" t="s">
        <v>155</v>
      </c>
      <c r="AF670" t="s">
        <v>155</v>
      </c>
      <c r="AG670" t="s">
        <v>155</v>
      </c>
      <c r="AH670" t="s">
        <v>155</v>
      </c>
    </row>
    <row r="672" spans="19:34" ht="16.2" customHeight="1" x14ac:dyDescent="0.3">
      <c r="S672" s="15" t="s">
        <v>146</v>
      </c>
      <c r="T672" t="s">
        <v>230</v>
      </c>
      <c r="AB672" s="15" t="s">
        <v>146</v>
      </c>
      <c r="AC672" t="s">
        <v>230</v>
      </c>
    </row>
    <row r="673" spans="19:34" ht="16.2" customHeight="1" x14ac:dyDescent="0.3">
      <c r="U673" t="s">
        <v>164</v>
      </c>
      <c r="V673" t="s">
        <v>165</v>
      </c>
      <c r="W673" t="s">
        <v>166</v>
      </c>
      <c r="X673" t="s">
        <v>167</v>
      </c>
      <c r="Y673" t="s">
        <v>168</v>
      </c>
      <c r="AD673" t="s">
        <v>164</v>
      </c>
      <c r="AE673" t="s">
        <v>165</v>
      </c>
      <c r="AF673" t="s">
        <v>166</v>
      </c>
      <c r="AG673" t="s">
        <v>167</v>
      </c>
      <c r="AH673" t="s">
        <v>168</v>
      </c>
    </row>
    <row r="674" spans="19:34" ht="16.2" customHeight="1" x14ac:dyDescent="0.3">
      <c r="T674" t="s">
        <v>154</v>
      </c>
      <c r="U674" t="s">
        <v>155</v>
      </c>
      <c r="V674" t="s">
        <v>97</v>
      </c>
      <c r="W674" t="s">
        <v>155</v>
      </c>
      <c r="X674" t="s">
        <v>155</v>
      </c>
      <c r="Y674" t="s">
        <v>97</v>
      </c>
      <c r="AC674" t="s">
        <v>154</v>
      </c>
      <c r="AD674" t="s">
        <v>155</v>
      </c>
      <c r="AE674" t="s">
        <v>97</v>
      </c>
      <c r="AF674" t="s">
        <v>155</v>
      </c>
      <c r="AG674" t="s">
        <v>155</v>
      </c>
      <c r="AH674" t="s">
        <v>97</v>
      </c>
    </row>
    <row r="675" spans="19:34" ht="16.2" customHeight="1" x14ac:dyDescent="0.3">
      <c r="T675" t="s">
        <v>156</v>
      </c>
      <c r="U675" t="s">
        <v>155</v>
      </c>
      <c r="V675" t="s">
        <v>97</v>
      </c>
      <c r="W675" t="s">
        <v>155</v>
      </c>
      <c r="X675" t="s">
        <v>155</v>
      </c>
      <c r="Y675" t="s">
        <v>97</v>
      </c>
      <c r="AC675" t="s">
        <v>156</v>
      </c>
      <c r="AD675" t="s">
        <v>155</v>
      </c>
      <c r="AE675" t="s">
        <v>97</v>
      </c>
      <c r="AF675" t="s">
        <v>155</v>
      </c>
      <c r="AG675" t="s">
        <v>155</v>
      </c>
      <c r="AH675" t="s">
        <v>97</v>
      </c>
    </row>
    <row r="676" spans="19:34" ht="16.2" customHeight="1" x14ac:dyDescent="0.3">
      <c r="T676" t="s">
        <v>157</v>
      </c>
      <c r="U676" t="s">
        <v>155</v>
      </c>
      <c r="V676" t="s">
        <v>97</v>
      </c>
      <c r="W676" t="s">
        <v>155</v>
      </c>
      <c r="X676" t="s">
        <v>155</v>
      </c>
      <c r="Y676" t="s">
        <v>155</v>
      </c>
      <c r="AC676" t="s">
        <v>157</v>
      </c>
      <c r="AD676" t="s">
        <v>155</v>
      </c>
      <c r="AE676" t="s">
        <v>97</v>
      </c>
      <c r="AF676" t="s">
        <v>155</v>
      </c>
      <c r="AG676" t="s">
        <v>155</v>
      </c>
      <c r="AH676" t="s">
        <v>155</v>
      </c>
    </row>
    <row r="677" spans="19:34" ht="16.2" customHeight="1" x14ac:dyDescent="0.3">
      <c r="T677" t="s">
        <v>158</v>
      </c>
      <c r="U677" t="s">
        <v>155</v>
      </c>
      <c r="V677" t="s">
        <v>155</v>
      </c>
      <c r="W677" t="s">
        <v>155</v>
      </c>
      <c r="X677" t="s">
        <v>155</v>
      </c>
      <c r="Y677" t="s">
        <v>155</v>
      </c>
      <c r="AC677" t="s">
        <v>158</v>
      </c>
      <c r="AD677" t="s">
        <v>155</v>
      </c>
      <c r="AE677" t="s">
        <v>155</v>
      </c>
      <c r="AF677" t="s">
        <v>155</v>
      </c>
      <c r="AG677" t="s">
        <v>155</v>
      </c>
      <c r="AH677" t="s">
        <v>155</v>
      </c>
    </row>
    <row r="678" spans="19:34" ht="16.2" customHeight="1" x14ac:dyDescent="0.3">
      <c r="T678" t="s">
        <v>159</v>
      </c>
      <c r="U678" t="s">
        <v>155</v>
      </c>
      <c r="V678" t="s">
        <v>155</v>
      </c>
      <c r="W678" t="s">
        <v>155</v>
      </c>
      <c r="X678" t="s">
        <v>155</v>
      </c>
      <c r="Y678" t="s">
        <v>155</v>
      </c>
      <c r="AC678" t="s">
        <v>159</v>
      </c>
      <c r="AD678" t="s">
        <v>155</v>
      </c>
      <c r="AE678" t="s">
        <v>155</v>
      </c>
      <c r="AF678" t="s">
        <v>155</v>
      </c>
      <c r="AG678" t="s">
        <v>155</v>
      </c>
      <c r="AH678" t="s">
        <v>155</v>
      </c>
    </row>
    <row r="679" spans="19:34" ht="16.2" customHeight="1" x14ac:dyDescent="0.3">
      <c r="T679" t="s">
        <v>160</v>
      </c>
      <c r="U679" t="s">
        <v>155</v>
      </c>
      <c r="V679" t="s">
        <v>155</v>
      </c>
      <c r="W679" t="s">
        <v>155</v>
      </c>
      <c r="X679" t="s">
        <v>155</v>
      </c>
      <c r="Y679" t="s">
        <v>155</v>
      </c>
      <c r="AC679" t="s">
        <v>160</v>
      </c>
      <c r="AD679" t="s">
        <v>155</v>
      </c>
      <c r="AE679" t="s">
        <v>155</v>
      </c>
      <c r="AF679" t="s">
        <v>155</v>
      </c>
      <c r="AG679" t="s">
        <v>155</v>
      </c>
      <c r="AH679" t="s">
        <v>155</v>
      </c>
    </row>
    <row r="680" spans="19:34" ht="16.2" customHeight="1" x14ac:dyDescent="0.3">
      <c r="T680" t="s">
        <v>169</v>
      </c>
      <c r="U680" t="s">
        <v>155</v>
      </c>
      <c r="V680" t="s">
        <v>155</v>
      </c>
      <c r="W680" t="s">
        <v>155</v>
      </c>
      <c r="X680" t="s">
        <v>155</v>
      </c>
      <c r="Y680" t="s">
        <v>155</v>
      </c>
      <c r="AC680" t="s">
        <v>169</v>
      </c>
      <c r="AD680" t="s">
        <v>155</v>
      </c>
      <c r="AE680" t="s">
        <v>155</v>
      </c>
      <c r="AF680" t="s">
        <v>155</v>
      </c>
      <c r="AG680" t="s">
        <v>155</v>
      </c>
      <c r="AH680" t="s">
        <v>155</v>
      </c>
    </row>
    <row r="681" spans="19:34" ht="16.2" customHeight="1" x14ac:dyDescent="0.3">
      <c r="T681" t="s">
        <v>170</v>
      </c>
      <c r="U681" t="s">
        <v>155</v>
      </c>
      <c r="V681" t="s">
        <v>155</v>
      </c>
      <c r="W681" t="s">
        <v>155</v>
      </c>
      <c r="X681" t="s">
        <v>155</v>
      </c>
      <c r="Y681" t="s">
        <v>155</v>
      </c>
      <c r="AC681" t="s">
        <v>170</v>
      </c>
      <c r="AD681" t="s">
        <v>155</v>
      </c>
      <c r="AE681" t="s">
        <v>155</v>
      </c>
      <c r="AF681" t="s">
        <v>155</v>
      </c>
      <c r="AG681" t="s">
        <v>155</v>
      </c>
      <c r="AH681" t="s">
        <v>155</v>
      </c>
    </row>
    <row r="682" spans="19:34" ht="16.2" customHeight="1" x14ac:dyDescent="0.3">
      <c r="T682" t="s">
        <v>171</v>
      </c>
      <c r="U682" t="s">
        <v>155</v>
      </c>
      <c r="V682" t="s">
        <v>155</v>
      </c>
      <c r="W682" t="s">
        <v>155</v>
      </c>
      <c r="X682" t="s">
        <v>155</v>
      </c>
      <c r="Y682" t="s">
        <v>155</v>
      </c>
      <c r="AC682" t="s">
        <v>171</v>
      </c>
      <c r="AD682" t="s">
        <v>155</v>
      </c>
      <c r="AE682" t="s">
        <v>155</v>
      </c>
      <c r="AF682" t="s">
        <v>155</v>
      </c>
      <c r="AG682" t="s">
        <v>155</v>
      </c>
      <c r="AH682" t="s">
        <v>155</v>
      </c>
    </row>
    <row r="683" spans="19:34" ht="16.2" customHeight="1" x14ac:dyDescent="0.3">
      <c r="T683" t="s">
        <v>172</v>
      </c>
      <c r="U683" t="s">
        <v>155</v>
      </c>
      <c r="V683" t="s">
        <v>155</v>
      </c>
      <c r="W683" t="s">
        <v>155</v>
      </c>
      <c r="X683" t="s">
        <v>155</v>
      </c>
      <c r="Y683" t="s">
        <v>155</v>
      </c>
      <c r="AC683" t="s">
        <v>172</v>
      </c>
      <c r="AD683" t="s">
        <v>155</v>
      </c>
      <c r="AE683" t="s">
        <v>155</v>
      </c>
      <c r="AF683" t="s">
        <v>155</v>
      </c>
      <c r="AG683" t="s">
        <v>155</v>
      </c>
      <c r="AH683" t="s">
        <v>155</v>
      </c>
    </row>
    <row r="685" spans="19:34" ht="16.2" customHeight="1" x14ac:dyDescent="0.3">
      <c r="S685" s="15" t="s">
        <v>147</v>
      </c>
      <c r="T685" t="s">
        <v>231</v>
      </c>
      <c r="AB685" s="15" t="s">
        <v>147</v>
      </c>
      <c r="AC685" t="s">
        <v>231</v>
      </c>
    </row>
    <row r="686" spans="19:34" ht="16.2" customHeight="1" x14ac:dyDescent="0.3">
      <c r="U686" t="s">
        <v>164</v>
      </c>
      <c r="V686" t="s">
        <v>165</v>
      </c>
      <c r="W686" t="s">
        <v>166</v>
      </c>
      <c r="X686" t="s">
        <v>167</v>
      </c>
      <c r="Y686" t="s">
        <v>168</v>
      </c>
      <c r="AD686" t="s">
        <v>164</v>
      </c>
      <c r="AE686" t="s">
        <v>165</v>
      </c>
      <c r="AF686" t="s">
        <v>166</v>
      </c>
      <c r="AG686" t="s">
        <v>167</v>
      </c>
      <c r="AH686" t="s">
        <v>168</v>
      </c>
    </row>
    <row r="687" spans="19:34" ht="16.2" customHeight="1" x14ac:dyDescent="0.3">
      <c r="T687" t="s">
        <v>154</v>
      </c>
      <c r="U687" t="s">
        <v>99</v>
      </c>
      <c r="V687" t="s">
        <v>155</v>
      </c>
      <c r="W687" t="s">
        <v>155</v>
      </c>
      <c r="X687" t="s">
        <v>99</v>
      </c>
      <c r="Y687" t="s">
        <v>155</v>
      </c>
      <c r="AC687" t="s">
        <v>154</v>
      </c>
      <c r="AD687" t="s">
        <v>99</v>
      </c>
      <c r="AE687" t="s">
        <v>155</v>
      </c>
      <c r="AF687" t="s">
        <v>155</v>
      </c>
      <c r="AG687" t="s">
        <v>99</v>
      </c>
      <c r="AH687" t="s">
        <v>155</v>
      </c>
    </row>
    <row r="688" spans="19:34" ht="16.2" customHeight="1" x14ac:dyDescent="0.3">
      <c r="T688" t="s">
        <v>156</v>
      </c>
      <c r="U688" t="s">
        <v>99</v>
      </c>
      <c r="V688" t="s">
        <v>155</v>
      </c>
      <c r="W688" t="s">
        <v>155</v>
      </c>
      <c r="X688" t="s">
        <v>99</v>
      </c>
      <c r="Y688" t="s">
        <v>155</v>
      </c>
      <c r="AC688" t="s">
        <v>156</v>
      </c>
      <c r="AD688" t="s">
        <v>99</v>
      </c>
      <c r="AE688" t="s">
        <v>155</v>
      </c>
      <c r="AF688" t="s">
        <v>155</v>
      </c>
      <c r="AG688" t="s">
        <v>99</v>
      </c>
      <c r="AH688" t="s">
        <v>155</v>
      </c>
    </row>
    <row r="689" spans="19:34" ht="16.2" customHeight="1" x14ac:dyDescent="0.3">
      <c r="T689" t="s">
        <v>157</v>
      </c>
      <c r="U689" t="s">
        <v>155</v>
      </c>
      <c r="V689" t="s">
        <v>155</v>
      </c>
      <c r="W689" t="s">
        <v>155</v>
      </c>
      <c r="X689" t="s">
        <v>155</v>
      </c>
      <c r="Y689" t="s">
        <v>155</v>
      </c>
      <c r="AC689" t="s">
        <v>157</v>
      </c>
      <c r="AD689" t="s">
        <v>155</v>
      </c>
      <c r="AE689" t="s">
        <v>155</v>
      </c>
      <c r="AF689" t="s">
        <v>155</v>
      </c>
      <c r="AG689" t="s">
        <v>155</v>
      </c>
      <c r="AH689" t="s">
        <v>155</v>
      </c>
    </row>
    <row r="690" spans="19:34" ht="16.2" customHeight="1" x14ac:dyDescent="0.3">
      <c r="T690" t="s">
        <v>158</v>
      </c>
      <c r="U690" t="s">
        <v>155</v>
      </c>
      <c r="V690" t="s">
        <v>155</v>
      </c>
      <c r="W690" t="s">
        <v>155</v>
      </c>
      <c r="X690" t="s">
        <v>155</v>
      </c>
      <c r="Y690" t="s">
        <v>155</v>
      </c>
      <c r="AC690" t="s">
        <v>158</v>
      </c>
      <c r="AD690" t="s">
        <v>155</v>
      </c>
      <c r="AE690" t="s">
        <v>155</v>
      </c>
      <c r="AF690" t="s">
        <v>155</v>
      </c>
      <c r="AG690" t="s">
        <v>155</v>
      </c>
      <c r="AH690" t="s">
        <v>155</v>
      </c>
    </row>
    <row r="691" spans="19:34" ht="16.2" customHeight="1" x14ac:dyDescent="0.3">
      <c r="T691" t="s">
        <v>159</v>
      </c>
      <c r="U691" t="s">
        <v>155</v>
      </c>
      <c r="V691" t="s">
        <v>155</v>
      </c>
      <c r="W691" t="s">
        <v>155</v>
      </c>
      <c r="X691" t="s">
        <v>155</v>
      </c>
      <c r="Y691" t="s">
        <v>155</v>
      </c>
      <c r="AC691" t="s">
        <v>159</v>
      </c>
      <c r="AD691" t="s">
        <v>155</v>
      </c>
      <c r="AE691" t="s">
        <v>155</v>
      </c>
      <c r="AF691" t="s">
        <v>155</v>
      </c>
      <c r="AG691" t="s">
        <v>155</v>
      </c>
      <c r="AH691" t="s">
        <v>155</v>
      </c>
    </row>
    <row r="692" spans="19:34" ht="16.2" customHeight="1" x14ac:dyDescent="0.3">
      <c r="T692" t="s">
        <v>160</v>
      </c>
      <c r="U692" t="s">
        <v>155</v>
      </c>
      <c r="V692" t="s">
        <v>155</v>
      </c>
      <c r="W692" t="s">
        <v>155</v>
      </c>
      <c r="X692" t="s">
        <v>155</v>
      </c>
      <c r="Y692" t="s">
        <v>155</v>
      </c>
      <c r="AC692" t="s">
        <v>160</v>
      </c>
      <c r="AD692" t="s">
        <v>155</v>
      </c>
      <c r="AE692" t="s">
        <v>155</v>
      </c>
      <c r="AF692" t="s">
        <v>155</v>
      </c>
      <c r="AG692" t="s">
        <v>155</v>
      </c>
      <c r="AH692" t="s">
        <v>155</v>
      </c>
    </row>
    <row r="693" spans="19:34" ht="16.2" customHeight="1" x14ac:dyDescent="0.3">
      <c r="T693" t="s">
        <v>169</v>
      </c>
      <c r="U693" t="s">
        <v>155</v>
      </c>
      <c r="V693" t="s">
        <v>155</v>
      </c>
      <c r="W693" t="s">
        <v>155</v>
      </c>
      <c r="X693" t="s">
        <v>155</v>
      </c>
      <c r="Y693" t="s">
        <v>155</v>
      </c>
      <c r="AC693" t="s">
        <v>169</v>
      </c>
      <c r="AD693" t="s">
        <v>155</v>
      </c>
      <c r="AE693" t="s">
        <v>155</v>
      </c>
      <c r="AF693" t="s">
        <v>155</v>
      </c>
      <c r="AG693" t="s">
        <v>155</v>
      </c>
      <c r="AH693" t="s">
        <v>155</v>
      </c>
    </row>
    <row r="694" spans="19:34" ht="16.2" customHeight="1" x14ac:dyDescent="0.3">
      <c r="T694" t="s">
        <v>170</v>
      </c>
      <c r="U694" t="s">
        <v>155</v>
      </c>
      <c r="V694" t="s">
        <v>155</v>
      </c>
      <c r="W694" t="s">
        <v>155</v>
      </c>
      <c r="X694" t="s">
        <v>155</v>
      </c>
      <c r="Y694" t="s">
        <v>155</v>
      </c>
      <c r="AC694" t="s">
        <v>170</v>
      </c>
      <c r="AD694" t="s">
        <v>155</v>
      </c>
      <c r="AE694" t="s">
        <v>155</v>
      </c>
      <c r="AF694" t="s">
        <v>155</v>
      </c>
      <c r="AG694" t="s">
        <v>155</v>
      </c>
      <c r="AH694" t="s">
        <v>155</v>
      </c>
    </row>
    <row r="695" spans="19:34" ht="16.2" customHeight="1" x14ac:dyDescent="0.3">
      <c r="T695" t="s">
        <v>171</v>
      </c>
      <c r="U695" t="s">
        <v>155</v>
      </c>
      <c r="V695" t="s">
        <v>155</v>
      </c>
      <c r="W695" t="s">
        <v>155</v>
      </c>
      <c r="X695" t="s">
        <v>155</v>
      </c>
      <c r="Y695" t="s">
        <v>155</v>
      </c>
      <c r="AC695" t="s">
        <v>171</v>
      </c>
      <c r="AD695" t="s">
        <v>155</v>
      </c>
      <c r="AE695" t="s">
        <v>155</v>
      </c>
      <c r="AF695" t="s">
        <v>155</v>
      </c>
      <c r="AG695" t="s">
        <v>155</v>
      </c>
      <c r="AH695" t="s">
        <v>155</v>
      </c>
    </row>
    <row r="696" spans="19:34" ht="16.2" customHeight="1" x14ac:dyDescent="0.3">
      <c r="T696" t="s">
        <v>172</v>
      </c>
      <c r="U696" t="s">
        <v>155</v>
      </c>
      <c r="V696" t="s">
        <v>155</v>
      </c>
      <c r="W696" t="s">
        <v>155</v>
      </c>
      <c r="X696" t="s">
        <v>155</v>
      </c>
      <c r="Y696" t="s">
        <v>155</v>
      </c>
      <c r="AC696" t="s">
        <v>172</v>
      </c>
      <c r="AD696" t="s">
        <v>155</v>
      </c>
      <c r="AE696" t="s">
        <v>155</v>
      </c>
      <c r="AF696" t="s">
        <v>155</v>
      </c>
      <c r="AG696" t="s">
        <v>155</v>
      </c>
      <c r="AH696" t="s">
        <v>155</v>
      </c>
    </row>
    <row r="698" spans="19:34" ht="16.2" customHeight="1" x14ac:dyDescent="0.3">
      <c r="S698" s="15" t="s">
        <v>148</v>
      </c>
      <c r="T698" t="s">
        <v>232</v>
      </c>
      <c r="AB698" s="15" t="s">
        <v>148</v>
      </c>
      <c r="AC698" t="s">
        <v>232</v>
      </c>
    </row>
    <row r="699" spans="19:34" ht="16.2" customHeight="1" x14ac:dyDescent="0.3">
      <c r="U699" t="s">
        <v>164</v>
      </c>
      <c r="V699" t="s">
        <v>165</v>
      </c>
      <c r="W699" t="s">
        <v>166</v>
      </c>
      <c r="X699" t="s">
        <v>167</v>
      </c>
      <c r="Y699" t="s">
        <v>168</v>
      </c>
      <c r="AD699" t="s">
        <v>164</v>
      </c>
      <c r="AE699" t="s">
        <v>165</v>
      </c>
      <c r="AF699" t="s">
        <v>166</v>
      </c>
      <c r="AG699" t="s">
        <v>167</v>
      </c>
      <c r="AH699" t="s">
        <v>168</v>
      </c>
    </row>
    <row r="700" spans="19:34" ht="16.2" customHeight="1" x14ac:dyDescent="0.3">
      <c r="T700" t="s">
        <v>154</v>
      </c>
      <c r="U700" t="s">
        <v>155</v>
      </c>
      <c r="V700" t="s">
        <v>155</v>
      </c>
      <c r="W700" t="s">
        <v>155</v>
      </c>
      <c r="X700" t="s">
        <v>155</v>
      </c>
      <c r="Y700" t="s">
        <v>155</v>
      </c>
      <c r="AC700" t="s">
        <v>154</v>
      </c>
      <c r="AD700" t="s">
        <v>155</v>
      </c>
      <c r="AE700" t="s">
        <v>155</v>
      </c>
      <c r="AF700" t="s">
        <v>155</v>
      </c>
      <c r="AG700" t="s">
        <v>155</v>
      </c>
      <c r="AH700" t="s">
        <v>155</v>
      </c>
    </row>
    <row r="701" spans="19:34" ht="16.2" customHeight="1" x14ac:dyDescent="0.3">
      <c r="T701" t="s">
        <v>156</v>
      </c>
      <c r="U701" t="s">
        <v>155</v>
      </c>
      <c r="V701" t="s">
        <v>155</v>
      </c>
      <c r="W701" t="s">
        <v>155</v>
      </c>
      <c r="X701" t="s">
        <v>155</v>
      </c>
      <c r="Y701" t="s">
        <v>155</v>
      </c>
      <c r="AC701" t="s">
        <v>156</v>
      </c>
      <c r="AD701" t="s">
        <v>155</v>
      </c>
      <c r="AE701" t="s">
        <v>155</v>
      </c>
      <c r="AF701" t="s">
        <v>155</v>
      </c>
      <c r="AG701" t="s">
        <v>155</v>
      </c>
      <c r="AH701" t="s">
        <v>155</v>
      </c>
    </row>
    <row r="702" spans="19:34" ht="16.2" customHeight="1" x14ac:dyDescent="0.3">
      <c r="T702" t="s">
        <v>157</v>
      </c>
      <c r="U702" t="s">
        <v>155</v>
      </c>
      <c r="V702" t="s">
        <v>155</v>
      </c>
      <c r="W702" t="s">
        <v>98</v>
      </c>
      <c r="X702" t="s">
        <v>155</v>
      </c>
      <c r="Y702" t="s">
        <v>155</v>
      </c>
      <c r="AC702" t="s">
        <v>157</v>
      </c>
      <c r="AD702" t="s">
        <v>155</v>
      </c>
      <c r="AE702" t="s">
        <v>155</v>
      </c>
      <c r="AF702" t="s">
        <v>155</v>
      </c>
      <c r="AG702" t="s">
        <v>98</v>
      </c>
      <c r="AH702" t="s">
        <v>155</v>
      </c>
    </row>
    <row r="703" spans="19:34" ht="16.2" customHeight="1" x14ac:dyDescent="0.3">
      <c r="T703" t="s">
        <v>158</v>
      </c>
      <c r="U703" t="s">
        <v>155</v>
      </c>
      <c r="V703" t="s">
        <v>155</v>
      </c>
      <c r="W703" t="s">
        <v>98</v>
      </c>
      <c r="X703" t="s">
        <v>155</v>
      </c>
      <c r="Y703" t="s">
        <v>155</v>
      </c>
      <c r="AC703" t="s">
        <v>158</v>
      </c>
      <c r="AD703" t="s">
        <v>155</v>
      </c>
      <c r="AE703" t="s">
        <v>98</v>
      </c>
      <c r="AF703" t="s">
        <v>155</v>
      </c>
      <c r="AG703" t="s">
        <v>98</v>
      </c>
      <c r="AH703" t="s">
        <v>155</v>
      </c>
    </row>
    <row r="704" spans="19:34" ht="16.2" customHeight="1" x14ac:dyDescent="0.3">
      <c r="T704" t="s">
        <v>159</v>
      </c>
      <c r="U704" t="s">
        <v>98</v>
      </c>
      <c r="V704" t="s">
        <v>155</v>
      </c>
      <c r="W704" t="s">
        <v>98</v>
      </c>
      <c r="X704" t="s">
        <v>155</v>
      </c>
      <c r="Y704" t="s">
        <v>155</v>
      </c>
      <c r="AC704" t="s">
        <v>159</v>
      </c>
      <c r="AD704" t="s">
        <v>155</v>
      </c>
      <c r="AE704" t="s">
        <v>98</v>
      </c>
      <c r="AF704" t="s">
        <v>155</v>
      </c>
      <c r="AG704" t="s">
        <v>155</v>
      </c>
      <c r="AH704" t="s">
        <v>155</v>
      </c>
    </row>
    <row r="705" spans="19:34" ht="16.2" customHeight="1" x14ac:dyDescent="0.3">
      <c r="T705" t="s">
        <v>160</v>
      </c>
      <c r="U705" t="s">
        <v>98</v>
      </c>
      <c r="V705" t="s">
        <v>155</v>
      </c>
      <c r="W705" t="s">
        <v>155</v>
      </c>
      <c r="X705" t="s">
        <v>155</v>
      </c>
      <c r="Y705" t="s">
        <v>155</v>
      </c>
      <c r="AC705" t="s">
        <v>160</v>
      </c>
      <c r="AD705" t="s">
        <v>155</v>
      </c>
      <c r="AE705" t="s">
        <v>98</v>
      </c>
      <c r="AF705" t="s">
        <v>155</v>
      </c>
      <c r="AG705" t="s">
        <v>155</v>
      </c>
      <c r="AH705" t="s">
        <v>155</v>
      </c>
    </row>
    <row r="706" spans="19:34" ht="16.2" customHeight="1" x14ac:dyDescent="0.3">
      <c r="T706" t="s">
        <v>169</v>
      </c>
      <c r="U706" t="s">
        <v>155</v>
      </c>
      <c r="V706" t="s">
        <v>155</v>
      </c>
      <c r="W706" t="s">
        <v>155</v>
      </c>
      <c r="X706" t="s">
        <v>155</v>
      </c>
      <c r="Y706" t="s">
        <v>155</v>
      </c>
      <c r="AC706" t="s">
        <v>169</v>
      </c>
      <c r="AD706" t="s">
        <v>155</v>
      </c>
      <c r="AE706" t="s">
        <v>155</v>
      </c>
      <c r="AF706" t="s">
        <v>155</v>
      </c>
      <c r="AG706" t="s">
        <v>155</v>
      </c>
      <c r="AH706" t="s">
        <v>155</v>
      </c>
    </row>
    <row r="707" spans="19:34" ht="16.2" customHeight="1" x14ac:dyDescent="0.3">
      <c r="T707" t="s">
        <v>170</v>
      </c>
      <c r="U707" t="s">
        <v>155</v>
      </c>
      <c r="V707" t="s">
        <v>155</v>
      </c>
      <c r="W707" t="s">
        <v>155</v>
      </c>
      <c r="X707" t="s">
        <v>155</v>
      </c>
      <c r="Y707" t="s">
        <v>155</v>
      </c>
      <c r="AC707" t="s">
        <v>170</v>
      </c>
      <c r="AD707" t="s">
        <v>155</v>
      </c>
      <c r="AE707" t="s">
        <v>155</v>
      </c>
      <c r="AF707" t="s">
        <v>155</v>
      </c>
      <c r="AG707" t="s">
        <v>155</v>
      </c>
      <c r="AH707" t="s">
        <v>155</v>
      </c>
    </row>
    <row r="708" spans="19:34" ht="16.2" customHeight="1" x14ac:dyDescent="0.3">
      <c r="T708" t="s">
        <v>171</v>
      </c>
      <c r="U708" t="s">
        <v>155</v>
      </c>
      <c r="V708" t="s">
        <v>155</v>
      </c>
      <c r="W708" t="s">
        <v>155</v>
      </c>
      <c r="X708" t="s">
        <v>155</v>
      </c>
      <c r="Y708" t="s">
        <v>155</v>
      </c>
      <c r="AC708" t="s">
        <v>171</v>
      </c>
      <c r="AD708" t="s">
        <v>155</v>
      </c>
      <c r="AE708" t="s">
        <v>155</v>
      </c>
      <c r="AF708" t="s">
        <v>155</v>
      </c>
      <c r="AG708" t="s">
        <v>155</v>
      </c>
      <c r="AH708" t="s">
        <v>155</v>
      </c>
    </row>
    <row r="709" spans="19:34" ht="16.2" customHeight="1" x14ac:dyDescent="0.3">
      <c r="T709" t="s">
        <v>172</v>
      </c>
      <c r="U709" t="s">
        <v>155</v>
      </c>
      <c r="V709" t="s">
        <v>155</v>
      </c>
      <c r="W709" t="s">
        <v>155</v>
      </c>
      <c r="X709" t="s">
        <v>155</v>
      </c>
      <c r="Y709" t="s">
        <v>155</v>
      </c>
      <c r="AC709" t="s">
        <v>172</v>
      </c>
      <c r="AD709" t="s">
        <v>155</v>
      </c>
      <c r="AE709" t="s">
        <v>155</v>
      </c>
      <c r="AF709" t="s">
        <v>155</v>
      </c>
      <c r="AG709" t="s">
        <v>155</v>
      </c>
      <c r="AH709" t="s">
        <v>155</v>
      </c>
    </row>
    <row r="711" spans="19:34" ht="16.2" customHeight="1" x14ac:dyDescent="0.3">
      <c r="S711" s="15" t="s">
        <v>149</v>
      </c>
      <c r="T711" t="s">
        <v>233</v>
      </c>
      <c r="AB711" s="15" t="s">
        <v>149</v>
      </c>
      <c r="AC711" t="s">
        <v>233</v>
      </c>
    </row>
    <row r="712" spans="19:34" ht="16.2" customHeight="1" x14ac:dyDescent="0.3">
      <c r="U712" t="s">
        <v>164</v>
      </c>
      <c r="V712" t="s">
        <v>165</v>
      </c>
      <c r="W712" t="s">
        <v>166</v>
      </c>
      <c r="X712" t="s">
        <v>167</v>
      </c>
      <c r="Y712" t="s">
        <v>168</v>
      </c>
      <c r="AD712" t="s">
        <v>164</v>
      </c>
      <c r="AE712" t="s">
        <v>165</v>
      </c>
      <c r="AF712" t="s">
        <v>166</v>
      </c>
      <c r="AG712" t="s">
        <v>167</v>
      </c>
      <c r="AH712" t="s">
        <v>168</v>
      </c>
    </row>
    <row r="713" spans="19:34" ht="16.2" customHeight="1" x14ac:dyDescent="0.3">
      <c r="T713" t="s">
        <v>154</v>
      </c>
      <c r="U713" t="s">
        <v>155</v>
      </c>
      <c r="V713" t="s">
        <v>155</v>
      </c>
      <c r="W713" t="s">
        <v>155</v>
      </c>
      <c r="X713" t="s">
        <v>155</v>
      </c>
      <c r="Y713" t="s">
        <v>155</v>
      </c>
      <c r="AC713" t="s">
        <v>154</v>
      </c>
      <c r="AD713" t="s">
        <v>155</v>
      </c>
      <c r="AE713" t="s">
        <v>155</v>
      </c>
      <c r="AF713" t="s">
        <v>155</v>
      </c>
      <c r="AG713" t="s">
        <v>155</v>
      </c>
      <c r="AH713" t="s">
        <v>155</v>
      </c>
    </row>
    <row r="714" spans="19:34" ht="16.2" customHeight="1" x14ac:dyDescent="0.3">
      <c r="T714" t="s">
        <v>156</v>
      </c>
      <c r="U714" t="s">
        <v>155</v>
      </c>
      <c r="V714" t="s">
        <v>155</v>
      </c>
      <c r="W714" t="s">
        <v>155</v>
      </c>
      <c r="X714" t="s">
        <v>155</v>
      </c>
      <c r="Y714" t="s">
        <v>155</v>
      </c>
      <c r="AC714" t="s">
        <v>156</v>
      </c>
      <c r="AD714" t="s">
        <v>100</v>
      </c>
      <c r="AE714" t="s">
        <v>155</v>
      </c>
      <c r="AF714" t="s">
        <v>155</v>
      </c>
      <c r="AG714" t="s">
        <v>155</v>
      </c>
      <c r="AH714" t="s">
        <v>155</v>
      </c>
    </row>
    <row r="715" spans="19:34" ht="16.2" customHeight="1" x14ac:dyDescent="0.3">
      <c r="T715" t="s">
        <v>157</v>
      </c>
      <c r="U715" t="s">
        <v>100</v>
      </c>
      <c r="V715" t="s">
        <v>155</v>
      </c>
      <c r="W715" t="s">
        <v>100</v>
      </c>
      <c r="X715" t="s">
        <v>155</v>
      </c>
      <c r="Y715" t="s">
        <v>155</v>
      </c>
      <c r="AC715" t="s">
        <v>157</v>
      </c>
      <c r="AD715" t="s">
        <v>100</v>
      </c>
      <c r="AE715" t="s">
        <v>155</v>
      </c>
      <c r="AF715" t="s">
        <v>100</v>
      </c>
      <c r="AG715" t="s">
        <v>155</v>
      </c>
      <c r="AH715" t="s">
        <v>155</v>
      </c>
    </row>
    <row r="716" spans="19:34" ht="16.2" customHeight="1" x14ac:dyDescent="0.3">
      <c r="T716" t="s">
        <v>158</v>
      </c>
      <c r="U716" t="s">
        <v>100</v>
      </c>
      <c r="V716" t="s">
        <v>155</v>
      </c>
      <c r="W716" t="s">
        <v>100</v>
      </c>
      <c r="X716" t="s">
        <v>155</v>
      </c>
      <c r="Y716" t="s">
        <v>155</v>
      </c>
      <c r="AC716" t="s">
        <v>158</v>
      </c>
      <c r="AD716" t="s">
        <v>100</v>
      </c>
      <c r="AE716" t="s">
        <v>155</v>
      </c>
      <c r="AF716" t="s">
        <v>100</v>
      </c>
      <c r="AG716" t="s">
        <v>155</v>
      </c>
      <c r="AH716" t="s">
        <v>155</v>
      </c>
    </row>
    <row r="717" spans="19:34" ht="16.2" customHeight="1" x14ac:dyDescent="0.3">
      <c r="T717" t="s">
        <v>159</v>
      </c>
      <c r="U717" t="s">
        <v>100</v>
      </c>
      <c r="V717" t="s">
        <v>155</v>
      </c>
      <c r="W717" t="s">
        <v>100</v>
      </c>
      <c r="X717" t="s">
        <v>155</v>
      </c>
      <c r="Y717" t="s">
        <v>155</v>
      </c>
      <c r="AC717" t="s">
        <v>159</v>
      </c>
      <c r="AD717" t="s">
        <v>155</v>
      </c>
      <c r="AE717" t="s">
        <v>155</v>
      </c>
      <c r="AF717" t="s">
        <v>100</v>
      </c>
      <c r="AG717" t="s">
        <v>155</v>
      </c>
      <c r="AH717" t="s">
        <v>155</v>
      </c>
    </row>
    <row r="718" spans="19:34" ht="16.2" customHeight="1" x14ac:dyDescent="0.3">
      <c r="T718" t="s">
        <v>160</v>
      </c>
      <c r="U718" t="s">
        <v>155</v>
      </c>
      <c r="V718" t="s">
        <v>155</v>
      </c>
      <c r="W718" t="s">
        <v>155</v>
      </c>
      <c r="X718" t="s">
        <v>155</v>
      </c>
      <c r="Y718" t="s">
        <v>155</v>
      </c>
      <c r="AC718" t="s">
        <v>160</v>
      </c>
      <c r="AD718" t="s">
        <v>155</v>
      </c>
      <c r="AE718" t="s">
        <v>155</v>
      </c>
      <c r="AF718" t="s">
        <v>155</v>
      </c>
      <c r="AG718" t="s">
        <v>155</v>
      </c>
      <c r="AH718" t="s">
        <v>155</v>
      </c>
    </row>
    <row r="719" spans="19:34" ht="16.2" customHeight="1" x14ac:dyDescent="0.3">
      <c r="T719" t="s">
        <v>169</v>
      </c>
      <c r="U719" t="s">
        <v>155</v>
      </c>
      <c r="V719" t="s">
        <v>155</v>
      </c>
      <c r="W719" t="s">
        <v>155</v>
      </c>
      <c r="X719" t="s">
        <v>155</v>
      </c>
      <c r="Y719" t="s">
        <v>155</v>
      </c>
      <c r="AC719" t="s">
        <v>169</v>
      </c>
      <c r="AD719" t="s">
        <v>155</v>
      </c>
      <c r="AE719" t="s">
        <v>155</v>
      </c>
      <c r="AF719" t="s">
        <v>155</v>
      </c>
      <c r="AG719" t="s">
        <v>155</v>
      </c>
      <c r="AH719" t="s">
        <v>155</v>
      </c>
    </row>
    <row r="720" spans="19:34" ht="16.2" customHeight="1" x14ac:dyDescent="0.3">
      <c r="T720" t="s">
        <v>170</v>
      </c>
      <c r="U720" t="s">
        <v>155</v>
      </c>
      <c r="V720" t="s">
        <v>155</v>
      </c>
      <c r="W720" t="s">
        <v>155</v>
      </c>
      <c r="X720" t="s">
        <v>155</v>
      </c>
      <c r="Y720" t="s">
        <v>155</v>
      </c>
      <c r="AC720" t="s">
        <v>170</v>
      </c>
      <c r="AD720" t="s">
        <v>155</v>
      </c>
      <c r="AE720" t="s">
        <v>155</v>
      </c>
      <c r="AF720" t="s">
        <v>155</v>
      </c>
      <c r="AG720" t="s">
        <v>155</v>
      </c>
      <c r="AH720" t="s">
        <v>155</v>
      </c>
    </row>
    <row r="721" spans="19:34" ht="16.2" customHeight="1" x14ac:dyDescent="0.3">
      <c r="T721" t="s">
        <v>171</v>
      </c>
      <c r="U721" t="s">
        <v>155</v>
      </c>
      <c r="V721" t="s">
        <v>155</v>
      </c>
      <c r="W721" t="s">
        <v>155</v>
      </c>
      <c r="X721" t="s">
        <v>155</v>
      </c>
      <c r="Y721" t="s">
        <v>155</v>
      </c>
      <c r="AC721" t="s">
        <v>171</v>
      </c>
      <c r="AD721" t="s">
        <v>155</v>
      </c>
      <c r="AE721" t="s">
        <v>155</v>
      </c>
      <c r="AF721" t="s">
        <v>155</v>
      </c>
      <c r="AG721" t="s">
        <v>155</v>
      </c>
      <c r="AH721" t="s">
        <v>155</v>
      </c>
    </row>
    <row r="722" spans="19:34" ht="16.2" customHeight="1" x14ac:dyDescent="0.3">
      <c r="T722" t="s">
        <v>172</v>
      </c>
      <c r="U722" t="s">
        <v>155</v>
      </c>
      <c r="V722" t="s">
        <v>155</v>
      </c>
      <c r="W722" t="s">
        <v>155</v>
      </c>
      <c r="X722" t="s">
        <v>155</v>
      </c>
      <c r="Y722" t="s">
        <v>155</v>
      </c>
      <c r="AC722" t="s">
        <v>172</v>
      </c>
      <c r="AD722" t="s">
        <v>155</v>
      </c>
      <c r="AE722" t="s">
        <v>155</v>
      </c>
      <c r="AF722" t="s">
        <v>155</v>
      </c>
      <c r="AG722" t="s">
        <v>155</v>
      </c>
      <c r="AH722" t="s">
        <v>155</v>
      </c>
    </row>
    <row r="724" spans="19:34" ht="16.2" customHeight="1" x14ac:dyDescent="0.3">
      <c r="S724" s="15" t="s">
        <v>150</v>
      </c>
      <c r="T724" t="s">
        <v>234</v>
      </c>
      <c r="AB724" s="15" t="s">
        <v>150</v>
      </c>
      <c r="AC724" t="s">
        <v>234</v>
      </c>
    </row>
    <row r="725" spans="19:34" ht="16.2" customHeight="1" x14ac:dyDescent="0.3">
      <c r="U725" t="s">
        <v>164</v>
      </c>
      <c r="V725" t="s">
        <v>165</v>
      </c>
      <c r="W725" t="s">
        <v>166</v>
      </c>
      <c r="X725" t="s">
        <v>167</v>
      </c>
      <c r="Y725" t="s">
        <v>168</v>
      </c>
      <c r="AD725" t="s">
        <v>164</v>
      </c>
      <c r="AE725" t="s">
        <v>165</v>
      </c>
      <c r="AF725" t="s">
        <v>166</v>
      </c>
      <c r="AG725" t="s">
        <v>167</v>
      </c>
      <c r="AH725" t="s">
        <v>168</v>
      </c>
    </row>
    <row r="726" spans="19:34" ht="16.2" customHeight="1" x14ac:dyDescent="0.3">
      <c r="T726" t="s">
        <v>154</v>
      </c>
      <c r="U726" t="s">
        <v>155</v>
      </c>
      <c r="V726" t="s">
        <v>155</v>
      </c>
      <c r="W726" t="s">
        <v>155</v>
      </c>
      <c r="X726" t="s">
        <v>155</v>
      </c>
      <c r="Y726" t="s">
        <v>155</v>
      </c>
      <c r="AC726" t="s">
        <v>154</v>
      </c>
      <c r="AD726" t="s">
        <v>155</v>
      </c>
      <c r="AE726" t="s">
        <v>155</v>
      </c>
      <c r="AF726" t="s">
        <v>155</v>
      </c>
      <c r="AG726" t="s">
        <v>155</v>
      </c>
      <c r="AH726" t="s">
        <v>155</v>
      </c>
    </row>
    <row r="727" spans="19:34" ht="16.2" customHeight="1" x14ac:dyDescent="0.3">
      <c r="T727" t="s">
        <v>156</v>
      </c>
      <c r="U727" t="s">
        <v>155</v>
      </c>
      <c r="V727" t="s">
        <v>155</v>
      </c>
      <c r="W727" t="s">
        <v>155</v>
      </c>
      <c r="X727" t="s">
        <v>155</v>
      </c>
      <c r="Y727" t="s">
        <v>155</v>
      </c>
      <c r="AC727" t="s">
        <v>156</v>
      </c>
      <c r="AD727" t="s">
        <v>100</v>
      </c>
      <c r="AE727" t="s">
        <v>155</v>
      </c>
      <c r="AF727" t="s">
        <v>155</v>
      </c>
      <c r="AG727" t="s">
        <v>155</v>
      </c>
      <c r="AH727" t="s">
        <v>155</v>
      </c>
    </row>
    <row r="728" spans="19:34" ht="16.2" customHeight="1" x14ac:dyDescent="0.3">
      <c r="T728" t="s">
        <v>157</v>
      </c>
      <c r="U728" t="s">
        <v>100</v>
      </c>
      <c r="V728" t="s">
        <v>155</v>
      </c>
      <c r="W728" t="s">
        <v>100</v>
      </c>
      <c r="X728" t="s">
        <v>155</v>
      </c>
      <c r="Y728" t="s">
        <v>155</v>
      </c>
      <c r="AC728" t="s">
        <v>157</v>
      </c>
      <c r="AD728" t="s">
        <v>100</v>
      </c>
      <c r="AE728" t="s">
        <v>155</v>
      </c>
      <c r="AF728" t="s">
        <v>100</v>
      </c>
      <c r="AG728" t="s">
        <v>155</v>
      </c>
      <c r="AH728" t="s">
        <v>155</v>
      </c>
    </row>
    <row r="729" spans="19:34" ht="16.2" customHeight="1" x14ac:dyDescent="0.3">
      <c r="T729" t="s">
        <v>158</v>
      </c>
      <c r="U729" t="s">
        <v>100</v>
      </c>
      <c r="V729" t="s">
        <v>155</v>
      </c>
      <c r="W729" t="s">
        <v>100</v>
      </c>
      <c r="X729" t="s">
        <v>155</v>
      </c>
      <c r="Y729" t="s">
        <v>155</v>
      </c>
      <c r="AC729" t="s">
        <v>158</v>
      </c>
      <c r="AD729" t="s">
        <v>100</v>
      </c>
      <c r="AE729" t="s">
        <v>155</v>
      </c>
      <c r="AF729" t="s">
        <v>100</v>
      </c>
      <c r="AG729" t="s">
        <v>155</v>
      </c>
      <c r="AH729" t="s">
        <v>155</v>
      </c>
    </row>
    <row r="730" spans="19:34" ht="16.2" customHeight="1" x14ac:dyDescent="0.3">
      <c r="T730" t="s">
        <v>159</v>
      </c>
      <c r="U730" t="s">
        <v>100</v>
      </c>
      <c r="V730" t="s">
        <v>155</v>
      </c>
      <c r="W730" t="s">
        <v>100</v>
      </c>
      <c r="X730" t="s">
        <v>155</v>
      </c>
      <c r="Y730" t="s">
        <v>155</v>
      </c>
      <c r="AC730" t="s">
        <v>159</v>
      </c>
      <c r="AD730" t="s">
        <v>155</v>
      </c>
      <c r="AE730" t="s">
        <v>155</v>
      </c>
      <c r="AF730" t="s">
        <v>100</v>
      </c>
      <c r="AG730" t="s">
        <v>155</v>
      </c>
      <c r="AH730" t="s">
        <v>155</v>
      </c>
    </row>
    <row r="731" spans="19:34" ht="16.2" customHeight="1" x14ac:dyDescent="0.3">
      <c r="T731" t="s">
        <v>160</v>
      </c>
      <c r="U731" t="s">
        <v>155</v>
      </c>
      <c r="V731" t="s">
        <v>155</v>
      </c>
      <c r="W731" t="s">
        <v>155</v>
      </c>
      <c r="X731" t="s">
        <v>155</v>
      </c>
      <c r="Y731" t="s">
        <v>155</v>
      </c>
      <c r="AC731" t="s">
        <v>160</v>
      </c>
      <c r="AD731" t="s">
        <v>155</v>
      </c>
      <c r="AE731" t="s">
        <v>155</v>
      </c>
      <c r="AF731" t="s">
        <v>155</v>
      </c>
      <c r="AG731" t="s">
        <v>155</v>
      </c>
      <c r="AH731" t="s">
        <v>155</v>
      </c>
    </row>
    <row r="732" spans="19:34" ht="16.2" customHeight="1" x14ac:dyDescent="0.3">
      <c r="T732" t="s">
        <v>169</v>
      </c>
      <c r="U732" t="s">
        <v>155</v>
      </c>
      <c r="V732" t="s">
        <v>155</v>
      </c>
      <c r="W732" t="s">
        <v>155</v>
      </c>
      <c r="X732" t="s">
        <v>155</v>
      </c>
      <c r="Y732" t="s">
        <v>155</v>
      </c>
      <c r="AC732" t="s">
        <v>169</v>
      </c>
      <c r="AD732" t="s">
        <v>155</v>
      </c>
      <c r="AE732" t="s">
        <v>155</v>
      </c>
      <c r="AF732" t="s">
        <v>155</v>
      </c>
      <c r="AG732" t="s">
        <v>155</v>
      </c>
      <c r="AH732" t="s">
        <v>155</v>
      </c>
    </row>
    <row r="733" spans="19:34" ht="16.2" customHeight="1" x14ac:dyDescent="0.3">
      <c r="T733" t="s">
        <v>170</v>
      </c>
      <c r="U733" t="s">
        <v>155</v>
      </c>
      <c r="V733" t="s">
        <v>155</v>
      </c>
      <c r="W733" t="s">
        <v>155</v>
      </c>
      <c r="X733" t="s">
        <v>155</v>
      </c>
      <c r="Y733" t="s">
        <v>155</v>
      </c>
      <c r="AC733" t="s">
        <v>170</v>
      </c>
      <c r="AD733" t="s">
        <v>155</v>
      </c>
      <c r="AE733" t="s">
        <v>155</v>
      </c>
      <c r="AF733" t="s">
        <v>155</v>
      </c>
      <c r="AG733" t="s">
        <v>155</v>
      </c>
      <c r="AH733" t="s">
        <v>155</v>
      </c>
    </row>
    <row r="734" spans="19:34" ht="16.2" customHeight="1" x14ac:dyDescent="0.3">
      <c r="T734" t="s">
        <v>171</v>
      </c>
      <c r="U734" t="s">
        <v>155</v>
      </c>
      <c r="V734" t="s">
        <v>155</v>
      </c>
      <c r="W734" t="s">
        <v>155</v>
      </c>
      <c r="X734" t="s">
        <v>155</v>
      </c>
      <c r="Y734" t="s">
        <v>155</v>
      </c>
      <c r="AC734" t="s">
        <v>171</v>
      </c>
      <c r="AD734" t="s">
        <v>155</v>
      </c>
      <c r="AE734" t="s">
        <v>155</v>
      </c>
      <c r="AF734" t="s">
        <v>155</v>
      </c>
      <c r="AG734" t="s">
        <v>155</v>
      </c>
      <c r="AH734" t="s">
        <v>155</v>
      </c>
    </row>
    <row r="735" spans="19:34" ht="16.2" customHeight="1" x14ac:dyDescent="0.3">
      <c r="T735" t="s">
        <v>172</v>
      </c>
      <c r="U735" t="s">
        <v>155</v>
      </c>
      <c r="V735" t="s">
        <v>155</v>
      </c>
      <c r="W735" t="s">
        <v>155</v>
      </c>
      <c r="X735" t="s">
        <v>155</v>
      </c>
      <c r="Y735" t="s">
        <v>155</v>
      </c>
      <c r="AC735" t="s">
        <v>172</v>
      </c>
      <c r="AD735" t="s">
        <v>155</v>
      </c>
      <c r="AE735" t="s">
        <v>155</v>
      </c>
      <c r="AF735" t="s">
        <v>155</v>
      </c>
      <c r="AG735" t="s">
        <v>155</v>
      </c>
      <c r="AH735" t="s">
        <v>155</v>
      </c>
    </row>
    <row r="737" spans="19:34" ht="16.2" customHeight="1" x14ac:dyDescent="0.3">
      <c r="S737" s="15" t="s">
        <v>151</v>
      </c>
      <c r="T737" t="s">
        <v>235</v>
      </c>
      <c r="AB737" s="15" t="s">
        <v>151</v>
      </c>
      <c r="AC737" t="s">
        <v>235</v>
      </c>
    </row>
    <row r="738" spans="19:34" ht="16.2" customHeight="1" x14ac:dyDescent="0.3">
      <c r="U738" t="s">
        <v>164</v>
      </c>
      <c r="V738" t="s">
        <v>165</v>
      </c>
      <c r="W738" t="s">
        <v>166</v>
      </c>
      <c r="X738" t="s">
        <v>167</v>
      </c>
      <c r="Y738" t="s">
        <v>168</v>
      </c>
      <c r="AD738" t="s">
        <v>164</v>
      </c>
      <c r="AE738" t="s">
        <v>165</v>
      </c>
      <c r="AF738" t="s">
        <v>166</v>
      </c>
      <c r="AG738" t="s">
        <v>167</v>
      </c>
      <c r="AH738" t="s">
        <v>168</v>
      </c>
    </row>
    <row r="739" spans="19:34" ht="16.2" customHeight="1" x14ac:dyDescent="0.3">
      <c r="T739" t="s">
        <v>154</v>
      </c>
      <c r="U739" t="s">
        <v>155</v>
      </c>
      <c r="V739" t="s">
        <v>101</v>
      </c>
      <c r="W739" t="s">
        <v>155</v>
      </c>
      <c r="X739" t="s">
        <v>101</v>
      </c>
      <c r="Y739" t="s">
        <v>155</v>
      </c>
      <c r="AC739" t="s">
        <v>154</v>
      </c>
      <c r="AD739" t="s">
        <v>155</v>
      </c>
      <c r="AE739" t="s">
        <v>101</v>
      </c>
      <c r="AF739" t="s">
        <v>155</v>
      </c>
      <c r="AG739" t="s">
        <v>101</v>
      </c>
      <c r="AH739" t="s">
        <v>155</v>
      </c>
    </row>
    <row r="740" spans="19:34" ht="16.2" customHeight="1" x14ac:dyDescent="0.3">
      <c r="T740" t="s">
        <v>156</v>
      </c>
      <c r="U740" t="s">
        <v>155</v>
      </c>
      <c r="V740" t="s">
        <v>101</v>
      </c>
      <c r="W740" t="s">
        <v>155</v>
      </c>
      <c r="X740" t="s">
        <v>101</v>
      </c>
      <c r="Y740" t="s">
        <v>155</v>
      </c>
      <c r="AC740" t="s">
        <v>156</v>
      </c>
      <c r="AD740" t="s">
        <v>155</v>
      </c>
      <c r="AE740" t="s">
        <v>101</v>
      </c>
      <c r="AF740" t="s">
        <v>155</v>
      </c>
      <c r="AG740" t="s">
        <v>101</v>
      </c>
      <c r="AH740" t="s">
        <v>155</v>
      </c>
    </row>
    <row r="741" spans="19:34" ht="16.2" customHeight="1" x14ac:dyDescent="0.3">
      <c r="T741" t="s">
        <v>157</v>
      </c>
      <c r="U741" t="s">
        <v>155</v>
      </c>
      <c r="V741" t="s">
        <v>101</v>
      </c>
      <c r="W741" t="s">
        <v>155</v>
      </c>
      <c r="X741" t="s">
        <v>101</v>
      </c>
      <c r="Y741" t="s">
        <v>155</v>
      </c>
      <c r="AC741" t="s">
        <v>157</v>
      </c>
      <c r="AD741" t="s">
        <v>155</v>
      </c>
      <c r="AE741" t="s">
        <v>101</v>
      </c>
      <c r="AF741" t="s">
        <v>155</v>
      </c>
      <c r="AG741" t="s">
        <v>101</v>
      </c>
      <c r="AH741" t="s">
        <v>155</v>
      </c>
    </row>
    <row r="742" spans="19:34" ht="16.2" customHeight="1" x14ac:dyDescent="0.3">
      <c r="T742" t="s">
        <v>158</v>
      </c>
      <c r="U742" t="s">
        <v>155</v>
      </c>
      <c r="V742" t="s">
        <v>155</v>
      </c>
      <c r="W742" t="s">
        <v>155</v>
      </c>
      <c r="X742" t="s">
        <v>155</v>
      </c>
      <c r="Y742" t="s">
        <v>155</v>
      </c>
      <c r="AC742" t="s">
        <v>158</v>
      </c>
      <c r="AD742" t="s">
        <v>155</v>
      </c>
      <c r="AE742" t="s">
        <v>155</v>
      </c>
      <c r="AF742" t="s">
        <v>155</v>
      </c>
      <c r="AG742" t="s">
        <v>155</v>
      </c>
      <c r="AH742" t="s">
        <v>155</v>
      </c>
    </row>
    <row r="743" spans="19:34" ht="16.2" customHeight="1" x14ac:dyDescent="0.3">
      <c r="T743" t="s">
        <v>159</v>
      </c>
      <c r="U743" t="s">
        <v>155</v>
      </c>
      <c r="V743" t="s">
        <v>155</v>
      </c>
      <c r="W743" t="s">
        <v>155</v>
      </c>
      <c r="X743" t="s">
        <v>155</v>
      </c>
      <c r="Y743" t="s">
        <v>155</v>
      </c>
      <c r="AC743" t="s">
        <v>159</v>
      </c>
      <c r="AD743" t="s">
        <v>155</v>
      </c>
      <c r="AE743" t="s">
        <v>155</v>
      </c>
      <c r="AF743" t="s">
        <v>155</v>
      </c>
      <c r="AG743" t="s">
        <v>155</v>
      </c>
      <c r="AH743" t="s">
        <v>155</v>
      </c>
    </row>
    <row r="744" spans="19:34" ht="16.2" customHeight="1" x14ac:dyDescent="0.3">
      <c r="T744" t="s">
        <v>160</v>
      </c>
      <c r="U744" t="s">
        <v>155</v>
      </c>
      <c r="V744" t="s">
        <v>155</v>
      </c>
      <c r="W744" t="s">
        <v>155</v>
      </c>
      <c r="X744" t="s">
        <v>155</v>
      </c>
      <c r="Y744" t="s">
        <v>155</v>
      </c>
      <c r="AC744" t="s">
        <v>160</v>
      </c>
      <c r="AD744" t="s">
        <v>155</v>
      </c>
      <c r="AE744" t="s">
        <v>155</v>
      </c>
      <c r="AF744" t="s">
        <v>155</v>
      </c>
      <c r="AG744" t="s">
        <v>155</v>
      </c>
      <c r="AH744" t="s">
        <v>155</v>
      </c>
    </row>
    <row r="745" spans="19:34" ht="16.2" customHeight="1" x14ac:dyDescent="0.3">
      <c r="T745" t="s">
        <v>169</v>
      </c>
      <c r="U745" t="s">
        <v>155</v>
      </c>
      <c r="V745" t="s">
        <v>155</v>
      </c>
      <c r="W745" t="s">
        <v>155</v>
      </c>
      <c r="X745" t="s">
        <v>155</v>
      </c>
      <c r="Y745" t="s">
        <v>155</v>
      </c>
      <c r="AC745" t="s">
        <v>169</v>
      </c>
      <c r="AD745" t="s">
        <v>155</v>
      </c>
      <c r="AE745" t="s">
        <v>155</v>
      </c>
      <c r="AF745" t="s">
        <v>155</v>
      </c>
      <c r="AG745" t="s">
        <v>155</v>
      </c>
      <c r="AH745" t="s">
        <v>155</v>
      </c>
    </row>
    <row r="746" spans="19:34" ht="16.2" customHeight="1" x14ac:dyDescent="0.3">
      <c r="T746" t="s">
        <v>170</v>
      </c>
      <c r="U746" t="s">
        <v>155</v>
      </c>
      <c r="V746" t="s">
        <v>155</v>
      </c>
      <c r="W746" t="s">
        <v>155</v>
      </c>
      <c r="X746" t="s">
        <v>155</v>
      </c>
      <c r="Y746" t="s">
        <v>155</v>
      </c>
      <c r="AC746" t="s">
        <v>170</v>
      </c>
      <c r="AD746" t="s">
        <v>155</v>
      </c>
      <c r="AE746" t="s">
        <v>155</v>
      </c>
      <c r="AF746" t="s">
        <v>155</v>
      </c>
      <c r="AG746" t="s">
        <v>155</v>
      </c>
      <c r="AH746" t="s">
        <v>155</v>
      </c>
    </row>
    <row r="747" spans="19:34" ht="16.2" customHeight="1" x14ac:dyDescent="0.3">
      <c r="T747" t="s">
        <v>171</v>
      </c>
      <c r="U747" t="s">
        <v>155</v>
      </c>
      <c r="V747" t="s">
        <v>155</v>
      </c>
      <c r="W747" t="s">
        <v>155</v>
      </c>
      <c r="X747" t="s">
        <v>155</v>
      </c>
      <c r="Y747" t="s">
        <v>155</v>
      </c>
      <c r="AC747" t="s">
        <v>171</v>
      </c>
      <c r="AD747" t="s">
        <v>155</v>
      </c>
      <c r="AE747" t="s">
        <v>155</v>
      </c>
      <c r="AF747" t="s">
        <v>155</v>
      </c>
      <c r="AG747" t="s">
        <v>155</v>
      </c>
      <c r="AH747" t="s">
        <v>155</v>
      </c>
    </row>
    <row r="748" spans="19:34" ht="16.2" customHeight="1" x14ac:dyDescent="0.3">
      <c r="T748" t="s">
        <v>172</v>
      </c>
      <c r="U748" t="s">
        <v>155</v>
      </c>
      <c r="V748" t="s">
        <v>155</v>
      </c>
      <c r="W748" t="s">
        <v>155</v>
      </c>
      <c r="X748" t="s">
        <v>155</v>
      </c>
      <c r="Y748" t="s">
        <v>155</v>
      </c>
      <c r="AC748" t="s">
        <v>172</v>
      </c>
      <c r="AD748" t="s">
        <v>155</v>
      </c>
      <c r="AE748" t="s">
        <v>155</v>
      </c>
      <c r="AF748" t="s">
        <v>155</v>
      </c>
      <c r="AG748" t="s">
        <v>155</v>
      </c>
      <c r="AH748" t="s">
        <v>155</v>
      </c>
    </row>
    <row r="750" spans="19:34" ht="16.2" customHeight="1" x14ac:dyDescent="0.3">
      <c r="S750" s="15" t="s">
        <v>237</v>
      </c>
      <c r="T750" t="s">
        <v>239</v>
      </c>
      <c r="AB750" s="15" t="s">
        <v>237</v>
      </c>
      <c r="AC750" t="s">
        <v>239</v>
      </c>
    </row>
    <row r="751" spans="19:34" ht="16.2" customHeight="1" x14ac:dyDescent="0.3">
      <c r="U751" t="s">
        <v>164</v>
      </c>
      <c r="V751" t="s">
        <v>165</v>
      </c>
      <c r="W751" t="s">
        <v>166</v>
      </c>
      <c r="X751" t="s">
        <v>167</v>
      </c>
      <c r="Y751" t="s">
        <v>168</v>
      </c>
      <c r="AD751" t="s">
        <v>164</v>
      </c>
      <c r="AE751" t="s">
        <v>165</v>
      </c>
      <c r="AF751" t="s">
        <v>166</v>
      </c>
      <c r="AG751" t="s">
        <v>167</v>
      </c>
      <c r="AH751" t="s">
        <v>168</v>
      </c>
    </row>
    <row r="752" spans="19:34" ht="16.2" customHeight="1" x14ac:dyDescent="0.3">
      <c r="T752" t="s">
        <v>154</v>
      </c>
      <c r="U752" t="s">
        <v>155</v>
      </c>
      <c r="V752" t="s">
        <v>155</v>
      </c>
      <c r="W752" t="s">
        <v>155</v>
      </c>
      <c r="X752" t="s">
        <v>155</v>
      </c>
      <c r="Y752" t="s">
        <v>155</v>
      </c>
      <c r="AC752" t="s">
        <v>154</v>
      </c>
      <c r="AD752" t="s">
        <v>155</v>
      </c>
      <c r="AE752" t="s">
        <v>155</v>
      </c>
      <c r="AF752" t="s">
        <v>155</v>
      </c>
      <c r="AG752" t="s">
        <v>155</v>
      </c>
      <c r="AH752" t="s">
        <v>155</v>
      </c>
    </row>
    <row r="753" spans="20:34" ht="16.2" customHeight="1" x14ac:dyDescent="0.3">
      <c r="T753" t="s">
        <v>156</v>
      </c>
      <c r="U753" t="s">
        <v>155</v>
      </c>
      <c r="V753" t="s">
        <v>155</v>
      </c>
      <c r="W753" t="s">
        <v>155</v>
      </c>
      <c r="X753" t="s">
        <v>155</v>
      </c>
      <c r="Y753" t="s">
        <v>155</v>
      </c>
      <c r="AC753" t="s">
        <v>156</v>
      </c>
      <c r="AD753" t="s">
        <v>155</v>
      </c>
      <c r="AE753" t="s">
        <v>155</v>
      </c>
      <c r="AF753" t="s">
        <v>155</v>
      </c>
      <c r="AG753" t="s">
        <v>155</v>
      </c>
      <c r="AH753" t="s">
        <v>155</v>
      </c>
    </row>
    <row r="754" spans="20:34" ht="16.2" customHeight="1" x14ac:dyDescent="0.3">
      <c r="T754" t="s">
        <v>157</v>
      </c>
      <c r="U754" t="s">
        <v>155</v>
      </c>
      <c r="V754" t="s">
        <v>155</v>
      </c>
      <c r="W754" t="s">
        <v>155</v>
      </c>
      <c r="X754" t="s">
        <v>155</v>
      </c>
      <c r="Y754" t="s">
        <v>155</v>
      </c>
      <c r="AC754" t="s">
        <v>157</v>
      </c>
      <c r="AD754" t="s">
        <v>155</v>
      </c>
      <c r="AE754" t="s">
        <v>155</v>
      </c>
      <c r="AF754" t="s">
        <v>155</v>
      </c>
      <c r="AG754" t="s">
        <v>155</v>
      </c>
      <c r="AH754" t="s">
        <v>155</v>
      </c>
    </row>
    <row r="755" spans="20:34" ht="16.2" customHeight="1" x14ac:dyDescent="0.3">
      <c r="T755" t="s">
        <v>158</v>
      </c>
      <c r="U755" t="s">
        <v>155</v>
      </c>
      <c r="V755" t="s">
        <v>153</v>
      </c>
      <c r="W755" t="s">
        <v>155</v>
      </c>
      <c r="X755" t="s">
        <v>153</v>
      </c>
      <c r="Y755" t="s">
        <v>155</v>
      </c>
      <c r="AC755" t="s">
        <v>158</v>
      </c>
      <c r="AD755" t="s">
        <v>155</v>
      </c>
      <c r="AE755" t="s">
        <v>153</v>
      </c>
      <c r="AF755" t="s">
        <v>155</v>
      </c>
      <c r="AG755" t="s">
        <v>153</v>
      </c>
      <c r="AH755" t="s">
        <v>155</v>
      </c>
    </row>
    <row r="756" spans="20:34" ht="16.2" customHeight="1" x14ac:dyDescent="0.3">
      <c r="T756" t="s">
        <v>159</v>
      </c>
      <c r="U756" t="s">
        <v>155</v>
      </c>
      <c r="V756" t="s">
        <v>153</v>
      </c>
      <c r="W756" t="s">
        <v>155</v>
      </c>
      <c r="X756" t="s">
        <v>153</v>
      </c>
      <c r="Y756" t="s">
        <v>155</v>
      </c>
      <c r="AC756" t="s">
        <v>159</v>
      </c>
      <c r="AD756" t="s">
        <v>155</v>
      </c>
      <c r="AE756" t="s">
        <v>153</v>
      </c>
      <c r="AF756" t="s">
        <v>155</v>
      </c>
      <c r="AG756" t="s">
        <v>153</v>
      </c>
      <c r="AH756" t="s">
        <v>155</v>
      </c>
    </row>
    <row r="757" spans="20:34" ht="16.2" customHeight="1" x14ac:dyDescent="0.3">
      <c r="T757" t="s">
        <v>160</v>
      </c>
      <c r="U757" t="s">
        <v>155</v>
      </c>
      <c r="V757" t="s">
        <v>153</v>
      </c>
      <c r="W757" t="s">
        <v>155</v>
      </c>
      <c r="X757" t="s">
        <v>153</v>
      </c>
      <c r="Y757" t="s">
        <v>155</v>
      </c>
      <c r="AC757" t="s">
        <v>160</v>
      </c>
      <c r="AD757" t="s">
        <v>155</v>
      </c>
      <c r="AE757" t="s">
        <v>153</v>
      </c>
      <c r="AF757" t="s">
        <v>155</v>
      </c>
      <c r="AG757" t="s">
        <v>153</v>
      </c>
      <c r="AH757" t="s">
        <v>155</v>
      </c>
    </row>
    <row r="758" spans="20:34" ht="16.2" customHeight="1" x14ac:dyDescent="0.3">
      <c r="T758" t="s">
        <v>169</v>
      </c>
      <c r="U758" t="s">
        <v>155</v>
      </c>
      <c r="V758" t="s">
        <v>155</v>
      </c>
      <c r="W758" t="s">
        <v>155</v>
      </c>
      <c r="X758" t="s">
        <v>155</v>
      </c>
      <c r="Y758" t="s">
        <v>155</v>
      </c>
      <c r="AC758" t="s">
        <v>169</v>
      </c>
      <c r="AD758" t="s">
        <v>155</v>
      </c>
      <c r="AE758" t="s">
        <v>155</v>
      </c>
      <c r="AF758" t="s">
        <v>155</v>
      </c>
      <c r="AG758" t="s">
        <v>155</v>
      </c>
      <c r="AH758" t="s">
        <v>155</v>
      </c>
    </row>
    <row r="759" spans="20:34" ht="16.2" customHeight="1" x14ac:dyDescent="0.3">
      <c r="T759" t="s">
        <v>170</v>
      </c>
      <c r="U759" t="s">
        <v>155</v>
      </c>
      <c r="V759" t="s">
        <v>155</v>
      </c>
      <c r="W759" t="s">
        <v>155</v>
      </c>
      <c r="X759" t="s">
        <v>155</v>
      </c>
      <c r="Y759" t="s">
        <v>155</v>
      </c>
      <c r="AC759" t="s">
        <v>170</v>
      </c>
      <c r="AD759" t="s">
        <v>155</v>
      </c>
      <c r="AE759" t="s">
        <v>155</v>
      </c>
      <c r="AF759" t="s">
        <v>155</v>
      </c>
      <c r="AG759" t="s">
        <v>155</v>
      </c>
      <c r="AH759" t="s">
        <v>155</v>
      </c>
    </row>
    <row r="760" spans="20:34" ht="16.2" customHeight="1" x14ac:dyDescent="0.3">
      <c r="T760" t="s">
        <v>171</v>
      </c>
      <c r="U760" t="s">
        <v>155</v>
      </c>
      <c r="V760" t="s">
        <v>155</v>
      </c>
      <c r="W760" t="s">
        <v>155</v>
      </c>
      <c r="X760" t="s">
        <v>155</v>
      </c>
      <c r="Y760" t="s">
        <v>155</v>
      </c>
      <c r="AC760" t="s">
        <v>171</v>
      </c>
      <c r="AD760" t="s">
        <v>155</v>
      </c>
      <c r="AE760" t="s">
        <v>155</v>
      </c>
      <c r="AF760" t="s">
        <v>155</v>
      </c>
      <c r="AG760" t="s">
        <v>155</v>
      </c>
      <c r="AH760" t="s">
        <v>155</v>
      </c>
    </row>
    <row r="761" spans="20:34" ht="16.2" customHeight="1" x14ac:dyDescent="0.3">
      <c r="T761" t="s">
        <v>172</v>
      </c>
      <c r="U761" t="s">
        <v>155</v>
      </c>
      <c r="V761" t="s">
        <v>155</v>
      </c>
      <c r="W761" t="s">
        <v>155</v>
      </c>
      <c r="X761" t="s">
        <v>155</v>
      </c>
      <c r="Y761" t="s">
        <v>155</v>
      </c>
      <c r="AC761" t="s">
        <v>172</v>
      </c>
      <c r="AD761" t="s">
        <v>155</v>
      </c>
      <c r="AE761" t="s">
        <v>155</v>
      </c>
      <c r="AF761" t="s">
        <v>155</v>
      </c>
      <c r="AG761" t="s">
        <v>155</v>
      </c>
      <c r="AH761" t="s">
        <v>155</v>
      </c>
    </row>
  </sheetData>
  <phoneticPr fontId="2" type="noConversion"/>
  <pageMargins left="0.7" right="0.7" top="0.75" bottom="0.75" header="0.3" footer="0.3"/>
  <pageSetup orientation="portrait" horizontalDpi="360" verticalDpi="360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2756AFC-55CF-45F8-8D6F-2641C0E41902}">
          <x14:formula1>
            <xm:f>materias!$A$2:$A$81</xm:f>
          </x14:formula1>
          <xm:sqref>F5 H5</xm:sqref>
        </x14:dataValidation>
        <x14:dataValidation type="list" allowBlank="1" showInputMessage="1" showErrorMessage="1" xr:uid="{7A16A3D4-DAC5-470A-81CE-AF394FE32FCB}">
          <x14:formula1>
            <xm:f>materias!$A$2:$A$160</xm:f>
          </x14:formula1>
          <xm:sqref>H2:H4 F2:F4 F6:F100 H6:H100 J2:J100 D2:D100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AF091-B188-45E4-A668-87A3C369D9D0}">
  <sheetPr codeName="Hoja21"/>
  <dimension ref="A1:I31"/>
  <sheetViews>
    <sheetView topLeftCell="A10" workbookViewId="0">
      <selection activeCell="H21" sqref="H21"/>
    </sheetView>
  </sheetViews>
  <sheetFormatPr baseColWidth="10" defaultRowHeight="14.4" x14ac:dyDescent="0.3"/>
  <sheetData>
    <row r="1" spans="1:9" ht="15" thickBot="1" x14ac:dyDescent="0.35">
      <c r="A1" s="2" t="s">
        <v>27</v>
      </c>
      <c r="B1" s="2" t="s">
        <v>3</v>
      </c>
      <c r="C1" s="2" t="s">
        <v>28</v>
      </c>
      <c r="D1" s="2" t="s">
        <v>30</v>
      </c>
      <c r="E1" s="2" t="s">
        <v>29</v>
      </c>
      <c r="F1" s="2" t="s">
        <v>174</v>
      </c>
      <c r="G1" s="2" t="s">
        <v>10</v>
      </c>
      <c r="H1" s="19" t="s">
        <v>247</v>
      </c>
    </row>
    <row r="2" spans="1:9" ht="15" thickBot="1" x14ac:dyDescent="0.35">
      <c r="A2" s="2" t="str">
        <f t="shared" ref="A2:A8" si="0">_xlfn.CONCAT(B2:F2)</f>
        <v>11</v>
      </c>
      <c r="B2" s="2">
        <v>1</v>
      </c>
      <c r="C2" s="2"/>
      <c r="D2" s="2"/>
      <c r="E2" s="2">
        <v>1</v>
      </c>
      <c r="F2" s="2"/>
      <c r="G2" s="2" t="s">
        <v>11</v>
      </c>
      <c r="H2">
        <v>45</v>
      </c>
    </row>
    <row r="3" spans="1:9" ht="15" thickBot="1" x14ac:dyDescent="0.35">
      <c r="A3" s="2" t="str">
        <f t="shared" si="0"/>
        <v>12</v>
      </c>
      <c r="B3" s="2">
        <v>1</v>
      </c>
      <c r="C3" s="2"/>
      <c r="D3" s="2"/>
      <c r="E3" s="2">
        <v>2</v>
      </c>
      <c r="F3" s="2"/>
      <c r="G3" s="2" t="s">
        <v>11</v>
      </c>
      <c r="H3">
        <v>45</v>
      </c>
    </row>
    <row r="4" spans="1:9" ht="15" thickBot="1" x14ac:dyDescent="0.35">
      <c r="A4" s="2" t="str">
        <f t="shared" si="0"/>
        <v>13</v>
      </c>
      <c r="B4" s="2">
        <v>1</v>
      </c>
      <c r="C4" s="2"/>
      <c r="D4" s="2"/>
      <c r="E4" s="2">
        <v>3</v>
      </c>
      <c r="F4" s="2"/>
      <c r="G4" s="2" t="s">
        <v>11</v>
      </c>
      <c r="H4">
        <v>45</v>
      </c>
    </row>
    <row r="5" spans="1:9" ht="15" thickBot="1" x14ac:dyDescent="0.35">
      <c r="A5" s="2" t="str">
        <f t="shared" si="0"/>
        <v>14</v>
      </c>
      <c r="B5" s="2">
        <v>1</v>
      </c>
      <c r="C5" s="2"/>
      <c r="D5" s="2"/>
      <c r="E5" s="2">
        <v>4</v>
      </c>
      <c r="F5" s="2"/>
      <c r="G5" s="2" t="s">
        <v>289</v>
      </c>
      <c r="H5">
        <v>45</v>
      </c>
    </row>
    <row r="6" spans="1:9" ht="15" thickBot="1" x14ac:dyDescent="0.35">
      <c r="A6" s="2" t="str">
        <f t="shared" si="0"/>
        <v>1LIC</v>
      </c>
      <c r="B6" s="2">
        <v>1</v>
      </c>
      <c r="C6" s="2" t="s">
        <v>243</v>
      </c>
      <c r="D6" s="2"/>
      <c r="E6" s="2"/>
      <c r="F6" s="2"/>
      <c r="G6" s="2" t="s">
        <v>304</v>
      </c>
      <c r="H6">
        <v>25</v>
      </c>
    </row>
    <row r="7" spans="1:9" ht="15" thickBot="1" x14ac:dyDescent="0.35">
      <c r="A7" s="2" t="str">
        <f t="shared" si="0"/>
        <v>1REC1</v>
      </c>
      <c r="B7" s="2">
        <v>1</v>
      </c>
      <c r="C7" s="2"/>
      <c r="D7" s="2" t="s">
        <v>448</v>
      </c>
      <c r="E7" s="2">
        <v>1</v>
      </c>
      <c r="F7" s="2"/>
      <c r="G7" s="2" t="s">
        <v>289</v>
      </c>
      <c r="H7">
        <v>35</v>
      </c>
    </row>
    <row r="8" spans="1:9" ht="15" thickBot="1" x14ac:dyDescent="0.35">
      <c r="A8" s="2" t="str">
        <f t="shared" si="0"/>
        <v>1REC2</v>
      </c>
      <c r="B8" s="2">
        <v>1</v>
      </c>
      <c r="C8" s="2"/>
      <c r="D8" s="2" t="s">
        <v>448</v>
      </c>
      <c r="E8" s="2">
        <v>2</v>
      </c>
      <c r="F8" s="2"/>
      <c r="G8" s="2" t="s">
        <v>289</v>
      </c>
      <c r="H8">
        <v>35</v>
      </c>
    </row>
    <row r="9" spans="1:9" ht="15" thickBot="1" x14ac:dyDescent="0.35">
      <c r="A9" s="2" t="str">
        <f>_xlfn.CONCAT(B9:F9)</f>
        <v>2CIV</v>
      </c>
      <c r="B9" s="2">
        <v>2</v>
      </c>
      <c r="C9" s="2" t="s">
        <v>31</v>
      </c>
      <c r="D9" s="2"/>
      <c r="E9" s="2"/>
      <c r="F9" s="2"/>
      <c r="G9" s="2" t="s">
        <v>11</v>
      </c>
      <c r="H9">
        <v>18</v>
      </c>
    </row>
    <row r="10" spans="1:9" ht="15" thickBot="1" x14ac:dyDescent="0.35">
      <c r="A10" s="2" t="str">
        <f>_xlfn.CONCAT(B10:F10)</f>
        <v>2IND</v>
      </c>
      <c r="B10" s="2">
        <v>2</v>
      </c>
      <c r="C10" s="2" t="s">
        <v>32</v>
      </c>
      <c r="D10" s="2"/>
      <c r="E10" s="2"/>
      <c r="F10" s="2"/>
      <c r="G10" s="2" t="s">
        <v>11</v>
      </c>
      <c r="H10">
        <v>26</v>
      </c>
    </row>
    <row r="11" spans="1:9" ht="15" thickBot="1" x14ac:dyDescent="0.35">
      <c r="A11" s="2" t="str">
        <f>_xlfn.CONCAT(B11:F11)</f>
        <v>2INF1</v>
      </c>
      <c r="B11" s="2">
        <v>2</v>
      </c>
      <c r="C11" s="2" t="s">
        <v>34</v>
      </c>
      <c r="D11" s="2"/>
      <c r="E11" s="2">
        <v>1</v>
      </c>
      <c r="F11" s="2"/>
      <c r="G11" s="2" t="s">
        <v>11</v>
      </c>
      <c r="H11">
        <v>34</v>
      </c>
      <c r="I11" s="53" t="s">
        <v>445</v>
      </c>
    </row>
    <row r="12" spans="1:9" ht="15" thickBot="1" x14ac:dyDescent="0.35">
      <c r="A12" s="2" t="str">
        <f>_xlfn.CONCAT(B12:F12)</f>
        <v>2INF2</v>
      </c>
      <c r="B12" s="2">
        <v>2</v>
      </c>
      <c r="C12" s="2" t="s">
        <v>34</v>
      </c>
      <c r="D12" s="2"/>
      <c r="E12" s="2">
        <v>2</v>
      </c>
      <c r="F12" s="2"/>
      <c r="G12" s="2" t="s">
        <v>11</v>
      </c>
      <c r="H12">
        <v>34</v>
      </c>
      <c r="I12" s="53" t="s">
        <v>445</v>
      </c>
    </row>
    <row r="13" spans="1:9" ht="15" thickBot="1" x14ac:dyDescent="0.35">
      <c r="A13" s="2" t="str">
        <f>_xlfn.CONCAT(B13:F13)</f>
        <v>2TEL</v>
      </c>
      <c r="B13" s="2">
        <v>2</v>
      </c>
      <c r="C13" s="2" t="s">
        <v>33</v>
      </c>
      <c r="D13" s="2"/>
      <c r="E13" s="2"/>
      <c r="F13" s="2"/>
      <c r="G13" s="2" t="s">
        <v>11</v>
      </c>
      <c r="H13">
        <v>16</v>
      </c>
    </row>
    <row r="14" spans="1:9" ht="15" thickBot="1" x14ac:dyDescent="0.35">
      <c r="A14" s="2" t="str">
        <f t="shared" ref="A14:A25" si="1">_xlfn.CONCAT(B14:F14)</f>
        <v>2LIC</v>
      </c>
      <c r="B14" s="2">
        <v>2</v>
      </c>
      <c r="C14" s="2" t="s">
        <v>243</v>
      </c>
      <c r="D14" s="2"/>
      <c r="E14" s="2"/>
      <c r="F14" s="2"/>
      <c r="G14" s="2" t="s">
        <v>304</v>
      </c>
      <c r="H14">
        <v>26</v>
      </c>
    </row>
    <row r="15" spans="1:9" ht="15" thickBot="1" x14ac:dyDescent="0.35">
      <c r="A15" s="2" t="str">
        <f t="shared" si="1"/>
        <v>3CIV</v>
      </c>
      <c r="B15" s="2">
        <v>3</v>
      </c>
      <c r="C15" s="2" t="s">
        <v>31</v>
      </c>
      <c r="D15" s="2"/>
      <c r="E15" s="2"/>
      <c r="F15" s="2"/>
      <c r="G15" s="2" t="s">
        <v>11</v>
      </c>
      <c r="H15">
        <v>17</v>
      </c>
    </row>
    <row r="16" spans="1:9" ht="15" thickBot="1" x14ac:dyDescent="0.35">
      <c r="A16" s="2" t="str">
        <f t="shared" si="1"/>
        <v>3IND</v>
      </c>
      <c r="B16" s="2">
        <v>3</v>
      </c>
      <c r="C16" s="2" t="s">
        <v>32</v>
      </c>
      <c r="D16" s="2"/>
      <c r="E16" s="2"/>
      <c r="F16" s="2"/>
      <c r="G16" s="2" t="s">
        <v>11</v>
      </c>
      <c r="H16">
        <v>32</v>
      </c>
    </row>
    <row r="17" spans="1:8" ht="15" thickBot="1" x14ac:dyDescent="0.35">
      <c r="A17" s="2" t="str">
        <f t="shared" si="1"/>
        <v>3TEL</v>
      </c>
      <c r="B17" s="2">
        <v>3</v>
      </c>
      <c r="C17" s="2" t="s">
        <v>33</v>
      </c>
      <c r="D17" s="2"/>
      <c r="E17" s="2"/>
      <c r="F17" s="2"/>
      <c r="G17" s="2" t="s">
        <v>11</v>
      </c>
      <c r="H17">
        <v>24</v>
      </c>
    </row>
    <row r="18" spans="1:8" ht="15" thickBot="1" x14ac:dyDescent="0.35">
      <c r="A18" s="2" t="str">
        <f t="shared" si="1"/>
        <v>3INF1</v>
      </c>
      <c r="B18" s="2">
        <v>3</v>
      </c>
      <c r="C18" s="2" t="s">
        <v>34</v>
      </c>
      <c r="D18" s="2"/>
      <c r="E18" s="2">
        <v>1</v>
      </c>
      <c r="F18" s="2"/>
      <c r="G18" s="2" t="s">
        <v>11</v>
      </c>
      <c r="H18">
        <v>27</v>
      </c>
    </row>
    <row r="19" spans="1:8" ht="15" thickBot="1" x14ac:dyDescent="0.35">
      <c r="A19" s="2" t="str">
        <f t="shared" si="1"/>
        <v>3INF2</v>
      </c>
      <c r="B19" s="2">
        <v>3</v>
      </c>
      <c r="C19" s="2" t="s">
        <v>34</v>
      </c>
      <c r="D19" s="2"/>
      <c r="E19" s="2">
        <v>2</v>
      </c>
      <c r="F19" s="2"/>
      <c r="G19" s="2" t="s">
        <v>11</v>
      </c>
      <c r="H19">
        <v>26</v>
      </c>
    </row>
    <row r="20" spans="1:8" ht="15" thickBot="1" x14ac:dyDescent="0.35">
      <c r="A20" s="2" t="str">
        <f t="shared" si="1"/>
        <v>3LIC</v>
      </c>
      <c r="B20" s="2">
        <v>3</v>
      </c>
      <c r="C20" s="2" t="s">
        <v>243</v>
      </c>
      <c r="D20" s="2"/>
      <c r="E20" s="2"/>
      <c r="F20" s="2"/>
      <c r="G20" s="2" t="s">
        <v>304</v>
      </c>
      <c r="H20">
        <v>20</v>
      </c>
    </row>
    <row r="21" spans="1:8" ht="15" thickBot="1" x14ac:dyDescent="0.35">
      <c r="A21" s="2" t="str">
        <f t="shared" si="1"/>
        <v>4CIV</v>
      </c>
      <c r="B21" s="2">
        <v>4</v>
      </c>
      <c r="C21" s="2" t="s">
        <v>31</v>
      </c>
      <c r="D21" s="2"/>
      <c r="E21" s="2"/>
      <c r="F21" s="2"/>
      <c r="G21" s="2" t="s">
        <v>299</v>
      </c>
      <c r="H21">
        <v>7</v>
      </c>
    </row>
    <row r="22" spans="1:8" ht="15" thickBot="1" x14ac:dyDescent="0.35">
      <c r="A22" s="2" t="str">
        <f t="shared" si="1"/>
        <v>4IND</v>
      </c>
      <c r="B22" s="2">
        <v>4</v>
      </c>
      <c r="C22" s="2" t="s">
        <v>32</v>
      </c>
      <c r="D22" s="2"/>
      <c r="E22" s="2"/>
      <c r="F22" s="2"/>
      <c r="G22" s="2" t="s">
        <v>299</v>
      </c>
      <c r="H22">
        <v>16</v>
      </c>
    </row>
    <row r="23" spans="1:8" ht="15" thickBot="1" x14ac:dyDescent="0.35">
      <c r="A23" s="2" t="str">
        <f t="shared" si="1"/>
        <v>4TEL</v>
      </c>
      <c r="B23" s="2">
        <v>4</v>
      </c>
      <c r="C23" s="2" t="s">
        <v>33</v>
      </c>
      <c r="D23" s="2"/>
      <c r="E23" s="2"/>
      <c r="F23" s="2"/>
      <c r="G23" s="2" t="s">
        <v>299</v>
      </c>
      <c r="H23">
        <v>8</v>
      </c>
    </row>
    <row r="24" spans="1:8" ht="15" thickBot="1" x14ac:dyDescent="0.35">
      <c r="A24" s="2" t="str">
        <f t="shared" si="1"/>
        <v>4INF1</v>
      </c>
      <c r="B24" s="2">
        <v>4</v>
      </c>
      <c r="C24" s="2" t="s">
        <v>34</v>
      </c>
      <c r="D24" s="2"/>
      <c r="E24" s="2">
        <v>1</v>
      </c>
      <c r="F24" s="2"/>
      <c r="G24" s="2" t="s">
        <v>299</v>
      </c>
      <c r="H24">
        <v>24</v>
      </c>
    </row>
    <row r="25" spans="1:8" ht="15" thickBot="1" x14ac:dyDescent="0.35">
      <c r="A25" s="2" t="str">
        <f t="shared" si="1"/>
        <v>4INF2</v>
      </c>
      <c r="B25" s="2">
        <v>4</v>
      </c>
      <c r="C25" s="2" t="s">
        <v>34</v>
      </c>
      <c r="D25" s="2"/>
      <c r="E25" s="2">
        <v>2</v>
      </c>
      <c r="F25" s="2"/>
      <c r="G25" s="2" t="s">
        <v>299</v>
      </c>
      <c r="H25">
        <v>23</v>
      </c>
    </row>
    <row r="26" spans="1:8" ht="15" thickBot="1" x14ac:dyDescent="0.35">
      <c r="A26" s="2" t="str">
        <f t="shared" ref="A26:A31" si="2">_xlfn.CONCAT(B26:F26)</f>
        <v>4LIC</v>
      </c>
      <c r="B26" s="2">
        <v>4</v>
      </c>
      <c r="C26" s="2" t="s">
        <v>243</v>
      </c>
      <c r="D26" s="2"/>
      <c r="E26" s="2"/>
      <c r="F26" s="2"/>
      <c r="G26" s="2" t="s">
        <v>304</v>
      </c>
      <c r="H26">
        <v>31</v>
      </c>
    </row>
    <row r="27" spans="1:8" ht="15" thickBot="1" x14ac:dyDescent="0.35">
      <c r="A27" s="2" t="str">
        <f t="shared" si="2"/>
        <v>5CIV</v>
      </c>
      <c r="B27" s="2">
        <v>5</v>
      </c>
      <c r="C27" s="2" t="s">
        <v>31</v>
      </c>
      <c r="D27" s="2"/>
      <c r="E27" s="2"/>
      <c r="F27" s="2"/>
      <c r="G27" s="2" t="s">
        <v>299</v>
      </c>
      <c r="H27">
        <v>15</v>
      </c>
    </row>
    <row r="28" spans="1:8" ht="15" thickBot="1" x14ac:dyDescent="0.35">
      <c r="A28" s="2" t="str">
        <f t="shared" si="2"/>
        <v>5IND</v>
      </c>
      <c r="B28" s="2">
        <v>5</v>
      </c>
      <c r="C28" s="2" t="s">
        <v>32</v>
      </c>
      <c r="D28" s="2"/>
      <c r="E28" s="2"/>
      <c r="F28" s="2"/>
      <c r="G28" s="2" t="s">
        <v>299</v>
      </c>
      <c r="H28">
        <v>17</v>
      </c>
    </row>
    <row r="29" spans="1:8" ht="15" thickBot="1" x14ac:dyDescent="0.35">
      <c r="A29" s="2" t="str">
        <f t="shared" si="2"/>
        <v>5TEL</v>
      </c>
      <c r="B29" s="2">
        <v>5</v>
      </c>
      <c r="C29" s="2" t="s">
        <v>33</v>
      </c>
      <c r="D29" s="2"/>
      <c r="E29" s="2"/>
      <c r="F29" s="2"/>
      <c r="G29" s="2" t="s">
        <v>299</v>
      </c>
      <c r="H29">
        <v>14</v>
      </c>
    </row>
    <row r="30" spans="1:8" ht="15" thickBot="1" x14ac:dyDescent="0.35">
      <c r="A30" s="2" t="str">
        <f t="shared" si="2"/>
        <v>5INF</v>
      </c>
      <c r="B30" s="2">
        <v>5</v>
      </c>
      <c r="C30" s="2" t="s">
        <v>34</v>
      </c>
      <c r="D30" s="2"/>
      <c r="E30" s="2"/>
      <c r="F30" s="2"/>
      <c r="G30" s="2" t="s">
        <v>299</v>
      </c>
      <c r="H30">
        <v>21</v>
      </c>
    </row>
    <row r="31" spans="1:8" ht="15" thickBot="1" x14ac:dyDescent="0.35">
      <c r="A31" s="2" t="str">
        <f t="shared" si="2"/>
        <v>dummy</v>
      </c>
      <c r="B31" s="2"/>
      <c r="C31" s="2"/>
      <c r="D31" s="2"/>
      <c r="E31" s="2"/>
      <c r="F31" s="2" t="s">
        <v>173</v>
      </c>
      <c r="G31" s="2"/>
    </row>
  </sheetData>
  <phoneticPr fontId="2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E9ECF8D-FA42-41B3-9B51-92551C6C85F7}">
          <x14:formula1>
            <xm:f>turnos!$M$2:$M$17</xm:f>
          </x14:formula1>
          <xm:sqref>G31</xm:sqref>
        </x14:dataValidation>
        <x14:dataValidation type="list" allowBlank="1" showInputMessage="1" showErrorMessage="1" xr:uid="{99D1F034-F003-4A4D-A6CF-2AC6B6698EE8}">
          <x14:formula1>
            <xm:f>turnos!$R$1:$U$1</xm:f>
          </x14:formula1>
          <xm:sqref>G2:G7 G9:G30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007FF-62CB-480A-B3B8-0345C974688E}">
  <sheetPr codeName="Hoja1"/>
  <dimension ref="A1:U18"/>
  <sheetViews>
    <sheetView workbookViewId="0">
      <selection activeCell="G13" sqref="G13"/>
    </sheetView>
  </sheetViews>
  <sheetFormatPr baseColWidth="10" defaultRowHeight="14.4" x14ac:dyDescent="0.3"/>
  <cols>
    <col min="1" max="1" width="4.21875" bestFit="1" customWidth="1"/>
    <col min="2" max="2" width="7.33203125" style="36" customWidth="1"/>
    <col min="3" max="3" width="6" style="36" customWidth="1"/>
    <col min="4" max="7" width="9.109375" style="38" customWidth="1"/>
  </cols>
  <sheetData>
    <row r="1" spans="1:21" ht="28.8" x14ac:dyDescent="0.3">
      <c r="A1" s="36" t="s">
        <v>297</v>
      </c>
      <c r="B1" s="36" t="s">
        <v>322</v>
      </c>
      <c r="C1" s="36" t="s">
        <v>323</v>
      </c>
      <c r="D1" s="38" t="s">
        <v>324</v>
      </c>
      <c r="E1" s="38" t="s">
        <v>325</v>
      </c>
      <c r="F1" s="38" t="s">
        <v>326</v>
      </c>
      <c r="G1" s="38" t="s">
        <v>327</v>
      </c>
      <c r="Q1" s="15" t="s">
        <v>297</v>
      </c>
      <c r="R1" t="s">
        <v>11</v>
      </c>
      <c r="S1" t="s">
        <v>289</v>
      </c>
      <c r="T1" t="s">
        <v>299</v>
      </c>
      <c r="U1" t="s">
        <v>304</v>
      </c>
    </row>
    <row r="2" spans="1:21" x14ac:dyDescent="0.3">
      <c r="A2" s="36">
        <v>1</v>
      </c>
      <c r="B2" s="39">
        <v>0.33333333333333331</v>
      </c>
      <c r="C2" s="39">
        <f>B2+(5/6)/24</f>
        <v>0.36805555555555552</v>
      </c>
      <c r="D2" t="s">
        <v>11</v>
      </c>
      <c r="K2" t="s">
        <v>56</v>
      </c>
      <c r="M2" t="s">
        <v>11</v>
      </c>
      <c r="Q2" s="15">
        <v>1</v>
      </c>
      <c r="R2" t="s">
        <v>56</v>
      </c>
    </row>
    <row r="3" spans="1:21" x14ac:dyDescent="0.3">
      <c r="A3" s="36">
        <v>2</v>
      </c>
      <c r="B3" s="39">
        <v>0.36805555555555558</v>
      </c>
      <c r="C3" s="39">
        <f t="shared" ref="C3:C16" si="0">B3+(5/6)/24</f>
        <v>0.40277777777777779</v>
      </c>
      <c r="D3" t="s">
        <v>11</v>
      </c>
      <c r="K3" t="s">
        <v>57</v>
      </c>
      <c r="M3" t="s">
        <v>11</v>
      </c>
      <c r="Q3" s="15">
        <v>2</v>
      </c>
      <c r="R3" t="s">
        <v>57</v>
      </c>
    </row>
    <row r="4" spans="1:21" x14ac:dyDescent="0.3">
      <c r="A4" s="36">
        <v>3</v>
      </c>
      <c r="B4" s="39">
        <v>0.40972222222222221</v>
      </c>
      <c r="C4" s="39">
        <f t="shared" si="0"/>
        <v>0.44444444444444442</v>
      </c>
      <c r="D4" t="s">
        <v>11</v>
      </c>
      <c r="K4" t="s">
        <v>58</v>
      </c>
      <c r="M4" t="s">
        <v>11</v>
      </c>
      <c r="Q4" s="15">
        <v>3</v>
      </c>
      <c r="R4" t="s">
        <v>58</v>
      </c>
    </row>
    <row r="5" spans="1:21" x14ac:dyDescent="0.3">
      <c r="A5" s="36">
        <v>4</v>
      </c>
      <c r="B5" s="39">
        <v>0.44444444444444442</v>
      </c>
      <c r="C5" s="39">
        <f t="shared" si="0"/>
        <v>0.47916666666666663</v>
      </c>
      <c r="D5" t="s">
        <v>11</v>
      </c>
      <c r="K5" t="s">
        <v>59</v>
      </c>
      <c r="M5" t="s">
        <v>11</v>
      </c>
      <c r="Q5" s="15">
        <v>4</v>
      </c>
      <c r="R5" t="s">
        <v>59</v>
      </c>
    </row>
    <row r="6" spans="1:21" x14ac:dyDescent="0.3">
      <c r="A6" s="36">
        <v>5</v>
      </c>
      <c r="B6" s="39">
        <v>0.4861111111111111</v>
      </c>
      <c r="C6" s="39">
        <f t="shared" si="0"/>
        <v>0.52083333333333337</v>
      </c>
      <c r="D6" t="s">
        <v>11</v>
      </c>
      <c r="K6" t="s">
        <v>60</v>
      </c>
      <c r="M6" t="s">
        <v>11</v>
      </c>
      <c r="Q6" s="15">
        <v>5</v>
      </c>
      <c r="R6" t="s">
        <v>60</v>
      </c>
    </row>
    <row r="7" spans="1:21" x14ac:dyDescent="0.3">
      <c r="A7" s="36">
        <v>6</v>
      </c>
      <c r="B7" s="39">
        <v>0.52083333333333337</v>
      </c>
      <c r="C7" s="39">
        <f t="shared" si="0"/>
        <v>0.55555555555555558</v>
      </c>
      <c r="D7" t="s">
        <v>11</v>
      </c>
      <c r="K7" t="s">
        <v>61</v>
      </c>
      <c r="M7" t="s">
        <v>11</v>
      </c>
      <c r="Q7" s="15">
        <v>6</v>
      </c>
      <c r="R7" t="s">
        <v>61</v>
      </c>
    </row>
    <row r="8" spans="1:21" x14ac:dyDescent="0.3">
      <c r="A8" s="36">
        <v>7</v>
      </c>
      <c r="B8" s="39">
        <v>0.59027777777777779</v>
      </c>
      <c r="C8" s="39">
        <f t="shared" si="0"/>
        <v>0.625</v>
      </c>
      <c r="E8" t="s">
        <v>289</v>
      </c>
      <c r="K8" s="37" t="s">
        <v>298</v>
      </c>
      <c r="M8" t="s">
        <v>11</v>
      </c>
      <c r="N8" t="s">
        <v>289</v>
      </c>
      <c r="R8" s="37" t="s">
        <v>298</v>
      </c>
      <c r="S8" s="37" t="s">
        <v>288</v>
      </c>
    </row>
    <row r="9" spans="1:21" x14ac:dyDescent="0.3">
      <c r="A9" s="36">
        <v>8</v>
      </c>
      <c r="B9" s="39">
        <v>0.63194444444444442</v>
      </c>
      <c r="C9" s="39">
        <f t="shared" si="0"/>
        <v>0.66666666666666663</v>
      </c>
      <c r="E9" t="s">
        <v>289</v>
      </c>
      <c r="F9" t="s">
        <v>299</v>
      </c>
      <c r="K9" t="s">
        <v>312</v>
      </c>
      <c r="N9" t="s">
        <v>289</v>
      </c>
      <c r="Q9" s="15">
        <v>7</v>
      </c>
      <c r="S9" t="s">
        <v>292</v>
      </c>
    </row>
    <row r="10" spans="1:21" x14ac:dyDescent="0.3">
      <c r="A10" s="36">
        <v>9</v>
      </c>
      <c r="B10" s="39">
        <v>0.67361111111111116</v>
      </c>
      <c r="C10" s="39">
        <f t="shared" si="0"/>
        <v>0.70833333333333337</v>
      </c>
      <c r="E10" t="s">
        <v>289</v>
      </c>
      <c r="F10" t="s">
        <v>299</v>
      </c>
      <c r="K10" t="s">
        <v>300</v>
      </c>
      <c r="N10" t="s">
        <v>289</v>
      </c>
      <c r="O10" t="s">
        <v>299</v>
      </c>
      <c r="Q10" s="15">
        <v>8</v>
      </c>
      <c r="S10" t="s">
        <v>295</v>
      </c>
      <c r="T10" t="s">
        <v>300</v>
      </c>
    </row>
    <row r="11" spans="1:21" x14ac:dyDescent="0.3">
      <c r="A11" s="36">
        <v>10</v>
      </c>
      <c r="B11" s="39">
        <v>0.70833333333333337</v>
      </c>
      <c r="C11" s="39">
        <f t="shared" si="0"/>
        <v>0.74305555555555558</v>
      </c>
      <c r="E11" t="s">
        <v>289</v>
      </c>
      <c r="F11" t="s">
        <v>299</v>
      </c>
      <c r="K11" t="s">
        <v>301</v>
      </c>
      <c r="N11" t="s">
        <v>289</v>
      </c>
      <c r="O11" t="s">
        <v>299</v>
      </c>
      <c r="Q11" s="15">
        <v>9</v>
      </c>
      <c r="S11" t="s">
        <v>290</v>
      </c>
      <c r="T11" t="s">
        <v>301</v>
      </c>
    </row>
    <row r="12" spans="1:21" x14ac:dyDescent="0.3">
      <c r="A12" s="36">
        <v>11</v>
      </c>
      <c r="B12" s="39">
        <v>0.75</v>
      </c>
      <c r="C12" s="39">
        <f t="shared" si="0"/>
        <v>0.78472222222222221</v>
      </c>
      <c r="E12" t="s">
        <v>289</v>
      </c>
      <c r="F12" t="s">
        <v>299</v>
      </c>
      <c r="G12" t="s">
        <v>304</v>
      </c>
      <c r="K12" t="s">
        <v>302</v>
      </c>
      <c r="N12" t="s">
        <v>289</v>
      </c>
      <c r="O12" t="s">
        <v>299</v>
      </c>
      <c r="Q12" s="15">
        <v>10</v>
      </c>
      <c r="S12" t="s">
        <v>294</v>
      </c>
      <c r="T12" t="s">
        <v>302</v>
      </c>
    </row>
    <row r="13" spans="1:21" x14ac:dyDescent="0.3">
      <c r="A13" s="36">
        <v>12</v>
      </c>
      <c r="B13" s="39">
        <v>0.78472222222222221</v>
      </c>
      <c r="C13" s="39">
        <f t="shared" si="0"/>
        <v>0.81944444444444442</v>
      </c>
      <c r="E13" t="s">
        <v>289</v>
      </c>
      <c r="F13" t="s">
        <v>299</v>
      </c>
      <c r="G13" t="s">
        <v>304</v>
      </c>
      <c r="K13" t="s">
        <v>303</v>
      </c>
      <c r="N13" t="s">
        <v>289</v>
      </c>
      <c r="O13" t="s">
        <v>299</v>
      </c>
      <c r="Q13" s="15">
        <v>11</v>
      </c>
      <c r="S13" t="s">
        <v>291</v>
      </c>
      <c r="T13" t="s">
        <v>303</v>
      </c>
      <c r="U13" t="s">
        <v>303</v>
      </c>
    </row>
    <row r="14" spans="1:21" x14ac:dyDescent="0.3">
      <c r="A14" s="36">
        <v>13</v>
      </c>
      <c r="B14" s="39">
        <v>0.82638888888888884</v>
      </c>
      <c r="C14" s="39">
        <f t="shared" si="0"/>
        <v>0.86111111111111105</v>
      </c>
      <c r="F14" t="s">
        <v>299</v>
      </c>
      <c r="G14" t="s">
        <v>304</v>
      </c>
      <c r="K14" t="s">
        <v>305</v>
      </c>
      <c r="N14" t="s">
        <v>289</v>
      </c>
      <c r="O14" t="s">
        <v>299</v>
      </c>
      <c r="Q14" s="15">
        <v>12</v>
      </c>
      <c r="S14" t="s">
        <v>293</v>
      </c>
      <c r="T14" t="s">
        <v>305</v>
      </c>
      <c r="U14" t="s">
        <v>305</v>
      </c>
    </row>
    <row r="15" spans="1:21" x14ac:dyDescent="0.3">
      <c r="A15" s="36">
        <v>14</v>
      </c>
      <c r="B15" s="39">
        <v>0.86111111111111116</v>
      </c>
      <c r="C15" s="39">
        <f t="shared" si="0"/>
        <v>0.89583333333333337</v>
      </c>
      <c r="F15" t="s">
        <v>299</v>
      </c>
      <c r="G15" t="s">
        <v>304</v>
      </c>
      <c r="K15" t="s">
        <v>296</v>
      </c>
      <c r="O15" t="s">
        <v>299</v>
      </c>
      <c r="Q15" s="15">
        <v>13</v>
      </c>
      <c r="T15" t="s">
        <v>296</v>
      </c>
      <c r="U15" t="s">
        <v>296</v>
      </c>
    </row>
    <row r="16" spans="1:21" x14ac:dyDescent="0.3">
      <c r="A16" s="36">
        <v>15</v>
      </c>
      <c r="B16" s="39">
        <v>0.90277777777777779</v>
      </c>
      <c r="C16" s="39">
        <f t="shared" si="0"/>
        <v>0.9375</v>
      </c>
      <c r="G16" t="s">
        <v>304</v>
      </c>
      <c r="K16" t="s">
        <v>306</v>
      </c>
      <c r="O16" t="s">
        <v>299</v>
      </c>
      <c r="Q16" s="15">
        <v>14</v>
      </c>
      <c r="T16" t="s">
        <v>306</v>
      </c>
      <c r="U16" t="s">
        <v>306</v>
      </c>
    </row>
    <row r="17" spans="11:21" x14ac:dyDescent="0.3">
      <c r="K17" t="s">
        <v>307</v>
      </c>
      <c r="Q17" s="15">
        <v>15</v>
      </c>
      <c r="U17" t="s">
        <v>307</v>
      </c>
    </row>
    <row r="18" spans="11:21" x14ac:dyDescent="0.3">
      <c r="R18" t="s">
        <v>308</v>
      </c>
      <c r="S18" t="s">
        <v>310</v>
      </c>
      <c r="T18" t="s">
        <v>309</v>
      </c>
      <c r="U18" t="s">
        <v>311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DE286-FE84-4B45-9F3D-4D8665FA0913}">
  <sheetPr codeName="Hoja3">
    <pageSetUpPr fitToPage="1"/>
  </sheetPr>
  <dimension ref="C1:S1"/>
  <sheetViews>
    <sheetView zoomScale="89" workbookViewId="0">
      <selection activeCell="E13" sqref="E13"/>
    </sheetView>
  </sheetViews>
  <sheetFormatPr baseColWidth="10" defaultColWidth="17.21875" defaultRowHeight="14.4" x14ac:dyDescent="0.3"/>
  <cols>
    <col min="3" max="8" width="17.21875" style="17"/>
    <col min="9" max="9" width="12.21875" style="18" customWidth="1"/>
    <col min="11" max="16" width="17.21875" style="17"/>
    <col min="17" max="17" width="17.21875" style="18"/>
    <col min="18" max="18" width="12.21875" style="17" customWidth="1"/>
    <col min="19" max="19" width="17.21875" style="17"/>
  </cols>
  <sheetData/>
  <phoneticPr fontId="2" type="noConversion"/>
  <pageMargins left="0.7" right="0.7" top="0.75" bottom="0.75" header="0.3" footer="0.3"/>
  <pageSetup scale="88" fitToHeight="0"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F46A7-4128-4B38-A7A9-480F81ED3893}">
  <sheetPr codeName="Hoja5"/>
  <dimension ref="A2:G17"/>
  <sheetViews>
    <sheetView zoomScale="129" workbookViewId="0">
      <selection activeCell="J9" sqref="J9"/>
    </sheetView>
  </sheetViews>
  <sheetFormatPr baseColWidth="10" defaultRowHeight="14.4" x14ac:dyDescent="0.3"/>
  <cols>
    <col min="1" max="2" width="6.44140625" customWidth="1"/>
  </cols>
  <sheetData>
    <row r="2" spans="1:7" x14ac:dyDescent="0.3">
      <c r="C2" s="17" t="s">
        <v>164</v>
      </c>
      <c r="D2" s="17" t="s">
        <v>165</v>
      </c>
      <c r="E2" s="17" t="s">
        <v>166</v>
      </c>
      <c r="F2" s="17" t="s">
        <v>167</v>
      </c>
      <c r="G2" s="17" t="s">
        <v>168</v>
      </c>
    </row>
    <row r="3" spans="1:7" x14ac:dyDescent="0.3">
      <c r="A3" s="66" cm="1">
        <f t="array" ref="A3:B17">Tabla1[[Inicio]:[Fin]]</f>
        <v>0.33333333333333331</v>
      </c>
      <c r="B3" s="66">
        <v>0.36805555555555552</v>
      </c>
      <c r="C3" s="67"/>
      <c r="D3" s="67"/>
      <c r="E3" s="67"/>
      <c r="F3" s="67"/>
      <c r="G3" s="67"/>
    </row>
    <row r="4" spans="1:7" x14ac:dyDescent="0.3">
      <c r="A4" s="66">
        <v>0.36805555555555558</v>
      </c>
      <c r="B4" s="66">
        <v>0.40277777777777779</v>
      </c>
      <c r="C4" s="67"/>
      <c r="D4" s="67"/>
      <c r="E4" s="67"/>
      <c r="F4" s="67"/>
      <c r="G4" s="67"/>
    </row>
    <row r="5" spans="1:7" x14ac:dyDescent="0.3">
      <c r="A5" s="66">
        <v>0.40972222222222221</v>
      </c>
      <c r="B5" s="66">
        <v>0.44444444444444442</v>
      </c>
      <c r="C5" s="67"/>
      <c r="D5" s="67"/>
      <c r="E5" s="67"/>
      <c r="F5" s="67"/>
      <c r="G5" s="67"/>
    </row>
    <row r="6" spans="1:7" x14ac:dyDescent="0.3">
      <c r="A6" s="66">
        <v>0.44444444444444442</v>
      </c>
      <c r="B6" s="66">
        <v>0.47916666666666663</v>
      </c>
      <c r="C6" s="67"/>
      <c r="D6" s="67"/>
      <c r="E6" s="67"/>
      <c r="F6" s="67"/>
      <c r="G6" s="67"/>
    </row>
    <row r="7" spans="1:7" x14ac:dyDescent="0.3">
      <c r="A7" s="66">
        <v>0.4861111111111111</v>
      </c>
      <c r="B7" s="66">
        <v>0.52083333333333337</v>
      </c>
      <c r="C7" s="67"/>
      <c r="D7" s="67"/>
      <c r="E7" s="67"/>
      <c r="F7" s="67"/>
      <c r="G7" s="67"/>
    </row>
    <row r="8" spans="1:7" x14ac:dyDescent="0.3">
      <c r="A8" s="66">
        <v>0.52083333333333337</v>
      </c>
      <c r="B8" s="66">
        <v>0.55555555555555558</v>
      </c>
      <c r="C8" s="67"/>
      <c r="D8" s="67"/>
      <c r="E8" s="67"/>
      <c r="F8" s="67"/>
      <c r="G8" s="67"/>
    </row>
    <row r="9" spans="1:7" x14ac:dyDescent="0.3">
      <c r="A9" s="66">
        <v>0.59027777777777779</v>
      </c>
      <c r="B9" s="66">
        <v>0.625</v>
      </c>
      <c r="C9" s="68"/>
      <c r="D9" s="68"/>
      <c r="E9" s="68"/>
      <c r="F9" s="68"/>
      <c r="G9" s="68"/>
    </row>
    <row r="10" spans="1:7" x14ac:dyDescent="0.3">
      <c r="A10" s="66">
        <v>0.63194444444444442</v>
      </c>
      <c r="B10" s="66">
        <v>0.66666666666666663</v>
      </c>
      <c r="C10" s="68"/>
      <c r="D10" s="68"/>
      <c r="E10" s="68"/>
      <c r="F10" s="68"/>
      <c r="G10" s="68"/>
    </row>
    <row r="11" spans="1:7" x14ac:dyDescent="0.3">
      <c r="A11" s="66">
        <v>0.67361111111111116</v>
      </c>
      <c r="B11" s="66">
        <v>0.70833333333333337</v>
      </c>
      <c r="C11" s="68"/>
      <c r="D11" s="68"/>
      <c r="E11" s="68"/>
      <c r="F11" s="68"/>
      <c r="G11" s="68"/>
    </row>
    <row r="12" spans="1:7" x14ac:dyDescent="0.3">
      <c r="A12" s="66">
        <v>0.70833333333333337</v>
      </c>
      <c r="B12" s="66">
        <v>0.74305555555555558</v>
      </c>
      <c r="C12" s="68"/>
      <c r="D12" s="68"/>
      <c r="E12" s="68"/>
      <c r="F12" s="68"/>
      <c r="G12" s="68"/>
    </row>
    <row r="13" spans="1:7" x14ac:dyDescent="0.3">
      <c r="A13" s="66">
        <v>0.75</v>
      </c>
      <c r="B13" s="66">
        <v>0.78472222222222221</v>
      </c>
      <c r="C13" s="69"/>
      <c r="D13" s="69"/>
      <c r="E13" s="69"/>
      <c r="F13" s="69"/>
      <c r="G13" s="69"/>
    </row>
    <row r="14" spans="1:7" x14ac:dyDescent="0.3">
      <c r="A14" s="66">
        <v>0.78472222222222221</v>
      </c>
      <c r="B14" s="66">
        <v>0.81944444444444442</v>
      </c>
      <c r="C14" s="69"/>
      <c r="D14" s="69"/>
      <c r="E14" s="69"/>
      <c r="F14" s="69"/>
      <c r="G14" s="69"/>
    </row>
    <row r="15" spans="1:7" x14ac:dyDescent="0.3">
      <c r="A15" s="66">
        <v>0.82638888888888884</v>
      </c>
      <c r="B15" s="66">
        <v>0.86111111111111105</v>
      </c>
      <c r="C15" s="69"/>
      <c r="D15" s="69"/>
      <c r="E15" s="69"/>
      <c r="F15" s="69"/>
      <c r="G15" s="69"/>
    </row>
    <row r="16" spans="1:7" x14ac:dyDescent="0.3">
      <c r="A16" s="66">
        <v>0.86111111111111116</v>
      </c>
      <c r="B16" s="66">
        <v>0.89583333333333337</v>
      </c>
      <c r="C16" s="69"/>
      <c r="D16" s="69"/>
      <c r="E16" s="69"/>
      <c r="F16" s="69"/>
      <c r="G16" s="69"/>
    </row>
    <row r="17" spans="1:7" x14ac:dyDescent="0.3">
      <c r="A17" s="66">
        <v>0.90277777777777779</v>
      </c>
      <c r="B17" s="66">
        <v>0.9375</v>
      </c>
      <c r="C17" s="69"/>
      <c r="D17" s="69"/>
      <c r="E17" s="69"/>
      <c r="F17" s="69"/>
      <c r="G17" s="69"/>
    </row>
  </sheetData>
  <conditionalFormatting sqref="C3:G1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360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46DC2-FE51-4970-A7F9-E48001BEB2F9}">
  <dimension ref="A1:F16"/>
  <sheetViews>
    <sheetView workbookViewId="0">
      <selection activeCell="E23" sqref="E23"/>
    </sheetView>
  </sheetViews>
  <sheetFormatPr baseColWidth="10" defaultRowHeight="14.4" x14ac:dyDescent="0.3"/>
  <sheetData>
    <row r="1" spans="1:6" x14ac:dyDescent="0.3">
      <c r="A1" s="72" t="s">
        <v>363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3</v>
      </c>
      <c r="C2" s="67">
        <v>1</v>
      </c>
      <c r="D2" s="67">
        <v>0</v>
      </c>
      <c r="E2" s="70">
        <v>2</v>
      </c>
      <c r="F2" s="70">
        <v>3</v>
      </c>
    </row>
    <row r="3" spans="1:6" x14ac:dyDescent="0.3">
      <c r="A3">
        <v>2</v>
      </c>
      <c r="B3" s="67">
        <v>3</v>
      </c>
      <c r="C3" s="67">
        <v>1</v>
      </c>
      <c r="D3" s="67">
        <v>0</v>
      </c>
      <c r="E3" s="70">
        <v>2</v>
      </c>
      <c r="F3" s="70">
        <v>3</v>
      </c>
    </row>
    <row r="4" spans="1:6" x14ac:dyDescent="0.3">
      <c r="A4">
        <v>3</v>
      </c>
      <c r="B4" s="67">
        <v>3</v>
      </c>
      <c r="C4" s="67">
        <v>1</v>
      </c>
      <c r="D4" s="67">
        <v>0</v>
      </c>
      <c r="E4" s="70">
        <v>2</v>
      </c>
      <c r="F4" s="70">
        <v>3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C73BF-F9EC-4B4A-9D4C-9B147F4FC316}">
  <dimension ref="A1:F16"/>
  <sheetViews>
    <sheetView workbookViewId="0">
      <selection activeCell="B2" sqref="B2:F16"/>
    </sheetView>
  </sheetViews>
  <sheetFormatPr baseColWidth="10" defaultRowHeight="14.4" x14ac:dyDescent="0.3"/>
  <sheetData>
    <row r="1" spans="1:6" x14ac:dyDescent="0.3">
      <c r="A1" s="72" t="s">
        <v>428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1</v>
      </c>
      <c r="C2" s="67">
        <v>1</v>
      </c>
      <c r="D2" s="67">
        <v>1</v>
      </c>
      <c r="E2" s="67">
        <v>0</v>
      </c>
      <c r="F2" s="67">
        <v>0</v>
      </c>
    </row>
    <row r="3" spans="1:6" x14ac:dyDescent="0.3">
      <c r="A3">
        <v>2</v>
      </c>
      <c r="B3" s="67">
        <v>1</v>
      </c>
      <c r="C3" s="67">
        <v>1</v>
      </c>
      <c r="D3" s="67">
        <v>1</v>
      </c>
      <c r="E3" s="67">
        <v>0</v>
      </c>
      <c r="F3" s="67">
        <v>0</v>
      </c>
    </row>
    <row r="4" spans="1:6" x14ac:dyDescent="0.3">
      <c r="A4">
        <v>3</v>
      </c>
      <c r="B4" s="67">
        <v>1</v>
      </c>
      <c r="C4" s="67">
        <v>1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1</v>
      </c>
      <c r="C5" s="67">
        <v>1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1</v>
      </c>
      <c r="C6" s="67">
        <v>1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1</v>
      </c>
      <c r="C7" s="67">
        <v>1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1</v>
      </c>
      <c r="C8" s="68">
        <v>1</v>
      </c>
      <c r="D8" s="68">
        <v>1</v>
      </c>
      <c r="E8" s="68">
        <v>1</v>
      </c>
      <c r="F8" s="68">
        <v>0</v>
      </c>
    </row>
    <row r="9" spans="1:6" x14ac:dyDescent="0.3">
      <c r="A9">
        <v>8</v>
      </c>
      <c r="B9" s="68">
        <v>1</v>
      </c>
      <c r="C9" s="68">
        <v>1</v>
      </c>
      <c r="D9" s="68">
        <v>1</v>
      </c>
      <c r="E9" s="68">
        <v>1</v>
      </c>
      <c r="F9" s="68">
        <v>0</v>
      </c>
    </row>
    <row r="10" spans="1:6" x14ac:dyDescent="0.3">
      <c r="A10">
        <v>9</v>
      </c>
      <c r="B10" s="68">
        <v>1</v>
      </c>
      <c r="C10" s="68">
        <v>1</v>
      </c>
      <c r="D10" s="68">
        <v>1</v>
      </c>
      <c r="E10" s="68">
        <v>1</v>
      </c>
      <c r="F10" s="68">
        <v>0</v>
      </c>
    </row>
    <row r="11" spans="1:6" x14ac:dyDescent="0.3">
      <c r="A11">
        <v>10</v>
      </c>
      <c r="B11" s="68">
        <v>1</v>
      </c>
      <c r="C11" s="68">
        <v>1</v>
      </c>
      <c r="D11" s="68">
        <v>1</v>
      </c>
      <c r="E11" s="68">
        <v>1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BD0F0-D584-4E1A-8558-50C7919CB435}">
  <dimension ref="A1:F16"/>
  <sheetViews>
    <sheetView workbookViewId="0">
      <selection activeCell="C21" sqref="C21"/>
    </sheetView>
  </sheetViews>
  <sheetFormatPr baseColWidth="10" defaultRowHeight="14.4" x14ac:dyDescent="0.3"/>
  <sheetData>
    <row r="1" spans="1:6" x14ac:dyDescent="0.3">
      <c r="A1" t="s">
        <v>274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C2053-5C35-4240-ADB0-DA60F5F8A843}">
  <dimension ref="A1:F16"/>
  <sheetViews>
    <sheetView workbookViewId="0">
      <selection activeCell="E21" sqref="E21"/>
    </sheetView>
  </sheetViews>
  <sheetFormatPr baseColWidth="10" defaultRowHeight="14.4" x14ac:dyDescent="0.3"/>
  <sheetData>
    <row r="1" spans="1:6" x14ac:dyDescent="0.3">
      <c r="A1" s="71" t="s">
        <v>105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3</v>
      </c>
      <c r="D4" s="67">
        <v>0</v>
      </c>
      <c r="E4" s="67">
        <v>3</v>
      </c>
      <c r="F4" s="67">
        <v>0</v>
      </c>
    </row>
    <row r="5" spans="1:6" x14ac:dyDescent="0.3">
      <c r="A5">
        <v>4</v>
      </c>
      <c r="B5" s="67">
        <v>0</v>
      </c>
      <c r="C5" s="67">
        <v>1</v>
      </c>
      <c r="D5" s="67">
        <v>0</v>
      </c>
      <c r="E5" s="67">
        <v>1</v>
      </c>
      <c r="F5" s="67">
        <v>0</v>
      </c>
    </row>
    <row r="6" spans="1:6" x14ac:dyDescent="0.3">
      <c r="A6">
        <v>5</v>
      </c>
      <c r="B6" s="67">
        <v>0</v>
      </c>
      <c r="C6" s="67">
        <v>1</v>
      </c>
      <c r="D6" s="67">
        <v>0</v>
      </c>
      <c r="E6" s="67">
        <v>1</v>
      </c>
      <c r="F6" s="67">
        <v>0</v>
      </c>
    </row>
    <row r="7" spans="1:6" x14ac:dyDescent="0.3">
      <c r="A7">
        <v>6</v>
      </c>
      <c r="B7" s="67">
        <v>0</v>
      </c>
      <c r="C7" s="67">
        <v>1</v>
      </c>
      <c r="D7" s="67">
        <v>0</v>
      </c>
      <c r="E7" s="67">
        <v>1</v>
      </c>
      <c r="F7" s="67">
        <v>0</v>
      </c>
    </row>
    <row r="8" spans="1:6" x14ac:dyDescent="0.3">
      <c r="A8">
        <v>7</v>
      </c>
      <c r="B8" s="68">
        <v>0</v>
      </c>
      <c r="C8" s="68">
        <v>1</v>
      </c>
      <c r="D8" s="68">
        <v>0</v>
      </c>
      <c r="E8" s="68">
        <v>1</v>
      </c>
      <c r="F8" s="68">
        <v>0</v>
      </c>
    </row>
    <row r="9" spans="1:6" x14ac:dyDescent="0.3">
      <c r="A9">
        <v>8</v>
      </c>
      <c r="B9" s="68">
        <v>0</v>
      </c>
      <c r="C9" s="68">
        <v>1</v>
      </c>
      <c r="D9" s="68">
        <v>0</v>
      </c>
      <c r="E9" s="68">
        <v>1</v>
      </c>
      <c r="F9" s="68">
        <v>0</v>
      </c>
    </row>
    <row r="10" spans="1:6" x14ac:dyDescent="0.3">
      <c r="A10">
        <v>9</v>
      </c>
      <c r="B10" s="68">
        <v>0</v>
      </c>
      <c r="C10" s="68">
        <v>1</v>
      </c>
      <c r="D10" s="68">
        <v>0</v>
      </c>
      <c r="E10" s="68">
        <v>1</v>
      </c>
      <c r="F10" s="68">
        <v>0</v>
      </c>
    </row>
    <row r="11" spans="1:6" x14ac:dyDescent="0.3">
      <c r="A11">
        <v>10</v>
      </c>
      <c r="B11" s="68">
        <v>0</v>
      </c>
      <c r="C11" s="68">
        <v>3</v>
      </c>
      <c r="D11" s="68">
        <v>0</v>
      </c>
      <c r="E11" s="68">
        <v>3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A9438-C255-40B8-BBFB-4CDD3E9E87EC}">
  <dimension ref="A1:F16"/>
  <sheetViews>
    <sheetView workbookViewId="0">
      <selection activeCell="F22" sqref="F22"/>
    </sheetView>
  </sheetViews>
  <sheetFormatPr baseColWidth="10" defaultRowHeight="14.4" x14ac:dyDescent="0.3"/>
  <sheetData>
    <row r="1" spans="1:6" x14ac:dyDescent="0.3">
      <c r="A1" s="71" t="s">
        <v>358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1</v>
      </c>
      <c r="C2" s="67">
        <v>1</v>
      </c>
      <c r="D2" s="67">
        <v>1</v>
      </c>
      <c r="E2" s="67">
        <v>1</v>
      </c>
      <c r="F2" s="67">
        <v>1</v>
      </c>
    </row>
    <row r="3" spans="1:6" x14ac:dyDescent="0.3">
      <c r="A3">
        <v>2</v>
      </c>
      <c r="B3" s="67">
        <v>1</v>
      </c>
      <c r="C3" s="67">
        <v>1</v>
      </c>
      <c r="D3" s="67">
        <v>1</v>
      </c>
      <c r="E3" s="67">
        <v>1</v>
      </c>
      <c r="F3" s="67">
        <v>1</v>
      </c>
    </row>
    <row r="4" spans="1:6" x14ac:dyDescent="0.3">
      <c r="A4">
        <v>3</v>
      </c>
      <c r="B4" s="67">
        <v>1</v>
      </c>
      <c r="C4" s="67">
        <v>1</v>
      </c>
      <c r="D4" s="67">
        <v>1</v>
      </c>
      <c r="E4" s="67">
        <v>1</v>
      </c>
      <c r="F4" s="67">
        <v>1</v>
      </c>
    </row>
    <row r="5" spans="1:6" x14ac:dyDescent="0.3">
      <c r="A5">
        <v>4</v>
      </c>
      <c r="B5" s="67">
        <v>3</v>
      </c>
      <c r="C5" s="67">
        <v>3</v>
      </c>
      <c r="D5" s="67">
        <v>3</v>
      </c>
      <c r="E5" s="67">
        <v>3</v>
      </c>
      <c r="F5" s="67">
        <v>3</v>
      </c>
    </row>
    <row r="6" spans="1:6" x14ac:dyDescent="0.3">
      <c r="A6">
        <v>5</v>
      </c>
      <c r="B6" s="67">
        <v>3</v>
      </c>
      <c r="C6" s="67">
        <v>3</v>
      </c>
      <c r="D6" s="67">
        <v>3</v>
      </c>
      <c r="E6" s="67">
        <v>3</v>
      </c>
      <c r="F6" s="67">
        <v>3</v>
      </c>
    </row>
    <row r="7" spans="1:6" x14ac:dyDescent="0.3">
      <c r="A7">
        <v>6</v>
      </c>
      <c r="B7" s="67">
        <v>3</v>
      </c>
      <c r="C7" s="67">
        <v>3</v>
      </c>
      <c r="D7" s="67">
        <v>3</v>
      </c>
      <c r="E7" s="67">
        <v>3</v>
      </c>
      <c r="F7" s="67">
        <v>3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C83E4-7FC9-484A-AD37-54202F13318B}">
  <dimension ref="A1:F16"/>
  <sheetViews>
    <sheetView workbookViewId="0">
      <selection activeCell="C19" sqref="C18:C19"/>
    </sheetView>
  </sheetViews>
  <sheetFormatPr baseColWidth="10" defaultRowHeight="14.4" x14ac:dyDescent="0.3"/>
  <sheetData>
    <row r="1" spans="1:6" x14ac:dyDescent="0.3">
      <c r="A1" s="85" t="s">
        <v>475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1</v>
      </c>
      <c r="D12" s="69">
        <v>1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1</v>
      </c>
      <c r="D13" s="69">
        <v>1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1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1F0C4-1AC8-4604-961F-31C635E5FB66}">
  <dimension ref="A1:F16"/>
  <sheetViews>
    <sheetView workbookViewId="0">
      <selection activeCell="L17" sqref="L17"/>
    </sheetView>
  </sheetViews>
  <sheetFormatPr baseColWidth="10" defaultRowHeight="14.4" x14ac:dyDescent="0.3"/>
  <sheetData>
    <row r="1" spans="1:6" x14ac:dyDescent="0.3">
      <c r="A1" s="71" t="s">
        <v>109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1</v>
      </c>
      <c r="C2" s="67">
        <v>1</v>
      </c>
      <c r="D2" s="67">
        <v>1</v>
      </c>
      <c r="E2" s="67">
        <v>1</v>
      </c>
      <c r="F2" s="67">
        <v>1</v>
      </c>
    </row>
    <row r="3" spans="1:6" x14ac:dyDescent="0.3">
      <c r="A3">
        <v>2</v>
      </c>
      <c r="B3" s="67">
        <v>1</v>
      </c>
      <c r="C3" s="67">
        <v>1</v>
      </c>
      <c r="D3" s="67">
        <v>1</v>
      </c>
      <c r="E3" s="67">
        <v>1</v>
      </c>
      <c r="F3" s="67">
        <v>1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3</v>
      </c>
      <c r="F10" s="68">
        <v>3</v>
      </c>
    </row>
    <row r="11" spans="1:6" x14ac:dyDescent="0.3">
      <c r="A11">
        <v>10</v>
      </c>
      <c r="B11" s="68">
        <v>1</v>
      </c>
      <c r="C11" s="68">
        <v>1</v>
      </c>
      <c r="D11" s="68">
        <v>1</v>
      </c>
      <c r="E11" s="68">
        <v>1</v>
      </c>
      <c r="F11" s="68">
        <v>1</v>
      </c>
    </row>
    <row r="12" spans="1:6" x14ac:dyDescent="0.3">
      <c r="A12">
        <v>11</v>
      </c>
      <c r="B12" s="69">
        <v>1</v>
      </c>
      <c r="C12" s="69">
        <v>1</v>
      </c>
      <c r="D12" s="69">
        <v>1</v>
      </c>
      <c r="E12" s="69">
        <v>1</v>
      </c>
      <c r="F12" s="69">
        <v>1</v>
      </c>
    </row>
    <row r="13" spans="1:6" x14ac:dyDescent="0.3">
      <c r="A13">
        <v>12</v>
      </c>
      <c r="B13" s="69">
        <v>1</v>
      </c>
      <c r="C13" s="69">
        <v>1</v>
      </c>
      <c r="D13" s="69">
        <v>1</v>
      </c>
      <c r="E13" s="69">
        <v>1</v>
      </c>
      <c r="F13" s="69">
        <v>1</v>
      </c>
    </row>
    <row r="14" spans="1:6" x14ac:dyDescent="0.3">
      <c r="A14">
        <v>13</v>
      </c>
      <c r="B14" s="69">
        <v>1</v>
      </c>
      <c r="C14" s="69">
        <v>1</v>
      </c>
      <c r="D14" s="69">
        <v>1</v>
      </c>
      <c r="E14" s="69">
        <v>1</v>
      </c>
      <c r="F14" s="69">
        <v>1</v>
      </c>
    </row>
    <row r="15" spans="1:6" x14ac:dyDescent="0.3">
      <c r="A15">
        <v>14</v>
      </c>
      <c r="B15" s="69">
        <v>1</v>
      </c>
      <c r="C15" s="69">
        <v>1</v>
      </c>
      <c r="D15" s="69">
        <v>1</v>
      </c>
      <c r="E15" s="69">
        <v>1</v>
      </c>
      <c r="F15" s="69">
        <v>1</v>
      </c>
    </row>
    <row r="16" spans="1:6" x14ac:dyDescent="0.3">
      <c r="A16">
        <v>15</v>
      </c>
      <c r="B16" s="69">
        <v>1</v>
      </c>
      <c r="C16" s="69">
        <v>1</v>
      </c>
      <c r="D16" s="69">
        <v>1</v>
      </c>
      <c r="E16" s="69">
        <v>1</v>
      </c>
      <c r="F16" s="69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A431C-3E9B-40CA-97DA-12824707D77B}">
  <dimension ref="A1:F16"/>
  <sheetViews>
    <sheetView workbookViewId="0">
      <selection activeCell="D20" sqref="D20"/>
    </sheetView>
  </sheetViews>
  <sheetFormatPr baseColWidth="10" defaultRowHeight="14.4" x14ac:dyDescent="0.3"/>
  <sheetData>
    <row r="1" spans="1:6" x14ac:dyDescent="0.3">
      <c r="A1" s="71" t="s">
        <v>430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1</v>
      </c>
      <c r="C12" s="69">
        <v>1</v>
      </c>
      <c r="D12" s="69">
        <v>1</v>
      </c>
      <c r="E12" s="69">
        <v>1</v>
      </c>
      <c r="F12" s="69">
        <v>1</v>
      </c>
    </row>
    <row r="13" spans="1:6" x14ac:dyDescent="0.3">
      <c r="A13">
        <v>12</v>
      </c>
      <c r="B13" s="69">
        <v>1</v>
      </c>
      <c r="C13" s="69">
        <v>1</v>
      </c>
      <c r="D13" s="69">
        <v>1</v>
      </c>
      <c r="E13" s="69">
        <v>1</v>
      </c>
      <c r="F13" s="69">
        <v>1</v>
      </c>
    </row>
    <row r="14" spans="1:6" x14ac:dyDescent="0.3">
      <c r="A14">
        <v>13</v>
      </c>
      <c r="B14" s="69">
        <v>2</v>
      </c>
      <c r="C14" s="69">
        <v>2</v>
      </c>
      <c r="D14" s="69">
        <v>2</v>
      </c>
      <c r="E14" s="69">
        <v>2</v>
      </c>
      <c r="F14" s="69">
        <v>2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CD0F6-8AD1-4139-853B-E74A5CAEADB4}">
  <dimension ref="A1:F16"/>
  <sheetViews>
    <sheetView workbookViewId="0">
      <selection activeCell="C19" sqref="C19"/>
    </sheetView>
  </sheetViews>
  <sheetFormatPr baseColWidth="10" defaultRowHeight="14.4" x14ac:dyDescent="0.3"/>
  <sheetData>
    <row r="1" spans="1:6" x14ac:dyDescent="0.3">
      <c r="A1" s="71" t="s">
        <v>431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2</v>
      </c>
      <c r="C12" s="69">
        <v>1</v>
      </c>
      <c r="D12" s="69">
        <v>1</v>
      </c>
      <c r="E12" s="69">
        <v>1</v>
      </c>
      <c r="F12" s="69">
        <v>1</v>
      </c>
    </row>
    <row r="13" spans="1:6" x14ac:dyDescent="0.3">
      <c r="A13">
        <v>12</v>
      </c>
      <c r="B13" s="69">
        <v>2</v>
      </c>
      <c r="C13" s="69">
        <v>1</v>
      </c>
      <c r="D13" s="69">
        <v>1</v>
      </c>
      <c r="E13" s="69">
        <v>1</v>
      </c>
      <c r="F13" s="69">
        <v>1</v>
      </c>
    </row>
    <row r="14" spans="1:6" x14ac:dyDescent="0.3">
      <c r="A14">
        <v>13</v>
      </c>
      <c r="B14" s="69">
        <v>2</v>
      </c>
      <c r="C14" s="69">
        <v>1</v>
      </c>
      <c r="D14" s="69">
        <v>1</v>
      </c>
      <c r="E14" s="69">
        <v>1</v>
      </c>
      <c r="F14" s="69">
        <v>1</v>
      </c>
    </row>
    <row r="15" spans="1:6" x14ac:dyDescent="0.3">
      <c r="A15">
        <v>14</v>
      </c>
      <c r="B15" s="69">
        <v>2</v>
      </c>
      <c r="C15" s="69">
        <v>2</v>
      </c>
      <c r="D15" s="69">
        <v>2</v>
      </c>
      <c r="E15" s="69">
        <v>2</v>
      </c>
      <c r="F15" s="69">
        <v>2</v>
      </c>
    </row>
    <row r="16" spans="1:6" x14ac:dyDescent="0.3">
      <c r="A16">
        <v>15</v>
      </c>
      <c r="B16" s="69">
        <v>3</v>
      </c>
      <c r="C16" s="69">
        <v>3</v>
      </c>
      <c r="D16" s="69">
        <v>3</v>
      </c>
      <c r="E16" s="69">
        <v>3</v>
      </c>
      <c r="F16" s="69">
        <v>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995DE-86D9-4346-8AF1-8B65D8BAAA8B}">
  <dimension ref="A1:F16"/>
  <sheetViews>
    <sheetView workbookViewId="0">
      <selection activeCell="C21" sqref="C21"/>
    </sheetView>
  </sheetViews>
  <sheetFormatPr baseColWidth="10" defaultRowHeight="14.4" x14ac:dyDescent="0.3"/>
  <sheetData>
    <row r="1" spans="1:6" x14ac:dyDescent="0.3">
      <c r="A1" s="71" t="s">
        <v>432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1</v>
      </c>
      <c r="C3" s="67">
        <v>1</v>
      </c>
      <c r="D3" s="67">
        <v>1</v>
      </c>
      <c r="E3" s="67">
        <v>1</v>
      </c>
      <c r="F3" s="67">
        <v>1</v>
      </c>
    </row>
    <row r="4" spans="1:6" x14ac:dyDescent="0.3">
      <c r="A4">
        <v>3</v>
      </c>
      <c r="B4" s="67">
        <v>1</v>
      </c>
      <c r="C4" s="67">
        <v>1</v>
      </c>
      <c r="D4" s="67">
        <v>1</v>
      </c>
      <c r="E4" s="67">
        <v>1</v>
      </c>
      <c r="F4" s="67">
        <v>1</v>
      </c>
    </row>
    <row r="5" spans="1:6" x14ac:dyDescent="0.3">
      <c r="A5">
        <v>4</v>
      </c>
      <c r="B5" s="67">
        <v>1</v>
      </c>
      <c r="C5" s="67">
        <v>1</v>
      </c>
      <c r="D5" s="67">
        <v>1</v>
      </c>
      <c r="E5" s="67">
        <v>1</v>
      </c>
      <c r="F5" s="67">
        <v>1</v>
      </c>
    </row>
    <row r="6" spans="1:6" x14ac:dyDescent="0.3">
      <c r="A6">
        <v>5</v>
      </c>
      <c r="B6" s="67">
        <v>1</v>
      </c>
      <c r="C6" s="67">
        <v>1</v>
      </c>
      <c r="D6" s="67">
        <v>1</v>
      </c>
      <c r="E6" s="67">
        <v>1</v>
      </c>
      <c r="F6" s="67">
        <v>1</v>
      </c>
    </row>
    <row r="7" spans="1:6" x14ac:dyDescent="0.3">
      <c r="A7">
        <v>6</v>
      </c>
      <c r="B7" s="67">
        <v>1</v>
      </c>
      <c r="C7" s="67">
        <v>1</v>
      </c>
      <c r="D7" s="67">
        <v>1</v>
      </c>
      <c r="E7" s="67">
        <v>1</v>
      </c>
      <c r="F7" s="67">
        <v>1</v>
      </c>
    </row>
    <row r="8" spans="1:6" x14ac:dyDescent="0.3">
      <c r="A8">
        <v>7</v>
      </c>
      <c r="B8" s="68">
        <v>1</v>
      </c>
      <c r="C8" s="68">
        <v>1</v>
      </c>
      <c r="D8" s="68">
        <v>1</v>
      </c>
      <c r="E8" s="68">
        <v>1</v>
      </c>
      <c r="F8" s="68">
        <v>1</v>
      </c>
    </row>
    <row r="9" spans="1:6" x14ac:dyDescent="0.3">
      <c r="A9">
        <v>8</v>
      </c>
      <c r="B9" s="68">
        <v>1</v>
      </c>
      <c r="C9" s="68">
        <v>1</v>
      </c>
      <c r="D9" s="68">
        <v>1</v>
      </c>
      <c r="E9" s="68">
        <v>1</v>
      </c>
      <c r="F9" s="68">
        <v>1</v>
      </c>
    </row>
    <row r="10" spans="1:6" x14ac:dyDescent="0.3">
      <c r="A10">
        <v>9</v>
      </c>
      <c r="B10" s="68">
        <v>1</v>
      </c>
      <c r="C10" s="68">
        <v>1</v>
      </c>
      <c r="D10" s="68">
        <v>1</v>
      </c>
      <c r="E10" s="68">
        <v>1</v>
      </c>
      <c r="F10" s="68">
        <v>1</v>
      </c>
    </row>
    <row r="11" spans="1:6" x14ac:dyDescent="0.3">
      <c r="A11">
        <v>10</v>
      </c>
      <c r="B11" s="68">
        <v>1</v>
      </c>
      <c r="C11" s="68">
        <v>1</v>
      </c>
      <c r="D11" s="68">
        <v>1</v>
      </c>
      <c r="E11" s="68">
        <v>1</v>
      </c>
      <c r="F11" s="68">
        <v>0</v>
      </c>
    </row>
    <row r="12" spans="1:6" x14ac:dyDescent="0.3">
      <c r="A12">
        <v>11</v>
      </c>
      <c r="B12" s="69">
        <v>1</v>
      </c>
      <c r="C12" s="69">
        <v>1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1</v>
      </c>
      <c r="C13" s="69">
        <v>1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F9192-05EA-4B4E-9410-F02A579B6DF2}">
  <dimension ref="A1:F16"/>
  <sheetViews>
    <sheetView workbookViewId="0">
      <selection activeCell="E21" sqref="E21"/>
    </sheetView>
  </sheetViews>
  <sheetFormatPr baseColWidth="10" defaultRowHeight="14.4" x14ac:dyDescent="0.3"/>
  <sheetData>
    <row r="1" spans="1:6" x14ac:dyDescent="0.3">
      <c r="A1" s="71" t="s">
        <v>249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1</v>
      </c>
      <c r="C12" s="69">
        <v>3</v>
      </c>
      <c r="D12" s="69">
        <v>1</v>
      </c>
      <c r="E12" s="69">
        <v>3</v>
      </c>
      <c r="F12" s="69">
        <v>0</v>
      </c>
    </row>
    <row r="13" spans="1:6" x14ac:dyDescent="0.3">
      <c r="A13">
        <v>12</v>
      </c>
      <c r="B13" s="69">
        <v>1</v>
      </c>
      <c r="C13" s="69">
        <v>3</v>
      </c>
      <c r="D13" s="69">
        <v>1</v>
      </c>
      <c r="E13" s="69">
        <v>3</v>
      </c>
      <c r="F13" s="69">
        <v>0</v>
      </c>
    </row>
    <row r="14" spans="1:6" x14ac:dyDescent="0.3">
      <c r="A14">
        <v>13</v>
      </c>
      <c r="B14" s="69">
        <v>1</v>
      </c>
      <c r="C14" s="69">
        <v>3</v>
      </c>
      <c r="D14" s="69">
        <v>1</v>
      </c>
      <c r="E14" s="69">
        <v>3</v>
      </c>
      <c r="F14" s="69">
        <v>0</v>
      </c>
    </row>
    <row r="15" spans="1:6" x14ac:dyDescent="0.3">
      <c r="A15">
        <v>14</v>
      </c>
      <c r="B15" s="69">
        <v>1</v>
      </c>
      <c r="C15" s="69">
        <v>3</v>
      </c>
      <c r="D15" s="69">
        <v>1</v>
      </c>
      <c r="E15" s="69">
        <v>3</v>
      </c>
      <c r="F15" s="69">
        <v>0</v>
      </c>
    </row>
    <row r="16" spans="1:6" x14ac:dyDescent="0.3">
      <c r="A16">
        <v>15</v>
      </c>
      <c r="B16" s="69">
        <v>1</v>
      </c>
      <c r="C16" s="69">
        <v>3</v>
      </c>
      <c r="D16" s="69">
        <v>1</v>
      </c>
      <c r="E16" s="69">
        <v>3</v>
      </c>
      <c r="F16" s="69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9A054-A5A4-4044-B1D9-240AC03F8C99}">
  <dimension ref="A1:F16"/>
  <sheetViews>
    <sheetView workbookViewId="0">
      <selection activeCell="B20" sqref="B20"/>
    </sheetView>
  </sheetViews>
  <sheetFormatPr baseColWidth="10" defaultRowHeight="14.4" x14ac:dyDescent="0.3"/>
  <sheetData>
    <row r="1" spans="1:6" x14ac:dyDescent="0.3">
      <c r="A1" s="71" t="s">
        <v>366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1</v>
      </c>
      <c r="C4" s="67">
        <v>1</v>
      </c>
      <c r="D4" s="67">
        <v>1</v>
      </c>
      <c r="E4" s="67">
        <v>1</v>
      </c>
      <c r="F4" s="67">
        <v>1</v>
      </c>
    </row>
    <row r="5" spans="1:6" x14ac:dyDescent="0.3">
      <c r="A5">
        <v>4</v>
      </c>
      <c r="B5" s="67">
        <v>1</v>
      </c>
      <c r="C5" s="67">
        <v>1</v>
      </c>
      <c r="D5" s="67">
        <v>1</v>
      </c>
      <c r="E5" s="67">
        <v>1</v>
      </c>
      <c r="F5" s="67">
        <v>1</v>
      </c>
    </row>
    <row r="6" spans="1:6" x14ac:dyDescent="0.3">
      <c r="A6">
        <v>5</v>
      </c>
      <c r="B6" s="67">
        <v>1</v>
      </c>
      <c r="C6" s="67">
        <v>1</v>
      </c>
      <c r="D6" s="67">
        <v>1</v>
      </c>
      <c r="E6" s="67">
        <v>1</v>
      </c>
      <c r="F6" s="67">
        <v>1</v>
      </c>
    </row>
    <row r="7" spans="1:6" x14ac:dyDescent="0.3">
      <c r="A7">
        <v>6</v>
      </c>
      <c r="B7" s="67">
        <v>1</v>
      </c>
      <c r="C7" s="67">
        <v>1</v>
      </c>
      <c r="D7" s="67">
        <v>1</v>
      </c>
      <c r="E7" s="67">
        <v>1</v>
      </c>
      <c r="F7" s="67">
        <v>1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A1F55-8C2D-4800-8648-3C39A002937E}">
  <dimension ref="A1:F16"/>
  <sheetViews>
    <sheetView workbookViewId="0">
      <selection activeCell="D20" sqref="D20"/>
    </sheetView>
  </sheetViews>
  <sheetFormatPr baseColWidth="10" defaultRowHeight="14.4" x14ac:dyDescent="0.3"/>
  <sheetData>
    <row r="1" spans="1:6" x14ac:dyDescent="0.3">
      <c r="A1" s="71" t="s">
        <v>341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2</v>
      </c>
      <c r="D2" s="67">
        <v>2</v>
      </c>
      <c r="E2" s="67">
        <v>1</v>
      </c>
      <c r="F2" s="67">
        <v>1</v>
      </c>
    </row>
    <row r="3" spans="1:6" x14ac:dyDescent="0.3">
      <c r="A3">
        <v>2</v>
      </c>
      <c r="B3" s="67">
        <v>0</v>
      </c>
      <c r="C3" s="67">
        <v>2</v>
      </c>
      <c r="D3" s="67">
        <v>2</v>
      </c>
      <c r="E3" s="67">
        <v>1</v>
      </c>
      <c r="F3" s="67">
        <v>1</v>
      </c>
    </row>
    <row r="4" spans="1:6" x14ac:dyDescent="0.3">
      <c r="A4">
        <v>3</v>
      </c>
      <c r="B4" s="67">
        <v>0</v>
      </c>
      <c r="C4" s="67">
        <v>2</v>
      </c>
      <c r="D4" s="67">
        <v>2</v>
      </c>
      <c r="E4" s="67">
        <v>1</v>
      </c>
      <c r="F4" s="67">
        <v>1</v>
      </c>
    </row>
    <row r="5" spans="1:6" x14ac:dyDescent="0.3">
      <c r="A5">
        <v>4</v>
      </c>
      <c r="B5" s="67">
        <v>0</v>
      </c>
      <c r="C5" s="67">
        <v>2</v>
      </c>
      <c r="D5" s="67">
        <v>2</v>
      </c>
      <c r="E5" s="67">
        <v>1</v>
      </c>
      <c r="F5" s="67">
        <v>1</v>
      </c>
    </row>
    <row r="6" spans="1:6" x14ac:dyDescent="0.3">
      <c r="A6">
        <v>5</v>
      </c>
      <c r="B6" s="67">
        <v>0</v>
      </c>
      <c r="C6" s="67">
        <v>3</v>
      </c>
      <c r="D6" s="67">
        <v>3</v>
      </c>
      <c r="E6" s="67">
        <v>3</v>
      </c>
      <c r="F6" s="67">
        <v>3</v>
      </c>
    </row>
    <row r="7" spans="1:6" x14ac:dyDescent="0.3">
      <c r="A7">
        <v>6</v>
      </c>
      <c r="B7" s="67">
        <v>0</v>
      </c>
      <c r="C7" s="67">
        <v>3</v>
      </c>
      <c r="D7" s="67">
        <v>3</v>
      </c>
      <c r="E7" s="67">
        <v>3</v>
      </c>
      <c r="F7" s="67">
        <v>3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F2896-6F74-4271-815B-87E45718B459}">
  <dimension ref="A1:F16"/>
  <sheetViews>
    <sheetView workbookViewId="0">
      <selection activeCell="B18" sqref="B18"/>
    </sheetView>
  </sheetViews>
  <sheetFormatPr baseColWidth="10" defaultRowHeight="14.4" x14ac:dyDescent="0.3"/>
  <sheetData>
    <row r="1" spans="1:6" x14ac:dyDescent="0.3">
      <c r="A1" s="71" t="s">
        <v>126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1</v>
      </c>
      <c r="C10" s="68">
        <v>1</v>
      </c>
      <c r="D10" s="68">
        <v>1</v>
      </c>
      <c r="E10" s="68">
        <v>1</v>
      </c>
      <c r="F10" s="68">
        <v>0</v>
      </c>
    </row>
    <row r="11" spans="1:6" x14ac:dyDescent="0.3">
      <c r="A11">
        <v>10</v>
      </c>
      <c r="B11" s="68">
        <v>1</v>
      </c>
      <c r="C11" s="68">
        <v>1</v>
      </c>
      <c r="D11" s="68">
        <v>1</v>
      </c>
      <c r="E11" s="68">
        <v>1</v>
      </c>
      <c r="F11" s="68">
        <v>0</v>
      </c>
    </row>
    <row r="12" spans="1:6" x14ac:dyDescent="0.3">
      <c r="A12">
        <v>11</v>
      </c>
      <c r="B12" s="69">
        <v>1</v>
      </c>
      <c r="C12" s="69">
        <v>1</v>
      </c>
      <c r="D12" s="69">
        <v>1</v>
      </c>
      <c r="E12" s="69">
        <v>1</v>
      </c>
      <c r="F12" s="69">
        <v>0</v>
      </c>
    </row>
    <row r="13" spans="1:6" x14ac:dyDescent="0.3">
      <c r="A13">
        <v>12</v>
      </c>
      <c r="B13" s="69">
        <v>1</v>
      </c>
      <c r="C13" s="69">
        <v>1</v>
      </c>
      <c r="D13" s="69">
        <v>1</v>
      </c>
      <c r="E13" s="69">
        <v>3</v>
      </c>
      <c r="F13" s="69">
        <v>0</v>
      </c>
    </row>
    <row r="14" spans="1:6" x14ac:dyDescent="0.3">
      <c r="A14">
        <v>13</v>
      </c>
      <c r="B14" s="69">
        <v>1</v>
      </c>
      <c r="C14" s="69">
        <v>1</v>
      </c>
      <c r="D14" s="69">
        <v>1</v>
      </c>
      <c r="E14" s="69">
        <v>3</v>
      </c>
      <c r="F14" s="69">
        <v>0</v>
      </c>
    </row>
    <row r="15" spans="1:6" x14ac:dyDescent="0.3">
      <c r="A15">
        <v>14</v>
      </c>
      <c r="B15" s="69">
        <v>2</v>
      </c>
      <c r="C15" s="69">
        <v>2</v>
      </c>
      <c r="D15" s="69">
        <v>2</v>
      </c>
      <c r="E15" s="69">
        <v>3</v>
      </c>
      <c r="F15" s="69">
        <v>0</v>
      </c>
    </row>
    <row r="16" spans="1:6" x14ac:dyDescent="0.3">
      <c r="A16">
        <v>15</v>
      </c>
      <c r="B16" s="69">
        <v>2</v>
      </c>
      <c r="C16" s="69">
        <v>2</v>
      </c>
      <c r="D16" s="69">
        <v>2</v>
      </c>
      <c r="E16" s="69">
        <v>3</v>
      </c>
      <c r="F16" s="69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F7630-4E17-4C11-AFBB-166351539F3D}">
  <dimension ref="A1:F16"/>
  <sheetViews>
    <sheetView workbookViewId="0">
      <selection activeCell="B22" sqref="B22"/>
    </sheetView>
  </sheetViews>
  <sheetFormatPr baseColWidth="10" defaultRowHeight="14.4" x14ac:dyDescent="0.3"/>
  <sheetData>
    <row r="1" spans="1:6" x14ac:dyDescent="0.3">
      <c r="A1" t="s">
        <v>418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36AAE-CD54-457B-A3C8-6E1680AF91CC}">
  <dimension ref="A1:F16"/>
  <sheetViews>
    <sheetView workbookViewId="0">
      <selection activeCell="E22" sqref="E22"/>
    </sheetView>
  </sheetViews>
  <sheetFormatPr baseColWidth="10" defaultRowHeight="14.4" x14ac:dyDescent="0.3"/>
  <sheetData>
    <row r="1" spans="1:6" x14ac:dyDescent="0.3">
      <c r="A1" s="71" t="s">
        <v>149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1</v>
      </c>
      <c r="D4" s="67">
        <v>0</v>
      </c>
      <c r="E4" s="67">
        <v>1</v>
      </c>
      <c r="F4" s="67">
        <v>3</v>
      </c>
    </row>
    <row r="5" spans="1:6" x14ac:dyDescent="0.3">
      <c r="A5">
        <v>4</v>
      </c>
      <c r="B5" s="67">
        <v>0</v>
      </c>
      <c r="C5" s="67">
        <v>1</v>
      </c>
      <c r="D5" s="67">
        <v>0</v>
      </c>
      <c r="E5" s="67">
        <v>1</v>
      </c>
      <c r="F5" s="67">
        <v>3</v>
      </c>
    </row>
    <row r="6" spans="1:6" x14ac:dyDescent="0.3">
      <c r="A6">
        <v>5</v>
      </c>
      <c r="B6" s="67">
        <v>0</v>
      </c>
      <c r="C6" s="67">
        <v>1</v>
      </c>
      <c r="D6" s="67">
        <v>0</v>
      </c>
      <c r="E6" s="67">
        <v>1</v>
      </c>
      <c r="F6" s="67">
        <v>3</v>
      </c>
    </row>
    <row r="7" spans="1:6" x14ac:dyDescent="0.3">
      <c r="A7">
        <v>6</v>
      </c>
      <c r="B7" s="67">
        <v>0</v>
      </c>
      <c r="C7" s="67">
        <v>2</v>
      </c>
      <c r="D7" s="67">
        <v>0</v>
      </c>
      <c r="E7" s="67">
        <v>2</v>
      </c>
      <c r="F7" s="67">
        <v>3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4C308-D8B9-4136-8BFB-4466101B6CF4}">
  <dimension ref="A1:F16"/>
  <sheetViews>
    <sheetView workbookViewId="0">
      <selection activeCell="F22" sqref="F22"/>
    </sheetView>
  </sheetViews>
  <sheetFormatPr baseColWidth="10" defaultRowHeight="14.4" x14ac:dyDescent="0.3"/>
  <sheetData>
    <row r="1" spans="1:6" x14ac:dyDescent="0.3">
      <c r="A1" s="71" t="s">
        <v>433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2</v>
      </c>
      <c r="D2" s="67">
        <v>2</v>
      </c>
      <c r="E2" s="67">
        <v>2</v>
      </c>
      <c r="F2" s="67">
        <v>0</v>
      </c>
    </row>
    <row r="3" spans="1:6" x14ac:dyDescent="0.3">
      <c r="A3">
        <v>2</v>
      </c>
      <c r="B3" s="67">
        <v>2</v>
      </c>
      <c r="C3" s="67">
        <v>2</v>
      </c>
      <c r="D3" s="67">
        <v>2</v>
      </c>
      <c r="E3" s="67">
        <v>2</v>
      </c>
      <c r="F3" s="67">
        <v>0</v>
      </c>
    </row>
    <row r="4" spans="1:6" x14ac:dyDescent="0.3">
      <c r="A4">
        <v>3</v>
      </c>
      <c r="B4" s="67">
        <v>2</v>
      </c>
      <c r="C4" s="67">
        <v>2</v>
      </c>
      <c r="D4" s="67">
        <v>2</v>
      </c>
      <c r="E4" s="67">
        <v>2</v>
      </c>
      <c r="F4" s="67">
        <v>0</v>
      </c>
    </row>
    <row r="5" spans="1:6" x14ac:dyDescent="0.3">
      <c r="A5">
        <v>4</v>
      </c>
      <c r="B5" s="67">
        <v>3</v>
      </c>
      <c r="C5" s="67">
        <v>1</v>
      </c>
      <c r="D5" s="67">
        <v>1</v>
      </c>
      <c r="E5" s="67">
        <v>1</v>
      </c>
      <c r="F5" s="67">
        <v>0</v>
      </c>
    </row>
    <row r="6" spans="1:6" x14ac:dyDescent="0.3">
      <c r="A6">
        <v>5</v>
      </c>
      <c r="B6" s="67">
        <v>3</v>
      </c>
      <c r="C6" s="67">
        <v>1</v>
      </c>
      <c r="D6" s="67">
        <v>1</v>
      </c>
      <c r="E6" s="67">
        <v>1</v>
      </c>
      <c r="F6" s="67">
        <v>0</v>
      </c>
    </row>
    <row r="7" spans="1:6" x14ac:dyDescent="0.3">
      <c r="A7">
        <v>6</v>
      </c>
      <c r="B7" s="67">
        <v>3</v>
      </c>
      <c r="C7" s="67">
        <v>1</v>
      </c>
      <c r="D7" s="67">
        <v>1</v>
      </c>
      <c r="E7" s="67">
        <v>1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3</v>
      </c>
      <c r="C12" s="69">
        <v>1</v>
      </c>
      <c r="D12" s="69">
        <v>2</v>
      </c>
      <c r="E12" s="69">
        <v>1</v>
      </c>
      <c r="F12" s="69">
        <v>3</v>
      </c>
    </row>
    <row r="13" spans="1:6" x14ac:dyDescent="0.3">
      <c r="A13">
        <v>12</v>
      </c>
      <c r="B13" s="69">
        <v>3</v>
      </c>
      <c r="C13" s="69">
        <v>1</v>
      </c>
      <c r="D13" s="69">
        <v>2</v>
      </c>
      <c r="E13" s="69">
        <v>1</v>
      </c>
      <c r="F13" s="69">
        <v>3</v>
      </c>
    </row>
    <row r="14" spans="1:6" x14ac:dyDescent="0.3">
      <c r="A14">
        <v>13</v>
      </c>
      <c r="B14" s="69">
        <v>3</v>
      </c>
      <c r="C14" s="69">
        <v>1</v>
      </c>
      <c r="D14" s="69">
        <v>2</v>
      </c>
      <c r="E14" s="69">
        <v>1</v>
      </c>
      <c r="F14" s="69">
        <v>3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EBD39-86D5-41A2-9709-571C43F906B4}">
  <dimension ref="A1:F16"/>
  <sheetViews>
    <sheetView workbookViewId="0">
      <selection activeCell="E22" sqref="E22"/>
    </sheetView>
  </sheetViews>
  <sheetFormatPr baseColWidth="10" defaultRowHeight="14.4" x14ac:dyDescent="0.3"/>
  <sheetData>
    <row r="1" spans="1:6" x14ac:dyDescent="0.3">
      <c r="A1" t="s">
        <v>413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1</v>
      </c>
      <c r="C2" s="67">
        <v>1</v>
      </c>
      <c r="D2" s="67">
        <v>1</v>
      </c>
      <c r="E2" s="67">
        <v>1</v>
      </c>
      <c r="F2" s="67">
        <v>0</v>
      </c>
    </row>
    <row r="3" spans="1:6" x14ac:dyDescent="0.3">
      <c r="A3">
        <v>2</v>
      </c>
      <c r="B3" s="67">
        <v>1</v>
      </c>
      <c r="C3" s="67">
        <v>1</v>
      </c>
      <c r="D3" s="67">
        <v>1</v>
      </c>
      <c r="E3" s="67">
        <v>1</v>
      </c>
      <c r="F3" s="67">
        <v>0</v>
      </c>
    </row>
    <row r="4" spans="1:6" x14ac:dyDescent="0.3">
      <c r="A4">
        <v>3</v>
      </c>
      <c r="B4" s="67">
        <v>1</v>
      </c>
      <c r="C4" s="67">
        <v>1</v>
      </c>
      <c r="D4" s="67">
        <v>1</v>
      </c>
      <c r="E4" s="67">
        <v>1</v>
      </c>
      <c r="F4" s="67">
        <v>0</v>
      </c>
    </row>
    <row r="5" spans="1:6" x14ac:dyDescent="0.3">
      <c r="A5">
        <v>4</v>
      </c>
      <c r="B5" s="67">
        <v>1</v>
      </c>
      <c r="C5" s="67">
        <v>1</v>
      </c>
      <c r="D5" s="67">
        <v>1</v>
      </c>
      <c r="E5" s="67">
        <v>1</v>
      </c>
      <c r="F5" s="67">
        <v>0</v>
      </c>
    </row>
    <row r="6" spans="1:6" x14ac:dyDescent="0.3">
      <c r="A6">
        <v>5</v>
      </c>
      <c r="B6" s="67">
        <v>1</v>
      </c>
      <c r="C6" s="67">
        <v>1</v>
      </c>
      <c r="D6" s="67">
        <v>1</v>
      </c>
      <c r="E6" s="67">
        <v>1</v>
      </c>
      <c r="F6" s="67">
        <v>0</v>
      </c>
    </row>
    <row r="7" spans="1:6" x14ac:dyDescent="0.3">
      <c r="A7">
        <v>6</v>
      </c>
      <c r="B7" s="67">
        <v>1</v>
      </c>
      <c r="C7" s="67">
        <v>1</v>
      </c>
      <c r="D7" s="67">
        <v>1</v>
      </c>
      <c r="E7" s="67">
        <v>1</v>
      </c>
      <c r="F7" s="67">
        <v>0</v>
      </c>
    </row>
    <row r="8" spans="1:6" x14ac:dyDescent="0.3">
      <c r="A8">
        <v>7</v>
      </c>
      <c r="B8" s="68">
        <v>1</v>
      </c>
      <c r="C8" s="68">
        <v>1</v>
      </c>
      <c r="D8" s="68">
        <v>1</v>
      </c>
      <c r="E8" s="68">
        <v>1</v>
      </c>
      <c r="F8" s="68">
        <v>0</v>
      </c>
    </row>
    <row r="9" spans="1:6" x14ac:dyDescent="0.3">
      <c r="A9">
        <v>8</v>
      </c>
      <c r="B9" s="68">
        <v>1</v>
      </c>
      <c r="C9" s="68">
        <v>1</v>
      </c>
      <c r="D9" s="68">
        <v>1</v>
      </c>
      <c r="E9" s="68">
        <v>1</v>
      </c>
      <c r="F9" s="68">
        <v>0</v>
      </c>
    </row>
    <row r="10" spans="1:6" x14ac:dyDescent="0.3">
      <c r="A10">
        <v>9</v>
      </c>
      <c r="B10" s="68">
        <v>1</v>
      </c>
      <c r="C10" s="68">
        <v>1</v>
      </c>
      <c r="D10" s="68">
        <v>1</v>
      </c>
      <c r="E10" s="68">
        <v>1</v>
      </c>
      <c r="F10" s="68">
        <v>0</v>
      </c>
    </row>
    <row r="11" spans="1:6" x14ac:dyDescent="0.3">
      <c r="A11">
        <v>10</v>
      </c>
      <c r="B11" s="68">
        <v>1</v>
      </c>
      <c r="C11" s="68">
        <v>1</v>
      </c>
      <c r="D11" s="68">
        <v>1</v>
      </c>
      <c r="E11" s="68">
        <v>1</v>
      </c>
      <c r="F11" s="68">
        <v>0</v>
      </c>
    </row>
    <row r="12" spans="1:6" x14ac:dyDescent="0.3">
      <c r="A12">
        <v>11</v>
      </c>
      <c r="B12" s="69">
        <v>1</v>
      </c>
      <c r="C12" s="69">
        <v>1</v>
      </c>
      <c r="D12" s="69">
        <v>1</v>
      </c>
      <c r="E12" s="69">
        <v>1</v>
      </c>
      <c r="F12" s="69">
        <v>0</v>
      </c>
    </row>
    <row r="13" spans="1:6" x14ac:dyDescent="0.3">
      <c r="A13">
        <v>12</v>
      </c>
      <c r="B13" s="69">
        <v>1</v>
      </c>
      <c r="C13" s="69">
        <v>1</v>
      </c>
      <c r="D13" s="69">
        <v>1</v>
      </c>
      <c r="E13" s="69">
        <v>1</v>
      </c>
      <c r="F13" s="69">
        <v>0</v>
      </c>
    </row>
    <row r="14" spans="1:6" x14ac:dyDescent="0.3">
      <c r="A14">
        <v>13</v>
      </c>
      <c r="B14" s="69">
        <v>1</v>
      </c>
      <c r="C14" s="69">
        <v>1</v>
      </c>
      <c r="D14" s="69">
        <v>1</v>
      </c>
      <c r="E14" s="69">
        <v>1</v>
      </c>
      <c r="F14" s="69">
        <v>0</v>
      </c>
    </row>
    <row r="15" spans="1:6" x14ac:dyDescent="0.3">
      <c r="A15">
        <v>14</v>
      </c>
      <c r="B15" s="69">
        <v>1</v>
      </c>
      <c r="C15" s="69">
        <v>1</v>
      </c>
      <c r="D15" s="69">
        <v>1</v>
      </c>
      <c r="E15" s="69">
        <v>1</v>
      </c>
      <c r="F15" s="69">
        <v>0</v>
      </c>
    </row>
    <row r="16" spans="1:6" x14ac:dyDescent="0.3">
      <c r="A16">
        <v>15</v>
      </c>
      <c r="B16" s="69">
        <v>1</v>
      </c>
      <c r="C16" s="69">
        <v>1</v>
      </c>
      <c r="D16" s="69">
        <v>1</v>
      </c>
      <c r="E16" s="69">
        <v>1</v>
      </c>
      <c r="F16" s="69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3ED6E-08A8-4ED3-AEB3-85A161F8DDA8}">
  <dimension ref="A1:F16"/>
  <sheetViews>
    <sheetView workbookViewId="0">
      <selection activeCell="F21" sqref="F21"/>
    </sheetView>
  </sheetViews>
  <sheetFormatPr baseColWidth="10" defaultRowHeight="14.4" x14ac:dyDescent="0.3"/>
  <sheetData>
    <row r="1" spans="1:6" x14ac:dyDescent="0.3">
      <c r="A1" s="71" t="s">
        <v>119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3</v>
      </c>
      <c r="C4" s="67">
        <v>3</v>
      </c>
      <c r="D4" s="67">
        <v>3</v>
      </c>
      <c r="E4" s="67">
        <v>3</v>
      </c>
      <c r="F4" s="67">
        <v>3</v>
      </c>
    </row>
    <row r="5" spans="1:6" x14ac:dyDescent="0.3">
      <c r="A5">
        <v>4</v>
      </c>
      <c r="B5" s="67">
        <v>3</v>
      </c>
      <c r="C5" s="67">
        <v>3</v>
      </c>
      <c r="D5" s="67">
        <v>3</v>
      </c>
      <c r="E5" s="67">
        <v>3</v>
      </c>
      <c r="F5" s="67">
        <v>3</v>
      </c>
    </row>
    <row r="6" spans="1:6" x14ac:dyDescent="0.3">
      <c r="A6">
        <v>5</v>
      </c>
      <c r="B6" s="67">
        <v>3</v>
      </c>
      <c r="C6" s="67">
        <v>3</v>
      </c>
      <c r="D6" s="67">
        <v>3</v>
      </c>
      <c r="E6" s="67">
        <v>3</v>
      </c>
      <c r="F6" s="67">
        <v>3</v>
      </c>
    </row>
    <row r="7" spans="1:6" x14ac:dyDescent="0.3">
      <c r="A7">
        <v>6</v>
      </c>
      <c r="B7" s="67">
        <v>2</v>
      </c>
      <c r="C7" s="67">
        <v>3</v>
      </c>
      <c r="D7" s="67">
        <v>2</v>
      </c>
      <c r="E7" s="67">
        <v>3</v>
      </c>
      <c r="F7" s="67">
        <v>3</v>
      </c>
    </row>
    <row r="8" spans="1:6" x14ac:dyDescent="0.3">
      <c r="A8">
        <v>7</v>
      </c>
      <c r="B8" s="68">
        <v>2</v>
      </c>
      <c r="C8" s="68">
        <v>3</v>
      </c>
      <c r="D8" s="68">
        <v>2</v>
      </c>
      <c r="E8" s="68">
        <v>3</v>
      </c>
      <c r="F8" s="68">
        <v>3</v>
      </c>
    </row>
    <row r="9" spans="1:6" x14ac:dyDescent="0.3">
      <c r="A9">
        <v>8</v>
      </c>
      <c r="B9" s="68">
        <v>2</v>
      </c>
      <c r="C9" s="68">
        <v>3</v>
      </c>
      <c r="D9" s="68">
        <v>2</v>
      </c>
      <c r="E9" s="68">
        <v>3</v>
      </c>
      <c r="F9" s="68">
        <v>3</v>
      </c>
    </row>
    <row r="10" spans="1:6" x14ac:dyDescent="0.3">
      <c r="A10">
        <v>9</v>
      </c>
      <c r="B10" s="68">
        <v>1</v>
      </c>
      <c r="C10" s="68">
        <v>3</v>
      </c>
      <c r="D10" s="68">
        <v>1</v>
      </c>
      <c r="E10" s="68">
        <v>3</v>
      </c>
      <c r="F10" s="68">
        <v>3</v>
      </c>
    </row>
    <row r="11" spans="1:6" x14ac:dyDescent="0.3">
      <c r="A11">
        <v>10</v>
      </c>
      <c r="B11" s="68">
        <v>1</v>
      </c>
      <c r="C11" s="68">
        <v>2</v>
      </c>
      <c r="D11" s="68">
        <v>1</v>
      </c>
      <c r="E11" s="68">
        <v>2</v>
      </c>
      <c r="F11" s="68">
        <v>2</v>
      </c>
    </row>
    <row r="12" spans="1:6" x14ac:dyDescent="0.3">
      <c r="A12">
        <v>11</v>
      </c>
      <c r="B12" s="69">
        <v>1</v>
      </c>
      <c r="C12" s="69">
        <v>2</v>
      </c>
      <c r="D12" s="69">
        <v>1</v>
      </c>
      <c r="E12" s="69">
        <v>2</v>
      </c>
      <c r="F12" s="69">
        <v>2</v>
      </c>
    </row>
    <row r="13" spans="1:6" x14ac:dyDescent="0.3">
      <c r="A13">
        <v>12</v>
      </c>
      <c r="B13" s="69">
        <v>1</v>
      </c>
      <c r="C13" s="69">
        <v>2</v>
      </c>
      <c r="D13" s="69">
        <v>1</v>
      </c>
      <c r="E13" s="69">
        <v>2</v>
      </c>
      <c r="F13" s="69">
        <v>3</v>
      </c>
    </row>
    <row r="14" spans="1:6" x14ac:dyDescent="0.3">
      <c r="A14">
        <v>13</v>
      </c>
      <c r="B14" s="69">
        <v>1</v>
      </c>
      <c r="C14" s="69">
        <v>2</v>
      </c>
      <c r="D14" s="69">
        <v>1</v>
      </c>
      <c r="E14" s="69">
        <v>2</v>
      </c>
      <c r="F14" s="69">
        <v>3</v>
      </c>
    </row>
    <row r="15" spans="1:6" x14ac:dyDescent="0.3">
      <c r="A15">
        <v>14</v>
      </c>
      <c r="B15" s="69">
        <v>2</v>
      </c>
      <c r="C15" s="69">
        <v>3</v>
      </c>
      <c r="D15" s="69">
        <v>2</v>
      </c>
      <c r="E15" s="69">
        <v>3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340B9-4376-4F8D-9721-CD119463A545}">
  <dimension ref="A1:F16"/>
  <sheetViews>
    <sheetView workbookViewId="0">
      <selection activeCell="C22" sqref="C22"/>
    </sheetView>
  </sheetViews>
  <sheetFormatPr baseColWidth="10" defaultRowHeight="14.4" x14ac:dyDescent="0.3"/>
  <sheetData>
    <row r="1" spans="1:6" x14ac:dyDescent="0.3">
      <c r="A1" s="71" t="s">
        <v>380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1</v>
      </c>
      <c r="C2" s="67">
        <v>0</v>
      </c>
      <c r="D2" s="67">
        <v>0</v>
      </c>
      <c r="E2" s="67">
        <v>0</v>
      </c>
      <c r="F2" s="67">
        <v>3</v>
      </c>
    </row>
    <row r="3" spans="1:6" x14ac:dyDescent="0.3">
      <c r="A3">
        <v>2</v>
      </c>
      <c r="B3" s="67">
        <v>1</v>
      </c>
      <c r="C3" s="67">
        <v>0</v>
      </c>
      <c r="D3" s="67">
        <v>0</v>
      </c>
      <c r="E3" s="67">
        <v>0</v>
      </c>
      <c r="F3" s="67">
        <v>3</v>
      </c>
    </row>
    <row r="4" spans="1:6" x14ac:dyDescent="0.3">
      <c r="A4">
        <v>3</v>
      </c>
      <c r="B4" s="67">
        <v>2</v>
      </c>
      <c r="C4" s="67">
        <v>0</v>
      </c>
      <c r="D4" s="67">
        <v>0</v>
      </c>
      <c r="E4" s="67">
        <v>0</v>
      </c>
      <c r="F4" s="67">
        <v>3</v>
      </c>
    </row>
    <row r="5" spans="1:6" x14ac:dyDescent="0.3">
      <c r="A5">
        <v>4</v>
      </c>
      <c r="B5" s="67">
        <v>2</v>
      </c>
      <c r="C5" s="67">
        <v>0</v>
      </c>
      <c r="D5" s="67">
        <v>0</v>
      </c>
      <c r="E5" s="67">
        <v>0</v>
      </c>
      <c r="F5" s="67">
        <v>3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347E9-8CD0-4E7F-BBAA-ED0CBDA62C41}">
  <dimension ref="A1:F16"/>
  <sheetViews>
    <sheetView workbookViewId="0">
      <selection activeCell="B24" sqref="B24"/>
    </sheetView>
  </sheetViews>
  <sheetFormatPr baseColWidth="10" defaultRowHeight="14.4" x14ac:dyDescent="0.3"/>
  <sheetData>
    <row r="1" spans="1:6" x14ac:dyDescent="0.3">
      <c r="A1" s="71" t="s">
        <v>343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1</v>
      </c>
      <c r="C2" s="67">
        <v>1</v>
      </c>
      <c r="D2" s="67">
        <v>1</v>
      </c>
      <c r="E2" s="67">
        <v>1</v>
      </c>
      <c r="F2" s="67">
        <v>0</v>
      </c>
    </row>
    <row r="3" spans="1:6" x14ac:dyDescent="0.3">
      <c r="A3">
        <v>2</v>
      </c>
      <c r="B3" s="67">
        <v>1</v>
      </c>
      <c r="C3" s="67">
        <v>1</v>
      </c>
      <c r="D3" s="67">
        <v>1</v>
      </c>
      <c r="E3" s="67">
        <v>1</v>
      </c>
      <c r="F3" s="67">
        <v>0</v>
      </c>
    </row>
    <row r="4" spans="1:6" x14ac:dyDescent="0.3">
      <c r="A4">
        <v>3</v>
      </c>
      <c r="B4" s="67">
        <v>1</v>
      </c>
      <c r="C4" s="67">
        <v>1</v>
      </c>
      <c r="D4" s="67">
        <v>1</v>
      </c>
      <c r="E4" s="67">
        <v>1</v>
      </c>
      <c r="F4" s="67">
        <v>0</v>
      </c>
    </row>
    <row r="5" spans="1:6" x14ac:dyDescent="0.3">
      <c r="A5">
        <v>4</v>
      </c>
      <c r="B5" s="67">
        <v>1</v>
      </c>
      <c r="C5" s="67">
        <v>1</v>
      </c>
      <c r="D5" s="67">
        <v>1</v>
      </c>
      <c r="E5" s="67">
        <v>1</v>
      </c>
      <c r="F5" s="67">
        <v>0</v>
      </c>
    </row>
    <row r="6" spans="1:6" x14ac:dyDescent="0.3">
      <c r="A6">
        <v>5</v>
      </c>
      <c r="B6" s="67">
        <v>1</v>
      </c>
      <c r="C6" s="67">
        <v>1</v>
      </c>
      <c r="D6" s="67">
        <v>1</v>
      </c>
      <c r="E6" s="67">
        <v>1</v>
      </c>
      <c r="F6" s="67">
        <v>0</v>
      </c>
    </row>
    <row r="7" spans="1:6" x14ac:dyDescent="0.3">
      <c r="A7">
        <v>6</v>
      </c>
      <c r="B7" s="67">
        <v>1</v>
      </c>
      <c r="C7" s="67">
        <v>1</v>
      </c>
      <c r="D7" s="67">
        <v>1</v>
      </c>
      <c r="E7" s="67">
        <v>1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92DBA-F793-4FB1-B1A1-D450C57B43DC}">
  <dimension ref="A1:F16"/>
  <sheetViews>
    <sheetView workbookViewId="0">
      <selection activeCell="C22" sqref="C22"/>
    </sheetView>
  </sheetViews>
  <sheetFormatPr baseColWidth="10" defaultRowHeight="14.4" x14ac:dyDescent="0.3"/>
  <sheetData>
    <row r="1" spans="1:6" x14ac:dyDescent="0.3">
      <c r="A1" s="71" t="s">
        <v>410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3</v>
      </c>
      <c r="C12" s="69">
        <v>3</v>
      </c>
      <c r="D12" s="69">
        <v>3</v>
      </c>
      <c r="E12" s="69">
        <v>3</v>
      </c>
      <c r="F12" s="69">
        <v>3</v>
      </c>
    </row>
    <row r="13" spans="1:6" x14ac:dyDescent="0.3">
      <c r="A13">
        <v>12</v>
      </c>
      <c r="B13" s="69">
        <v>1</v>
      </c>
      <c r="C13" s="69">
        <v>3</v>
      </c>
      <c r="D13" s="69">
        <v>3</v>
      </c>
      <c r="E13" s="69">
        <v>1</v>
      </c>
      <c r="F13" s="69">
        <v>3</v>
      </c>
    </row>
    <row r="14" spans="1:6" x14ac:dyDescent="0.3">
      <c r="A14">
        <v>13</v>
      </c>
      <c r="B14" s="69">
        <v>1</v>
      </c>
      <c r="C14" s="69">
        <v>3</v>
      </c>
      <c r="D14" s="69">
        <v>3</v>
      </c>
      <c r="E14" s="69">
        <v>1</v>
      </c>
      <c r="F14" s="69">
        <v>3</v>
      </c>
    </row>
    <row r="15" spans="1:6" x14ac:dyDescent="0.3">
      <c r="A15">
        <v>14</v>
      </c>
      <c r="B15" s="69">
        <v>1</v>
      </c>
      <c r="C15" s="69">
        <v>3</v>
      </c>
      <c r="D15" s="69">
        <v>3</v>
      </c>
      <c r="E15" s="69">
        <v>1</v>
      </c>
      <c r="F15" s="69">
        <v>3</v>
      </c>
    </row>
    <row r="16" spans="1:6" x14ac:dyDescent="0.3">
      <c r="A16">
        <v>15</v>
      </c>
      <c r="B16" s="69">
        <v>3</v>
      </c>
      <c r="C16" s="69">
        <v>3</v>
      </c>
      <c r="D16" s="69">
        <v>3</v>
      </c>
      <c r="E16" s="69">
        <v>3</v>
      </c>
      <c r="F16" s="69">
        <v>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27EEF-C571-4AD1-A862-5C39B3B9047F}">
  <dimension ref="A1:F16"/>
  <sheetViews>
    <sheetView workbookViewId="0">
      <selection activeCell="E23" sqref="E23"/>
    </sheetView>
  </sheetViews>
  <sheetFormatPr baseColWidth="10" defaultRowHeight="14.4" x14ac:dyDescent="0.3"/>
  <sheetData>
    <row r="1" spans="1:6" x14ac:dyDescent="0.3">
      <c r="A1" s="71" t="s">
        <v>360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1</v>
      </c>
      <c r="C2" s="67">
        <v>1</v>
      </c>
      <c r="D2" s="67">
        <v>0</v>
      </c>
      <c r="E2" s="67">
        <v>1</v>
      </c>
      <c r="F2" s="67">
        <v>0</v>
      </c>
    </row>
    <row r="3" spans="1:6" x14ac:dyDescent="0.3">
      <c r="A3">
        <v>2</v>
      </c>
      <c r="B3" s="67">
        <v>1</v>
      </c>
      <c r="C3" s="67">
        <v>1</v>
      </c>
      <c r="D3" s="67">
        <v>0</v>
      </c>
      <c r="E3" s="67">
        <v>1</v>
      </c>
      <c r="F3" s="67">
        <v>0</v>
      </c>
    </row>
    <row r="4" spans="1:6" x14ac:dyDescent="0.3">
      <c r="A4">
        <v>3</v>
      </c>
      <c r="B4" s="67">
        <v>2</v>
      </c>
      <c r="C4" s="67">
        <v>2</v>
      </c>
      <c r="D4" s="67">
        <v>2</v>
      </c>
      <c r="E4" s="67">
        <v>2</v>
      </c>
      <c r="F4" s="67">
        <v>2</v>
      </c>
    </row>
    <row r="5" spans="1:6" x14ac:dyDescent="0.3">
      <c r="A5">
        <v>4</v>
      </c>
      <c r="B5" s="67">
        <v>2</v>
      </c>
      <c r="C5" s="67">
        <v>2</v>
      </c>
      <c r="D5" s="67">
        <v>2</v>
      </c>
      <c r="E5" s="67">
        <v>2</v>
      </c>
      <c r="F5" s="67">
        <v>2</v>
      </c>
    </row>
    <row r="6" spans="1:6" x14ac:dyDescent="0.3">
      <c r="A6">
        <v>5</v>
      </c>
      <c r="B6" s="67">
        <v>3</v>
      </c>
      <c r="C6" s="67">
        <v>3</v>
      </c>
      <c r="D6" s="67">
        <v>3</v>
      </c>
      <c r="E6" s="67">
        <v>3</v>
      </c>
      <c r="F6" s="67">
        <v>0</v>
      </c>
    </row>
    <row r="7" spans="1:6" x14ac:dyDescent="0.3">
      <c r="A7">
        <v>6</v>
      </c>
      <c r="B7" s="67">
        <v>3</v>
      </c>
      <c r="C7" s="67">
        <v>3</v>
      </c>
      <c r="D7" s="67">
        <v>3</v>
      </c>
      <c r="E7" s="67">
        <v>3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8C506-FA74-42B9-9576-8ED2BFE44537}">
  <dimension ref="A1:F16"/>
  <sheetViews>
    <sheetView workbookViewId="0">
      <selection activeCell="I12" sqref="I12"/>
    </sheetView>
  </sheetViews>
  <sheetFormatPr baseColWidth="10" defaultRowHeight="14.4" x14ac:dyDescent="0.3"/>
  <sheetData>
    <row r="1" spans="1:6" x14ac:dyDescent="0.3">
      <c r="A1" s="71" t="s">
        <v>112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1</v>
      </c>
      <c r="C4" s="67">
        <v>1</v>
      </c>
      <c r="D4" s="67">
        <v>1</v>
      </c>
      <c r="E4" s="67">
        <v>1</v>
      </c>
      <c r="F4" s="67">
        <v>1</v>
      </c>
    </row>
    <row r="5" spans="1:6" x14ac:dyDescent="0.3">
      <c r="A5">
        <v>4</v>
      </c>
      <c r="B5" s="67">
        <v>1</v>
      </c>
      <c r="C5" s="67">
        <v>1</v>
      </c>
      <c r="D5" s="67">
        <v>1</v>
      </c>
      <c r="E5" s="67">
        <v>1</v>
      </c>
      <c r="F5" s="67">
        <v>1</v>
      </c>
    </row>
    <row r="6" spans="1:6" x14ac:dyDescent="0.3">
      <c r="A6">
        <v>5</v>
      </c>
      <c r="B6" s="67">
        <v>1</v>
      </c>
      <c r="C6" s="67">
        <v>1</v>
      </c>
      <c r="D6" s="67">
        <v>1</v>
      </c>
      <c r="E6" s="67">
        <v>1</v>
      </c>
      <c r="F6" s="67">
        <v>1</v>
      </c>
    </row>
    <row r="7" spans="1:6" x14ac:dyDescent="0.3">
      <c r="A7">
        <v>6</v>
      </c>
      <c r="B7" s="67">
        <v>1</v>
      </c>
      <c r="C7" s="67">
        <v>1</v>
      </c>
      <c r="D7" s="67">
        <v>1</v>
      </c>
      <c r="E7" s="67">
        <v>1</v>
      </c>
      <c r="F7" s="67">
        <v>1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02D9-961A-454B-8D92-96499A913AA7}">
  <dimension ref="A1:F16"/>
  <sheetViews>
    <sheetView workbookViewId="0">
      <selection activeCell="C20" sqref="C20"/>
    </sheetView>
  </sheetViews>
  <sheetFormatPr baseColWidth="10" defaultRowHeight="14.4" x14ac:dyDescent="0.3"/>
  <sheetData>
    <row r="1" spans="1:6" x14ac:dyDescent="0.3">
      <c r="A1" s="71" t="s">
        <v>390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1</v>
      </c>
      <c r="D2" s="67">
        <v>1</v>
      </c>
      <c r="E2" s="67">
        <v>1</v>
      </c>
      <c r="F2" s="67">
        <v>0</v>
      </c>
    </row>
    <row r="3" spans="1:6" x14ac:dyDescent="0.3">
      <c r="A3">
        <v>2</v>
      </c>
      <c r="B3" s="67">
        <v>1</v>
      </c>
      <c r="C3" s="67">
        <v>1</v>
      </c>
      <c r="D3" s="67">
        <v>1</v>
      </c>
      <c r="E3" s="67">
        <v>1</v>
      </c>
      <c r="F3" s="67">
        <v>1</v>
      </c>
    </row>
    <row r="4" spans="1:6" x14ac:dyDescent="0.3">
      <c r="A4">
        <v>3</v>
      </c>
      <c r="B4" s="67">
        <v>2</v>
      </c>
      <c r="C4" s="67">
        <v>2</v>
      </c>
      <c r="D4" s="67">
        <v>2</v>
      </c>
      <c r="E4" s="67">
        <v>2</v>
      </c>
      <c r="F4" s="67">
        <v>2</v>
      </c>
    </row>
    <row r="5" spans="1:6" x14ac:dyDescent="0.3">
      <c r="A5">
        <v>4</v>
      </c>
      <c r="B5" s="67">
        <v>2</v>
      </c>
      <c r="C5" s="67">
        <v>2</v>
      </c>
      <c r="D5" s="67">
        <v>2</v>
      </c>
      <c r="E5" s="67">
        <v>2</v>
      </c>
      <c r="F5" s="67">
        <v>2</v>
      </c>
    </row>
    <row r="6" spans="1:6" x14ac:dyDescent="0.3">
      <c r="A6">
        <v>5</v>
      </c>
      <c r="B6" s="67">
        <v>3</v>
      </c>
      <c r="C6" s="67">
        <v>3</v>
      </c>
      <c r="D6" s="67">
        <v>3</v>
      </c>
      <c r="E6" s="67">
        <v>3</v>
      </c>
      <c r="F6" s="67">
        <v>3</v>
      </c>
    </row>
    <row r="7" spans="1:6" x14ac:dyDescent="0.3">
      <c r="A7">
        <v>6</v>
      </c>
      <c r="B7" s="67">
        <v>3</v>
      </c>
      <c r="C7" s="67">
        <v>3</v>
      </c>
      <c r="D7" s="67">
        <v>3</v>
      </c>
      <c r="E7" s="67">
        <v>3</v>
      </c>
      <c r="F7" s="67">
        <v>3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A936A-FC79-4730-9952-351E43809F11}">
  <dimension ref="A1:F16"/>
  <sheetViews>
    <sheetView workbookViewId="0">
      <selection activeCell="C22" sqref="C22"/>
    </sheetView>
  </sheetViews>
  <sheetFormatPr baseColWidth="10" defaultRowHeight="14.4" x14ac:dyDescent="0.3"/>
  <sheetData>
    <row r="1" spans="1:6" x14ac:dyDescent="0.3">
      <c r="A1" s="71" t="s">
        <v>104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3</v>
      </c>
      <c r="D2" s="67">
        <v>0</v>
      </c>
      <c r="E2" s="67">
        <v>3</v>
      </c>
      <c r="F2" s="67">
        <v>0</v>
      </c>
    </row>
    <row r="3" spans="1:6" x14ac:dyDescent="0.3">
      <c r="A3">
        <v>2</v>
      </c>
      <c r="B3" s="67">
        <v>0</v>
      </c>
      <c r="C3" s="67">
        <v>3</v>
      </c>
      <c r="D3" s="67">
        <v>0</v>
      </c>
      <c r="E3" s="67">
        <v>3</v>
      </c>
      <c r="F3" s="67">
        <v>0</v>
      </c>
    </row>
    <row r="4" spans="1:6" x14ac:dyDescent="0.3">
      <c r="A4">
        <v>3</v>
      </c>
      <c r="B4" s="67">
        <v>0</v>
      </c>
      <c r="C4" s="67">
        <v>2</v>
      </c>
      <c r="D4" s="67">
        <v>0</v>
      </c>
      <c r="E4" s="67">
        <v>2</v>
      </c>
      <c r="F4" s="67">
        <v>0</v>
      </c>
    </row>
    <row r="5" spans="1:6" x14ac:dyDescent="0.3">
      <c r="A5">
        <v>4</v>
      </c>
      <c r="B5" s="67">
        <v>0</v>
      </c>
      <c r="C5" s="67">
        <v>1</v>
      </c>
      <c r="D5" s="67">
        <v>0</v>
      </c>
      <c r="E5" s="67">
        <v>1</v>
      </c>
      <c r="F5" s="67">
        <v>0</v>
      </c>
    </row>
    <row r="6" spans="1:6" x14ac:dyDescent="0.3">
      <c r="A6">
        <v>5</v>
      </c>
      <c r="B6" s="67">
        <v>0</v>
      </c>
      <c r="C6" s="67">
        <v>1</v>
      </c>
      <c r="D6" s="67">
        <v>0</v>
      </c>
      <c r="E6" s="67">
        <v>1</v>
      </c>
      <c r="F6" s="67">
        <v>0</v>
      </c>
    </row>
    <row r="7" spans="1:6" x14ac:dyDescent="0.3">
      <c r="A7">
        <v>6</v>
      </c>
      <c r="B7" s="67">
        <v>0</v>
      </c>
      <c r="C7" s="67">
        <v>1</v>
      </c>
      <c r="D7" s="67">
        <v>0</v>
      </c>
      <c r="E7" s="67">
        <v>1</v>
      </c>
      <c r="F7" s="67">
        <v>0</v>
      </c>
    </row>
    <row r="8" spans="1:6" x14ac:dyDescent="0.3">
      <c r="A8">
        <v>7</v>
      </c>
      <c r="B8" s="68">
        <v>0</v>
      </c>
      <c r="C8" s="68">
        <v>1</v>
      </c>
      <c r="D8" s="68">
        <v>0</v>
      </c>
      <c r="E8" s="68">
        <v>1</v>
      </c>
      <c r="F8" s="68">
        <v>0</v>
      </c>
    </row>
    <row r="9" spans="1:6" x14ac:dyDescent="0.3">
      <c r="A9">
        <v>8</v>
      </c>
      <c r="B9" s="68">
        <v>0</v>
      </c>
      <c r="C9" s="68">
        <v>1</v>
      </c>
      <c r="D9" s="68">
        <v>0</v>
      </c>
      <c r="E9" s="68">
        <v>1</v>
      </c>
      <c r="F9" s="68">
        <v>0</v>
      </c>
    </row>
    <row r="10" spans="1:6" x14ac:dyDescent="0.3">
      <c r="A10">
        <v>9</v>
      </c>
      <c r="B10" s="68">
        <v>0</v>
      </c>
      <c r="C10" s="68">
        <v>1</v>
      </c>
      <c r="D10" s="68">
        <v>0</v>
      </c>
      <c r="E10" s="68">
        <v>1</v>
      </c>
      <c r="F10" s="68">
        <v>0</v>
      </c>
    </row>
    <row r="11" spans="1:6" x14ac:dyDescent="0.3">
      <c r="A11">
        <v>10</v>
      </c>
      <c r="B11" s="68">
        <v>0</v>
      </c>
      <c r="C11" s="68">
        <v>2</v>
      </c>
      <c r="D11" s="68">
        <v>0</v>
      </c>
      <c r="E11" s="68">
        <v>2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7DB1D-E36C-413B-817A-A05124E6288C}">
  <dimension ref="A1:F16"/>
  <sheetViews>
    <sheetView workbookViewId="0">
      <selection activeCell="K14" sqref="K14"/>
    </sheetView>
  </sheetViews>
  <sheetFormatPr baseColWidth="10" defaultRowHeight="14.4" x14ac:dyDescent="0.3"/>
  <sheetData>
    <row r="1" spans="1:6" x14ac:dyDescent="0.3">
      <c r="A1" s="71" t="s">
        <v>374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1</v>
      </c>
      <c r="C2" s="67">
        <v>1</v>
      </c>
      <c r="D2" s="67">
        <v>1</v>
      </c>
      <c r="E2" s="67">
        <v>1</v>
      </c>
      <c r="F2" s="67">
        <v>0</v>
      </c>
    </row>
    <row r="3" spans="1:6" x14ac:dyDescent="0.3">
      <c r="A3">
        <v>2</v>
      </c>
      <c r="B3" s="67">
        <v>1</v>
      </c>
      <c r="C3" s="67">
        <v>2</v>
      </c>
      <c r="D3" s="67">
        <v>2</v>
      </c>
      <c r="E3" s="67">
        <v>1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3</v>
      </c>
      <c r="C7" s="67">
        <v>3</v>
      </c>
      <c r="D7" s="67">
        <v>3</v>
      </c>
      <c r="E7" s="67">
        <v>3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9DACD-2695-4820-80CA-F7CC79252362}">
  <dimension ref="A1:F16"/>
  <sheetViews>
    <sheetView workbookViewId="0">
      <selection activeCell="C22" sqref="C22"/>
    </sheetView>
  </sheetViews>
  <sheetFormatPr baseColWidth="10" defaultRowHeight="14.4" x14ac:dyDescent="0.3"/>
  <sheetData>
    <row r="1" spans="1:6" x14ac:dyDescent="0.3">
      <c r="A1" s="71" t="s">
        <v>493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1</v>
      </c>
      <c r="C11" s="68">
        <v>0</v>
      </c>
      <c r="D11" s="68">
        <v>3</v>
      </c>
      <c r="E11" s="68">
        <v>1</v>
      </c>
      <c r="F11" s="68">
        <v>1</v>
      </c>
    </row>
    <row r="12" spans="1:6" x14ac:dyDescent="0.3">
      <c r="A12">
        <v>11</v>
      </c>
      <c r="B12" s="69">
        <v>1</v>
      </c>
      <c r="C12" s="69">
        <v>0</v>
      </c>
      <c r="D12" s="69">
        <v>3</v>
      </c>
      <c r="E12" s="69">
        <v>1</v>
      </c>
      <c r="F12" s="69">
        <v>1</v>
      </c>
    </row>
    <row r="13" spans="1:6" x14ac:dyDescent="0.3">
      <c r="A13">
        <v>12</v>
      </c>
      <c r="B13" s="69">
        <v>1</v>
      </c>
      <c r="C13" s="69">
        <v>0</v>
      </c>
      <c r="D13" s="69">
        <v>3</v>
      </c>
      <c r="E13" s="69">
        <v>1</v>
      </c>
      <c r="F13" s="69">
        <v>1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545C2-FA7F-47CE-9535-5EB33B9C7E4B}">
  <dimension ref="A1:F16"/>
  <sheetViews>
    <sheetView workbookViewId="0">
      <selection activeCell="D20" sqref="D20"/>
    </sheetView>
  </sheetViews>
  <sheetFormatPr baseColWidth="10" defaultRowHeight="14.4" x14ac:dyDescent="0.3"/>
  <sheetData>
    <row r="1" spans="1:6" x14ac:dyDescent="0.3">
      <c r="A1" s="71" t="s">
        <v>483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2</v>
      </c>
    </row>
    <row r="14" spans="1:6" x14ac:dyDescent="0.3">
      <c r="A14">
        <v>13</v>
      </c>
      <c r="B14" s="69">
        <v>1</v>
      </c>
      <c r="C14" s="69">
        <v>1</v>
      </c>
      <c r="D14" s="69">
        <v>1</v>
      </c>
      <c r="E14" s="69">
        <v>1</v>
      </c>
      <c r="F14" s="69">
        <v>1</v>
      </c>
    </row>
    <row r="15" spans="1:6" x14ac:dyDescent="0.3">
      <c r="A15">
        <v>14</v>
      </c>
      <c r="B15" s="69">
        <v>1</v>
      </c>
      <c r="C15" s="69">
        <v>1</v>
      </c>
      <c r="D15" s="69">
        <v>1</v>
      </c>
      <c r="E15" s="69">
        <v>1</v>
      </c>
      <c r="F15" s="69">
        <v>1</v>
      </c>
    </row>
    <row r="16" spans="1:6" x14ac:dyDescent="0.3">
      <c r="A16">
        <v>15</v>
      </c>
      <c r="B16" s="69">
        <v>1</v>
      </c>
      <c r="C16" s="69">
        <v>1</v>
      </c>
      <c r="D16" s="69">
        <v>1</v>
      </c>
      <c r="E16" s="69">
        <v>1</v>
      </c>
      <c r="F16" s="69">
        <v>1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B119B-D16B-4517-8C3B-7671D6D03CB3}">
  <dimension ref="A1:F16"/>
  <sheetViews>
    <sheetView workbookViewId="0">
      <selection activeCell="E19" sqref="E19"/>
    </sheetView>
  </sheetViews>
  <sheetFormatPr baseColWidth="10" defaultRowHeight="14.4" x14ac:dyDescent="0.3"/>
  <sheetData>
    <row r="1" spans="1:6" x14ac:dyDescent="0.3">
      <c r="A1" s="71" t="s">
        <v>384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3</v>
      </c>
      <c r="C4" s="67">
        <v>3</v>
      </c>
      <c r="D4" s="67">
        <v>3</v>
      </c>
      <c r="E4" s="67">
        <v>3</v>
      </c>
      <c r="F4" s="67">
        <v>3</v>
      </c>
    </row>
    <row r="5" spans="1:6" x14ac:dyDescent="0.3">
      <c r="A5">
        <v>4</v>
      </c>
      <c r="B5" s="67">
        <v>1</v>
      </c>
      <c r="C5" s="67">
        <v>1</v>
      </c>
      <c r="D5" s="67">
        <v>1</v>
      </c>
      <c r="E5" s="67">
        <v>1</v>
      </c>
      <c r="F5" s="67">
        <v>1</v>
      </c>
    </row>
    <row r="6" spans="1:6" x14ac:dyDescent="0.3">
      <c r="A6">
        <v>5</v>
      </c>
      <c r="B6" s="67">
        <v>2</v>
      </c>
      <c r="C6" s="67">
        <v>2</v>
      </c>
      <c r="D6" s="67">
        <v>2</v>
      </c>
      <c r="E6" s="67">
        <v>2</v>
      </c>
      <c r="F6" s="67">
        <v>2</v>
      </c>
    </row>
    <row r="7" spans="1:6" x14ac:dyDescent="0.3">
      <c r="A7">
        <v>6</v>
      </c>
      <c r="B7" s="67">
        <v>3</v>
      </c>
      <c r="C7" s="67">
        <v>3</v>
      </c>
      <c r="D7" s="67">
        <v>3</v>
      </c>
      <c r="E7" s="67">
        <v>3</v>
      </c>
      <c r="F7" s="67">
        <v>3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89B3D-78C7-42CA-AC2A-DAC78D85EFC9}">
  <dimension ref="A1:F16"/>
  <sheetViews>
    <sheetView workbookViewId="0">
      <selection activeCell="D26" sqref="D26"/>
    </sheetView>
  </sheetViews>
  <sheetFormatPr baseColWidth="10" defaultRowHeight="14.4" x14ac:dyDescent="0.3"/>
  <sheetData>
    <row r="1" spans="1:6" x14ac:dyDescent="0.3">
      <c r="A1" t="s">
        <v>113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A0A30-5BB2-47B7-9961-9E345C66B29F}">
  <dimension ref="A1:F16"/>
  <sheetViews>
    <sheetView workbookViewId="0">
      <selection activeCell="B2" sqref="B2:F16"/>
    </sheetView>
  </sheetViews>
  <sheetFormatPr baseColWidth="10" defaultRowHeight="14.4" x14ac:dyDescent="0.3"/>
  <sheetData>
    <row r="1" spans="1:6" x14ac:dyDescent="0.3">
      <c r="A1" s="71" t="s">
        <v>122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2</v>
      </c>
      <c r="C2" s="67">
        <v>1</v>
      </c>
      <c r="D2" s="67">
        <v>2</v>
      </c>
      <c r="E2" s="67">
        <v>1</v>
      </c>
      <c r="F2" s="67">
        <v>1</v>
      </c>
    </row>
    <row r="3" spans="1:6" x14ac:dyDescent="0.3">
      <c r="A3">
        <v>2</v>
      </c>
      <c r="B3" s="67">
        <v>2</v>
      </c>
      <c r="C3" s="67">
        <v>1</v>
      </c>
      <c r="D3" s="67">
        <v>2</v>
      </c>
      <c r="E3" s="67">
        <v>1</v>
      </c>
      <c r="F3" s="67">
        <v>1</v>
      </c>
    </row>
    <row r="4" spans="1:6" x14ac:dyDescent="0.3">
      <c r="A4">
        <v>3</v>
      </c>
      <c r="B4" s="67">
        <v>0</v>
      </c>
      <c r="C4" s="67">
        <v>3</v>
      </c>
      <c r="D4" s="67">
        <v>3</v>
      </c>
      <c r="E4" s="67">
        <v>2</v>
      </c>
      <c r="F4" s="67">
        <v>2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3</v>
      </c>
      <c r="C12" s="69">
        <v>0</v>
      </c>
      <c r="D12" s="69">
        <v>3</v>
      </c>
      <c r="E12" s="69">
        <v>0</v>
      </c>
      <c r="F12" s="69">
        <v>0</v>
      </c>
    </row>
    <row r="13" spans="1:6" x14ac:dyDescent="0.3">
      <c r="A13">
        <v>12</v>
      </c>
      <c r="B13" s="69">
        <v>1</v>
      </c>
      <c r="C13" s="69">
        <v>0</v>
      </c>
      <c r="D13" s="69">
        <v>1</v>
      </c>
      <c r="E13" s="69">
        <v>0</v>
      </c>
      <c r="F13" s="69">
        <v>0</v>
      </c>
    </row>
    <row r="14" spans="1:6" x14ac:dyDescent="0.3">
      <c r="A14">
        <v>13</v>
      </c>
      <c r="B14" s="69">
        <v>1</v>
      </c>
      <c r="C14" s="69">
        <v>1</v>
      </c>
      <c r="D14" s="69">
        <v>1</v>
      </c>
      <c r="E14" s="69">
        <v>1</v>
      </c>
      <c r="F14" s="69">
        <v>1</v>
      </c>
    </row>
    <row r="15" spans="1:6" x14ac:dyDescent="0.3">
      <c r="A15">
        <v>14</v>
      </c>
      <c r="B15" s="69">
        <v>1</v>
      </c>
      <c r="C15" s="69">
        <v>1</v>
      </c>
      <c r="D15" s="69">
        <v>1</v>
      </c>
      <c r="E15" s="69">
        <v>1</v>
      </c>
      <c r="F15" s="69">
        <v>1</v>
      </c>
    </row>
    <row r="16" spans="1:6" x14ac:dyDescent="0.3">
      <c r="A16">
        <v>15</v>
      </c>
      <c r="B16" s="69">
        <v>1</v>
      </c>
      <c r="C16" s="69">
        <v>1</v>
      </c>
      <c r="D16" s="69">
        <v>1</v>
      </c>
      <c r="E16" s="69">
        <v>1</v>
      </c>
      <c r="F16" s="69">
        <v>1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6F7BB-C36D-476E-A25A-2028C54A14EC}">
  <dimension ref="A1:F16"/>
  <sheetViews>
    <sheetView workbookViewId="0"/>
  </sheetViews>
  <sheetFormatPr baseColWidth="10" defaultRowHeight="14.4" x14ac:dyDescent="0.3"/>
  <sheetData>
    <row r="1" spans="1:6" x14ac:dyDescent="0.3">
      <c r="A1" t="s">
        <v>346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4FF43-5B67-47F0-933E-19D29BA96F92}">
  <dimension ref="A1:F16"/>
  <sheetViews>
    <sheetView workbookViewId="0">
      <selection activeCell="C25" sqref="C25"/>
    </sheetView>
  </sheetViews>
  <sheetFormatPr baseColWidth="10" defaultRowHeight="14.4" x14ac:dyDescent="0.3"/>
  <sheetData>
    <row r="1" spans="1:6" x14ac:dyDescent="0.3">
      <c r="A1" s="71" t="s">
        <v>386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1</v>
      </c>
      <c r="C2" s="67">
        <v>1</v>
      </c>
      <c r="D2" s="67">
        <v>1</v>
      </c>
      <c r="E2" s="67">
        <v>1</v>
      </c>
      <c r="F2" s="67">
        <v>1</v>
      </c>
    </row>
    <row r="3" spans="1:6" x14ac:dyDescent="0.3">
      <c r="A3">
        <v>2</v>
      </c>
      <c r="B3" s="67">
        <v>1</v>
      </c>
      <c r="C3" s="67">
        <v>1</v>
      </c>
      <c r="D3" s="67">
        <v>1</v>
      </c>
      <c r="E3" s="67">
        <v>1</v>
      </c>
      <c r="F3" s="67">
        <v>1</v>
      </c>
    </row>
    <row r="4" spans="1:6" x14ac:dyDescent="0.3">
      <c r="A4">
        <v>3</v>
      </c>
      <c r="B4" s="67">
        <v>1</v>
      </c>
      <c r="C4" s="67">
        <v>1</v>
      </c>
      <c r="D4" s="67">
        <v>1</v>
      </c>
      <c r="E4" s="67">
        <v>1</v>
      </c>
      <c r="F4" s="67">
        <v>1</v>
      </c>
    </row>
    <row r="5" spans="1:6" x14ac:dyDescent="0.3">
      <c r="A5">
        <v>4</v>
      </c>
      <c r="B5" s="67">
        <v>1</v>
      </c>
      <c r="C5" s="67">
        <v>1</v>
      </c>
      <c r="D5" s="67">
        <v>1</v>
      </c>
      <c r="E5" s="67">
        <v>1</v>
      </c>
      <c r="F5" s="67">
        <v>1</v>
      </c>
    </row>
    <row r="6" spans="1:6" x14ac:dyDescent="0.3">
      <c r="A6">
        <v>5</v>
      </c>
      <c r="B6" s="67">
        <v>1</v>
      </c>
      <c r="C6" s="67">
        <v>1</v>
      </c>
      <c r="D6" s="67">
        <v>1</v>
      </c>
      <c r="E6" s="67">
        <v>1</v>
      </c>
      <c r="F6" s="67">
        <v>1</v>
      </c>
    </row>
    <row r="7" spans="1:6" x14ac:dyDescent="0.3">
      <c r="A7">
        <v>6</v>
      </c>
      <c r="B7" s="67">
        <v>1</v>
      </c>
      <c r="C7" s="67">
        <v>1</v>
      </c>
      <c r="D7" s="67">
        <v>1</v>
      </c>
      <c r="E7" s="67">
        <v>1</v>
      </c>
      <c r="F7" s="67">
        <v>1</v>
      </c>
    </row>
    <row r="8" spans="1:6" x14ac:dyDescent="0.3">
      <c r="A8">
        <v>7</v>
      </c>
      <c r="B8" s="68">
        <v>1</v>
      </c>
      <c r="C8" s="68">
        <v>1</v>
      </c>
      <c r="D8" s="68">
        <v>1</v>
      </c>
      <c r="E8" s="68">
        <v>1</v>
      </c>
      <c r="F8" s="68">
        <v>1</v>
      </c>
    </row>
    <row r="9" spans="1:6" x14ac:dyDescent="0.3">
      <c r="A9">
        <v>8</v>
      </c>
      <c r="B9" s="68">
        <v>1</v>
      </c>
      <c r="C9" s="68">
        <v>1</v>
      </c>
      <c r="D9" s="68">
        <v>1</v>
      </c>
      <c r="E9" s="68">
        <v>1</v>
      </c>
      <c r="F9" s="68">
        <v>1</v>
      </c>
    </row>
    <row r="10" spans="1:6" x14ac:dyDescent="0.3">
      <c r="A10">
        <v>9</v>
      </c>
      <c r="B10" s="68">
        <v>1</v>
      </c>
      <c r="C10" s="68">
        <v>1</v>
      </c>
      <c r="D10" s="68">
        <v>1</v>
      </c>
      <c r="E10" s="68">
        <v>1</v>
      </c>
      <c r="F10" s="68">
        <v>1</v>
      </c>
    </row>
    <row r="11" spans="1:6" x14ac:dyDescent="0.3">
      <c r="A11">
        <v>10</v>
      </c>
      <c r="B11" s="68">
        <v>1</v>
      </c>
      <c r="C11" s="68">
        <v>1</v>
      </c>
      <c r="D11" s="68">
        <v>1</v>
      </c>
      <c r="E11" s="68">
        <v>1</v>
      </c>
      <c r="F11" s="68">
        <v>1</v>
      </c>
    </row>
    <row r="12" spans="1:6" x14ac:dyDescent="0.3">
      <c r="A12">
        <v>11</v>
      </c>
      <c r="B12" s="69">
        <v>1</v>
      </c>
      <c r="C12" s="69">
        <v>1</v>
      </c>
      <c r="D12" s="69">
        <v>1</v>
      </c>
      <c r="E12" s="69">
        <v>1</v>
      </c>
      <c r="F12" s="69">
        <v>1</v>
      </c>
    </row>
    <row r="13" spans="1:6" x14ac:dyDescent="0.3">
      <c r="A13">
        <v>12</v>
      </c>
      <c r="B13" s="69">
        <v>1</v>
      </c>
      <c r="C13" s="69">
        <v>1</v>
      </c>
      <c r="D13" s="69">
        <v>1</v>
      </c>
      <c r="E13" s="69">
        <v>1</v>
      </c>
      <c r="F13" s="69">
        <v>1</v>
      </c>
    </row>
    <row r="14" spans="1:6" x14ac:dyDescent="0.3">
      <c r="A14">
        <v>13</v>
      </c>
      <c r="B14" s="69">
        <v>1</v>
      </c>
      <c r="C14" s="69">
        <v>1</v>
      </c>
      <c r="D14" s="69">
        <v>1</v>
      </c>
      <c r="E14" s="69">
        <v>1</v>
      </c>
      <c r="F14" s="69">
        <v>1</v>
      </c>
    </row>
    <row r="15" spans="1:6" x14ac:dyDescent="0.3">
      <c r="A15">
        <v>14</v>
      </c>
      <c r="B15" s="69">
        <v>1</v>
      </c>
      <c r="C15" s="69">
        <v>1</v>
      </c>
      <c r="D15" s="69">
        <v>1</v>
      </c>
      <c r="E15" s="69">
        <v>1</v>
      </c>
      <c r="F15" s="69">
        <v>1</v>
      </c>
    </row>
    <row r="16" spans="1:6" x14ac:dyDescent="0.3">
      <c r="A16">
        <v>15</v>
      </c>
      <c r="B16" s="69">
        <v>1</v>
      </c>
      <c r="C16" s="69">
        <v>1</v>
      </c>
      <c r="D16" s="69">
        <v>1</v>
      </c>
      <c r="E16" s="69">
        <v>1</v>
      </c>
      <c r="F16" s="69">
        <v>1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255E5-17CC-48BD-9EBE-DCC68FBB89A5}">
  <dimension ref="A1:F16"/>
  <sheetViews>
    <sheetView workbookViewId="0"/>
  </sheetViews>
  <sheetFormatPr baseColWidth="10" defaultRowHeight="14.4" x14ac:dyDescent="0.3"/>
  <sheetData>
    <row r="1" spans="1:6" x14ac:dyDescent="0.3">
      <c r="A1" t="s">
        <v>434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686FE-3FDC-4AB6-B0FC-FF632BE5EF32}">
  <dimension ref="A1:F16"/>
  <sheetViews>
    <sheetView workbookViewId="0">
      <selection activeCell="E22" sqref="E22"/>
    </sheetView>
  </sheetViews>
  <sheetFormatPr baseColWidth="10" defaultRowHeight="14.4" x14ac:dyDescent="0.3"/>
  <sheetData>
    <row r="1" spans="1:6" x14ac:dyDescent="0.3">
      <c r="A1" s="71" t="s">
        <v>178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1</v>
      </c>
      <c r="C12" s="69">
        <v>0</v>
      </c>
      <c r="D12" s="69">
        <v>1</v>
      </c>
      <c r="E12" s="69">
        <v>0</v>
      </c>
      <c r="F12" s="69">
        <v>0</v>
      </c>
    </row>
    <row r="13" spans="1:6" x14ac:dyDescent="0.3">
      <c r="A13">
        <v>12</v>
      </c>
      <c r="B13" s="69">
        <v>1</v>
      </c>
      <c r="C13" s="69">
        <v>0</v>
      </c>
      <c r="D13" s="69">
        <v>1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50E42-D72C-4F07-AC7C-1BBBBABCF48B}">
  <dimension ref="A1:F16"/>
  <sheetViews>
    <sheetView workbookViewId="0">
      <selection activeCell="B2" sqref="B2"/>
    </sheetView>
  </sheetViews>
  <sheetFormatPr baseColWidth="10" defaultRowHeight="14.4" x14ac:dyDescent="0.3"/>
  <sheetData>
    <row r="1" spans="1:6" x14ac:dyDescent="0.3">
      <c r="A1" s="71" t="s">
        <v>435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3</v>
      </c>
      <c r="C2" s="67">
        <v>3</v>
      </c>
      <c r="D2" s="67">
        <v>3</v>
      </c>
      <c r="E2" s="67">
        <v>3</v>
      </c>
      <c r="F2" s="67">
        <v>3</v>
      </c>
    </row>
    <row r="3" spans="1:6" x14ac:dyDescent="0.3">
      <c r="A3">
        <v>2</v>
      </c>
      <c r="B3" s="67">
        <v>1</v>
      </c>
      <c r="C3" s="67">
        <v>1</v>
      </c>
      <c r="D3" s="67">
        <v>1</v>
      </c>
      <c r="E3" s="67">
        <v>1</v>
      </c>
      <c r="F3" s="67">
        <v>1</v>
      </c>
    </row>
    <row r="4" spans="1:6" x14ac:dyDescent="0.3">
      <c r="A4">
        <v>3</v>
      </c>
      <c r="B4" s="67">
        <v>1</v>
      </c>
      <c r="C4" s="67">
        <v>1</v>
      </c>
      <c r="D4" s="67">
        <v>1</v>
      </c>
      <c r="E4" s="67">
        <v>1</v>
      </c>
      <c r="F4" s="67">
        <v>1</v>
      </c>
    </row>
    <row r="5" spans="1:6" x14ac:dyDescent="0.3">
      <c r="A5">
        <v>4</v>
      </c>
      <c r="B5" s="67">
        <v>1</v>
      </c>
      <c r="C5" s="67">
        <v>1</v>
      </c>
      <c r="D5" s="67">
        <v>1</v>
      </c>
      <c r="E5" s="67">
        <v>1</v>
      </c>
      <c r="F5" s="67">
        <v>1</v>
      </c>
    </row>
    <row r="6" spans="1:6" x14ac:dyDescent="0.3">
      <c r="A6">
        <v>5</v>
      </c>
      <c r="B6" s="67">
        <v>1</v>
      </c>
      <c r="C6" s="67">
        <v>1</v>
      </c>
      <c r="D6" s="67">
        <v>1</v>
      </c>
      <c r="E6" s="67">
        <v>1</v>
      </c>
      <c r="F6" s="67">
        <v>1</v>
      </c>
    </row>
    <row r="7" spans="1:6" x14ac:dyDescent="0.3">
      <c r="A7">
        <v>6</v>
      </c>
      <c r="B7" s="67">
        <v>1</v>
      </c>
      <c r="C7" s="67">
        <v>1</v>
      </c>
      <c r="D7" s="67">
        <v>1</v>
      </c>
      <c r="E7" s="67">
        <v>1</v>
      </c>
      <c r="F7" s="67">
        <v>1</v>
      </c>
    </row>
    <row r="8" spans="1:6" x14ac:dyDescent="0.3">
      <c r="A8">
        <v>7</v>
      </c>
      <c r="B8" s="68">
        <v>1</v>
      </c>
      <c r="C8" s="68">
        <v>1</v>
      </c>
      <c r="D8" s="68">
        <v>1</v>
      </c>
      <c r="E8" s="68">
        <v>1</v>
      </c>
      <c r="F8" s="68">
        <v>1</v>
      </c>
    </row>
    <row r="9" spans="1:6" x14ac:dyDescent="0.3">
      <c r="A9">
        <v>8</v>
      </c>
      <c r="B9" s="68">
        <v>1</v>
      </c>
      <c r="C9" s="68">
        <v>1</v>
      </c>
      <c r="D9" s="68">
        <v>1</v>
      </c>
      <c r="E9" s="68">
        <v>1</v>
      </c>
      <c r="F9" s="68">
        <v>1</v>
      </c>
    </row>
    <row r="10" spans="1:6" x14ac:dyDescent="0.3">
      <c r="A10">
        <v>9</v>
      </c>
      <c r="B10" s="68">
        <v>3</v>
      </c>
      <c r="C10" s="68">
        <v>3</v>
      </c>
      <c r="D10" s="68">
        <v>3</v>
      </c>
      <c r="E10" s="68">
        <v>3</v>
      </c>
      <c r="F10" s="68">
        <v>3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30ECD-653E-4F45-993C-08C3363984F4}">
  <dimension ref="A1:F16"/>
  <sheetViews>
    <sheetView workbookViewId="0">
      <selection activeCell="I13" sqref="I13"/>
    </sheetView>
  </sheetViews>
  <sheetFormatPr baseColWidth="10" defaultRowHeight="14.4" x14ac:dyDescent="0.3"/>
  <sheetData>
    <row r="1" spans="1:6" x14ac:dyDescent="0.3">
      <c r="A1" s="71" t="s">
        <v>436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1</v>
      </c>
      <c r="C2" s="67">
        <v>0</v>
      </c>
      <c r="D2" s="67">
        <v>0</v>
      </c>
      <c r="E2" s="67">
        <v>3</v>
      </c>
      <c r="F2" s="67">
        <v>1</v>
      </c>
    </row>
    <row r="3" spans="1:6" x14ac:dyDescent="0.3">
      <c r="A3">
        <v>2</v>
      </c>
      <c r="B3" s="67">
        <v>1</v>
      </c>
      <c r="C3" s="67">
        <v>0</v>
      </c>
      <c r="D3" s="67">
        <v>0</v>
      </c>
      <c r="E3" s="67">
        <v>3</v>
      </c>
      <c r="F3" s="67">
        <v>1</v>
      </c>
    </row>
    <row r="4" spans="1:6" x14ac:dyDescent="0.3">
      <c r="A4">
        <v>3</v>
      </c>
      <c r="B4" s="67">
        <v>2</v>
      </c>
      <c r="C4" s="67">
        <v>0</v>
      </c>
      <c r="D4" s="67">
        <v>0</v>
      </c>
      <c r="E4" s="67">
        <v>3</v>
      </c>
      <c r="F4" s="67">
        <v>2</v>
      </c>
    </row>
    <row r="5" spans="1:6" x14ac:dyDescent="0.3">
      <c r="A5">
        <v>4</v>
      </c>
      <c r="B5" s="67">
        <v>2</v>
      </c>
      <c r="C5" s="67">
        <v>0</v>
      </c>
      <c r="D5" s="67">
        <v>0</v>
      </c>
      <c r="E5" s="67">
        <v>3</v>
      </c>
      <c r="F5" s="67">
        <v>2</v>
      </c>
    </row>
    <row r="6" spans="1:6" x14ac:dyDescent="0.3">
      <c r="A6">
        <v>5</v>
      </c>
      <c r="B6" s="67">
        <v>2</v>
      </c>
      <c r="C6" s="67">
        <v>0</v>
      </c>
      <c r="D6" s="67">
        <v>0</v>
      </c>
      <c r="E6" s="67">
        <v>3</v>
      </c>
      <c r="F6" s="67">
        <v>2</v>
      </c>
    </row>
    <row r="7" spans="1:6" x14ac:dyDescent="0.3">
      <c r="A7">
        <v>6</v>
      </c>
      <c r="B7" s="67">
        <v>2</v>
      </c>
      <c r="C7" s="67">
        <v>0</v>
      </c>
      <c r="D7" s="67">
        <v>0</v>
      </c>
      <c r="E7" s="67">
        <v>3</v>
      </c>
      <c r="F7" s="67">
        <v>2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1</v>
      </c>
      <c r="C12" s="69">
        <v>2</v>
      </c>
      <c r="D12" s="69">
        <v>3</v>
      </c>
      <c r="E12" s="69">
        <v>3</v>
      </c>
      <c r="F12" s="69">
        <v>1</v>
      </c>
    </row>
    <row r="13" spans="1:6" x14ac:dyDescent="0.3">
      <c r="A13">
        <v>12</v>
      </c>
      <c r="B13" s="69">
        <v>1</v>
      </c>
      <c r="C13" s="69">
        <v>2</v>
      </c>
      <c r="D13" s="69">
        <v>3</v>
      </c>
      <c r="E13" s="69">
        <v>3</v>
      </c>
      <c r="F13" s="69">
        <v>1</v>
      </c>
    </row>
    <row r="14" spans="1:6" x14ac:dyDescent="0.3">
      <c r="A14">
        <v>13</v>
      </c>
      <c r="B14" s="69">
        <v>1</v>
      </c>
      <c r="C14" s="69">
        <v>2</v>
      </c>
      <c r="D14" s="69">
        <v>3</v>
      </c>
      <c r="E14" s="69">
        <v>1</v>
      </c>
      <c r="F14" s="69">
        <v>1</v>
      </c>
    </row>
    <row r="15" spans="1:6" x14ac:dyDescent="0.3">
      <c r="A15">
        <v>14</v>
      </c>
      <c r="B15" s="69">
        <v>1</v>
      </c>
      <c r="C15" s="69">
        <v>2</v>
      </c>
      <c r="D15" s="69">
        <v>3</v>
      </c>
      <c r="E15" s="69">
        <v>1</v>
      </c>
      <c r="F15" s="69">
        <v>2</v>
      </c>
    </row>
    <row r="16" spans="1:6" x14ac:dyDescent="0.3">
      <c r="A16">
        <v>15</v>
      </c>
      <c r="B16" s="69">
        <v>1</v>
      </c>
      <c r="C16" s="69">
        <v>2</v>
      </c>
      <c r="D16" s="69">
        <v>3</v>
      </c>
      <c r="E16" s="69">
        <v>1</v>
      </c>
      <c r="F16" s="69">
        <v>2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958FC-DFF7-4B55-BCD3-FF871AB76AA0}">
  <dimension ref="A1:F16"/>
  <sheetViews>
    <sheetView workbookViewId="0">
      <selection activeCell="I16" sqref="I16"/>
    </sheetView>
  </sheetViews>
  <sheetFormatPr baseColWidth="10" defaultRowHeight="14.4" x14ac:dyDescent="0.3"/>
  <sheetData>
    <row r="1" spans="1:6" x14ac:dyDescent="0.3">
      <c r="A1" s="71" t="s">
        <v>437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1</v>
      </c>
      <c r="D2" s="67">
        <v>0</v>
      </c>
      <c r="E2" s="67">
        <v>1</v>
      </c>
      <c r="F2" s="67">
        <v>1</v>
      </c>
    </row>
    <row r="3" spans="1:6" x14ac:dyDescent="0.3">
      <c r="A3">
        <v>2</v>
      </c>
      <c r="B3" s="67">
        <v>0</v>
      </c>
      <c r="C3" s="67">
        <v>1</v>
      </c>
      <c r="D3" s="67">
        <v>0</v>
      </c>
      <c r="E3" s="67">
        <v>1</v>
      </c>
      <c r="F3" s="67">
        <v>1</v>
      </c>
    </row>
    <row r="4" spans="1:6" x14ac:dyDescent="0.3">
      <c r="A4">
        <v>3</v>
      </c>
      <c r="B4" s="67">
        <v>0</v>
      </c>
      <c r="C4" s="67">
        <v>1</v>
      </c>
      <c r="D4" s="67">
        <v>0</v>
      </c>
      <c r="E4" s="67">
        <v>1</v>
      </c>
      <c r="F4" s="67">
        <v>1</v>
      </c>
    </row>
    <row r="5" spans="1:6" x14ac:dyDescent="0.3">
      <c r="A5">
        <v>4</v>
      </c>
      <c r="B5" s="67">
        <v>0</v>
      </c>
      <c r="C5" s="67">
        <v>1</v>
      </c>
      <c r="D5" s="67">
        <v>0</v>
      </c>
      <c r="E5" s="67">
        <v>1</v>
      </c>
      <c r="F5" s="67">
        <v>1</v>
      </c>
    </row>
    <row r="6" spans="1:6" x14ac:dyDescent="0.3">
      <c r="A6">
        <v>5</v>
      </c>
      <c r="B6" s="67">
        <v>0</v>
      </c>
      <c r="C6" s="67">
        <v>1</v>
      </c>
      <c r="D6" s="67">
        <v>0</v>
      </c>
      <c r="E6" s="67">
        <v>1</v>
      </c>
      <c r="F6" s="67">
        <v>1</v>
      </c>
    </row>
    <row r="7" spans="1:6" x14ac:dyDescent="0.3">
      <c r="A7">
        <v>6</v>
      </c>
      <c r="B7" s="67">
        <v>0</v>
      </c>
      <c r="C7" s="67">
        <v>1</v>
      </c>
      <c r="D7" s="67">
        <v>0</v>
      </c>
      <c r="E7" s="67">
        <v>1</v>
      </c>
      <c r="F7" s="67">
        <v>1</v>
      </c>
    </row>
    <row r="8" spans="1:6" x14ac:dyDescent="0.3">
      <c r="A8">
        <v>7</v>
      </c>
      <c r="B8" s="68">
        <v>1</v>
      </c>
      <c r="C8" s="68">
        <v>1</v>
      </c>
      <c r="D8" s="68">
        <v>1</v>
      </c>
      <c r="E8" s="68">
        <v>1</v>
      </c>
      <c r="F8" s="68">
        <v>1</v>
      </c>
    </row>
    <row r="9" spans="1:6" x14ac:dyDescent="0.3">
      <c r="A9">
        <v>8</v>
      </c>
      <c r="B9" s="68">
        <v>1</v>
      </c>
      <c r="C9" s="68">
        <v>1</v>
      </c>
      <c r="D9" s="68">
        <v>1</v>
      </c>
      <c r="E9" s="68">
        <v>1</v>
      </c>
      <c r="F9" s="68">
        <v>1</v>
      </c>
    </row>
    <row r="10" spans="1:6" x14ac:dyDescent="0.3">
      <c r="A10">
        <v>9</v>
      </c>
      <c r="B10" s="68">
        <v>1</v>
      </c>
      <c r="C10" s="68">
        <v>1</v>
      </c>
      <c r="D10" s="68">
        <v>1</v>
      </c>
      <c r="E10" s="68">
        <v>1</v>
      </c>
      <c r="F10" s="68">
        <v>1</v>
      </c>
    </row>
    <row r="11" spans="1:6" x14ac:dyDescent="0.3">
      <c r="A11">
        <v>10</v>
      </c>
      <c r="B11" s="68">
        <v>1</v>
      </c>
      <c r="C11" s="68">
        <v>1</v>
      </c>
      <c r="D11" s="68">
        <v>1</v>
      </c>
      <c r="E11" s="68">
        <v>1</v>
      </c>
      <c r="F11" s="68">
        <v>1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5F75A-65F0-49E6-8C8A-6D2C40A1D0FD}">
  <dimension ref="A1:F16"/>
  <sheetViews>
    <sheetView workbookViewId="0">
      <selection activeCell="E21" sqref="E21"/>
    </sheetView>
  </sheetViews>
  <sheetFormatPr baseColWidth="10" defaultRowHeight="14.4" x14ac:dyDescent="0.3"/>
  <sheetData>
    <row r="1" spans="1:6" x14ac:dyDescent="0.3">
      <c r="A1" s="71" t="s">
        <v>446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1</v>
      </c>
      <c r="C2" s="67">
        <v>3</v>
      </c>
      <c r="D2" s="67">
        <v>2</v>
      </c>
      <c r="E2" s="67">
        <v>1</v>
      </c>
      <c r="F2" s="67">
        <v>3</v>
      </c>
    </row>
    <row r="3" spans="1:6" x14ac:dyDescent="0.3">
      <c r="A3">
        <v>2</v>
      </c>
      <c r="B3" s="67">
        <v>1</v>
      </c>
      <c r="C3" s="67">
        <v>3</v>
      </c>
      <c r="D3" s="67">
        <v>2</v>
      </c>
      <c r="E3" s="67">
        <v>1</v>
      </c>
      <c r="F3" s="67">
        <v>3</v>
      </c>
    </row>
    <row r="4" spans="1:6" x14ac:dyDescent="0.3">
      <c r="A4">
        <v>3</v>
      </c>
      <c r="B4" s="67">
        <v>3</v>
      </c>
      <c r="C4" s="67">
        <v>3</v>
      </c>
      <c r="D4" s="67">
        <v>3</v>
      </c>
      <c r="E4" s="67">
        <v>3</v>
      </c>
      <c r="F4" s="67">
        <v>3</v>
      </c>
    </row>
    <row r="5" spans="1:6" x14ac:dyDescent="0.3">
      <c r="A5">
        <v>4</v>
      </c>
      <c r="B5" s="67">
        <v>3</v>
      </c>
      <c r="C5" s="67">
        <v>3</v>
      </c>
      <c r="D5" s="67">
        <v>3</v>
      </c>
      <c r="E5" s="67">
        <v>3</v>
      </c>
      <c r="F5" s="67">
        <v>3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1F2C8-FEC5-4C0E-AB79-1E5289D91DCE}">
  <dimension ref="A1:F16"/>
  <sheetViews>
    <sheetView workbookViewId="0">
      <selection activeCell="F21" sqref="F21"/>
    </sheetView>
  </sheetViews>
  <sheetFormatPr baseColWidth="10" defaultRowHeight="14.4" x14ac:dyDescent="0.3"/>
  <sheetData>
    <row r="1" spans="1:6" x14ac:dyDescent="0.3">
      <c r="A1" s="71" t="s">
        <v>118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1</v>
      </c>
      <c r="C2" s="67">
        <v>0</v>
      </c>
      <c r="D2" s="67">
        <v>1</v>
      </c>
      <c r="E2" s="67">
        <v>0</v>
      </c>
      <c r="F2" s="67">
        <v>1</v>
      </c>
    </row>
    <row r="3" spans="1:6" x14ac:dyDescent="0.3">
      <c r="A3">
        <v>2</v>
      </c>
      <c r="B3" s="67">
        <v>1</v>
      </c>
      <c r="C3" s="67">
        <v>0</v>
      </c>
      <c r="D3" s="67">
        <v>1</v>
      </c>
      <c r="E3" s="67">
        <v>0</v>
      </c>
      <c r="F3" s="67">
        <v>1</v>
      </c>
    </row>
    <row r="4" spans="1:6" x14ac:dyDescent="0.3">
      <c r="A4">
        <v>3</v>
      </c>
      <c r="B4" s="67">
        <v>1</v>
      </c>
      <c r="C4" s="67">
        <v>0</v>
      </c>
      <c r="D4" s="67">
        <v>1</v>
      </c>
      <c r="E4" s="67">
        <v>0</v>
      </c>
      <c r="F4" s="67">
        <v>1</v>
      </c>
    </row>
    <row r="5" spans="1:6" x14ac:dyDescent="0.3">
      <c r="A5">
        <v>4</v>
      </c>
      <c r="B5" s="67">
        <v>1</v>
      </c>
      <c r="C5" s="67">
        <v>0</v>
      </c>
      <c r="D5" s="67">
        <v>1</v>
      </c>
      <c r="E5" s="67">
        <v>0</v>
      </c>
      <c r="F5" s="67">
        <v>1</v>
      </c>
    </row>
    <row r="6" spans="1:6" x14ac:dyDescent="0.3">
      <c r="A6">
        <v>5</v>
      </c>
      <c r="B6" s="67">
        <v>1</v>
      </c>
      <c r="C6" s="67">
        <v>0</v>
      </c>
      <c r="D6" s="67">
        <v>1</v>
      </c>
      <c r="E6" s="67">
        <v>0</v>
      </c>
      <c r="F6" s="67">
        <v>1</v>
      </c>
    </row>
    <row r="7" spans="1:6" x14ac:dyDescent="0.3">
      <c r="A7">
        <v>6</v>
      </c>
      <c r="B7" s="67">
        <v>1</v>
      </c>
      <c r="C7" s="67">
        <v>0</v>
      </c>
      <c r="D7" s="67">
        <v>1</v>
      </c>
      <c r="E7" s="67">
        <v>0</v>
      </c>
      <c r="F7" s="67">
        <v>1</v>
      </c>
    </row>
    <row r="8" spans="1:6" x14ac:dyDescent="0.3">
      <c r="A8">
        <v>7</v>
      </c>
      <c r="B8" s="68">
        <v>2</v>
      </c>
      <c r="C8" s="68">
        <v>3</v>
      </c>
      <c r="D8" s="68">
        <v>2</v>
      </c>
      <c r="E8" s="68">
        <v>3</v>
      </c>
      <c r="F8" s="68">
        <v>2</v>
      </c>
    </row>
    <row r="9" spans="1:6" x14ac:dyDescent="0.3">
      <c r="A9">
        <v>8</v>
      </c>
      <c r="B9" s="68">
        <v>2</v>
      </c>
      <c r="C9" s="68">
        <v>3</v>
      </c>
      <c r="D9" s="68">
        <v>2</v>
      </c>
      <c r="E9" s="68">
        <v>3</v>
      </c>
      <c r="F9" s="68">
        <v>2</v>
      </c>
    </row>
    <row r="10" spans="1:6" x14ac:dyDescent="0.3">
      <c r="A10">
        <v>9</v>
      </c>
      <c r="B10" s="68">
        <v>3</v>
      </c>
      <c r="C10" s="68">
        <v>3</v>
      </c>
      <c r="D10" s="68">
        <v>3</v>
      </c>
      <c r="E10" s="68">
        <v>3</v>
      </c>
      <c r="F10" s="68">
        <v>3</v>
      </c>
    </row>
    <row r="11" spans="1:6" x14ac:dyDescent="0.3">
      <c r="A11">
        <v>10</v>
      </c>
      <c r="B11" s="68">
        <v>3</v>
      </c>
      <c r="C11" s="68">
        <v>3</v>
      </c>
      <c r="D11" s="68">
        <v>3</v>
      </c>
      <c r="E11" s="68">
        <v>3</v>
      </c>
      <c r="F11" s="68">
        <v>3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86CD1-4F25-4338-BCA9-5DAF7C82434F}">
  <dimension ref="A1:F16"/>
  <sheetViews>
    <sheetView workbookViewId="0">
      <selection activeCell="D21" sqref="D21"/>
    </sheetView>
  </sheetViews>
  <sheetFormatPr baseColWidth="10" defaultRowHeight="14.4" x14ac:dyDescent="0.3"/>
  <sheetData>
    <row r="1" spans="1:6" x14ac:dyDescent="0.3">
      <c r="A1" t="s">
        <v>270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1</v>
      </c>
      <c r="C2" s="67">
        <v>1</v>
      </c>
      <c r="D2" s="67">
        <v>1</v>
      </c>
      <c r="E2" s="67">
        <v>1</v>
      </c>
      <c r="F2" s="67">
        <v>0</v>
      </c>
    </row>
    <row r="3" spans="1:6" x14ac:dyDescent="0.3">
      <c r="A3">
        <v>2</v>
      </c>
      <c r="B3" s="67">
        <v>1</v>
      </c>
      <c r="C3" s="67">
        <v>1</v>
      </c>
      <c r="D3" s="67">
        <v>1</v>
      </c>
      <c r="E3" s="67">
        <v>1</v>
      </c>
      <c r="F3" s="67">
        <v>0</v>
      </c>
    </row>
    <row r="4" spans="1:6" x14ac:dyDescent="0.3">
      <c r="A4">
        <v>3</v>
      </c>
      <c r="B4" s="67">
        <v>1</v>
      </c>
      <c r="C4" s="67">
        <v>1</v>
      </c>
      <c r="D4" s="67">
        <v>1</v>
      </c>
      <c r="E4" s="67">
        <v>1</v>
      </c>
      <c r="F4" s="67">
        <v>0</v>
      </c>
    </row>
    <row r="5" spans="1:6" x14ac:dyDescent="0.3">
      <c r="A5">
        <v>4</v>
      </c>
      <c r="B5" s="67">
        <v>1</v>
      </c>
      <c r="C5" s="67">
        <v>1</v>
      </c>
      <c r="D5" s="67">
        <v>1</v>
      </c>
      <c r="E5" s="67">
        <v>1</v>
      </c>
      <c r="F5" s="67">
        <v>0</v>
      </c>
    </row>
    <row r="6" spans="1:6" x14ac:dyDescent="0.3">
      <c r="A6">
        <v>5</v>
      </c>
      <c r="B6" s="67">
        <v>1</v>
      </c>
      <c r="C6" s="67">
        <v>1</v>
      </c>
      <c r="D6" s="67">
        <v>1</v>
      </c>
      <c r="E6" s="67">
        <v>1</v>
      </c>
      <c r="F6" s="67">
        <v>0</v>
      </c>
    </row>
    <row r="7" spans="1:6" x14ac:dyDescent="0.3">
      <c r="A7">
        <v>6</v>
      </c>
      <c r="B7" s="67">
        <v>1</v>
      </c>
      <c r="C7" s="67">
        <v>1</v>
      </c>
      <c r="D7" s="67">
        <v>1</v>
      </c>
      <c r="E7" s="67">
        <v>1</v>
      </c>
      <c r="F7" s="67">
        <v>0</v>
      </c>
    </row>
    <row r="8" spans="1:6" x14ac:dyDescent="0.3">
      <c r="A8">
        <v>7</v>
      </c>
      <c r="B8" s="68">
        <v>1</v>
      </c>
      <c r="C8" s="68">
        <v>1</v>
      </c>
      <c r="D8" s="68">
        <v>1</v>
      </c>
      <c r="E8" s="68">
        <v>1</v>
      </c>
      <c r="F8" s="68">
        <v>0</v>
      </c>
    </row>
    <row r="9" spans="1:6" x14ac:dyDescent="0.3">
      <c r="A9">
        <v>8</v>
      </c>
      <c r="B9" s="68">
        <v>1</v>
      </c>
      <c r="C9" s="68">
        <v>1</v>
      </c>
      <c r="D9" s="68">
        <v>1</v>
      </c>
      <c r="E9" s="68">
        <v>1</v>
      </c>
      <c r="F9" s="68">
        <v>0</v>
      </c>
    </row>
    <row r="10" spans="1:6" x14ac:dyDescent="0.3">
      <c r="A10">
        <v>9</v>
      </c>
      <c r="B10" s="68">
        <v>1</v>
      </c>
      <c r="C10" s="68">
        <v>1</v>
      </c>
      <c r="D10" s="68">
        <v>1</v>
      </c>
      <c r="E10" s="68">
        <v>1</v>
      </c>
      <c r="F10" s="68">
        <v>0</v>
      </c>
    </row>
    <row r="11" spans="1:6" x14ac:dyDescent="0.3">
      <c r="A11">
        <v>10</v>
      </c>
      <c r="B11" s="68">
        <v>1</v>
      </c>
      <c r="C11" s="68">
        <v>1</v>
      </c>
      <c r="D11" s="68">
        <v>1</v>
      </c>
      <c r="E11" s="68">
        <v>1</v>
      </c>
      <c r="F11" s="68">
        <v>0</v>
      </c>
    </row>
    <row r="12" spans="1:6" x14ac:dyDescent="0.3">
      <c r="A12">
        <v>11</v>
      </c>
      <c r="B12" s="69">
        <v>1</v>
      </c>
      <c r="C12" s="69">
        <v>1</v>
      </c>
      <c r="D12" s="69">
        <v>1</v>
      </c>
      <c r="E12" s="69">
        <v>1</v>
      </c>
      <c r="F12" s="69">
        <v>0</v>
      </c>
    </row>
    <row r="13" spans="1:6" x14ac:dyDescent="0.3">
      <c r="A13">
        <v>12</v>
      </c>
      <c r="B13" s="69">
        <v>1</v>
      </c>
      <c r="C13" s="69">
        <v>1</v>
      </c>
      <c r="D13" s="69">
        <v>1</v>
      </c>
      <c r="E13" s="69">
        <v>1</v>
      </c>
      <c r="F13" s="69">
        <v>0</v>
      </c>
    </row>
    <row r="14" spans="1:6" x14ac:dyDescent="0.3">
      <c r="A14">
        <v>13</v>
      </c>
      <c r="B14" s="69">
        <v>1</v>
      </c>
      <c r="C14" s="69">
        <v>1</v>
      </c>
      <c r="D14" s="69">
        <v>1</v>
      </c>
      <c r="E14" s="69">
        <v>1</v>
      </c>
      <c r="F14" s="69">
        <v>0</v>
      </c>
    </row>
    <row r="15" spans="1:6" x14ac:dyDescent="0.3">
      <c r="A15">
        <v>14</v>
      </c>
      <c r="B15" s="69">
        <v>1</v>
      </c>
      <c r="C15" s="69">
        <v>1</v>
      </c>
      <c r="D15" s="69">
        <v>1</v>
      </c>
      <c r="E15" s="69">
        <v>1</v>
      </c>
      <c r="F15" s="69">
        <v>0</v>
      </c>
    </row>
    <row r="16" spans="1:6" x14ac:dyDescent="0.3">
      <c r="A16">
        <v>15</v>
      </c>
      <c r="B16" s="69">
        <v>1</v>
      </c>
      <c r="C16" s="69">
        <v>1</v>
      </c>
      <c r="D16" s="69">
        <v>1</v>
      </c>
      <c r="E16" s="69">
        <v>1</v>
      </c>
      <c r="F16" s="69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B77D1-50EE-40FA-9530-E356ADCBDB7D}">
  <dimension ref="A1:F16"/>
  <sheetViews>
    <sheetView workbookViewId="0">
      <selection activeCell="G22" sqref="G22"/>
    </sheetView>
  </sheetViews>
  <sheetFormatPr baseColWidth="10" defaultRowHeight="14.4" x14ac:dyDescent="0.3"/>
  <sheetData>
    <row r="1" spans="1:6" x14ac:dyDescent="0.3">
      <c r="A1" s="71" t="s">
        <v>477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1</v>
      </c>
      <c r="C11" s="68">
        <v>1</v>
      </c>
      <c r="D11" s="68">
        <v>1</v>
      </c>
      <c r="E11" s="68">
        <v>1</v>
      </c>
      <c r="F11" s="68">
        <v>0</v>
      </c>
    </row>
    <row r="12" spans="1:6" x14ac:dyDescent="0.3">
      <c r="A12">
        <v>11</v>
      </c>
      <c r="B12" s="69">
        <v>1</v>
      </c>
      <c r="C12" s="69">
        <v>1</v>
      </c>
      <c r="D12" s="69">
        <v>1</v>
      </c>
      <c r="E12" s="69">
        <v>1</v>
      </c>
      <c r="F12" s="69">
        <v>0</v>
      </c>
    </row>
    <row r="13" spans="1:6" x14ac:dyDescent="0.3">
      <c r="A13">
        <v>12</v>
      </c>
      <c r="B13" s="69">
        <v>1</v>
      </c>
      <c r="C13" s="69">
        <v>1</v>
      </c>
      <c r="D13" s="69">
        <v>1</v>
      </c>
      <c r="E13" s="69">
        <v>1</v>
      </c>
      <c r="F13" s="69">
        <v>0</v>
      </c>
    </row>
    <row r="14" spans="1:6" x14ac:dyDescent="0.3">
      <c r="A14">
        <v>13</v>
      </c>
      <c r="B14" s="69">
        <v>1</v>
      </c>
      <c r="C14" s="69">
        <v>1</v>
      </c>
      <c r="D14" s="69">
        <v>1</v>
      </c>
      <c r="E14" s="69">
        <v>1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85DB8-E1E8-4DB5-9869-DA54A6461D97}">
  <dimension ref="A1:F16"/>
  <sheetViews>
    <sheetView workbookViewId="0">
      <selection activeCell="B20" sqref="B20"/>
    </sheetView>
  </sheetViews>
  <sheetFormatPr baseColWidth="10" defaultRowHeight="14.4" x14ac:dyDescent="0.3"/>
  <sheetData>
    <row r="1" spans="1:6" x14ac:dyDescent="0.3">
      <c r="A1" s="71" t="s">
        <v>485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1</v>
      </c>
      <c r="C11" s="68">
        <v>1</v>
      </c>
      <c r="D11" s="68">
        <v>1</v>
      </c>
      <c r="E11" s="68">
        <v>1</v>
      </c>
      <c r="F11" s="68">
        <v>1</v>
      </c>
    </row>
    <row r="12" spans="1:6" x14ac:dyDescent="0.3">
      <c r="A12">
        <v>11</v>
      </c>
      <c r="B12" s="69">
        <v>1</v>
      </c>
      <c r="C12" s="69">
        <v>2</v>
      </c>
      <c r="D12" s="69">
        <v>1</v>
      </c>
      <c r="E12" s="69">
        <v>2</v>
      </c>
      <c r="F12" s="69">
        <v>1</v>
      </c>
    </row>
    <row r="13" spans="1:6" x14ac:dyDescent="0.3">
      <c r="A13">
        <v>12</v>
      </c>
      <c r="B13" s="69">
        <v>2</v>
      </c>
      <c r="C13" s="69">
        <v>2</v>
      </c>
      <c r="D13" s="69">
        <v>2</v>
      </c>
      <c r="E13" s="69">
        <v>2</v>
      </c>
      <c r="F13" s="69">
        <v>2</v>
      </c>
    </row>
    <row r="14" spans="1:6" x14ac:dyDescent="0.3">
      <c r="A14">
        <v>13</v>
      </c>
      <c r="B14" s="69">
        <v>2</v>
      </c>
      <c r="C14" s="69">
        <v>2</v>
      </c>
      <c r="D14" s="69">
        <v>2</v>
      </c>
      <c r="E14" s="69">
        <v>2</v>
      </c>
      <c r="F14" s="69">
        <v>2</v>
      </c>
    </row>
    <row r="15" spans="1:6" x14ac:dyDescent="0.3">
      <c r="A15">
        <v>14</v>
      </c>
      <c r="B15" s="69">
        <v>3</v>
      </c>
      <c r="C15" s="69">
        <v>3</v>
      </c>
      <c r="D15" s="69">
        <v>3</v>
      </c>
      <c r="E15" s="69">
        <v>3</v>
      </c>
      <c r="F15" s="69">
        <v>3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B071C-C64C-43BF-BA7F-523953DD4C08}">
  <dimension ref="A1:F16"/>
  <sheetViews>
    <sheetView workbookViewId="0">
      <selection activeCell="C25" sqref="C25"/>
    </sheetView>
  </sheetViews>
  <sheetFormatPr baseColWidth="10" defaultRowHeight="14.4" x14ac:dyDescent="0.3"/>
  <sheetData>
    <row r="1" spans="1:6" x14ac:dyDescent="0.3">
      <c r="A1" s="71" t="s">
        <v>145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1</v>
      </c>
      <c r="C12" s="69">
        <v>1</v>
      </c>
      <c r="D12" s="69">
        <v>1</v>
      </c>
      <c r="E12" s="69">
        <v>1</v>
      </c>
      <c r="F12" s="69">
        <v>1</v>
      </c>
    </row>
    <row r="13" spans="1:6" x14ac:dyDescent="0.3">
      <c r="A13">
        <v>12</v>
      </c>
      <c r="B13" s="69">
        <v>2</v>
      </c>
      <c r="C13" s="69">
        <v>2</v>
      </c>
      <c r="D13" s="69">
        <v>2</v>
      </c>
      <c r="E13" s="69">
        <v>2</v>
      </c>
      <c r="F13" s="69">
        <v>2</v>
      </c>
    </row>
    <row r="14" spans="1:6" x14ac:dyDescent="0.3">
      <c r="A14">
        <v>13</v>
      </c>
      <c r="B14" s="69">
        <v>3</v>
      </c>
      <c r="C14" s="69">
        <v>3</v>
      </c>
      <c r="D14" s="69">
        <v>3</v>
      </c>
      <c r="E14" s="69">
        <v>3</v>
      </c>
      <c r="F14" s="69">
        <v>3</v>
      </c>
    </row>
    <row r="15" spans="1:6" x14ac:dyDescent="0.3">
      <c r="A15">
        <v>14</v>
      </c>
      <c r="B15" s="69">
        <v>3</v>
      </c>
      <c r="C15" s="69">
        <v>3</v>
      </c>
      <c r="D15" s="69">
        <v>3</v>
      </c>
      <c r="E15" s="69">
        <v>3</v>
      </c>
      <c r="F15" s="69">
        <v>3</v>
      </c>
    </row>
    <row r="16" spans="1:6" x14ac:dyDescent="0.3">
      <c r="A16">
        <v>15</v>
      </c>
      <c r="B16" s="69">
        <v>3</v>
      </c>
      <c r="C16" s="69">
        <v>3</v>
      </c>
      <c r="D16" s="69">
        <v>3</v>
      </c>
      <c r="E16" s="69">
        <v>3</v>
      </c>
      <c r="F16" s="69">
        <v>3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36106-7982-4C28-8320-B9DDF5045450}">
  <dimension ref="A1:F16"/>
  <sheetViews>
    <sheetView workbookViewId="0">
      <selection activeCell="E21" sqref="E21"/>
    </sheetView>
  </sheetViews>
  <sheetFormatPr baseColWidth="10" defaultRowHeight="14.4" x14ac:dyDescent="0.3"/>
  <sheetData>
    <row r="1" spans="1:6" x14ac:dyDescent="0.3">
      <c r="A1" s="72" t="s">
        <v>135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72">
        <v>0</v>
      </c>
      <c r="C12" s="72">
        <v>0</v>
      </c>
      <c r="D12" s="72">
        <v>0</v>
      </c>
      <c r="E12" s="72">
        <v>0</v>
      </c>
      <c r="F12" s="72">
        <v>3</v>
      </c>
    </row>
    <row r="13" spans="1:6" x14ac:dyDescent="0.3">
      <c r="A13">
        <v>12</v>
      </c>
      <c r="B13" s="69">
        <v>1</v>
      </c>
      <c r="C13" s="69">
        <v>0</v>
      </c>
      <c r="D13" s="69">
        <v>0</v>
      </c>
      <c r="E13" s="69">
        <v>1</v>
      </c>
      <c r="F13" s="69">
        <v>3</v>
      </c>
    </row>
    <row r="14" spans="1:6" x14ac:dyDescent="0.3">
      <c r="A14">
        <v>13</v>
      </c>
      <c r="B14" s="69">
        <v>1</v>
      </c>
      <c r="C14" s="69">
        <v>0</v>
      </c>
      <c r="D14" s="69">
        <v>0</v>
      </c>
      <c r="E14" s="69">
        <v>1</v>
      </c>
      <c r="F14" s="69">
        <v>0</v>
      </c>
    </row>
    <row r="15" spans="1:6" x14ac:dyDescent="0.3">
      <c r="A15">
        <v>14</v>
      </c>
      <c r="B15" s="69">
        <v>1</v>
      </c>
      <c r="C15" s="69">
        <v>0</v>
      </c>
      <c r="D15" s="69">
        <v>0</v>
      </c>
      <c r="E15" s="69">
        <v>1</v>
      </c>
      <c r="F15" s="69">
        <v>0</v>
      </c>
    </row>
    <row r="16" spans="1:6" x14ac:dyDescent="0.3">
      <c r="A16">
        <v>15</v>
      </c>
      <c r="B16" s="69">
        <v>1</v>
      </c>
      <c r="C16" s="69">
        <v>0</v>
      </c>
      <c r="D16" s="69">
        <v>0</v>
      </c>
      <c r="E16" s="69">
        <v>1</v>
      </c>
      <c r="F16" s="69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A9A51-5DC1-48E2-BC92-1BC8A5C1437A}">
  <dimension ref="A1:F16"/>
  <sheetViews>
    <sheetView workbookViewId="0">
      <selection activeCell="D20" sqref="D20"/>
    </sheetView>
  </sheetViews>
  <sheetFormatPr baseColWidth="10" defaultRowHeight="14.4" x14ac:dyDescent="0.3"/>
  <sheetData>
    <row r="1" spans="1:6" x14ac:dyDescent="0.3">
      <c r="A1" s="71" t="s">
        <v>111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3</v>
      </c>
      <c r="C3" s="67">
        <v>3</v>
      </c>
      <c r="D3" s="67">
        <v>3</v>
      </c>
      <c r="E3" s="67">
        <v>3</v>
      </c>
      <c r="F3" s="67">
        <v>3</v>
      </c>
    </row>
    <row r="4" spans="1:6" x14ac:dyDescent="0.3">
      <c r="A4">
        <v>3</v>
      </c>
      <c r="B4" s="67">
        <v>1</v>
      </c>
      <c r="C4" s="67">
        <v>1</v>
      </c>
      <c r="D4" s="67">
        <v>1</v>
      </c>
      <c r="E4" s="67">
        <v>1</v>
      </c>
      <c r="F4" s="67">
        <v>1</v>
      </c>
    </row>
    <row r="5" spans="1:6" x14ac:dyDescent="0.3">
      <c r="A5">
        <v>4</v>
      </c>
      <c r="B5" s="67">
        <v>1</v>
      </c>
      <c r="C5" s="67">
        <v>1</v>
      </c>
      <c r="D5" s="67">
        <v>1</v>
      </c>
      <c r="E5" s="67">
        <v>1</v>
      </c>
      <c r="F5" s="67">
        <v>1</v>
      </c>
    </row>
    <row r="6" spans="1:6" x14ac:dyDescent="0.3">
      <c r="A6">
        <v>5</v>
      </c>
      <c r="B6" s="67">
        <v>1</v>
      </c>
      <c r="C6" s="67">
        <v>1</v>
      </c>
      <c r="D6" s="67">
        <v>1</v>
      </c>
      <c r="E6" s="67">
        <v>1</v>
      </c>
      <c r="F6" s="67">
        <v>1</v>
      </c>
    </row>
    <row r="7" spans="1:6" x14ac:dyDescent="0.3">
      <c r="A7">
        <v>6</v>
      </c>
      <c r="B7" s="67">
        <v>1</v>
      </c>
      <c r="C7" s="67">
        <v>1</v>
      </c>
      <c r="D7" s="67">
        <v>1</v>
      </c>
      <c r="E7" s="67">
        <v>1</v>
      </c>
      <c r="F7" s="67">
        <v>1</v>
      </c>
    </row>
    <row r="8" spans="1:6" x14ac:dyDescent="0.3">
      <c r="A8">
        <v>7</v>
      </c>
      <c r="B8" s="68">
        <v>1</v>
      </c>
      <c r="C8" s="68">
        <v>1</v>
      </c>
      <c r="D8" s="68">
        <v>1</v>
      </c>
      <c r="E8" s="68">
        <v>1</v>
      </c>
      <c r="F8" s="68">
        <v>1</v>
      </c>
    </row>
    <row r="9" spans="1:6" x14ac:dyDescent="0.3">
      <c r="A9">
        <v>8</v>
      </c>
      <c r="B9" s="68">
        <v>1</v>
      </c>
      <c r="C9" s="68">
        <v>1</v>
      </c>
      <c r="D9" s="68">
        <v>1</v>
      </c>
      <c r="E9" s="68">
        <v>1</v>
      </c>
      <c r="F9" s="68">
        <v>1</v>
      </c>
    </row>
    <row r="10" spans="1:6" x14ac:dyDescent="0.3">
      <c r="A10">
        <v>9</v>
      </c>
      <c r="B10" s="68">
        <v>1</v>
      </c>
      <c r="C10" s="68">
        <v>1</v>
      </c>
      <c r="D10" s="68">
        <v>1</v>
      </c>
      <c r="E10" s="68">
        <v>1</v>
      </c>
      <c r="F10" s="68">
        <v>1</v>
      </c>
    </row>
    <row r="11" spans="1:6" x14ac:dyDescent="0.3">
      <c r="A11">
        <v>10</v>
      </c>
      <c r="B11" s="68">
        <v>1</v>
      </c>
      <c r="C11" s="68">
        <v>1</v>
      </c>
      <c r="D11" s="68">
        <v>1</v>
      </c>
      <c r="E11" s="68">
        <v>1</v>
      </c>
      <c r="F11" s="68">
        <v>1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4B4CE-9B77-4F1D-866D-FF382270213B}">
  <dimension ref="A1:F16"/>
  <sheetViews>
    <sheetView workbookViewId="0">
      <selection activeCell="C22" sqref="C22"/>
    </sheetView>
  </sheetViews>
  <sheetFormatPr baseColWidth="10" defaultRowHeight="14.4" x14ac:dyDescent="0.3"/>
  <sheetData>
    <row r="1" spans="1:6" x14ac:dyDescent="0.3">
      <c r="A1" s="71" t="s">
        <v>491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2</v>
      </c>
      <c r="C11" s="68">
        <v>0</v>
      </c>
      <c r="D11" s="68">
        <v>0</v>
      </c>
      <c r="E11" s="68">
        <v>2</v>
      </c>
      <c r="F11" s="68">
        <v>0</v>
      </c>
    </row>
    <row r="12" spans="1:6" x14ac:dyDescent="0.3">
      <c r="A12">
        <v>11</v>
      </c>
      <c r="B12" s="69">
        <v>1</v>
      </c>
      <c r="C12" s="69">
        <v>1</v>
      </c>
      <c r="D12" s="69">
        <v>1</v>
      </c>
      <c r="E12" s="69">
        <v>1</v>
      </c>
      <c r="F12" s="69">
        <v>0</v>
      </c>
    </row>
    <row r="13" spans="1:6" x14ac:dyDescent="0.3">
      <c r="A13">
        <v>12</v>
      </c>
      <c r="B13" s="69">
        <v>1</v>
      </c>
      <c r="C13" s="69">
        <v>1</v>
      </c>
      <c r="D13" s="69">
        <v>1</v>
      </c>
      <c r="E13" s="69">
        <v>1</v>
      </c>
      <c r="F13" s="69">
        <v>0</v>
      </c>
    </row>
    <row r="14" spans="1:6" x14ac:dyDescent="0.3">
      <c r="A14">
        <v>13</v>
      </c>
      <c r="B14" s="69">
        <v>3</v>
      </c>
      <c r="C14" s="69">
        <v>3</v>
      </c>
      <c r="D14" s="69">
        <v>3</v>
      </c>
      <c r="E14" s="69">
        <v>3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99CB2-A67D-419C-9EC0-BA44C582FD75}">
  <dimension ref="A1:F16"/>
  <sheetViews>
    <sheetView workbookViewId="0">
      <selection activeCell="E20" sqref="E20"/>
    </sheetView>
  </sheetViews>
  <sheetFormatPr baseColWidth="10" defaultRowHeight="14.4" x14ac:dyDescent="0.3"/>
  <sheetData>
    <row r="1" spans="1:6" x14ac:dyDescent="0.3">
      <c r="A1" s="71" t="s">
        <v>320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3</v>
      </c>
      <c r="C2" s="67">
        <v>3</v>
      </c>
      <c r="D2" s="67">
        <v>2</v>
      </c>
      <c r="E2" s="67">
        <v>2</v>
      </c>
      <c r="F2" s="67">
        <v>3</v>
      </c>
    </row>
    <row r="3" spans="1:6" x14ac:dyDescent="0.3">
      <c r="A3">
        <v>2</v>
      </c>
      <c r="B3" s="67">
        <v>2</v>
      </c>
      <c r="C3" s="67">
        <v>3</v>
      </c>
      <c r="D3" s="67">
        <v>1</v>
      </c>
      <c r="E3" s="67">
        <v>1</v>
      </c>
      <c r="F3" s="67">
        <v>2</v>
      </c>
    </row>
    <row r="4" spans="1:6" x14ac:dyDescent="0.3">
      <c r="A4">
        <v>3</v>
      </c>
      <c r="B4" s="67">
        <v>2</v>
      </c>
      <c r="C4" s="67">
        <v>3</v>
      </c>
      <c r="D4" s="67">
        <v>1</v>
      </c>
      <c r="E4" s="67">
        <v>1</v>
      </c>
      <c r="F4" s="67">
        <v>2</v>
      </c>
    </row>
    <row r="5" spans="1:6" x14ac:dyDescent="0.3">
      <c r="A5">
        <v>4</v>
      </c>
      <c r="B5" s="67">
        <v>2</v>
      </c>
      <c r="C5" s="67">
        <v>3</v>
      </c>
      <c r="D5" s="67">
        <v>1</v>
      </c>
      <c r="E5" s="67">
        <v>1</v>
      </c>
      <c r="F5" s="67">
        <v>2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5582C-4AA6-4784-822D-50F9FF7E800C}">
  <dimension ref="A1:F16"/>
  <sheetViews>
    <sheetView workbookViewId="0"/>
  </sheetViews>
  <sheetFormatPr baseColWidth="10" defaultRowHeight="14.4" x14ac:dyDescent="0.3"/>
  <sheetData>
    <row r="1" spans="1:6" x14ac:dyDescent="0.3">
      <c r="A1" t="s">
        <v>250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26DB3-5296-4C66-8998-087B7436BDF2}">
  <dimension ref="A1:F16"/>
  <sheetViews>
    <sheetView workbookViewId="0">
      <selection activeCell="D21" sqref="D21"/>
    </sheetView>
  </sheetViews>
  <sheetFormatPr baseColWidth="10" defaultRowHeight="14.4" x14ac:dyDescent="0.3"/>
  <sheetData>
    <row r="1" spans="1:6" x14ac:dyDescent="0.3">
      <c r="A1" s="71" t="s">
        <v>107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3</v>
      </c>
      <c r="D2" s="67">
        <v>3</v>
      </c>
      <c r="E2" s="67">
        <v>3</v>
      </c>
      <c r="F2" s="67">
        <v>3</v>
      </c>
    </row>
    <row r="3" spans="1:6" x14ac:dyDescent="0.3">
      <c r="A3">
        <v>2</v>
      </c>
      <c r="B3" s="67">
        <v>0</v>
      </c>
      <c r="C3" s="67">
        <v>3</v>
      </c>
      <c r="D3" s="67">
        <v>3</v>
      </c>
      <c r="E3" s="67">
        <v>3</v>
      </c>
      <c r="F3" s="67">
        <v>3</v>
      </c>
    </row>
    <row r="4" spans="1:6" x14ac:dyDescent="0.3">
      <c r="A4">
        <v>3</v>
      </c>
      <c r="B4" s="67">
        <v>3</v>
      </c>
      <c r="C4" s="67">
        <v>2</v>
      </c>
      <c r="D4" s="67">
        <v>2</v>
      </c>
      <c r="E4" s="67">
        <v>2</v>
      </c>
      <c r="F4" s="67">
        <v>2</v>
      </c>
    </row>
    <row r="5" spans="1:6" x14ac:dyDescent="0.3">
      <c r="A5">
        <v>4</v>
      </c>
      <c r="B5" s="67">
        <v>1</v>
      </c>
      <c r="C5" s="67">
        <v>1</v>
      </c>
      <c r="D5" s="67">
        <v>1</v>
      </c>
      <c r="E5" s="67">
        <v>1</v>
      </c>
      <c r="F5" s="67">
        <v>1</v>
      </c>
    </row>
    <row r="6" spans="1:6" x14ac:dyDescent="0.3">
      <c r="A6">
        <v>5</v>
      </c>
      <c r="B6" s="67">
        <v>1</v>
      </c>
      <c r="C6" s="67">
        <v>1</v>
      </c>
      <c r="D6" s="67">
        <v>1</v>
      </c>
      <c r="E6" s="67">
        <v>1</v>
      </c>
      <c r="F6" s="67">
        <v>1</v>
      </c>
    </row>
    <row r="7" spans="1:6" x14ac:dyDescent="0.3">
      <c r="A7">
        <v>6</v>
      </c>
      <c r="B7" s="67">
        <v>1</v>
      </c>
      <c r="C7" s="67">
        <v>1</v>
      </c>
      <c r="D7" s="67">
        <v>1</v>
      </c>
      <c r="E7" s="67">
        <v>1</v>
      </c>
      <c r="F7" s="67">
        <v>1</v>
      </c>
    </row>
    <row r="8" spans="1:6" x14ac:dyDescent="0.3">
      <c r="A8">
        <v>7</v>
      </c>
      <c r="B8" s="68">
        <v>3</v>
      </c>
      <c r="C8" s="68">
        <v>3</v>
      </c>
      <c r="D8" s="68">
        <v>3</v>
      </c>
      <c r="E8" s="68">
        <v>3</v>
      </c>
      <c r="F8" s="68">
        <v>3</v>
      </c>
    </row>
    <row r="9" spans="1:6" x14ac:dyDescent="0.3">
      <c r="A9">
        <v>8</v>
      </c>
      <c r="B9" s="68">
        <v>3</v>
      </c>
      <c r="C9" s="68">
        <v>3</v>
      </c>
      <c r="D9" s="68">
        <v>3</v>
      </c>
      <c r="E9" s="68">
        <v>3</v>
      </c>
      <c r="F9" s="68">
        <v>3</v>
      </c>
    </row>
    <row r="10" spans="1:6" x14ac:dyDescent="0.3">
      <c r="A10">
        <v>9</v>
      </c>
      <c r="B10" s="68">
        <v>3</v>
      </c>
      <c r="C10" s="68">
        <v>3</v>
      </c>
      <c r="D10" s="68">
        <v>3</v>
      </c>
      <c r="E10" s="68">
        <v>3</v>
      </c>
      <c r="F10" s="68">
        <v>3</v>
      </c>
    </row>
    <row r="11" spans="1:6" x14ac:dyDescent="0.3">
      <c r="A11">
        <v>10</v>
      </c>
      <c r="B11" s="68">
        <v>3</v>
      </c>
      <c r="C11" s="68">
        <v>3</v>
      </c>
      <c r="D11" s="68">
        <v>3</v>
      </c>
      <c r="E11" s="68">
        <v>3</v>
      </c>
      <c r="F11" s="68">
        <v>3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C9DBE-1843-4316-889F-6DB4455D96D3}">
  <dimension ref="A1:F16"/>
  <sheetViews>
    <sheetView workbookViewId="0"/>
  </sheetViews>
  <sheetFormatPr baseColWidth="10" defaultRowHeight="14.4" x14ac:dyDescent="0.3"/>
  <sheetData>
    <row r="1" spans="1:6" x14ac:dyDescent="0.3">
      <c r="A1" t="s">
        <v>403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F5B60-B8FB-4B69-A20C-7C16EBE9F828}">
  <dimension ref="A1:F16"/>
  <sheetViews>
    <sheetView workbookViewId="0">
      <selection activeCell="F19" sqref="F19"/>
    </sheetView>
  </sheetViews>
  <sheetFormatPr baseColWidth="10" defaultRowHeight="14.4" x14ac:dyDescent="0.3"/>
  <sheetData>
    <row r="1" spans="1:6" x14ac:dyDescent="0.3">
      <c r="A1" s="71" t="s">
        <v>438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2</v>
      </c>
      <c r="E12" s="69">
        <v>1</v>
      </c>
      <c r="F12" s="69">
        <v>2</v>
      </c>
    </row>
    <row r="13" spans="1:6" x14ac:dyDescent="0.3">
      <c r="A13">
        <v>12</v>
      </c>
      <c r="B13" s="69">
        <v>0</v>
      </c>
      <c r="C13" s="69">
        <v>0</v>
      </c>
      <c r="D13" s="69">
        <v>2</v>
      </c>
      <c r="E13" s="69">
        <v>1</v>
      </c>
      <c r="F13" s="69">
        <v>2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3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1F77D-339B-4175-B255-45C25857B451}">
  <dimension ref="A1:F16"/>
  <sheetViews>
    <sheetView workbookViewId="0">
      <selection activeCell="C19" sqref="C19"/>
    </sheetView>
  </sheetViews>
  <sheetFormatPr baseColWidth="10" defaultRowHeight="14.4" x14ac:dyDescent="0.3"/>
  <sheetData>
    <row r="1" spans="1:6" x14ac:dyDescent="0.3">
      <c r="A1" s="71" t="s">
        <v>487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1</v>
      </c>
      <c r="C10" s="68">
        <v>1</v>
      </c>
      <c r="D10" s="68">
        <v>0</v>
      </c>
      <c r="E10" s="68">
        <v>1</v>
      </c>
      <c r="F10" s="68">
        <v>0</v>
      </c>
    </row>
    <row r="11" spans="1:6" x14ac:dyDescent="0.3">
      <c r="A11">
        <v>10</v>
      </c>
      <c r="B11" s="68">
        <v>1</v>
      </c>
      <c r="C11" s="68">
        <v>1</v>
      </c>
      <c r="D11" s="68">
        <v>0</v>
      </c>
      <c r="E11" s="68">
        <v>1</v>
      </c>
      <c r="F11" s="68">
        <v>0</v>
      </c>
    </row>
    <row r="12" spans="1:6" x14ac:dyDescent="0.3">
      <c r="A12">
        <v>11</v>
      </c>
      <c r="B12" s="69">
        <v>1</v>
      </c>
      <c r="C12" s="69">
        <v>1</v>
      </c>
      <c r="D12" s="69">
        <v>0</v>
      </c>
      <c r="E12" s="69">
        <v>1</v>
      </c>
      <c r="F12" s="69">
        <v>0</v>
      </c>
    </row>
    <row r="13" spans="1:6" x14ac:dyDescent="0.3">
      <c r="A13">
        <v>12</v>
      </c>
      <c r="B13" s="69">
        <v>2</v>
      </c>
      <c r="C13" s="69">
        <v>2</v>
      </c>
      <c r="D13" s="69">
        <v>0</v>
      </c>
      <c r="E13" s="69">
        <v>2</v>
      </c>
      <c r="F13" s="69">
        <v>0</v>
      </c>
    </row>
    <row r="14" spans="1:6" x14ac:dyDescent="0.3">
      <c r="A14">
        <v>13</v>
      </c>
      <c r="B14" s="69">
        <v>2</v>
      </c>
      <c r="C14" s="69">
        <v>2</v>
      </c>
      <c r="D14" s="69">
        <v>0</v>
      </c>
      <c r="E14" s="69">
        <v>2</v>
      </c>
      <c r="F14" s="69">
        <v>0</v>
      </c>
    </row>
    <row r="15" spans="1:6" x14ac:dyDescent="0.3">
      <c r="A15">
        <v>14</v>
      </c>
      <c r="B15" s="69">
        <v>3</v>
      </c>
      <c r="C15" s="69">
        <v>3</v>
      </c>
      <c r="D15" s="69">
        <v>0</v>
      </c>
      <c r="E15" s="69">
        <v>3</v>
      </c>
      <c r="F15" s="69">
        <v>0</v>
      </c>
    </row>
    <row r="16" spans="1:6" x14ac:dyDescent="0.3">
      <c r="A16">
        <v>15</v>
      </c>
      <c r="B16" s="69">
        <v>3</v>
      </c>
      <c r="C16" s="69">
        <v>3</v>
      </c>
      <c r="D16" s="69">
        <v>0</v>
      </c>
      <c r="E16" s="69">
        <v>3</v>
      </c>
      <c r="F16" s="69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EF4D8-AB09-413D-909C-B6B77E32DE85}">
  <dimension ref="A1:F16"/>
  <sheetViews>
    <sheetView workbookViewId="0">
      <selection activeCell="F21" sqref="F21"/>
    </sheetView>
  </sheetViews>
  <sheetFormatPr baseColWidth="10" defaultRowHeight="14.4" x14ac:dyDescent="0.3"/>
  <sheetData>
    <row r="1" spans="1:6" x14ac:dyDescent="0.3">
      <c r="A1" t="s">
        <v>481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1</v>
      </c>
      <c r="C9" s="68">
        <v>2</v>
      </c>
      <c r="D9" s="68">
        <v>0</v>
      </c>
      <c r="E9" s="68">
        <v>3</v>
      </c>
      <c r="F9" s="68">
        <v>0</v>
      </c>
    </row>
    <row r="10" spans="1:6" x14ac:dyDescent="0.3">
      <c r="A10">
        <v>9</v>
      </c>
      <c r="B10" s="68">
        <v>1</v>
      </c>
      <c r="C10" s="68">
        <v>2</v>
      </c>
      <c r="D10" s="68">
        <v>3</v>
      </c>
      <c r="E10" s="68">
        <v>3</v>
      </c>
      <c r="F10" s="68">
        <v>0</v>
      </c>
    </row>
    <row r="11" spans="1:6" x14ac:dyDescent="0.3">
      <c r="A11">
        <v>10</v>
      </c>
      <c r="B11" s="68">
        <v>1</v>
      </c>
      <c r="C11" s="68">
        <v>2</v>
      </c>
      <c r="D11" s="68">
        <v>3</v>
      </c>
      <c r="E11" s="68">
        <v>3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331E8-643F-46BD-9B8E-5596B6A2BE08}">
  <dimension ref="A1:F16"/>
  <sheetViews>
    <sheetView workbookViewId="0">
      <selection activeCell="F24" sqref="F24"/>
    </sheetView>
  </sheetViews>
  <sheetFormatPr baseColWidth="10" defaultRowHeight="14.4" x14ac:dyDescent="0.3"/>
  <sheetData>
    <row r="1" spans="1:6" x14ac:dyDescent="0.3">
      <c r="A1" s="71" t="s">
        <v>508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1</v>
      </c>
      <c r="C2" s="67">
        <v>1</v>
      </c>
      <c r="D2" s="67">
        <v>1</v>
      </c>
      <c r="E2" s="67">
        <v>1</v>
      </c>
      <c r="F2" s="67">
        <v>1</v>
      </c>
    </row>
    <row r="3" spans="1:6" x14ac:dyDescent="0.3">
      <c r="A3">
        <v>2</v>
      </c>
      <c r="B3" s="67">
        <v>1</v>
      </c>
      <c r="C3" s="67">
        <v>1</v>
      </c>
      <c r="D3" s="67">
        <v>1</v>
      </c>
      <c r="E3" s="67">
        <v>1</v>
      </c>
      <c r="F3" s="67">
        <v>1</v>
      </c>
    </row>
    <row r="4" spans="1:6" x14ac:dyDescent="0.3">
      <c r="A4">
        <v>3</v>
      </c>
      <c r="B4" s="67">
        <v>2</v>
      </c>
      <c r="C4" s="67">
        <v>2</v>
      </c>
      <c r="D4" s="67">
        <v>2</v>
      </c>
      <c r="E4" s="67">
        <v>2</v>
      </c>
      <c r="F4" s="67">
        <v>2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DEB9B-DBE7-4C8C-A36D-A11DCCB276FB}">
  <dimension ref="A1:F16"/>
  <sheetViews>
    <sheetView workbookViewId="0">
      <selection activeCell="C21" sqref="C21"/>
    </sheetView>
  </sheetViews>
  <sheetFormatPr baseColWidth="10" defaultRowHeight="14.4" x14ac:dyDescent="0.3"/>
  <sheetData>
    <row r="1" spans="1:6" x14ac:dyDescent="0.3">
      <c r="A1" s="71" t="s">
        <v>439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2</v>
      </c>
      <c r="C2" s="67">
        <v>1</v>
      </c>
      <c r="D2" s="67">
        <v>2</v>
      </c>
      <c r="E2" s="67">
        <v>1</v>
      </c>
      <c r="F2" s="67">
        <v>1</v>
      </c>
    </row>
    <row r="3" spans="1:6" x14ac:dyDescent="0.3">
      <c r="A3">
        <v>2</v>
      </c>
      <c r="B3" s="67">
        <v>2</v>
      </c>
      <c r="C3" s="67">
        <v>1</v>
      </c>
      <c r="D3" s="67">
        <v>2</v>
      </c>
      <c r="E3" s="67">
        <v>1</v>
      </c>
      <c r="F3" s="67">
        <v>1</v>
      </c>
    </row>
    <row r="4" spans="1:6" x14ac:dyDescent="0.3">
      <c r="A4">
        <v>3</v>
      </c>
      <c r="B4" s="67">
        <v>0</v>
      </c>
      <c r="C4" s="67">
        <v>3</v>
      </c>
      <c r="D4" s="67">
        <v>3</v>
      </c>
      <c r="E4" s="67">
        <v>2</v>
      </c>
      <c r="F4" s="67">
        <v>2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3</v>
      </c>
      <c r="C12" s="69">
        <v>0</v>
      </c>
      <c r="D12" s="69">
        <v>3</v>
      </c>
      <c r="E12" s="69">
        <v>0</v>
      </c>
      <c r="F12" s="69">
        <v>0</v>
      </c>
    </row>
    <row r="13" spans="1:6" x14ac:dyDescent="0.3">
      <c r="A13">
        <v>12</v>
      </c>
      <c r="B13" s="69">
        <v>1</v>
      </c>
      <c r="C13" s="69">
        <v>0</v>
      </c>
      <c r="D13" s="69">
        <v>1</v>
      </c>
      <c r="E13" s="69">
        <v>0</v>
      </c>
      <c r="F13" s="69">
        <v>0</v>
      </c>
    </row>
    <row r="14" spans="1:6" x14ac:dyDescent="0.3">
      <c r="A14">
        <v>13</v>
      </c>
      <c r="B14" s="69">
        <v>1</v>
      </c>
      <c r="C14" s="69">
        <v>1</v>
      </c>
      <c r="D14" s="69">
        <v>1</v>
      </c>
      <c r="E14" s="69">
        <v>1</v>
      </c>
      <c r="F14" s="69">
        <v>1</v>
      </c>
    </row>
    <row r="15" spans="1:6" x14ac:dyDescent="0.3">
      <c r="A15">
        <v>14</v>
      </c>
      <c r="B15" s="69">
        <v>1</v>
      </c>
      <c r="C15" s="69">
        <v>1</v>
      </c>
      <c r="D15" s="69">
        <v>1</v>
      </c>
      <c r="E15" s="69">
        <v>1</v>
      </c>
      <c r="F15" s="69">
        <v>1</v>
      </c>
    </row>
    <row r="16" spans="1:6" x14ac:dyDescent="0.3">
      <c r="A16">
        <v>15</v>
      </c>
      <c r="B16" s="69">
        <v>1</v>
      </c>
      <c r="C16" s="69">
        <v>1</v>
      </c>
      <c r="D16" s="69">
        <v>1</v>
      </c>
      <c r="E16" s="69">
        <v>1</v>
      </c>
      <c r="F16" s="69">
        <v>1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6B5FD-C087-441E-BB4D-7DD757FD976D}">
  <dimension ref="A1:F16"/>
  <sheetViews>
    <sheetView workbookViewId="0">
      <selection activeCell="J17" sqref="J17"/>
    </sheetView>
  </sheetViews>
  <sheetFormatPr baseColWidth="10" defaultRowHeight="14.4" x14ac:dyDescent="0.3"/>
  <sheetData>
    <row r="1" spans="1:6" x14ac:dyDescent="0.3">
      <c r="A1" s="71" t="s">
        <v>106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1</v>
      </c>
      <c r="C2" s="67">
        <v>0</v>
      </c>
      <c r="D2" s="67">
        <v>1</v>
      </c>
      <c r="E2" s="67">
        <v>0</v>
      </c>
      <c r="F2" s="67">
        <v>1</v>
      </c>
    </row>
    <row r="3" spans="1:6" x14ac:dyDescent="0.3">
      <c r="A3">
        <v>2</v>
      </c>
      <c r="B3" s="67">
        <v>1</v>
      </c>
      <c r="C3" s="67">
        <v>0</v>
      </c>
      <c r="D3" s="67">
        <v>1</v>
      </c>
      <c r="E3" s="67">
        <v>0</v>
      </c>
      <c r="F3" s="67">
        <v>1</v>
      </c>
    </row>
    <row r="4" spans="1:6" x14ac:dyDescent="0.3">
      <c r="A4">
        <v>3</v>
      </c>
      <c r="B4" s="67">
        <v>1</v>
      </c>
      <c r="C4" s="67">
        <v>0</v>
      </c>
      <c r="D4" s="67">
        <v>1</v>
      </c>
      <c r="E4" s="67">
        <v>0</v>
      </c>
      <c r="F4" s="67">
        <v>1</v>
      </c>
    </row>
    <row r="5" spans="1:6" x14ac:dyDescent="0.3">
      <c r="A5">
        <v>4</v>
      </c>
      <c r="B5" s="67">
        <v>2</v>
      </c>
      <c r="C5" s="67">
        <v>0</v>
      </c>
      <c r="D5" s="67">
        <v>2</v>
      </c>
      <c r="E5" s="67">
        <v>0</v>
      </c>
      <c r="F5" s="67">
        <v>2</v>
      </c>
    </row>
    <row r="6" spans="1:6" x14ac:dyDescent="0.3">
      <c r="A6">
        <v>5</v>
      </c>
      <c r="B6" s="67">
        <v>2</v>
      </c>
      <c r="C6" s="67">
        <v>0</v>
      </c>
      <c r="D6" s="67">
        <v>2</v>
      </c>
      <c r="E6" s="67">
        <v>0</v>
      </c>
      <c r="F6" s="67">
        <v>2</v>
      </c>
    </row>
    <row r="7" spans="1:6" x14ac:dyDescent="0.3">
      <c r="A7">
        <v>6</v>
      </c>
      <c r="B7" s="67">
        <v>3</v>
      </c>
      <c r="C7" s="67">
        <v>0</v>
      </c>
      <c r="D7" s="67">
        <v>3</v>
      </c>
      <c r="E7" s="67">
        <v>0</v>
      </c>
      <c r="F7" s="67">
        <v>3</v>
      </c>
    </row>
    <row r="8" spans="1:6" x14ac:dyDescent="0.3">
      <c r="A8">
        <v>7</v>
      </c>
      <c r="B8" s="68">
        <v>3</v>
      </c>
      <c r="C8" s="68">
        <v>0</v>
      </c>
      <c r="D8" s="68">
        <v>3</v>
      </c>
      <c r="E8" s="68">
        <v>0</v>
      </c>
      <c r="F8" s="68">
        <v>3</v>
      </c>
    </row>
    <row r="9" spans="1:6" x14ac:dyDescent="0.3">
      <c r="A9">
        <v>8</v>
      </c>
      <c r="B9" s="68">
        <v>3</v>
      </c>
      <c r="C9" s="68">
        <v>0</v>
      </c>
      <c r="D9" s="68">
        <v>3</v>
      </c>
      <c r="E9" s="68">
        <v>0</v>
      </c>
      <c r="F9" s="68">
        <v>3</v>
      </c>
    </row>
    <row r="10" spans="1:6" x14ac:dyDescent="0.3">
      <c r="A10">
        <v>9</v>
      </c>
      <c r="B10" s="68">
        <v>3</v>
      </c>
      <c r="C10" s="68">
        <v>0</v>
      </c>
      <c r="D10" s="68">
        <v>3</v>
      </c>
      <c r="E10" s="68">
        <v>0</v>
      </c>
      <c r="F10" s="68">
        <v>3</v>
      </c>
    </row>
    <row r="11" spans="1:6" x14ac:dyDescent="0.3">
      <c r="A11">
        <v>10</v>
      </c>
      <c r="B11" s="68">
        <v>3</v>
      </c>
      <c r="C11" s="68">
        <v>0</v>
      </c>
      <c r="D11" s="68">
        <v>3</v>
      </c>
      <c r="E11" s="68">
        <v>0</v>
      </c>
      <c r="F11" s="68">
        <v>3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2393E-71AE-443C-8798-36CFC922B96A}">
  <dimension ref="A1:F16"/>
  <sheetViews>
    <sheetView workbookViewId="0">
      <selection activeCell="D24" sqref="D24"/>
    </sheetView>
  </sheetViews>
  <sheetFormatPr baseColWidth="10" defaultRowHeight="14.4" x14ac:dyDescent="0.3"/>
  <sheetData>
    <row r="1" spans="1:6" x14ac:dyDescent="0.3">
      <c r="A1" s="71" t="s">
        <v>143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3</v>
      </c>
      <c r="C2" s="67">
        <v>3</v>
      </c>
      <c r="D2" s="67">
        <v>3</v>
      </c>
      <c r="E2" s="67">
        <v>3</v>
      </c>
      <c r="F2" s="67">
        <v>3</v>
      </c>
    </row>
    <row r="3" spans="1:6" x14ac:dyDescent="0.3">
      <c r="A3">
        <v>2</v>
      </c>
      <c r="B3" s="67">
        <v>3</v>
      </c>
      <c r="C3" s="67">
        <v>3</v>
      </c>
      <c r="D3" s="67">
        <v>3</v>
      </c>
      <c r="E3" s="67">
        <v>3</v>
      </c>
      <c r="F3" s="67">
        <v>3</v>
      </c>
    </row>
    <row r="4" spans="1:6" x14ac:dyDescent="0.3">
      <c r="A4">
        <v>3</v>
      </c>
      <c r="B4" s="67">
        <v>2</v>
      </c>
      <c r="C4" s="67">
        <v>3</v>
      </c>
      <c r="D4" s="67">
        <v>2</v>
      </c>
      <c r="E4" s="67">
        <v>3</v>
      </c>
      <c r="F4" s="67">
        <v>2</v>
      </c>
    </row>
    <row r="5" spans="1:6" x14ac:dyDescent="0.3">
      <c r="A5">
        <v>4</v>
      </c>
      <c r="B5" s="67">
        <v>1</v>
      </c>
      <c r="C5" s="67">
        <v>2</v>
      </c>
      <c r="D5" s="67">
        <v>1</v>
      </c>
      <c r="E5" s="67">
        <v>2</v>
      </c>
      <c r="F5" s="67">
        <v>1</v>
      </c>
    </row>
    <row r="6" spans="1:6" x14ac:dyDescent="0.3">
      <c r="A6">
        <v>5</v>
      </c>
      <c r="B6" s="67">
        <v>1</v>
      </c>
      <c r="C6" s="67">
        <v>1</v>
      </c>
      <c r="D6" s="67">
        <v>1</v>
      </c>
      <c r="E6" s="67">
        <v>1</v>
      </c>
      <c r="F6" s="67">
        <v>1</v>
      </c>
    </row>
    <row r="7" spans="1:6" x14ac:dyDescent="0.3">
      <c r="A7">
        <v>6</v>
      </c>
      <c r="B7" s="67">
        <v>1</v>
      </c>
      <c r="C7" s="67">
        <v>1</v>
      </c>
      <c r="D7" s="67">
        <v>1</v>
      </c>
      <c r="E7" s="67">
        <v>1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1A817-6354-49C8-A45D-B31E74AF3FAB}">
  <dimension ref="A1:F16"/>
  <sheetViews>
    <sheetView workbookViewId="0"/>
  </sheetViews>
  <sheetFormatPr baseColWidth="10" defaultRowHeight="14.4" x14ac:dyDescent="0.3"/>
  <sheetData>
    <row r="1" spans="1:6" x14ac:dyDescent="0.3">
      <c r="A1" t="s">
        <v>146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62770-C442-4EE4-9068-8168CD75B57D}">
  <dimension ref="A1:F16"/>
  <sheetViews>
    <sheetView workbookViewId="0">
      <selection activeCell="F20" sqref="F20"/>
    </sheetView>
  </sheetViews>
  <sheetFormatPr baseColWidth="10" defaultRowHeight="14.4" x14ac:dyDescent="0.3"/>
  <sheetData>
    <row r="1" spans="1:6" x14ac:dyDescent="0.3">
      <c r="A1" s="71" t="s">
        <v>151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2</v>
      </c>
      <c r="C2" s="67">
        <v>1</v>
      </c>
      <c r="D2" s="67">
        <v>1</v>
      </c>
      <c r="E2" s="67">
        <v>1</v>
      </c>
      <c r="F2" s="67">
        <v>1</v>
      </c>
    </row>
    <row r="3" spans="1:6" x14ac:dyDescent="0.3">
      <c r="A3">
        <v>2</v>
      </c>
      <c r="B3" s="67">
        <v>2</v>
      </c>
      <c r="C3" s="67">
        <v>1</v>
      </c>
      <c r="D3" s="67">
        <v>1</v>
      </c>
      <c r="E3" s="67">
        <v>1</v>
      </c>
      <c r="F3" s="67">
        <v>1</v>
      </c>
    </row>
    <row r="4" spans="1:6" x14ac:dyDescent="0.3">
      <c r="A4">
        <v>3</v>
      </c>
      <c r="B4" s="67">
        <v>2</v>
      </c>
      <c r="C4" s="67">
        <v>1</v>
      </c>
      <c r="D4" s="67">
        <v>1</v>
      </c>
      <c r="E4" s="67">
        <v>1</v>
      </c>
      <c r="F4" s="67">
        <v>1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F46DC-2E84-4D04-B651-27BB6F348FC6}">
  <dimension ref="A1:F16"/>
  <sheetViews>
    <sheetView workbookViewId="0">
      <selection activeCell="E20" sqref="E20"/>
    </sheetView>
  </sheetViews>
  <sheetFormatPr baseColWidth="10" defaultRowHeight="14.4" x14ac:dyDescent="0.3"/>
  <sheetData>
    <row r="1" spans="1:6" x14ac:dyDescent="0.3">
      <c r="A1" s="85" t="s">
        <v>479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1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1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1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55F9E-2622-43CD-99E7-D86864EB2379}">
  <dimension ref="A1:F16"/>
  <sheetViews>
    <sheetView workbookViewId="0">
      <selection activeCell="I18" sqref="I18"/>
    </sheetView>
  </sheetViews>
  <sheetFormatPr baseColWidth="10" defaultRowHeight="14.4" x14ac:dyDescent="0.3"/>
  <sheetData>
    <row r="1" spans="1:6" x14ac:dyDescent="0.3">
      <c r="A1" s="71" t="s">
        <v>335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3</v>
      </c>
      <c r="C2" s="67">
        <v>3</v>
      </c>
      <c r="D2" s="67">
        <v>3</v>
      </c>
      <c r="E2" s="67">
        <v>3</v>
      </c>
      <c r="F2" s="67">
        <v>3</v>
      </c>
    </row>
    <row r="3" spans="1:6" x14ac:dyDescent="0.3">
      <c r="A3">
        <v>2</v>
      </c>
      <c r="B3" s="67">
        <v>3</v>
      </c>
      <c r="C3" s="67">
        <v>3</v>
      </c>
      <c r="D3" s="67">
        <v>3</v>
      </c>
      <c r="E3" s="67">
        <v>3</v>
      </c>
      <c r="F3" s="67">
        <v>3</v>
      </c>
    </row>
    <row r="4" spans="1:6" x14ac:dyDescent="0.3">
      <c r="A4">
        <v>3</v>
      </c>
      <c r="B4" s="67">
        <v>2</v>
      </c>
      <c r="C4" s="67">
        <v>2</v>
      </c>
      <c r="D4" s="67">
        <v>2</v>
      </c>
      <c r="E4" s="67">
        <v>2</v>
      </c>
      <c r="F4" s="67">
        <v>2</v>
      </c>
    </row>
    <row r="5" spans="1:6" x14ac:dyDescent="0.3">
      <c r="A5">
        <v>4</v>
      </c>
      <c r="B5" s="67">
        <v>2</v>
      </c>
      <c r="C5" s="67">
        <v>2</v>
      </c>
      <c r="D5" s="67">
        <v>2</v>
      </c>
      <c r="E5" s="67">
        <v>2</v>
      </c>
      <c r="F5" s="67">
        <v>2</v>
      </c>
    </row>
    <row r="6" spans="1:6" x14ac:dyDescent="0.3">
      <c r="A6">
        <v>5</v>
      </c>
      <c r="B6" s="67">
        <v>1</v>
      </c>
      <c r="C6" s="67">
        <v>1</v>
      </c>
      <c r="D6" s="67">
        <v>1</v>
      </c>
      <c r="E6" s="67">
        <v>1</v>
      </c>
      <c r="F6" s="67">
        <v>1</v>
      </c>
    </row>
    <row r="7" spans="1:6" x14ac:dyDescent="0.3">
      <c r="A7">
        <v>6</v>
      </c>
      <c r="B7" s="67">
        <v>1</v>
      </c>
      <c r="C7" s="67">
        <v>1</v>
      </c>
      <c r="D7" s="67">
        <v>1</v>
      </c>
      <c r="E7" s="67">
        <v>1</v>
      </c>
      <c r="F7" s="67">
        <v>1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C0A89-1DF3-4FA5-90C9-F9ED326C2349}">
  <dimension ref="A1:F16"/>
  <sheetViews>
    <sheetView workbookViewId="0">
      <selection activeCell="D18" sqref="D18"/>
    </sheetView>
  </sheetViews>
  <sheetFormatPr baseColWidth="10" defaultRowHeight="14.4" x14ac:dyDescent="0.3"/>
  <sheetData>
    <row r="1" spans="1:6" x14ac:dyDescent="0.3">
      <c r="A1" s="71" t="s">
        <v>440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1</v>
      </c>
      <c r="C2" s="67">
        <v>1</v>
      </c>
      <c r="D2" s="67">
        <v>1</v>
      </c>
      <c r="E2" s="67">
        <v>1</v>
      </c>
      <c r="F2" s="67">
        <v>1</v>
      </c>
    </row>
    <row r="3" spans="1:6" x14ac:dyDescent="0.3">
      <c r="A3">
        <v>2</v>
      </c>
      <c r="B3" s="67">
        <v>1</v>
      </c>
      <c r="C3" s="67">
        <v>1</v>
      </c>
      <c r="D3" s="67">
        <v>1</v>
      </c>
      <c r="E3" s="67">
        <v>1</v>
      </c>
      <c r="F3" s="67">
        <v>1</v>
      </c>
    </row>
    <row r="4" spans="1:6" x14ac:dyDescent="0.3">
      <c r="A4">
        <v>3</v>
      </c>
      <c r="B4" s="67">
        <v>2</v>
      </c>
      <c r="C4" s="67">
        <v>2</v>
      </c>
      <c r="D4" s="67">
        <v>2</v>
      </c>
      <c r="E4" s="67">
        <v>2</v>
      </c>
      <c r="F4" s="67">
        <v>2</v>
      </c>
    </row>
    <row r="5" spans="1:6" x14ac:dyDescent="0.3">
      <c r="A5">
        <v>4</v>
      </c>
      <c r="B5" s="67">
        <v>2</v>
      </c>
      <c r="C5" s="67">
        <v>2</v>
      </c>
      <c r="D5" s="67">
        <v>2</v>
      </c>
      <c r="E5" s="67">
        <v>2</v>
      </c>
      <c r="F5" s="67">
        <v>2</v>
      </c>
    </row>
    <row r="6" spans="1:6" x14ac:dyDescent="0.3">
      <c r="A6">
        <v>5</v>
      </c>
      <c r="B6" s="67">
        <v>3</v>
      </c>
      <c r="C6" s="67">
        <v>3</v>
      </c>
      <c r="D6" s="67">
        <v>3</v>
      </c>
      <c r="E6" s="67">
        <v>3</v>
      </c>
      <c r="F6" s="67">
        <v>3</v>
      </c>
    </row>
    <row r="7" spans="1:6" x14ac:dyDescent="0.3">
      <c r="A7">
        <v>6</v>
      </c>
      <c r="B7" s="67">
        <v>3</v>
      </c>
      <c r="C7" s="67">
        <v>3</v>
      </c>
      <c r="D7" s="67">
        <v>3</v>
      </c>
      <c r="E7" s="67">
        <v>3</v>
      </c>
      <c r="F7" s="67">
        <v>3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E8B87-CFED-4B78-AFE3-0D969F12F142}">
  <dimension ref="A1:F16"/>
  <sheetViews>
    <sheetView workbookViewId="0">
      <selection activeCell="D21" sqref="D21"/>
    </sheetView>
  </sheetViews>
  <sheetFormatPr baseColWidth="10" defaultRowHeight="14.4" x14ac:dyDescent="0.3"/>
  <sheetData>
    <row r="1" spans="1:6" x14ac:dyDescent="0.3">
      <c r="A1" s="71" t="s">
        <v>442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1</v>
      </c>
      <c r="C2" s="67">
        <v>0</v>
      </c>
      <c r="D2" s="67">
        <v>0</v>
      </c>
      <c r="E2" s="67">
        <v>0</v>
      </c>
      <c r="F2" s="67">
        <v>1</v>
      </c>
    </row>
    <row r="3" spans="1:6" x14ac:dyDescent="0.3">
      <c r="A3">
        <v>2</v>
      </c>
      <c r="B3" s="67">
        <v>1</v>
      </c>
      <c r="C3" s="67">
        <v>0</v>
      </c>
      <c r="D3" s="67">
        <v>0</v>
      </c>
      <c r="E3" s="67">
        <v>0</v>
      </c>
      <c r="F3" s="67">
        <v>1</v>
      </c>
    </row>
    <row r="4" spans="1:6" x14ac:dyDescent="0.3">
      <c r="A4">
        <v>3</v>
      </c>
      <c r="B4" s="67">
        <v>1</v>
      </c>
      <c r="C4" s="67">
        <v>0</v>
      </c>
      <c r="D4" s="67">
        <v>0</v>
      </c>
      <c r="E4" s="67">
        <v>0</v>
      </c>
      <c r="F4" s="67">
        <v>1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1</v>
      </c>
      <c r="C12" s="69">
        <v>0</v>
      </c>
      <c r="D12" s="69">
        <v>0</v>
      </c>
      <c r="E12" s="69">
        <v>0</v>
      </c>
      <c r="F12" s="69">
        <v>1</v>
      </c>
    </row>
    <row r="13" spans="1:6" x14ac:dyDescent="0.3">
      <c r="A13">
        <v>12</v>
      </c>
      <c r="B13" s="69">
        <v>1</v>
      </c>
      <c r="C13" s="69">
        <v>0</v>
      </c>
      <c r="D13" s="69">
        <v>0</v>
      </c>
      <c r="E13" s="69">
        <v>0</v>
      </c>
      <c r="F13" s="69">
        <v>1</v>
      </c>
    </row>
    <row r="14" spans="1:6" x14ac:dyDescent="0.3">
      <c r="A14">
        <v>13</v>
      </c>
      <c r="B14" s="69">
        <v>1</v>
      </c>
      <c r="C14" s="69">
        <v>0</v>
      </c>
      <c r="D14" s="69">
        <v>0</v>
      </c>
      <c r="E14" s="69">
        <v>0</v>
      </c>
      <c r="F14" s="69">
        <v>1</v>
      </c>
    </row>
    <row r="15" spans="1:6" x14ac:dyDescent="0.3">
      <c r="A15">
        <v>14</v>
      </c>
      <c r="B15" s="69">
        <v>2</v>
      </c>
      <c r="C15" s="69">
        <v>0</v>
      </c>
      <c r="D15" s="69">
        <v>0</v>
      </c>
      <c r="E15" s="69">
        <v>0</v>
      </c>
      <c r="F15" s="69">
        <v>2</v>
      </c>
    </row>
    <row r="16" spans="1:6" x14ac:dyDescent="0.3">
      <c r="A16">
        <v>15</v>
      </c>
      <c r="B16" s="69">
        <v>2</v>
      </c>
      <c r="C16" s="69">
        <v>0</v>
      </c>
      <c r="D16" s="69">
        <v>0</v>
      </c>
      <c r="E16" s="69">
        <v>0</v>
      </c>
      <c r="F16" s="69">
        <v>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73B5-02D4-427A-A3A3-789904D65D20}">
  <dimension ref="A1:F16"/>
  <sheetViews>
    <sheetView workbookViewId="0"/>
  </sheetViews>
  <sheetFormatPr baseColWidth="10" defaultRowHeight="14.4" x14ac:dyDescent="0.3"/>
  <sheetData>
    <row r="1" spans="1:6" x14ac:dyDescent="0.3">
      <c r="A1" t="s">
        <v>420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D5472-59B3-4057-9928-DFB5529CDFED}">
  <dimension ref="A1:F16"/>
  <sheetViews>
    <sheetView workbookViewId="0">
      <selection activeCell="D21" sqref="D21"/>
    </sheetView>
  </sheetViews>
  <sheetFormatPr baseColWidth="10" defaultRowHeight="14.4" x14ac:dyDescent="0.3"/>
  <sheetData>
    <row r="1" spans="1:6" x14ac:dyDescent="0.3">
      <c r="A1" s="71" t="s">
        <v>489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1</v>
      </c>
      <c r="C9" s="68">
        <v>0</v>
      </c>
      <c r="D9" s="68">
        <v>1</v>
      </c>
      <c r="E9" s="68">
        <v>0</v>
      </c>
      <c r="F9" s="68">
        <v>1</v>
      </c>
    </row>
    <row r="10" spans="1:6" x14ac:dyDescent="0.3">
      <c r="A10">
        <v>9</v>
      </c>
      <c r="B10" s="68">
        <v>1</v>
      </c>
      <c r="C10" s="68">
        <v>0</v>
      </c>
      <c r="D10" s="68">
        <v>1</v>
      </c>
      <c r="E10" s="68">
        <v>0</v>
      </c>
      <c r="F10" s="68">
        <v>1</v>
      </c>
    </row>
    <row r="11" spans="1:6" x14ac:dyDescent="0.3">
      <c r="A11">
        <v>10</v>
      </c>
      <c r="B11" s="68">
        <v>1</v>
      </c>
      <c r="C11" s="68">
        <v>0</v>
      </c>
      <c r="D11" s="68">
        <v>1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1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4318E-F697-448B-8809-DE95FD257ADA}">
  <dimension ref="A1:F16"/>
  <sheetViews>
    <sheetView workbookViewId="0">
      <selection activeCell="E22" sqref="E22"/>
    </sheetView>
  </sheetViews>
  <sheetFormatPr baseColWidth="10" defaultRowHeight="14.4" x14ac:dyDescent="0.3"/>
  <sheetData>
    <row r="1" spans="1:6" x14ac:dyDescent="0.3">
      <c r="A1" s="71" t="s">
        <v>254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2</v>
      </c>
      <c r="C12" s="69">
        <v>2</v>
      </c>
      <c r="D12" s="69">
        <v>2</v>
      </c>
      <c r="E12" s="69">
        <v>2</v>
      </c>
      <c r="F12" s="69">
        <v>0</v>
      </c>
    </row>
    <row r="13" spans="1:6" x14ac:dyDescent="0.3">
      <c r="A13">
        <v>12</v>
      </c>
      <c r="B13" s="69">
        <v>1</v>
      </c>
      <c r="C13" s="69">
        <v>1</v>
      </c>
      <c r="D13" s="69">
        <v>1</v>
      </c>
      <c r="E13" s="69">
        <v>1</v>
      </c>
      <c r="F13" s="69">
        <v>0</v>
      </c>
    </row>
    <row r="14" spans="1:6" x14ac:dyDescent="0.3">
      <c r="A14">
        <v>13</v>
      </c>
      <c r="B14" s="69">
        <v>1</v>
      </c>
      <c r="C14" s="69">
        <v>1</v>
      </c>
      <c r="D14" s="69">
        <v>1</v>
      </c>
      <c r="E14" s="69">
        <v>1</v>
      </c>
      <c r="F14" s="69">
        <v>0</v>
      </c>
    </row>
    <row r="15" spans="1:6" x14ac:dyDescent="0.3">
      <c r="A15">
        <v>14</v>
      </c>
      <c r="B15" s="69">
        <v>1</v>
      </c>
      <c r="C15" s="69">
        <v>1</v>
      </c>
      <c r="D15" s="69">
        <v>1</v>
      </c>
      <c r="E15" s="69">
        <v>1</v>
      </c>
      <c r="F15" s="69">
        <v>0</v>
      </c>
    </row>
    <row r="16" spans="1:6" x14ac:dyDescent="0.3">
      <c r="A16">
        <v>15</v>
      </c>
      <c r="B16" s="69">
        <v>1</v>
      </c>
      <c r="C16" s="69">
        <v>1</v>
      </c>
      <c r="D16" s="69">
        <v>1</v>
      </c>
      <c r="E16" s="69">
        <v>1</v>
      </c>
      <c r="F16" s="69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9C939-32A9-42AC-ACAB-7D8DC278E8D1}">
  <dimension ref="A1:F16"/>
  <sheetViews>
    <sheetView workbookViewId="0">
      <selection activeCell="E22" sqref="E22"/>
    </sheetView>
  </sheetViews>
  <sheetFormatPr baseColWidth="10" defaultRowHeight="14.4" x14ac:dyDescent="0.3"/>
  <sheetData>
    <row r="1" spans="1:6" x14ac:dyDescent="0.3">
      <c r="A1" s="72" t="s">
        <v>354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1</v>
      </c>
      <c r="C2" s="67">
        <v>1</v>
      </c>
      <c r="D2" s="67">
        <v>1</v>
      </c>
      <c r="E2" s="67">
        <v>1</v>
      </c>
      <c r="F2" s="67">
        <v>1</v>
      </c>
    </row>
    <row r="3" spans="1:6" x14ac:dyDescent="0.3">
      <c r="A3">
        <v>2</v>
      </c>
      <c r="B3" s="67">
        <v>1</v>
      </c>
      <c r="C3" s="67">
        <v>1</v>
      </c>
      <c r="D3" s="67">
        <v>1</v>
      </c>
      <c r="E3" s="72">
        <v>1</v>
      </c>
      <c r="F3" s="72">
        <v>2</v>
      </c>
    </row>
    <row r="4" spans="1:6" x14ac:dyDescent="0.3">
      <c r="A4">
        <v>3</v>
      </c>
      <c r="B4" s="67">
        <v>1</v>
      </c>
      <c r="C4" s="67">
        <v>1</v>
      </c>
      <c r="D4" s="67">
        <v>1</v>
      </c>
      <c r="E4" s="72">
        <v>1</v>
      </c>
      <c r="F4" s="72">
        <v>2</v>
      </c>
    </row>
    <row r="5" spans="1:6" x14ac:dyDescent="0.3">
      <c r="A5">
        <v>4</v>
      </c>
      <c r="B5" s="67">
        <v>1</v>
      </c>
      <c r="C5" s="67">
        <v>1</v>
      </c>
      <c r="D5" s="67">
        <v>1</v>
      </c>
      <c r="E5" s="72">
        <v>2</v>
      </c>
      <c r="F5" s="72">
        <v>2</v>
      </c>
    </row>
    <row r="6" spans="1:6" x14ac:dyDescent="0.3">
      <c r="A6">
        <v>5</v>
      </c>
      <c r="B6" s="67">
        <v>1</v>
      </c>
      <c r="C6" s="67">
        <v>1</v>
      </c>
      <c r="D6" s="67">
        <v>1</v>
      </c>
      <c r="E6" s="72">
        <v>2</v>
      </c>
      <c r="F6" s="72">
        <v>2</v>
      </c>
    </row>
    <row r="7" spans="1:6" x14ac:dyDescent="0.3">
      <c r="A7">
        <v>6</v>
      </c>
      <c r="B7" s="67">
        <v>1</v>
      </c>
      <c r="C7" s="67">
        <v>1</v>
      </c>
      <c r="D7" s="67">
        <v>1</v>
      </c>
      <c r="E7" s="72">
        <v>2</v>
      </c>
      <c r="F7" s="72">
        <v>1</v>
      </c>
    </row>
    <row r="8" spans="1:6" x14ac:dyDescent="0.3">
      <c r="A8">
        <v>7</v>
      </c>
      <c r="B8" s="68">
        <v>1</v>
      </c>
      <c r="C8" s="68">
        <v>1</v>
      </c>
      <c r="D8" s="68">
        <v>1</v>
      </c>
      <c r="E8" s="72">
        <v>2</v>
      </c>
      <c r="F8" s="72">
        <v>1</v>
      </c>
    </row>
    <row r="9" spans="1:6" x14ac:dyDescent="0.3">
      <c r="A9">
        <v>8</v>
      </c>
      <c r="B9" s="68">
        <v>1</v>
      </c>
      <c r="C9" s="68">
        <v>1</v>
      </c>
      <c r="D9" s="68">
        <v>1</v>
      </c>
      <c r="E9" s="68">
        <v>1</v>
      </c>
      <c r="F9" s="68">
        <v>1</v>
      </c>
    </row>
    <row r="10" spans="1:6" x14ac:dyDescent="0.3">
      <c r="A10">
        <v>9</v>
      </c>
      <c r="B10" s="68">
        <v>1</v>
      </c>
      <c r="C10" s="68">
        <v>1</v>
      </c>
      <c r="D10" s="68">
        <v>1</v>
      </c>
      <c r="E10" s="68">
        <v>0</v>
      </c>
      <c r="F10" s="68">
        <v>0</v>
      </c>
    </row>
    <row r="11" spans="1:6" x14ac:dyDescent="0.3">
      <c r="A11">
        <v>10</v>
      </c>
      <c r="B11" s="68">
        <v>1</v>
      </c>
      <c r="C11" s="68">
        <v>1</v>
      </c>
      <c r="D11" s="68">
        <v>1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02040-A001-4031-9925-5C70649768B7}">
  <dimension ref="A1:F16"/>
  <sheetViews>
    <sheetView workbookViewId="0">
      <selection activeCell="C22" sqref="C22"/>
    </sheetView>
  </sheetViews>
  <sheetFormatPr baseColWidth="10" defaultRowHeight="14.4" x14ac:dyDescent="0.3"/>
  <sheetData>
    <row r="1" spans="1:6" x14ac:dyDescent="0.3">
      <c r="A1" s="71" t="s">
        <v>117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2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2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1</v>
      </c>
      <c r="F6" s="67">
        <v>1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1</v>
      </c>
      <c r="F7" s="67">
        <v>1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2</v>
      </c>
      <c r="F8" s="68">
        <v>1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2</v>
      </c>
      <c r="F9" s="68">
        <v>1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2</v>
      </c>
      <c r="F10" s="68">
        <v>1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2</v>
      </c>
      <c r="F11" s="68">
        <v>1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82FFA-E6FB-4224-8081-798A0FFB8278}">
  <dimension ref="A1:F16"/>
  <sheetViews>
    <sheetView workbookViewId="0">
      <selection activeCell="C21" sqref="C21"/>
    </sheetView>
  </sheetViews>
  <sheetFormatPr baseColWidth="10" defaultRowHeight="14.4" x14ac:dyDescent="0.3"/>
  <sheetData>
    <row r="1" spans="1:6" x14ac:dyDescent="0.3">
      <c r="A1" s="72" t="s">
        <v>256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1</v>
      </c>
      <c r="D12" s="69">
        <v>0</v>
      </c>
      <c r="E12" s="69">
        <v>1</v>
      </c>
      <c r="F12" s="69">
        <v>0</v>
      </c>
    </row>
    <row r="13" spans="1:6" x14ac:dyDescent="0.3">
      <c r="A13">
        <v>12</v>
      </c>
      <c r="B13" s="69">
        <v>0</v>
      </c>
      <c r="C13" s="69">
        <v>1</v>
      </c>
      <c r="D13" s="69">
        <v>0</v>
      </c>
      <c r="E13" s="69">
        <v>1</v>
      </c>
      <c r="F13" s="69">
        <v>0</v>
      </c>
    </row>
    <row r="14" spans="1:6" x14ac:dyDescent="0.3">
      <c r="A14">
        <v>13</v>
      </c>
      <c r="B14" s="69">
        <v>0</v>
      </c>
      <c r="C14" s="70">
        <v>3</v>
      </c>
      <c r="D14" s="69">
        <v>0</v>
      </c>
      <c r="E14" s="70">
        <v>3</v>
      </c>
      <c r="F14" s="69">
        <v>0</v>
      </c>
    </row>
    <row r="15" spans="1:6" x14ac:dyDescent="0.3">
      <c r="A15">
        <v>14</v>
      </c>
      <c r="B15" s="69">
        <v>0</v>
      </c>
      <c r="C15" s="70">
        <v>3</v>
      </c>
      <c r="D15" s="69">
        <v>0</v>
      </c>
      <c r="E15" s="70">
        <v>3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F213E-FEDF-462E-8553-65F2EF017707}">
  <dimension ref="A1:F16"/>
  <sheetViews>
    <sheetView workbookViewId="0"/>
  </sheetViews>
  <sheetFormatPr baseColWidth="10" defaultRowHeight="14.4" x14ac:dyDescent="0.3"/>
  <sheetData>
    <row r="1" spans="1:6" x14ac:dyDescent="0.3">
      <c r="A1" t="s">
        <v>349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DCA3B-1581-404E-84AF-B23AD8D63539}">
  <dimension ref="A1:F16"/>
  <sheetViews>
    <sheetView workbookViewId="0">
      <selection activeCell="C24" sqref="C24"/>
    </sheetView>
  </sheetViews>
  <sheetFormatPr baseColWidth="10" defaultRowHeight="14.4" x14ac:dyDescent="0.3"/>
  <sheetData>
    <row r="1" spans="1:6" x14ac:dyDescent="0.3">
      <c r="A1" s="71" t="s">
        <v>443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2</v>
      </c>
      <c r="C2" s="67">
        <v>2</v>
      </c>
      <c r="D2" s="67">
        <v>2</v>
      </c>
      <c r="E2" s="67">
        <v>2</v>
      </c>
      <c r="F2" s="67">
        <v>2</v>
      </c>
    </row>
    <row r="3" spans="1:6" x14ac:dyDescent="0.3">
      <c r="A3">
        <v>2</v>
      </c>
      <c r="B3" s="67">
        <v>2</v>
      </c>
      <c r="C3" s="67">
        <v>2</v>
      </c>
      <c r="D3" s="67">
        <v>2</v>
      </c>
      <c r="E3" s="67">
        <v>2</v>
      </c>
      <c r="F3" s="67">
        <v>2</v>
      </c>
    </row>
    <row r="4" spans="1:6" x14ac:dyDescent="0.3">
      <c r="A4">
        <v>3</v>
      </c>
      <c r="B4" s="67">
        <v>1</v>
      </c>
      <c r="C4" s="67">
        <v>1</v>
      </c>
      <c r="D4" s="67">
        <v>1</v>
      </c>
      <c r="E4" s="67">
        <v>1</v>
      </c>
      <c r="F4" s="67">
        <v>1</v>
      </c>
    </row>
    <row r="5" spans="1:6" x14ac:dyDescent="0.3">
      <c r="A5">
        <v>4</v>
      </c>
      <c r="B5" s="67">
        <v>1</v>
      </c>
      <c r="C5" s="67">
        <v>1</v>
      </c>
      <c r="D5" s="67">
        <v>1</v>
      </c>
      <c r="E5" s="67">
        <v>1</v>
      </c>
      <c r="F5" s="67">
        <v>1</v>
      </c>
    </row>
    <row r="6" spans="1:6" x14ac:dyDescent="0.3">
      <c r="A6">
        <v>5</v>
      </c>
      <c r="B6" s="67">
        <v>3</v>
      </c>
      <c r="C6" s="67">
        <v>3</v>
      </c>
      <c r="D6" s="67">
        <v>3</v>
      </c>
      <c r="E6" s="67">
        <v>3</v>
      </c>
      <c r="F6" s="67">
        <v>3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B47B6-CA30-4962-A592-9217262459C2}">
  <dimension ref="A1:F16"/>
  <sheetViews>
    <sheetView workbookViewId="0"/>
  </sheetViews>
  <sheetFormatPr baseColWidth="10" defaultRowHeight="14.4" x14ac:dyDescent="0.3"/>
  <sheetData>
    <row r="1" spans="1:6" x14ac:dyDescent="0.3">
      <c r="A1" t="s">
        <v>406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AA946-1EF1-423C-86B1-35A932132EF7}">
  <dimension ref="A1:F16"/>
  <sheetViews>
    <sheetView workbookViewId="0"/>
  </sheetViews>
  <sheetFormatPr baseColWidth="10" defaultRowHeight="14.4" x14ac:dyDescent="0.3"/>
  <sheetData>
    <row r="1" spans="1:6" x14ac:dyDescent="0.3">
      <c r="A1" t="s">
        <v>400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DCE7E-227F-46C3-AEE6-F76D46E5AC61}">
  <dimension ref="A1:F16"/>
  <sheetViews>
    <sheetView workbookViewId="0">
      <selection activeCell="B21" sqref="B21"/>
    </sheetView>
  </sheetViews>
  <sheetFormatPr baseColWidth="10" defaultRowHeight="14.4" x14ac:dyDescent="0.3"/>
  <sheetData>
    <row r="1" spans="1:6" x14ac:dyDescent="0.3">
      <c r="A1" s="71" t="s">
        <v>124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2</v>
      </c>
      <c r="C2" s="67">
        <v>1</v>
      </c>
      <c r="D2" s="67">
        <v>2</v>
      </c>
      <c r="E2" s="67">
        <v>1</v>
      </c>
      <c r="F2" s="67">
        <v>1</v>
      </c>
    </row>
    <row r="3" spans="1:6" x14ac:dyDescent="0.3">
      <c r="A3">
        <v>2</v>
      </c>
      <c r="B3" s="67">
        <v>2</v>
      </c>
      <c r="C3" s="67">
        <v>1</v>
      </c>
      <c r="D3" s="67">
        <v>2</v>
      </c>
      <c r="E3" s="67">
        <v>1</v>
      </c>
      <c r="F3" s="67">
        <v>1</v>
      </c>
    </row>
    <row r="4" spans="1:6" x14ac:dyDescent="0.3">
      <c r="A4">
        <v>3</v>
      </c>
      <c r="B4" s="67">
        <v>0</v>
      </c>
      <c r="C4" s="67">
        <v>3</v>
      </c>
      <c r="D4" s="67">
        <v>3</v>
      </c>
      <c r="E4" s="67">
        <v>2</v>
      </c>
      <c r="F4" s="67">
        <v>2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3</v>
      </c>
      <c r="C12" s="69">
        <v>0</v>
      </c>
      <c r="D12" s="69">
        <v>3</v>
      </c>
      <c r="E12" s="69">
        <v>0</v>
      </c>
      <c r="F12" s="69">
        <v>0</v>
      </c>
    </row>
    <row r="13" spans="1:6" x14ac:dyDescent="0.3">
      <c r="A13">
        <v>12</v>
      </c>
      <c r="B13" s="69">
        <v>1</v>
      </c>
      <c r="C13" s="69">
        <v>0</v>
      </c>
      <c r="D13" s="69">
        <v>1</v>
      </c>
      <c r="E13" s="69">
        <v>0</v>
      </c>
      <c r="F13" s="69">
        <v>0</v>
      </c>
    </row>
    <row r="14" spans="1:6" x14ac:dyDescent="0.3">
      <c r="A14">
        <v>13</v>
      </c>
      <c r="B14" s="69">
        <v>1</v>
      </c>
      <c r="C14" s="69">
        <v>1</v>
      </c>
      <c r="D14" s="69">
        <v>1</v>
      </c>
      <c r="E14" s="69">
        <v>1</v>
      </c>
      <c r="F14" s="69">
        <v>1</v>
      </c>
    </row>
    <row r="15" spans="1:6" x14ac:dyDescent="0.3">
      <c r="A15">
        <v>14</v>
      </c>
      <c r="B15" s="69">
        <v>1</v>
      </c>
      <c r="C15" s="69">
        <v>1</v>
      </c>
      <c r="D15" s="69">
        <v>1</v>
      </c>
      <c r="E15" s="69">
        <v>1</v>
      </c>
      <c r="F15" s="69">
        <v>1</v>
      </c>
    </row>
    <row r="16" spans="1:6" x14ac:dyDescent="0.3">
      <c r="A16">
        <v>15</v>
      </c>
      <c r="B16" s="69">
        <v>1</v>
      </c>
      <c r="C16" s="69">
        <v>1</v>
      </c>
      <c r="D16" s="69">
        <v>1</v>
      </c>
      <c r="E16" s="69">
        <v>1</v>
      </c>
      <c r="F16" s="69">
        <v>1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029AC-A39B-4FF4-A8D4-FBD8F77C38FB}">
  <dimension ref="A1:F16"/>
  <sheetViews>
    <sheetView workbookViewId="0">
      <selection activeCell="I21" sqref="I21"/>
    </sheetView>
  </sheetViews>
  <sheetFormatPr baseColWidth="10" defaultRowHeight="14.4" x14ac:dyDescent="0.3"/>
  <sheetData>
    <row r="1" spans="1:6" x14ac:dyDescent="0.3">
      <c r="A1" s="71" t="s">
        <v>444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2</v>
      </c>
      <c r="C2" s="67">
        <v>1</v>
      </c>
      <c r="D2" s="67">
        <v>2</v>
      </c>
      <c r="E2" s="67">
        <v>1</v>
      </c>
      <c r="F2" s="67">
        <v>3</v>
      </c>
    </row>
    <row r="3" spans="1:6" x14ac:dyDescent="0.3">
      <c r="A3">
        <v>2</v>
      </c>
      <c r="B3" s="67">
        <v>2</v>
      </c>
      <c r="C3" s="67">
        <v>1</v>
      </c>
      <c r="D3" s="67">
        <v>2</v>
      </c>
      <c r="E3" s="67">
        <v>1</v>
      </c>
      <c r="F3" s="67">
        <v>3</v>
      </c>
    </row>
    <row r="4" spans="1:6" x14ac:dyDescent="0.3">
      <c r="A4">
        <v>3</v>
      </c>
      <c r="B4" s="67">
        <v>2</v>
      </c>
      <c r="C4" s="67">
        <v>2</v>
      </c>
      <c r="D4" s="67">
        <v>2</v>
      </c>
      <c r="E4" s="67">
        <v>2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F5BDE-73B8-48EF-AFCA-D2F6DDE2D2A2}">
  <dimension ref="A1:F16"/>
  <sheetViews>
    <sheetView workbookViewId="0">
      <selection activeCell="C20" sqref="C20"/>
    </sheetView>
  </sheetViews>
  <sheetFormatPr baseColWidth="10" defaultRowHeight="14.4" x14ac:dyDescent="0.3"/>
  <sheetData>
    <row r="1" spans="1:6" x14ac:dyDescent="0.3">
      <c r="A1" s="71" t="s">
        <v>144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3</v>
      </c>
      <c r="C2" s="67">
        <v>3</v>
      </c>
      <c r="D2" s="67">
        <v>3</v>
      </c>
      <c r="E2" s="67">
        <v>3</v>
      </c>
      <c r="F2" s="67">
        <v>3</v>
      </c>
    </row>
    <row r="3" spans="1:6" x14ac:dyDescent="0.3">
      <c r="A3">
        <v>2</v>
      </c>
      <c r="B3" s="67">
        <v>3</v>
      </c>
      <c r="C3" s="67">
        <v>3</v>
      </c>
      <c r="D3" s="67">
        <v>3</v>
      </c>
      <c r="E3" s="67">
        <v>3</v>
      </c>
      <c r="F3" s="67">
        <v>3</v>
      </c>
    </row>
    <row r="4" spans="1:6" x14ac:dyDescent="0.3">
      <c r="A4">
        <v>3</v>
      </c>
      <c r="B4" s="67">
        <v>2</v>
      </c>
      <c r="C4" s="67">
        <v>3</v>
      </c>
      <c r="D4" s="67">
        <v>2</v>
      </c>
      <c r="E4" s="67">
        <v>3</v>
      </c>
      <c r="F4" s="67">
        <v>2</v>
      </c>
    </row>
    <row r="5" spans="1:6" x14ac:dyDescent="0.3">
      <c r="A5">
        <v>4</v>
      </c>
      <c r="B5" s="67">
        <v>1</v>
      </c>
      <c r="C5" s="67">
        <v>2</v>
      </c>
      <c r="D5" s="67">
        <v>1</v>
      </c>
      <c r="E5" s="67">
        <v>2</v>
      </c>
      <c r="F5" s="67">
        <v>1</v>
      </c>
    </row>
    <row r="6" spans="1:6" x14ac:dyDescent="0.3">
      <c r="A6">
        <v>5</v>
      </c>
      <c r="B6" s="67">
        <v>1</v>
      </c>
      <c r="C6" s="67">
        <v>1</v>
      </c>
      <c r="D6" s="67">
        <v>1</v>
      </c>
      <c r="E6" s="67">
        <v>1</v>
      </c>
      <c r="F6" s="67">
        <v>1</v>
      </c>
    </row>
    <row r="7" spans="1:6" x14ac:dyDescent="0.3">
      <c r="A7">
        <v>6</v>
      </c>
      <c r="B7" s="67">
        <v>1</v>
      </c>
      <c r="C7" s="67">
        <v>1</v>
      </c>
      <c r="D7" s="67">
        <v>1</v>
      </c>
      <c r="E7" s="67">
        <v>1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7BA83-12DB-482B-AE93-F7D8C9EF1AD7}">
  <dimension ref="A1:F16"/>
  <sheetViews>
    <sheetView workbookViewId="0">
      <selection activeCell="C20" sqref="C20"/>
    </sheetView>
  </sheetViews>
  <sheetFormatPr baseColWidth="10" defaultRowHeight="14.4" x14ac:dyDescent="0.3"/>
  <sheetData>
    <row r="1" spans="1:6" x14ac:dyDescent="0.3">
      <c r="A1" s="71" t="s">
        <v>276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1</v>
      </c>
      <c r="C13" s="69">
        <v>1</v>
      </c>
      <c r="D13" s="69">
        <v>0</v>
      </c>
      <c r="E13" s="69">
        <v>1</v>
      </c>
      <c r="F13" s="69">
        <v>1</v>
      </c>
    </row>
    <row r="14" spans="1:6" x14ac:dyDescent="0.3">
      <c r="A14">
        <v>13</v>
      </c>
      <c r="B14" s="69">
        <v>1</v>
      </c>
      <c r="C14" s="69">
        <v>1</v>
      </c>
      <c r="D14" s="69">
        <v>0</v>
      </c>
      <c r="E14" s="69">
        <v>1</v>
      </c>
      <c r="F14" s="69">
        <v>1</v>
      </c>
    </row>
    <row r="15" spans="1:6" x14ac:dyDescent="0.3">
      <c r="A15">
        <v>14</v>
      </c>
      <c r="B15" s="69">
        <v>2</v>
      </c>
      <c r="C15" s="69">
        <v>2</v>
      </c>
      <c r="D15" s="69">
        <v>0</v>
      </c>
      <c r="E15" s="69">
        <v>2</v>
      </c>
      <c r="F15" s="69">
        <v>3</v>
      </c>
    </row>
    <row r="16" spans="1:6" x14ac:dyDescent="0.3">
      <c r="A16">
        <v>15</v>
      </c>
      <c r="B16" s="69">
        <v>2</v>
      </c>
      <c r="C16" s="69">
        <v>2</v>
      </c>
      <c r="D16" s="69">
        <v>0</v>
      </c>
      <c r="E16" s="69">
        <v>2</v>
      </c>
      <c r="F16" s="69">
        <v>3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A5377-E059-487E-B4CB-215A0FF8FA25}">
  <dimension ref="A1:F16"/>
  <sheetViews>
    <sheetView workbookViewId="0">
      <selection activeCell="E23" sqref="E23"/>
    </sheetView>
  </sheetViews>
  <sheetFormatPr baseColWidth="10" defaultRowHeight="14.4" x14ac:dyDescent="0.3"/>
  <sheetData>
    <row r="1" spans="1:6" x14ac:dyDescent="0.3">
      <c r="A1" s="71" t="s">
        <v>108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1</v>
      </c>
      <c r="C4" s="67">
        <v>1</v>
      </c>
      <c r="D4" s="67">
        <v>1</v>
      </c>
      <c r="E4" s="67">
        <v>1</v>
      </c>
      <c r="F4" s="67">
        <v>1</v>
      </c>
    </row>
    <row r="5" spans="1:6" x14ac:dyDescent="0.3">
      <c r="A5">
        <v>4</v>
      </c>
      <c r="B5" s="67">
        <v>1</v>
      </c>
      <c r="C5" s="67">
        <v>1</v>
      </c>
      <c r="D5" s="67">
        <v>1</v>
      </c>
      <c r="E5" s="67">
        <v>1</v>
      </c>
      <c r="F5" s="67">
        <v>1</v>
      </c>
    </row>
    <row r="6" spans="1:6" x14ac:dyDescent="0.3">
      <c r="A6">
        <v>5</v>
      </c>
      <c r="B6" s="67">
        <v>1</v>
      </c>
      <c r="C6" s="67">
        <v>1</v>
      </c>
      <c r="D6" s="67">
        <v>1</v>
      </c>
      <c r="E6" s="67">
        <v>1</v>
      </c>
      <c r="F6" s="67">
        <v>1</v>
      </c>
    </row>
    <row r="7" spans="1:6" x14ac:dyDescent="0.3">
      <c r="A7">
        <v>6</v>
      </c>
      <c r="B7" s="67">
        <v>3</v>
      </c>
      <c r="C7" s="67">
        <v>3</v>
      </c>
      <c r="D7" s="67">
        <v>3</v>
      </c>
      <c r="E7" s="67">
        <v>3</v>
      </c>
      <c r="F7" s="67">
        <v>3</v>
      </c>
    </row>
    <row r="8" spans="1:6" x14ac:dyDescent="0.3">
      <c r="A8">
        <v>7</v>
      </c>
      <c r="B8" s="68">
        <v>1</v>
      </c>
      <c r="C8" s="68">
        <v>1</v>
      </c>
      <c r="D8" s="68">
        <v>1</v>
      </c>
      <c r="E8" s="68">
        <v>1</v>
      </c>
      <c r="F8" s="68">
        <v>1</v>
      </c>
    </row>
    <row r="9" spans="1:6" x14ac:dyDescent="0.3">
      <c r="A9">
        <v>8</v>
      </c>
      <c r="B9" s="68">
        <v>1</v>
      </c>
      <c r="C9" s="68">
        <v>1</v>
      </c>
      <c r="D9" s="68">
        <v>1</v>
      </c>
      <c r="E9" s="68">
        <v>1</v>
      </c>
      <c r="F9" s="68">
        <v>1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38B01-B6EF-432D-8475-DB0FF3D8D539}">
  <dimension ref="A1:F16"/>
  <sheetViews>
    <sheetView workbookViewId="0">
      <selection activeCell="E20" sqref="E20"/>
    </sheetView>
  </sheetViews>
  <sheetFormatPr baseColWidth="10" defaultRowHeight="14.4" x14ac:dyDescent="0.3"/>
  <sheetData>
    <row r="1" spans="1:6" x14ac:dyDescent="0.3">
      <c r="A1" s="71" t="s">
        <v>424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1</v>
      </c>
      <c r="C13" s="69">
        <v>1</v>
      </c>
      <c r="D13" s="69">
        <v>1</v>
      </c>
      <c r="E13" s="69">
        <v>1</v>
      </c>
      <c r="F13" s="69">
        <v>1</v>
      </c>
    </row>
    <row r="14" spans="1:6" x14ac:dyDescent="0.3">
      <c r="A14">
        <v>13</v>
      </c>
      <c r="B14" s="69">
        <v>2</v>
      </c>
      <c r="C14" s="69">
        <v>2</v>
      </c>
      <c r="D14" s="69">
        <v>2</v>
      </c>
      <c r="E14" s="69">
        <v>2</v>
      </c>
      <c r="F14" s="69">
        <v>2</v>
      </c>
    </row>
    <row r="15" spans="1:6" x14ac:dyDescent="0.3">
      <c r="A15">
        <v>14</v>
      </c>
      <c r="B15" s="69">
        <v>3</v>
      </c>
      <c r="C15" s="69">
        <v>3</v>
      </c>
      <c r="D15" s="69">
        <v>3</v>
      </c>
      <c r="E15" s="69">
        <v>3</v>
      </c>
      <c r="F15" s="69">
        <v>3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EF4CE-9FD4-42B4-B425-1D94EA52F41E}">
  <dimension ref="A1:F16"/>
  <sheetViews>
    <sheetView workbookViewId="0">
      <selection activeCell="K9" sqref="K9"/>
    </sheetView>
  </sheetViews>
  <sheetFormatPr baseColWidth="10" defaultRowHeight="14.4" x14ac:dyDescent="0.3"/>
  <sheetData>
    <row r="1" spans="1:6" x14ac:dyDescent="0.3">
      <c r="A1" t="s">
        <v>319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AEF25-ADC7-4D99-9C95-212BE55B61B3}">
  <dimension ref="A1:F16"/>
  <sheetViews>
    <sheetView workbookViewId="0">
      <selection activeCell="C21" sqref="C21"/>
    </sheetView>
  </sheetViews>
  <sheetFormatPr baseColWidth="10" defaultRowHeight="14.4" x14ac:dyDescent="0.3"/>
  <sheetData>
    <row r="1" spans="1:6" x14ac:dyDescent="0.3">
      <c r="A1" s="71" t="s">
        <v>500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1</v>
      </c>
      <c r="C2" s="67">
        <v>1</v>
      </c>
      <c r="D2" s="67">
        <v>1</v>
      </c>
      <c r="E2" s="67">
        <v>1</v>
      </c>
      <c r="F2" s="67">
        <v>1</v>
      </c>
    </row>
    <row r="3" spans="1:6" x14ac:dyDescent="0.3">
      <c r="A3">
        <v>2</v>
      </c>
      <c r="B3" s="67">
        <v>1</v>
      </c>
      <c r="C3" s="67">
        <v>1</v>
      </c>
      <c r="D3" s="67">
        <v>1</v>
      </c>
      <c r="E3" s="67">
        <v>1</v>
      </c>
      <c r="F3" s="67">
        <v>1</v>
      </c>
    </row>
    <row r="4" spans="1:6" x14ac:dyDescent="0.3">
      <c r="A4">
        <v>3</v>
      </c>
      <c r="B4" s="67">
        <v>1</v>
      </c>
      <c r="C4" s="67">
        <v>1</v>
      </c>
      <c r="D4" s="67">
        <v>1</v>
      </c>
      <c r="E4" s="67">
        <v>1</v>
      </c>
      <c r="F4" s="67">
        <v>1</v>
      </c>
    </row>
    <row r="5" spans="1:6" x14ac:dyDescent="0.3">
      <c r="A5">
        <v>4</v>
      </c>
      <c r="B5" s="67">
        <v>1</v>
      </c>
      <c r="C5" s="67">
        <v>1</v>
      </c>
      <c r="D5" s="67">
        <v>1</v>
      </c>
      <c r="E5" s="67">
        <v>1</v>
      </c>
      <c r="F5" s="67">
        <v>1</v>
      </c>
    </row>
    <row r="6" spans="1:6" x14ac:dyDescent="0.3">
      <c r="A6">
        <v>5</v>
      </c>
      <c r="B6" s="67">
        <v>1</v>
      </c>
      <c r="C6" s="67">
        <v>1</v>
      </c>
      <c r="D6" s="67">
        <v>1</v>
      </c>
      <c r="E6" s="67">
        <v>1</v>
      </c>
      <c r="F6" s="67">
        <v>1</v>
      </c>
    </row>
    <row r="7" spans="1:6" x14ac:dyDescent="0.3">
      <c r="A7">
        <v>6</v>
      </c>
      <c r="B7" s="67">
        <v>1</v>
      </c>
      <c r="C7" s="67">
        <v>1</v>
      </c>
      <c r="D7" s="67">
        <v>1</v>
      </c>
      <c r="E7" s="67">
        <v>1</v>
      </c>
      <c r="F7" s="67">
        <v>1</v>
      </c>
    </row>
    <row r="8" spans="1:6" x14ac:dyDescent="0.3">
      <c r="A8">
        <v>7</v>
      </c>
      <c r="B8" s="68">
        <v>1</v>
      </c>
      <c r="C8" s="68">
        <v>1</v>
      </c>
      <c r="D8" s="68">
        <v>1</v>
      </c>
      <c r="E8" s="68">
        <v>1</v>
      </c>
      <c r="F8" s="68">
        <v>1</v>
      </c>
    </row>
    <row r="9" spans="1:6" x14ac:dyDescent="0.3">
      <c r="A9">
        <v>8</v>
      </c>
      <c r="B9" s="68">
        <v>1</v>
      </c>
      <c r="C9" s="68">
        <v>1</v>
      </c>
      <c r="D9" s="68">
        <v>1</v>
      </c>
      <c r="E9" s="68">
        <v>1</v>
      </c>
      <c r="F9" s="68">
        <v>1</v>
      </c>
    </row>
    <row r="10" spans="1:6" x14ac:dyDescent="0.3">
      <c r="A10">
        <v>9</v>
      </c>
      <c r="B10" s="68">
        <v>1</v>
      </c>
      <c r="C10" s="68">
        <v>1</v>
      </c>
      <c r="D10" s="68">
        <v>1</v>
      </c>
      <c r="E10" s="68">
        <v>1</v>
      </c>
      <c r="F10" s="68">
        <v>1</v>
      </c>
    </row>
    <row r="11" spans="1:6" x14ac:dyDescent="0.3">
      <c r="A11">
        <v>10</v>
      </c>
      <c r="B11" s="68">
        <v>1</v>
      </c>
      <c r="C11" s="68">
        <v>1</v>
      </c>
      <c r="D11" s="68">
        <v>1</v>
      </c>
      <c r="E11" s="68">
        <v>1</v>
      </c>
      <c r="F11" s="68">
        <v>1</v>
      </c>
    </row>
    <row r="12" spans="1:6" x14ac:dyDescent="0.3">
      <c r="A12">
        <v>11</v>
      </c>
      <c r="B12" s="69">
        <v>1</v>
      </c>
      <c r="C12" s="69">
        <v>1</v>
      </c>
      <c r="D12" s="69">
        <v>1</v>
      </c>
      <c r="E12" s="69">
        <v>1</v>
      </c>
      <c r="F12" s="69">
        <v>1</v>
      </c>
    </row>
    <row r="13" spans="1:6" x14ac:dyDescent="0.3">
      <c r="A13">
        <v>12</v>
      </c>
      <c r="B13" s="69">
        <v>1</v>
      </c>
      <c r="C13" s="69">
        <v>1</v>
      </c>
      <c r="D13" s="69">
        <v>1</v>
      </c>
      <c r="E13" s="69">
        <v>1</v>
      </c>
      <c r="F13" s="69">
        <v>1</v>
      </c>
    </row>
    <row r="14" spans="1:6" x14ac:dyDescent="0.3">
      <c r="A14">
        <v>13</v>
      </c>
      <c r="B14" s="69">
        <v>1</v>
      </c>
      <c r="C14" s="69">
        <v>1</v>
      </c>
      <c r="D14" s="69">
        <v>1</v>
      </c>
      <c r="E14" s="69">
        <v>1</v>
      </c>
      <c r="F14" s="69">
        <v>1</v>
      </c>
    </row>
    <row r="15" spans="1:6" x14ac:dyDescent="0.3">
      <c r="A15">
        <v>14</v>
      </c>
      <c r="B15" s="69">
        <v>1</v>
      </c>
      <c r="C15" s="69">
        <v>1</v>
      </c>
      <c r="D15" s="69">
        <v>1</v>
      </c>
      <c r="E15" s="69">
        <v>1</v>
      </c>
      <c r="F15" s="69">
        <v>1</v>
      </c>
    </row>
    <row r="16" spans="1:6" x14ac:dyDescent="0.3">
      <c r="A16">
        <v>15</v>
      </c>
      <c r="B16" s="69">
        <v>1</v>
      </c>
      <c r="C16" s="69">
        <v>1</v>
      </c>
      <c r="D16" s="69">
        <v>1</v>
      </c>
      <c r="E16" s="69">
        <v>1</v>
      </c>
      <c r="F16" s="69">
        <v>1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9BAD9-0751-4AB9-BCD1-2FCC88F796F9}">
  <dimension ref="A1:F16"/>
  <sheetViews>
    <sheetView workbookViewId="0">
      <selection activeCell="C9" sqref="C9"/>
    </sheetView>
  </sheetViews>
  <sheetFormatPr baseColWidth="10" defaultRowHeight="14.4" x14ac:dyDescent="0.3"/>
  <sheetData>
    <row r="1" spans="1:6" x14ac:dyDescent="0.3">
      <c r="A1" s="71" t="s">
        <v>503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1</v>
      </c>
      <c r="C2" s="67">
        <v>1</v>
      </c>
      <c r="D2" s="67">
        <v>1</v>
      </c>
      <c r="E2" s="67">
        <v>1</v>
      </c>
      <c r="F2" s="67">
        <v>1</v>
      </c>
    </row>
    <row r="3" spans="1:6" x14ac:dyDescent="0.3">
      <c r="A3">
        <v>2</v>
      </c>
      <c r="B3" s="67">
        <v>1</v>
      </c>
      <c r="C3" s="67">
        <v>1</v>
      </c>
      <c r="D3" s="67">
        <v>1</v>
      </c>
      <c r="E3" s="67">
        <v>1</v>
      </c>
      <c r="F3" s="67">
        <v>1</v>
      </c>
    </row>
    <row r="4" spans="1:6" x14ac:dyDescent="0.3">
      <c r="A4">
        <v>3</v>
      </c>
      <c r="B4" s="67">
        <v>1</v>
      </c>
      <c r="C4" s="67">
        <v>1</v>
      </c>
      <c r="D4" s="67">
        <v>1</v>
      </c>
      <c r="E4" s="67">
        <v>1</v>
      </c>
      <c r="F4" s="67">
        <v>1</v>
      </c>
    </row>
    <row r="5" spans="1:6" x14ac:dyDescent="0.3">
      <c r="A5">
        <v>4</v>
      </c>
      <c r="B5" s="67">
        <v>1</v>
      </c>
      <c r="C5" s="67">
        <v>1</v>
      </c>
      <c r="D5" s="67">
        <v>1</v>
      </c>
      <c r="E5" s="67">
        <v>1</v>
      </c>
      <c r="F5" s="67">
        <v>1</v>
      </c>
    </row>
    <row r="6" spans="1:6" x14ac:dyDescent="0.3">
      <c r="A6">
        <v>5</v>
      </c>
      <c r="B6" s="67">
        <v>1</v>
      </c>
      <c r="C6" s="67">
        <v>1</v>
      </c>
      <c r="D6" s="67">
        <v>1</v>
      </c>
      <c r="E6" s="67">
        <v>1</v>
      </c>
      <c r="F6" s="67">
        <v>1</v>
      </c>
    </row>
    <row r="7" spans="1:6" x14ac:dyDescent="0.3">
      <c r="A7">
        <v>6</v>
      </c>
      <c r="B7" s="67">
        <v>1</v>
      </c>
      <c r="C7" s="67">
        <v>1</v>
      </c>
      <c r="D7" s="67">
        <v>1</v>
      </c>
      <c r="E7" s="67">
        <v>1</v>
      </c>
      <c r="F7" s="67">
        <v>1</v>
      </c>
    </row>
    <row r="8" spans="1:6" x14ac:dyDescent="0.3">
      <c r="A8">
        <v>7</v>
      </c>
      <c r="B8" s="68">
        <v>1</v>
      </c>
      <c r="C8" s="68">
        <v>1</v>
      </c>
      <c r="D8" s="68">
        <v>1</v>
      </c>
      <c r="E8" s="68">
        <v>1</v>
      </c>
      <c r="F8" s="68">
        <v>1</v>
      </c>
    </row>
    <row r="9" spans="1:6" x14ac:dyDescent="0.3">
      <c r="A9">
        <v>8</v>
      </c>
      <c r="B9" s="68">
        <v>1</v>
      </c>
      <c r="C9" s="68">
        <v>1</v>
      </c>
      <c r="D9" s="68">
        <v>1</v>
      </c>
      <c r="E9" s="68">
        <v>1</v>
      </c>
      <c r="F9" s="68">
        <v>1</v>
      </c>
    </row>
    <row r="10" spans="1:6" x14ac:dyDescent="0.3">
      <c r="A10">
        <v>9</v>
      </c>
      <c r="B10" s="68">
        <v>1</v>
      </c>
      <c r="C10" s="68">
        <v>1</v>
      </c>
      <c r="D10" s="68">
        <v>1</v>
      </c>
      <c r="E10" s="68">
        <v>1</v>
      </c>
      <c r="F10" s="68">
        <v>1</v>
      </c>
    </row>
    <row r="11" spans="1:6" x14ac:dyDescent="0.3">
      <c r="A11">
        <v>10</v>
      </c>
      <c r="B11" s="68">
        <v>1</v>
      </c>
      <c r="C11" s="68">
        <v>1</v>
      </c>
      <c r="D11" s="68">
        <v>1</v>
      </c>
      <c r="E11" s="68">
        <v>1</v>
      </c>
      <c r="F11" s="68">
        <v>1</v>
      </c>
    </row>
    <row r="12" spans="1:6" x14ac:dyDescent="0.3">
      <c r="A12">
        <v>11</v>
      </c>
      <c r="B12" s="69">
        <v>1</v>
      </c>
      <c r="C12" s="69">
        <v>1</v>
      </c>
      <c r="D12" s="69">
        <v>1</v>
      </c>
      <c r="E12" s="69">
        <v>1</v>
      </c>
      <c r="F12" s="69">
        <v>1</v>
      </c>
    </row>
    <row r="13" spans="1:6" x14ac:dyDescent="0.3">
      <c r="A13">
        <v>12</v>
      </c>
      <c r="B13" s="69">
        <v>1</v>
      </c>
      <c r="C13" s="69">
        <v>1</v>
      </c>
      <c r="D13" s="69">
        <v>1</v>
      </c>
      <c r="E13" s="69">
        <v>1</v>
      </c>
      <c r="F13" s="69">
        <v>1</v>
      </c>
    </row>
    <row r="14" spans="1:6" x14ac:dyDescent="0.3">
      <c r="A14">
        <v>13</v>
      </c>
      <c r="B14" s="69">
        <v>1</v>
      </c>
      <c r="C14" s="69">
        <v>1</v>
      </c>
      <c r="D14" s="69">
        <v>1</v>
      </c>
      <c r="E14" s="69">
        <v>1</v>
      </c>
      <c r="F14" s="69">
        <v>1</v>
      </c>
    </row>
    <row r="15" spans="1:6" x14ac:dyDescent="0.3">
      <c r="A15">
        <v>14</v>
      </c>
      <c r="B15" s="69">
        <v>1</v>
      </c>
      <c r="C15" s="69">
        <v>1</v>
      </c>
      <c r="D15" s="69">
        <v>1</v>
      </c>
      <c r="E15" s="69">
        <v>1</v>
      </c>
      <c r="F15" s="69">
        <v>1</v>
      </c>
    </row>
    <row r="16" spans="1:6" x14ac:dyDescent="0.3">
      <c r="A16">
        <v>15</v>
      </c>
      <c r="B16" s="69">
        <v>1</v>
      </c>
      <c r="C16" s="69">
        <v>1</v>
      </c>
      <c r="D16" s="69">
        <v>1</v>
      </c>
      <c r="E16" s="69">
        <v>1</v>
      </c>
      <c r="F16" s="69">
        <v>1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8C0EA-EFD9-42ED-BCF4-F61AF9A3D3F0}">
  <dimension ref="A1:F16"/>
  <sheetViews>
    <sheetView workbookViewId="0">
      <selection activeCell="D11" sqref="D11"/>
    </sheetView>
  </sheetViews>
  <sheetFormatPr baseColWidth="10" defaultRowHeight="14.4" x14ac:dyDescent="0.3"/>
  <sheetData>
    <row r="1" spans="1:6" x14ac:dyDescent="0.3">
      <c r="A1" s="71" t="s">
        <v>512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1</v>
      </c>
      <c r="C10" s="68">
        <v>1</v>
      </c>
      <c r="D10" s="68">
        <v>1</v>
      </c>
      <c r="E10" s="68">
        <v>1</v>
      </c>
      <c r="F10" s="68">
        <v>1</v>
      </c>
    </row>
    <row r="11" spans="1:6" x14ac:dyDescent="0.3">
      <c r="A11">
        <v>10</v>
      </c>
      <c r="B11" s="68">
        <v>2</v>
      </c>
      <c r="C11" s="68">
        <v>1</v>
      </c>
      <c r="D11" s="68">
        <v>1</v>
      </c>
      <c r="E11" s="68">
        <v>1</v>
      </c>
      <c r="F11" s="68">
        <v>1</v>
      </c>
    </row>
    <row r="12" spans="1:6" x14ac:dyDescent="0.3">
      <c r="A12">
        <v>11</v>
      </c>
      <c r="B12" s="69">
        <v>0</v>
      </c>
      <c r="C12" s="69">
        <v>1</v>
      </c>
      <c r="D12" s="69">
        <v>1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2</v>
      </c>
      <c r="D13" s="69">
        <v>2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3</v>
      </c>
      <c r="D14" s="69">
        <v>3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A40C-CDC8-4EBC-AED8-C8532AAEE1F6}">
  <dimension ref="A1:F16"/>
  <sheetViews>
    <sheetView workbookViewId="0">
      <selection activeCell="I11" sqref="I11"/>
    </sheetView>
  </sheetViews>
  <sheetFormatPr baseColWidth="10" defaultRowHeight="14.4" x14ac:dyDescent="0.3"/>
  <sheetData>
    <row r="1" spans="1:6" x14ac:dyDescent="0.3">
      <c r="A1" s="71" t="s">
        <v>514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1</v>
      </c>
      <c r="C2" s="67">
        <v>1</v>
      </c>
      <c r="D2" s="67">
        <v>1</v>
      </c>
      <c r="E2" s="67">
        <v>1</v>
      </c>
      <c r="F2" s="67">
        <v>1</v>
      </c>
    </row>
    <row r="3" spans="1:6" x14ac:dyDescent="0.3">
      <c r="A3">
        <v>2</v>
      </c>
      <c r="B3" s="67">
        <v>1</v>
      </c>
      <c r="C3" s="67">
        <v>1</v>
      </c>
      <c r="D3" s="67">
        <v>1</v>
      </c>
      <c r="E3" s="67">
        <v>1</v>
      </c>
      <c r="F3" s="67">
        <v>1</v>
      </c>
    </row>
    <row r="4" spans="1:6" x14ac:dyDescent="0.3">
      <c r="A4">
        <v>3</v>
      </c>
      <c r="B4" s="67">
        <v>1</v>
      </c>
      <c r="C4" s="67">
        <v>1</v>
      </c>
      <c r="D4" s="67">
        <v>1</v>
      </c>
      <c r="E4" s="67">
        <v>1</v>
      </c>
      <c r="F4" s="67">
        <v>1</v>
      </c>
    </row>
    <row r="5" spans="1:6" x14ac:dyDescent="0.3">
      <c r="A5">
        <v>4</v>
      </c>
      <c r="B5" s="67">
        <v>1</v>
      </c>
      <c r="C5" s="67">
        <v>1</v>
      </c>
      <c r="D5" s="67">
        <v>1</v>
      </c>
      <c r="E5" s="67">
        <v>1</v>
      </c>
      <c r="F5" s="67">
        <v>1</v>
      </c>
    </row>
    <row r="6" spans="1:6" x14ac:dyDescent="0.3">
      <c r="A6">
        <v>5</v>
      </c>
      <c r="B6" s="67">
        <v>1</v>
      </c>
      <c r="C6" s="67">
        <v>1</v>
      </c>
      <c r="D6" s="67">
        <v>1</v>
      </c>
      <c r="E6" s="67">
        <v>1</v>
      </c>
      <c r="F6" s="67">
        <v>1</v>
      </c>
    </row>
    <row r="7" spans="1:6" x14ac:dyDescent="0.3">
      <c r="A7">
        <v>6</v>
      </c>
      <c r="B7" s="67">
        <v>1</v>
      </c>
      <c r="C7" s="67">
        <v>1</v>
      </c>
      <c r="D7" s="67">
        <v>1</v>
      </c>
      <c r="E7" s="67">
        <v>1</v>
      </c>
      <c r="F7" s="67">
        <v>1</v>
      </c>
    </row>
    <row r="8" spans="1:6" x14ac:dyDescent="0.3">
      <c r="A8">
        <v>7</v>
      </c>
      <c r="B8" s="68">
        <v>1</v>
      </c>
      <c r="C8" s="68">
        <v>1</v>
      </c>
      <c r="D8" s="68">
        <v>1</v>
      </c>
      <c r="E8" s="68">
        <v>1</v>
      </c>
      <c r="F8" s="68">
        <v>1</v>
      </c>
    </row>
    <row r="9" spans="1:6" x14ac:dyDescent="0.3">
      <c r="A9">
        <v>8</v>
      </c>
      <c r="B9" s="68">
        <v>1</v>
      </c>
      <c r="C9" s="68">
        <v>1</v>
      </c>
      <c r="D9" s="68">
        <v>1</v>
      </c>
      <c r="E9" s="68">
        <v>1</v>
      </c>
      <c r="F9" s="68">
        <v>1</v>
      </c>
    </row>
    <row r="10" spans="1:6" x14ac:dyDescent="0.3">
      <c r="A10">
        <v>9</v>
      </c>
      <c r="B10" s="68">
        <v>1</v>
      </c>
      <c r="C10" s="68">
        <v>1</v>
      </c>
      <c r="D10" s="68">
        <v>1</v>
      </c>
      <c r="E10" s="68">
        <v>1</v>
      </c>
      <c r="F10" s="68">
        <v>1</v>
      </c>
    </row>
    <row r="11" spans="1:6" x14ac:dyDescent="0.3">
      <c r="A11">
        <v>10</v>
      </c>
      <c r="B11" s="68">
        <v>1</v>
      </c>
      <c r="C11" s="68">
        <v>1</v>
      </c>
      <c r="D11" s="68">
        <v>1</v>
      </c>
      <c r="E11" s="68">
        <v>1</v>
      </c>
      <c r="F11" s="68">
        <v>1</v>
      </c>
    </row>
    <row r="12" spans="1:6" x14ac:dyDescent="0.3">
      <c r="A12">
        <v>11</v>
      </c>
      <c r="B12" s="69">
        <v>1</v>
      </c>
      <c r="C12" s="69">
        <v>1</v>
      </c>
      <c r="D12" s="69">
        <v>1</v>
      </c>
      <c r="E12" s="69">
        <v>1</v>
      </c>
      <c r="F12" s="69">
        <v>1</v>
      </c>
    </row>
    <row r="13" spans="1:6" x14ac:dyDescent="0.3">
      <c r="A13">
        <v>12</v>
      </c>
      <c r="B13" s="69">
        <v>1</v>
      </c>
      <c r="C13" s="69">
        <v>1</v>
      </c>
      <c r="D13" s="69">
        <v>1</v>
      </c>
      <c r="E13" s="69">
        <v>1</v>
      </c>
      <c r="F13" s="69">
        <v>1</v>
      </c>
    </row>
    <row r="14" spans="1:6" x14ac:dyDescent="0.3">
      <c r="A14">
        <v>13</v>
      </c>
      <c r="B14" s="69">
        <v>1</v>
      </c>
      <c r="C14" s="69">
        <v>1</v>
      </c>
      <c r="D14" s="69">
        <v>1</v>
      </c>
      <c r="E14" s="69">
        <v>1</v>
      </c>
      <c r="F14" s="69">
        <v>1</v>
      </c>
    </row>
    <row r="15" spans="1:6" x14ac:dyDescent="0.3">
      <c r="A15">
        <v>14</v>
      </c>
      <c r="B15" s="69">
        <v>1</v>
      </c>
      <c r="C15" s="69">
        <v>1</v>
      </c>
      <c r="D15" s="69">
        <v>1</v>
      </c>
      <c r="E15" s="69">
        <v>1</v>
      </c>
      <c r="F15" s="69">
        <v>1</v>
      </c>
    </row>
    <row r="16" spans="1:6" x14ac:dyDescent="0.3">
      <c r="A16">
        <v>15</v>
      </c>
      <c r="B16" s="69">
        <v>1</v>
      </c>
      <c r="C16" s="69">
        <v>1</v>
      </c>
      <c r="D16" s="69">
        <v>1</v>
      </c>
      <c r="E16" s="69">
        <v>1</v>
      </c>
      <c r="F16" s="69">
        <v>1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4E1EA-70BC-4DEE-B5E5-EE710A8CBFAC}">
  <dimension ref="A1:F16"/>
  <sheetViews>
    <sheetView workbookViewId="0">
      <selection activeCell="I16" sqref="I16"/>
    </sheetView>
  </sheetViews>
  <sheetFormatPr baseColWidth="10" defaultRowHeight="14.4" x14ac:dyDescent="0.3"/>
  <sheetData>
    <row r="1" spans="1:6" x14ac:dyDescent="0.3">
      <c r="A1" s="71" t="s">
        <v>518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1</v>
      </c>
      <c r="C2" s="67">
        <v>1</v>
      </c>
      <c r="D2" s="67">
        <v>1</v>
      </c>
      <c r="E2" s="67">
        <v>1</v>
      </c>
      <c r="F2" s="67">
        <v>1</v>
      </c>
    </row>
    <row r="3" spans="1:6" x14ac:dyDescent="0.3">
      <c r="A3">
        <v>2</v>
      </c>
      <c r="B3" s="67">
        <v>1</v>
      </c>
      <c r="C3" s="67">
        <v>1</v>
      </c>
      <c r="D3" s="67">
        <v>1</v>
      </c>
      <c r="E3" s="67">
        <v>1</v>
      </c>
      <c r="F3" s="67">
        <v>1</v>
      </c>
    </row>
    <row r="4" spans="1:6" x14ac:dyDescent="0.3">
      <c r="A4">
        <v>3</v>
      </c>
      <c r="B4" s="67">
        <v>1</v>
      </c>
      <c r="C4" s="67">
        <v>1</v>
      </c>
      <c r="D4" s="67">
        <v>1</v>
      </c>
      <c r="E4" s="67">
        <v>1</v>
      </c>
      <c r="F4" s="67">
        <v>1</v>
      </c>
    </row>
    <row r="5" spans="1:6" x14ac:dyDescent="0.3">
      <c r="A5">
        <v>4</v>
      </c>
      <c r="B5" s="67">
        <v>1</v>
      </c>
      <c r="C5" s="67">
        <v>1</v>
      </c>
      <c r="D5" s="67">
        <v>1</v>
      </c>
      <c r="E5" s="67">
        <v>1</v>
      </c>
      <c r="F5" s="67">
        <v>1</v>
      </c>
    </row>
    <row r="6" spans="1:6" x14ac:dyDescent="0.3">
      <c r="A6">
        <v>5</v>
      </c>
      <c r="B6" s="67">
        <v>1</v>
      </c>
      <c r="C6" s="67">
        <v>1</v>
      </c>
      <c r="D6" s="67">
        <v>1</v>
      </c>
      <c r="E6" s="67">
        <v>1</v>
      </c>
      <c r="F6" s="67">
        <v>1</v>
      </c>
    </row>
    <row r="7" spans="1:6" x14ac:dyDescent="0.3">
      <c r="A7">
        <v>6</v>
      </c>
      <c r="B7" s="67">
        <v>1</v>
      </c>
      <c r="C7" s="67">
        <v>1</v>
      </c>
      <c r="D7" s="67">
        <v>1</v>
      </c>
      <c r="E7" s="67">
        <v>1</v>
      </c>
      <c r="F7" s="67">
        <v>1</v>
      </c>
    </row>
    <row r="8" spans="1:6" x14ac:dyDescent="0.3">
      <c r="A8">
        <v>7</v>
      </c>
      <c r="B8" s="68">
        <v>1</v>
      </c>
      <c r="C8" s="68">
        <v>1</v>
      </c>
      <c r="D8" s="68">
        <v>1</v>
      </c>
      <c r="E8" s="68">
        <v>1</v>
      </c>
      <c r="F8" s="68">
        <v>1</v>
      </c>
    </row>
    <row r="9" spans="1:6" x14ac:dyDescent="0.3">
      <c r="A9">
        <v>8</v>
      </c>
      <c r="B9" s="68">
        <v>1</v>
      </c>
      <c r="C9" s="68">
        <v>1</v>
      </c>
      <c r="D9" s="68">
        <v>1</v>
      </c>
      <c r="E9" s="68">
        <v>1</v>
      </c>
      <c r="F9" s="68">
        <v>1</v>
      </c>
    </row>
    <row r="10" spans="1:6" x14ac:dyDescent="0.3">
      <c r="A10">
        <v>9</v>
      </c>
      <c r="B10" s="68">
        <v>1</v>
      </c>
      <c r="C10" s="68">
        <v>1</v>
      </c>
      <c r="D10" s="68">
        <v>1</v>
      </c>
      <c r="E10" s="68">
        <v>1</v>
      </c>
      <c r="F10" s="68">
        <v>1</v>
      </c>
    </row>
    <row r="11" spans="1:6" x14ac:dyDescent="0.3">
      <c r="A11">
        <v>10</v>
      </c>
      <c r="B11" s="68">
        <v>1</v>
      </c>
      <c r="C11" s="68">
        <v>1</v>
      </c>
      <c r="D11" s="68">
        <v>1</v>
      </c>
      <c r="E11" s="68">
        <v>1</v>
      </c>
      <c r="F11" s="68">
        <v>1</v>
      </c>
    </row>
    <row r="12" spans="1:6" x14ac:dyDescent="0.3">
      <c r="A12">
        <v>11</v>
      </c>
      <c r="B12" s="69">
        <v>1</v>
      </c>
      <c r="C12" s="69">
        <v>1</v>
      </c>
      <c r="D12" s="69">
        <v>1</v>
      </c>
      <c r="E12" s="69">
        <v>1</v>
      </c>
      <c r="F12" s="69">
        <v>1</v>
      </c>
    </row>
    <row r="13" spans="1:6" x14ac:dyDescent="0.3">
      <c r="A13">
        <v>12</v>
      </c>
      <c r="B13" s="69">
        <v>1</v>
      </c>
      <c r="C13" s="69">
        <v>1</v>
      </c>
      <c r="D13" s="69">
        <v>1</v>
      </c>
      <c r="E13" s="69">
        <v>1</v>
      </c>
      <c r="F13" s="69">
        <v>1</v>
      </c>
    </row>
    <row r="14" spans="1:6" x14ac:dyDescent="0.3">
      <c r="A14">
        <v>13</v>
      </c>
      <c r="B14" s="69">
        <v>1</v>
      </c>
      <c r="C14" s="69">
        <v>1</v>
      </c>
      <c r="D14" s="69">
        <v>1</v>
      </c>
      <c r="E14" s="69">
        <v>1</v>
      </c>
      <c r="F14" s="69">
        <v>1</v>
      </c>
    </row>
    <row r="15" spans="1:6" x14ac:dyDescent="0.3">
      <c r="A15">
        <v>14</v>
      </c>
      <c r="B15" s="69">
        <v>1</v>
      </c>
      <c r="C15" s="69">
        <v>1</v>
      </c>
      <c r="D15" s="69">
        <v>1</v>
      </c>
      <c r="E15" s="69">
        <v>1</v>
      </c>
      <c r="F15" s="69">
        <v>1</v>
      </c>
    </row>
    <row r="16" spans="1:6" x14ac:dyDescent="0.3">
      <c r="A16">
        <v>15</v>
      </c>
      <c r="B16" s="69">
        <v>1</v>
      </c>
      <c r="C16" s="69">
        <v>1</v>
      </c>
      <c r="D16" s="69">
        <v>1</v>
      </c>
      <c r="E16" s="69">
        <v>1</v>
      </c>
      <c r="F16" s="69">
        <v>1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787B2-334B-4392-8132-E343846703CE}">
  <dimension ref="A1:F16"/>
  <sheetViews>
    <sheetView workbookViewId="0">
      <selection activeCell="J17" sqref="J17"/>
    </sheetView>
  </sheetViews>
  <sheetFormatPr baseColWidth="10" defaultRowHeight="14.4" x14ac:dyDescent="0.3"/>
  <sheetData>
    <row r="1" spans="1:6" x14ac:dyDescent="0.3">
      <c r="A1" s="71" t="s">
        <v>521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1</v>
      </c>
      <c r="C2" s="67">
        <v>1</v>
      </c>
      <c r="D2" s="67">
        <v>1</v>
      </c>
      <c r="E2" s="67">
        <v>1</v>
      </c>
      <c r="F2" s="67">
        <v>1</v>
      </c>
    </row>
    <row r="3" spans="1:6" x14ac:dyDescent="0.3">
      <c r="A3">
        <v>2</v>
      </c>
      <c r="B3" s="67">
        <v>1</v>
      </c>
      <c r="C3" s="67">
        <v>1</v>
      </c>
      <c r="D3" s="67">
        <v>1</v>
      </c>
      <c r="E3" s="67">
        <v>1</v>
      </c>
      <c r="F3" s="67">
        <v>1</v>
      </c>
    </row>
    <row r="4" spans="1:6" x14ac:dyDescent="0.3">
      <c r="A4">
        <v>3</v>
      </c>
      <c r="B4" s="67">
        <v>1</v>
      </c>
      <c r="C4" s="67">
        <v>1</v>
      </c>
      <c r="D4" s="67">
        <v>1</v>
      </c>
      <c r="E4" s="67">
        <v>1</v>
      </c>
      <c r="F4" s="67">
        <v>1</v>
      </c>
    </row>
    <row r="5" spans="1:6" x14ac:dyDescent="0.3">
      <c r="A5">
        <v>4</v>
      </c>
      <c r="B5" s="67">
        <v>1</v>
      </c>
      <c r="C5" s="67">
        <v>1</v>
      </c>
      <c r="D5" s="67">
        <v>1</v>
      </c>
      <c r="E5" s="67">
        <v>1</v>
      </c>
      <c r="F5" s="67">
        <v>1</v>
      </c>
    </row>
    <row r="6" spans="1:6" x14ac:dyDescent="0.3">
      <c r="A6">
        <v>5</v>
      </c>
      <c r="B6" s="67">
        <v>1</v>
      </c>
      <c r="C6" s="67">
        <v>1</v>
      </c>
      <c r="D6" s="67">
        <v>1</v>
      </c>
      <c r="E6" s="67">
        <v>1</v>
      </c>
      <c r="F6" s="67">
        <v>1</v>
      </c>
    </row>
    <row r="7" spans="1:6" x14ac:dyDescent="0.3">
      <c r="A7">
        <v>6</v>
      </c>
      <c r="B7" s="67">
        <v>1</v>
      </c>
      <c r="C7" s="67">
        <v>1</v>
      </c>
      <c r="D7" s="67">
        <v>1</v>
      </c>
      <c r="E7" s="67">
        <v>1</v>
      </c>
      <c r="F7" s="67">
        <v>1</v>
      </c>
    </row>
    <row r="8" spans="1:6" x14ac:dyDescent="0.3">
      <c r="A8">
        <v>7</v>
      </c>
      <c r="B8" s="68">
        <v>1</v>
      </c>
      <c r="C8" s="68">
        <v>1</v>
      </c>
      <c r="D8" s="68">
        <v>1</v>
      </c>
      <c r="E8" s="68">
        <v>1</v>
      </c>
      <c r="F8" s="68">
        <v>1</v>
      </c>
    </row>
    <row r="9" spans="1:6" x14ac:dyDescent="0.3">
      <c r="A9">
        <v>8</v>
      </c>
      <c r="B9" s="68">
        <v>1</v>
      </c>
      <c r="C9" s="68">
        <v>1</v>
      </c>
      <c r="D9" s="68">
        <v>1</v>
      </c>
      <c r="E9" s="68">
        <v>1</v>
      </c>
      <c r="F9" s="68">
        <v>1</v>
      </c>
    </row>
    <row r="10" spans="1:6" x14ac:dyDescent="0.3">
      <c r="A10">
        <v>9</v>
      </c>
      <c r="B10" s="68">
        <v>1</v>
      </c>
      <c r="C10" s="68">
        <v>1</v>
      </c>
      <c r="D10" s="68">
        <v>1</v>
      </c>
      <c r="E10" s="68">
        <v>1</v>
      </c>
      <c r="F10" s="68">
        <v>1</v>
      </c>
    </row>
    <row r="11" spans="1:6" x14ac:dyDescent="0.3">
      <c r="A11">
        <v>10</v>
      </c>
      <c r="B11" s="68">
        <v>1</v>
      </c>
      <c r="C11" s="68">
        <v>1</v>
      </c>
      <c r="D11" s="68">
        <v>1</v>
      </c>
      <c r="E11" s="68">
        <v>1</v>
      </c>
      <c r="F11" s="68">
        <v>1</v>
      </c>
    </row>
    <row r="12" spans="1:6" x14ac:dyDescent="0.3">
      <c r="A12">
        <v>11</v>
      </c>
      <c r="B12" s="69">
        <v>1</v>
      </c>
      <c r="C12" s="69">
        <v>1</v>
      </c>
      <c r="D12" s="69">
        <v>1</v>
      </c>
      <c r="E12" s="69">
        <v>1</v>
      </c>
      <c r="F12" s="69">
        <v>1</v>
      </c>
    </row>
    <row r="13" spans="1:6" x14ac:dyDescent="0.3">
      <c r="A13">
        <v>12</v>
      </c>
      <c r="B13" s="69">
        <v>1</v>
      </c>
      <c r="C13" s="69">
        <v>1</v>
      </c>
      <c r="D13" s="69">
        <v>1</v>
      </c>
      <c r="E13" s="69">
        <v>1</v>
      </c>
      <c r="F13" s="69">
        <v>1</v>
      </c>
    </row>
    <row r="14" spans="1:6" x14ac:dyDescent="0.3">
      <c r="A14">
        <v>13</v>
      </c>
      <c r="B14" s="69">
        <v>1</v>
      </c>
      <c r="C14" s="69">
        <v>1</v>
      </c>
      <c r="D14" s="69">
        <v>1</v>
      </c>
      <c r="E14" s="69">
        <v>1</v>
      </c>
      <c r="F14" s="69">
        <v>1</v>
      </c>
    </row>
    <row r="15" spans="1:6" x14ac:dyDescent="0.3">
      <c r="A15">
        <v>14</v>
      </c>
      <c r="B15" s="69">
        <v>1</v>
      </c>
      <c r="C15" s="69">
        <v>1</v>
      </c>
      <c r="D15" s="69">
        <v>1</v>
      </c>
      <c r="E15" s="69">
        <v>1</v>
      </c>
      <c r="F15" s="69">
        <v>1</v>
      </c>
    </row>
    <row r="16" spans="1:6" x14ac:dyDescent="0.3">
      <c r="A16">
        <v>15</v>
      </c>
      <c r="B16" s="69">
        <v>1</v>
      </c>
      <c r="C16" s="69">
        <v>1</v>
      </c>
      <c r="D16" s="69">
        <v>1</v>
      </c>
      <c r="E16" s="69">
        <v>1</v>
      </c>
      <c r="F16" s="69">
        <v>1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DCCB9-C8A6-4FC0-AE27-F32EDDE7B0E7}">
  <dimension ref="A1:F16"/>
  <sheetViews>
    <sheetView workbookViewId="0"/>
  </sheetViews>
  <sheetFormatPr baseColWidth="10" defaultRowHeight="14.4" x14ac:dyDescent="0.3"/>
  <sheetData>
    <row r="1" spans="1:6" x14ac:dyDescent="0.3">
      <c r="A1" t="s">
        <v>134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991B7-A646-41AD-B609-56511780A957}">
  <dimension ref="A1:F16"/>
  <sheetViews>
    <sheetView workbookViewId="0">
      <selection activeCell="D22" sqref="D22"/>
    </sheetView>
  </sheetViews>
  <sheetFormatPr baseColWidth="10" defaultRowHeight="14.4" x14ac:dyDescent="0.3"/>
  <sheetData>
    <row r="1" spans="1:6" x14ac:dyDescent="0.3">
      <c r="A1" s="71" t="s">
        <v>527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1</v>
      </c>
      <c r="C10" s="68">
        <v>0</v>
      </c>
      <c r="D10" s="68">
        <v>1</v>
      </c>
      <c r="E10" s="68">
        <v>0</v>
      </c>
      <c r="F10" s="68">
        <v>0</v>
      </c>
    </row>
    <row r="11" spans="1:6" x14ac:dyDescent="0.3">
      <c r="A11">
        <v>10</v>
      </c>
      <c r="B11" s="68">
        <v>1</v>
      </c>
      <c r="C11" s="68">
        <v>0</v>
      </c>
      <c r="D11" s="68">
        <v>1</v>
      </c>
      <c r="E11" s="68">
        <v>0</v>
      </c>
      <c r="F11" s="68">
        <v>0</v>
      </c>
    </row>
    <row r="12" spans="1:6" x14ac:dyDescent="0.3">
      <c r="A12">
        <v>11</v>
      </c>
      <c r="B12" s="69">
        <v>2</v>
      </c>
      <c r="C12" s="69">
        <v>2</v>
      </c>
      <c r="D12" s="69">
        <v>2</v>
      </c>
      <c r="E12" s="69">
        <v>2</v>
      </c>
      <c r="F12" s="69">
        <v>0</v>
      </c>
    </row>
    <row r="13" spans="1:6" x14ac:dyDescent="0.3">
      <c r="A13">
        <v>12</v>
      </c>
      <c r="B13" s="69">
        <v>2</v>
      </c>
      <c r="C13" s="69">
        <v>2</v>
      </c>
      <c r="D13" s="69">
        <v>2</v>
      </c>
      <c r="E13" s="69">
        <v>2</v>
      </c>
      <c r="F13" s="69">
        <v>0</v>
      </c>
    </row>
    <row r="14" spans="1:6" x14ac:dyDescent="0.3">
      <c r="A14">
        <v>13</v>
      </c>
      <c r="B14" s="69">
        <v>0</v>
      </c>
      <c r="C14" s="69">
        <v>3</v>
      </c>
      <c r="D14" s="69">
        <v>3</v>
      </c>
      <c r="E14" s="69">
        <v>3</v>
      </c>
      <c r="F14" s="69">
        <v>0</v>
      </c>
    </row>
    <row r="15" spans="1:6" x14ac:dyDescent="0.3">
      <c r="A15">
        <v>14</v>
      </c>
      <c r="B15" s="69">
        <v>0</v>
      </c>
      <c r="C15" s="69">
        <v>3</v>
      </c>
      <c r="D15" s="69">
        <v>0</v>
      </c>
      <c r="E15" s="69">
        <v>3</v>
      </c>
      <c r="F15" s="69">
        <v>0</v>
      </c>
    </row>
    <row r="16" spans="1:6" x14ac:dyDescent="0.3">
      <c r="A16">
        <v>15</v>
      </c>
      <c r="B16" s="69">
        <v>0</v>
      </c>
      <c r="C16" s="69">
        <v>3</v>
      </c>
      <c r="D16" s="69">
        <v>0</v>
      </c>
      <c r="E16" s="69">
        <v>3</v>
      </c>
      <c r="F16" s="69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468E4-DE07-4E36-9F0F-9D657A1BEF6E}">
  <dimension ref="A1:F16"/>
  <sheetViews>
    <sheetView workbookViewId="0">
      <selection activeCell="G20" sqref="G20"/>
    </sheetView>
  </sheetViews>
  <sheetFormatPr baseColWidth="10" defaultRowHeight="14.4" x14ac:dyDescent="0.3"/>
  <sheetData>
    <row r="1" spans="1:6" x14ac:dyDescent="0.3">
      <c r="A1" s="71" t="s">
        <v>530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1</v>
      </c>
      <c r="C10" s="68">
        <v>1</v>
      </c>
      <c r="D10" s="68">
        <v>1</v>
      </c>
      <c r="E10" s="68">
        <v>1</v>
      </c>
      <c r="F10" s="68">
        <v>1</v>
      </c>
    </row>
    <row r="11" spans="1:6" x14ac:dyDescent="0.3">
      <c r="A11">
        <v>10</v>
      </c>
      <c r="B11" s="68">
        <v>1</v>
      </c>
      <c r="C11" s="68">
        <v>1</v>
      </c>
      <c r="D11" s="68">
        <v>1</v>
      </c>
      <c r="E11" s="68">
        <v>1</v>
      </c>
      <c r="F11" s="68">
        <v>1</v>
      </c>
    </row>
    <row r="12" spans="1:6" x14ac:dyDescent="0.3">
      <c r="A12">
        <v>11</v>
      </c>
      <c r="B12" s="69">
        <v>2</v>
      </c>
      <c r="C12" s="69">
        <v>2</v>
      </c>
      <c r="D12" s="69">
        <v>2</v>
      </c>
      <c r="E12" s="69">
        <v>2</v>
      </c>
      <c r="F12" s="69">
        <v>2</v>
      </c>
    </row>
    <row r="13" spans="1:6" x14ac:dyDescent="0.3">
      <c r="A13">
        <v>12</v>
      </c>
      <c r="B13" s="69">
        <v>2</v>
      </c>
      <c r="C13" s="69">
        <v>2</v>
      </c>
      <c r="D13" s="69">
        <v>2</v>
      </c>
      <c r="E13" s="69">
        <v>2</v>
      </c>
      <c r="F13" s="69">
        <v>2</v>
      </c>
    </row>
    <row r="14" spans="1:6" x14ac:dyDescent="0.3">
      <c r="A14">
        <v>13</v>
      </c>
      <c r="B14" s="69">
        <v>3</v>
      </c>
      <c r="C14" s="69">
        <v>3</v>
      </c>
      <c r="D14" s="69">
        <v>3</v>
      </c>
      <c r="E14" s="69">
        <v>3</v>
      </c>
      <c r="F14" s="69">
        <v>3</v>
      </c>
    </row>
    <row r="15" spans="1:6" x14ac:dyDescent="0.3">
      <c r="A15">
        <v>14</v>
      </c>
      <c r="B15" s="69">
        <v>3</v>
      </c>
      <c r="C15" s="69">
        <v>3</v>
      </c>
      <c r="D15" s="69">
        <v>3</v>
      </c>
      <c r="E15" s="69">
        <v>3</v>
      </c>
      <c r="F15" s="69">
        <v>3</v>
      </c>
    </row>
    <row r="16" spans="1:6" x14ac:dyDescent="0.3">
      <c r="A16">
        <v>15</v>
      </c>
      <c r="B16" s="69">
        <v>3</v>
      </c>
      <c r="C16" s="69">
        <v>3</v>
      </c>
      <c r="D16" s="69">
        <v>3</v>
      </c>
      <c r="E16" s="69">
        <v>3</v>
      </c>
      <c r="F16" s="69">
        <v>3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5DA27-236F-4F03-A5A7-0BB54459CB77}">
  <dimension ref="A1:F16"/>
  <sheetViews>
    <sheetView workbookViewId="0">
      <selection activeCell="E21" sqref="E21"/>
    </sheetView>
  </sheetViews>
  <sheetFormatPr baseColWidth="10" defaultRowHeight="14.4" x14ac:dyDescent="0.3"/>
  <sheetData>
    <row r="1" spans="1:6" x14ac:dyDescent="0.3">
      <c r="A1" s="71" t="s">
        <v>532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1</v>
      </c>
      <c r="D12" s="69">
        <v>0</v>
      </c>
      <c r="E12" s="69">
        <v>1</v>
      </c>
      <c r="F12" s="69">
        <v>0</v>
      </c>
    </row>
    <row r="13" spans="1:6" x14ac:dyDescent="0.3">
      <c r="A13">
        <v>12</v>
      </c>
      <c r="B13" s="69">
        <v>0</v>
      </c>
      <c r="C13" s="69">
        <v>1</v>
      </c>
      <c r="D13" s="69">
        <v>0</v>
      </c>
      <c r="E13" s="69">
        <v>1</v>
      </c>
      <c r="F13" s="69">
        <v>0</v>
      </c>
    </row>
    <row r="14" spans="1:6" x14ac:dyDescent="0.3">
      <c r="A14">
        <v>13</v>
      </c>
      <c r="B14" s="69">
        <v>0</v>
      </c>
      <c r="C14" s="69">
        <v>1</v>
      </c>
      <c r="D14" s="69">
        <v>0</v>
      </c>
      <c r="E14" s="69">
        <v>1</v>
      </c>
      <c r="F14" s="69">
        <v>0</v>
      </c>
    </row>
    <row r="15" spans="1:6" x14ac:dyDescent="0.3">
      <c r="A15">
        <v>14</v>
      </c>
      <c r="B15" s="69">
        <v>0</v>
      </c>
      <c r="C15" s="69">
        <v>1</v>
      </c>
      <c r="D15" s="69">
        <v>0</v>
      </c>
      <c r="E15" s="69">
        <v>1</v>
      </c>
      <c r="F15" s="69">
        <v>0</v>
      </c>
    </row>
    <row r="16" spans="1:6" x14ac:dyDescent="0.3">
      <c r="A16">
        <v>15</v>
      </c>
      <c r="B16" s="69">
        <v>0</v>
      </c>
      <c r="C16" s="69">
        <v>1</v>
      </c>
      <c r="D16" s="69">
        <v>0</v>
      </c>
      <c r="E16" s="69">
        <v>1</v>
      </c>
      <c r="F16" s="69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DDB47-DC30-4A0F-9A9C-75BD3CB52703}">
  <dimension ref="A1:F16"/>
  <sheetViews>
    <sheetView workbookViewId="0"/>
  </sheetViews>
  <sheetFormatPr baseColWidth="10" defaultRowHeight="14.4" x14ac:dyDescent="0.3"/>
  <sheetData>
    <row r="1" spans="1:6" x14ac:dyDescent="0.3">
      <c r="A1" t="s">
        <v>534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C066D-A0E6-4693-99D8-8773FBDCBCEB}">
  <dimension ref="A1:F16"/>
  <sheetViews>
    <sheetView workbookViewId="0">
      <selection activeCell="E22" sqref="E22"/>
    </sheetView>
  </sheetViews>
  <sheetFormatPr baseColWidth="10" defaultRowHeight="14.4" x14ac:dyDescent="0.3"/>
  <sheetData>
    <row r="1" spans="1:6" x14ac:dyDescent="0.3">
      <c r="A1" t="s">
        <v>536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4D510-523D-4375-9547-271DE58CB828}">
  <dimension ref="A1:F16"/>
  <sheetViews>
    <sheetView workbookViewId="0">
      <selection activeCell="D20" sqref="D20"/>
    </sheetView>
  </sheetViews>
  <sheetFormatPr baseColWidth="10" defaultRowHeight="14.4" x14ac:dyDescent="0.3"/>
  <sheetData>
    <row r="1" spans="1:6" x14ac:dyDescent="0.3">
      <c r="A1" s="85" t="s">
        <v>539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85">
        <v>1</v>
      </c>
      <c r="C2" s="85">
        <v>1</v>
      </c>
      <c r="D2" s="85">
        <v>0</v>
      </c>
      <c r="E2" s="85">
        <v>1</v>
      </c>
      <c r="F2" s="85">
        <v>1</v>
      </c>
    </row>
    <row r="3" spans="1:6" x14ac:dyDescent="0.3">
      <c r="A3">
        <v>2</v>
      </c>
      <c r="B3" s="85">
        <v>1</v>
      </c>
      <c r="C3" s="85">
        <v>1</v>
      </c>
      <c r="D3" s="85">
        <v>0</v>
      </c>
      <c r="E3" s="85">
        <v>1</v>
      </c>
      <c r="F3" s="85">
        <v>1</v>
      </c>
    </row>
    <row r="4" spans="1:6" x14ac:dyDescent="0.3">
      <c r="A4">
        <v>3</v>
      </c>
      <c r="B4" s="85">
        <v>1</v>
      </c>
      <c r="C4" s="85">
        <v>1</v>
      </c>
      <c r="D4" s="85">
        <v>0</v>
      </c>
      <c r="E4" s="85">
        <v>1</v>
      </c>
      <c r="F4" s="85">
        <v>1</v>
      </c>
    </row>
    <row r="5" spans="1:6" x14ac:dyDescent="0.3">
      <c r="A5">
        <v>4</v>
      </c>
      <c r="B5" s="85">
        <v>1</v>
      </c>
      <c r="C5" s="85">
        <v>1</v>
      </c>
      <c r="D5" s="85">
        <v>0</v>
      </c>
      <c r="E5" s="85">
        <v>1</v>
      </c>
      <c r="F5" s="85">
        <v>1</v>
      </c>
    </row>
    <row r="6" spans="1:6" x14ac:dyDescent="0.3">
      <c r="A6">
        <v>5</v>
      </c>
      <c r="B6" s="85">
        <v>1</v>
      </c>
      <c r="C6" s="85">
        <v>1</v>
      </c>
      <c r="D6" s="85">
        <v>0</v>
      </c>
      <c r="E6" s="85">
        <v>1</v>
      </c>
      <c r="F6" s="85">
        <v>1</v>
      </c>
    </row>
    <row r="7" spans="1:6" x14ac:dyDescent="0.3">
      <c r="A7">
        <v>6</v>
      </c>
      <c r="B7" s="85">
        <v>1</v>
      </c>
      <c r="C7" s="85">
        <v>1</v>
      </c>
      <c r="D7" s="85">
        <v>0</v>
      </c>
      <c r="E7" s="85">
        <v>1</v>
      </c>
      <c r="F7" s="85">
        <v>1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1</v>
      </c>
      <c r="C11" s="68">
        <v>1</v>
      </c>
      <c r="D11" s="68">
        <v>0</v>
      </c>
      <c r="E11" s="68">
        <v>1</v>
      </c>
      <c r="F11" s="68">
        <v>1</v>
      </c>
    </row>
    <row r="12" spans="1:6" x14ac:dyDescent="0.3">
      <c r="A12">
        <v>11</v>
      </c>
      <c r="B12" s="69">
        <v>1</v>
      </c>
      <c r="C12" s="69">
        <v>1</v>
      </c>
      <c r="D12" s="69">
        <v>0</v>
      </c>
      <c r="E12" s="69">
        <v>1</v>
      </c>
      <c r="F12" s="69">
        <v>1</v>
      </c>
    </row>
    <row r="13" spans="1:6" x14ac:dyDescent="0.3">
      <c r="A13">
        <v>12</v>
      </c>
      <c r="B13" s="85">
        <v>2</v>
      </c>
      <c r="C13" s="85">
        <v>2</v>
      </c>
      <c r="D13" s="69">
        <v>0</v>
      </c>
      <c r="E13" s="85">
        <v>2</v>
      </c>
      <c r="F13" s="85">
        <v>2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A1AAC-12DC-4ED1-A998-94E69231E039}">
  <dimension ref="A1:F16"/>
  <sheetViews>
    <sheetView workbookViewId="0">
      <selection activeCell="C22" sqref="C22"/>
    </sheetView>
  </sheetViews>
  <sheetFormatPr baseColWidth="10" defaultRowHeight="14.4" x14ac:dyDescent="0.3"/>
  <sheetData>
    <row r="1" spans="1:6" x14ac:dyDescent="0.3">
      <c r="A1" s="71" t="s">
        <v>148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1</v>
      </c>
      <c r="C9" s="68">
        <v>1</v>
      </c>
      <c r="D9" s="68">
        <v>1</v>
      </c>
      <c r="E9" s="68">
        <v>1</v>
      </c>
      <c r="F9" s="68">
        <v>1</v>
      </c>
    </row>
    <row r="10" spans="1:6" x14ac:dyDescent="0.3">
      <c r="A10">
        <v>9</v>
      </c>
      <c r="B10" s="68">
        <v>1</v>
      </c>
      <c r="C10" s="68">
        <v>1</v>
      </c>
      <c r="D10" s="68">
        <v>1</v>
      </c>
      <c r="E10" s="68">
        <v>1</v>
      </c>
      <c r="F10" s="68">
        <v>1</v>
      </c>
    </row>
    <row r="11" spans="1:6" x14ac:dyDescent="0.3">
      <c r="A11">
        <v>10</v>
      </c>
      <c r="B11" s="68">
        <v>1</v>
      </c>
      <c r="C11" s="68">
        <v>1</v>
      </c>
      <c r="D11" s="68">
        <v>1</v>
      </c>
      <c r="E11" s="68">
        <v>1</v>
      </c>
      <c r="F11" s="68">
        <v>1</v>
      </c>
    </row>
    <row r="12" spans="1:6" x14ac:dyDescent="0.3">
      <c r="A12">
        <v>11</v>
      </c>
      <c r="B12" s="69">
        <v>1</v>
      </c>
      <c r="C12" s="69">
        <v>1</v>
      </c>
      <c r="D12" s="69">
        <v>1</v>
      </c>
      <c r="E12" s="69">
        <v>1</v>
      </c>
      <c r="F12" s="69">
        <v>1</v>
      </c>
    </row>
    <row r="13" spans="1:6" x14ac:dyDescent="0.3">
      <c r="A13">
        <v>12</v>
      </c>
      <c r="B13" s="69">
        <v>1</v>
      </c>
      <c r="C13" s="69">
        <v>1</v>
      </c>
      <c r="D13" s="69">
        <v>1</v>
      </c>
      <c r="E13" s="69">
        <v>0</v>
      </c>
      <c r="F13" s="69">
        <v>0</v>
      </c>
    </row>
    <row r="14" spans="1:6" x14ac:dyDescent="0.3">
      <c r="A14">
        <v>13</v>
      </c>
      <c r="B14" s="69">
        <v>1</v>
      </c>
      <c r="C14" s="69">
        <v>1</v>
      </c>
      <c r="D14" s="69">
        <v>1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532AD-C479-4223-A6AB-0F9E99E54B55}">
  <dimension ref="A1:F16"/>
  <sheetViews>
    <sheetView workbookViewId="0">
      <selection activeCell="C19" sqref="C19"/>
    </sheetView>
  </sheetViews>
  <sheetFormatPr baseColWidth="10" defaultRowHeight="14.4" x14ac:dyDescent="0.3"/>
  <sheetData>
    <row r="1" spans="1:6" x14ac:dyDescent="0.3">
      <c r="A1" t="s">
        <v>549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3F1176E4E257242B50FEC898E6F820D" ma:contentTypeVersion="17" ma:contentTypeDescription="Crear nuevo documento." ma:contentTypeScope="" ma:versionID="851d0f11218d7c5a1078dac651110f5b">
  <xsd:schema xmlns:xsd="http://www.w3.org/2001/XMLSchema" xmlns:xs="http://www.w3.org/2001/XMLSchema" xmlns:p="http://schemas.microsoft.com/office/2006/metadata/properties" xmlns:ns3="8512ed3e-d662-40dc-9ae4-a019b6da24fb" xmlns:ns4="a3b8c8cf-9d0b-4e5a-a8f8-f4694f074567" targetNamespace="http://schemas.microsoft.com/office/2006/metadata/properties" ma:root="true" ma:fieldsID="fa8383f0e50d495d138586ac91fd4b17" ns3:_="" ns4:_="">
    <xsd:import namespace="8512ed3e-d662-40dc-9ae4-a019b6da24fb"/>
    <xsd:import namespace="a3b8c8cf-9d0b-4e5a-a8f8-f4694f074567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_activity" minOccurs="0"/>
                <xsd:element ref="ns4:MediaServiceSearchProperties" minOccurs="0"/>
                <xsd:element ref="ns4:MediaServiceDateTaken" minOccurs="0"/>
                <xsd:element ref="ns4:MediaLengthInSeconds" minOccurs="0"/>
                <xsd:element ref="ns4:MediaServiceObjectDetectorVersions" minOccurs="0"/>
                <xsd:element ref="ns4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12ed3e-d662-40dc-9ae4-a019b6da24f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b8c8cf-9d0b-4e5a-a8f8-f4694f07456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3b8c8cf-9d0b-4e5a-a8f8-f4694f074567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31B4E1C-D15B-44BC-9E2C-FC164002333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12ed3e-d662-40dc-9ae4-a019b6da24fb"/>
    <ds:schemaRef ds:uri="a3b8c8cf-9d0b-4e5a-a8f8-f4694f07456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058F137-A12A-4B4F-8E29-D7D2FADB2105}">
  <ds:schemaRefs>
    <ds:schemaRef ds:uri="http://schemas.microsoft.com/office/2006/metadata/properties"/>
    <ds:schemaRef ds:uri="http://schemas.microsoft.com/office/2006/documentManagement/types"/>
    <ds:schemaRef ds:uri="8512ed3e-d662-40dc-9ae4-a019b6da24fb"/>
    <ds:schemaRef ds:uri="http://purl.org/dc/dcmitype/"/>
    <ds:schemaRef ds:uri="http://purl.org/dc/elements/1.1/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a3b8c8cf-9d0b-4e5a-a8f8-f4694f07456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51D6C75C-D728-4947-A829-B0ECDF3ABF8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103</vt:i4>
      </vt:variant>
    </vt:vector>
  </HeadingPairs>
  <TitlesOfParts>
    <vt:vector size="103" baseType="lpstr">
      <vt:lpstr>materias</vt:lpstr>
      <vt:lpstr>profesores</vt:lpstr>
      <vt:lpstr>grupos</vt:lpstr>
      <vt:lpstr>turnos</vt:lpstr>
      <vt:lpstr>resultados</vt:lpstr>
      <vt:lpstr>salones</vt:lpstr>
      <vt:lpstr>aca</vt:lpstr>
      <vt:lpstr>ad</vt:lpstr>
      <vt:lpstr>adr</vt:lpstr>
      <vt:lpstr>am</vt:lpstr>
      <vt:lpstr>ame</vt:lpstr>
      <vt:lpstr>an</vt:lpstr>
      <vt:lpstr>ap</vt:lpstr>
      <vt:lpstr>apa</vt:lpstr>
      <vt:lpstr>apr</vt:lpstr>
      <vt:lpstr>as</vt:lpstr>
      <vt:lpstr>cp</vt:lpstr>
      <vt:lpstr>cr</vt:lpstr>
      <vt:lpstr>db</vt:lpstr>
      <vt:lpstr>dc</vt:lpstr>
      <vt:lpstr>dd</vt:lpstr>
      <vt:lpstr>dj</vt:lpstr>
      <vt:lpstr>dl</vt:lpstr>
      <vt:lpstr>dm</vt:lpstr>
      <vt:lpstr>ds</vt:lpstr>
      <vt:lpstr>epe</vt:lpstr>
      <vt:lpstr>es</vt:lpstr>
      <vt:lpstr>fb</vt:lpstr>
      <vt:lpstr>gaa</vt:lpstr>
      <vt:lpstr>gb</vt:lpstr>
      <vt:lpstr>gba</vt:lpstr>
      <vt:lpstr>gc</vt:lpstr>
      <vt:lpstr>gd</vt:lpstr>
      <vt:lpstr>gdo</vt:lpstr>
      <vt:lpstr>gp</vt:lpstr>
      <vt:lpstr>gq</vt:lpstr>
      <vt:lpstr>gs</vt:lpstr>
      <vt:lpstr>guc</vt:lpstr>
      <vt:lpstr>hf</vt:lpstr>
      <vt:lpstr>hr</vt:lpstr>
      <vt:lpstr>jam</vt:lpstr>
      <vt:lpstr>jcc</vt:lpstr>
      <vt:lpstr>jd</vt:lpstr>
      <vt:lpstr>jds</vt:lpstr>
      <vt:lpstr>jf</vt:lpstr>
      <vt:lpstr>jj</vt:lpstr>
      <vt:lpstr>jk</vt:lpstr>
      <vt:lpstr>jl</vt:lpstr>
      <vt:lpstr>jm</vt:lpstr>
      <vt:lpstr>jmi</vt:lpstr>
      <vt:lpstr>jpa</vt:lpstr>
      <vt:lpstr>jpe</vt:lpstr>
      <vt:lpstr>jpf</vt:lpstr>
      <vt:lpstr>jpi</vt:lpstr>
      <vt:lpstr>kb</vt:lpstr>
      <vt:lpstr>lc</vt:lpstr>
      <vt:lpstr>lg</vt:lpstr>
      <vt:lpstr>mb</vt:lpstr>
      <vt:lpstr>mbo</vt:lpstr>
      <vt:lpstr>mc</vt:lpstr>
      <vt:lpstr>md</vt:lpstr>
      <vt:lpstr>mf</vt:lpstr>
      <vt:lpstr>mjc</vt:lpstr>
      <vt:lpstr>mp</vt:lpstr>
      <vt:lpstr>mpi</vt:lpstr>
      <vt:lpstr>mpr</vt:lpstr>
      <vt:lpstr>mr</vt:lpstr>
      <vt:lpstr>mre</vt:lpstr>
      <vt:lpstr>mz</vt:lpstr>
      <vt:lpstr>nd</vt:lpstr>
      <vt:lpstr>nn</vt:lpstr>
      <vt:lpstr>ns</vt:lpstr>
      <vt:lpstr>ok</vt:lpstr>
      <vt:lpstr>pn</vt:lpstr>
      <vt:lpstr>po</vt:lpstr>
      <vt:lpstr>ps</vt:lpstr>
      <vt:lpstr>pu</vt:lpstr>
      <vt:lpstr>rc</vt:lpstr>
      <vt:lpstr>rl</vt:lpstr>
      <vt:lpstr>rr</vt:lpstr>
      <vt:lpstr>rs</vt:lpstr>
      <vt:lpstr>sb</vt:lpstr>
      <vt:lpstr>sgp</vt:lpstr>
      <vt:lpstr>sp</vt:lpstr>
      <vt:lpstr>svi</vt:lpstr>
      <vt:lpstr>svv</vt:lpstr>
      <vt:lpstr>th</vt:lpstr>
      <vt:lpstr>vt</vt:lpstr>
      <vt:lpstr>icc1</vt:lpstr>
      <vt:lpstr>icc2</vt:lpstr>
      <vt:lpstr>xm</vt:lpstr>
      <vt:lpstr>icc3</vt:lpstr>
      <vt:lpstr>p1a</vt:lpstr>
      <vt:lpstr>p1b</vt:lpstr>
      <vt:lpstr>jg</vt:lpstr>
      <vt:lpstr>ms</vt:lpstr>
      <vt:lpstr>fr</vt:lpstr>
      <vt:lpstr>adc</vt:lpstr>
      <vt:lpstr>hc</vt:lpstr>
      <vt:lpstr>mk</vt:lpstr>
      <vt:lpstr>ar</vt:lpstr>
      <vt:lpstr>ep</vt:lpstr>
      <vt:lpstr>df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Zunino</dc:creator>
  <cp:lastModifiedBy>ZUNINO CORREA Marco Nicolás</cp:lastModifiedBy>
  <cp:lastPrinted>2024-06-12T15:04:20Z</cp:lastPrinted>
  <dcterms:created xsi:type="dcterms:W3CDTF">2015-06-05T18:17:20Z</dcterms:created>
  <dcterms:modified xsi:type="dcterms:W3CDTF">2024-11-10T23:21:31Z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0x01010003F1176E4E257242B50FEC898E6F820D</vt:lpwstr>
  </property>
</Properties>
</file>