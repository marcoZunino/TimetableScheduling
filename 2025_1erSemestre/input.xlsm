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29508" documentId="13_ncr:1_{9B24B71E-FFD0-4440-8E71-4E6657E2ADB7}" xr6:coauthVersionLast="47" xr6:coauthVersionMax="47" xr10:uidLastSave="{C75F5A8A-FFB8-4ACB-91D3-522D13F9B7FB}"/>
  <bookViews>
    <workbookView xWindow="-108" yWindow="-108" windowWidth="23256" windowHeight="12456" activeTab="5" xr2:uid="{00000000-000D-0000-FFFF-FFFF00000000}"/>
  </bookViews>
  <sheets>
    <sheet name="materias" sheetId="84" r:id="rId1"/>
    <sheet name="electivas" sheetId="347" state="hidden" r:id="rId2"/>
    <sheet name="profesores" sheetId="1" r:id="rId3"/>
    <sheet name="grupos" sheetId="119" r:id="rId4"/>
    <sheet name="turnos" sheetId="120" r:id="rId5"/>
    <sheet name="resultados" sheetId="229" r:id="rId6"/>
    <sheet name="salones" sheetId="230" r:id="rId7"/>
    <sheet name="borrador" sheetId="358" r:id="rId8"/>
    <sheet name="aca" sheetId="246" r:id="rId9"/>
    <sheet name="ad" sheetId="247" r:id="rId10"/>
    <sheet name="adr" sheetId="248" r:id="rId11"/>
    <sheet name="am" sheetId="249" r:id="rId12"/>
    <sheet name="ame" sheetId="250" r:id="rId13"/>
    <sheet name="an" sheetId="251" r:id="rId14"/>
    <sheet name="ap" sheetId="252" r:id="rId15"/>
    <sheet name="apa" sheetId="253" r:id="rId16"/>
    <sheet name="apr" sheetId="254" r:id="rId17"/>
    <sheet name="as" sheetId="255" r:id="rId18"/>
    <sheet name="cp" sheetId="257" r:id="rId19"/>
    <sheet name="cr" sheetId="258" r:id="rId20"/>
    <sheet name="db" sheetId="259" r:id="rId21"/>
    <sheet name="dc" sheetId="260" r:id="rId22"/>
    <sheet name="dd" sheetId="261" r:id="rId23"/>
    <sheet name="dj" sheetId="262" r:id="rId24"/>
    <sheet name="dl" sheetId="263" r:id="rId25"/>
    <sheet name="dm" sheetId="264" r:id="rId26"/>
    <sheet name="ds" sheetId="265" r:id="rId27"/>
    <sheet name="ep" sheetId="345" r:id="rId28"/>
    <sheet name="epe" sheetId="267" r:id="rId29"/>
    <sheet name="es" sheetId="268" r:id="rId30"/>
    <sheet name="fb" sheetId="269" r:id="rId31"/>
    <sheet name="gaa" sheetId="270" r:id="rId32"/>
    <sheet name="gb" sheetId="271" r:id="rId33"/>
    <sheet name="gba" sheetId="272" r:id="rId34"/>
    <sheet name="gc" sheetId="273" r:id="rId35"/>
    <sheet name="gd" sheetId="274" r:id="rId36"/>
    <sheet name="gdo" sheetId="275" r:id="rId37"/>
    <sheet name="gp" sheetId="276" r:id="rId38"/>
    <sheet name="gq" sheetId="277" r:id="rId39"/>
    <sheet name="gs" sheetId="330" r:id="rId40"/>
    <sheet name="guc" sheetId="278" r:id="rId41"/>
    <sheet name="hf" sheetId="279" r:id="rId42"/>
    <sheet name="hr" sheetId="280" r:id="rId43"/>
    <sheet name="jcc" sheetId="282" r:id="rId44"/>
    <sheet name="jd" sheetId="283" r:id="rId45"/>
    <sheet name="jds" sheetId="284" r:id="rId46"/>
    <sheet name="jf" sheetId="285" r:id="rId47"/>
    <sheet name="jj" sheetId="286" r:id="rId48"/>
    <sheet name="jk" sheetId="287" r:id="rId49"/>
    <sheet name="jl" sheetId="288" r:id="rId50"/>
    <sheet name="jm" sheetId="289" r:id="rId51"/>
    <sheet name="jmi" sheetId="290" r:id="rId52"/>
    <sheet name="jpa" sheetId="291" r:id="rId53"/>
    <sheet name="jpe" sheetId="292" r:id="rId54"/>
    <sheet name="jpf" sheetId="293" r:id="rId55"/>
    <sheet name="jpi" sheetId="294" r:id="rId56"/>
    <sheet name="kb" sheetId="295" r:id="rId57"/>
    <sheet name="lc" sheetId="296" r:id="rId58"/>
    <sheet name="lg" sheetId="298" r:id="rId59"/>
    <sheet name="mb" sheetId="299" r:id="rId60"/>
    <sheet name="mbo" sheetId="300" r:id="rId61"/>
    <sheet name="mc" sheetId="301" r:id="rId62"/>
    <sheet name="md" sheetId="302" r:id="rId63"/>
    <sheet name="mf" sheetId="333" r:id="rId64"/>
    <sheet name="mjc" sheetId="304" r:id="rId65"/>
    <sheet name="mp" sheetId="305" r:id="rId66"/>
    <sheet name="mpi" sheetId="306" r:id="rId67"/>
    <sheet name="mpr" sheetId="307" r:id="rId68"/>
    <sheet name="mr" sheetId="308" r:id="rId69"/>
    <sheet name="mre" sheetId="309" r:id="rId70"/>
    <sheet name="mz" sheetId="310" r:id="rId71"/>
    <sheet name="nd" sheetId="311" r:id="rId72"/>
    <sheet name="nn" sheetId="312" r:id="rId73"/>
    <sheet name="ns" sheetId="313" r:id="rId74"/>
    <sheet name="ok" sheetId="314" r:id="rId75"/>
    <sheet name="pn" sheetId="315" r:id="rId76"/>
    <sheet name="po" sheetId="316" r:id="rId77"/>
    <sheet name="ps" sheetId="317" r:id="rId78"/>
    <sheet name="pu" sheetId="318" r:id="rId79"/>
    <sheet name="rc" sheetId="319" r:id="rId80"/>
    <sheet name="rl" sheetId="320" r:id="rId81"/>
    <sheet name="rr" sheetId="321" r:id="rId82"/>
    <sheet name="rs" sheetId="322" r:id="rId83"/>
    <sheet name="sb" sheetId="323" r:id="rId84"/>
    <sheet name="sgp" sheetId="324" r:id="rId85"/>
    <sheet name="sp" sheetId="325" r:id="rId86"/>
    <sheet name="svi" sheetId="326" r:id="rId87"/>
    <sheet name="svv" sheetId="327" r:id="rId88"/>
    <sheet name="th" sheetId="328" r:id="rId89"/>
    <sheet name="vt" sheetId="329" r:id="rId90"/>
    <sheet name="icc1" sheetId="331" r:id="rId91"/>
    <sheet name="icc2" sheetId="332" r:id="rId92"/>
    <sheet name="xm" sheetId="334" r:id="rId93"/>
    <sheet name="icc3" sheetId="335" r:id="rId94"/>
    <sheet name="p1a" sheetId="336" r:id="rId95"/>
    <sheet name="p1b" sheetId="337" r:id="rId96"/>
    <sheet name="p1c" sheetId="355" r:id="rId97"/>
    <sheet name="jg" sheetId="338" r:id="rId98"/>
    <sheet name="ms" sheetId="339" r:id="rId99"/>
    <sheet name="fr" sheetId="340" r:id="rId100"/>
    <sheet name="adc" sheetId="341" r:id="rId101"/>
    <sheet name="mk" sheetId="343" r:id="rId102"/>
    <sheet name="ar" sheetId="344" r:id="rId103"/>
    <sheet name="df" sheetId="346" r:id="rId104"/>
    <sheet name="ht" sheetId="348" r:id="rId105"/>
    <sheet name="gg" sheetId="349" r:id="rId106"/>
    <sheet name="cm" sheetId="350" r:id="rId107"/>
    <sheet name="ma" sheetId="351" r:id="rId108"/>
    <sheet name="mg" sheetId="352" r:id="rId109"/>
    <sheet name="anp" sheetId="353" r:id="rId110"/>
    <sheet name="er" sheetId="354" r:id="rId111"/>
    <sheet name="pp" sheetId="356" r:id="rId112"/>
    <sheet name="gca" sheetId="357" r:id="rId113"/>
  </sheets>
  <definedNames>
    <definedName name="_xlnm.Print_Area" localSheetId="7">borrador!#REF!</definedName>
    <definedName name="_xlnm.Print_Area" localSheetId="2">profesores!#REF!</definedName>
    <definedName name="_xlnm.Print_Area" localSheetId="5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8" i="229" l="1"/>
  <c r="BE8" i="229"/>
  <c r="BF8" i="229"/>
  <c r="BG8" i="229"/>
  <c r="BH8" i="229"/>
  <c r="BI8" i="229"/>
  <c r="BD9" i="229"/>
  <c r="BD6" i="229" s="1"/>
  <c r="BE9" i="229"/>
  <c r="BF9" i="229"/>
  <c r="BG9" i="229"/>
  <c r="BH9" i="229"/>
  <c r="BI9" i="229"/>
  <c r="BD10" i="229"/>
  <c r="BE10" i="229"/>
  <c r="BF10" i="229"/>
  <c r="BG10" i="229"/>
  <c r="BH10" i="229"/>
  <c r="BI10" i="229"/>
  <c r="BD11" i="229"/>
  <c r="BE11" i="229"/>
  <c r="BF11" i="229"/>
  <c r="BG11" i="229"/>
  <c r="BH11" i="229"/>
  <c r="BI11" i="229"/>
  <c r="BD12" i="229"/>
  <c r="BE12" i="229"/>
  <c r="BF12" i="229"/>
  <c r="BG12" i="229"/>
  <c r="BH12" i="229"/>
  <c r="BI12" i="229"/>
  <c r="BD13" i="229"/>
  <c r="BE13" i="229"/>
  <c r="BF13" i="229"/>
  <c r="BG13" i="229"/>
  <c r="BH13" i="229"/>
  <c r="BI13" i="229"/>
  <c r="BD14" i="229"/>
  <c r="BE14" i="229"/>
  <c r="BF14" i="229"/>
  <c r="BG14" i="229"/>
  <c r="BH14" i="229"/>
  <c r="BI14" i="229"/>
  <c r="BD15" i="229"/>
  <c r="BE15" i="229"/>
  <c r="BF15" i="229"/>
  <c r="BG15" i="229"/>
  <c r="BH15" i="229"/>
  <c r="BI15" i="229"/>
  <c r="BD16" i="229"/>
  <c r="BE16" i="229"/>
  <c r="BF16" i="229"/>
  <c r="BG16" i="229"/>
  <c r="BH16" i="229"/>
  <c r="BI16" i="229"/>
  <c r="BD17" i="229"/>
  <c r="BE17" i="229"/>
  <c r="BF17" i="229"/>
  <c r="BG17" i="229"/>
  <c r="BH17" i="229"/>
  <c r="BI17" i="229"/>
  <c r="BD18" i="229"/>
  <c r="BE18" i="229"/>
  <c r="BF18" i="229"/>
  <c r="BG18" i="229"/>
  <c r="BH18" i="229"/>
  <c r="BI18" i="229"/>
  <c r="BD19" i="229"/>
  <c r="BE19" i="229"/>
  <c r="BF19" i="229"/>
  <c r="BG19" i="229"/>
  <c r="BH19" i="229"/>
  <c r="BI19" i="229"/>
  <c r="BD20" i="229"/>
  <c r="BE20" i="229"/>
  <c r="BF20" i="229"/>
  <c r="BG20" i="229"/>
  <c r="BH20" i="229"/>
  <c r="BI20" i="229"/>
  <c r="BD21" i="229"/>
  <c r="BE21" i="229"/>
  <c r="BF21" i="229"/>
  <c r="BG21" i="229"/>
  <c r="BH21" i="229"/>
  <c r="BI21" i="229"/>
  <c r="BD22" i="229"/>
  <c r="BE22" i="229"/>
  <c r="BF22" i="229"/>
  <c r="BG22" i="229"/>
  <c r="BH22" i="229"/>
  <c r="BI22" i="229"/>
  <c r="BD23" i="229"/>
  <c r="BE23" i="229"/>
  <c r="BF23" i="229"/>
  <c r="BG23" i="229"/>
  <c r="BH23" i="229"/>
  <c r="BI23" i="229"/>
  <c r="BD24" i="229"/>
  <c r="BE24" i="229"/>
  <c r="BF24" i="229"/>
  <c r="BG24" i="229"/>
  <c r="BH24" i="229"/>
  <c r="BI24" i="229"/>
  <c r="BD25" i="229"/>
  <c r="BE25" i="229"/>
  <c r="BF25" i="229"/>
  <c r="BG25" i="229"/>
  <c r="BH25" i="229"/>
  <c r="BI25" i="229"/>
  <c r="BD26" i="229"/>
  <c r="BE26" i="229"/>
  <c r="BF26" i="229"/>
  <c r="BG26" i="229"/>
  <c r="BH26" i="229"/>
  <c r="BI26" i="229"/>
  <c r="BD27" i="229"/>
  <c r="BE27" i="229"/>
  <c r="BF27" i="229"/>
  <c r="BG27" i="229"/>
  <c r="BH27" i="229"/>
  <c r="BI27" i="229"/>
  <c r="BD28" i="229"/>
  <c r="BE28" i="229"/>
  <c r="BF28" i="229"/>
  <c r="BG28" i="229"/>
  <c r="BH28" i="229"/>
  <c r="BI28" i="229"/>
  <c r="BD29" i="229"/>
  <c r="BE29" i="229"/>
  <c r="BF29" i="229"/>
  <c r="BG29" i="229"/>
  <c r="BH29" i="229"/>
  <c r="BI29" i="229"/>
  <c r="BD30" i="229"/>
  <c r="BE30" i="229"/>
  <c r="BF30" i="229"/>
  <c r="BG30" i="229"/>
  <c r="BH30" i="229"/>
  <c r="BI30" i="229"/>
  <c r="BD31" i="229"/>
  <c r="BE31" i="229"/>
  <c r="BF31" i="229"/>
  <c r="BG31" i="229"/>
  <c r="BH31" i="229"/>
  <c r="BI31" i="229"/>
  <c r="BD32" i="229"/>
  <c r="BE32" i="229"/>
  <c r="BF32" i="229"/>
  <c r="BG32" i="229"/>
  <c r="BH32" i="229"/>
  <c r="BI32" i="229"/>
  <c r="BD33" i="229"/>
  <c r="BE33" i="229"/>
  <c r="BF33" i="229"/>
  <c r="BG33" i="229"/>
  <c r="BH33" i="229"/>
  <c r="BI33" i="229"/>
  <c r="BD34" i="229"/>
  <c r="BE34" i="229"/>
  <c r="BF34" i="229"/>
  <c r="BG34" i="229"/>
  <c r="BH34" i="229"/>
  <c r="BI34" i="229"/>
  <c r="BD35" i="229"/>
  <c r="BE35" i="229"/>
  <c r="BF35" i="229"/>
  <c r="BG35" i="229"/>
  <c r="BH35" i="229"/>
  <c r="BI35" i="229"/>
  <c r="BD36" i="229"/>
  <c r="BE36" i="229"/>
  <c r="BF36" i="229"/>
  <c r="BG36" i="229"/>
  <c r="BH36" i="229"/>
  <c r="BI36" i="229"/>
  <c r="BD37" i="229"/>
  <c r="BE37" i="229"/>
  <c r="BF37" i="229"/>
  <c r="BG37" i="229"/>
  <c r="BH37" i="229"/>
  <c r="BI37" i="229"/>
  <c r="BD38" i="229"/>
  <c r="BE38" i="229"/>
  <c r="BF38" i="229"/>
  <c r="BG38" i="229"/>
  <c r="BH38" i="229"/>
  <c r="BI38" i="229"/>
  <c r="BD39" i="229"/>
  <c r="BE39" i="229"/>
  <c r="BF39" i="229"/>
  <c r="BG39" i="229"/>
  <c r="BH39" i="229"/>
  <c r="BI39" i="229"/>
  <c r="BD40" i="229"/>
  <c r="BE40" i="229"/>
  <c r="BF40" i="229"/>
  <c r="BG40" i="229"/>
  <c r="BH40" i="229"/>
  <c r="BI40" i="229"/>
  <c r="BD41" i="229"/>
  <c r="BE41" i="229"/>
  <c r="BF41" i="229"/>
  <c r="BG41" i="229"/>
  <c r="BH41" i="229"/>
  <c r="BI41" i="229"/>
  <c r="BD42" i="229"/>
  <c r="BE42" i="229"/>
  <c r="BF42" i="229"/>
  <c r="BG42" i="229"/>
  <c r="BH42" i="229"/>
  <c r="BI42" i="229"/>
  <c r="BD43" i="229"/>
  <c r="BE43" i="229"/>
  <c r="BF43" i="229"/>
  <c r="BG43" i="229"/>
  <c r="BH43" i="229"/>
  <c r="BI43" i="229"/>
  <c r="BD44" i="229"/>
  <c r="BE44" i="229"/>
  <c r="BF44" i="229"/>
  <c r="BG44" i="229"/>
  <c r="BH44" i="229"/>
  <c r="BI44" i="229"/>
  <c r="BD45" i="229"/>
  <c r="BE45" i="229"/>
  <c r="BF45" i="229"/>
  <c r="BG45" i="229"/>
  <c r="BH45" i="229"/>
  <c r="BI45" i="229"/>
  <c r="BD46" i="229"/>
  <c r="BE46" i="229"/>
  <c r="BF46" i="229"/>
  <c r="BG46" i="229"/>
  <c r="BH46" i="229"/>
  <c r="BI46" i="229"/>
  <c r="BD47" i="229"/>
  <c r="BE47" i="229"/>
  <c r="BF47" i="229"/>
  <c r="BG47" i="229"/>
  <c r="BH47" i="229"/>
  <c r="BI47" i="229"/>
  <c r="BD48" i="229"/>
  <c r="BE48" i="229"/>
  <c r="BF48" i="229"/>
  <c r="BG48" i="229"/>
  <c r="BH48" i="229"/>
  <c r="BI48" i="229"/>
  <c r="BD49" i="229"/>
  <c r="BE49" i="229"/>
  <c r="BF49" i="229"/>
  <c r="BG49" i="229"/>
  <c r="BH49" i="229"/>
  <c r="BI49" i="229"/>
  <c r="BD50" i="229"/>
  <c r="BE50" i="229"/>
  <c r="BF50" i="229"/>
  <c r="BG50" i="229"/>
  <c r="BH50" i="229"/>
  <c r="BI50" i="229"/>
  <c r="BD51" i="229"/>
  <c r="BE51" i="229"/>
  <c r="BF51" i="229"/>
  <c r="BG51" i="229"/>
  <c r="BH51" i="229"/>
  <c r="BI51" i="229"/>
  <c r="BD52" i="229"/>
  <c r="BE52" i="229"/>
  <c r="BF52" i="229"/>
  <c r="BG52" i="229"/>
  <c r="BH52" i="229"/>
  <c r="BI52" i="229"/>
  <c r="BD53" i="229"/>
  <c r="BE53" i="229"/>
  <c r="BF53" i="229"/>
  <c r="BG53" i="229"/>
  <c r="BH53" i="229"/>
  <c r="BI53" i="229"/>
  <c r="BD54" i="229"/>
  <c r="BE54" i="229"/>
  <c r="BF54" i="229"/>
  <c r="BG54" i="229"/>
  <c r="BH54" i="229"/>
  <c r="BI54" i="229"/>
  <c r="BD55" i="229"/>
  <c r="BE55" i="229"/>
  <c r="BF55" i="229"/>
  <c r="BG55" i="229"/>
  <c r="BH55" i="229"/>
  <c r="BI55" i="229"/>
  <c r="BD56" i="229"/>
  <c r="BE56" i="229"/>
  <c r="BF56" i="229"/>
  <c r="BG56" i="229"/>
  <c r="BH56" i="229"/>
  <c r="BI56" i="229"/>
  <c r="BD57" i="229"/>
  <c r="BE57" i="229"/>
  <c r="BF57" i="229"/>
  <c r="BG57" i="229"/>
  <c r="BH57" i="229"/>
  <c r="BI57" i="229"/>
  <c r="BD58" i="229"/>
  <c r="BE58" i="229"/>
  <c r="BF58" i="229"/>
  <c r="BG58" i="229"/>
  <c r="BH58" i="229"/>
  <c r="BI58" i="229"/>
  <c r="BD59" i="229"/>
  <c r="BE59" i="229"/>
  <c r="BF59" i="229"/>
  <c r="BG59" i="229"/>
  <c r="BH59" i="229"/>
  <c r="BI59" i="229"/>
  <c r="BD60" i="229"/>
  <c r="BE60" i="229"/>
  <c r="BF60" i="229"/>
  <c r="BG60" i="229"/>
  <c r="BH60" i="229"/>
  <c r="BI60" i="229"/>
  <c r="BD61" i="229"/>
  <c r="BE61" i="229"/>
  <c r="BF61" i="229"/>
  <c r="BG61" i="229"/>
  <c r="BH61" i="229"/>
  <c r="BI61" i="229"/>
  <c r="BD62" i="229"/>
  <c r="BE62" i="229"/>
  <c r="BF62" i="229"/>
  <c r="BG62" i="229"/>
  <c r="BH62" i="229"/>
  <c r="BI62" i="229"/>
  <c r="BD63" i="229"/>
  <c r="BE63" i="229"/>
  <c r="BF63" i="229"/>
  <c r="BG63" i="229"/>
  <c r="BH63" i="229"/>
  <c r="BI63" i="229"/>
  <c r="BD64" i="229"/>
  <c r="BE64" i="229"/>
  <c r="BF64" i="229"/>
  <c r="BG64" i="229"/>
  <c r="BH64" i="229"/>
  <c r="BI64" i="229"/>
  <c r="BD65" i="229"/>
  <c r="BE65" i="229"/>
  <c r="BF65" i="229"/>
  <c r="BG65" i="229"/>
  <c r="BH65" i="229"/>
  <c r="BI65" i="229"/>
  <c r="BD66" i="229"/>
  <c r="BE66" i="229"/>
  <c r="BF66" i="229"/>
  <c r="BG66" i="229"/>
  <c r="BH66" i="229"/>
  <c r="BI66" i="229"/>
  <c r="BD67" i="229"/>
  <c r="BE67" i="229"/>
  <c r="BF67" i="229"/>
  <c r="BG67" i="229"/>
  <c r="BH67" i="229"/>
  <c r="BI67" i="229"/>
  <c r="BD68" i="229"/>
  <c r="BE68" i="229"/>
  <c r="BF68" i="229"/>
  <c r="BG68" i="229"/>
  <c r="BH68" i="229"/>
  <c r="BI68" i="229"/>
  <c r="BD69" i="229"/>
  <c r="BE69" i="229"/>
  <c r="BF69" i="229"/>
  <c r="BG69" i="229"/>
  <c r="BH69" i="229"/>
  <c r="BI69" i="229"/>
  <c r="BD70" i="229"/>
  <c r="BE70" i="229"/>
  <c r="BF70" i="229"/>
  <c r="BG70" i="229"/>
  <c r="BH70" i="229"/>
  <c r="BI70" i="229"/>
  <c r="BD71" i="229"/>
  <c r="BE71" i="229"/>
  <c r="BF71" i="229"/>
  <c r="BG71" i="229"/>
  <c r="BH71" i="229"/>
  <c r="BI71" i="229"/>
  <c r="BD72" i="229"/>
  <c r="BE72" i="229"/>
  <c r="BF72" i="229"/>
  <c r="BG72" i="229"/>
  <c r="BH72" i="229"/>
  <c r="BI72" i="229"/>
  <c r="BD73" i="229"/>
  <c r="BE73" i="229"/>
  <c r="BF73" i="229"/>
  <c r="BG73" i="229"/>
  <c r="BH73" i="229"/>
  <c r="BI73" i="229"/>
  <c r="BD74" i="229"/>
  <c r="BE74" i="229"/>
  <c r="BF74" i="229"/>
  <c r="BG74" i="229"/>
  <c r="BH74" i="229"/>
  <c r="BI74" i="229"/>
  <c r="BD75" i="229"/>
  <c r="BE75" i="229"/>
  <c r="BF75" i="229"/>
  <c r="BG75" i="229"/>
  <c r="BH75" i="229"/>
  <c r="BI75" i="229"/>
  <c r="BD76" i="229"/>
  <c r="BE76" i="229"/>
  <c r="BF76" i="229"/>
  <c r="BG76" i="229"/>
  <c r="BH76" i="229"/>
  <c r="BI76" i="229"/>
  <c r="BD77" i="229"/>
  <c r="BE77" i="229"/>
  <c r="BF77" i="229"/>
  <c r="BG77" i="229"/>
  <c r="BH77" i="229"/>
  <c r="BI77" i="229"/>
  <c r="BD78" i="229"/>
  <c r="BE78" i="229"/>
  <c r="BF78" i="229"/>
  <c r="BG78" i="229"/>
  <c r="BH78" i="229"/>
  <c r="BI78" i="229"/>
  <c r="BD79" i="229"/>
  <c r="BE79" i="229"/>
  <c r="BF79" i="229"/>
  <c r="BG79" i="229"/>
  <c r="BH79" i="229"/>
  <c r="BI79" i="229"/>
  <c r="BD80" i="229"/>
  <c r="BE80" i="229"/>
  <c r="BF80" i="229"/>
  <c r="BG80" i="229"/>
  <c r="BH80" i="229"/>
  <c r="BI80" i="229"/>
  <c r="BD81" i="229"/>
  <c r="BE81" i="229"/>
  <c r="BF81" i="229"/>
  <c r="BG81" i="229"/>
  <c r="BH81" i="229"/>
  <c r="BI81" i="229"/>
  <c r="BD82" i="229"/>
  <c r="BE82" i="229"/>
  <c r="BF82" i="229"/>
  <c r="BG82" i="229"/>
  <c r="BH82" i="229"/>
  <c r="BI82" i="229"/>
  <c r="BD83" i="229"/>
  <c r="BE83" i="229"/>
  <c r="BF83" i="229"/>
  <c r="BG83" i="229"/>
  <c r="BH83" i="229"/>
  <c r="BI83" i="229"/>
  <c r="BD84" i="229"/>
  <c r="BE84" i="229"/>
  <c r="BF84" i="229"/>
  <c r="BG84" i="229"/>
  <c r="BH84" i="229"/>
  <c r="BI84" i="229"/>
  <c r="BD85" i="229"/>
  <c r="BE85" i="229"/>
  <c r="BF85" i="229"/>
  <c r="BG85" i="229"/>
  <c r="BH85" i="229"/>
  <c r="BI85" i="229"/>
  <c r="BD86" i="229"/>
  <c r="BE86" i="229"/>
  <c r="BF86" i="229"/>
  <c r="BG86" i="229"/>
  <c r="BH86" i="229"/>
  <c r="BI86" i="229"/>
  <c r="BD87" i="229"/>
  <c r="BE87" i="229"/>
  <c r="BF87" i="229"/>
  <c r="BG87" i="229"/>
  <c r="BH87" i="229"/>
  <c r="BI87" i="229"/>
  <c r="BD88" i="229"/>
  <c r="BE88" i="229"/>
  <c r="BF88" i="229"/>
  <c r="BG88" i="229"/>
  <c r="BH88" i="229"/>
  <c r="BI88" i="229"/>
  <c r="BD89" i="229"/>
  <c r="BE89" i="229"/>
  <c r="BF89" i="229"/>
  <c r="BG89" i="229"/>
  <c r="BH89" i="229"/>
  <c r="BI89" i="229"/>
  <c r="BD90" i="229"/>
  <c r="BE90" i="229"/>
  <c r="BF90" i="229"/>
  <c r="BG90" i="229"/>
  <c r="BH90" i="229"/>
  <c r="BI90" i="229"/>
  <c r="BD91" i="229"/>
  <c r="BE91" i="229"/>
  <c r="BF91" i="229"/>
  <c r="BG91" i="229"/>
  <c r="BH91" i="229"/>
  <c r="BI91" i="229"/>
  <c r="BD92" i="229"/>
  <c r="BE92" i="229"/>
  <c r="BF92" i="229"/>
  <c r="BG92" i="229"/>
  <c r="BH92" i="229"/>
  <c r="BI92" i="229"/>
  <c r="BD93" i="229"/>
  <c r="BE93" i="229"/>
  <c r="BF93" i="229"/>
  <c r="BG93" i="229"/>
  <c r="BH93" i="229"/>
  <c r="BI93" i="229"/>
  <c r="BD94" i="229"/>
  <c r="BE94" i="229"/>
  <c r="BF94" i="229"/>
  <c r="BG94" i="229"/>
  <c r="BH94" i="229"/>
  <c r="BI94" i="229"/>
  <c r="BD95" i="229"/>
  <c r="BE95" i="229"/>
  <c r="BF95" i="229"/>
  <c r="BG95" i="229"/>
  <c r="BH95" i="229"/>
  <c r="BI95" i="229"/>
  <c r="BD96" i="229"/>
  <c r="BE96" i="229"/>
  <c r="BF96" i="229"/>
  <c r="BG96" i="229"/>
  <c r="BH96" i="229"/>
  <c r="BI96" i="229"/>
  <c r="BD97" i="229"/>
  <c r="BE97" i="229"/>
  <c r="BF97" i="229"/>
  <c r="BG97" i="229"/>
  <c r="BH97" i="229"/>
  <c r="BI97" i="229"/>
  <c r="BD98" i="229"/>
  <c r="BE98" i="229"/>
  <c r="BF98" i="229"/>
  <c r="BG98" i="229"/>
  <c r="BH98" i="229"/>
  <c r="BI98" i="229"/>
  <c r="BD99" i="229"/>
  <c r="BE99" i="229"/>
  <c r="BF99" i="229"/>
  <c r="BG99" i="229"/>
  <c r="BH99" i="229"/>
  <c r="BI99" i="229"/>
  <c r="BD100" i="229"/>
  <c r="BE100" i="229"/>
  <c r="BF100" i="229"/>
  <c r="BG100" i="229"/>
  <c r="BH100" i="229"/>
  <c r="BI100" i="229"/>
  <c r="BD101" i="229"/>
  <c r="BE101" i="229"/>
  <c r="BF101" i="229"/>
  <c r="BG101" i="229"/>
  <c r="BH101" i="229"/>
  <c r="BI101" i="229"/>
  <c r="BD102" i="229"/>
  <c r="BE102" i="229"/>
  <c r="BF102" i="229"/>
  <c r="BG102" i="229"/>
  <c r="BH102" i="229"/>
  <c r="BI102" i="229"/>
  <c r="BD103" i="229"/>
  <c r="BE103" i="229"/>
  <c r="BF103" i="229"/>
  <c r="BG103" i="229"/>
  <c r="BH103" i="229"/>
  <c r="BI103" i="229"/>
  <c r="BD104" i="229"/>
  <c r="BE104" i="229"/>
  <c r="BF104" i="229"/>
  <c r="BG104" i="229"/>
  <c r="BH104" i="229"/>
  <c r="BI104" i="229"/>
  <c r="BD105" i="229"/>
  <c r="BE105" i="229"/>
  <c r="BF105" i="229"/>
  <c r="BG105" i="229"/>
  <c r="BH105" i="229"/>
  <c r="BI105" i="229"/>
  <c r="BD106" i="229"/>
  <c r="BE106" i="229"/>
  <c r="BF106" i="229"/>
  <c r="BG106" i="229"/>
  <c r="BH106" i="229"/>
  <c r="BI106" i="229"/>
  <c r="BD107" i="229"/>
  <c r="BE107" i="229"/>
  <c r="BF107" i="229"/>
  <c r="BG107" i="229"/>
  <c r="BH107" i="229"/>
  <c r="BI107" i="229"/>
  <c r="BD108" i="229"/>
  <c r="BE108" i="229"/>
  <c r="BF108" i="229"/>
  <c r="BG108" i="229"/>
  <c r="BH108" i="229"/>
  <c r="BI108" i="229"/>
  <c r="BD109" i="229"/>
  <c r="BE109" i="229"/>
  <c r="BF109" i="229"/>
  <c r="BG109" i="229"/>
  <c r="BH109" i="229"/>
  <c r="BI109" i="229"/>
  <c r="BD110" i="229"/>
  <c r="BE110" i="229"/>
  <c r="BF110" i="229"/>
  <c r="BG110" i="229"/>
  <c r="BH110" i="229"/>
  <c r="BI110" i="229"/>
  <c r="BD111" i="229"/>
  <c r="BE111" i="229"/>
  <c r="BF111" i="229"/>
  <c r="BG111" i="229"/>
  <c r="BH111" i="229"/>
  <c r="BI111" i="229"/>
  <c r="BD112" i="229"/>
  <c r="BE112" i="229"/>
  <c r="BF112" i="229"/>
  <c r="BG112" i="229"/>
  <c r="BH112" i="229"/>
  <c r="BI112" i="229"/>
  <c r="BD113" i="229"/>
  <c r="BE113" i="229"/>
  <c r="BF113" i="229"/>
  <c r="BG113" i="229"/>
  <c r="BH113" i="229"/>
  <c r="BI113" i="229"/>
  <c r="BD114" i="229"/>
  <c r="BE114" i="229"/>
  <c r="BF114" i="229"/>
  <c r="BG114" i="229"/>
  <c r="BH114" i="229"/>
  <c r="BI114" i="229"/>
  <c r="BD115" i="229"/>
  <c r="BE115" i="229"/>
  <c r="BF115" i="229"/>
  <c r="BG115" i="229"/>
  <c r="BH115" i="229"/>
  <c r="BI115" i="229"/>
  <c r="BD116" i="229"/>
  <c r="BE116" i="229"/>
  <c r="BF116" i="229"/>
  <c r="BG116" i="229"/>
  <c r="BH116" i="229"/>
  <c r="BI116" i="229"/>
  <c r="BD117" i="229"/>
  <c r="BE117" i="229"/>
  <c r="BF117" i="229"/>
  <c r="BG117" i="229"/>
  <c r="BH117" i="229"/>
  <c r="BI117" i="229"/>
  <c r="BD118" i="229"/>
  <c r="BE118" i="229"/>
  <c r="BF118" i="229"/>
  <c r="BG118" i="229"/>
  <c r="BH118" i="229"/>
  <c r="BI118" i="229"/>
  <c r="BD119" i="229"/>
  <c r="BE119" i="229"/>
  <c r="BF119" i="229"/>
  <c r="BG119" i="229"/>
  <c r="BH119" i="229"/>
  <c r="BI119" i="229"/>
  <c r="BD120" i="229"/>
  <c r="BE120" i="229"/>
  <c r="BF120" i="229"/>
  <c r="BG120" i="229"/>
  <c r="BH120" i="229"/>
  <c r="BI120" i="229"/>
  <c r="BD121" i="229"/>
  <c r="BE121" i="229"/>
  <c r="BF121" i="229"/>
  <c r="BG121" i="229"/>
  <c r="BH121" i="229"/>
  <c r="BI121" i="229"/>
  <c r="BD122" i="229"/>
  <c r="BE122" i="229"/>
  <c r="BF122" i="229"/>
  <c r="BG122" i="229"/>
  <c r="BH122" i="229"/>
  <c r="BI122" i="229"/>
  <c r="BD123" i="229"/>
  <c r="BE123" i="229"/>
  <c r="BF123" i="229"/>
  <c r="BG123" i="229"/>
  <c r="BH123" i="229"/>
  <c r="BI123" i="229"/>
  <c r="BD124" i="229"/>
  <c r="BE124" i="229"/>
  <c r="BF124" i="229"/>
  <c r="BG124" i="229"/>
  <c r="BH124" i="229"/>
  <c r="BI124" i="229"/>
  <c r="BD125" i="229"/>
  <c r="BE125" i="229"/>
  <c r="BF125" i="229"/>
  <c r="BG125" i="229"/>
  <c r="BH125" i="229"/>
  <c r="BI125" i="229"/>
  <c r="BD126" i="229"/>
  <c r="BE126" i="229"/>
  <c r="BF126" i="229"/>
  <c r="BG126" i="229"/>
  <c r="BH126" i="229"/>
  <c r="BI126" i="229"/>
  <c r="BD127" i="229"/>
  <c r="BE127" i="229"/>
  <c r="BF127" i="229"/>
  <c r="BG127" i="229"/>
  <c r="BH127" i="229"/>
  <c r="BI127" i="229"/>
  <c r="BD128" i="229"/>
  <c r="BE128" i="229"/>
  <c r="BF128" i="229"/>
  <c r="BG128" i="229"/>
  <c r="BH128" i="229"/>
  <c r="BI128" i="229"/>
  <c r="BD129" i="229"/>
  <c r="BE129" i="229"/>
  <c r="BF129" i="229"/>
  <c r="BG129" i="229"/>
  <c r="BH129" i="229"/>
  <c r="BI129" i="229"/>
  <c r="BD130" i="229"/>
  <c r="BE130" i="229"/>
  <c r="BF130" i="229"/>
  <c r="BG130" i="229"/>
  <c r="BH130" i="229"/>
  <c r="BI130" i="229"/>
  <c r="BD131" i="229"/>
  <c r="BE131" i="229"/>
  <c r="BF131" i="229"/>
  <c r="BG131" i="229"/>
  <c r="BH131" i="229"/>
  <c r="BI131" i="229"/>
  <c r="BD132" i="229"/>
  <c r="BE132" i="229"/>
  <c r="BF132" i="229"/>
  <c r="BG132" i="229"/>
  <c r="BH132" i="229"/>
  <c r="BI132" i="229"/>
  <c r="BD133" i="229"/>
  <c r="BE133" i="229"/>
  <c r="BF133" i="229"/>
  <c r="BG133" i="229"/>
  <c r="BH133" i="229"/>
  <c r="BI133" i="229"/>
  <c r="BD134" i="229"/>
  <c r="BE134" i="229"/>
  <c r="BF134" i="229"/>
  <c r="BG134" i="229"/>
  <c r="BH134" i="229"/>
  <c r="BI134" i="229"/>
  <c r="BD135" i="229"/>
  <c r="BE135" i="229"/>
  <c r="BF135" i="229"/>
  <c r="BG135" i="229"/>
  <c r="BH135" i="229"/>
  <c r="BI135" i="229"/>
  <c r="BD136" i="229"/>
  <c r="BE136" i="229"/>
  <c r="BF136" i="229"/>
  <c r="BG136" i="229"/>
  <c r="BH136" i="229"/>
  <c r="BI136" i="229"/>
  <c r="BD137" i="229"/>
  <c r="BE137" i="229"/>
  <c r="BF137" i="229"/>
  <c r="BG137" i="229"/>
  <c r="BH137" i="229"/>
  <c r="BI137" i="229"/>
  <c r="BD138" i="229"/>
  <c r="BE138" i="229"/>
  <c r="BF138" i="229"/>
  <c r="BG138" i="229"/>
  <c r="BH138" i="229"/>
  <c r="BI138" i="229"/>
  <c r="BD139" i="229"/>
  <c r="BE139" i="229"/>
  <c r="BF139" i="229"/>
  <c r="BG139" i="229"/>
  <c r="BH139" i="229"/>
  <c r="BI139" i="229"/>
  <c r="BD140" i="229"/>
  <c r="BE140" i="229"/>
  <c r="BF140" i="229"/>
  <c r="BG140" i="229"/>
  <c r="BH140" i="229"/>
  <c r="BI140" i="229"/>
  <c r="BD141" i="229"/>
  <c r="BE141" i="229"/>
  <c r="BF141" i="229"/>
  <c r="BG141" i="229"/>
  <c r="BH141" i="229"/>
  <c r="BI141" i="229"/>
  <c r="BD142" i="229"/>
  <c r="BE142" i="229"/>
  <c r="BF142" i="229"/>
  <c r="BG142" i="229"/>
  <c r="BH142" i="229"/>
  <c r="BI142" i="229"/>
  <c r="BD143" i="229"/>
  <c r="BE143" i="229"/>
  <c r="BF143" i="229"/>
  <c r="BG143" i="229"/>
  <c r="BH143" i="229"/>
  <c r="BI143" i="229"/>
  <c r="BD144" i="229"/>
  <c r="BE144" i="229"/>
  <c r="BF144" i="229"/>
  <c r="BG144" i="229"/>
  <c r="BH144" i="229"/>
  <c r="BI144" i="229"/>
  <c r="BD145" i="229"/>
  <c r="BE145" i="229"/>
  <c r="BF145" i="229"/>
  <c r="BG145" i="229"/>
  <c r="BH145" i="229"/>
  <c r="BI145" i="229"/>
  <c r="BD146" i="229"/>
  <c r="BE146" i="229"/>
  <c r="BF146" i="229"/>
  <c r="BG146" i="229"/>
  <c r="BH146" i="229"/>
  <c r="BI146" i="229"/>
  <c r="BD147" i="229"/>
  <c r="BE147" i="229"/>
  <c r="BF147" i="229"/>
  <c r="BG147" i="229"/>
  <c r="BH147" i="229"/>
  <c r="BI147" i="229"/>
  <c r="BD148" i="229"/>
  <c r="BE148" i="229"/>
  <c r="BF148" i="229"/>
  <c r="BG148" i="229"/>
  <c r="BH148" i="229"/>
  <c r="BI148" i="229"/>
  <c r="BD149" i="229"/>
  <c r="BE149" i="229"/>
  <c r="BF149" i="229"/>
  <c r="BG149" i="229"/>
  <c r="BH149" i="229"/>
  <c r="BI149" i="229"/>
  <c r="BD150" i="229"/>
  <c r="BE150" i="229"/>
  <c r="BF150" i="229"/>
  <c r="BG150" i="229"/>
  <c r="BH150" i="229"/>
  <c r="BI150" i="229"/>
  <c r="BD151" i="229"/>
  <c r="BE151" i="229"/>
  <c r="BF151" i="229"/>
  <c r="BG151" i="229"/>
  <c r="BH151" i="229"/>
  <c r="BI151" i="229"/>
  <c r="BD152" i="229"/>
  <c r="BE152" i="229"/>
  <c r="BF152" i="229"/>
  <c r="BG152" i="229"/>
  <c r="BH152" i="229"/>
  <c r="BI152" i="229"/>
  <c r="BD153" i="229"/>
  <c r="BE153" i="229"/>
  <c r="BF153" i="229"/>
  <c r="BG153" i="229"/>
  <c r="BH153" i="229"/>
  <c r="BI153" i="229"/>
  <c r="BD154" i="229"/>
  <c r="BE154" i="229"/>
  <c r="BF154" i="229"/>
  <c r="BG154" i="229"/>
  <c r="BH154" i="229"/>
  <c r="BI154" i="229"/>
  <c r="BD155" i="229"/>
  <c r="BE155" i="229"/>
  <c r="BF155" i="229"/>
  <c r="BG155" i="229"/>
  <c r="BH155" i="229"/>
  <c r="BI155" i="229"/>
  <c r="BD156" i="229"/>
  <c r="BE156" i="229"/>
  <c r="BF156" i="229"/>
  <c r="BG156" i="229"/>
  <c r="BH156" i="229"/>
  <c r="BI156" i="229"/>
  <c r="BD157" i="229"/>
  <c r="BE157" i="229"/>
  <c r="BF157" i="229"/>
  <c r="BG157" i="229"/>
  <c r="BH157" i="229"/>
  <c r="BI157" i="229"/>
  <c r="BD158" i="229"/>
  <c r="BE158" i="229"/>
  <c r="BF158" i="229"/>
  <c r="BG158" i="229"/>
  <c r="BH158" i="229"/>
  <c r="BI158" i="229"/>
  <c r="BD159" i="229"/>
  <c r="BE159" i="229"/>
  <c r="BF159" i="229"/>
  <c r="BG159" i="229"/>
  <c r="BH159" i="229"/>
  <c r="BI159" i="229"/>
  <c r="BD160" i="229"/>
  <c r="BE160" i="229"/>
  <c r="BF160" i="229"/>
  <c r="BG160" i="229"/>
  <c r="BH160" i="229"/>
  <c r="BI160" i="229"/>
  <c r="BD161" i="229"/>
  <c r="BE161" i="229"/>
  <c r="BF161" i="229"/>
  <c r="BG161" i="229"/>
  <c r="BH161" i="229"/>
  <c r="BI161" i="229"/>
  <c r="BD162" i="229"/>
  <c r="BE162" i="229"/>
  <c r="BF162" i="229"/>
  <c r="BG162" i="229"/>
  <c r="BH162" i="229"/>
  <c r="BI162" i="229"/>
  <c r="BD163" i="229"/>
  <c r="BE163" i="229"/>
  <c r="BF163" i="229"/>
  <c r="BG163" i="229"/>
  <c r="BH163" i="229"/>
  <c r="BI163" i="229"/>
  <c r="BD164" i="229"/>
  <c r="BE164" i="229"/>
  <c r="BF164" i="229"/>
  <c r="BG164" i="229"/>
  <c r="BH164" i="229"/>
  <c r="BI164" i="229"/>
  <c r="BD165" i="229"/>
  <c r="BE165" i="229"/>
  <c r="BF165" i="229"/>
  <c r="BG165" i="229"/>
  <c r="BH165" i="229"/>
  <c r="BI165" i="229"/>
  <c r="BD166" i="229"/>
  <c r="BE166" i="229"/>
  <c r="BF166" i="229"/>
  <c r="BG166" i="229"/>
  <c r="BH166" i="229"/>
  <c r="BI166" i="229"/>
  <c r="BD167" i="229"/>
  <c r="BE167" i="229"/>
  <c r="BF167" i="229"/>
  <c r="BG167" i="229"/>
  <c r="BH167" i="229"/>
  <c r="BI167" i="229"/>
  <c r="BD168" i="229"/>
  <c r="BE168" i="229"/>
  <c r="BF168" i="229"/>
  <c r="BG168" i="229"/>
  <c r="BH168" i="229"/>
  <c r="BI168" i="229"/>
  <c r="BD169" i="229"/>
  <c r="BE169" i="229"/>
  <c r="BF169" i="229"/>
  <c r="BG169" i="229"/>
  <c r="BH169" i="229"/>
  <c r="BI169" i="229"/>
  <c r="BD170" i="229"/>
  <c r="BE170" i="229"/>
  <c r="BF170" i="229"/>
  <c r="BG170" i="229"/>
  <c r="BH170" i="229"/>
  <c r="BI170" i="229"/>
  <c r="BD171" i="229"/>
  <c r="BE171" i="229"/>
  <c r="BF171" i="229"/>
  <c r="BG171" i="229"/>
  <c r="BH171" i="229"/>
  <c r="BI171" i="229"/>
  <c r="BD172" i="229"/>
  <c r="BE172" i="229"/>
  <c r="BF172" i="229"/>
  <c r="BG172" i="229"/>
  <c r="BH172" i="229"/>
  <c r="BI172" i="229"/>
  <c r="BD173" i="229"/>
  <c r="BE173" i="229"/>
  <c r="BF173" i="229"/>
  <c r="BG173" i="229"/>
  <c r="BH173" i="229"/>
  <c r="BI173" i="229"/>
  <c r="BD174" i="229"/>
  <c r="BE174" i="229"/>
  <c r="BF174" i="229"/>
  <c r="BG174" i="229"/>
  <c r="BH174" i="229"/>
  <c r="BI174" i="229"/>
  <c r="BD175" i="229"/>
  <c r="BE175" i="229"/>
  <c r="BF175" i="229"/>
  <c r="BG175" i="229"/>
  <c r="BH175" i="229"/>
  <c r="BI175" i="229"/>
  <c r="BD176" i="229"/>
  <c r="BE176" i="229"/>
  <c r="BF176" i="229"/>
  <c r="BG176" i="229"/>
  <c r="BH176" i="229"/>
  <c r="BI176" i="229"/>
  <c r="BD177" i="229"/>
  <c r="BE177" i="229"/>
  <c r="BF177" i="229"/>
  <c r="BG177" i="229"/>
  <c r="BH177" i="229"/>
  <c r="BI177" i="229"/>
  <c r="BD178" i="229"/>
  <c r="BE178" i="229"/>
  <c r="BF178" i="229"/>
  <c r="BG178" i="229"/>
  <c r="BH178" i="229"/>
  <c r="BI178" i="229"/>
  <c r="BD179" i="229"/>
  <c r="BE179" i="229"/>
  <c r="BF179" i="229"/>
  <c r="BG179" i="229"/>
  <c r="BH179" i="229"/>
  <c r="BI179" i="229"/>
  <c r="BD180" i="229"/>
  <c r="BE180" i="229"/>
  <c r="BF180" i="229"/>
  <c r="BG180" i="229"/>
  <c r="BH180" i="229"/>
  <c r="BI180" i="229"/>
  <c r="BD181" i="229"/>
  <c r="BE181" i="229"/>
  <c r="BF181" i="229"/>
  <c r="BG181" i="229"/>
  <c r="BH181" i="229"/>
  <c r="BI181" i="229"/>
  <c r="BD182" i="229"/>
  <c r="BE182" i="229"/>
  <c r="BF182" i="229"/>
  <c r="BG182" i="229"/>
  <c r="BH182" i="229"/>
  <c r="BI182" i="229"/>
  <c r="BD183" i="229"/>
  <c r="BE183" i="229"/>
  <c r="BF183" i="229"/>
  <c r="BG183" i="229"/>
  <c r="BH183" i="229"/>
  <c r="BI183" i="229"/>
  <c r="BD184" i="229"/>
  <c r="BE184" i="229"/>
  <c r="BF184" i="229"/>
  <c r="BG184" i="229"/>
  <c r="BH184" i="229"/>
  <c r="BI184" i="229"/>
  <c r="BD185" i="229"/>
  <c r="BE185" i="229"/>
  <c r="BF185" i="229"/>
  <c r="BG185" i="229"/>
  <c r="BH185" i="229"/>
  <c r="BI185" i="229"/>
  <c r="BD186" i="229"/>
  <c r="BE186" i="229"/>
  <c r="BF186" i="229"/>
  <c r="BG186" i="229"/>
  <c r="BH186" i="229"/>
  <c r="BI186" i="229"/>
  <c r="BD187" i="229"/>
  <c r="BE187" i="229"/>
  <c r="BF187" i="229"/>
  <c r="BG187" i="229"/>
  <c r="BH187" i="229"/>
  <c r="BI187" i="229"/>
  <c r="BD188" i="229"/>
  <c r="BE188" i="229"/>
  <c r="BF188" i="229"/>
  <c r="BG188" i="229"/>
  <c r="BH188" i="229"/>
  <c r="BI188" i="229"/>
  <c r="BD189" i="229"/>
  <c r="BE189" i="229"/>
  <c r="BF189" i="229"/>
  <c r="BG189" i="229"/>
  <c r="BH189" i="229"/>
  <c r="BI189" i="229"/>
  <c r="BD190" i="229"/>
  <c r="BE190" i="229"/>
  <c r="BF190" i="229"/>
  <c r="BG190" i="229"/>
  <c r="BH190" i="229"/>
  <c r="BI190" i="229"/>
  <c r="BD191" i="229"/>
  <c r="BE191" i="229"/>
  <c r="BF191" i="229"/>
  <c r="BG191" i="229"/>
  <c r="BH191" i="229"/>
  <c r="BI191" i="229"/>
  <c r="BD192" i="229"/>
  <c r="BE192" i="229"/>
  <c r="BF192" i="229"/>
  <c r="BG192" i="229"/>
  <c r="BH192" i="229"/>
  <c r="BI192" i="229"/>
  <c r="BD193" i="229"/>
  <c r="BE193" i="229"/>
  <c r="BF193" i="229"/>
  <c r="BG193" i="229"/>
  <c r="BH193" i="229"/>
  <c r="BI193" i="229"/>
  <c r="BD194" i="229"/>
  <c r="BE194" i="229"/>
  <c r="BF194" i="229"/>
  <c r="BG194" i="229"/>
  <c r="BH194" i="229"/>
  <c r="BI194" i="229"/>
  <c r="BD195" i="229"/>
  <c r="BE195" i="229"/>
  <c r="BF195" i="229"/>
  <c r="BG195" i="229"/>
  <c r="BH195" i="229"/>
  <c r="BI195" i="229"/>
  <c r="BD196" i="229"/>
  <c r="BE196" i="229"/>
  <c r="BF196" i="229"/>
  <c r="BG196" i="229"/>
  <c r="BH196" i="229"/>
  <c r="BI196" i="229"/>
  <c r="BD197" i="229"/>
  <c r="BE197" i="229"/>
  <c r="BF197" i="229"/>
  <c r="BG197" i="229"/>
  <c r="BH197" i="229"/>
  <c r="BI197" i="229"/>
  <c r="BD198" i="229"/>
  <c r="BE198" i="229"/>
  <c r="BF198" i="229"/>
  <c r="BG198" i="229"/>
  <c r="BH198" i="229"/>
  <c r="BI198" i="229"/>
  <c r="BD199" i="229"/>
  <c r="BE199" i="229"/>
  <c r="BF199" i="229"/>
  <c r="BG199" i="229"/>
  <c r="BH199" i="229"/>
  <c r="BI199" i="229"/>
  <c r="BD200" i="229"/>
  <c r="BE200" i="229"/>
  <c r="BF200" i="229"/>
  <c r="BG200" i="229"/>
  <c r="BH200" i="229"/>
  <c r="BI200" i="229"/>
  <c r="BD201" i="229"/>
  <c r="BE201" i="229"/>
  <c r="BF201" i="229"/>
  <c r="BG201" i="229"/>
  <c r="BH201" i="229"/>
  <c r="BI201" i="229"/>
  <c r="BD202" i="229"/>
  <c r="BE202" i="229"/>
  <c r="BF202" i="229"/>
  <c r="BG202" i="229"/>
  <c r="BH202" i="229"/>
  <c r="BI202" i="229"/>
  <c r="BD203" i="229"/>
  <c r="BE203" i="229"/>
  <c r="BF203" i="229"/>
  <c r="BG203" i="229"/>
  <c r="BH203" i="229"/>
  <c r="BI203" i="229"/>
  <c r="BD204" i="229"/>
  <c r="BE204" i="229"/>
  <c r="BF204" i="229"/>
  <c r="BG204" i="229"/>
  <c r="BH204" i="229"/>
  <c r="BI204" i="229"/>
  <c r="BD205" i="229"/>
  <c r="BE205" i="229"/>
  <c r="BF205" i="229"/>
  <c r="BG205" i="229"/>
  <c r="BH205" i="229"/>
  <c r="BI205" i="229"/>
  <c r="BD206" i="229"/>
  <c r="BE206" i="229"/>
  <c r="BF206" i="229"/>
  <c r="BG206" i="229"/>
  <c r="BH206" i="229"/>
  <c r="BI206" i="229"/>
  <c r="BD207" i="229"/>
  <c r="BE207" i="229"/>
  <c r="BF207" i="229"/>
  <c r="BG207" i="229"/>
  <c r="BH207" i="229"/>
  <c r="BI207" i="229"/>
  <c r="BD208" i="229"/>
  <c r="BE208" i="229"/>
  <c r="BF208" i="229"/>
  <c r="BG208" i="229"/>
  <c r="BH208" i="229"/>
  <c r="BI208" i="229"/>
  <c r="BD209" i="229"/>
  <c r="BE209" i="229"/>
  <c r="BF209" i="229"/>
  <c r="BG209" i="229"/>
  <c r="BH209" i="229"/>
  <c r="BI209" i="229"/>
  <c r="BD210" i="229"/>
  <c r="BE210" i="229"/>
  <c r="BF210" i="229"/>
  <c r="BG210" i="229"/>
  <c r="BH210" i="229"/>
  <c r="BI210" i="229"/>
  <c r="BD211" i="229"/>
  <c r="BE211" i="229"/>
  <c r="BF211" i="229"/>
  <c r="BG211" i="229"/>
  <c r="BH211" i="229"/>
  <c r="BI211" i="229"/>
  <c r="BD212" i="229"/>
  <c r="BE212" i="229"/>
  <c r="BF212" i="229"/>
  <c r="BG212" i="229"/>
  <c r="BH212" i="229"/>
  <c r="BI212" i="229"/>
  <c r="BD213" i="229"/>
  <c r="BE213" i="229"/>
  <c r="BF213" i="229"/>
  <c r="BG213" i="229"/>
  <c r="BH213" i="229"/>
  <c r="BI213" i="229"/>
  <c r="BD214" i="229"/>
  <c r="BE214" i="229"/>
  <c r="BF214" i="229"/>
  <c r="BG214" i="229"/>
  <c r="BH214" i="229"/>
  <c r="BI214" i="229"/>
  <c r="BD215" i="229"/>
  <c r="BE215" i="229"/>
  <c r="BF215" i="229"/>
  <c r="BG215" i="229"/>
  <c r="BH215" i="229"/>
  <c r="BI215" i="229"/>
  <c r="BD216" i="229"/>
  <c r="BE216" i="229"/>
  <c r="BF216" i="229"/>
  <c r="BG216" i="229"/>
  <c r="BH216" i="229"/>
  <c r="BI216" i="229"/>
  <c r="BD217" i="229"/>
  <c r="BE217" i="229"/>
  <c r="BF217" i="229"/>
  <c r="BG217" i="229"/>
  <c r="BH217" i="229"/>
  <c r="BI217" i="229"/>
  <c r="BD218" i="229"/>
  <c r="BE218" i="229"/>
  <c r="BF218" i="229"/>
  <c r="BG218" i="229"/>
  <c r="BH218" i="229"/>
  <c r="BI218" i="229"/>
  <c r="BD219" i="229"/>
  <c r="BE219" i="229"/>
  <c r="BF219" i="229"/>
  <c r="BG219" i="229"/>
  <c r="BH219" i="229"/>
  <c r="BI219" i="229"/>
  <c r="BD220" i="229"/>
  <c r="BE220" i="229"/>
  <c r="BF220" i="229"/>
  <c r="BG220" i="229"/>
  <c r="BH220" i="229"/>
  <c r="BI220" i="229"/>
  <c r="BD221" i="229"/>
  <c r="BE221" i="229"/>
  <c r="BF221" i="229"/>
  <c r="BG221" i="229"/>
  <c r="BH221" i="229"/>
  <c r="BI221" i="229"/>
  <c r="BD222" i="229"/>
  <c r="BE222" i="229"/>
  <c r="BF222" i="229"/>
  <c r="BG222" i="229"/>
  <c r="BH222" i="229"/>
  <c r="BI222" i="229"/>
  <c r="BD223" i="229"/>
  <c r="BE223" i="229"/>
  <c r="BF223" i="229"/>
  <c r="BG223" i="229"/>
  <c r="BH223" i="229"/>
  <c r="BI223" i="229"/>
  <c r="BD224" i="229"/>
  <c r="BE224" i="229"/>
  <c r="BF224" i="229"/>
  <c r="BG224" i="229"/>
  <c r="BH224" i="229"/>
  <c r="BI224" i="229"/>
  <c r="BD225" i="229"/>
  <c r="BE225" i="229"/>
  <c r="BF225" i="229"/>
  <c r="BG225" i="229"/>
  <c r="BH225" i="229"/>
  <c r="BI225" i="229"/>
  <c r="BD226" i="229"/>
  <c r="BE226" i="229"/>
  <c r="BF226" i="229"/>
  <c r="BG226" i="229"/>
  <c r="BH226" i="229"/>
  <c r="BI226" i="229"/>
  <c r="BD227" i="229"/>
  <c r="BE227" i="229"/>
  <c r="BF227" i="229"/>
  <c r="BG227" i="229"/>
  <c r="BH227" i="229"/>
  <c r="BI227" i="229"/>
  <c r="BD228" i="229"/>
  <c r="BE228" i="229"/>
  <c r="BF228" i="229"/>
  <c r="BG228" i="229"/>
  <c r="BH228" i="229"/>
  <c r="BI228" i="229"/>
  <c r="BD229" i="229"/>
  <c r="BE229" i="229"/>
  <c r="BF229" i="229"/>
  <c r="BG229" i="229"/>
  <c r="BH229" i="229"/>
  <c r="BI229" i="229"/>
  <c r="BD230" i="229"/>
  <c r="BE230" i="229"/>
  <c r="BF230" i="229"/>
  <c r="BG230" i="229"/>
  <c r="BH230" i="229"/>
  <c r="BI230" i="229"/>
  <c r="BD231" i="229"/>
  <c r="BE231" i="229"/>
  <c r="BF231" i="229"/>
  <c r="BG231" i="229"/>
  <c r="BH231" i="229"/>
  <c r="BI231" i="229"/>
  <c r="BD232" i="229"/>
  <c r="BE232" i="229"/>
  <c r="BF232" i="229"/>
  <c r="BG232" i="229"/>
  <c r="BH232" i="229"/>
  <c r="BI232" i="229"/>
  <c r="BD233" i="229"/>
  <c r="BE233" i="229"/>
  <c r="BF233" i="229"/>
  <c r="BG233" i="229"/>
  <c r="BH233" i="229"/>
  <c r="BI233" i="229"/>
  <c r="BD234" i="229"/>
  <c r="BE234" i="229"/>
  <c r="BF234" i="229"/>
  <c r="BG234" i="229"/>
  <c r="BH234" i="229"/>
  <c r="BI234" i="229"/>
  <c r="BD235" i="229"/>
  <c r="BE235" i="229"/>
  <c r="BF235" i="229"/>
  <c r="BG235" i="229"/>
  <c r="BH235" i="229"/>
  <c r="BI235" i="229"/>
  <c r="BD236" i="229"/>
  <c r="BE236" i="229"/>
  <c r="BF236" i="229"/>
  <c r="BG236" i="229"/>
  <c r="BH236" i="229"/>
  <c r="BI236" i="229"/>
  <c r="BD237" i="229"/>
  <c r="BE237" i="229"/>
  <c r="BF237" i="229"/>
  <c r="BG237" i="229"/>
  <c r="BH237" i="229"/>
  <c r="BI237" i="229"/>
  <c r="BD238" i="229"/>
  <c r="BE238" i="229"/>
  <c r="BF238" i="229"/>
  <c r="BG238" i="229"/>
  <c r="BH238" i="229"/>
  <c r="BI238" i="229"/>
  <c r="BD239" i="229"/>
  <c r="BE239" i="229"/>
  <c r="BF239" i="229"/>
  <c r="BG239" i="229"/>
  <c r="BH239" i="229"/>
  <c r="BI239" i="229"/>
  <c r="BD240" i="229"/>
  <c r="BE240" i="229"/>
  <c r="BF240" i="229"/>
  <c r="BG240" i="229"/>
  <c r="BH240" i="229"/>
  <c r="BI240" i="229"/>
  <c r="BD241" i="229"/>
  <c r="BE241" i="229"/>
  <c r="BF241" i="229"/>
  <c r="BG241" i="229"/>
  <c r="BH241" i="229"/>
  <c r="BI241" i="229"/>
  <c r="BD242" i="229"/>
  <c r="BE242" i="229"/>
  <c r="BF242" i="229"/>
  <c r="BG242" i="229"/>
  <c r="BH242" i="229"/>
  <c r="BI242" i="229"/>
  <c r="BD243" i="229"/>
  <c r="BE243" i="229"/>
  <c r="BF243" i="229"/>
  <c r="BG243" i="229"/>
  <c r="BH243" i="229"/>
  <c r="BI243" i="229"/>
  <c r="BD244" i="229"/>
  <c r="BE244" i="229"/>
  <c r="BF244" i="229"/>
  <c r="BG244" i="229"/>
  <c r="BH244" i="229"/>
  <c r="BI244" i="229"/>
  <c r="BD245" i="229"/>
  <c r="BE245" i="229"/>
  <c r="BF245" i="229"/>
  <c r="BG245" i="229"/>
  <c r="BH245" i="229"/>
  <c r="BI245" i="229"/>
  <c r="BD246" i="229"/>
  <c r="BE246" i="229"/>
  <c r="BF246" i="229"/>
  <c r="BG246" i="229"/>
  <c r="BH246" i="229"/>
  <c r="BI246" i="229"/>
  <c r="BD247" i="229"/>
  <c r="BE247" i="229"/>
  <c r="BF247" i="229"/>
  <c r="BG247" i="229"/>
  <c r="BH247" i="229"/>
  <c r="BI247" i="229"/>
  <c r="BD248" i="229"/>
  <c r="BE248" i="229"/>
  <c r="BF248" i="229"/>
  <c r="BG248" i="229"/>
  <c r="BH248" i="229"/>
  <c r="BI248" i="229"/>
  <c r="BD249" i="229"/>
  <c r="BE249" i="229"/>
  <c r="BF249" i="229"/>
  <c r="BG249" i="229"/>
  <c r="BH249" i="229"/>
  <c r="BI249" i="229"/>
  <c r="BD250" i="229"/>
  <c r="BE250" i="229"/>
  <c r="BF250" i="229"/>
  <c r="BG250" i="229"/>
  <c r="BH250" i="229"/>
  <c r="BI250" i="229"/>
  <c r="BD251" i="229"/>
  <c r="BE251" i="229"/>
  <c r="BF251" i="229"/>
  <c r="BG251" i="229"/>
  <c r="BH251" i="229"/>
  <c r="BI251" i="229"/>
  <c r="BD252" i="229"/>
  <c r="BE252" i="229"/>
  <c r="BF252" i="229"/>
  <c r="BG252" i="229"/>
  <c r="BH252" i="229"/>
  <c r="BI252" i="229"/>
  <c r="BD253" i="229"/>
  <c r="BE253" i="229"/>
  <c r="BF253" i="229"/>
  <c r="BG253" i="229"/>
  <c r="BH253" i="229"/>
  <c r="BI253" i="229"/>
  <c r="BD254" i="229"/>
  <c r="BE254" i="229"/>
  <c r="BF254" i="229"/>
  <c r="BG254" i="229"/>
  <c r="BH254" i="229"/>
  <c r="BI254" i="229"/>
  <c r="BD255" i="229"/>
  <c r="BE255" i="229"/>
  <c r="BF255" i="229"/>
  <c r="BG255" i="229"/>
  <c r="BH255" i="229"/>
  <c r="BI255" i="229"/>
  <c r="BD256" i="229"/>
  <c r="BE256" i="229"/>
  <c r="BF256" i="229"/>
  <c r="BG256" i="229"/>
  <c r="BH256" i="229"/>
  <c r="BI256" i="229"/>
  <c r="BD257" i="229"/>
  <c r="BE257" i="229"/>
  <c r="BF257" i="229"/>
  <c r="BG257" i="229"/>
  <c r="BH257" i="229"/>
  <c r="BI257" i="229"/>
  <c r="BD258" i="229"/>
  <c r="BE258" i="229"/>
  <c r="BF258" i="229"/>
  <c r="BG258" i="229"/>
  <c r="BH258" i="229"/>
  <c r="BI258" i="229"/>
  <c r="BD259" i="229"/>
  <c r="BE259" i="229"/>
  <c r="BF259" i="229"/>
  <c r="BG259" i="229"/>
  <c r="BH259" i="229"/>
  <c r="BI259" i="229"/>
  <c r="BD260" i="229"/>
  <c r="BE260" i="229"/>
  <c r="BF260" i="229"/>
  <c r="BG260" i="229"/>
  <c r="BH260" i="229"/>
  <c r="BI260" i="229"/>
  <c r="BD261" i="229"/>
  <c r="BE261" i="229"/>
  <c r="BF261" i="229"/>
  <c r="BG261" i="229"/>
  <c r="BH261" i="229"/>
  <c r="BI261" i="229"/>
  <c r="BD262" i="229"/>
  <c r="BE262" i="229"/>
  <c r="BF262" i="229"/>
  <c r="BG262" i="229"/>
  <c r="BH262" i="229"/>
  <c r="BI262" i="229"/>
  <c r="BD263" i="229"/>
  <c r="BE263" i="229"/>
  <c r="BF263" i="229"/>
  <c r="BG263" i="229"/>
  <c r="BH263" i="229"/>
  <c r="BI263" i="229"/>
  <c r="BD264" i="229"/>
  <c r="BE264" i="229"/>
  <c r="BF264" i="229"/>
  <c r="BG264" i="229"/>
  <c r="BH264" i="229"/>
  <c r="BI264" i="229"/>
  <c r="BD265" i="229"/>
  <c r="BE265" i="229"/>
  <c r="BF265" i="229"/>
  <c r="BG265" i="229"/>
  <c r="BH265" i="229"/>
  <c r="BI265" i="229"/>
  <c r="BD266" i="229"/>
  <c r="BE266" i="229"/>
  <c r="BF266" i="229"/>
  <c r="BG266" i="229"/>
  <c r="BH266" i="229"/>
  <c r="BI266" i="229"/>
  <c r="BD267" i="229"/>
  <c r="BE267" i="229"/>
  <c r="BF267" i="229"/>
  <c r="BG267" i="229"/>
  <c r="BH267" i="229"/>
  <c r="BI267" i="229"/>
  <c r="BD268" i="229"/>
  <c r="BE268" i="229"/>
  <c r="BF268" i="229"/>
  <c r="BG268" i="229"/>
  <c r="BH268" i="229"/>
  <c r="BI268" i="229"/>
  <c r="BD269" i="229"/>
  <c r="BE269" i="229"/>
  <c r="BF269" i="229"/>
  <c r="BG269" i="229"/>
  <c r="BH269" i="229"/>
  <c r="BI269" i="229"/>
  <c r="BD270" i="229"/>
  <c r="BE270" i="229"/>
  <c r="BF270" i="229"/>
  <c r="BG270" i="229"/>
  <c r="BH270" i="229"/>
  <c r="BI270" i="229"/>
  <c r="BD271" i="229"/>
  <c r="BE271" i="229"/>
  <c r="BF271" i="229"/>
  <c r="BG271" i="229"/>
  <c r="BH271" i="229"/>
  <c r="BI271" i="229"/>
  <c r="BD272" i="229"/>
  <c r="BE272" i="229"/>
  <c r="BF272" i="229"/>
  <c r="BG272" i="229"/>
  <c r="BH272" i="229"/>
  <c r="BI272" i="229"/>
  <c r="BD273" i="229"/>
  <c r="BE273" i="229"/>
  <c r="BF273" i="229"/>
  <c r="BG273" i="229"/>
  <c r="BH273" i="229"/>
  <c r="BI273" i="229"/>
  <c r="BD274" i="229"/>
  <c r="BE274" i="229"/>
  <c r="BF274" i="229"/>
  <c r="BG274" i="229"/>
  <c r="BH274" i="229"/>
  <c r="BI274" i="229"/>
  <c r="BD275" i="229"/>
  <c r="BE275" i="229"/>
  <c r="BF275" i="229"/>
  <c r="BG275" i="229"/>
  <c r="BH275" i="229"/>
  <c r="BI275" i="229"/>
  <c r="BD276" i="229"/>
  <c r="BE276" i="229"/>
  <c r="BF276" i="229"/>
  <c r="BG276" i="229"/>
  <c r="BH276" i="229"/>
  <c r="BI276" i="229"/>
  <c r="BD277" i="229"/>
  <c r="BE277" i="229"/>
  <c r="BF277" i="229"/>
  <c r="BG277" i="229"/>
  <c r="BH277" i="229"/>
  <c r="BI277" i="229"/>
  <c r="BD278" i="229"/>
  <c r="BE278" i="229"/>
  <c r="BF278" i="229"/>
  <c r="BG278" i="229"/>
  <c r="BH278" i="229"/>
  <c r="BI278" i="229"/>
  <c r="BD279" i="229"/>
  <c r="BE279" i="229"/>
  <c r="BF279" i="229"/>
  <c r="BG279" i="229"/>
  <c r="BH279" i="229"/>
  <c r="BI279" i="229"/>
  <c r="BD280" i="229"/>
  <c r="BE280" i="229"/>
  <c r="BF280" i="229"/>
  <c r="BG280" i="229"/>
  <c r="BH280" i="229"/>
  <c r="BI280" i="229"/>
  <c r="BD281" i="229"/>
  <c r="BE281" i="229"/>
  <c r="BF281" i="229"/>
  <c r="BG281" i="229"/>
  <c r="BH281" i="229"/>
  <c r="BI281" i="229"/>
  <c r="BD282" i="229"/>
  <c r="BE282" i="229"/>
  <c r="BF282" i="229"/>
  <c r="BG282" i="229"/>
  <c r="BH282" i="229"/>
  <c r="BI282" i="229"/>
  <c r="BD283" i="229"/>
  <c r="BE283" i="229"/>
  <c r="BF283" i="229"/>
  <c r="BG283" i="229"/>
  <c r="BH283" i="229"/>
  <c r="BI283" i="229"/>
  <c r="BD284" i="229"/>
  <c r="BE284" i="229"/>
  <c r="BF284" i="229"/>
  <c r="BG284" i="229"/>
  <c r="BH284" i="229"/>
  <c r="BI284" i="229"/>
  <c r="BD285" i="229"/>
  <c r="BE285" i="229"/>
  <c r="BF285" i="229"/>
  <c r="BG285" i="229"/>
  <c r="BH285" i="229"/>
  <c r="BI285" i="229"/>
  <c r="BD286" i="229"/>
  <c r="BE286" i="229"/>
  <c r="BF286" i="229"/>
  <c r="BG286" i="229"/>
  <c r="BH286" i="229"/>
  <c r="BI286" i="229"/>
  <c r="BD287" i="229"/>
  <c r="BE287" i="229"/>
  <c r="BF287" i="229"/>
  <c r="BG287" i="229"/>
  <c r="BH287" i="229"/>
  <c r="BI287" i="229"/>
  <c r="BD288" i="229"/>
  <c r="BE288" i="229"/>
  <c r="BF288" i="229"/>
  <c r="BG288" i="229"/>
  <c r="BH288" i="229"/>
  <c r="BI288" i="229"/>
  <c r="BD289" i="229"/>
  <c r="BE289" i="229"/>
  <c r="BF289" i="229"/>
  <c r="BG289" i="229"/>
  <c r="BH289" i="229"/>
  <c r="BI289" i="229"/>
  <c r="BD290" i="229"/>
  <c r="BE290" i="229"/>
  <c r="BF290" i="229"/>
  <c r="BG290" i="229"/>
  <c r="BH290" i="229"/>
  <c r="BI290" i="229"/>
  <c r="BD291" i="229"/>
  <c r="BE291" i="229"/>
  <c r="BF291" i="229"/>
  <c r="BG291" i="229"/>
  <c r="BH291" i="229"/>
  <c r="BI291" i="229"/>
  <c r="BD292" i="229"/>
  <c r="BE292" i="229"/>
  <c r="BF292" i="229"/>
  <c r="BG292" i="229"/>
  <c r="BH292" i="229"/>
  <c r="BI292" i="229"/>
  <c r="BD293" i="229"/>
  <c r="BE293" i="229"/>
  <c r="BF293" i="229"/>
  <c r="BG293" i="229"/>
  <c r="BH293" i="229"/>
  <c r="BI293" i="229"/>
  <c r="BD294" i="229"/>
  <c r="BE294" i="229"/>
  <c r="BF294" i="229"/>
  <c r="BG294" i="229"/>
  <c r="BH294" i="229"/>
  <c r="BI294" i="229"/>
  <c r="BD295" i="229"/>
  <c r="BE295" i="229"/>
  <c r="BF295" i="229"/>
  <c r="BG295" i="229"/>
  <c r="BH295" i="229"/>
  <c r="BI295" i="229"/>
  <c r="BD296" i="229"/>
  <c r="BE296" i="229"/>
  <c r="BF296" i="229"/>
  <c r="BG296" i="229"/>
  <c r="BH296" i="229"/>
  <c r="BI296" i="229"/>
  <c r="BD297" i="229"/>
  <c r="BE297" i="229"/>
  <c r="BF297" i="229"/>
  <c r="BG297" i="229"/>
  <c r="BH297" i="229"/>
  <c r="BI297" i="229"/>
  <c r="BD298" i="229"/>
  <c r="BE298" i="229"/>
  <c r="BF298" i="229"/>
  <c r="BG298" i="229"/>
  <c r="BH298" i="229"/>
  <c r="BI298" i="229"/>
  <c r="BD299" i="229"/>
  <c r="BE299" i="229"/>
  <c r="BF299" i="229"/>
  <c r="BG299" i="229"/>
  <c r="BH299" i="229"/>
  <c r="BI299" i="229"/>
  <c r="BD300" i="229"/>
  <c r="BE300" i="229"/>
  <c r="BF300" i="229"/>
  <c r="BG300" i="229"/>
  <c r="BH300" i="229"/>
  <c r="BI300" i="229"/>
  <c r="BD301" i="229"/>
  <c r="BE301" i="229"/>
  <c r="BF301" i="229"/>
  <c r="BG301" i="229"/>
  <c r="BH301" i="229"/>
  <c r="BI301" i="229"/>
  <c r="BD302" i="229"/>
  <c r="BE302" i="229"/>
  <c r="BF302" i="229"/>
  <c r="BG302" i="229"/>
  <c r="BH302" i="229"/>
  <c r="BI302" i="229"/>
  <c r="BD303" i="229"/>
  <c r="BE303" i="229"/>
  <c r="BF303" i="229"/>
  <c r="BG303" i="229"/>
  <c r="BH303" i="229"/>
  <c r="BI303" i="229"/>
  <c r="BD304" i="229"/>
  <c r="BE304" i="229"/>
  <c r="BF304" i="229"/>
  <c r="BG304" i="229"/>
  <c r="BH304" i="229"/>
  <c r="BI304" i="229"/>
  <c r="BD305" i="229"/>
  <c r="BE305" i="229"/>
  <c r="BF305" i="229"/>
  <c r="BG305" i="229"/>
  <c r="BH305" i="229"/>
  <c r="BI305" i="229"/>
  <c r="BD306" i="229"/>
  <c r="BE306" i="229"/>
  <c r="BF306" i="229"/>
  <c r="BG306" i="229"/>
  <c r="BH306" i="229"/>
  <c r="BI306" i="229"/>
  <c r="BD307" i="229"/>
  <c r="BE307" i="229"/>
  <c r="BF307" i="229"/>
  <c r="BG307" i="229"/>
  <c r="BH307" i="229"/>
  <c r="BI307" i="229"/>
  <c r="BD308" i="229"/>
  <c r="BE308" i="229"/>
  <c r="BF308" i="229"/>
  <c r="BG308" i="229"/>
  <c r="BH308" i="229"/>
  <c r="BI308" i="229"/>
  <c r="BD309" i="229"/>
  <c r="BE309" i="229"/>
  <c r="BF309" i="229"/>
  <c r="BG309" i="229"/>
  <c r="BH309" i="229"/>
  <c r="BI309" i="229"/>
  <c r="BD310" i="229"/>
  <c r="BE310" i="229"/>
  <c r="BF310" i="229"/>
  <c r="BG310" i="229"/>
  <c r="BH310" i="229"/>
  <c r="BI310" i="229"/>
  <c r="BD311" i="229"/>
  <c r="BE311" i="229"/>
  <c r="BF311" i="229"/>
  <c r="BG311" i="229"/>
  <c r="BH311" i="229"/>
  <c r="BI311" i="229"/>
  <c r="BD312" i="229"/>
  <c r="BE312" i="229"/>
  <c r="BF312" i="229"/>
  <c r="BG312" i="229"/>
  <c r="BH312" i="229"/>
  <c r="BI312" i="229"/>
  <c r="BD313" i="229"/>
  <c r="BE313" i="229"/>
  <c r="BF313" i="229"/>
  <c r="BG313" i="229"/>
  <c r="BH313" i="229"/>
  <c r="BI313" i="229"/>
  <c r="BD314" i="229"/>
  <c r="BE314" i="229"/>
  <c r="BF314" i="229"/>
  <c r="BG314" i="229"/>
  <c r="BH314" i="229"/>
  <c r="BI314" i="229"/>
  <c r="BD315" i="229"/>
  <c r="BE315" i="229"/>
  <c r="BF315" i="229"/>
  <c r="BG315" i="229"/>
  <c r="BH315" i="229"/>
  <c r="BI315" i="229"/>
  <c r="BD316" i="229"/>
  <c r="BE316" i="229"/>
  <c r="BF316" i="229"/>
  <c r="BG316" i="229"/>
  <c r="BH316" i="229"/>
  <c r="BI316" i="229"/>
  <c r="BD317" i="229"/>
  <c r="BE317" i="229"/>
  <c r="BF317" i="229"/>
  <c r="BG317" i="229"/>
  <c r="BH317" i="229"/>
  <c r="BI317" i="229"/>
  <c r="BD318" i="229"/>
  <c r="BE318" i="229"/>
  <c r="BF318" i="229"/>
  <c r="BG318" i="229"/>
  <c r="BH318" i="229"/>
  <c r="BI318" i="229"/>
  <c r="BD319" i="229"/>
  <c r="BE319" i="229"/>
  <c r="BF319" i="229"/>
  <c r="BG319" i="229"/>
  <c r="BH319" i="229"/>
  <c r="BI319" i="229"/>
  <c r="BD320" i="229"/>
  <c r="BE320" i="229"/>
  <c r="BF320" i="229"/>
  <c r="BG320" i="229"/>
  <c r="BH320" i="229"/>
  <c r="BI320" i="229"/>
  <c r="BD321" i="229"/>
  <c r="BE321" i="229"/>
  <c r="BF321" i="229"/>
  <c r="BG321" i="229"/>
  <c r="BH321" i="229"/>
  <c r="BI321" i="229"/>
  <c r="BD322" i="229"/>
  <c r="BE322" i="229"/>
  <c r="BF322" i="229"/>
  <c r="BG322" i="229"/>
  <c r="BH322" i="229"/>
  <c r="BI322" i="229"/>
  <c r="BD323" i="229"/>
  <c r="BE323" i="229"/>
  <c r="BF323" i="229"/>
  <c r="BG323" i="229"/>
  <c r="BH323" i="229"/>
  <c r="BI323" i="229"/>
  <c r="BD324" i="229"/>
  <c r="BE324" i="229"/>
  <c r="BF324" i="229"/>
  <c r="BG324" i="229"/>
  <c r="BH324" i="229"/>
  <c r="BI324" i="229"/>
  <c r="BD325" i="229"/>
  <c r="BE325" i="229"/>
  <c r="BF325" i="229"/>
  <c r="BG325" i="229"/>
  <c r="BH325" i="229"/>
  <c r="BI325" i="229"/>
  <c r="BD326" i="229"/>
  <c r="BE326" i="229"/>
  <c r="BF326" i="229"/>
  <c r="BG326" i="229"/>
  <c r="BH326" i="229"/>
  <c r="BI326" i="229"/>
  <c r="BD327" i="229"/>
  <c r="BE327" i="229"/>
  <c r="BF327" i="229"/>
  <c r="BG327" i="229"/>
  <c r="BH327" i="229"/>
  <c r="BI327" i="229"/>
  <c r="BD328" i="229"/>
  <c r="BE328" i="229"/>
  <c r="BF328" i="229"/>
  <c r="BG328" i="229"/>
  <c r="BH328" i="229"/>
  <c r="BI328" i="229"/>
  <c r="BD329" i="229"/>
  <c r="BE329" i="229"/>
  <c r="BF329" i="229"/>
  <c r="BG329" i="229"/>
  <c r="BH329" i="229"/>
  <c r="BI329" i="229"/>
  <c r="BD330" i="229"/>
  <c r="BE330" i="229"/>
  <c r="BF330" i="229"/>
  <c r="BG330" i="229"/>
  <c r="BH330" i="229"/>
  <c r="BI330" i="229"/>
  <c r="BD331" i="229"/>
  <c r="BE331" i="229"/>
  <c r="BF331" i="229"/>
  <c r="BG331" i="229"/>
  <c r="BH331" i="229"/>
  <c r="BI331" i="229"/>
  <c r="BD332" i="229"/>
  <c r="BE332" i="229"/>
  <c r="BF332" i="229"/>
  <c r="BG332" i="229"/>
  <c r="BH332" i="229"/>
  <c r="BI332" i="229"/>
  <c r="BD333" i="229"/>
  <c r="BE333" i="229"/>
  <c r="BF333" i="229"/>
  <c r="BG333" i="229"/>
  <c r="BH333" i="229"/>
  <c r="BI333" i="229"/>
  <c r="BD334" i="229"/>
  <c r="BE334" i="229"/>
  <c r="BF334" i="229"/>
  <c r="BG334" i="229"/>
  <c r="BH334" i="229"/>
  <c r="BI334" i="229"/>
  <c r="BD335" i="229"/>
  <c r="BE335" i="229"/>
  <c r="BF335" i="229"/>
  <c r="BG335" i="229"/>
  <c r="BH335" i="229"/>
  <c r="BI335" i="229"/>
  <c r="BD336" i="229"/>
  <c r="BE336" i="229"/>
  <c r="BF336" i="229"/>
  <c r="BG336" i="229"/>
  <c r="BH336" i="229"/>
  <c r="BI336" i="229"/>
  <c r="BD337" i="229"/>
  <c r="BE337" i="229"/>
  <c r="BF337" i="229"/>
  <c r="BG337" i="229"/>
  <c r="BH337" i="229"/>
  <c r="BI337" i="229"/>
  <c r="BD338" i="229"/>
  <c r="BE338" i="229"/>
  <c r="BF338" i="229"/>
  <c r="BG338" i="229"/>
  <c r="BH338" i="229"/>
  <c r="BI338" i="229"/>
  <c r="BD339" i="229"/>
  <c r="BE339" i="229"/>
  <c r="BF339" i="229"/>
  <c r="BG339" i="229"/>
  <c r="BH339" i="229"/>
  <c r="BI339" i="229"/>
  <c r="BD340" i="229"/>
  <c r="BE340" i="229"/>
  <c r="BF340" i="229"/>
  <c r="BG340" i="229"/>
  <c r="BH340" i="229"/>
  <c r="BI340" i="229"/>
  <c r="BD341" i="229"/>
  <c r="BE341" i="229"/>
  <c r="BF341" i="229"/>
  <c r="BG341" i="229"/>
  <c r="BH341" i="229"/>
  <c r="BI341" i="229"/>
  <c r="BD342" i="229"/>
  <c r="BE342" i="229"/>
  <c r="BF342" i="229"/>
  <c r="BG342" i="229"/>
  <c r="BH342" i="229"/>
  <c r="BI342" i="229"/>
  <c r="BD343" i="229"/>
  <c r="BE343" i="229"/>
  <c r="BF343" i="229"/>
  <c r="BG343" i="229"/>
  <c r="BH343" i="229"/>
  <c r="BI343" i="229"/>
  <c r="BD344" i="229"/>
  <c r="BE344" i="229"/>
  <c r="BF344" i="229"/>
  <c r="BG344" i="229"/>
  <c r="BH344" i="229"/>
  <c r="BI344" i="229"/>
  <c r="BD345" i="229"/>
  <c r="BE345" i="229"/>
  <c r="BF345" i="229"/>
  <c r="BG345" i="229"/>
  <c r="BH345" i="229"/>
  <c r="BI345" i="229"/>
  <c r="BD346" i="229"/>
  <c r="BE346" i="229"/>
  <c r="BF346" i="229"/>
  <c r="BG346" i="229"/>
  <c r="BH346" i="229"/>
  <c r="BI346" i="229"/>
  <c r="BD347" i="229"/>
  <c r="BE347" i="229"/>
  <c r="BF347" i="229"/>
  <c r="BG347" i="229"/>
  <c r="BH347" i="229"/>
  <c r="BI347" i="229"/>
  <c r="BD348" i="229"/>
  <c r="BE348" i="229"/>
  <c r="BF348" i="229"/>
  <c r="BG348" i="229"/>
  <c r="BH348" i="229"/>
  <c r="BI348" i="229"/>
  <c r="BD349" i="229"/>
  <c r="BE349" i="229"/>
  <c r="BF349" i="229"/>
  <c r="BG349" i="229"/>
  <c r="BH349" i="229"/>
  <c r="BI349" i="229"/>
  <c r="BD350" i="229"/>
  <c r="BE350" i="229"/>
  <c r="BF350" i="229"/>
  <c r="BG350" i="229"/>
  <c r="BH350" i="229"/>
  <c r="BI350" i="229"/>
  <c r="BD351" i="229"/>
  <c r="BE351" i="229"/>
  <c r="BF351" i="229"/>
  <c r="BG351" i="229"/>
  <c r="BH351" i="229"/>
  <c r="BI351" i="229"/>
  <c r="BD352" i="229"/>
  <c r="BE352" i="229"/>
  <c r="BF352" i="229"/>
  <c r="BG352" i="229"/>
  <c r="BH352" i="229"/>
  <c r="BI352" i="229"/>
  <c r="BD353" i="229"/>
  <c r="BE353" i="229"/>
  <c r="BF353" i="229"/>
  <c r="BG353" i="229"/>
  <c r="BH353" i="229"/>
  <c r="BI353" i="229"/>
  <c r="BD354" i="229"/>
  <c r="BE354" i="229"/>
  <c r="BF354" i="229"/>
  <c r="BG354" i="229"/>
  <c r="BH354" i="229"/>
  <c r="BI354" i="229"/>
  <c r="BD355" i="229"/>
  <c r="BE355" i="229"/>
  <c r="BF355" i="229"/>
  <c r="BG355" i="229"/>
  <c r="BH355" i="229"/>
  <c r="BI355" i="229"/>
  <c r="BD356" i="229"/>
  <c r="BE356" i="229"/>
  <c r="BF356" i="229"/>
  <c r="BG356" i="229"/>
  <c r="BH356" i="229"/>
  <c r="BI356" i="229"/>
  <c r="BD357" i="229"/>
  <c r="BE357" i="229"/>
  <c r="BF357" i="229"/>
  <c r="BG357" i="229"/>
  <c r="BH357" i="229"/>
  <c r="BI357" i="229"/>
  <c r="BD358" i="229"/>
  <c r="BE358" i="229"/>
  <c r="BF358" i="229"/>
  <c r="BG358" i="229"/>
  <c r="BH358" i="229"/>
  <c r="BI358" i="229"/>
  <c r="BD359" i="229"/>
  <c r="BE359" i="229"/>
  <c r="BF359" i="229"/>
  <c r="BG359" i="229"/>
  <c r="BH359" i="229"/>
  <c r="BI359" i="229"/>
  <c r="BD360" i="229"/>
  <c r="BE360" i="229"/>
  <c r="BF360" i="229"/>
  <c r="BG360" i="229"/>
  <c r="BH360" i="229"/>
  <c r="BI360" i="229"/>
  <c r="BD361" i="229"/>
  <c r="BE361" i="229"/>
  <c r="BF361" i="229"/>
  <c r="BG361" i="229"/>
  <c r="BH361" i="229"/>
  <c r="BI361" i="229"/>
  <c r="BD362" i="229"/>
  <c r="BE362" i="229"/>
  <c r="BF362" i="229"/>
  <c r="BG362" i="229"/>
  <c r="BH362" i="229"/>
  <c r="BI362" i="229"/>
  <c r="BD363" i="229"/>
  <c r="BE363" i="229"/>
  <c r="BF363" i="229"/>
  <c r="BG363" i="229"/>
  <c r="BH363" i="229"/>
  <c r="BI363" i="229"/>
  <c r="BD364" i="229"/>
  <c r="BE364" i="229"/>
  <c r="BF364" i="229"/>
  <c r="BG364" i="229"/>
  <c r="BH364" i="229"/>
  <c r="BI364" i="229"/>
  <c r="BD365" i="229"/>
  <c r="BE365" i="229"/>
  <c r="BF365" i="229"/>
  <c r="BG365" i="229"/>
  <c r="BH365" i="229"/>
  <c r="BI365" i="229"/>
  <c r="BD366" i="229"/>
  <c r="BE366" i="229"/>
  <c r="BF366" i="229"/>
  <c r="BG366" i="229"/>
  <c r="BH366" i="229"/>
  <c r="BI366" i="229"/>
  <c r="BD367" i="229"/>
  <c r="BE367" i="229"/>
  <c r="BF367" i="229"/>
  <c r="BG367" i="229"/>
  <c r="BH367" i="229"/>
  <c r="BI367" i="229"/>
  <c r="BD368" i="229"/>
  <c r="BE368" i="229"/>
  <c r="BF368" i="229"/>
  <c r="BG368" i="229"/>
  <c r="BH368" i="229"/>
  <c r="BI368" i="229"/>
  <c r="BD369" i="229"/>
  <c r="BE369" i="229"/>
  <c r="BF369" i="229"/>
  <c r="BG369" i="229"/>
  <c r="BH369" i="229"/>
  <c r="BI369" i="229"/>
  <c r="BD370" i="229"/>
  <c r="BE370" i="229"/>
  <c r="BF370" i="229"/>
  <c r="BG370" i="229"/>
  <c r="BH370" i="229"/>
  <c r="BI370" i="229"/>
  <c r="BD371" i="229"/>
  <c r="BE371" i="229"/>
  <c r="BF371" i="229"/>
  <c r="BG371" i="229"/>
  <c r="BH371" i="229"/>
  <c r="BI371" i="229"/>
  <c r="BD372" i="229"/>
  <c r="BE372" i="229"/>
  <c r="BF372" i="229"/>
  <c r="BG372" i="229"/>
  <c r="BH372" i="229"/>
  <c r="BI372" i="229"/>
  <c r="BD373" i="229"/>
  <c r="BE373" i="229"/>
  <c r="BF373" i="229"/>
  <c r="BG373" i="229"/>
  <c r="BH373" i="229"/>
  <c r="BI373" i="229"/>
  <c r="BD374" i="229"/>
  <c r="BE374" i="229"/>
  <c r="BF374" i="229"/>
  <c r="BG374" i="229"/>
  <c r="BH374" i="229"/>
  <c r="BI374" i="229"/>
  <c r="BD375" i="229"/>
  <c r="BE375" i="229"/>
  <c r="BF375" i="229"/>
  <c r="BG375" i="229"/>
  <c r="BH375" i="229"/>
  <c r="BI375" i="229"/>
  <c r="BD376" i="229"/>
  <c r="BE376" i="229"/>
  <c r="BF376" i="229"/>
  <c r="BG376" i="229"/>
  <c r="BH376" i="229"/>
  <c r="BI376" i="229"/>
  <c r="BD377" i="229"/>
  <c r="BE377" i="229"/>
  <c r="BF377" i="229"/>
  <c r="BG377" i="229"/>
  <c r="BH377" i="229"/>
  <c r="BI377" i="229"/>
  <c r="BD378" i="229"/>
  <c r="BE378" i="229"/>
  <c r="BF378" i="229"/>
  <c r="BG378" i="229"/>
  <c r="BH378" i="229"/>
  <c r="BI378" i="229"/>
  <c r="BD379" i="229"/>
  <c r="BE379" i="229"/>
  <c r="BF379" i="229"/>
  <c r="BG379" i="229"/>
  <c r="BH379" i="229"/>
  <c r="BI379" i="229"/>
  <c r="BD380" i="229"/>
  <c r="BE380" i="229"/>
  <c r="BF380" i="229"/>
  <c r="BG380" i="229"/>
  <c r="BH380" i="229"/>
  <c r="BI380" i="229"/>
  <c r="BD381" i="229"/>
  <c r="BE381" i="229"/>
  <c r="BF381" i="229"/>
  <c r="BG381" i="229"/>
  <c r="BH381" i="229"/>
  <c r="BI381" i="229"/>
  <c r="BD382" i="229"/>
  <c r="BE382" i="229"/>
  <c r="BF382" i="229"/>
  <c r="BG382" i="229"/>
  <c r="BH382" i="229"/>
  <c r="BI382" i="229"/>
  <c r="BD383" i="229"/>
  <c r="BE383" i="229"/>
  <c r="BF383" i="229"/>
  <c r="BG383" i="229"/>
  <c r="BH383" i="229"/>
  <c r="BI383" i="229"/>
  <c r="BD384" i="229"/>
  <c r="BE384" i="229"/>
  <c r="BF384" i="229"/>
  <c r="BG384" i="229"/>
  <c r="BH384" i="229"/>
  <c r="BI384" i="229"/>
  <c r="BD385" i="229"/>
  <c r="BE385" i="229"/>
  <c r="BF385" i="229"/>
  <c r="BG385" i="229"/>
  <c r="BH385" i="229"/>
  <c r="BI385" i="229"/>
  <c r="BD386" i="229"/>
  <c r="BE386" i="229"/>
  <c r="BF386" i="229"/>
  <c r="BG386" i="229"/>
  <c r="BH386" i="229"/>
  <c r="BI386" i="229"/>
  <c r="BD387" i="229"/>
  <c r="BE387" i="229"/>
  <c r="BF387" i="229"/>
  <c r="BG387" i="229"/>
  <c r="BH387" i="229"/>
  <c r="BI387" i="229"/>
  <c r="BD388" i="229"/>
  <c r="BE388" i="229"/>
  <c r="BF388" i="229"/>
  <c r="BG388" i="229"/>
  <c r="BH388" i="229"/>
  <c r="BI388" i="229"/>
  <c r="BD389" i="229"/>
  <c r="BE389" i="229"/>
  <c r="BF389" i="229"/>
  <c r="BG389" i="229"/>
  <c r="BH389" i="229"/>
  <c r="BI389" i="229"/>
  <c r="BD390" i="229"/>
  <c r="BE390" i="229"/>
  <c r="BF390" i="229"/>
  <c r="BG390" i="229"/>
  <c r="BH390" i="229"/>
  <c r="BI390" i="229"/>
  <c r="BD391" i="229"/>
  <c r="BE391" i="229"/>
  <c r="BF391" i="229"/>
  <c r="BG391" i="229"/>
  <c r="BH391" i="229"/>
  <c r="BI391" i="229"/>
  <c r="BD392" i="229"/>
  <c r="BE392" i="229"/>
  <c r="BF392" i="229"/>
  <c r="BG392" i="229"/>
  <c r="BH392" i="229"/>
  <c r="BI392" i="229"/>
  <c r="BD393" i="229"/>
  <c r="BE393" i="229"/>
  <c r="BF393" i="229"/>
  <c r="BG393" i="229"/>
  <c r="BH393" i="229"/>
  <c r="BI393" i="229"/>
  <c r="BD394" i="229"/>
  <c r="BE394" i="229"/>
  <c r="BF394" i="229"/>
  <c r="BG394" i="229"/>
  <c r="BH394" i="229"/>
  <c r="BI394" i="229"/>
  <c r="BD395" i="229"/>
  <c r="BE395" i="229"/>
  <c r="BF395" i="229"/>
  <c r="BG395" i="229"/>
  <c r="BH395" i="229"/>
  <c r="BI395" i="229"/>
  <c r="BD396" i="229"/>
  <c r="BE396" i="229"/>
  <c r="BF396" i="229"/>
  <c r="BG396" i="229"/>
  <c r="BH396" i="229"/>
  <c r="BI396" i="229"/>
  <c r="BD397" i="229"/>
  <c r="BE397" i="229"/>
  <c r="BF397" i="229"/>
  <c r="BG397" i="229"/>
  <c r="BH397" i="229"/>
  <c r="BI397" i="229"/>
  <c r="BD398" i="229"/>
  <c r="BE398" i="229"/>
  <c r="BF398" i="229"/>
  <c r="BG398" i="229"/>
  <c r="BH398" i="229"/>
  <c r="BI398" i="229"/>
  <c r="BD399" i="229"/>
  <c r="BE399" i="229"/>
  <c r="BF399" i="229"/>
  <c r="BG399" i="229"/>
  <c r="BH399" i="229"/>
  <c r="BI399" i="229"/>
  <c r="BD400" i="229"/>
  <c r="BE400" i="229"/>
  <c r="BF400" i="229"/>
  <c r="BG400" i="229"/>
  <c r="BH400" i="229"/>
  <c r="BI400" i="229"/>
  <c r="BD401" i="229"/>
  <c r="BE401" i="229"/>
  <c r="BF401" i="229"/>
  <c r="BG401" i="229"/>
  <c r="BH401" i="229"/>
  <c r="BI401" i="229"/>
  <c r="BD402" i="229"/>
  <c r="BE402" i="229"/>
  <c r="BF402" i="229"/>
  <c r="BG402" i="229"/>
  <c r="BH402" i="229"/>
  <c r="BI402" i="229"/>
  <c r="BD403" i="229"/>
  <c r="BE403" i="229"/>
  <c r="BF403" i="229"/>
  <c r="BG403" i="229"/>
  <c r="BH403" i="229"/>
  <c r="BI403" i="229"/>
  <c r="BD404" i="229"/>
  <c r="BE404" i="229"/>
  <c r="BF404" i="229"/>
  <c r="BG404" i="229"/>
  <c r="BH404" i="229"/>
  <c r="BI404" i="229"/>
  <c r="BD405" i="229"/>
  <c r="BE405" i="229"/>
  <c r="BF405" i="229"/>
  <c r="BG405" i="229"/>
  <c r="BH405" i="229"/>
  <c r="BI405" i="229"/>
  <c r="BD406" i="229"/>
  <c r="BE406" i="229"/>
  <c r="BF406" i="229"/>
  <c r="BG406" i="229"/>
  <c r="BH406" i="229"/>
  <c r="BI406" i="229"/>
  <c r="BD407" i="229"/>
  <c r="BE407" i="229"/>
  <c r="BF407" i="229"/>
  <c r="BG407" i="229"/>
  <c r="BH407" i="229"/>
  <c r="BI407" i="229"/>
  <c r="BD408" i="229"/>
  <c r="BE408" i="229"/>
  <c r="BF408" i="229"/>
  <c r="BG408" i="229"/>
  <c r="BH408" i="229"/>
  <c r="BI408" i="229"/>
  <c r="BD409" i="229"/>
  <c r="BE409" i="229"/>
  <c r="BF409" i="229"/>
  <c r="BG409" i="229"/>
  <c r="BH409" i="229"/>
  <c r="BI409" i="229"/>
  <c r="BD410" i="229"/>
  <c r="BE410" i="229"/>
  <c r="BF410" i="229"/>
  <c r="BG410" i="229"/>
  <c r="BH410" i="229"/>
  <c r="BI410" i="229"/>
  <c r="BD411" i="229"/>
  <c r="BE411" i="229"/>
  <c r="BF411" i="229"/>
  <c r="BG411" i="229"/>
  <c r="BH411" i="229"/>
  <c r="BI411" i="229"/>
  <c r="BD412" i="229"/>
  <c r="BE412" i="229"/>
  <c r="BF412" i="229"/>
  <c r="BG412" i="229"/>
  <c r="BH412" i="229"/>
  <c r="BI412" i="229"/>
  <c r="BD413" i="229"/>
  <c r="BE413" i="229"/>
  <c r="BF413" i="229"/>
  <c r="BG413" i="229"/>
  <c r="BH413" i="229"/>
  <c r="BI413" i="229"/>
  <c r="BD414" i="229"/>
  <c r="BE414" i="229"/>
  <c r="BF414" i="229"/>
  <c r="BG414" i="229"/>
  <c r="BH414" i="229"/>
  <c r="BI414" i="229"/>
  <c r="BD415" i="229"/>
  <c r="BE415" i="229"/>
  <c r="BF415" i="229"/>
  <c r="BG415" i="229"/>
  <c r="BH415" i="229"/>
  <c r="BI415" i="229"/>
  <c r="BD416" i="229"/>
  <c r="BE416" i="229"/>
  <c r="BF416" i="229"/>
  <c r="BG416" i="229"/>
  <c r="BH416" i="229"/>
  <c r="BI416" i="229"/>
  <c r="BD417" i="229"/>
  <c r="BE417" i="229"/>
  <c r="BF417" i="229"/>
  <c r="BG417" i="229"/>
  <c r="BH417" i="229"/>
  <c r="BI417" i="229"/>
  <c r="BD418" i="229"/>
  <c r="BE418" i="229"/>
  <c r="BF418" i="229"/>
  <c r="BG418" i="229"/>
  <c r="BH418" i="229"/>
  <c r="BI418" i="229"/>
  <c r="BD419" i="229"/>
  <c r="BE419" i="229"/>
  <c r="BF419" i="229"/>
  <c r="BG419" i="229"/>
  <c r="BH419" i="229"/>
  <c r="BI419" i="229"/>
  <c r="BD420" i="229"/>
  <c r="BE420" i="229"/>
  <c r="BF420" i="229"/>
  <c r="BG420" i="229"/>
  <c r="BH420" i="229"/>
  <c r="BI420" i="229"/>
  <c r="BD421" i="229"/>
  <c r="BE421" i="229"/>
  <c r="BF421" i="229"/>
  <c r="BG421" i="229"/>
  <c r="BH421" i="229"/>
  <c r="BI421" i="229"/>
  <c r="BD422" i="229"/>
  <c r="BE422" i="229"/>
  <c r="BF422" i="229"/>
  <c r="BG422" i="229"/>
  <c r="BH422" i="229"/>
  <c r="BI422" i="229"/>
  <c r="BD423" i="229"/>
  <c r="BE423" i="229"/>
  <c r="BF423" i="229"/>
  <c r="BG423" i="229"/>
  <c r="BH423" i="229"/>
  <c r="BI423" i="229"/>
  <c r="BD424" i="229"/>
  <c r="BE424" i="229"/>
  <c r="BF424" i="229"/>
  <c r="BG424" i="229"/>
  <c r="BH424" i="229"/>
  <c r="BI424" i="229"/>
  <c r="BD425" i="229"/>
  <c r="BE425" i="229"/>
  <c r="BF425" i="229"/>
  <c r="BG425" i="229"/>
  <c r="BH425" i="229"/>
  <c r="BI425" i="229"/>
  <c r="BD426" i="229"/>
  <c r="BE426" i="229"/>
  <c r="BF426" i="229"/>
  <c r="BG426" i="229"/>
  <c r="BH426" i="229"/>
  <c r="BI426" i="229"/>
  <c r="BD427" i="229"/>
  <c r="BE427" i="229"/>
  <c r="BF427" i="229"/>
  <c r="BG427" i="229"/>
  <c r="BH427" i="229"/>
  <c r="BI427" i="229"/>
  <c r="BD428" i="229"/>
  <c r="BE428" i="229"/>
  <c r="BF428" i="229"/>
  <c r="BG428" i="229"/>
  <c r="BH428" i="229"/>
  <c r="BI428" i="229"/>
  <c r="BD429" i="229"/>
  <c r="BE429" i="229"/>
  <c r="BF429" i="229"/>
  <c r="BG429" i="229"/>
  <c r="BH429" i="229"/>
  <c r="BI429" i="229"/>
  <c r="BD430" i="229"/>
  <c r="BE430" i="229"/>
  <c r="BF430" i="229"/>
  <c r="BG430" i="229"/>
  <c r="BH430" i="229"/>
  <c r="BI430" i="229"/>
  <c r="BD431" i="229"/>
  <c r="BE431" i="229"/>
  <c r="BF431" i="229"/>
  <c r="BG431" i="229"/>
  <c r="BH431" i="229"/>
  <c r="BI431" i="229"/>
  <c r="BD432" i="229"/>
  <c r="BE432" i="229"/>
  <c r="BF432" i="229"/>
  <c r="BG432" i="229"/>
  <c r="BH432" i="229"/>
  <c r="BI432" i="229"/>
  <c r="BD433" i="229"/>
  <c r="BE433" i="229"/>
  <c r="BF433" i="229"/>
  <c r="BG433" i="229"/>
  <c r="BH433" i="229"/>
  <c r="BI433" i="229"/>
  <c r="BD434" i="229"/>
  <c r="BE434" i="229"/>
  <c r="BF434" i="229"/>
  <c r="BG434" i="229"/>
  <c r="BH434" i="229"/>
  <c r="BI434" i="229"/>
  <c r="BD435" i="229"/>
  <c r="BE435" i="229"/>
  <c r="BF435" i="229"/>
  <c r="BG435" i="229"/>
  <c r="BH435" i="229"/>
  <c r="BI435" i="229"/>
  <c r="BD436" i="229"/>
  <c r="BE436" i="229"/>
  <c r="BF436" i="229"/>
  <c r="BG436" i="229"/>
  <c r="BH436" i="229"/>
  <c r="BI436" i="229"/>
  <c r="BD437" i="229"/>
  <c r="BE437" i="229"/>
  <c r="BF437" i="229"/>
  <c r="BG437" i="229"/>
  <c r="BH437" i="229"/>
  <c r="BI437" i="229"/>
  <c r="BD438" i="229"/>
  <c r="BE438" i="229"/>
  <c r="BF438" i="229"/>
  <c r="BG438" i="229"/>
  <c r="BH438" i="229"/>
  <c r="BI438" i="229"/>
  <c r="BD439" i="229"/>
  <c r="BE439" i="229"/>
  <c r="BF439" i="229"/>
  <c r="BG439" i="229"/>
  <c r="BH439" i="229"/>
  <c r="BI439" i="229"/>
  <c r="BD440" i="229"/>
  <c r="BE440" i="229"/>
  <c r="BF440" i="229"/>
  <c r="BG440" i="229"/>
  <c r="BH440" i="229"/>
  <c r="BI440" i="229"/>
  <c r="BD441" i="229"/>
  <c r="BE441" i="229"/>
  <c r="BF441" i="229"/>
  <c r="BG441" i="229"/>
  <c r="BH441" i="229"/>
  <c r="BI441" i="229"/>
  <c r="BD442" i="229"/>
  <c r="BE442" i="229"/>
  <c r="BF442" i="229"/>
  <c r="BG442" i="229"/>
  <c r="BH442" i="229"/>
  <c r="BI442" i="229"/>
  <c r="BD443" i="229"/>
  <c r="BE443" i="229"/>
  <c r="BF443" i="229"/>
  <c r="BG443" i="229"/>
  <c r="BH443" i="229"/>
  <c r="BI443" i="229"/>
  <c r="BD444" i="229"/>
  <c r="BE444" i="229"/>
  <c r="BF444" i="229"/>
  <c r="BG444" i="229"/>
  <c r="BH444" i="229"/>
  <c r="BI444" i="229"/>
  <c r="BD445" i="229"/>
  <c r="BE445" i="229"/>
  <c r="BF445" i="229"/>
  <c r="BG445" i="229"/>
  <c r="BH445" i="229"/>
  <c r="BI445" i="229"/>
  <c r="BD446" i="229"/>
  <c r="BE446" i="229"/>
  <c r="BF446" i="229"/>
  <c r="BG446" i="229"/>
  <c r="BH446" i="229"/>
  <c r="BI446" i="229"/>
  <c r="BD447" i="229"/>
  <c r="BE447" i="229"/>
  <c r="BF447" i="229"/>
  <c r="BG447" i="229"/>
  <c r="BH447" i="229"/>
  <c r="BI447" i="229"/>
  <c r="BD448" i="229"/>
  <c r="BE448" i="229"/>
  <c r="BF448" i="229"/>
  <c r="BG448" i="229"/>
  <c r="BH448" i="229"/>
  <c r="BI448" i="229"/>
  <c r="BD449" i="229"/>
  <c r="BE449" i="229"/>
  <c r="BF449" i="229"/>
  <c r="BG449" i="229"/>
  <c r="BH449" i="229"/>
  <c r="BI449" i="229"/>
  <c r="BD450" i="229"/>
  <c r="BE450" i="229"/>
  <c r="BF450" i="229"/>
  <c r="BG450" i="229"/>
  <c r="BH450" i="229"/>
  <c r="BI450" i="229"/>
  <c r="BD451" i="229"/>
  <c r="BE451" i="229"/>
  <c r="BF451" i="229"/>
  <c r="BG451" i="229"/>
  <c r="BH451" i="229"/>
  <c r="BI451" i="229"/>
  <c r="BD452" i="229"/>
  <c r="BE452" i="229"/>
  <c r="BF452" i="229"/>
  <c r="BG452" i="229"/>
  <c r="BH452" i="229"/>
  <c r="BI452" i="229"/>
  <c r="BD453" i="229"/>
  <c r="BE453" i="229"/>
  <c r="BF453" i="229"/>
  <c r="BG453" i="229"/>
  <c r="BH453" i="229"/>
  <c r="BI453" i="229"/>
  <c r="BD454" i="229"/>
  <c r="BE454" i="229"/>
  <c r="BF454" i="229"/>
  <c r="BG454" i="229"/>
  <c r="BH454" i="229"/>
  <c r="BI454" i="229"/>
  <c r="BD455" i="229"/>
  <c r="BE455" i="229"/>
  <c r="BF455" i="229"/>
  <c r="BG455" i="229"/>
  <c r="BH455" i="229"/>
  <c r="BI455" i="229"/>
  <c r="BD456" i="229"/>
  <c r="BE456" i="229"/>
  <c r="BF456" i="229"/>
  <c r="BG456" i="229"/>
  <c r="BH456" i="229"/>
  <c r="BI456" i="229"/>
  <c r="BD457" i="229"/>
  <c r="BE457" i="229"/>
  <c r="BF457" i="229"/>
  <c r="BG457" i="229"/>
  <c r="BH457" i="229"/>
  <c r="BI457" i="229"/>
  <c r="BD458" i="229"/>
  <c r="BE458" i="229"/>
  <c r="BF458" i="229"/>
  <c r="BG458" i="229"/>
  <c r="BH458" i="229"/>
  <c r="BI458" i="229"/>
  <c r="BD459" i="229"/>
  <c r="BE459" i="229"/>
  <c r="BF459" i="229"/>
  <c r="BG459" i="229"/>
  <c r="BH459" i="229"/>
  <c r="BI459" i="229"/>
  <c r="BD460" i="229"/>
  <c r="BE460" i="229"/>
  <c r="BF460" i="229"/>
  <c r="BG460" i="229"/>
  <c r="BH460" i="229"/>
  <c r="BI460" i="229"/>
  <c r="BD461" i="229"/>
  <c r="BE461" i="229"/>
  <c r="BF461" i="229"/>
  <c r="BG461" i="229"/>
  <c r="BH461" i="229"/>
  <c r="BI461" i="229"/>
  <c r="BD462" i="229"/>
  <c r="BE462" i="229"/>
  <c r="BF462" i="229"/>
  <c r="BG462" i="229"/>
  <c r="BH462" i="229"/>
  <c r="BI462" i="229"/>
  <c r="BD463" i="229"/>
  <c r="BE463" i="229"/>
  <c r="BF463" i="229"/>
  <c r="BG463" i="229"/>
  <c r="BH463" i="229"/>
  <c r="BI463" i="229"/>
  <c r="BD464" i="229"/>
  <c r="BE464" i="229"/>
  <c r="BF464" i="229"/>
  <c r="BG464" i="229"/>
  <c r="BH464" i="229"/>
  <c r="BI464" i="229"/>
  <c r="BD465" i="229"/>
  <c r="BE465" i="229"/>
  <c r="BF465" i="229"/>
  <c r="BG465" i="229"/>
  <c r="BH465" i="229"/>
  <c r="BI465" i="229"/>
  <c r="BD466" i="229"/>
  <c r="BE466" i="229"/>
  <c r="BF466" i="229"/>
  <c r="BG466" i="229"/>
  <c r="BH466" i="229"/>
  <c r="BI466" i="229"/>
  <c r="BD467" i="229"/>
  <c r="BE467" i="229"/>
  <c r="BF467" i="229"/>
  <c r="BG467" i="229"/>
  <c r="BH467" i="229"/>
  <c r="BI467" i="229"/>
  <c r="BD468" i="229"/>
  <c r="BE468" i="229"/>
  <c r="BF468" i="229"/>
  <c r="BG468" i="229"/>
  <c r="BH468" i="229"/>
  <c r="BI468" i="229"/>
  <c r="BD469" i="229"/>
  <c r="BE469" i="229"/>
  <c r="BF469" i="229"/>
  <c r="BG469" i="229"/>
  <c r="BH469" i="229"/>
  <c r="BI469" i="229"/>
  <c r="BD470" i="229"/>
  <c r="BE470" i="229"/>
  <c r="BF470" i="229"/>
  <c r="BG470" i="229"/>
  <c r="BH470" i="229"/>
  <c r="BI470" i="229"/>
  <c r="BD471" i="229"/>
  <c r="BE471" i="229"/>
  <c r="BF471" i="229"/>
  <c r="BG471" i="229"/>
  <c r="BH471" i="229"/>
  <c r="BI471" i="229"/>
  <c r="BD472" i="229"/>
  <c r="BE472" i="229"/>
  <c r="BF472" i="229"/>
  <c r="BG472" i="229"/>
  <c r="BH472" i="229"/>
  <c r="BI472" i="229"/>
  <c r="BD473" i="229"/>
  <c r="BE473" i="229"/>
  <c r="BF473" i="229"/>
  <c r="BG473" i="229"/>
  <c r="BH473" i="229"/>
  <c r="BI473" i="229"/>
  <c r="BD474" i="229"/>
  <c r="BE474" i="229"/>
  <c r="BF474" i="229"/>
  <c r="BG474" i="229"/>
  <c r="BH474" i="229"/>
  <c r="BI474" i="229"/>
  <c r="BD475" i="229"/>
  <c r="BE475" i="229"/>
  <c r="BF475" i="229"/>
  <c r="BG475" i="229"/>
  <c r="BH475" i="229"/>
  <c r="BI475" i="229"/>
  <c r="BD476" i="229"/>
  <c r="BE476" i="229"/>
  <c r="BF476" i="229"/>
  <c r="BG476" i="229"/>
  <c r="BH476" i="229"/>
  <c r="BI476" i="229"/>
  <c r="BD477" i="229"/>
  <c r="BE477" i="229"/>
  <c r="BF477" i="229"/>
  <c r="BG477" i="229"/>
  <c r="BH477" i="229"/>
  <c r="BI477" i="229"/>
  <c r="BD478" i="229"/>
  <c r="BE478" i="229"/>
  <c r="BF478" i="229"/>
  <c r="BG478" i="229"/>
  <c r="BH478" i="229"/>
  <c r="BI478" i="229"/>
  <c r="BD479" i="229"/>
  <c r="BE479" i="229"/>
  <c r="BF479" i="229"/>
  <c r="BG479" i="229"/>
  <c r="BH479" i="229"/>
  <c r="BI479" i="229"/>
  <c r="BD480" i="229"/>
  <c r="BE480" i="229"/>
  <c r="BF480" i="229"/>
  <c r="BG480" i="229"/>
  <c r="BH480" i="229"/>
  <c r="BI480" i="229"/>
  <c r="BD481" i="229"/>
  <c r="BE481" i="229"/>
  <c r="BF481" i="229"/>
  <c r="BG481" i="229"/>
  <c r="BH481" i="229"/>
  <c r="BI481" i="229"/>
  <c r="BD482" i="229"/>
  <c r="BE482" i="229"/>
  <c r="BF482" i="229"/>
  <c r="BG482" i="229"/>
  <c r="BH482" i="229"/>
  <c r="BI482" i="229"/>
  <c r="BD483" i="229"/>
  <c r="BE483" i="229"/>
  <c r="BF483" i="229"/>
  <c r="BG483" i="229"/>
  <c r="BH483" i="229"/>
  <c r="BI483" i="229"/>
  <c r="BD484" i="229"/>
  <c r="BE484" i="229"/>
  <c r="BF484" i="229"/>
  <c r="BG484" i="229"/>
  <c r="BH484" i="229"/>
  <c r="BI484" i="229"/>
  <c r="BD485" i="229"/>
  <c r="BE485" i="229"/>
  <c r="BF485" i="229"/>
  <c r="BG485" i="229"/>
  <c r="BH485" i="229"/>
  <c r="BI485" i="229"/>
  <c r="BD486" i="229"/>
  <c r="BE486" i="229"/>
  <c r="BF486" i="229"/>
  <c r="BG486" i="229"/>
  <c r="BH486" i="229"/>
  <c r="BI486" i="229"/>
  <c r="BD487" i="229"/>
  <c r="BE487" i="229"/>
  <c r="BF487" i="229"/>
  <c r="BG487" i="229"/>
  <c r="BH487" i="229"/>
  <c r="BI487" i="229"/>
  <c r="BD488" i="229"/>
  <c r="BE488" i="229"/>
  <c r="BF488" i="229"/>
  <c r="BG488" i="229"/>
  <c r="BH488" i="229"/>
  <c r="BI488" i="229"/>
  <c r="BD489" i="229"/>
  <c r="BE489" i="229"/>
  <c r="BF489" i="229"/>
  <c r="BG489" i="229"/>
  <c r="BH489" i="229"/>
  <c r="BI489" i="229"/>
  <c r="BD490" i="229"/>
  <c r="BE490" i="229"/>
  <c r="BF490" i="229"/>
  <c r="BG490" i="229"/>
  <c r="BH490" i="229"/>
  <c r="BI490" i="229"/>
  <c r="BD491" i="229"/>
  <c r="BE491" i="229"/>
  <c r="BF491" i="229"/>
  <c r="BG491" i="229"/>
  <c r="BH491" i="229"/>
  <c r="BI491" i="229"/>
  <c r="BD492" i="229"/>
  <c r="BE492" i="229"/>
  <c r="BF492" i="229"/>
  <c r="BG492" i="229"/>
  <c r="BH492" i="229"/>
  <c r="BI492" i="229"/>
  <c r="BD493" i="229"/>
  <c r="BE493" i="229"/>
  <c r="BF493" i="229"/>
  <c r="BG493" i="229"/>
  <c r="BH493" i="229"/>
  <c r="BI493" i="229"/>
  <c r="BD494" i="229"/>
  <c r="BE494" i="229"/>
  <c r="BF494" i="229"/>
  <c r="BG494" i="229"/>
  <c r="BH494" i="229"/>
  <c r="BI494" i="229"/>
  <c r="BD495" i="229"/>
  <c r="BE495" i="229"/>
  <c r="BF495" i="229"/>
  <c r="BG495" i="229"/>
  <c r="BH495" i="229"/>
  <c r="BI495" i="229"/>
  <c r="BD496" i="229"/>
  <c r="BE496" i="229"/>
  <c r="BF496" i="229"/>
  <c r="BG496" i="229"/>
  <c r="BH496" i="229"/>
  <c r="BI496" i="229"/>
  <c r="BD497" i="229"/>
  <c r="BE497" i="229"/>
  <c r="BF497" i="229"/>
  <c r="BG497" i="229"/>
  <c r="BH497" i="229"/>
  <c r="BI497" i="229"/>
  <c r="BD498" i="229"/>
  <c r="BE498" i="229"/>
  <c r="BF498" i="229"/>
  <c r="BG498" i="229"/>
  <c r="BH498" i="229"/>
  <c r="BI498" i="229"/>
  <c r="BD499" i="229"/>
  <c r="BE499" i="229"/>
  <c r="BF499" i="229"/>
  <c r="BG499" i="229"/>
  <c r="BH499" i="229"/>
  <c r="BI499" i="229"/>
  <c r="BD500" i="229"/>
  <c r="BE500" i="229"/>
  <c r="BF500" i="229"/>
  <c r="BG500" i="229"/>
  <c r="BH500" i="229"/>
  <c r="BI500" i="229"/>
  <c r="BD501" i="229"/>
  <c r="BE501" i="229"/>
  <c r="BF501" i="229"/>
  <c r="BG501" i="229"/>
  <c r="BH501" i="229"/>
  <c r="BI501" i="229"/>
  <c r="BD502" i="229"/>
  <c r="BE502" i="229"/>
  <c r="BF502" i="229"/>
  <c r="BG502" i="229"/>
  <c r="BH502" i="229"/>
  <c r="BI502" i="229"/>
  <c r="BD503" i="229"/>
  <c r="BE503" i="229"/>
  <c r="BF503" i="229"/>
  <c r="BG503" i="229"/>
  <c r="BH503" i="229"/>
  <c r="BI503" i="229"/>
  <c r="BD504" i="229"/>
  <c r="BE504" i="229"/>
  <c r="BF504" i="229"/>
  <c r="BG504" i="229"/>
  <c r="BH504" i="229"/>
  <c r="BI504" i="229"/>
  <c r="BD505" i="229"/>
  <c r="BE505" i="229"/>
  <c r="BF505" i="229"/>
  <c r="BG505" i="229"/>
  <c r="BH505" i="229"/>
  <c r="BI505" i="229"/>
  <c r="BD506" i="229"/>
  <c r="BE506" i="229"/>
  <c r="BF506" i="229"/>
  <c r="BG506" i="229"/>
  <c r="BH506" i="229"/>
  <c r="BI506" i="229"/>
  <c r="BD507" i="229"/>
  <c r="BE507" i="229"/>
  <c r="BF507" i="229"/>
  <c r="BG507" i="229"/>
  <c r="BH507" i="229"/>
  <c r="BI507" i="229"/>
  <c r="BD508" i="229"/>
  <c r="BE508" i="229"/>
  <c r="BF508" i="229"/>
  <c r="BG508" i="229"/>
  <c r="BH508" i="229"/>
  <c r="BI508" i="229"/>
  <c r="BD509" i="229"/>
  <c r="BE509" i="229"/>
  <c r="BF509" i="229"/>
  <c r="BG509" i="229"/>
  <c r="BH509" i="229"/>
  <c r="BI509" i="229"/>
  <c r="BD510" i="229"/>
  <c r="BE510" i="229"/>
  <c r="BF510" i="229"/>
  <c r="BG510" i="229"/>
  <c r="BH510" i="229"/>
  <c r="BI510" i="229"/>
  <c r="BD511" i="229"/>
  <c r="BE511" i="229"/>
  <c r="BF511" i="229"/>
  <c r="BG511" i="229"/>
  <c r="BH511" i="229"/>
  <c r="BI511" i="229"/>
  <c r="BD512" i="229"/>
  <c r="BE512" i="229"/>
  <c r="BF512" i="229"/>
  <c r="BG512" i="229"/>
  <c r="BH512" i="229"/>
  <c r="BI512" i="229"/>
  <c r="BD513" i="229"/>
  <c r="BE513" i="229"/>
  <c r="BF513" i="229"/>
  <c r="BG513" i="229"/>
  <c r="BH513" i="229"/>
  <c r="BI513" i="229"/>
  <c r="BD514" i="229"/>
  <c r="BE514" i="229"/>
  <c r="BF514" i="229"/>
  <c r="BG514" i="229"/>
  <c r="BH514" i="229"/>
  <c r="BI514" i="229"/>
  <c r="BD515" i="229"/>
  <c r="BE515" i="229"/>
  <c r="BF515" i="229"/>
  <c r="BG515" i="229"/>
  <c r="BH515" i="229"/>
  <c r="BI515" i="229"/>
  <c r="BD516" i="229"/>
  <c r="BE516" i="229"/>
  <c r="BF516" i="229"/>
  <c r="BG516" i="229"/>
  <c r="BH516" i="229"/>
  <c r="BI516" i="229"/>
  <c r="BD517" i="229"/>
  <c r="BE517" i="229"/>
  <c r="BF517" i="229"/>
  <c r="BG517" i="229"/>
  <c r="BH517" i="229"/>
  <c r="BI517" i="229"/>
  <c r="BD518" i="229"/>
  <c r="BE518" i="229"/>
  <c r="BF518" i="229"/>
  <c r="BG518" i="229"/>
  <c r="BH518" i="229"/>
  <c r="BI518" i="229"/>
  <c r="BD519" i="229"/>
  <c r="BE519" i="229"/>
  <c r="BF519" i="229"/>
  <c r="BG519" i="229"/>
  <c r="BH519" i="229"/>
  <c r="BI519" i="229"/>
  <c r="BD520" i="229"/>
  <c r="BE520" i="229"/>
  <c r="BF520" i="229"/>
  <c r="BG520" i="229"/>
  <c r="BH520" i="229"/>
  <c r="BI520" i="229"/>
  <c r="BD521" i="229"/>
  <c r="BE521" i="229"/>
  <c r="BF521" i="229"/>
  <c r="BG521" i="229"/>
  <c r="BH521" i="229"/>
  <c r="BI521" i="229"/>
  <c r="BD522" i="229"/>
  <c r="BE522" i="229"/>
  <c r="BF522" i="229"/>
  <c r="BG522" i="229"/>
  <c r="BH522" i="229"/>
  <c r="BI522" i="229"/>
  <c r="BD523" i="229"/>
  <c r="BE523" i="229"/>
  <c r="BF523" i="229"/>
  <c r="BG523" i="229"/>
  <c r="BH523" i="229"/>
  <c r="BI523" i="229"/>
  <c r="BD524" i="229"/>
  <c r="BE524" i="229"/>
  <c r="BF524" i="229"/>
  <c r="BG524" i="229"/>
  <c r="BH524" i="229"/>
  <c r="BI524" i="229"/>
  <c r="BD525" i="229"/>
  <c r="BE525" i="229"/>
  <c r="BF525" i="229"/>
  <c r="BG525" i="229"/>
  <c r="BH525" i="229"/>
  <c r="BI525" i="229"/>
  <c r="BD526" i="229"/>
  <c r="BE526" i="229"/>
  <c r="BF526" i="229"/>
  <c r="BG526" i="229"/>
  <c r="BH526" i="229"/>
  <c r="BI526" i="229"/>
  <c r="BD527" i="229"/>
  <c r="BE527" i="229"/>
  <c r="BF527" i="229"/>
  <c r="BG527" i="229"/>
  <c r="BH527" i="229"/>
  <c r="BI527" i="229"/>
  <c r="BD528" i="229"/>
  <c r="BE528" i="229"/>
  <c r="BF528" i="229"/>
  <c r="BG528" i="229"/>
  <c r="BH528" i="229"/>
  <c r="BI528" i="229"/>
  <c r="BD529" i="229"/>
  <c r="BE529" i="229"/>
  <c r="BF529" i="229"/>
  <c r="BG529" i="229"/>
  <c r="BH529" i="229"/>
  <c r="BI529" i="229"/>
  <c r="BD530" i="229"/>
  <c r="BE530" i="229"/>
  <c r="BF530" i="229"/>
  <c r="BG530" i="229"/>
  <c r="BH530" i="229"/>
  <c r="BI530" i="229"/>
  <c r="BD531" i="229"/>
  <c r="BE531" i="229"/>
  <c r="BF531" i="229"/>
  <c r="BG531" i="229"/>
  <c r="BH531" i="229"/>
  <c r="BI531" i="229"/>
  <c r="BD532" i="229"/>
  <c r="BE532" i="229"/>
  <c r="BF532" i="229"/>
  <c r="BG532" i="229"/>
  <c r="BH532" i="229"/>
  <c r="BI532" i="229"/>
  <c r="BD533" i="229"/>
  <c r="BE533" i="229"/>
  <c r="BF533" i="229"/>
  <c r="BG533" i="229"/>
  <c r="BH533" i="229"/>
  <c r="BI533" i="229"/>
  <c r="BD534" i="229"/>
  <c r="BE534" i="229"/>
  <c r="BF534" i="229"/>
  <c r="BG534" i="229"/>
  <c r="BH534" i="229"/>
  <c r="BI534" i="229"/>
  <c r="BD535" i="229"/>
  <c r="BE535" i="229"/>
  <c r="BF535" i="229"/>
  <c r="BG535" i="229"/>
  <c r="BH535" i="229"/>
  <c r="BI535" i="229"/>
  <c r="BD536" i="229"/>
  <c r="BE536" i="229"/>
  <c r="BF536" i="229"/>
  <c r="BG536" i="229"/>
  <c r="BH536" i="229"/>
  <c r="BI536" i="229"/>
  <c r="BD537" i="229"/>
  <c r="BE537" i="229"/>
  <c r="BF537" i="229"/>
  <c r="BG537" i="229"/>
  <c r="BH537" i="229"/>
  <c r="BI537" i="229"/>
  <c r="BD538" i="229"/>
  <c r="BE538" i="229"/>
  <c r="BF538" i="229"/>
  <c r="BG538" i="229"/>
  <c r="BH538" i="229"/>
  <c r="BI538" i="229"/>
  <c r="BD539" i="229"/>
  <c r="BE539" i="229"/>
  <c r="BF539" i="229"/>
  <c r="BG539" i="229"/>
  <c r="BH539" i="229"/>
  <c r="BI539" i="229"/>
  <c r="BD540" i="229"/>
  <c r="BE540" i="229"/>
  <c r="BF540" i="229"/>
  <c r="BG540" i="229"/>
  <c r="BH540" i="229"/>
  <c r="BI540" i="229"/>
  <c r="BD541" i="229"/>
  <c r="BE541" i="229"/>
  <c r="BF541" i="229"/>
  <c r="BG541" i="229"/>
  <c r="BH541" i="229"/>
  <c r="BI541" i="229"/>
  <c r="BD542" i="229"/>
  <c r="BE542" i="229"/>
  <c r="BF542" i="229"/>
  <c r="BG542" i="229"/>
  <c r="BH542" i="229"/>
  <c r="BI542" i="229"/>
  <c r="BD543" i="229"/>
  <c r="BE543" i="229"/>
  <c r="BF543" i="229"/>
  <c r="BG543" i="229"/>
  <c r="BH543" i="229"/>
  <c r="BI543" i="229"/>
  <c r="BD544" i="229"/>
  <c r="BE544" i="229"/>
  <c r="BF544" i="229"/>
  <c r="BG544" i="229"/>
  <c r="BH544" i="229"/>
  <c r="BI544" i="229"/>
  <c r="BD545" i="229"/>
  <c r="BE545" i="229"/>
  <c r="BF545" i="229"/>
  <c r="BG545" i="229"/>
  <c r="BH545" i="229"/>
  <c r="BI545" i="229"/>
  <c r="BD546" i="229"/>
  <c r="BE546" i="229"/>
  <c r="BF546" i="229"/>
  <c r="BG546" i="229"/>
  <c r="BH546" i="229"/>
  <c r="BI546" i="229"/>
  <c r="BD547" i="229"/>
  <c r="BE547" i="229"/>
  <c r="BF547" i="229"/>
  <c r="BG547" i="229"/>
  <c r="BH547" i="229"/>
  <c r="BI547" i="229"/>
  <c r="BD548" i="229"/>
  <c r="BE548" i="229"/>
  <c r="BF548" i="229"/>
  <c r="BG548" i="229"/>
  <c r="BH548" i="229"/>
  <c r="BI548" i="229"/>
  <c r="BD549" i="229"/>
  <c r="BE549" i="229"/>
  <c r="BF549" i="229"/>
  <c r="BG549" i="229"/>
  <c r="BH549" i="229"/>
  <c r="BI549" i="229"/>
  <c r="BD550" i="229"/>
  <c r="BE550" i="229"/>
  <c r="BF550" i="229"/>
  <c r="BG550" i="229"/>
  <c r="BH550" i="229"/>
  <c r="BI550" i="229"/>
  <c r="BD551" i="229"/>
  <c r="BE551" i="229"/>
  <c r="BF551" i="229"/>
  <c r="BG551" i="229"/>
  <c r="BH551" i="229"/>
  <c r="BI551" i="229"/>
  <c r="BD552" i="229"/>
  <c r="BE552" i="229"/>
  <c r="BF552" i="229"/>
  <c r="BG552" i="229"/>
  <c r="BH552" i="229"/>
  <c r="BI552" i="229"/>
  <c r="BD553" i="229"/>
  <c r="BE553" i="229"/>
  <c r="BF553" i="229"/>
  <c r="BG553" i="229"/>
  <c r="BH553" i="229"/>
  <c r="BI553" i="229"/>
  <c r="BD554" i="229"/>
  <c r="BE554" i="229"/>
  <c r="BF554" i="229"/>
  <c r="BG554" i="229"/>
  <c r="BH554" i="229"/>
  <c r="BI554" i="229"/>
  <c r="BD555" i="229"/>
  <c r="BE555" i="229"/>
  <c r="BF555" i="229"/>
  <c r="BG555" i="229"/>
  <c r="BH555" i="229"/>
  <c r="BI555" i="229"/>
  <c r="BD556" i="229"/>
  <c r="BE556" i="229"/>
  <c r="BF556" i="229"/>
  <c r="BG556" i="229"/>
  <c r="BH556" i="229"/>
  <c r="BI556" i="229"/>
  <c r="BD557" i="229"/>
  <c r="BE557" i="229"/>
  <c r="BF557" i="229"/>
  <c r="BG557" i="229"/>
  <c r="BH557" i="229"/>
  <c r="BI557" i="229"/>
  <c r="BD558" i="229"/>
  <c r="BE558" i="229"/>
  <c r="BF558" i="229"/>
  <c r="BG558" i="229"/>
  <c r="BH558" i="229"/>
  <c r="BI558" i="229"/>
  <c r="BD559" i="229"/>
  <c r="BE559" i="229"/>
  <c r="BF559" i="229"/>
  <c r="BG559" i="229"/>
  <c r="BH559" i="229"/>
  <c r="BI559" i="229"/>
  <c r="BD560" i="229"/>
  <c r="BE560" i="229"/>
  <c r="BF560" i="229"/>
  <c r="BG560" i="229"/>
  <c r="BH560" i="229"/>
  <c r="BI560" i="229"/>
  <c r="BD561" i="229"/>
  <c r="BE561" i="229"/>
  <c r="BF561" i="229"/>
  <c r="BG561" i="229"/>
  <c r="BH561" i="229"/>
  <c r="BI561" i="229"/>
  <c r="BD562" i="229"/>
  <c r="BE562" i="229"/>
  <c r="BF562" i="229"/>
  <c r="BG562" i="229"/>
  <c r="BH562" i="229"/>
  <c r="BI562" i="229"/>
  <c r="BD563" i="229"/>
  <c r="BE563" i="229"/>
  <c r="BF563" i="229"/>
  <c r="BG563" i="229"/>
  <c r="BH563" i="229"/>
  <c r="BI563" i="229"/>
  <c r="BD564" i="229"/>
  <c r="BE564" i="229"/>
  <c r="BF564" i="229"/>
  <c r="BG564" i="229"/>
  <c r="BH564" i="229"/>
  <c r="BI564" i="229"/>
  <c r="BD565" i="229"/>
  <c r="BE565" i="229"/>
  <c r="BF565" i="229"/>
  <c r="BG565" i="229"/>
  <c r="BH565" i="229"/>
  <c r="BI565" i="229"/>
  <c r="BD566" i="229"/>
  <c r="BE566" i="229"/>
  <c r="BF566" i="229"/>
  <c r="BG566" i="229"/>
  <c r="BH566" i="229"/>
  <c r="BI566" i="229"/>
  <c r="BD567" i="229"/>
  <c r="BE567" i="229"/>
  <c r="BF567" i="229"/>
  <c r="BG567" i="229"/>
  <c r="BH567" i="229"/>
  <c r="BI567" i="229"/>
  <c r="BD568" i="229"/>
  <c r="BE568" i="229"/>
  <c r="BF568" i="229"/>
  <c r="BG568" i="229"/>
  <c r="BH568" i="229"/>
  <c r="BI568" i="229"/>
  <c r="BD569" i="229"/>
  <c r="BE569" i="229"/>
  <c r="BF569" i="229"/>
  <c r="BG569" i="229"/>
  <c r="BH569" i="229"/>
  <c r="BI569" i="229"/>
  <c r="BD570" i="229"/>
  <c r="BE570" i="229"/>
  <c r="BF570" i="229"/>
  <c r="BG570" i="229"/>
  <c r="BH570" i="229"/>
  <c r="BI570" i="229"/>
  <c r="BD571" i="229"/>
  <c r="BE571" i="229"/>
  <c r="BF571" i="229"/>
  <c r="BG571" i="229"/>
  <c r="BH571" i="229"/>
  <c r="BI571" i="229"/>
  <c r="BD572" i="229"/>
  <c r="BE572" i="229"/>
  <c r="BF572" i="229"/>
  <c r="BG572" i="229"/>
  <c r="BH572" i="229"/>
  <c r="BI572" i="229"/>
  <c r="BD573" i="229"/>
  <c r="BE573" i="229"/>
  <c r="BF573" i="229"/>
  <c r="BG573" i="229"/>
  <c r="BH573" i="229"/>
  <c r="BI573" i="229"/>
  <c r="BD574" i="229"/>
  <c r="BE574" i="229"/>
  <c r="BF574" i="229"/>
  <c r="BG574" i="229"/>
  <c r="BH574" i="229"/>
  <c r="BI574" i="229"/>
  <c r="BD575" i="229"/>
  <c r="BE575" i="229"/>
  <c r="BF575" i="229"/>
  <c r="BG575" i="229"/>
  <c r="BH575" i="229"/>
  <c r="BI575" i="229"/>
  <c r="BD576" i="229"/>
  <c r="BE576" i="229"/>
  <c r="BF576" i="229"/>
  <c r="BG576" i="229"/>
  <c r="BH576" i="229"/>
  <c r="BI576" i="229"/>
  <c r="BD577" i="229"/>
  <c r="BE577" i="229"/>
  <c r="BF577" i="229"/>
  <c r="BG577" i="229"/>
  <c r="BH577" i="229"/>
  <c r="BI577" i="229"/>
  <c r="BD578" i="229"/>
  <c r="BE578" i="229"/>
  <c r="BF578" i="229"/>
  <c r="BG578" i="229"/>
  <c r="BH578" i="229"/>
  <c r="BI578" i="229"/>
  <c r="BD579" i="229"/>
  <c r="BE579" i="229"/>
  <c r="BF579" i="229"/>
  <c r="BG579" i="229"/>
  <c r="BH579" i="229"/>
  <c r="BI579" i="229"/>
  <c r="BD580" i="229"/>
  <c r="BE580" i="229"/>
  <c r="BF580" i="229"/>
  <c r="BG580" i="229"/>
  <c r="BH580" i="229"/>
  <c r="BI580" i="229"/>
  <c r="BD581" i="229"/>
  <c r="BE581" i="229"/>
  <c r="BF581" i="229"/>
  <c r="BG581" i="229"/>
  <c r="BH581" i="229"/>
  <c r="BI581" i="229"/>
  <c r="BD582" i="229"/>
  <c r="BE582" i="229"/>
  <c r="BF582" i="229"/>
  <c r="BG582" i="229"/>
  <c r="BH582" i="229"/>
  <c r="BI582" i="229"/>
  <c r="BD583" i="229"/>
  <c r="BE583" i="229"/>
  <c r="BF583" i="229"/>
  <c r="BG583" i="229"/>
  <c r="BH583" i="229"/>
  <c r="BI583" i="229"/>
  <c r="BD584" i="229"/>
  <c r="BE584" i="229"/>
  <c r="BF584" i="229"/>
  <c r="BG584" i="229"/>
  <c r="BH584" i="229"/>
  <c r="BI584" i="229"/>
  <c r="BD585" i="229"/>
  <c r="BE585" i="229"/>
  <c r="BF585" i="229"/>
  <c r="BG585" i="229"/>
  <c r="BH585" i="229"/>
  <c r="BI585" i="229"/>
  <c r="BD586" i="229"/>
  <c r="BE586" i="229"/>
  <c r="BF586" i="229"/>
  <c r="BG586" i="229"/>
  <c r="BH586" i="229"/>
  <c r="BI586" i="229"/>
  <c r="BD587" i="229"/>
  <c r="BE587" i="229"/>
  <c r="BF587" i="229"/>
  <c r="BG587" i="229"/>
  <c r="BH587" i="229"/>
  <c r="BI587" i="229"/>
  <c r="BD588" i="229"/>
  <c r="BE588" i="229"/>
  <c r="BF588" i="229"/>
  <c r="BG588" i="229"/>
  <c r="BH588" i="229"/>
  <c r="BI588" i="229"/>
  <c r="BD589" i="229"/>
  <c r="BE589" i="229"/>
  <c r="BF589" i="229"/>
  <c r="BG589" i="229"/>
  <c r="BH589" i="229"/>
  <c r="BI589" i="229"/>
  <c r="BD590" i="229"/>
  <c r="BE590" i="229"/>
  <c r="BF590" i="229"/>
  <c r="BG590" i="229"/>
  <c r="BH590" i="229"/>
  <c r="BI590" i="229"/>
  <c r="BD591" i="229"/>
  <c r="BE591" i="229"/>
  <c r="BF591" i="229"/>
  <c r="BG591" i="229"/>
  <c r="BH591" i="229"/>
  <c r="BI591" i="229"/>
  <c r="BD592" i="229"/>
  <c r="BE592" i="229"/>
  <c r="BF592" i="229"/>
  <c r="BG592" i="229"/>
  <c r="BH592" i="229"/>
  <c r="BI592" i="229"/>
  <c r="BD593" i="229"/>
  <c r="BE593" i="229"/>
  <c r="BF593" i="229"/>
  <c r="BG593" i="229"/>
  <c r="BH593" i="229"/>
  <c r="BI593" i="229"/>
  <c r="BD594" i="229"/>
  <c r="BE594" i="229"/>
  <c r="BF594" i="229"/>
  <c r="BG594" i="229"/>
  <c r="BH594" i="229"/>
  <c r="BI594" i="229"/>
  <c r="BD595" i="229"/>
  <c r="BE595" i="229"/>
  <c r="BF595" i="229"/>
  <c r="BG595" i="229"/>
  <c r="BH595" i="229"/>
  <c r="BI595" i="229"/>
  <c r="BD596" i="229"/>
  <c r="BE596" i="229"/>
  <c r="BF596" i="229"/>
  <c r="BG596" i="229"/>
  <c r="BH596" i="229"/>
  <c r="BI596" i="229"/>
  <c r="BD597" i="229"/>
  <c r="BE597" i="229"/>
  <c r="BF597" i="229"/>
  <c r="BG597" i="229"/>
  <c r="BH597" i="229"/>
  <c r="BI597" i="229"/>
  <c r="BD598" i="229"/>
  <c r="BE598" i="229"/>
  <c r="BF598" i="229"/>
  <c r="BG598" i="229"/>
  <c r="BH598" i="229"/>
  <c r="BI598" i="229"/>
  <c r="BD599" i="229"/>
  <c r="BE599" i="229"/>
  <c r="BF599" i="229"/>
  <c r="BG599" i="229"/>
  <c r="BH599" i="229"/>
  <c r="BI599" i="229"/>
  <c r="BD600" i="229"/>
  <c r="BE600" i="229"/>
  <c r="BF600" i="229"/>
  <c r="BG600" i="229"/>
  <c r="BH600" i="229"/>
  <c r="BI600" i="229"/>
  <c r="BD601" i="229"/>
  <c r="BE601" i="229"/>
  <c r="BF601" i="229"/>
  <c r="BG601" i="229"/>
  <c r="BH601" i="229"/>
  <c r="BI601" i="229"/>
  <c r="BD602" i="229"/>
  <c r="BE602" i="229"/>
  <c r="BF602" i="229"/>
  <c r="BG602" i="229"/>
  <c r="BH602" i="229"/>
  <c r="BI602" i="229"/>
  <c r="BD603" i="229"/>
  <c r="BE603" i="229"/>
  <c r="BF603" i="229"/>
  <c r="BG603" i="229"/>
  <c r="BH603" i="229"/>
  <c r="BI603" i="229"/>
  <c r="BD604" i="229"/>
  <c r="BE604" i="229"/>
  <c r="BF604" i="229"/>
  <c r="BG604" i="229"/>
  <c r="BH604" i="229"/>
  <c r="BI604" i="229"/>
  <c r="BD605" i="229"/>
  <c r="BE605" i="229"/>
  <c r="BF605" i="229"/>
  <c r="BG605" i="229"/>
  <c r="BH605" i="229"/>
  <c r="BI605" i="229"/>
  <c r="BD606" i="229"/>
  <c r="BE606" i="229"/>
  <c r="BF606" i="229"/>
  <c r="BG606" i="229"/>
  <c r="BH606" i="229"/>
  <c r="BI606" i="229"/>
  <c r="BD607" i="229"/>
  <c r="BE607" i="229"/>
  <c r="BF607" i="229"/>
  <c r="BG607" i="229"/>
  <c r="BH607" i="229"/>
  <c r="BI607" i="229"/>
  <c r="BD608" i="229"/>
  <c r="BE608" i="229"/>
  <c r="BF608" i="229"/>
  <c r="BG608" i="229"/>
  <c r="BH608" i="229"/>
  <c r="BI608" i="229"/>
  <c r="BD609" i="229"/>
  <c r="BE609" i="229"/>
  <c r="BF609" i="229"/>
  <c r="BG609" i="229"/>
  <c r="BH609" i="229"/>
  <c r="BI609" i="229"/>
  <c r="BD610" i="229"/>
  <c r="BE610" i="229"/>
  <c r="BF610" i="229"/>
  <c r="BG610" i="229"/>
  <c r="BH610" i="229"/>
  <c r="BI610" i="229"/>
  <c r="BD611" i="229"/>
  <c r="BE611" i="229"/>
  <c r="BF611" i="229"/>
  <c r="BG611" i="229"/>
  <c r="BH611" i="229"/>
  <c r="BI611" i="229"/>
  <c r="BD612" i="229"/>
  <c r="BE612" i="229"/>
  <c r="BF612" i="229"/>
  <c r="BG612" i="229"/>
  <c r="BH612" i="229"/>
  <c r="BI612" i="229"/>
  <c r="BD613" i="229"/>
  <c r="BE613" i="229"/>
  <c r="BF613" i="229"/>
  <c r="BG613" i="229"/>
  <c r="BH613" i="229"/>
  <c r="BI613" i="229"/>
  <c r="BD614" i="229"/>
  <c r="BE614" i="229"/>
  <c r="BF614" i="229"/>
  <c r="BG614" i="229"/>
  <c r="BH614" i="229"/>
  <c r="BI614" i="229"/>
  <c r="BD615" i="229"/>
  <c r="BE615" i="229"/>
  <c r="BF615" i="229"/>
  <c r="BG615" i="229"/>
  <c r="BH615" i="229"/>
  <c r="BI615" i="229"/>
  <c r="BD616" i="229"/>
  <c r="BE616" i="229"/>
  <c r="BF616" i="229"/>
  <c r="BG616" i="229"/>
  <c r="BH616" i="229"/>
  <c r="BI616" i="229"/>
  <c r="BD617" i="229"/>
  <c r="BE617" i="229"/>
  <c r="BF617" i="229"/>
  <c r="BG617" i="229"/>
  <c r="BH617" i="229"/>
  <c r="BI617" i="229"/>
  <c r="BD618" i="229"/>
  <c r="BE618" i="229"/>
  <c r="BF618" i="229"/>
  <c r="BG618" i="229"/>
  <c r="BH618" i="229"/>
  <c r="BI618" i="229"/>
  <c r="BD619" i="229"/>
  <c r="BE619" i="229"/>
  <c r="BF619" i="229"/>
  <c r="BG619" i="229"/>
  <c r="BH619" i="229"/>
  <c r="BI619" i="229"/>
  <c r="BD620" i="229"/>
  <c r="BE620" i="229"/>
  <c r="BF620" i="229"/>
  <c r="BG620" i="229"/>
  <c r="BH620" i="229"/>
  <c r="BI620" i="229"/>
  <c r="BD621" i="229"/>
  <c r="BE621" i="229"/>
  <c r="BF621" i="229"/>
  <c r="BG621" i="229"/>
  <c r="BH621" i="229"/>
  <c r="BI621" i="229"/>
  <c r="BD622" i="229"/>
  <c r="BE622" i="229"/>
  <c r="BF622" i="229"/>
  <c r="BG622" i="229"/>
  <c r="BH622" i="229"/>
  <c r="BI622" i="229"/>
  <c r="BD623" i="229"/>
  <c r="BE623" i="229"/>
  <c r="BF623" i="229"/>
  <c r="BG623" i="229"/>
  <c r="BH623" i="229"/>
  <c r="BI623" i="229"/>
  <c r="BD624" i="229"/>
  <c r="BE624" i="229"/>
  <c r="BF624" i="229"/>
  <c r="BG624" i="229"/>
  <c r="BH624" i="229"/>
  <c r="BI624" i="229"/>
  <c r="BD625" i="229"/>
  <c r="BE625" i="229"/>
  <c r="BF625" i="229"/>
  <c r="BG625" i="229"/>
  <c r="BH625" i="229"/>
  <c r="BI625" i="229"/>
  <c r="BD626" i="229"/>
  <c r="BE626" i="229"/>
  <c r="BF626" i="229"/>
  <c r="BG626" i="229"/>
  <c r="BH626" i="229"/>
  <c r="BI626" i="229"/>
  <c r="BD627" i="229"/>
  <c r="BE627" i="229"/>
  <c r="BF627" i="229"/>
  <c r="BG627" i="229"/>
  <c r="BH627" i="229"/>
  <c r="BI627" i="229"/>
  <c r="BD628" i="229"/>
  <c r="BE628" i="229"/>
  <c r="BF628" i="229"/>
  <c r="BG628" i="229"/>
  <c r="BH628" i="229"/>
  <c r="BI628" i="229"/>
  <c r="BD629" i="229"/>
  <c r="BE629" i="229"/>
  <c r="BF629" i="229"/>
  <c r="BG629" i="229"/>
  <c r="BH629" i="229"/>
  <c r="BI629" i="229"/>
  <c r="BD630" i="229"/>
  <c r="BE630" i="229"/>
  <c r="BF630" i="229"/>
  <c r="BG630" i="229"/>
  <c r="BH630" i="229"/>
  <c r="BI630" i="229"/>
  <c r="BD631" i="229"/>
  <c r="BE631" i="229"/>
  <c r="BF631" i="229"/>
  <c r="BG631" i="229"/>
  <c r="BH631" i="229"/>
  <c r="BI631" i="229"/>
  <c r="BD632" i="229"/>
  <c r="BE632" i="229"/>
  <c r="BF632" i="229"/>
  <c r="BG632" i="229"/>
  <c r="BH632" i="229"/>
  <c r="BI632" i="229"/>
  <c r="BD633" i="229"/>
  <c r="BE633" i="229"/>
  <c r="BF633" i="229"/>
  <c r="BG633" i="229"/>
  <c r="BH633" i="229"/>
  <c r="BI633" i="229"/>
  <c r="BD634" i="229"/>
  <c r="BE634" i="229"/>
  <c r="BF634" i="229"/>
  <c r="BG634" i="229"/>
  <c r="BH634" i="229"/>
  <c r="BI634" i="229"/>
  <c r="BD635" i="229"/>
  <c r="BE635" i="229"/>
  <c r="BF635" i="229"/>
  <c r="BG635" i="229"/>
  <c r="BH635" i="229"/>
  <c r="BI635" i="229"/>
  <c r="BD636" i="229"/>
  <c r="BE636" i="229"/>
  <c r="BF636" i="229"/>
  <c r="BG636" i="229"/>
  <c r="BH636" i="229"/>
  <c r="BI636" i="229"/>
  <c r="BD637" i="229"/>
  <c r="BE637" i="229"/>
  <c r="BF637" i="229"/>
  <c r="BG637" i="229"/>
  <c r="BH637" i="229"/>
  <c r="BI637" i="229"/>
  <c r="BD638" i="229"/>
  <c r="BE638" i="229"/>
  <c r="BF638" i="229"/>
  <c r="BG638" i="229"/>
  <c r="BH638" i="229"/>
  <c r="BI638" i="229"/>
  <c r="BD639" i="229"/>
  <c r="BE639" i="229"/>
  <c r="BF639" i="229"/>
  <c r="BG639" i="229"/>
  <c r="BH639" i="229"/>
  <c r="BI639" i="229"/>
  <c r="BD640" i="229"/>
  <c r="BE640" i="229"/>
  <c r="BF640" i="229"/>
  <c r="BG640" i="229"/>
  <c r="BH640" i="229"/>
  <c r="BI640" i="229"/>
  <c r="BD641" i="229"/>
  <c r="BE641" i="229"/>
  <c r="BF641" i="229"/>
  <c r="BG641" i="229"/>
  <c r="BH641" i="229"/>
  <c r="BI641" i="229"/>
  <c r="BD642" i="229"/>
  <c r="BE642" i="229"/>
  <c r="BF642" i="229"/>
  <c r="BG642" i="229"/>
  <c r="BH642" i="229"/>
  <c r="BI642" i="229"/>
  <c r="BD643" i="229"/>
  <c r="BE643" i="229"/>
  <c r="BF643" i="229"/>
  <c r="BG643" i="229"/>
  <c r="BH643" i="229"/>
  <c r="BI643" i="229"/>
  <c r="BD644" i="229"/>
  <c r="BE644" i="229"/>
  <c r="BF644" i="229"/>
  <c r="BG644" i="229"/>
  <c r="BH644" i="229"/>
  <c r="BI644" i="229"/>
  <c r="BD645" i="229"/>
  <c r="BE645" i="229"/>
  <c r="BF645" i="229"/>
  <c r="BG645" i="229"/>
  <c r="BH645" i="229"/>
  <c r="BI645" i="229"/>
  <c r="BD646" i="229"/>
  <c r="BE646" i="229"/>
  <c r="BF646" i="229"/>
  <c r="BG646" i="229"/>
  <c r="BH646" i="229"/>
  <c r="BI646" i="229"/>
  <c r="BD647" i="229"/>
  <c r="BE647" i="229"/>
  <c r="BF647" i="229"/>
  <c r="BG647" i="229"/>
  <c r="BH647" i="229"/>
  <c r="BI647" i="229"/>
  <c r="BD648" i="229"/>
  <c r="BE648" i="229"/>
  <c r="BF648" i="229"/>
  <c r="BG648" i="229"/>
  <c r="BH648" i="229"/>
  <c r="BI648" i="229"/>
  <c r="BD649" i="229"/>
  <c r="BE649" i="229"/>
  <c r="BF649" i="229"/>
  <c r="BG649" i="229"/>
  <c r="BH649" i="229"/>
  <c r="BI649" i="229"/>
  <c r="BD650" i="229"/>
  <c r="BE650" i="229"/>
  <c r="BF650" i="229"/>
  <c r="BG650" i="229"/>
  <c r="BH650" i="229"/>
  <c r="BI650" i="229"/>
  <c r="BD651" i="229"/>
  <c r="BE651" i="229"/>
  <c r="BF651" i="229"/>
  <c r="BG651" i="229"/>
  <c r="BH651" i="229"/>
  <c r="BI651" i="229"/>
  <c r="BD652" i="229"/>
  <c r="BE652" i="229"/>
  <c r="BF652" i="229"/>
  <c r="BG652" i="229"/>
  <c r="BH652" i="229"/>
  <c r="BI652" i="229"/>
  <c r="BD653" i="229"/>
  <c r="BE653" i="229"/>
  <c r="BF653" i="229"/>
  <c r="BG653" i="229"/>
  <c r="BH653" i="229"/>
  <c r="BI653" i="229"/>
  <c r="BD654" i="229"/>
  <c r="BE654" i="229"/>
  <c r="BF654" i="229"/>
  <c r="BG654" i="229"/>
  <c r="BH654" i="229"/>
  <c r="BI654" i="229"/>
  <c r="BD655" i="229"/>
  <c r="BE655" i="229"/>
  <c r="BF655" i="229"/>
  <c r="BG655" i="229"/>
  <c r="BH655" i="229"/>
  <c r="BI655" i="229"/>
  <c r="BD656" i="229"/>
  <c r="BE656" i="229"/>
  <c r="BF656" i="229"/>
  <c r="BG656" i="229"/>
  <c r="BH656" i="229"/>
  <c r="BI656" i="229"/>
  <c r="BD657" i="229"/>
  <c r="BE657" i="229"/>
  <c r="BF657" i="229"/>
  <c r="BG657" i="229"/>
  <c r="BH657" i="229"/>
  <c r="BI657" i="229"/>
  <c r="BD658" i="229"/>
  <c r="BE658" i="229"/>
  <c r="BF658" i="229"/>
  <c r="BG658" i="229"/>
  <c r="BH658" i="229"/>
  <c r="BI658" i="229"/>
  <c r="BD659" i="229"/>
  <c r="BE659" i="229"/>
  <c r="BF659" i="229"/>
  <c r="BG659" i="229"/>
  <c r="BH659" i="229"/>
  <c r="BI659" i="229"/>
  <c r="BD660" i="229"/>
  <c r="BE660" i="229"/>
  <c r="BF660" i="229"/>
  <c r="BG660" i="229"/>
  <c r="BH660" i="229"/>
  <c r="BI660" i="229"/>
  <c r="BD661" i="229"/>
  <c r="BE661" i="229"/>
  <c r="BF661" i="229"/>
  <c r="BG661" i="229"/>
  <c r="BH661" i="229"/>
  <c r="BI661" i="229"/>
  <c r="BD662" i="229"/>
  <c r="BE662" i="229"/>
  <c r="BF662" i="229"/>
  <c r="BG662" i="229"/>
  <c r="BH662" i="229"/>
  <c r="BI662" i="229"/>
  <c r="BD663" i="229"/>
  <c r="BE663" i="229"/>
  <c r="BF663" i="229"/>
  <c r="BG663" i="229"/>
  <c r="BH663" i="229"/>
  <c r="BI663" i="229"/>
  <c r="BD664" i="229"/>
  <c r="BE664" i="229"/>
  <c r="BF664" i="229"/>
  <c r="BG664" i="229"/>
  <c r="BH664" i="229"/>
  <c r="BI664" i="229"/>
  <c r="BD665" i="229"/>
  <c r="BE665" i="229"/>
  <c r="BF665" i="229"/>
  <c r="BG665" i="229"/>
  <c r="BH665" i="229"/>
  <c r="BI665" i="229"/>
  <c r="BD666" i="229"/>
  <c r="BE666" i="229"/>
  <c r="BF666" i="229"/>
  <c r="BG666" i="229"/>
  <c r="BH666" i="229"/>
  <c r="BI666" i="229"/>
  <c r="BD667" i="229"/>
  <c r="BE667" i="229"/>
  <c r="BF667" i="229"/>
  <c r="BG667" i="229"/>
  <c r="BH667" i="229"/>
  <c r="BI667" i="229"/>
  <c r="BD668" i="229"/>
  <c r="BE668" i="229"/>
  <c r="BF668" i="229"/>
  <c r="BG668" i="229"/>
  <c r="BH668" i="229"/>
  <c r="BI668" i="229"/>
  <c r="BD669" i="229"/>
  <c r="BE669" i="229"/>
  <c r="BF669" i="229"/>
  <c r="BG669" i="229"/>
  <c r="BH669" i="229"/>
  <c r="BI669" i="229"/>
  <c r="BD670" i="229"/>
  <c r="BE670" i="229"/>
  <c r="BF670" i="229"/>
  <c r="BG670" i="229"/>
  <c r="BH670" i="229"/>
  <c r="BI670" i="229"/>
  <c r="BD671" i="229"/>
  <c r="BE671" i="229"/>
  <c r="BF671" i="229"/>
  <c r="BG671" i="229"/>
  <c r="BH671" i="229"/>
  <c r="BI671" i="229"/>
  <c r="BD672" i="229"/>
  <c r="BE672" i="229"/>
  <c r="BF672" i="229"/>
  <c r="BG672" i="229"/>
  <c r="BH672" i="229"/>
  <c r="BI672" i="229"/>
  <c r="BD673" i="229"/>
  <c r="BE673" i="229"/>
  <c r="BF673" i="229"/>
  <c r="BG673" i="229"/>
  <c r="BH673" i="229"/>
  <c r="BI673" i="229"/>
  <c r="BD674" i="229"/>
  <c r="BE674" i="229"/>
  <c r="BF674" i="229"/>
  <c r="BG674" i="229"/>
  <c r="BH674" i="229"/>
  <c r="BI674" i="229"/>
  <c r="BD675" i="229"/>
  <c r="BE675" i="229"/>
  <c r="BF675" i="229"/>
  <c r="BG675" i="229"/>
  <c r="BH675" i="229"/>
  <c r="BI675" i="229"/>
  <c r="BD676" i="229"/>
  <c r="BE676" i="229"/>
  <c r="BF676" i="229"/>
  <c r="BG676" i="229"/>
  <c r="BH676" i="229"/>
  <c r="BI676" i="229"/>
  <c r="BD677" i="229"/>
  <c r="BE677" i="229"/>
  <c r="BF677" i="229"/>
  <c r="BG677" i="229"/>
  <c r="BH677" i="229"/>
  <c r="BI677" i="229"/>
  <c r="BD678" i="229"/>
  <c r="BE678" i="229"/>
  <c r="BF678" i="229"/>
  <c r="BG678" i="229"/>
  <c r="BH678" i="229"/>
  <c r="BI678" i="229"/>
  <c r="BD679" i="229"/>
  <c r="BE679" i="229"/>
  <c r="BF679" i="229"/>
  <c r="BG679" i="229"/>
  <c r="BH679" i="229"/>
  <c r="BI679" i="229"/>
  <c r="BD680" i="229"/>
  <c r="BE680" i="229"/>
  <c r="BF680" i="229"/>
  <c r="BG680" i="229"/>
  <c r="BH680" i="229"/>
  <c r="BI680" i="229"/>
  <c r="BD681" i="229"/>
  <c r="BE681" i="229"/>
  <c r="BF681" i="229"/>
  <c r="BG681" i="229"/>
  <c r="BH681" i="229"/>
  <c r="BI681" i="229"/>
  <c r="BD682" i="229"/>
  <c r="BE682" i="229"/>
  <c r="BF682" i="229"/>
  <c r="BG682" i="229"/>
  <c r="BH682" i="229"/>
  <c r="BI682" i="229"/>
  <c r="BD683" i="229"/>
  <c r="BE683" i="229"/>
  <c r="BF683" i="229"/>
  <c r="BG683" i="229"/>
  <c r="BH683" i="229"/>
  <c r="BI683" i="229"/>
  <c r="BD684" i="229"/>
  <c r="BE684" i="229"/>
  <c r="BF684" i="229"/>
  <c r="BG684" i="229"/>
  <c r="BH684" i="229"/>
  <c r="BI684" i="229"/>
  <c r="BD685" i="229"/>
  <c r="BE685" i="229"/>
  <c r="BF685" i="229"/>
  <c r="BG685" i="229"/>
  <c r="BH685" i="229"/>
  <c r="BI685" i="229"/>
  <c r="BD686" i="229"/>
  <c r="BE686" i="229"/>
  <c r="BF686" i="229"/>
  <c r="BG686" i="229"/>
  <c r="BH686" i="229"/>
  <c r="BI686" i="229"/>
  <c r="BD687" i="229"/>
  <c r="BE687" i="229"/>
  <c r="BF687" i="229"/>
  <c r="BG687" i="229"/>
  <c r="BH687" i="229"/>
  <c r="BI687" i="229"/>
  <c r="BD688" i="229"/>
  <c r="BE688" i="229"/>
  <c r="BF688" i="229"/>
  <c r="BG688" i="229"/>
  <c r="BH688" i="229"/>
  <c r="BI688" i="229"/>
  <c r="BD689" i="229"/>
  <c r="BE689" i="229"/>
  <c r="BF689" i="229"/>
  <c r="BG689" i="229"/>
  <c r="BH689" i="229"/>
  <c r="BI689" i="229"/>
  <c r="BD690" i="229"/>
  <c r="BE690" i="229"/>
  <c r="BF690" i="229"/>
  <c r="BG690" i="229"/>
  <c r="BH690" i="229"/>
  <c r="BI690" i="229"/>
  <c r="BD691" i="229"/>
  <c r="BE691" i="229"/>
  <c r="BF691" i="229"/>
  <c r="BG691" i="229"/>
  <c r="BH691" i="229"/>
  <c r="BI691" i="229"/>
  <c r="BD692" i="229"/>
  <c r="BE692" i="229"/>
  <c r="BF692" i="229"/>
  <c r="BG692" i="229"/>
  <c r="BH692" i="229"/>
  <c r="BI692" i="229"/>
  <c r="BD693" i="229"/>
  <c r="BE693" i="229"/>
  <c r="BF693" i="229"/>
  <c r="BG693" i="229"/>
  <c r="BH693" i="229"/>
  <c r="BI693" i="229"/>
  <c r="BD694" i="229"/>
  <c r="BE694" i="229"/>
  <c r="BF694" i="229"/>
  <c r="BG694" i="229"/>
  <c r="BH694" i="229"/>
  <c r="BI694" i="229"/>
  <c r="BD695" i="229"/>
  <c r="BE695" i="229"/>
  <c r="BF695" i="229"/>
  <c r="BG695" i="229"/>
  <c r="BH695" i="229"/>
  <c r="BI695" i="229"/>
  <c r="BD696" i="229"/>
  <c r="BE696" i="229"/>
  <c r="BF696" i="229"/>
  <c r="BG696" i="229"/>
  <c r="BH696" i="229"/>
  <c r="BI696" i="229"/>
  <c r="BD697" i="229"/>
  <c r="BE697" i="229"/>
  <c r="BF697" i="229"/>
  <c r="BG697" i="229"/>
  <c r="BH697" i="229"/>
  <c r="BI697" i="229"/>
  <c r="BD698" i="229"/>
  <c r="BE698" i="229"/>
  <c r="BF698" i="229"/>
  <c r="BG698" i="229"/>
  <c r="BH698" i="229"/>
  <c r="BI698" i="229"/>
  <c r="BD699" i="229"/>
  <c r="BE699" i="229"/>
  <c r="BF699" i="229"/>
  <c r="BG699" i="229"/>
  <c r="BH699" i="229"/>
  <c r="BI699" i="229"/>
  <c r="BD700" i="229"/>
  <c r="BE700" i="229"/>
  <c r="BF700" i="229"/>
  <c r="BG700" i="229"/>
  <c r="BH700" i="229"/>
  <c r="BI700" i="229"/>
  <c r="BD701" i="229"/>
  <c r="BE701" i="229"/>
  <c r="BF701" i="229"/>
  <c r="BG701" i="229"/>
  <c r="BH701" i="229"/>
  <c r="BI701" i="229"/>
  <c r="BD702" i="229"/>
  <c r="BE702" i="229"/>
  <c r="BF702" i="229"/>
  <c r="BG702" i="229"/>
  <c r="BH702" i="229"/>
  <c r="BI702" i="229"/>
  <c r="BD703" i="229"/>
  <c r="BE703" i="229"/>
  <c r="BF703" i="229"/>
  <c r="BG703" i="229"/>
  <c r="BH703" i="229"/>
  <c r="BI703" i="229"/>
  <c r="BD704" i="229"/>
  <c r="BE704" i="229"/>
  <c r="BF704" i="229"/>
  <c r="BG704" i="229"/>
  <c r="BH704" i="229"/>
  <c r="BI704" i="229"/>
  <c r="BD705" i="229"/>
  <c r="BE705" i="229"/>
  <c r="BF705" i="229"/>
  <c r="BG705" i="229"/>
  <c r="BH705" i="229"/>
  <c r="BI705" i="229"/>
  <c r="BD706" i="229"/>
  <c r="BE706" i="229"/>
  <c r="BF706" i="229"/>
  <c r="BG706" i="229"/>
  <c r="BH706" i="229"/>
  <c r="BI706" i="229"/>
  <c r="BD707" i="229"/>
  <c r="BE707" i="229"/>
  <c r="BF707" i="229"/>
  <c r="BG707" i="229"/>
  <c r="BH707" i="229"/>
  <c r="BI707" i="229"/>
  <c r="BD708" i="229"/>
  <c r="BE708" i="229"/>
  <c r="BF708" i="229"/>
  <c r="BG708" i="229"/>
  <c r="BH708" i="229"/>
  <c r="BI708" i="229"/>
  <c r="BD709" i="229"/>
  <c r="BE709" i="229"/>
  <c r="BF709" i="229"/>
  <c r="BG709" i="229"/>
  <c r="BH709" i="229"/>
  <c r="BI709" i="229"/>
  <c r="BD710" i="229"/>
  <c r="BE710" i="229"/>
  <c r="BF710" i="229"/>
  <c r="BG710" i="229"/>
  <c r="BH710" i="229"/>
  <c r="BI710" i="229"/>
  <c r="BD711" i="229"/>
  <c r="BE711" i="229"/>
  <c r="BF711" i="229"/>
  <c r="BG711" i="229"/>
  <c r="BH711" i="229"/>
  <c r="BI711" i="229"/>
  <c r="BD712" i="229"/>
  <c r="BE712" i="229"/>
  <c r="BF712" i="229"/>
  <c r="BG712" i="229"/>
  <c r="BH712" i="229"/>
  <c r="BI712" i="229"/>
  <c r="BD713" i="229"/>
  <c r="BE713" i="229"/>
  <c r="BF713" i="229"/>
  <c r="BG713" i="229"/>
  <c r="BH713" i="229"/>
  <c r="BI713" i="229"/>
  <c r="BD714" i="229"/>
  <c r="BE714" i="229"/>
  <c r="BF714" i="229"/>
  <c r="BG714" i="229"/>
  <c r="BH714" i="229"/>
  <c r="BI714" i="229"/>
  <c r="BD715" i="229"/>
  <c r="BE715" i="229"/>
  <c r="BF715" i="229"/>
  <c r="BG715" i="229"/>
  <c r="BH715" i="229"/>
  <c r="BI715" i="229"/>
  <c r="BD716" i="229"/>
  <c r="BE716" i="229"/>
  <c r="BF716" i="229"/>
  <c r="BG716" i="229"/>
  <c r="BH716" i="229"/>
  <c r="BI716" i="229"/>
  <c r="BD717" i="229"/>
  <c r="BE717" i="229"/>
  <c r="BF717" i="229"/>
  <c r="BG717" i="229"/>
  <c r="BH717" i="229"/>
  <c r="BI717" i="229"/>
  <c r="BD718" i="229"/>
  <c r="BE718" i="229"/>
  <c r="BF718" i="229"/>
  <c r="BG718" i="229"/>
  <c r="BH718" i="229"/>
  <c r="BI718" i="229"/>
  <c r="BD719" i="229"/>
  <c r="BE719" i="229"/>
  <c r="BF719" i="229"/>
  <c r="BG719" i="229"/>
  <c r="BH719" i="229"/>
  <c r="BI719" i="229"/>
  <c r="BD720" i="229"/>
  <c r="BE720" i="229"/>
  <c r="BF720" i="229"/>
  <c r="BG720" i="229"/>
  <c r="BH720" i="229"/>
  <c r="BI720" i="229"/>
  <c r="BD721" i="229"/>
  <c r="BE721" i="229"/>
  <c r="BF721" i="229"/>
  <c r="BG721" i="229"/>
  <c r="BH721" i="229"/>
  <c r="BI721" i="229"/>
  <c r="BD722" i="229"/>
  <c r="BE722" i="229"/>
  <c r="BF722" i="229"/>
  <c r="BG722" i="229"/>
  <c r="BH722" i="229"/>
  <c r="BI722" i="229"/>
  <c r="BD723" i="229"/>
  <c r="BE723" i="229"/>
  <c r="BF723" i="229"/>
  <c r="BG723" i="229"/>
  <c r="BH723" i="229"/>
  <c r="BI723" i="229"/>
  <c r="BD724" i="229"/>
  <c r="BE724" i="229"/>
  <c r="BF724" i="229"/>
  <c r="BG724" i="229"/>
  <c r="BH724" i="229"/>
  <c r="BI724" i="229"/>
  <c r="BD725" i="229"/>
  <c r="BE725" i="229"/>
  <c r="BF725" i="229"/>
  <c r="BG725" i="229"/>
  <c r="BH725" i="229"/>
  <c r="BI725" i="229"/>
  <c r="BD726" i="229"/>
  <c r="BE726" i="229"/>
  <c r="BF726" i="229"/>
  <c r="BG726" i="229"/>
  <c r="BH726" i="229"/>
  <c r="BI726" i="229"/>
  <c r="BD727" i="229"/>
  <c r="BE727" i="229"/>
  <c r="BF727" i="229"/>
  <c r="BG727" i="229"/>
  <c r="BH727" i="229"/>
  <c r="BI727" i="229"/>
  <c r="BD728" i="229"/>
  <c r="BE728" i="229"/>
  <c r="BF728" i="229"/>
  <c r="BG728" i="229"/>
  <c r="BH728" i="229"/>
  <c r="BI728" i="229"/>
  <c r="BD729" i="229"/>
  <c r="BE729" i="229"/>
  <c r="BF729" i="229"/>
  <c r="BG729" i="229"/>
  <c r="BH729" i="229"/>
  <c r="BI729" i="229"/>
  <c r="BD730" i="229"/>
  <c r="BE730" i="229"/>
  <c r="BF730" i="229"/>
  <c r="BG730" i="229"/>
  <c r="BH730" i="229"/>
  <c r="BI730" i="229"/>
  <c r="O47" i="1"/>
  <c r="Q47" i="1"/>
  <c r="O48" i="1"/>
  <c r="Q48" i="1"/>
  <c r="O49" i="1"/>
  <c r="Q49" i="1"/>
  <c r="O50" i="1"/>
  <c r="Q50" i="1"/>
  <c r="O51" i="1"/>
  <c r="Q51" i="1"/>
  <c r="O52" i="1"/>
  <c r="Q52" i="1"/>
  <c r="A3" i="230" a="1"/>
  <c r="A3" i="230" s="1"/>
  <c r="U5" i="84"/>
  <c r="U6" i="84"/>
  <c r="U7" i="84"/>
  <c r="U8" i="84"/>
  <c r="U4" i="84"/>
  <c r="O104" i="1"/>
  <c r="Q104" i="1"/>
  <c r="O86" i="1"/>
  <c r="Q86" i="1"/>
  <c r="O92" i="1"/>
  <c r="Q92" i="1"/>
  <c r="G1" i="347" a="1"/>
  <c r="G1" i="347" s="1"/>
  <c r="O102" i="1"/>
  <c r="Q102" i="1"/>
  <c r="O103" i="1"/>
  <c r="Q103" i="1"/>
  <c r="U21" i="84"/>
  <c r="BH6" i="229" l="1"/>
  <c r="BE6" i="229"/>
  <c r="BI6" i="229"/>
  <c r="BG6" i="229"/>
  <c r="BD4" i="229"/>
  <c r="BF6" i="229"/>
  <c r="O101" i="1"/>
  <c r="Q101" i="1"/>
  <c r="O100" i="1"/>
  <c r="Q100" i="1"/>
  <c r="O98" i="1"/>
  <c r="Q98" i="1"/>
  <c r="O99" i="1"/>
  <c r="Q99" i="1"/>
  <c r="O97" i="1"/>
  <c r="Q97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7" i="1"/>
  <c r="O88" i="1"/>
  <c r="O89" i="1"/>
  <c r="O90" i="1"/>
  <c r="O91" i="1"/>
  <c r="O93" i="1"/>
  <c r="O94" i="1"/>
  <c r="O95" i="1"/>
  <c r="O96" i="1"/>
  <c r="O105" i="1"/>
  <c r="O2" i="1"/>
  <c r="Y5" i="84"/>
  <c r="Y6" i="84"/>
  <c r="Y7" i="84"/>
  <c r="Y8" i="84"/>
  <c r="Y9" i="84"/>
  <c r="Y10" i="84"/>
  <c r="Y4" i="84"/>
  <c r="AB98" i="84"/>
  <c r="AB109" i="84"/>
  <c r="Q105" i="1"/>
  <c r="Q96" i="1"/>
  <c r="Q95" i="1"/>
  <c r="Q89" i="1"/>
  <c r="Q90" i="1"/>
  <c r="Q91" i="1"/>
  <c r="Q93" i="1"/>
  <c r="Q94" i="1"/>
  <c r="Q88" i="1"/>
  <c r="O108" i="1" l="1"/>
  <c r="Y12" i="84" a="1"/>
  <c r="Y12" i="84" s="1"/>
  <c r="U10" i="84" a="1"/>
  <c r="U10" i="84" s="1"/>
  <c r="O109" i="1"/>
  <c r="Q82" i="1"/>
  <c r="Q83" i="1"/>
  <c r="Q84" i="1"/>
  <c r="Q85" i="1"/>
  <c r="Q87" i="1"/>
  <c r="Q81" i="1"/>
  <c r="Q79" i="1"/>
  <c r="Q80" i="1"/>
  <c r="Q74" i="1" l="1"/>
  <c r="Q75" i="1"/>
  <c r="Q76" i="1"/>
  <c r="Q77" i="1"/>
  <c r="Q78" i="1"/>
  <c r="Q73" i="1"/>
  <c r="Q69" i="1"/>
  <c r="Q70" i="1"/>
  <c r="Q71" i="1"/>
  <c r="Q72" i="1"/>
  <c r="T32" i="84"/>
  <c r="X85" i="84"/>
  <c r="T85" i="84"/>
  <c r="X71" i="84"/>
  <c r="T71" i="84"/>
  <c r="Q64" i="1"/>
  <c r="Q65" i="1"/>
  <c r="Q66" i="1"/>
  <c r="Q67" i="1"/>
  <c r="Q68" i="1"/>
  <c r="Q63" i="1"/>
  <c r="Q62" i="1"/>
  <c r="Q59" i="1"/>
  <c r="Q60" i="1"/>
  <c r="Q61" i="1"/>
  <c r="A25" i="119"/>
  <c r="Q57" i="1"/>
  <c r="Q58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53" i="1"/>
  <c r="Q54" i="1"/>
  <c r="Q55" i="1"/>
  <c r="Q56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6" i="119"/>
  <c r="A9" i="119"/>
  <c r="A2" i="119"/>
  <c r="A3" i="119"/>
  <c r="A4" i="119"/>
  <c r="A5" i="119"/>
  <c r="A10" i="119"/>
  <c r="A11" i="119"/>
  <c r="A12" i="119"/>
  <c r="A13" i="119"/>
  <c r="O115" i="1" l="1"/>
  <c r="O113" i="1"/>
  <c r="O112" i="1"/>
  <c r="O111" i="1"/>
  <c r="O110" i="1"/>
  <c r="O114" i="1"/>
  <c r="O116" i="1" l="1" a="1"/>
  <c r="O1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tc={4C163CC1-E3EC-482F-B92B-53B8FA7D17E9}</author>
    <author>tc={B0F64D09-F8B5-43AB-B2BE-149D3AD62FD0}</author>
    <author>tc={4B61C5F6-EDAC-4526-92C9-219FB8C0EC39}</author>
    <author>tc={593D5C6E-D2C6-4948-A243-89725A7C0F64}</author>
    <author>tc={9C8A45CC-305C-4B73-ADD0-1D5F4446221C}</author>
  </authors>
  <commentList>
    <comment ref="G55" authorId="0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B68" authorId="1" shapeId="0" xr:uid="{B0F64D09-F8B5-43AB-B2BE-149D3AD62F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limitada</t>
      </text>
    </comment>
    <comment ref="B85" authorId="2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B86" authorId="3" shapeId="0" xr:uid="{593D5C6E-D2C6-4948-A243-89725A7C0F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B125" authorId="4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<sst xmlns="http://schemas.openxmlformats.org/spreadsheetml/2006/main" count="34025" uniqueCount="1056">
  <si>
    <t>Profesor</t>
  </si>
  <si>
    <t>Carga Horaria</t>
  </si>
  <si>
    <t>ap</t>
  </si>
  <si>
    <t>Año</t>
  </si>
  <si>
    <t>Materia</t>
  </si>
  <si>
    <t>Días por semana</t>
  </si>
  <si>
    <t>AL</t>
  </si>
  <si>
    <t>ALp</t>
  </si>
  <si>
    <t>AM1</t>
  </si>
  <si>
    <t>AM1p</t>
  </si>
  <si>
    <t>Turno</t>
  </si>
  <si>
    <t>m</t>
  </si>
  <si>
    <t>jf</t>
  </si>
  <si>
    <t>gc</t>
  </si>
  <si>
    <t>as</t>
  </si>
  <si>
    <t>ds</t>
  </si>
  <si>
    <t>lg</t>
  </si>
  <si>
    <t>mp</t>
  </si>
  <si>
    <t>am</t>
  </si>
  <si>
    <t>jd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</si>
  <si>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</si>
  <si>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</si>
  <si>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</si>
  <si>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</si>
  <si>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</si>
  <si>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</si>
  <si>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</si>
  <si>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</si>
  <si>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</si>
  <si>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</si>
  <si>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</si>
  <si>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</si>
  <si>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</si>
  <si>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</si>
  <si>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</si>
  <si>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</si>
  <si>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</si>
  <si>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</si>
  <si>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</si>
  <si>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</si>
  <si>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</si>
  <si>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</si>
  <si>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gb</t>
  </si>
  <si>
    <t>dl</t>
  </si>
  <si>
    <t>sgp</t>
  </si>
  <si>
    <t>svv</t>
  </si>
  <si>
    <t>rl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</si>
  <si>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</si>
  <si>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</si>
  <si>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</si>
  <si>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</si>
  <si>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</si>
  <si>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</si>
  <si>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</si>
  <si>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</si>
  <si>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Cantidad profesores</t>
  </si>
  <si>
    <t>08:00 - 08:50</t>
  </si>
  <si>
    <t>08:50 - 09:40</t>
  </si>
  <si>
    <t>09:50 - 10:40</t>
  </si>
  <si>
    <t>10:40 - 11:30</t>
  </si>
  <si>
    <t>11:40 - 12:30</t>
  </si>
  <si>
    <t>12:30 - 13:20</t>
  </si>
  <si>
    <t>ps</t>
  </si>
  <si>
    <t>nn</t>
  </si>
  <si>
    <t>mjc</t>
  </si>
  <si>
    <t>dc</t>
  </si>
  <si>
    <t>jpe</t>
  </si>
  <si>
    <t>jds</t>
  </si>
  <si>
    <t>mpi</t>
  </si>
  <si>
    <t>sp</t>
  </si>
  <si>
    <t>jpa</t>
  </si>
  <si>
    <t>mpr</t>
  </si>
  <si>
    <t>dj</t>
  </si>
  <si>
    <t>mr</t>
  </si>
  <si>
    <t>guc</t>
  </si>
  <si>
    <t>Prob</t>
  </si>
  <si>
    <t>ProbP</t>
  </si>
  <si>
    <t>ADA</t>
  </si>
  <si>
    <t>TIC1</t>
  </si>
  <si>
    <t>RD1</t>
  </si>
  <si>
    <t>sb</t>
  </si>
  <si>
    <t>TCirc</t>
  </si>
  <si>
    <t>TComp</t>
  </si>
  <si>
    <t>Mec2</t>
  </si>
  <si>
    <t>RM</t>
  </si>
  <si>
    <t>RobInd</t>
  </si>
  <si>
    <t>MecF</t>
  </si>
  <si>
    <t>PC1</t>
  </si>
  <si>
    <t>MPD</t>
  </si>
  <si>
    <t>OE</t>
  </si>
  <si>
    <t>SD</t>
  </si>
  <si>
    <t>AD</t>
  </si>
  <si>
    <t>CreInv</t>
  </si>
  <si>
    <t>CyC</t>
  </si>
  <si>
    <t>ProgAv</t>
  </si>
  <si>
    <t>IngSW2</t>
  </si>
  <si>
    <t>Hidro</t>
  </si>
  <si>
    <t>MecS1</t>
  </si>
  <si>
    <t>Horm1</t>
  </si>
  <si>
    <t>RM3</t>
  </si>
  <si>
    <t>GdO</t>
  </si>
  <si>
    <t>MaqEl</t>
  </si>
  <si>
    <t>DBD1</t>
  </si>
  <si>
    <t>Jose Diaz</t>
  </si>
  <si>
    <t>Gabriel Coates</t>
  </si>
  <si>
    <t>Andrea Mesa</t>
  </si>
  <si>
    <t>Mariana Pereira</t>
  </si>
  <si>
    <t>Laura Gatti</t>
  </si>
  <si>
    <t>Sara Vilar del Valle</t>
  </si>
  <si>
    <t>Alfredo Piria</t>
  </si>
  <si>
    <t>Jazmin Finot</t>
  </si>
  <si>
    <t>Juan Pablo Fossati</t>
  </si>
  <si>
    <t>Gerardo Beltrame</t>
  </si>
  <si>
    <t>Guillermo Stock</t>
  </si>
  <si>
    <t>Diego Lopez</t>
  </si>
  <si>
    <t>Sebastian Garcia Parra</t>
  </si>
  <si>
    <t>Analia Conde</t>
  </si>
  <si>
    <t>Pedro Sakorko</t>
  </si>
  <si>
    <t>Juan Kalemkerian</t>
  </si>
  <si>
    <t>Debora Stalker</t>
  </si>
  <si>
    <t>Rodrigo Lopez</t>
  </si>
  <si>
    <t>Nicolas Navarro</t>
  </si>
  <si>
    <t>Gustavo Compagnone</t>
  </si>
  <si>
    <t>Maria Jesus Cresci</t>
  </si>
  <si>
    <t>Santiago Blanco</t>
  </si>
  <si>
    <t>Marcelo Abreu</t>
  </si>
  <si>
    <t>Daniel Canoniero</t>
  </si>
  <si>
    <t>Jose Clavijo</t>
  </si>
  <si>
    <t>Carlos Bastero</t>
  </si>
  <si>
    <t>Adrian Santilli</t>
  </si>
  <si>
    <t>Martin Sartori</t>
  </si>
  <si>
    <t>Ignacio Formoso</t>
  </si>
  <si>
    <t>Nelson de Marco</t>
  </si>
  <si>
    <t>Juan Pechiar</t>
  </si>
  <si>
    <t>Josefina Gallinal</t>
  </si>
  <si>
    <t>Juan Pellegrini</t>
  </si>
  <si>
    <t>Emilia Martinez</t>
  </si>
  <si>
    <t>Felipe Cordobes</t>
  </si>
  <si>
    <t>Guillermo Rucks</t>
  </si>
  <si>
    <t>Ignacio Grundel</t>
  </si>
  <si>
    <t>Diego Varangot</t>
  </si>
  <si>
    <t>Javier Barreiro</t>
  </si>
  <si>
    <t>Joaquin da Silva</t>
  </si>
  <si>
    <t>Marcelo Pittamiglio</t>
  </si>
  <si>
    <t>Santiago Pereira</t>
  </si>
  <si>
    <t>Julio Patrone</t>
  </si>
  <si>
    <t>Mateo Prefumo</t>
  </si>
  <si>
    <t>Eduardo Lurner</t>
  </si>
  <si>
    <t>Eduardo Pedoja</t>
  </si>
  <si>
    <t>Daniel Jurburg</t>
  </si>
  <si>
    <t>Raul Bianchi</t>
  </si>
  <si>
    <t>Mauricio Riera</t>
  </si>
  <si>
    <t>Bruno Taroco</t>
  </si>
  <si>
    <t>IFluM</t>
  </si>
  <si>
    <t>8:00-8:50</t>
  </si>
  <si>
    <t>---</t>
  </si>
  <si>
    <t>8:50-9:40</t>
  </si>
  <si>
    <t>9:50-10:40</t>
  </si>
  <si>
    <t>10:40-11:30</t>
  </si>
  <si>
    <t>11:40-12:30</t>
  </si>
  <si>
    <t>12:30-13:20</t>
  </si>
  <si>
    <t>Observaciones</t>
  </si>
  <si>
    <t>Observacion 1</t>
  </si>
  <si>
    <t>Observacion 2</t>
  </si>
  <si>
    <t>lun</t>
  </si>
  <si>
    <t>mar</t>
  </si>
  <si>
    <t>mie</t>
  </si>
  <si>
    <t>jue</t>
  </si>
  <si>
    <t>vie</t>
  </si>
  <si>
    <t>14:00-14:50</t>
  </si>
  <si>
    <t>14:50-15:40</t>
  </si>
  <si>
    <t>15:50-16:40</t>
  </si>
  <si>
    <t>16:40-17:30</t>
  </si>
  <si>
    <t>Auxiliar</t>
  </si>
  <si>
    <t>ProgAvP</t>
  </si>
  <si>
    <t>PC/O1</t>
  </si>
  <si>
    <t>Maximo Gurmendez</t>
  </si>
  <si>
    <t>Juan Cruz Carrau</t>
  </si>
  <si>
    <t>jcc</t>
  </si>
  <si>
    <t>Mateo Borrazas</t>
  </si>
  <si>
    <t>mb</t>
  </si>
  <si>
    <t>Lucia Etchecopar</t>
  </si>
  <si>
    <t xml:space="preserve"> Profesor:  jd</t>
  </si>
  <si>
    <t xml:space="preserve"> Profesor:  gc</t>
  </si>
  <si>
    <t xml:space="preserve"> Profesor:  am</t>
  </si>
  <si>
    <t xml:space="preserve"> Profesor:  svv</t>
  </si>
  <si>
    <t xml:space="preserve"> Profesor:  ap</t>
  </si>
  <si>
    <t xml:space="preserve"> Profesor:  jf</t>
  </si>
  <si>
    <t xml:space="preserve"> Profesor:  jpf</t>
  </si>
  <si>
    <t xml:space="preserve"> Profesor:  gb</t>
  </si>
  <si>
    <t xml:space="preserve"> Profesor:  gs</t>
  </si>
  <si>
    <t xml:space="preserve"> Profesor:  dl</t>
  </si>
  <si>
    <t xml:space="preserve"> Profesor:  sgp</t>
  </si>
  <si>
    <t xml:space="preserve"> Profesor:  ac</t>
  </si>
  <si>
    <t xml:space="preserve"> Profesor:  ps</t>
  </si>
  <si>
    <t xml:space="preserve"> Profesor:  jk</t>
  </si>
  <si>
    <t xml:space="preserve"> Profesor:  ds</t>
  </si>
  <si>
    <t xml:space="preserve"> Profesor:  rl</t>
  </si>
  <si>
    <t xml:space="preserve"> Profesor:  nn</t>
  </si>
  <si>
    <t xml:space="preserve"> Profesor:  guc</t>
  </si>
  <si>
    <t xml:space="preserve"> Profesor:  mjc</t>
  </si>
  <si>
    <t xml:space="preserve"> Profesor:  sb</t>
  </si>
  <si>
    <t xml:space="preserve"> Profesor:  ma</t>
  </si>
  <si>
    <t xml:space="preserve"> Profesor:  dc</t>
  </si>
  <si>
    <t xml:space="preserve"> Profesor:  jc</t>
  </si>
  <si>
    <t xml:space="preserve"> Profesor:  cb</t>
  </si>
  <si>
    <t xml:space="preserve"> Profesor:  as</t>
  </si>
  <si>
    <t xml:space="preserve"> Profesor:  ms</t>
  </si>
  <si>
    <t xml:space="preserve"> Profesor:  if</t>
  </si>
  <si>
    <t xml:space="preserve"> Profesor:  bt</t>
  </si>
  <si>
    <t xml:space="preserve"> Profesor:  nm</t>
  </si>
  <si>
    <t xml:space="preserve"> Profesor:  mg</t>
  </si>
  <si>
    <t xml:space="preserve"> Profesor:  mb</t>
  </si>
  <si>
    <t xml:space="preserve"> Profesor:  jcc</t>
  </si>
  <si>
    <t xml:space="preserve"> Profesor:  le</t>
  </si>
  <si>
    <t xml:space="preserve"> Profesor:  jp</t>
  </si>
  <si>
    <t xml:space="preserve"> Profesor:  jg</t>
  </si>
  <si>
    <t xml:space="preserve"> Profesor:  jpe</t>
  </si>
  <si>
    <t xml:space="preserve"> Profesor:  em</t>
  </si>
  <si>
    <t xml:space="preserve"> Profesor:  fc</t>
  </si>
  <si>
    <t xml:space="preserve"> Profesor:  gr</t>
  </si>
  <si>
    <t xml:space="preserve"> Profesor:  ig</t>
  </si>
  <si>
    <t xml:space="preserve"> Profesor:  dv</t>
  </si>
  <si>
    <t xml:space="preserve"> Profesor:  jb</t>
  </si>
  <si>
    <t xml:space="preserve"> Profesor:  jds</t>
  </si>
  <si>
    <t xml:space="preserve"> Profesor:  mpi</t>
  </si>
  <si>
    <t xml:space="preserve"> Profesor:  sp</t>
  </si>
  <si>
    <t xml:space="preserve"> Profesor:  jpa</t>
  </si>
  <si>
    <t xml:space="preserve"> Profesor:  mpr</t>
  </si>
  <si>
    <t xml:space="preserve"> Profesor:  el</t>
  </si>
  <si>
    <t xml:space="preserve"> Profesor:  ep</t>
  </si>
  <si>
    <t xml:space="preserve"> Profesor:  dj</t>
  </si>
  <si>
    <t xml:space="preserve"> Profesor:  rb</t>
  </si>
  <si>
    <t xml:space="preserve"> Profesor:  mr</t>
  </si>
  <si>
    <t>Sergio Veintemilla</t>
  </si>
  <si>
    <t>X</t>
  </si>
  <si>
    <t xml:space="preserve"> Profesor:  sv</t>
  </si>
  <si>
    <t>cantidad de profesores</t>
  </si>
  <si>
    <t>cantidad de cursos</t>
  </si>
  <si>
    <t>carga horaria</t>
  </si>
  <si>
    <t>LIC</t>
  </si>
  <si>
    <t>MAT1</t>
  </si>
  <si>
    <t>IAL</t>
  </si>
  <si>
    <t>IALp</t>
  </si>
  <si>
    <t>Alumnos</t>
  </si>
  <si>
    <t>cp</t>
  </si>
  <si>
    <t>Carlos Presa</t>
  </si>
  <si>
    <t>Lara Cuadrado</t>
  </si>
  <si>
    <t>lc</t>
  </si>
  <si>
    <t>PComp</t>
  </si>
  <si>
    <t>pn</t>
  </si>
  <si>
    <t>Pablo Navas</t>
  </si>
  <si>
    <t>ILic</t>
  </si>
  <si>
    <t>Pablo Urquizó</t>
  </si>
  <si>
    <t>pu</t>
  </si>
  <si>
    <t>IMD</t>
  </si>
  <si>
    <t>1LIC</t>
  </si>
  <si>
    <t>Prog2</t>
  </si>
  <si>
    <t>2LIC</t>
  </si>
  <si>
    <t>HC</t>
  </si>
  <si>
    <t>Teo</t>
  </si>
  <si>
    <t>3LIC</t>
  </si>
  <si>
    <t>apa</t>
  </si>
  <si>
    <t>Grupo 4</t>
  </si>
  <si>
    <t>Grupo 5</t>
  </si>
  <si>
    <t>Nombre</t>
  </si>
  <si>
    <t>UIUX</t>
  </si>
  <si>
    <t>Javier López</t>
  </si>
  <si>
    <t>jl</t>
  </si>
  <si>
    <t>InfrInf</t>
  </si>
  <si>
    <t>ad</t>
  </si>
  <si>
    <t>Alejandro Draper</t>
  </si>
  <si>
    <t>ArqAp</t>
  </si>
  <si>
    <t>Sofía Vila</t>
  </si>
  <si>
    <t>EG</t>
  </si>
  <si>
    <t>Teo/Prac</t>
  </si>
  <si>
    <t>teo</t>
  </si>
  <si>
    <t>prac</t>
  </si>
  <si>
    <t>Electiva</t>
  </si>
  <si>
    <t>QC</t>
  </si>
  <si>
    <t>BPMN</t>
  </si>
  <si>
    <t>DBD3</t>
  </si>
  <si>
    <t>svi</t>
  </si>
  <si>
    <t>13:10 - 14:00</t>
  </si>
  <si>
    <t>t1</t>
  </si>
  <si>
    <t>15:50 - 16:40</t>
  </si>
  <si>
    <t>17:40 - 18:30</t>
  </si>
  <si>
    <t>14:00 - 14:50</t>
  </si>
  <si>
    <t>18:40 - 19:30</t>
  </si>
  <si>
    <t>16:40 - 17:30</t>
  </si>
  <si>
    <t>14:50 - 15:40</t>
  </si>
  <si>
    <t>19:50 - 20:40</t>
  </si>
  <si>
    <t>#</t>
  </si>
  <si>
    <t>13:20 - 14:10</t>
  </si>
  <si>
    <t>t2</t>
  </si>
  <si>
    <t>15:10 - 16:00</t>
  </si>
  <si>
    <t>16:10 - 17:00</t>
  </si>
  <si>
    <t>17:00 - 17:50</t>
  </si>
  <si>
    <t>18:00 - 18:50</t>
  </si>
  <si>
    <t>t3</t>
  </si>
  <si>
    <t>18:50 - 19:40</t>
  </si>
  <si>
    <t>20:40 - 21:30</t>
  </si>
  <si>
    <t>21:40 - 22:30</t>
  </si>
  <si>
    <t>1ro, 2do, 3ro</t>
  </si>
  <si>
    <t>4to, 5to</t>
  </si>
  <si>
    <t>tall, rec, g4</t>
  </si>
  <si>
    <t>lic</t>
  </si>
  <si>
    <t>14:10 - 15:00</t>
  </si>
  <si>
    <t>11</t>
  </si>
  <si>
    <t>12</t>
  </si>
  <si>
    <t>13</t>
  </si>
  <si>
    <t>14</t>
  </si>
  <si>
    <t>Prog1</t>
  </si>
  <si>
    <t>vt</t>
  </si>
  <si>
    <t>Victoria Tejera</t>
  </si>
  <si>
    <t>Karen Baz</t>
  </si>
  <si>
    <t>Inicio</t>
  </si>
  <si>
    <t>Fin</t>
  </si>
  <si>
    <t>Turno 1</t>
  </si>
  <si>
    <t>Turno 2</t>
  </si>
  <si>
    <t>Turno 3</t>
  </si>
  <si>
    <t>Turno 4</t>
  </si>
  <si>
    <t>AM3</t>
  </si>
  <si>
    <t>AM3p</t>
  </si>
  <si>
    <t>2CIV</t>
  </si>
  <si>
    <t>2IND</t>
  </si>
  <si>
    <t>2TEL</t>
  </si>
  <si>
    <t>2INF1</t>
  </si>
  <si>
    <t>2INF2</t>
  </si>
  <si>
    <t>Marco Zunino</t>
  </si>
  <si>
    <t>mz</t>
  </si>
  <si>
    <t>TermoD</t>
  </si>
  <si>
    <t>Mec1</t>
  </si>
  <si>
    <t>CadBim</t>
  </si>
  <si>
    <t>db</t>
  </si>
  <si>
    <t>Daniel Belandria</t>
  </si>
  <si>
    <t>PdO</t>
  </si>
  <si>
    <t>Elio Santilli</t>
  </si>
  <si>
    <t>es</t>
  </si>
  <si>
    <t>Eco</t>
  </si>
  <si>
    <t>Héber Francia</t>
  </si>
  <si>
    <t>hf</t>
  </si>
  <si>
    <t>IntInd</t>
  </si>
  <si>
    <t>Ricardo Cosentino</t>
  </si>
  <si>
    <t>rc</t>
  </si>
  <si>
    <t>MD</t>
  </si>
  <si>
    <t>MDp</t>
  </si>
  <si>
    <t>Log</t>
  </si>
  <si>
    <t>Pablo Ortiz</t>
  </si>
  <si>
    <t>po</t>
  </si>
  <si>
    <t>SDig</t>
  </si>
  <si>
    <t>ame</t>
  </si>
  <si>
    <t>Andrés Merello</t>
  </si>
  <si>
    <t>DBD2</t>
  </si>
  <si>
    <t>Germán Abu Arab</t>
  </si>
  <si>
    <t>gaa</t>
  </si>
  <si>
    <t>MIE</t>
  </si>
  <si>
    <t>Andrés Cardozo</t>
  </si>
  <si>
    <t>aca</t>
  </si>
  <si>
    <t>IO</t>
  </si>
  <si>
    <t>Claudio Ruibal</t>
  </si>
  <si>
    <t>cr</t>
  </si>
  <si>
    <t>3CIV</t>
  </si>
  <si>
    <t>3IND</t>
  </si>
  <si>
    <t>3TEL</t>
  </si>
  <si>
    <t>3INF1</t>
  </si>
  <si>
    <t>3INF2</t>
  </si>
  <si>
    <t>IdM</t>
  </si>
  <si>
    <t>Gustavo Domínguez</t>
  </si>
  <si>
    <t>gd</t>
  </si>
  <si>
    <t>RM2</t>
  </si>
  <si>
    <t>Hid</t>
  </si>
  <si>
    <t>PdO2</t>
  </si>
  <si>
    <t>EM</t>
  </si>
  <si>
    <t>Eduardo Peñalva</t>
  </si>
  <si>
    <t>epe</t>
  </si>
  <si>
    <t>ITerm</t>
  </si>
  <si>
    <t>SO</t>
  </si>
  <si>
    <t>Gerardo Quincke</t>
  </si>
  <si>
    <t>gq</t>
  </si>
  <si>
    <t>Hernán Rohner</t>
  </si>
  <si>
    <t>hr</t>
  </si>
  <si>
    <t>RD2</t>
  </si>
  <si>
    <t>IngSW1</t>
  </si>
  <si>
    <t>Gonzalo Balatti</t>
  </si>
  <si>
    <t>gba</t>
  </si>
  <si>
    <t>4CIV</t>
  </si>
  <si>
    <t>4IND</t>
  </si>
  <si>
    <t>4TEL</t>
  </si>
  <si>
    <t>4INF1</t>
  </si>
  <si>
    <t>4INF2</t>
  </si>
  <si>
    <t>MecS2</t>
  </si>
  <si>
    <t>SyMH</t>
  </si>
  <si>
    <t>Rafael Sotelo</t>
  </si>
  <si>
    <t>rs</t>
  </si>
  <si>
    <t>MaqT</t>
  </si>
  <si>
    <t>Marcelo Berglavaz</t>
  </si>
  <si>
    <t>mbo</t>
  </si>
  <si>
    <t>InstEl</t>
  </si>
  <si>
    <t>Rubens Ramponi</t>
  </si>
  <si>
    <t>rr</t>
  </si>
  <si>
    <t>apr</t>
  </si>
  <si>
    <t>TecFP</t>
  </si>
  <si>
    <t>Fabrizzio Bagnasco</t>
  </si>
  <si>
    <t>fb</t>
  </si>
  <si>
    <t>dm</t>
  </si>
  <si>
    <t>Diego Moratorio</t>
  </si>
  <si>
    <t>SegInf</t>
  </si>
  <si>
    <t>GAD</t>
  </si>
  <si>
    <t>TestQA</t>
  </si>
  <si>
    <t>TIC2</t>
  </si>
  <si>
    <t>Diego Durán</t>
  </si>
  <si>
    <t>dd</t>
  </si>
  <si>
    <t>Nicolás Sosa</t>
  </si>
  <si>
    <t>ns</t>
  </si>
  <si>
    <t>ModS</t>
  </si>
  <si>
    <t>Thomas Hobbins</t>
  </si>
  <si>
    <t>th</t>
  </si>
  <si>
    <t>IA</t>
  </si>
  <si>
    <t>adr</t>
  </si>
  <si>
    <t>Andrea Durlacher</t>
  </si>
  <si>
    <t>ETec</t>
  </si>
  <si>
    <t>Arianne Palau</t>
  </si>
  <si>
    <t>Adhemar Prieto</t>
  </si>
  <si>
    <t>Adrián Santilli</t>
  </si>
  <si>
    <t>Diego López</t>
  </si>
  <si>
    <t>José Díaz</t>
  </si>
  <si>
    <t>Joaquín da Silva</t>
  </si>
  <si>
    <t>Jazmín Finot</t>
  </si>
  <si>
    <t>Mateo Borrazás</t>
  </si>
  <si>
    <t>María Jesús Cresci</t>
  </si>
  <si>
    <t>Nelson Demarco</t>
  </si>
  <si>
    <t>nd</t>
  </si>
  <si>
    <t>Nicolás Navarro</t>
  </si>
  <si>
    <t>Rodrigo López</t>
  </si>
  <si>
    <t>Sebastián García Parra</t>
  </si>
  <si>
    <t>+DAT</t>
  </si>
  <si>
    <t>José Joskowicz</t>
  </si>
  <si>
    <t>jj</t>
  </si>
  <si>
    <t>REC</t>
  </si>
  <si>
    <t>1REC1</t>
  </si>
  <si>
    <t>1REC2</t>
  </si>
  <si>
    <t>2INF</t>
  </si>
  <si>
    <t>2+2</t>
  </si>
  <si>
    <t>3+2</t>
  </si>
  <si>
    <t>Sdig</t>
  </si>
  <si>
    <t>3+3</t>
  </si>
  <si>
    <t>T_ing</t>
  </si>
  <si>
    <t>LUN</t>
  </si>
  <si>
    <t>MAR</t>
  </si>
  <si>
    <t>JUE</t>
  </si>
  <si>
    <t>VIE</t>
  </si>
  <si>
    <t>3x6 + 2x6</t>
  </si>
  <si>
    <t>PROG2</t>
  </si>
  <si>
    <t>ECO</t>
  </si>
  <si>
    <t>AM3P</t>
  </si>
  <si>
    <t>SDIG</t>
  </si>
  <si>
    <t>IngTran</t>
  </si>
  <si>
    <t>IngSan2</t>
  </si>
  <si>
    <t>PInv</t>
  </si>
  <si>
    <t>EstMM</t>
  </si>
  <si>
    <t>ACInd</t>
  </si>
  <si>
    <t>Maq3</t>
  </si>
  <si>
    <t>DEMaq</t>
  </si>
  <si>
    <t>SdT</t>
  </si>
  <si>
    <t>TIC6</t>
  </si>
  <si>
    <t>Andrés Nieto</t>
  </si>
  <si>
    <t>an</t>
  </si>
  <si>
    <t>Julio Molinolo</t>
  </si>
  <si>
    <t>jm</t>
  </si>
  <si>
    <t>Marcos Rey</t>
  </si>
  <si>
    <t>mre</t>
  </si>
  <si>
    <t>Michelle Dovat</t>
  </si>
  <si>
    <t>md</t>
  </si>
  <si>
    <t>Gastón Puga</t>
  </si>
  <si>
    <t>gp</t>
  </si>
  <si>
    <t>Juan Míguez</t>
  </si>
  <si>
    <t>jmi</t>
  </si>
  <si>
    <t>Miguel Causa</t>
  </si>
  <si>
    <t>mc</t>
  </si>
  <si>
    <t>Oliver Kraus</t>
  </si>
  <si>
    <t>ok</t>
  </si>
  <si>
    <t>Juan Piaggio</t>
  </si>
  <si>
    <t>jpi</t>
  </si>
  <si>
    <t>Guillermo Dornelles</t>
  </si>
  <si>
    <t>gdo</t>
  </si>
  <si>
    <t>5CIV</t>
  </si>
  <si>
    <t>5IND</t>
  </si>
  <si>
    <t>5TEL</t>
  </si>
  <si>
    <t>5INF</t>
  </si>
  <si>
    <t>ICC 1</t>
  </si>
  <si>
    <t>icc1</t>
  </si>
  <si>
    <t>icc2</t>
  </si>
  <si>
    <t>ICC 2</t>
  </si>
  <si>
    <t>maximo 3 dias</t>
  </si>
  <si>
    <t>solo 1 dia despues de 17hs</t>
  </si>
  <si>
    <t>evitar puentes</t>
  </si>
  <si>
    <t>Marcelo Fontan</t>
  </si>
  <si>
    <t>mf</t>
  </si>
  <si>
    <t>lunes xor viernes</t>
  </si>
  <si>
    <t>Xavier Masdeu</t>
  </si>
  <si>
    <t>xm</t>
  </si>
  <si>
    <t>ICC 3</t>
  </si>
  <si>
    <t>icc3</t>
  </si>
  <si>
    <t>no dias consecutivos ADA</t>
  </si>
  <si>
    <t>4LIC</t>
  </si>
  <si>
    <t>Prog1 A</t>
  </si>
  <si>
    <t>p1a</t>
  </si>
  <si>
    <t>p1b</t>
  </si>
  <si>
    <t>Prog1 B</t>
  </si>
  <si>
    <t>TIngA</t>
  </si>
  <si>
    <t>TIngB</t>
  </si>
  <si>
    <t>arqap</t>
  </si>
  <si>
    <t>Arq Aplic</t>
  </si>
  <si>
    <t>jg</t>
  </si>
  <si>
    <t>Milenka Sojachenksi</t>
  </si>
  <si>
    <t>ms</t>
  </si>
  <si>
    <t>todo el mismo dia</t>
  </si>
  <si>
    <t>Fernando Requena</t>
  </si>
  <si>
    <t>fr</t>
  </si>
  <si>
    <t>Adrián Carballo</t>
  </si>
  <si>
    <t>adc</t>
  </si>
  <si>
    <t>Martín Kasek</t>
  </si>
  <si>
    <t>mk</t>
  </si>
  <si>
    <t>Adrián Russi</t>
  </si>
  <si>
    <t>ar</t>
  </si>
  <si>
    <t>ep</t>
  </si>
  <si>
    <t>MdProc</t>
  </si>
  <si>
    <t>GAmb</t>
  </si>
  <si>
    <t>Horm2</t>
  </si>
  <si>
    <t>DPav</t>
  </si>
  <si>
    <t>Puentes</t>
  </si>
  <si>
    <t>df</t>
  </si>
  <si>
    <t>DIPyU</t>
  </si>
  <si>
    <t>David Fontans</t>
  </si>
  <si>
    <t>no coincidir mañana-tarde</t>
  </si>
  <si>
    <t>3x3 + 5x2</t>
  </si>
  <si>
    <t>2+1</t>
  </si>
  <si>
    <t>6 + 2x3 + 7x2 + 1</t>
  </si>
  <si>
    <t>4x3 + 7x2 + 1</t>
  </si>
  <si>
    <t>Año:  1</t>
  </si>
  <si>
    <t xml:space="preserve"> Grupo:  1LIC</t>
  </si>
  <si>
    <t>18:00-18:50</t>
  </si>
  <si>
    <t>18:50-19:40</t>
  </si>
  <si>
    <t>19:50-20:40</t>
  </si>
  <si>
    <t>20:40-21:30</t>
  </si>
  <si>
    <t>21:40-22:30</t>
  </si>
  <si>
    <t xml:space="preserve"> Grupo:  11</t>
  </si>
  <si>
    <t>08:00-08:50</t>
  </si>
  <si>
    <t>08:50-09:40</t>
  </si>
  <si>
    <t>09:50-10:40</t>
  </si>
  <si>
    <t xml:space="preserve"> Grupo:  12</t>
  </si>
  <si>
    <t xml:space="preserve"> Grupo:  13</t>
  </si>
  <si>
    <t xml:space="preserve"> Grupo:  14</t>
  </si>
  <si>
    <t>14:10-15:00</t>
  </si>
  <si>
    <t>15:10-16:00</t>
  </si>
  <si>
    <t>16:10-17:00</t>
  </si>
  <si>
    <t>17:00-17:50</t>
  </si>
  <si>
    <t xml:space="preserve"> Grupo:  1REC1</t>
  </si>
  <si>
    <t xml:space="preserve"> Grupo:  1REC2</t>
  </si>
  <si>
    <t xml:space="preserve"> Grupo:  3CIV</t>
  </si>
  <si>
    <t xml:space="preserve"> Grupo:  3IND</t>
  </si>
  <si>
    <t>IdM[gd]</t>
  </si>
  <si>
    <t>EG[icc2]</t>
  </si>
  <si>
    <t>Hid[mpi,sp]</t>
  </si>
  <si>
    <t>RM2[ar]</t>
  </si>
  <si>
    <t>ETec[mr]</t>
  </si>
  <si>
    <t>EM[gb]</t>
  </si>
  <si>
    <t>alternar dias</t>
  </si>
  <si>
    <t>IAL[cp]</t>
  </si>
  <si>
    <t>ILic[pu]</t>
  </si>
  <si>
    <t>MAT1[ds]</t>
  </si>
  <si>
    <t>IALp[lc]</t>
  </si>
  <si>
    <t>PComp[pn]</t>
  </si>
  <si>
    <t>TIngB[ad]</t>
  </si>
  <si>
    <t>Prog1[p1a]</t>
  </si>
  <si>
    <t>TIngA[as]</t>
  </si>
  <si>
    <t>AL[svv]</t>
  </si>
  <si>
    <t>ALp[jf]</t>
  </si>
  <si>
    <t>AM1[lg]</t>
  </si>
  <si>
    <t>AM1p[ps]</t>
  </si>
  <si>
    <t>AL[ds]</t>
  </si>
  <si>
    <t>AM1[gc]</t>
  </si>
  <si>
    <t>Prog1[p1b]</t>
  </si>
  <si>
    <t>AL[lg]</t>
  </si>
  <si>
    <t>AM1[am]</t>
  </si>
  <si>
    <t>AM1[jd]</t>
  </si>
  <si>
    <t>Prog1[vt]</t>
  </si>
  <si>
    <t>AL[ap]</t>
  </si>
  <si>
    <t>Fisica[jpf]</t>
  </si>
  <si>
    <t>AM2[gc]</t>
  </si>
  <si>
    <t>ALN[jk]</t>
  </si>
  <si>
    <t>ALNp[jk]</t>
  </si>
  <si>
    <t>AM2p[am]</t>
  </si>
  <si>
    <t>AM2[am]</t>
  </si>
  <si>
    <t>AM2p[gc]</t>
  </si>
  <si>
    <t xml:space="preserve"> -  -  -  -  -  -  -  -  -  -  -  -  -  -  -  -  -  -  -  -  -  -  -  -  -  -  -  -  -  -  -  -  -  -</t>
  </si>
  <si>
    <t>Año:  2</t>
  </si>
  <si>
    <t xml:space="preserve"> Grupo:  2LIC</t>
  </si>
  <si>
    <t>Prog2[nn]</t>
  </si>
  <si>
    <t>DBD1[dl]</t>
  </si>
  <si>
    <t>IMD[cp]</t>
  </si>
  <si>
    <t>HC[icc1]</t>
  </si>
  <si>
    <t>RD1[guc,mjc,sb]</t>
  </si>
  <si>
    <t xml:space="preserve"> Grupo:  2CIV</t>
  </si>
  <si>
    <t>Eco[hf]</t>
  </si>
  <si>
    <t>PdO[es]</t>
  </si>
  <si>
    <t>CadBim[db]</t>
  </si>
  <si>
    <t>AM3[svv]</t>
  </si>
  <si>
    <t>AM3p[mz]</t>
  </si>
  <si>
    <t>TermoD[gb]</t>
  </si>
  <si>
    <t>Mec1[jpf]</t>
  </si>
  <si>
    <t xml:space="preserve"> Grupo:  2TEL</t>
  </si>
  <si>
    <t>DBD2[sgp]</t>
  </si>
  <si>
    <t>SDig[ame]</t>
  </si>
  <si>
    <t>Prog2[gaa]</t>
  </si>
  <si>
    <t>MIE[aca]</t>
  </si>
  <si>
    <t xml:space="preserve"> Grupo:  2IND</t>
  </si>
  <si>
    <t>IntInd[rc]</t>
  </si>
  <si>
    <t>AM3[jd]</t>
  </si>
  <si>
    <t xml:space="preserve"> Grupo:  2INF2</t>
  </si>
  <si>
    <t>MD[jk]</t>
  </si>
  <si>
    <t>Log[po]</t>
  </si>
  <si>
    <t>MDp[jk]</t>
  </si>
  <si>
    <t xml:space="preserve"> Grupo:  2INF1</t>
  </si>
  <si>
    <t>MD[mp]</t>
  </si>
  <si>
    <t>Prog2[rl]</t>
  </si>
  <si>
    <t>DBD2[dl]</t>
  </si>
  <si>
    <t>Año:  3</t>
  </si>
  <si>
    <t xml:space="preserve"> Grupo:  3LIC</t>
  </si>
  <si>
    <t>IngSW2[apa]</t>
  </si>
  <si>
    <t>ADA[jcc]</t>
  </si>
  <si>
    <t>ADA[mbo]</t>
  </si>
  <si>
    <t>UIUX[jl]</t>
  </si>
  <si>
    <t>AD[jpe]</t>
  </si>
  <si>
    <t>Teo[icc3]</t>
  </si>
  <si>
    <t>PdO2[epe,nd]</t>
  </si>
  <si>
    <t xml:space="preserve"> Grupo:  3TEL</t>
  </si>
  <si>
    <t>IngSW1[jds]</t>
  </si>
  <si>
    <t>RD2[guc,mjc,sb]</t>
  </si>
  <si>
    <t>SO[hr]</t>
  </si>
  <si>
    <t>IO[cr]</t>
  </si>
  <si>
    <t xml:space="preserve"> Grupo:  3INF2</t>
  </si>
  <si>
    <t>InfrInf[jj]</t>
  </si>
  <si>
    <t>ArqAp[arqap]</t>
  </si>
  <si>
    <t xml:space="preserve"> Grupo:  3INF1</t>
  </si>
  <si>
    <t>IngSW1[gba]</t>
  </si>
  <si>
    <t>ArqAp[mf]</t>
  </si>
  <si>
    <t>SO[gq]</t>
  </si>
  <si>
    <t>IO[dj]</t>
  </si>
  <si>
    <t>David Fontáns</t>
  </si>
  <si>
    <t>dias no consecutivos SyMH</t>
  </si>
  <si>
    <t>Héctor Tosar</t>
  </si>
  <si>
    <t>ht</t>
  </si>
  <si>
    <t>no es posible evitar dias consecutivos</t>
  </si>
  <si>
    <t>MotCI</t>
  </si>
  <si>
    <t>DisEst</t>
  </si>
  <si>
    <t>AgroN</t>
  </si>
  <si>
    <t>ProyInt</t>
  </si>
  <si>
    <t>Gustavo Gretter</t>
  </si>
  <si>
    <t>gg</t>
  </si>
  <si>
    <t>ApMov</t>
  </si>
  <si>
    <t>RPA</t>
  </si>
  <si>
    <t>RM2p</t>
  </si>
  <si>
    <t>MecS2p</t>
  </si>
  <si>
    <t>Cristina Mayr</t>
  </si>
  <si>
    <t>cm</t>
  </si>
  <si>
    <t>ma</t>
  </si>
  <si>
    <t>Andrea Parada</t>
  </si>
  <si>
    <t>anp</t>
  </si>
  <si>
    <t>dias no consecutivos RPA</t>
  </si>
  <si>
    <t>mg</t>
  </si>
  <si>
    <t>X = PERMITIR SUPERPOSICION A PROPÓSITO</t>
  </si>
  <si>
    <t>(no es necesario para pares de materias que no comparten grupos)</t>
  </si>
  <si>
    <t>Martha Giménez</t>
  </si>
  <si>
    <t>GSInf</t>
  </si>
  <si>
    <t>er</t>
  </si>
  <si>
    <t>max dias (3 ideal)</t>
  </si>
  <si>
    <t>coincidir SDig</t>
  </si>
  <si>
    <t>EthHck</t>
  </si>
  <si>
    <t>Prog1 C</t>
  </si>
  <si>
    <t>p1c</t>
  </si>
  <si>
    <t>Eugenia Riaño</t>
  </si>
  <si>
    <t>StUp1</t>
  </si>
  <si>
    <t>Pablo Pereira</t>
  </si>
  <si>
    <t>pp</t>
  </si>
  <si>
    <t>Gonzalo Caprario</t>
  </si>
  <si>
    <t>gca</t>
  </si>
  <si>
    <t>Evitar puentes?</t>
  </si>
  <si>
    <t>SDig[]</t>
  </si>
  <si>
    <t>Prog1[p1c]</t>
  </si>
  <si>
    <t>RM2p[]</t>
  </si>
  <si>
    <t>ITerm[]</t>
  </si>
  <si>
    <t>InfrInf[]</t>
  </si>
  <si>
    <t>IO[]</t>
  </si>
  <si>
    <t xml:space="preserve"> Profesor:  ds Debora Stalker</t>
  </si>
  <si>
    <t xml:space="preserve"> Profesor:  cp Carlos Presa</t>
  </si>
  <si>
    <t xml:space="preserve"> Profesor:  lc Lara Cuadrado</t>
  </si>
  <si>
    <t xml:space="preserve"> Profesor:  pn Pablo Navas</t>
  </si>
  <si>
    <t xml:space="preserve"> Profesor:  pu Pablo Urquizó</t>
  </si>
  <si>
    <t xml:space="preserve"> Profesor:  guc Gustavo Compagnone</t>
  </si>
  <si>
    <t xml:space="preserve"> Profesor:  mjc María Jesús Cresci</t>
  </si>
  <si>
    <t xml:space="preserve"> Profesor:  sb Santiago Blanco</t>
  </si>
  <si>
    <t xml:space="preserve"> Profesor:  nn Nicolás Navarro</t>
  </si>
  <si>
    <t xml:space="preserve"> Profesor:  dl Diego López</t>
  </si>
  <si>
    <t xml:space="preserve"> Profesor:  icc1 ICC 1</t>
  </si>
  <si>
    <t xml:space="preserve"> Profesor:  jpe Juan Pellegrini</t>
  </si>
  <si>
    <t xml:space="preserve"> Profesor:  icc3 ICC 3</t>
  </si>
  <si>
    <t xml:space="preserve"> Profesor:  apa Arianne Palau</t>
  </si>
  <si>
    <t xml:space="preserve"> Profesor:  dc Daniel Canoniero</t>
  </si>
  <si>
    <t xml:space="preserve"> Profesor:  jg Josefina Gallinal</t>
  </si>
  <si>
    <t xml:space="preserve"> Profesor:  jcc Juan Cruz Carrau</t>
  </si>
  <si>
    <t xml:space="preserve"> Profesor:  mbo Mateo Borrazás</t>
  </si>
  <si>
    <t xml:space="preserve"> Profesor:  gc Gabriel Coates</t>
  </si>
  <si>
    <t xml:space="preserve"> Profesor:  lg Laura Gatti</t>
  </si>
  <si>
    <t xml:space="preserve"> Profesor:  am Andrea Mesa</t>
  </si>
  <si>
    <t xml:space="preserve"> Profesor:  jd José Díaz</t>
  </si>
  <si>
    <t xml:space="preserve"> Profesor:  ps Pedro Sakorko</t>
  </si>
  <si>
    <t xml:space="preserve"> Profesor:  svv Sara Vilar del Valle</t>
  </si>
  <si>
    <t xml:space="preserve"> Profesor:  ap Alfredo Piria</t>
  </si>
  <si>
    <t xml:space="preserve"> Profesor:  jf Jazmín Finot</t>
  </si>
  <si>
    <t xml:space="preserve"> Profesor:  vt Victoria Tejera</t>
  </si>
  <si>
    <t xml:space="preserve"> Profesor:  p1a Prog1 A</t>
  </si>
  <si>
    <t xml:space="preserve"> Profesor:  p1b Prog1 B</t>
  </si>
  <si>
    <t xml:space="preserve"> Profesor:  p1c Prog1 C</t>
  </si>
  <si>
    <t xml:space="preserve"> Profesor:  as Adrián Santilli</t>
  </si>
  <si>
    <t xml:space="preserve"> Profesor:  ad Andrea Durlacher</t>
  </si>
  <si>
    <t xml:space="preserve"> Profesor:  jk Juan Kalemkerian</t>
  </si>
  <si>
    <t xml:space="preserve"> Profesor:  jpf Juan Pablo Fossati</t>
  </si>
  <si>
    <t xml:space="preserve"> Profesor:  mz Marco Zunino</t>
  </si>
  <si>
    <t xml:space="preserve"> Profesor:  gb Gerardo Beltrame</t>
  </si>
  <si>
    <t xml:space="preserve"> Profesor:  db Daniel Belandria</t>
  </si>
  <si>
    <t xml:space="preserve"> Profesor:  es Elio Santilli</t>
  </si>
  <si>
    <t xml:space="preserve"> Profesor:  hf Héber Francia</t>
  </si>
  <si>
    <t xml:space="preserve"> Profesor:  rc Ricardo Cosentino</t>
  </si>
  <si>
    <t xml:space="preserve"> Profesor:  mp Mariana Pereira</t>
  </si>
  <si>
    <t xml:space="preserve"> Profesor:  po Pablo Ortiz</t>
  </si>
  <si>
    <t xml:space="preserve"> Profesor:  ame Andrés Merello</t>
  </si>
  <si>
    <t xml:space="preserve"> Profesor:  sgp Sebastián García Parra</t>
  </si>
  <si>
    <t xml:space="preserve"> Profesor:  rl Rodrigo López</t>
  </si>
  <si>
    <t xml:space="preserve"> Profesor:  gaa Germán Abu Arab</t>
  </si>
  <si>
    <t xml:space="preserve"> Profesor:  aca Andrés Cardozo</t>
  </si>
  <si>
    <t xml:space="preserve"> Profesor:  cr Claudio Ruibal</t>
  </si>
  <si>
    <t xml:space="preserve"> Profesor:  dj Daniel Jurburg</t>
  </si>
  <si>
    <t xml:space="preserve"> Profesor:  gd Gustavo Domínguez</t>
  </si>
  <si>
    <t xml:space="preserve"> Profesor:  ar Adrián Russi</t>
  </si>
  <si>
    <t xml:space="preserve"> Profesor:  mpi Marcelo Pittamiglio</t>
  </si>
  <si>
    <t xml:space="preserve"> Profesor:  sp Santiago Pereira</t>
  </si>
  <si>
    <t xml:space="preserve"> Profesor:  epe Eduardo Peñalva</t>
  </si>
  <si>
    <t xml:space="preserve"> Profesor:  nd Nelson Demarco</t>
  </si>
  <si>
    <t xml:space="preserve"> Profesor:  icc2 ICC 2</t>
  </si>
  <si>
    <t xml:space="preserve"> Profesor:  mr Mauricio Riera</t>
  </si>
  <si>
    <t xml:space="preserve"> Profesor:  mf Marcelo Fontan</t>
  </si>
  <si>
    <t xml:space="preserve"> Profesor:  arqap Arq Aplic</t>
  </si>
  <si>
    <t xml:space="preserve"> Profesor:  gq Gerardo Quincke</t>
  </si>
  <si>
    <t xml:space="preserve"> Profesor:  hr Hernán Rohner</t>
  </si>
  <si>
    <t xml:space="preserve"> Profesor:  jj José Joskowicz</t>
  </si>
  <si>
    <t xml:space="preserve"> Profesor:  jds Joaquín da Silva</t>
  </si>
  <si>
    <t xml:space="preserve"> Profesor:  gba Gonzalo Balatti</t>
  </si>
  <si>
    <t xml:space="preserve"> Profesor:  jl Javier López</t>
  </si>
  <si>
    <t>solo miercoles 12-17</t>
  </si>
  <si>
    <t>EA</t>
  </si>
  <si>
    <t>MInv</t>
  </si>
  <si>
    <t>coincidir con MetInv y para profesor</t>
  </si>
  <si>
    <t>coincidir con EstAp y para profesor</t>
  </si>
  <si>
    <t>coincidir grupos de TIC2 y para profesores</t>
  </si>
  <si>
    <t>TEO</t>
  </si>
  <si>
    <t>ISW2</t>
  </si>
  <si>
    <t>2x3 + 8x2</t>
  </si>
  <si>
    <t>TEO/SD</t>
  </si>
  <si>
    <t>AD/SD</t>
  </si>
  <si>
    <t>ISW2/ADA</t>
  </si>
  <si>
    <t>no dias consecutivos SD</t>
  </si>
  <si>
    <t>electiva para 5INF/5TEL</t>
  </si>
  <si>
    <t>coincidir con obligatoria para 3LIC, horario excepcional a ultima</t>
  </si>
  <si>
    <t>SD[dc]</t>
  </si>
  <si>
    <t>SD[jg]</t>
  </si>
  <si>
    <t>Año:  4</t>
  </si>
  <si>
    <t xml:space="preserve"> Grupo:  4LIC</t>
  </si>
  <si>
    <t>ArqAp[pn]</t>
  </si>
  <si>
    <t>InfrInf[adr]</t>
  </si>
  <si>
    <t>CreInv[svi]</t>
  </si>
  <si>
    <t>EG[icc1]</t>
  </si>
  <si>
    <t xml:space="preserve"> Grupo:  4CIV</t>
  </si>
  <si>
    <t>Teo[xm]</t>
  </si>
  <si>
    <t>EA[er]/MInv[rs]</t>
  </si>
  <si>
    <t>SyMH[jm]</t>
  </si>
  <si>
    <t>SyMH[mk]</t>
  </si>
  <si>
    <t>MecS2[jpa]</t>
  </si>
  <si>
    <t>MecS2p[mpr,jpa]</t>
  </si>
  <si>
    <t xml:space="preserve"> Grupo:  4IND</t>
  </si>
  <si>
    <t>MaqT[mb]</t>
  </si>
  <si>
    <t>ProyInt[dm]</t>
  </si>
  <si>
    <t>InstEl[rr,apr]</t>
  </si>
  <si>
    <t xml:space="preserve"> Grupo:  4TEL</t>
  </si>
  <si>
    <t>TIC2[dd,ns]</t>
  </si>
  <si>
    <t>SegInf[cm]</t>
  </si>
  <si>
    <t>IA[sgp]</t>
  </si>
  <si>
    <t>ModS[th]</t>
  </si>
  <si>
    <t xml:space="preserve"> Grupo:  4INF1</t>
  </si>
  <si>
    <t>TestQA[]</t>
  </si>
  <si>
    <t>SegInf[gdo]</t>
  </si>
  <si>
    <t>GAD[dc]</t>
  </si>
  <si>
    <t xml:space="preserve"> Grupo:  4INF2</t>
  </si>
  <si>
    <t>Año:  5</t>
  </si>
  <si>
    <t xml:space="preserve"> Grupo:  5CIV</t>
  </si>
  <si>
    <t>IngSan2[jm,gca]</t>
  </si>
  <si>
    <t>IngTran[an]</t>
  </si>
  <si>
    <t>PInv[mre]</t>
  </si>
  <si>
    <t>EstMM[gp]</t>
  </si>
  <si>
    <t xml:space="preserve"> Grupo:  5IND</t>
  </si>
  <si>
    <t>DEMaq[ok]</t>
  </si>
  <si>
    <t>Maq3[mc,ht]</t>
  </si>
  <si>
    <t>ACInd[jmi]</t>
  </si>
  <si>
    <t xml:space="preserve"> Grupo:  5TEL</t>
  </si>
  <si>
    <t>PInv[md]</t>
  </si>
  <si>
    <t>TIC6[dd,ns]</t>
  </si>
  <si>
    <t>SdT[jpi]</t>
  </si>
  <si>
    <t xml:space="preserve"> Grupo:  5INF</t>
  </si>
  <si>
    <t xml:space="preserve"> Profesor:  adr Alejandro Draper</t>
  </si>
  <si>
    <t xml:space="preserve"> Profesor:  an Andrés Nieto</t>
  </si>
  <si>
    <t xml:space="preserve"> Profesor:  apr Adhemar Prieto</t>
  </si>
  <si>
    <t xml:space="preserve"> Profesor:  cm Cristina Mayr</t>
  </si>
  <si>
    <t xml:space="preserve"> Profesor:  dd Diego Durán</t>
  </si>
  <si>
    <t xml:space="preserve"> Profesor:  dm Diego Moratorio</t>
  </si>
  <si>
    <t xml:space="preserve"> Profesor:  er Eugenia Riaño</t>
  </si>
  <si>
    <t xml:space="preserve"> Profesor:  gca Gonzalo Caprario</t>
  </si>
  <si>
    <t xml:space="preserve"> Profesor:  gdo Guillermo Dornelles</t>
  </si>
  <si>
    <t xml:space="preserve"> Profesor:  gp Gastón Puga</t>
  </si>
  <si>
    <t xml:space="preserve"> Profesor:  ht Héctor Tosar</t>
  </si>
  <si>
    <t xml:space="preserve"> Profesor:  jm Julio Molinolo</t>
  </si>
  <si>
    <t xml:space="preserve"> Profesor:  jmi Juan Míguez</t>
  </si>
  <si>
    <t xml:space="preserve"> Profesor:  jpa Julio Patrone</t>
  </si>
  <si>
    <t xml:space="preserve"> Profesor:  jpi Juan Piaggio</t>
  </si>
  <si>
    <t xml:space="preserve"> Profesor:  mb Marcelo Berglavaz</t>
  </si>
  <si>
    <t xml:space="preserve"> Profesor:  mc Miguel Causa</t>
  </si>
  <si>
    <t xml:space="preserve"> Profesor:  md Michelle Dovat</t>
  </si>
  <si>
    <t xml:space="preserve"> Profesor:  mk Martín Kasek</t>
  </si>
  <si>
    <t xml:space="preserve"> Profesor:  mpr Mateo Prefumo</t>
  </si>
  <si>
    <t xml:space="preserve"> Profesor:  mre Marcos Rey</t>
  </si>
  <si>
    <t xml:space="preserve"> Profesor:  ns Nicolás Sosa</t>
  </si>
  <si>
    <t xml:space="preserve"> Profesor:  ok Oliver Kraus</t>
  </si>
  <si>
    <t xml:space="preserve"> Profesor:  rr Rubens Ramponi</t>
  </si>
  <si>
    <t xml:space="preserve"> Profesor:  rs Rafael Sotelo</t>
  </si>
  <si>
    <t xml:space="preserve"> Profesor:  svi Sofía Vila</t>
  </si>
  <si>
    <t xml:space="preserve"> Profesor:  th Thomas Hobbins</t>
  </si>
  <si>
    <t>1ero + 2do + 3ero + 4to + 5to sin electivas</t>
  </si>
  <si>
    <t xml:space="preserve"> Profesor:  xm Xavier Masdeu</t>
  </si>
  <si>
    <t>Min/Max dias</t>
  </si>
  <si>
    <t>1ro-5to</t>
  </si>
  <si>
    <t>max/min dias</t>
  </si>
  <si>
    <t>permitir dias consecutivos</t>
  </si>
  <si>
    <t>EA/Minv</t>
  </si>
  <si>
    <t>maqt</t>
  </si>
  <si>
    <t>instel</t>
  </si>
  <si>
    <t>proyint</t>
  </si>
  <si>
    <t>coincidir con electiva para 5IND</t>
  </si>
  <si>
    <t>INF/TEL/4LINF</t>
  </si>
  <si>
    <t>Diseño e implementación de procesos de Negocio con BPMN</t>
  </si>
  <si>
    <t>INF/TEL/ 4LINF</t>
  </si>
  <si>
    <t>Gestión Seguridad de la Información</t>
  </si>
  <si>
    <t>INF/TEL</t>
  </si>
  <si>
    <t>Aplicaciones Móviles</t>
  </si>
  <si>
    <t>Diseño de Base de datos III</t>
  </si>
  <si>
    <t>INF/TEL/4 LINF</t>
  </si>
  <si>
    <t>Testing (opcional plan viejo)</t>
  </si>
  <si>
    <t>Ethikal Hacking</t>
  </si>
  <si>
    <t xml:space="preserve">Quantum Computing </t>
  </si>
  <si>
    <t>UI/UX  (opcional para plan viejo)</t>
  </si>
  <si>
    <t>DBD3/RPA</t>
  </si>
  <si>
    <t>BPMN/DBD3/EthHck</t>
  </si>
  <si>
    <t>ApMov/RPA</t>
  </si>
  <si>
    <t>QC/TestQA/StUp1</t>
  </si>
  <si>
    <t>ApMov/GSInf</t>
  </si>
  <si>
    <t>BPMN/DBD3/AgroN/EthHck</t>
  </si>
  <si>
    <t>ApMov/RPA/StUp1</t>
  </si>
  <si>
    <t>ApMov/RPA/StUp1/UIUX</t>
  </si>
  <si>
    <t>QC/TestQA</t>
  </si>
  <si>
    <t>BPMN/EthHck</t>
  </si>
  <si>
    <t>QC/AgroN/TestQA/StUp1</t>
  </si>
  <si>
    <t>AgroN/GSInf/StUp1</t>
  </si>
  <si>
    <t>AgroN/ApMov/GSInf/StUp1</t>
  </si>
  <si>
    <t>DBD3/RPA/StUp1</t>
  </si>
  <si>
    <t>DBD3/StUp1</t>
  </si>
  <si>
    <t>ApMov/RPA/UIUX</t>
  </si>
  <si>
    <t>RPA/BPMN</t>
  </si>
  <si>
    <t>EthHck/RPA</t>
  </si>
  <si>
    <t>EA/MInv</t>
  </si>
  <si>
    <t>InstEl/AgroN</t>
  </si>
  <si>
    <t>TecFP/StUp1</t>
  </si>
  <si>
    <t>DIPyU/AgroN/StUp1</t>
  </si>
  <si>
    <t>Puentes/StUp1</t>
  </si>
  <si>
    <t>DPav/Puentes/DIPyU/AgroN/StUp1</t>
  </si>
  <si>
    <t>DPav/Puentes</t>
  </si>
  <si>
    <t>DPav/DIPyU</t>
  </si>
  <si>
    <t>Horm2/DPav/DIPyU</t>
  </si>
  <si>
    <t>sin Puentes</t>
  </si>
  <si>
    <t>Puentes/DIPyU</t>
  </si>
  <si>
    <t>Horm2/DIPyU</t>
  </si>
  <si>
    <t>sin DIPyU</t>
  </si>
  <si>
    <t>sin Dpav</t>
  </si>
  <si>
    <t>sin Horm2</t>
  </si>
  <si>
    <t>no factible</t>
  </si>
  <si>
    <t>Dpav</t>
  </si>
  <si>
    <t>SYMH dias consecutivos</t>
  </si>
  <si>
    <t>hora excepcional mec2</t>
  </si>
  <si>
    <t>BPMN/RPA/EthHck</t>
  </si>
  <si>
    <t>Horm2/Puentes</t>
  </si>
  <si>
    <t>TecFP/GAmb</t>
  </si>
  <si>
    <t>Puentes/AgroN</t>
  </si>
  <si>
    <t>Puentes/AgroN/StUp1</t>
  </si>
  <si>
    <t>AgroN/StUp1</t>
  </si>
  <si>
    <t>AgroN/TestQA</t>
  </si>
  <si>
    <t>GSInf/StUp1</t>
  </si>
  <si>
    <t>DBD3/AgroN/StUp1</t>
  </si>
  <si>
    <t>DBD3/ApMov/GSInf</t>
  </si>
  <si>
    <t>DBD3/ApMov/RPA/GSInf</t>
  </si>
  <si>
    <t>DBD3/ApMov/RPA</t>
  </si>
  <si>
    <t>coincidir AM2</t>
  </si>
  <si>
    <t>coincidir AM2p</t>
  </si>
  <si>
    <t>Horm2[ep]</t>
  </si>
  <si>
    <t>Puentes[ar]</t>
  </si>
  <si>
    <t>DPav[df]/Puentes[ar]</t>
  </si>
  <si>
    <t>DPav[df]</t>
  </si>
  <si>
    <t>DPav[df]/DIPyU[sp]</t>
  </si>
  <si>
    <t>DIPyU[sp]</t>
  </si>
  <si>
    <t>Teo[icc1]</t>
  </si>
  <si>
    <t>MdProc[dj]</t>
  </si>
  <si>
    <t>GAmb[ms]</t>
  </si>
  <si>
    <t>TecFP[fb]/GAmb[ms]</t>
  </si>
  <si>
    <t>TecFP[fb]</t>
  </si>
  <si>
    <t>BPMN[jds]/DBD3[dl]/EthHck[cm]</t>
  </si>
  <si>
    <t>BPMN[jds]/DBD3[dl]/RPA[mg]/EthHck[cm]</t>
  </si>
  <si>
    <t>BPMN[jds]/RPA[mg]/EthHck[cm]</t>
  </si>
  <si>
    <t>DisEst[ep]</t>
  </si>
  <si>
    <t>StUp1[pp]</t>
  </si>
  <si>
    <t>Puentes[ar]/AgroN[fr]</t>
  </si>
  <si>
    <t>DisEst[ep]/StUp1[pp]</t>
  </si>
  <si>
    <t>Puentes[ar]/AgroN[fr]/StUp1[pp]</t>
  </si>
  <si>
    <t>AgroN[fr]/StUp1[pp]</t>
  </si>
  <si>
    <t>InstEl[]</t>
  </si>
  <si>
    <t>InstEl[]/AgroN[fr]</t>
  </si>
  <si>
    <t>MotCI[adc]</t>
  </si>
  <si>
    <t>QC[lg]</t>
  </si>
  <si>
    <t>GSInf[anp]/StUp1[pp]</t>
  </si>
  <si>
    <t>DBD3[dl]/ApMov[gg]/GSInf[anp]</t>
  </si>
  <si>
    <t>DBD3[dl]/ApMov[gg]/RPA[ma]</t>
  </si>
  <si>
    <t>ApMov[gg]/RPA[ma]</t>
  </si>
  <si>
    <t xml:space="preserve"> Profesor:  adc Adrián Carballo</t>
  </si>
  <si>
    <t xml:space="preserve"> Profesor:  anp Andrea Parada</t>
  </si>
  <si>
    <t xml:space="preserve"> Profesor:  df David Fontáns</t>
  </si>
  <si>
    <t xml:space="preserve"> Profesor:  ep Eduardo Pedoja</t>
  </si>
  <si>
    <t xml:space="preserve"> Profesor:  fb Fabrizzio Bagnasco</t>
  </si>
  <si>
    <t xml:space="preserve"> Profesor:  fr Fernando Requena</t>
  </si>
  <si>
    <t xml:space="preserve"> Profesor:  gg Gustavo Gretter</t>
  </si>
  <si>
    <t xml:space="preserve"> Profesor:  ma Marcelo Abreu</t>
  </si>
  <si>
    <t xml:space="preserve"> Profesor:  mg Martha Giménez</t>
  </si>
  <si>
    <t xml:space="preserve"> Profesor:  ms Milenka Sojachenksi</t>
  </si>
  <si>
    <t xml:space="preserve"> Profesor:  pp Pablo Pereira</t>
  </si>
  <si>
    <t>horario excepcional, fijar a ultima</t>
  </si>
  <si>
    <t>4LIC?</t>
  </si>
  <si>
    <t>DBD3[dl]/ApMov[gg]</t>
  </si>
  <si>
    <t>QC[lg]/StUp1[pp]</t>
  </si>
  <si>
    <t>AgroN[fr]/TestQA[]</t>
  </si>
  <si>
    <t>1: 74%, 2: 14%, 3: 12%</t>
  </si>
  <si>
    <t xml:space="preserve"> DPav ['Horm2']</t>
  </si>
  <si>
    <t xml:space="preserve"> Puentes ['Horm2', 'DIPyU']</t>
  </si>
  <si>
    <t xml:space="preserve"> MdProc ['GAmb']</t>
  </si>
  <si>
    <t xml:space="preserve"> TecFP ['MdProc']</t>
  </si>
  <si>
    <t xml:space="preserve"> GAmb ['MdProc']</t>
  </si>
  <si>
    <t xml:space="preserve"> ApMov ['EthHck']</t>
  </si>
  <si>
    <t xml:space="preserve"> DBD3 []</t>
  </si>
  <si>
    <t xml:space="preserve"> BPMN ['ApMov']</t>
  </si>
  <si>
    <t xml:space="preserve"> EthHck ['ApMov']</t>
  </si>
  <si>
    <t xml:space="preserve"> RPA []</t>
  </si>
  <si>
    <t xml:space="preserve"> DIPyU ['DisEst', 'Puentes']</t>
  </si>
  <si>
    <t xml:space="preserve"> DPav ['AgroN', 'DisEst']</t>
  </si>
  <si>
    <t xml:space="preserve"> MotCI ['AgroN', 'TecFP']</t>
  </si>
  <si>
    <t xml:space="preserve"> AgroN ['MotCI', 'TecFP']</t>
  </si>
  <si>
    <t>coincidir con 4IND</t>
  </si>
  <si>
    <t>1 dia</t>
  </si>
  <si>
    <t>Solicito que el grupo más grande no coincida en los dias con otro grupo. Cuando correspondan dos grupos seguidos uno de ellos termina 12 y 30</t>
  </si>
  <si>
    <t>max 4 dias</t>
  </si>
  <si>
    <t>2 dias (coincidir mañana-tarde)</t>
  </si>
  <si>
    <t>{1: 1746, 2: 394, 3: 560}</t>
  </si>
  <si>
    <t>1: 65%, 2: 15%, 3: 21%</t>
  </si>
  <si>
    <t>1: 75%, 2: 14%, 3: 11%</t>
  </si>
  <si>
    <t>879.0</t>
  </si>
  <si>
    <t>Promedio general de prioridad horaria:  1.3734375</t>
  </si>
  <si>
    <t>TODO, minimizar superposicion de electivas con penalidad = 5 (min/max dias como restriccion)</t>
  </si>
  <si>
    <t xml:space="preserve"> StUp1 ['DIPyU']</t>
  </si>
  <si>
    <t>{1: 464, 2: 89, 3: 69}</t>
  </si>
  <si>
    <t xml:space="preserve"> Horm2 ['Puentes', 'DIPyU']</t>
  </si>
  <si>
    <t xml:space="preserve"> DIPyU ['Puentes', 'Horm2']</t>
  </si>
  <si>
    <t xml:space="preserve"> AgroN ['DisEst', 'DIPyU']</t>
  </si>
  <si>
    <t xml:space="preserve"> Puentes ['DisEst', 'DIPyU']</t>
  </si>
  <si>
    <t xml:space="preserve"> DisEst ['Puentes', 'DIPyU']</t>
  </si>
  <si>
    <t xml:space="preserve"> DIPyU ['Puentes', 'DisEst']</t>
  </si>
  <si>
    <t xml:space="preserve"> InstEl ['MotCI', 'StUp1', 'TecFP']</t>
  </si>
  <si>
    <t xml:space="preserve"> MotCI ['InstEl', 'StUp1', 'TecFP']</t>
  </si>
  <si>
    <t xml:space="preserve"> StUp1 ['InstEl', 'MotCI', 'TecFP']</t>
  </si>
  <si>
    <t xml:space="preserve"> TecFP ['InstEl', 'MotCI', 'StUp1']</t>
  </si>
  <si>
    <t xml:space="preserve"> BPMN ['ApMov', 'QC', 'UIUX', 'TestQA']</t>
  </si>
  <si>
    <t xml:space="preserve"> AgroN ['ApMov', 'QC', 'UIUX', 'EthHck']</t>
  </si>
  <si>
    <t xml:space="preserve"> GSInf ['QC', 'UIUX', 'TestQA', 'EthHck']</t>
  </si>
  <si>
    <t xml:space="preserve"> ApMov ['QC', 'UIUX', 'TestQA', 'EthHck']</t>
  </si>
  <si>
    <t xml:space="preserve"> RPA ['GSInf', 'QC', 'UIUX', 'TestQA']</t>
  </si>
  <si>
    <t xml:space="preserve"> StUp1 ['ApMov', 'UIUX', 'TestQA', 'EthHck']</t>
  </si>
  <si>
    <t xml:space="preserve"> QC ['ApMov', 'UIUX', 'TestQA', 'EthHck']</t>
  </si>
  <si>
    <t xml:space="preserve"> UIUX ['ApMov', 'QC', 'TestQA', 'EthHck']</t>
  </si>
  <si>
    <t xml:space="preserve"> DBD3 ['QC', 'UIUX', 'TestQA']</t>
  </si>
  <si>
    <t xml:space="preserve"> TestQA ['ApMov', 'QC', 'UIUX', 'EthHck']</t>
  </si>
  <si>
    <t xml:space="preserve"> EthHck ['ApMov', 'QC', 'UIUX', 'TestQA']</t>
  </si>
  <si>
    <t>Conjuntos de electivas compatibles</t>
  </si>
  <si>
    <t>evitar 2 materias seguidas</t>
  </si>
  <si>
    <t>+ algunas correcciones</t>
  </si>
  <si>
    <t xml:space="preserve"> ApMov ['BPMN']</t>
  </si>
  <si>
    <t xml:space="preserve"> DPav ['DisEst', 'AgroN']</t>
  </si>
  <si>
    <t xml:space="preserve"> InstEl ['TecFP', 'MotCI']</t>
  </si>
  <si>
    <t xml:space="preserve"> StUp1 ['TecFP', 'MotCI']</t>
  </si>
  <si>
    <t xml:space="preserve"> AgroN ['TecFP', 'MotCI']</t>
  </si>
  <si>
    <t xml:space="preserve"> TecFP ['AgroN', 'MotCI']</t>
  </si>
  <si>
    <t xml:space="preserve"> EthHck ['StUp1', 'TestQA', 'ApMov', 'UIUX']</t>
  </si>
  <si>
    <t xml:space="preserve"> BPMN ['StUp1', 'TestQA', 'ApMov', 'UIUX']</t>
  </si>
  <si>
    <t xml:space="preserve"> QC ['TestQA', 'GSInf', 'RPA', 'UIUX']</t>
  </si>
  <si>
    <t xml:space="preserve"> StUp1 ['BPMN', 'TestQA', 'ApMov', 'UIUX']</t>
  </si>
  <si>
    <t xml:space="preserve"> AgroN ['QC', 'GSInf', 'RPA', 'UIUX']</t>
  </si>
  <si>
    <t xml:space="preserve"> DBD3 ['StUp1', 'TestQA', 'UIUX']</t>
  </si>
  <si>
    <t xml:space="preserve"> TestQA ['QC', 'GSInf', 'RPA', 'UIUX']</t>
  </si>
  <si>
    <t xml:space="preserve"> ApMov ['BPMN', 'StUp1', 'TestQA', 'UIUX']</t>
  </si>
  <si>
    <t xml:space="preserve"> GSInf ['QC', 'TestQA', 'RPA', 'UIUX']</t>
  </si>
  <si>
    <t xml:space="preserve"> RPA ['QC', 'TestQA', 'GSInf', 'UIUX']</t>
  </si>
  <si>
    <t xml:space="preserve"> UIUX ['QC', 'TestQA', 'GSInf', 'RPA']</t>
  </si>
  <si>
    <t>AL[mp]</t>
  </si>
  <si>
    <t>HC[icc2]</t>
  </si>
  <si>
    <t>max 2 dias</t>
  </si>
  <si>
    <t>2 dias</t>
  </si>
  <si>
    <t>{1: 461, 2: 85, 3: 76}</t>
  </si>
  <si>
    <t>MInv[rs]/EA[er]</t>
  </si>
  <si>
    <t>Puentes[ar]/DPav[df]</t>
  </si>
  <si>
    <t>EthHck[cm]/DBD3[dl]/BPMN[jds]</t>
  </si>
  <si>
    <t>RPA[ma]/DBD3[dl]/ApMov[gg]</t>
  </si>
  <si>
    <t>RPA[mg]/EthHck[cm]/DBD3[dl]/BPMN[jds]</t>
  </si>
  <si>
    <t>RPA[ma]/ApMov[gg]</t>
  </si>
  <si>
    <t>RPA[mg]/EthHck[cm]/BPMN[jds]</t>
  </si>
  <si>
    <t>StUp1[pp]/DisEst[ep]</t>
  </si>
  <si>
    <t>StUp1[pp]/Puentes[ar]/AgroN[fr]</t>
  </si>
  <si>
    <t>StUp1[pp]/AgroN[fr]</t>
  </si>
  <si>
    <t>StUp1[pp]/InstEl[]</t>
  </si>
  <si>
    <t>StUp1[pp]/QC[lg]</t>
  </si>
  <si>
    <t>AgroN[fr]</t>
  </si>
  <si>
    <t>TestQA[]/StUp1[pp]/AgroN[fr]</t>
  </si>
  <si>
    <t>StUp1[pp]/GSInf[anp]</t>
  </si>
  <si>
    <t>GSInf[anp]/DBD3[dl]/ApMov[gg]</t>
  </si>
  <si>
    <t>889.0</t>
  </si>
  <si>
    <t>Promedio general de prioridad horaria:  1.3890625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</si>
</sst>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1" tint="4.9989318521683403E-2"/>
        <bgColor theme="0" tint="-0.14999847407452621"/>
      </patternFill>
    </fill>
    <fill>
      <patternFill patternType="solid">
        <fgColor theme="5" tint="0.39997558519241921"/>
        <bgColor theme="0" tint="-0.14999847407452621"/>
      </patternFill>
    </fill>
    <fill>
      <patternFill patternType="solid">
        <fgColor theme="5" tint="0.59999389629810485"/>
        <bgColor theme="0" tint="-0.1499984740745262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3" fillId="0" borderId="0"/>
    <xf numFmtId="9" fontId="11" fillId="0" borderId="0" applyFont="0" applyFill="0" applyBorder="0" applyAlignment="0" applyProtection="0"/>
  </cellStyleXfs>
  <cellXfs count="146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/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8" fillId="0" borderId="0" xfId="0" applyFont="1"/>
    <xf numFmtId="0" fontId="1" fillId="7" borderId="2" xfId="0" applyFont="1" applyFill="1" applyBorder="1" applyAlignment="1">
      <alignment vertical="center" wrapText="1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0" fillId="7" borderId="0" xfId="0" applyFill="1"/>
    <xf numFmtId="0" fontId="1" fillId="6" borderId="0" xfId="0" applyFont="1" applyFill="1" applyAlignment="1">
      <alignment horizontal="center"/>
    </xf>
    <xf numFmtId="0" fontId="4" fillId="0" borderId="14" xfId="0" applyFont="1" applyBorder="1" applyAlignment="1">
      <alignment vertical="center" wrapText="1"/>
    </xf>
    <xf numFmtId="0" fontId="4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7" borderId="8" xfId="0" applyFont="1" applyFill="1" applyBorder="1" applyAlignment="1">
      <alignment vertical="center"/>
    </xf>
    <xf numFmtId="0" fontId="9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7" fillId="0" borderId="0" xfId="0" applyFont="1"/>
    <xf numFmtId="0" fontId="4" fillId="13" borderId="14" xfId="0" applyFont="1" applyFill="1" applyBorder="1" applyAlignment="1">
      <alignment horizontal="center" vertical="center" wrapText="1"/>
    </xf>
    <xf numFmtId="0" fontId="4" fillId="14" borderId="14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 wrapText="1"/>
    </xf>
    <xf numFmtId="0" fontId="1" fillId="7" borderId="6" xfId="0" applyFont="1" applyFill="1" applyBorder="1" applyAlignment="1">
      <alignment vertical="center" wrapText="1"/>
    </xf>
    <xf numFmtId="0" fontId="10" fillId="0" borderId="0" xfId="0" applyFont="1"/>
    <xf numFmtId="0" fontId="1" fillId="17" borderId="6" xfId="0" applyFont="1" applyFill="1" applyBorder="1" applyAlignment="1">
      <alignment vertical="center" wrapText="1"/>
    </xf>
    <xf numFmtId="0" fontId="1" fillId="17" borderId="2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17" borderId="8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18" borderId="4" xfId="0" applyFont="1" applyFill="1" applyBorder="1" applyAlignment="1">
      <alignment vertical="center" wrapText="1"/>
    </xf>
    <xf numFmtId="0" fontId="0" fillId="3" borderId="0" xfId="0" applyFill="1" applyAlignment="1">
      <alignment horizontal="center"/>
    </xf>
    <xf numFmtId="20" fontId="0" fillId="0" borderId="0" xfId="0" applyNumberFormat="1" applyAlignment="1">
      <alignment horizontal="center"/>
    </xf>
    <xf numFmtId="9" fontId="0" fillId="9" borderId="0" xfId="2" applyFont="1" applyFill="1" applyAlignment="1">
      <alignment horizontal="center"/>
    </xf>
    <xf numFmtId="9" fontId="0" fillId="10" borderId="0" xfId="2" applyFont="1" applyFill="1" applyAlignment="1">
      <alignment horizontal="center"/>
    </xf>
    <xf numFmtId="0" fontId="1" fillId="19" borderId="8" xfId="0" applyFont="1" applyFill="1" applyBorder="1" applyAlignment="1">
      <alignment vertical="center"/>
    </xf>
    <xf numFmtId="0" fontId="1" fillId="12" borderId="3" xfId="0" applyFont="1" applyFill="1" applyBorder="1" applyAlignment="1">
      <alignment vertical="center"/>
    </xf>
    <xf numFmtId="0" fontId="1" fillId="19" borderId="3" xfId="0" applyFont="1" applyFill="1" applyBorder="1" applyAlignment="1">
      <alignment vertical="center"/>
    </xf>
    <xf numFmtId="0" fontId="0" fillId="0" borderId="10" xfId="0" applyBorder="1"/>
    <xf numFmtId="0" fontId="1" fillId="7" borderId="7" xfId="0" applyFont="1" applyFill="1" applyBorder="1" applyAlignment="1">
      <alignment vertical="center" wrapText="1"/>
    </xf>
    <xf numFmtId="0" fontId="3" fillId="20" borderId="14" xfId="0" applyFont="1" applyFill="1" applyBorder="1"/>
    <xf numFmtId="0" fontId="3" fillId="0" borderId="14" xfId="0" applyFont="1" applyBorder="1"/>
    <xf numFmtId="0" fontId="8" fillId="0" borderId="0" xfId="0" applyFont="1" applyAlignment="1">
      <alignment horizontal="center"/>
    </xf>
    <xf numFmtId="0" fontId="3" fillId="21" borderId="15" xfId="0" applyFont="1" applyFill="1" applyBorder="1"/>
    <xf numFmtId="0" fontId="3" fillId="0" borderId="15" xfId="0" applyFont="1" applyBorder="1"/>
    <xf numFmtId="0" fontId="3" fillId="20" borderId="15" xfId="0" applyFont="1" applyFill="1" applyBorder="1"/>
    <xf numFmtId="0" fontId="3" fillId="21" borderId="16" xfId="0" applyFont="1" applyFill="1" applyBorder="1"/>
    <xf numFmtId="0" fontId="3" fillId="0" borderId="16" xfId="0" applyFont="1" applyBorder="1"/>
    <xf numFmtId="0" fontId="8" fillId="0" borderId="17" xfId="0" applyFont="1" applyBorder="1"/>
    <xf numFmtId="0" fontId="1" fillId="22" borderId="4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 wrapText="1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12" borderId="0" xfId="0" applyFill="1" applyAlignment="1">
      <alignment horizontal="center"/>
    </xf>
    <xf numFmtId="0" fontId="1" fillId="23" borderId="3" xfId="0" applyFont="1" applyFill="1" applyBorder="1" applyAlignment="1">
      <alignment vertical="center"/>
    </xf>
    <xf numFmtId="0" fontId="1" fillId="12" borderId="4" xfId="0" applyFont="1" applyFill="1" applyBorder="1" applyAlignment="1">
      <alignment vertical="center"/>
    </xf>
    <xf numFmtId="0" fontId="3" fillId="20" borderId="14" xfId="0" applyFont="1" applyFill="1" applyBorder="1" applyAlignment="1">
      <alignment horizontal="center"/>
    </xf>
    <xf numFmtId="0" fontId="3" fillId="21" borderId="15" xfId="0" applyFont="1" applyFill="1" applyBorder="1" applyAlignment="1">
      <alignment horizontal="center"/>
    </xf>
    <xf numFmtId="0" fontId="3" fillId="21" borderId="16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24" borderId="0" xfId="0" applyFill="1"/>
    <xf numFmtId="0" fontId="9" fillId="3" borderId="0" xfId="0" applyFont="1" applyFill="1" applyAlignment="1">
      <alignment horizontal="left"/>
    </xf>
    <xf numFmtId="9" fontId="0" fillId="0" borderId="0" xfId="0" applyNumberFormat="1"/>
    <xf numFmtId="0" fontId="9" fillId="0" borderId="0" xfId="0" quotePrefix="1" applyFont="1" applyAlignment="1">
      <alignment horizontal="left"/>
    </xf>
    <xf numFmtId="0" fontId="1" fillId="4" borderId="13" xfId="0" applyFont="1" applyFill="1" applyBorder="1" applyAlignment="1">
      <alignment vertical="center" wrapText="1"/>
    </xf>
    <xf numFmtId="0" fontId="1" fillId="2" borderId="12" xfId="0" applyFont="1" applyFill="1" applyBorder="1" applyAlignment="1">
      <alignment vertical="center" wrapText="1"/>
    </xf>
  </cellXfs>
  <cellStyles count="3">
    <cellStyle name="Normal" xfId="0" builtinId="0"/>
    <cellStyle name="Normal 2" xfId="1" xr:uid="{2579EBC4-8073-4D06-AF07-31A01C277B96}"/>
    <cellStyle name="Porcentaje" xfId="2" builtinId="5"/>
  </cellStyles>
  <dxfs count="5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eetMetadata" Target="metadata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theme" Target="theme/theme1.xml"/><Relationship Id="rId119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P174" totalsRowShown="0" headerRowDxfId="49" dataDxfId="47" headerRowBorderDxfId="48" tableBorderDxfId="46">
  <autoFilter ref="A1:P174" xr:uid="{C1696C74-5DD1-4C8E-A739-81312A27383B}">
    <filterColumn colId="0">
      <filters>
        <filter val="ArqAp"/>
      </filters>
    </filterColumn>
  </autoFilter>
  <sortState xmlns:xlrd2="http://schemas.microsoft.com/office/spreadsheetml/2017/richdata2" ref="A2:P174">
    <sortCondition descending="1" ref="A1:A174"/>
  </sortState>
  <tableColumns count="16">
    <tableColumn id="1" xr3:uid="{075D5136-A95B-4955-B85E-829BC9BA9BAE}" name="Materia" dataDxfId="45"/>
    <tableColumn id="2" xr3:uid="{576A4FC5-51CE-475E-BED3-5CC6B6674721}" name="Carga Horaria" dataDxfId="44"/>
    <tableColumn id="3" xr3:uid="{F2E2F0D6-1D40-4CE0-8103-51959A3B82CD}" name="Días por semana" dataDxfId="43"/>
    <tableColumn id="4" xr3:uid="{264CC43A-F4EB-465F-A7D0-135F4A50B4DA}" name="Teo/Prac" dataDxfId="42"/>
    <tableColumn id="18" xr3:uid="{C1EE52EE-76E1-4227-BDC2-C10CE91F3B25}" name="Electiva" dataDxfId="41"/>
    <tableColumn id="15" xr3:uid="{70E0A7F3-2F19-4D9C-B8B4-44BD310E116D}" name="Cantidad profesores" dataDxfId="40"/>
    <tableColumn id="5" xr3:uid="{6B45BF66-9698-437C-BDC8-5D44A7631A6D}" name="Profesor 1" dataDxfId="39"/>
    <tableColumn id="6" xr3:uid="{B008AED2-55E7-4340-BEFF-FD96D52A94AD}" name="Profesor 2" dataDxfId="38"/>
    <tableColumn id="7" xr3:uid="{AB6B10CF-B16D-4B43-AC73-0C1DC6BF4FDB}" name="Profesor 3" dataDxfId="37"/>
    <tableColumn id="8" xr3:uid="{F29C2ECC-B0C1-4CD7-B883-FA38FEDAB810}" name="Profesor 4" dataDxfId="36"/>
    <tableColumn id="9" xr3:uid="{95992D8B-DCAA-4D57-87A1-000CA7014D18}" name="Grupo 1" dataDxfId="35"/>
    <tableColumn id="10" xr3:uid="{2DA38EA5-810C-44E7-A60B-9C9CF406C451}" name="Grupo 2" dataDxfId="34"/>
    <tableColumn id="11" xr3:uid="{313788F1-87DE-4E02-9D67-7FBF57D47ED7}" name="Grupo 3" dataDxfId="33"/>
    <tableColumn id="12" xr3:uid="{5E84964D-B14A-4A91-815D-C2F572D40545}" name="Grupo 4" dataDxfId="32"/>
    <tableColumn id="13" xr3:uid="{55216FB5-5CFC-47CC-BEE7-9ADF52048B9B}" name="Grupo 5" dataDxfId="31"/>
    <tableColumn id="14" xr3:uid="{37F95C67-73FA-4464-9726-6BF00AC992AA}" name="Observaciones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M105" totalsRowShown="0" headerRowDxfId="29" tableBorderDxfId="28">
  <autoFilter ref="A1:M105" xr:uid="{E74893D1-0573-42A8-87FD-99C77B57B53D}"/>
  <sortState xmlns:xlrd2="http://schemas.microsoft.com/office/spreadsheetml/2017/richdata2" ref="A2:M105">
    <sortCondition ref="B1:B105"/>
  </sortState>
  <tableColumns count="13">
    <tableColumn id="1" xr3:uid="{48E73294-D876-4677-AF47-7E46EE0B52D1}" name="Nombre" dataDxfId="27"/>
    <tableColumn id="2" xr3:uid="{F182E5ED-6A3F-437D-AD09-A5B851853EE5}" name="Profesor" dataDxfId="26"/>
    <tableColumn id="3" xr3:uid="{E4879D73-DC77-4506-AC89-73A9F98F9FBA}" name="Min/Max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0" totalsRowShown="0" headerRowDxfId="14" dataDxfId="13">
  <autoFilter ref="A1:H30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55" dT="2024-11-08T23:25:17.20" personId="{622B8679-81F9-4BA5-BCED-D56836D70B26}" id="{4C163CC1-E3EC-482F-B92B-53B8FA7D17E9}">
    <text>Disponibilidad exacta (3h lunes)</text>
  </threadedComment>
  <threadedComment ref="B68" dT="2024-11-12T13:55:29.10" personId="{622B8679-81F9-4BA5-BCED-D56836D70B26}" id="{B0F64D09-F8B5-43AB-B2BE-149D3AD62FD0}">
    <text>Disponibilidad limitada</text>
  </threadedComment>
  <threadedComment ref="B85" dT="2024-11-08T23:30:24.77" personId="{622B8679-81F9-4BA5-BCED-D56836D70B26}" id="{4B61C5F6-EDAC-4526-92C9-219FB8C0EC39}">
    <text>Poca disponibilidad</text>
  </threadedComment>
  <threadedComment ref="B86" dT="2024-11-08T23:30:24.77" personId="{622B8679-81F9-4BA5-BCED-D56836D70B26}" id="{593D5C6E-D2C6-4948-A243-89725A7C0F64}">
    <text>Poca disponibilidad</text>
  </threadedComment>
  <threadedComment ref="B125" dT="2024-11-08T23:08:53.56" personId="{622B8679-81F9-4BA5-BCED-D56836D70B26}" id="{9C8A45CC-305C-4B73-ADD0-1D5F4446221C}">
    <text>Poca disponibilidad, horas muy ajustadas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K175"/>
  <sheetViews>
    <sheetView zoomScale="90" zoomScaleNormal="90" workbookViewId="0">
      <pane ySplit="1" topLeftCell="A134" activePane="bottomLeft" state="frozen"/>
      <selection activeCell="H164" sqref="H164"/>
      <selection pane="bottomLeft" activeCell="H177" sqref="H177"/>
    </sheetView>
  </sheetViews>
  <sheetFormatPr baseColWidth="10" defaultColWidth="11.88671875" defaultRowHeight="14.4" x14ac:dyDescent="0.3"/>
  <cols>
    <col min="1" max="1" width="11.109375" style="6" customWidth="1"/>
    <col min="2" max="3" width="9.88671875" style="5" customWidth="1"/>
    <col min="4" max="5" width="6.109375" style="5" customWidth="1"/>
    <col min="6" max="6" width="11.21875" style="5" customWidth="1"/>
    <col min="7" max="7" width="10.88671875" style="11" customWidth="1"/>
    <col min="8" max="8" width="10.88671875" style="7" customWidth="1"/>
    <col min="9" max="9" width="10.88671875" style="5" customWidth="1"/>
    <col min="10" max="10" width="10.88671875" style="12" customWidth="1"/>
    <col min="11" max="11" width="8.6640625" style="7" customWidth="1"/>
    <col min="12" max="14" width="8.6640625" style="5" customWidth="1"/>
    <col min="15" max="15" width="8.6640625" style="12" customWidth="1"/>
    <col min="16" max="16" width="17.44140625" style="5" customWidth="1"/>
    <col min="17" max="17" width="14.109375" style="5" customWidth="1"/>
    <col min="18" max="16384" width="11.88671875" style="5"/>
  </cols>
  <sheetData>
    <row r="1" spans="1:37" ht="30.6" customHeight="1" thickBot="1" x14ac:dyDescent="0.35">
      <c r="A1" s="4" t="s">
        <v>4</v>
      </c>
      <c r="B1" s="4" t="s">
        <v>1</v>
      </c>
      <c r="C1" s="9" t="s">
        <v>5</v>
      </c>
      <c r="D1" s="21" t="s">
        <v>275</v>
      </c>
      <c r="E1" s="21" t="s">
        <v>278</v>
      </c>
      <c r="F1" s="26" t="s">
        <v>55</v>
      </c>
      <c r="G1" s="21" t="s">
        <v>35</v>
      </c>
      <c r="H1" s="9" t="s">
        <v>36</v>
      </c>
      <c r="I1" s="9" t="s">
        <v>37</v>
      </c>
      <c r="J1" s="4" t="s">
        <v>38</v>
      </c>
      <c r="K1" s="21" t="s">
        <v>39</v>
      </c>
      <c r="L1" s="9" t="s">
        <v>40</v>
      </c>
      <c r="M1" s="9" t="s">
        <v>41</v>
      </c>
      <c r="N1" s="9" t="s">
        <v>263</v>
      </c>
      <c r="O1" s="4" t="s">
        <v>264</v>
      </c>
      <c r="P1" s="23" t="s">
        <v>161</v>
      </c>
    </row>
    <row r="2" spans="1:37" ht="15" hidden="1" thickBot="1" x14ac:dyDescent="0.35">
      <c r="A2" s="2" t="s">
        <v>266</v>
      </c>
      <c r="B2" s="2">
        <v>2</v>
      </c>
      <c r="C2" s="8">
        <v>1</v>
      </c>
      <c r="D2" s="10"/>
      <c r="E2" s="10"/>
      <c r="F2" s="10">
        <v>1</v>
      </c>
      <c r="G2" s="10" t="s">
        <v>268</v>
      </c>
      <c r="H2" s="8"/>
      <c r="I2" s="8"/>
      <c r="J2" s="2"/>
      <c r="K2" s="8" t="s">
        <v>261</v>
      </c>
      <c r="L2" s="8"/>
      <c r="M2" s="8"/>
      <c r="N2" s="8"/>
      <c r="O2" s="2"/>
      <c r="P2" s="22" t="s">
        <v>773</v>
      </c>
    </row>
    <row r="3" spans="1:37" ht="15" hidden="1" thickBot="1" x14ac:dyDescent="0.35">
      <c r="A3" s="4" t="s">
        <v>266</v>
      </c>
      <c r="B3" s="4">
        <v>2</v>
      </c>
      <c r="C3" s="9">
        <v>1</v>
      </c>
      <c r="D3" s="10"/>
      <c r="E3" s="10"/>
      <c r="F3" s="10">
        <v>1</v>
      </c>
      <c r="G3" s="10" t="s">
        <v>268</v>
      </c>
      <c r="H3" s="8"/>
      <c r="I3" s="8"/>
      <c r="J3" s="2"/>
      <c r="K3" s="8" t="s">
        <v>389</v>
      </c>
      <c r="L3" s="8" t="s">
        <v>390</v>
      </c>
      <c r="M3" s="8"/>
      <c r="N3" s="8"/>
      <c r="O3" s="2"/>
      <c r="P3" s="81"/>
      <c r="T3" s="5" t="s">
        <v>237</v>
      </c>
      <c r="X3" s="5" t="s">
        <v>239</v>
      </c>
      <c r="AA3" s="101" t="s">
        <v>448</v>
      </c>
      <c r="AB3" s="101" t="s">
        <v>449</v>
      </c>
      <c r="AC3" s="101" t="s">
        <v>356</v>
      </c>
      <c r="AD3" s="101" t="s">
        <v>450</v>
      </c>
      <c r="AE3" s="101" t="s">
        <v>451</v>
      </c>
      <c r="AG3" s="101" t="s">
        <v>448</v>
      </c>
      <c r="AH3" s="101" t="s">
        <v>449</v>
      </c>
      <c r="AI3" s="101" t="s">
        <v>356</v>
      </c>
      <c r="AJ3" s="101" t="s">
        <v>450</v>
      </c>
      <c r="AK3" s="101" t="s">
        <v>451</v>
      </c>
    </row>
    <row r="4" spans="1:37" ht="15" hidden="1" thickBot="1" x14ac:dyDescent="0.35">
      <c r="A4" s="82" t="s">
        <v>266</v>
      </c>
      <c r="B4" s="105">
        <v>1</v>
      </c>
      <c r="C4" s="84">
        <v>1</v>
      </c>
      <c r="D4" s="27"/>
      <c r="E4" s="27" t="s">
        <v>235</v>
      </c>
      <c r="F4" s="27">
        <v>1</v>
      </c>
      <c r="G4" s="27" t="s">
        <v>268</v>
      </c>
      <c r="H4" s="80"/>
      <c r="I4" s="80"/>
      <c r="J4" s="79"/>
      <c r="K4" s="80" t="s">
        <v>489</v>
      </c>
      <c r="L4" s="80" t="s">
        <v>488</v>
      </c>
      <c r="M4" s="80"/>
      <c r="N4" s="80"/>
      <c r="O4" s="79"/>
      <c r="P4" s="81" t="s">
        <v>774</v>
      </c>
      <c r="T4" s="5">
        <v>0</v>
      </c>
      <c r="U4">
        <f>COUNTIF($F$2:$F$174,T4)</f>
        <v>8</v>
      </c>
      <c r="X4" s="5">
        <v>1</v>
      </c>
      <c r="Y4" s="5">
        <f t="shared" ref="Y4:Y10" si="0">COUNTIF($B$2:$B$2,X4)</f>
        <v>0</v>
      </c>
      <c r="AA4" s="45" t="s">
        <v>91</v>
      </c>
      <c r="AB4" s="45" t="s">
        <v>769</v>
      </c>
      <c r="AC4" s="45" t="s">
        <v>766</v>
      </c>
      <c r="AD4" s="45" t="s">
        <v>770</v>
      </c>
      <c r="AE4" s="45"/>
      <c r="AG4" s="45"/>
      <c r="AH4" s="45" t="s">
        <v>766</v>
      </c>
      <c r="AI4" s="45" t="s">
        <v>77</v>
      </c>
      <c r="AJ4" s="45" t="s">
        <v>90</v>
      </c>
      <c r="AK4" s="45" t="s">
        <v>767</v>
      </c>
    </row>
    <row r="5" spans="1:37" ht="15" hidden="1" thickBot="1" x14ac:dyDescent="0.35">
      <c r="A5" s="4" t="s">
        <v>511</v>
      </c>
      <c r="B5" s="4">
        <v>3</v>
      </c>
      <c r="C5" s="8">
        <v>1</v>
      </c>
      <c r="D5" s="10"/>
      <c r="E5" s="10"/>
      <c r="F5" s="10">
        <v>1</v>
      </c>
      <c r="G5" s="10" t="s">
        <v>270</v>
      </c>
      <c r="H5" s="8"/>
      <c r="I5" s="8"/>
      <c r="J5" s="2"/>
      <c r="K5" s="8" t="s">
        <v>308</v>
      </c>
      <c r="L5" s="8"/>
      <c r="M5" s="8"/>
      <c r="N5" s="8"/>
      <c r="O5" s="2"/>
      <c r="P5" s="81"/>
      <c r="T5" s="5">
        <v>1</v>
      </c>
      <c r="U5">
        <f>COUNTIF($F$2:$F$174,T5)</f>
        <v>148</v>
      </c>
      <c r="X5" s="5">
        <v>2</v>
      </c>
      <c r="Y5" s="5">
        <f t="shared" si="0"/>
        <v>1</v>
      </c>
      <c r="AA5" s="45" t="s">
        <v>91</v>
      </c>
      <c r="AB5" s="45" t="s">
        <v>769</v>
      </c>
      <c r="AC5" s="45" t="s">
        <v>766</v>
      </c>
      <c r="AD5" s="45" t="s">
        <v>770</v>
      </c>
      <c r="AE5" s="45"/>
      <c r="AG5" s="45"/>
      <c r="AH5" s="45" t="s">
        <v>766</v>
      </c>
      <c r="AI5" s="45" t="s">
        <v>77</v>
      </c>
      <c r="AJ5" s="45" t="s">
        <v>90</v>
      </c>
      <c r="AK5" s="45" t="s">
        <v>767</v>
      </c>
    </row>
    <row r="6" spans="1:37" ht="15" hidden="1" thickBot="1" x14ac:dyDescent="0.35">
      <c r="A6" s="82" t="s">
        <v>511</v>
      </c>
      <c r="B6" s="82">
        <v>3</v>
      </c>
      <c r="C6" s="80">
        <v>1</v>
      </c>
      <c r="D6" s="27"/>
      <c r="E6" s="27"/>
      <c r="F6" s="27">
        <v>1</v>
      </c>
      <c r="G6" s="27" t="s">
        <v>270</v>
      </c>
      <c r="H6" s="80"/>
      <c r="I6" s="80"/>
      <c r="J6" s="79"/>
      <c r="K6" s="80" t="s">
        <v>309</v>
      </c>
      <c r="L6" s="80"/>
      <c r="M6" s="80"/>
      <c r="N6" s="80"/>
      <c r="O6" s="79"/>
      <c r="P6" s="83"/>
      <c r="T6" s="5">
        <v>2</v>
      </c>
      <c r="U6">
        <f>COUNTIF($F$2:$F$174,T6)</f>
        <v>9</v>
      </c>
      <c r="X6" s="5">
        <v>3</v>
      </c>
      <c r="Y6" s="5">
        <f t="shared" si="0"/>
        <v>0</v>
      </c>
      <c r="AA6" s="45" t="s">
        <v>91</v>
      </c>
      <c r="AB6" s="45" t="s">
        <v>769</v>
      </c>
      <c r="AC6" s="45" t="s">
        <v>766</v>
      </c>
      <c r="AD6" s="45" t="s">
        <v>770</v>
      </c>
      <c r="AE6" s="45"/>
      <c r="AG6" s="45" t="s">
        <v>91</v>
      </c>
      <c r="AH6" s="45" t="s">
        <v>766</v>
      </c>
      <c r="AJ6" s="45" t="s">
        <v>90</v>
      </c>
      <c r="AK6" s="45"/>
    </row>
    <row r="7" spans="1:37" ht="15" hidden="1" thickBot="1" x14ac:dyDescent="0.35">
      <c r="A7" s="4" t="s">
        <v>511</v>
      </c>
      <c r="B7" s="4">
        <v>3</v>
      </c>
      <c r="C7" s="8">
        <v>1</v>
      </c>
      <c r="D7" s="10"/>
      <c r="E7" s="10"/>
      <c r="F7" s="10">
        <v>1</v>
      </c>
      <c r="G7" s="10" t="s">
        <v>270</v>
      </c>
      <c r="H7" s="8"/>
      <c r="I7" s="8"/>
      <c r="J7" s="2"/>
      <c r="K7" s="8" t="s">
        <v>310</v>
      </c>
      <c r="L7" s="8"/>
      <c r="M7" s="8"/>
      <c r="N7" s="8"/>
      <c r="O7" s="2"/>
      <c r="P7" s="81"/>
      <c r="T7" s="5">
        <v>3</v>
      </c>
      <c r="U7">
        <f>COUNTIF($F$2:$F$174,T7)</f>
        <v>2</v>
      </c>
      <c r="X7" s="5">
        <v>4</v>
      </c>
      <c r="Y7" s="5">
        <f t="shared" si="0"/>
        <v>0</v>
      </c>
      <c r="AA7" s="45" t="s">
        <v>91</v>
      </c>
      <c r="AB7" s="45" t="s">
        <v>90</v>
      </c>
      <c r="AC7" s="45" t="s">
        <v>266</v>
      </c>
      <c r="AD7" s="45" t="s">
        <v>770</v>
      </c>
      <c r="AE7" s="45"/>
      <c r="AG7" s="45" t="s">
        <v>91</v>
      </c>
      <c r="AH7" s="45" t="s">
        <v>90</v>
      </c>
      <c r="AI7" s="45"/>
      <c r="AJ7" s="45" t="s">
        <v>91</v>
      </c>
      <c r="AK7" s="45"/>
    </row>
    <row r="8" spans="1:37" ht="15" hidden="1" thickBot="1" x14ac:dyDescent="0.35">
      <c r="A8" s="82" t="s">
        <v>511</v>
      </c>
      <c r="B8" s="82">
        <v>3</v>
      </c>
      <c r="C8" s="84">
        <v>1</v>
      </c>
      <c r="D8" s="27"/>
      <c r="E8" s="27"/>
      <c r="F8" s="27">
        <v>1</v>
      </c>
      <c r="G8" s="27" t="s">
        <v>270</v>
      </c>
      <c r="H8" s="80"/>
      <c r="I8" s="80"/>
      <c r="J8" s="79"/>
      <c r="K8" s="80" t="s">
        <v>311</v>
      </c>
      <c r="L8" s="80"/>
      <c r="M8" s="80"/>
      <c r="N8" s="80"/>
      <c r="O8" s="79"/>
      <c r="P8" s="83"/>
      <c r="T8" s="5">
        <v>4</v>
      </c>
      <c r="U8">
        <f>COUNTIF($F$2:$F$174,T8)</f>
        <v>0</v>
      </c>
      <c r="X8" s="5">
        <v>5</v>
      </c>
      <c r="Y8" s="5">
        <f t="shared" si="0"/>
        <v>0</v>
      </c>
      <c r="AA8" s="45" t="s">
        <v>91</v>
      </c>
      <c r="AB8" s="45" t="s">
        <v>90</v>
      </c>
      <c r="AC8" s="45" t="s">
        <v>266</v>
      </c>
      <c r="AD8" s="45" t="s">
        <v>770</v>
      </c>
      <c r="AE8" s="45"/>
      <c r="AG8" s="45"/>
      <c r="AH8" s="45" t="s">
        <v>90</v>
      </c>
      <c r="AJ8" s="45" t="s">
        <v>91</v>
      </c>
      <c r="AK8" s="45"/>
    </row>
    <row r="9" spans="1:37" ht="15" hidden="1" thickBot="1" x14ac:dyDescent="0.35">
      <c r="A9" s="4" t="s">
        <v>510</v>
      </c>
      <c r="B9" s="4">
        <v>2</v>
      </c>
      <c r="C9" s="9">
        <v>1</v>
      </c>
      <c r="D9" s="10"/>
      <c r="E9" s="10"/>
      <c r="F9" s="10">
        <v>1</v>
      </c>
      <c r="G9" s="10" t="s">
        <v>14</v>
      </c>
      <c r="H9" s="8"/>
      <c r="I9" s="8"/>
      <c r="J9" s="2"/>
      <c r="K9" s="8" t="s">
        <v>308</v>
      </c>
      <c r="L9" s="8"/>
      <c r="M9" s="8"/>
      <c r="N9" s="8"/>
      <c r="O9" s="2"/>
      <c r="P9" s="81"/>
      <c r="X9" s="5">
        <v>6</v>
      </c>
      <c r="Y9" s="5">
        <f t="shared" si="0"/>
        <v>0</v>
      </c>
      <c r="AB9" s="57"/>
      <c r="AC9" s="57"/>
      <c r="AD9" s="57"/>
    </row>
    <row r="10" spans="1:37" ht="15" hidden="1" thickBot="1" x14ac:dyDescent="0.35">
      <c r="A10" s="82" t="s">
        <v>510</v>
      </c>
      <c r="B10" s="82">
        <v>2</v>
      </c>
      <c r="C10" s="84">
        <v>1</v>
      </c>
      <c r="D10" s="27"/>
      <c r="E10" s="27"/>
      <c r="F10" s="27">
        <v>1</v>
      </c>
      <c r="G10" s="27" t="s">
        <v>14</v>
      </c>
      <c r="H10" s="80"/>
      <c r="I10" s="80"/>
      <c r="J10" s="79"/>
      <c r="K10" s="80" t="s">
        <v>309</v>
      </c>
      <c r="L10" s="80"/>
      <c r="M10" s="80"/>
      <c r="N10" s="80"/>
      <c r="O10" s="79"/>
      <c r="P10" s="83"/>
      <c r="U10" s="5" cm="1">
        <f t="array" ref="U10">SUM(T4:T8*U4:U8)</f>
        <v>172</v>
      </c>
      <c r="X10" s="5">
        <v>7</v>
      </c>
      <c r="Y10" s="5">
        <f t="shared" si="0"/>
        <v>0</v>
      </c>
      <c r="AB10" s="57"/>
      <c r="AC10" s="57"/>
      <c r="AD10" s="57"/>
      <c r="AG10" s="101" t="s">
        <v>448</v>
      </c>
      <c r="AH10" s="101" t="s">
        <v>449</v>
      </c>
      <c r="AI10" s="101" t="s">
        <v>356</v>
      </c>
      <c r="AJ10" s="101" t="s">
        <v>450</v>
      </c>
      <c r="AK10" s="101" t="s">
        <v>451</v>
      </c>
    </row>
    <row r="11" spans="1:37" ht="15" hidden="1" thickBot="1" x14ac:dyDescent="0.35">
      <c r="A11" s="4" t="s">
        <v>510</v>
      </c>
      <c r="B11" s="4">
        <v>2</v>
      </c>
      <c r="C11" s="9">
        <v>1</v>
      </c>
      <c r="D11" s="10"/>
      <c r="E11" s="10"/>
      <c r="F11" s="10">
        <v>1</v>
      </c>
      <c r="G11" s="10" t="s">
        <v>14</v>
      </c>
      <c r="H11" s="8"/>
      <c r="I11" s="8"/>
      <c r="J11" s="2"/>
      <c r="K11" s="8" t="s">
        <v>310</v>
      </c>
      <c r="L11" s="8"/>
      <c r="M11" s="8"/>
      <c r="N11" s="8"/>
      <c r="O11" s="2"/>
      <c r="P11" s="81"/>
      <c r="AA11" s="101" t="s">
        <v>448</v>
      </c>
      <c r="AB11" s="101" t="s">
        <v>449</v>
      </c>
      <c r="AC11" s="101" t="s">
        <v>356</v>
      </c>
      <c r="AD11" s="101" t="s">
        <v>450</v>
      </c>
      <c r="AE11" s="101" t="s">
        <v>451</v>
      </c>
      <c r="AG11" s="45" t="s">
        <v>77</v>
      </c>
      <c r="AH11" s="45" t="s">
        <v>766</v>
      </c>
      <c r="AI11" s="45" t="s">
        <v>77</v>
      </c>
      <c r="AJ11" s="45" t="s">
        <v>767</v>
      </c>
      <c r="AK11" s="45" t="s">
        <v>91</v>
      </c>
    </row>
    <row r="12" spans="1:37" ht="15" hidden="1" thickBot="1" x14ac:dyDescent="0.35">
      <c r="A12" s="82" t="s">
        <v>510</v>
      </c>
      <c r="B12" s="82">
        <v>2</v>
      </c>
      <c r="C12" s="84">
        <v>1</v>
      </c>
      <c r="D12" s="27"/>
      <c r="E12" s="27"/>
      <c r="F12" s="27">
        <v>1</v>
      </c>
      <c r="G12" s="27" t="s">
        <v>14</v>
      </c>
      <c r="H12" s="80"/>
      <c r="I12" s="80"/>
      <c r="J12" s="79"/>
      <c r="K12" s="80" t="s">
        <v>311</v>
      </c>
      <c r="L12" s="80"/>
      <c r="M12" s="80"/>
      <c r="N12" s="80"/>
      <c r="O12" s="79"/>
      <c r="P12" s="83"/>
      <c r="Y12" s="5" cm="1">
        <f t="array" ref="Y12">SUM(X4:X10*Y4:Y10)</f>
        <v>2</v>
      </c>
      <c r="AA12" s="45" t="s">
        <v>771</v>
      </c>
      <c r="AB12" s="45" t="s">
        <v>767</v>
      </c>
      <c r="AC12" s="45" t="s">
        <v>771</v>
      </c>
      <c r="AD12" s="45" t="s">
        <v>771</v>
      </c>
      <c r="AE12" s="45" t="s">
        <v>771</v>
      </c>
      <c r="AG12" s="45" t="s">
        <v>77</v>
      </c>
      <c r="AH12" s="45" t="s">
        <v>766</v>
      </c>
      <c r="AI12" s="45" t="s">
        <v>77</v>
      </c>
      <c r="AJ12" s="45" t="s">
        <v>767</v>
      </c>
      <c r="AK12" s="45" t="s">
        <v>91</v>
      </c>
    </row>
    <row r="13" spans="1:37" ht="15" hidden="1" thickBot="1" x14ac:dyDescent="0.35">
      <c r="A13" s="4" t="s">
        <v>465</v>
      </c>
      <c r="B13" s="4">
        <v>4</v>
      </c>
      <c r="C13" s="9">
        <v>1</v>
      </c>
      <c r="D13" s="10"/>
      <c r="E13" s="10"/>
      <c r="F13" s="10">
        <v>2</v>
      </c>
      <c r="G13" s="10" t="s">
        <v>412</v>
      </c>
      <c r="H13" s="8" t="s">
        <v>414</v>
      </c>
      <c r="I13" s="8"/>
      <c r="J13" s="2"/>
      <c r="K13" s="8" t="s">
        <v>488</v>
      </c>
      <c r="L13" s="8" t="s">
        <v>489</v>
      </c>
      <c r="M13" s="8"/>
      <c r="N13" s="8"/>
      <c r="O13" s="2"/>
      <c r="P13" s="81"/>
      <c r="S13" s="5" t="s">
        <v>261</v>
      </c>
      <c r="V13"/>
      <c r="AA13" s="45" t="s">
        <v>771</v>
      </c>
      <c r="AB13" s="45" t="s">
        <v>767</v>
      </c>
      <c r="AC13" s="45" t="s">
        <v>771</v>
      </c>
      <c r="AD13" s="45" t="s">
        <v>771</v>
      </c>
      <c r="AE13" s="45" t="s">
        <v>771</v>
      </c>
      <c r="AG13" s="45" t="s">
        <v>91</v>
      </c>
      <c r="AH13" s="45" t="s">
        <v>766</v>
      </c>
      <c r="AI13" s="45" t="s">
        <v>266</v>
      </c>
      <c r="AJ13" s="45" t="s">
        <v>90</v>
      </c>
    </row>
    <row r="14" spans="1:37" ht="15" hidden="1" thickBot="1" x14ac:dyDescent="0.35">
      <c r="A14" s="4" t="s">
        <v>410</v>
      </c>
      <c r="B14" s="4">
        <v>4</v>
      </c>
      <c r="C14" s="9">
        <v>1</v>
      </c>
      <c r="D14" s="10"/>
      <c r="E14" s="10"/>
      <c r="F14" s="10">
        <v>2</v>
      </c>
      <c r="G14" s="10" t="s">
        <v>412</v>
      </c>
      <c r="H14" s="8" t="s">
        <v>414</v>
      </c>
      <c r="I14" s="8"/>
      <c r="J14" s="2"/>
      <c r="K14" s="8" t="s">
        <v>388</v>
      </c>
      <c r="L14" s="8" t="s">
        <v>390</v>
      </c>
      <c r="M14" s="8"/>
      <c r="N14" s="8"/>
      <c r="O14" s="2"/>
      <c r="P14" s="81" t="s">
        <v>765</v>
      </c>
      <c r="V14"/>
      <c r="AA14" s="45"/>
      <c r="AB14" s="45"/>
      <c r="AC14" s="45"/>
      <c r="AD14" s="45"/>
      <c r="AE14" s="45"/>
      <c r="AG14" s="45"/>
      <c r="AH14" s="45"/>
      <c r="AI14" s="45"/>
      <c r="AJ14" s="45"/>
    </row>
    <row r="15" spans="1:37" ht="15" hidden="1" thickBot="1" x14ac:dyDescent="0.35">
      <c r="A15" s="4" t="s">
        <v>410</v>
      </c>
      <c r="B15" s="4">
        <v>4</v>
      </c>
      <c r="C15" s="9">
        <v>1</v>
      </c>
      <c r="D15" s="10"/>
      <c r="E15" s="10"/>
      <c r="F15" s="10">
        <v>2</v>
      </c>
      <c r="G15" s="10" t="s">
        <v>412</v>
      </c>
      <c r="H15" s="8" t="s">
        <v>414</v>
      </c>
      <c r="I15" s="8"/>
      <c r="J15" s="2"/>
      <c r="K15" s="8" t="s">
        <v>389</v>
      </c>
      <c r="L15" s="8"/>
      <c r="M15" s="8"/>
      <c r="N15" s="8"/>
      <c r="O15" s="2"/>
      <c r="P15" s="81" t="s">
        <v>765</v>
      </c>
      <c r="S15" s="5" t="s">
        <v>91</v>
      </c>
      <c r="T15" s="5" t="s">
        <v>443</v>
      </c>
      <c r="U15" s="5">
        <v>4</v>
      </c>
      <c r="V15"/>
      <c r="AA15" s="45" t="s">
        <v>767</v>
      </c>
      <c r="AB15" s="45" t="s">
        <v>767</v>
      </c>
      <c r="AC15" s="45" t="s">
        <v>767</v>
      </c>
      <c r="AD15" s="45" t="s">
        <v>771</v>
      </c>
      <c r="AE15" s="45" t="s">
        <v>767</v>
      </c>
      <c r="AG15" s="45" t="s">
        <v>91</v>
      </c>
      <c r="AH15" s="45" t="s">
        <v>90</v>
      </c>
      <c r="AI15" s="45" t="s">
        <v>266</v>
      </c>
      <c r="AJ15" s="45" t="s">
        <v>90</v>
      </c>
    </row>
    <row r="16" spans="1:37" ht="15" hidden="1" thickBot="1" x14ac:dyDescent="0.35">
      <c r="A16" s="4" t="s">
        <v>409</v>
      </c>
      <c r="B16" s="4">
        <v>4</v>
      </c>
      <c r="C16" s="9">
        <v>2</v>
      </c>
      <c r="D16" s="10"/>
      <c r="E16" s="10"/>
      <c r="F16" s="24">
        <v>0</v>
      </c>
      <c r="G16" s="24"/>
      <c r="H16" s="8"/>
      <c r="I16" s="8"/>
      <c r="J16" s="2"/>
      <c r="K16" s="8" t="s">
        <v>389</v>
      </c>
      <c r="L16" s="8" t="s">
        <v>390</v>
      </c>
      <c r="M16" s="8"/>
      <c r="N16" s="8"/>
      <c r="O16" s="2"/>
      <c r="P16" s="81"/>
      <c r="S16" s="5" t="s">
        <v>766</v>
      </c>
      <c r="T16" s="5">
        <v>3</v>
      </c>
      <c r="U16" s="5">
        <v>3</v>
      </c>
      <c r="V16"/>
      <c r="AA16" s="45"/>
      <c r="AB16" s="45"/>
      <c r="AC16" s="45"/>
      <c r="AD16" s="45"/>
      <c r="AE16" s="45"/>
      <c r="AG16" s="45"/>
      <c r="AH16" s="45" t="s">
        <v>90</v>
      </c>
      <c r="AJ16" s="45" t="s">
        <v>90</v>
      </c>
      <c r="AK16" s="45"/>
    </row>
    <row r="17" spans="1:37" ht="15" hidden="1" thickBot="1" x14ac:dyDescent="0.35">
      <c r="A17" s="4" t="s">
        <v>409</v>
      </c>
      <c r="B17" s="4">
        <v>4</v>
      </c>
      <c r="C17" s="9">
        <v>2</v>
      </c>
      <c r="D17" s="10"/>
      <c r="E17" s="10" t="s">
        <v>235</v>
      </c>
      <c r="F17" s="10">
        <v>0</v>
      </c>
      <c r="G17" s="24"/>
      <c r="H17" s="8"/>
      <c r="I17" s="8"/>
      <c r="J17" s="2"/>
      <c r="K17" s="8" t="s">
        <v>488</v>
      </c>
      <c r="L17" s="8" t="s">
        <v>489</v>
      </c>
      <c r="M17" s="8"/>
      <c r="N17" s="8"/>
      <c r="O17" s="2"/>
      <c r="P17" s="81"/>
      <c r="S17" s="5" t="s">
        <v>767</v>
      </c>
      <c r="T17" s="5" t="s">
        <v>443</v>
      </c>
      <c r="U17" s="5">
        <v>4</v>
      </c>
      <c r="V17"/>
      <c r="AA17" s="45"/>
      <c r="AB17" s="45"/>
      <c r="AC17" s="45"/>
      <c r="AD17" s="45"/>
      <c r="AE17" s="45"/>
      <c r="AG17" s="45"/>
      <c r="AH17" s="45"/>
      <c r="AJ17" s="45"/>
      <c r="AK17" s="45"/>
    </row>
    <row r="18" spans="1:37" ht="15" hidden="1" thickBot="1" x14ac:dyDescent="0.35">
      <c r="A18" s="4" t="s">
        <v>331</v>
      </c>
      <c r="B18" s="4">
        <v>5</v>
      </c>
      <c r="C18" s="9">
        <v>2</v>
      </c>
      <c r="D18" s="10"/>
      <c r="E18" s="10"/>
      <c r="F18" s="10">
        <v>1</v>
      </c>
      <c r="G18" s="10" t="s">
        <v>42</v>
      </c>
      <c r="H18" s="8"/>
      <c r="I18" s="8"/>
      <c r="J18" s="2"/>
      <c r="K18" s="8" t="s">
        <v>324</v>
      </c>
      <c r="L18" s="8" t="s">
        <v>325</v>
      </c>
      <c r="M18" s="8"/>
      <c r="N18" s="8"/>
      <c r="O18" s="2"/>
      <c r="P18" s="81"/>
      <c r="S18" s="5" t="s">
        <v>90</v>
      </c>
      <c r="T18" s="5" t="s">
        <v>444</v>
      </c>
      <c r="U18" s="5">
        <v>5</v>
      </c>
      <c r="V18"/>
      <c r="AB18" s="45"/>
      <c r="AC18" s="45"/>
      <c r="AD18" s="45"/>
      <c r="AE18" s="45"/>
      <c r="AF18" s="45"/>
    </row>
    <row r="19" spans="1:37" ht="15" hidden="1" thickBot="1" x14ac:dyDescent="0.35">
      <c r="A19" s="4" t="s">
        <v>260</v>
      </c>
      <c r="B19" s="46">
        <v>2</v>
      </c>
      <c r="C19" s="114">
        <v>1</v>
      </c>
      <c r="D19" s="10"/>
      <c r="E19" s="10"/>
      <c r="F19" s="10">
        <v>1</v>
      </c>
      <c r="G19" s="56" t="s">
        <v>501</v>
      </c>
      <c r="H19" s="61"/>
      <c r="I19" s="8"/>
      <c r="J19" s="2"/>
      <c r="K19" s="8" t="s">
        <v>261</v>
      </c>
      <c r="L19" s="8"/>
      <c r="M19" s="8"/>
      <c r="N19" s="8"/>
      <c r="O19" s="2"/>
      <c r="P19" s="81" t="s">
        <v>851</v>
      </c>
      <c r="S19" s="5" t="s">
        <v>77</v>
      </c>
      <c r="T19" s="5" t="s">
        <v>443</v>
      </c>
      <c r="U19" s="5">
        <v>4</v>
      </c>
      <c r="V19"/>
    </row>
    <row r="20" spans="1:37" ht="15" hidden="1" thickBot="1" x14ac:dyDescent="0.35">
      <c r="A20" s="4" t="s">
        <v>260</v>
      </c>
      <c r="B20" s="46">
        <v>1</v>
      </c>
      <c r="C20" s="114">
        <v>1</v>
      </c>
      <c r="D20" s="10"/>
      <c r="E20" s="10"/>
      <c r="F20" s="10">
        <v>1</v>
      </c>
      <c r="G20" s="56" t="s">
        <v>501</v>
      </c>
      <c r="H20" s="61"/>
      <c r="I20" s="8"/>
      <c r="J20" s="2"/>
      <c r="K20" s="8" t="s">
        <v>261</v>
      </c>
      <c r="L20" s="8"/>
      <c r="M20" s="8"/>
      <c r="N20" s="8"/>
      <c r="O20" s="2"/>
      <c r="P20" s="81" t="s">
        <v>851</v>
      </c>
      <c r="S20" s="5" t="s">
        <v>266</v>
      </c>
      <c r="T20" s="5">
        <v>2</v>
      </c>
      <c r="U20" s="5">
        <v>2</v>
      </c>
    </row>
    <row r="21" spans="1:37" ht="15" hidden="1" thickBot="1" x14ac:dyDescent="0.35">
      <c r="A21" s="4" t="s">
        <v>260</v>
      </c>
      <c r="B21" s="46">
        <v>2</v>
      </c>
      <c r="C21" s="114">
        <v>1</v>
      </c>
      <c r="D21" s="10"/>
      <c r="E21" s="10"/>
      <c r="F21" s="10">
        <v>1</v>
      </c>
      <c r="G21" s="56" t="s">
        <v>491</v>
      </c>
      <c r="H21" s="61" t="s">
        <v>503</v>
      </c>
      <c r="I21" s="8"/>
      <c r="J21" s="2"/>
      <c r="K21" s="8" t="s">
        <v>386</v>
      </c>
      <c r="L21" s="8" t="s">
        <v>387</v>
      </c>
      <c r="M21" s="8"/>
      <c r="N21" s="8"/>
      <c r="O21" s="2"/>
      <c r="P21" s="124" t="s">
        <v>851</v>
      </c>
      <c r="T21" s="5" t="s">
        <v>768</v>
      </c>
      <c r="U21" s="5">
        <f>SUM(U15:U20)</f>
        <v>22</v>
      </c>
    </row>
    <row r="22" spans="1:37" ht="15" hidden="1" thickBot="1" x14ac:dyDescent="0.35">
      <c r="A22" s="4" t="s">
        <v>260</v>
      </c>
      <c r="B22" s="46">
        <v>1</v>
      </c>
      <c r="C22" s="114">
        <v>1</v>
      </c>
      <c r="D22" s="10"/>
      <c r="E22" s="10"/>
      <c r="F22" s="10">
        <v>1</v>
      </c>
      <c r="G22" s="56" t="s">
        <v>491</v>
      </c>
      <c r="H22" s="61"/>
      <c r="I22" s="8"/>
      <c r="J22" s="2"/>
      <c r="K22" s="8" t="s">
        <v>386</v>
      </c>
      <c r="L22" s="8" t="s">
        <v>387</v>
      </c>
      <c r="M22" s="8"/>
      <c r="N22" s="8"/>
      <c r="O22" s="2"/>
      <c r="P22" s="124" t="s">
        <v>851</v>
      </c>
    </row>
    <row r="23" spans="1:37" ht="15" hidden="1" thickBot="1" x14ac:dyDescent="0.35">
      <c r="A23" s="4" t="s">
        <v>260</v>
      </c>
      <c r="B23" s="46">
        <v>2</v>
      </c>
      <c r="C23" s="114">
        <v>1</v>
      </c>
      <c r="D23" s="10"/>
      <c r="E23" s="10"/>
      <c r="F23" s="10">
        <v>1</v>
      </c>
      <c r="G23" s="56" t="s">
        <v>491</v>
      </c>
      <c r="H23" s="61" t="s">
        <v>503</v>
      </c>
      <c r="I23" s="8"/>
      <c r="J23" s="2"/>
      <c r="K23" s="8" t="s">
        <v>389</v>
      </c>
      <c r="L23" s="8" t="s">
        <v>390</v>
      </c>
      <c r="M23" s="25" t="s">
        <v>388</v>
      </c>
      <c r="N23" s="8"/>
      <c r="O23" s="2"/>
      <c r="P23" s="124" t="s">
        <v>851</v>
      </c>
    </row>
    <row r="24" spans="1:37" s="39" customFormat="1" ht="15" hidden="1" thickBot="1" x14ac:dyDescent="0.35">
      <c r="A24" s="4" t="s">
        <v>260</v>
      </c>
      <c r="B24" s="46">
        <v>1</v>
      </c>
      <c r="C24" s="114">
        <v>1</v>
      </c>
      <c r="D24" s="10"/>
      <c r="E24" s="10"/>
      <c r="F24" s="10">
        <v>1</v>
      </c>
      <c r="G24" s="56" t="s">
        <v>491</v>
      </c>
      <c r="H24" s="61"/>
      <c r="I24" s="8"/>
      <c r="J24" s="2"/>
      <c r="K24" s="8" t="s">
        <v>389</v>
      </c>
      <c r="L24" s="8" t="s">
        <v>390</v>
      </c>
      <c r="M24" s="25" t="s">
        <v>388</v>
      </c>
      <c r="N24" s="8"/>
      <c r="O24" s="2"/>
      <c r="P24" s="124" t="s">
        <v>851</v>
      </c>
    </row>
    <row r="25" spans="1:37" ht="15" hidden="1" thickBot="1" x14ac:dyDescent="0.35">
      <c r="A25" s="98" t="s">
        <v>402</v>
      </c>
      <c r="B25" s="4">
        <v>5</v>
      </c>
      <c r="C25" s="9">
        <v>2</v>
      </c>
      <c r="D25" s="10"/>
      <c r="E25" s="24" t="s">
        <v>235</v>
      </c>
      <c r="F25" s="10">
        <v>1</v>
      </c>
      <c r="G25" s="10" t="s">
        <v>404</v>
      </c>
      <c r="H25" s="8"/>
      <c r="I25" s="8"/>
      <c r="J25" s="2"/>
      <c r="K25" s="8" t="s">
        <v>387</v>
      </c>
      <c r="L25" s="8"/>
      <c r="M25" s="8"/>
      <c r="N25" s="8"/>
      <c r="O25" s="2"/>
      <c r="P25" s="81" t="s">
        <v>856</v>
      </c>
    </row>
    <row r="26" spans="1:37" ht="15" hidden="1" thickBot="1" x14ac:dyDescent="0.35">
      <c r="A26" s="98" t="s">
        <v>402</v>
      </c>
      <c r="B26" s="4">
        <v>5</v>
      </c>
      <c r="C26" s="9">
        <v>2</v>
      </c>
      <c r="D26" s="10"/>
      <c r="E26" s="10" t="s">
        <v>235</v>
      </c>
      <c r="F26" s="10">
        <v>1</v>
      </c>
      <c r="G26" s="10" t="s">
        <v>404</v>
      </c>
      <c r="H26" s="8"/>
      <c r="I26" s="8"/>
      <c r="J26" s="2"/>
      <c r="K26" s="80" t="s">
        <v>487</v>
      </c>
      <c r="L26" s="80"/>
      <c r="M26" s="80"/>
      <c r="N26" s="80"/>
      <c r="O26" s="79"/>
      <c r="P26" s="81" t="s">
        <v>979</v>
      </c>
      <c r="R26" s="5" t="s">
        <v>8</v>
      </c>
      <c r="S26" s="42" t="s">
        <v>444</v>
      </c>
      <c r="T26" s="42">
        <v>5</v>
      </c>
    </row>
    <row r="27" spans="1:37" ht="15" hidden="1" thickBot="1" x14ac:dyDescent="0.35">
      <c r="A27" s="82" t="s">
        <v>392</v>
      </c>
      <c r="B27" s="82">
        <v>3</v>
      </c>
      <c r="C27" s="84">
        <v>1</v>
      </c>
      <c r="D27" s="27"/>
      <c r="E27" s="27"/>
      <c r="F27" s="27">
        <v>1</v>
      </c>
      <c r="G27" s="27" t="s">
        <v>469</v>
      </c>
      <c r="H27" s="80" t="s">
        <v>523</v>
      </c>
      <c r="I27" s="80"/>
      <c r="J27" s="79"/>
      <c r="K27" s="80" t="s">
        <v>386</v>
      </c>
      <c r="L27" s="80"/>
      <c r="M27" s="80"/>
      <c r="N27" s="80"/>
      <c r="O27" s="79"/>
      <c r="P27" s="81" t="s">
        <v>651</v>
      </c>
      <c r="R27" s="5" t="s">
        <v>9</v>
      </c>
      <c r="S27" s="42">
        <v>2</v>
      </c>
      <c r="T27" s="42">
        <v>2</v>
      </c>
    </row>
    <row r="28" spans="1:37" ht="15" hidden="1" thickBot="1" x14ac:dyDescent="0.35">
      <c r="A28" s="4" t="s">
        <v>392</v>
      </c>
      <c r="B28" s="4">
        <v>3</v>
      </c>
      <c r="C28" s="9">
        <v>1</v>
      </c>
      <c r="D28" s="10"/>
      <c r="E28" s="10"/>
      <c r="F28" s="10">
        <v>1</v>
      </c>
      <c r="G28" s="10" t="s">
        <v>469</v>
      </c>
      <c r="H28" s="8" t="s">
        <v>523</v>
      </c>
      <c r="I28" s="8"/>
      <c r="J28" s="2"/>
      <c r="K28" s="8" t="s">
        <v>386</v>
      </c>
      <c r="L28" s="8"/>
      <c r="M28" s="8"/>
      <c r="N28" s="8"/>
      <c r="O28" s="2"/>
      <c r="P28" s="81" t="s">
        <v>651</v>
      </c>
      <c r="R28" s="5" t="s">
        <v>6</v>
      </c>
      <c r="S28" s="42" t="s">
        <v>444</v>
      </c>
      <c r="T28" s="42">
        <v>5</v>
      </c>
    </row>
    <row r="29" spans="1:37" ht="15" hidden="1" thickBot="1" x14ac:dyDescent="0.35">
      <c r="A29" s="4" t="s">
        <v>683</v>
      </c>
      <c r="B29" s="4">
        <v>5</v>
      </c>
      <c r="C29" s="9">
        <v>2</v>
      </c>
      <c r="D29" s="10"/>
      <c r="E29" s="10" t="s">
        <v>235</v>
      </c>
      <c r="F29" s="10">
        <v>1</v>
      </c>
      <c r="G29" s="10" t="s">
        <v>685</v>
      </c>
      <c r="H29" s="8"/>
      <c r="I29" s="8"/>
      <c r="J29" s="2"/>
      <c r="K29" s="8" t="s">
        <v>486</v>
      </c>
      <c r="L29" s="8" t="s">
        <v>487</v>
      </c>
      <c r="M29" s="8" t="s">
        <v>488</v>
      </c>
      <c r="N29" s="8" t="s">
        <v>489</v>
      </c>
      <c r="O29" s="2"/>
      <c r="P29" s="81"/>
      <c r="R29" s="5" t="s">
        <v>7</v>
      </c>
      <c r="S29" s="42">
        <v>2</v>
      </c>
      <c r="T29" s="42">
        <v>2</v>
      </c>
    </row>
    <row r="30" spans="1:37" ht="15" hidden="1" thickBot="1" x14ac:dyDescent="0.35">
      <c r="A30" s="82" t="s">
        <v>377</v>
      </c>
      <c r="B30" s="82">
        <v>5</v>
      </c>
      <c r="C30" s="84">
        <v>2</v>
      </c>
      <c r="D30" s="27"/>
      <c r="E30" s="27"/>
      <c r="F30" s="27">
        <v>1</v>
      </c>
      <c r="G30" s="27" t="s">
        <v>379</v>
      </c>
      <c r="H30" s="80" t="s">
        <v>381</v>
      </c>
      <c r="I30" s="80"/>
      <c r="J30" s="79"/>
      <c r="K30" s="80" t="s">
        <v>364</v>
      </c>
      <c r="L30" s="80" t="s">
        <v>366</v>
      </c>
      <c r="M30" s="80"/>
      <c r="N30" s="80"/>
      <c r="O30" s="79"/>
      <c r="P30" s="83"/>
      <c r="R30" s="5" t="s">
        <v>312</v>
      </c>
      <c r="S30" s="42" t="s">
        <v>444</v>
      </c>
      <c r="T30" s="42">
        <v>5</v>
      </c>
    </row>
    <row r="31" spans="1:37" ht="15" hidden="1" thickBot="1" x14ac:dyDescent="0.35">
      <c r="A31" s="4" t="s">
        <v>377</v>
      </c>
      <c r="B31" s="4">
        <v>5</v>
      </c>
      <c r="C31" s="9">
        <v>2</v>
      </c>
      <c r="D31" s="10"/>
      <c r="E31" s="10"/>
      <c r="F31" s="10">
        <v>1</v>
      </c>
      <c r="G31" s="10" t="s">
        <v>379</v>
      </c>
      <c r="H31" s="8" t="s">
        <v>381</v>
      </c>
      <c r="I31" s="8"/>
      <c r="J31" s="2"/>
      <c r="K31" s="8" t="s">
        <v>365</v>
      </c>
      <c r="L31" s="8"/>
      <c r="M31" s="8"/>
      <c r="N31" s="8"/>
      <c r="O31" s="2"/>
      <c r="P31" s="81"/>
      <c r="R31" s="5" t="s">
        <v>447</v>
      </c>
      <c r="S31" s="42" t="s">
        <v>444</v>
      </c>
      <c r="T31" s="42">
        <v>5</v>
      </c>
    </row>
    <row r="32" spans="1:37" ht="15" hidden="1" thickBot="1" x14ac:dyDescent="0.35">
      <c r="A32" s="4" t="s">
        <v>407</v>
      </c>
      <c r="B32" s="4">
        <v>4</v>
      </c>
      <c r="C32" s="9">
        <v>2</v>
      </c>
      <c r="D32" s="10"/>
      <c r="E32" s="10"/>
      <c r="F32" s="10">
        <v>1</v>
      </c>
      <c r="G32" s="10" t="s">
        <v>485</v>
      </c>
      <c r="H32" s="8" t="s">
        <v>666</v>
      </c>
      <c r="I32" s="8"/>
      <c r="J32" s="2"/>
      <c r="K32" s="8" t="s">
        <v>389</v>
      </c>
      <c r="L32" s="8" t="s">
        <v>390</v>
      </c>
      <c r="M32" s="8"/>
      <c r="N32" s="8"/>
      <c r="O32" s="2"/>
      <c r="P32" s="81"/>
      <c r="S32" s="42"/>
      <c r="T32" s="42">
        <f>SUM(T26:T31)</f>
        <v>24</v>
      </c>
    </row>
    <row r="33" spans="1:20" ht="15" hidden="1" thickBot="1" x14ac:dyDescent="0.35">
      <c r="A33" s="4" t="s">
        <v>407</v>
      </c>
      <c r="B33" s="4">
        <v>4</v>
      </c>
      <c r="C33" s="9">
        <v>2</v>
      </c>
      <c r="D33" s="10"/>
      <c r="E33" s="10"/>
      <c r="F33" s="10">
        <v>1</v>
      </c>
      <c r="G33" s="10" t="s">
        <v>485</v>
      </c>
      <c r="H33" s="8" t="s">
        <v>666</v>
      </c>
      <c r="I33" s="8"/>
      <c r="J33" s="2"/>
      <c r="K33" s="8" t="s">
        <v>489</v>
      </c>
      <c r="L33" s="89" t="s">
        <v>388</v>
      </c>
      <c r="M33" s="8"/>
      <c r="N33" s="8"/>
      <c r="O33" s="2"/>
      <c r="P33" s="81"/>
      <c r="S33" s="42"/>
      <c r="T33" s="42"/>
    </row>
    <row r="34" spans="1:20" ht="15" hidden="1" thickBot="1" x14ac:dyDescent="0.35">
      <c r="A34" s="4" t="s">
        <v>464</v>
      </c>
      <c r="B34" s="4">
        <v>4</v>
      </c>
      <c r="C34" s="9">
        <v>2</v>
      </c>
      <c r="D34" s="10"/>
      <c r="E34" s="10"/>
      <c r="F34" s="10">
        <v>1</v>
      </c>
      <c r="G34" s="10" t="s">
        <v>483</v>
      </c>
      <c r="H34" s="8"/>
      <c r="I34" s="8"/>
      <c r="J34" s="2"/>
      <c r="K34" s="8" t="s">
        <v>488</v>
      </c>
      <c r="L34" s="8"/>
      <c r="M34" s="8"/>
      <c r="N34" s="8"/>
      <c r="O34" s="2"/>
      <c r="P34" s="81"/>
      <c r="S34" s="42"/>
      <c r="T34" s="42"/>
    </row>
    <row r="35" spans="1:20" ht="15" hidden="1" thickBot="1" x14ac:dyDescent="0.35">
      <c r="A35" s="82" t="s">
        <v>350</v>
      </c>
      <c r="B35" s="82">
        <v>6</v>
      </c>
      <c r="C35" s="84">
        <v>2</v>
      </c>
      <c r="D35" s="27"/>
      <c r="E35" s="27"/>
      <c r="F35" s="27">
        <v>1</v>
      </c>
      <c r="G35" s="10" t="s">
        <v>351</v>
      </c>
      <c r="H35" s="80"/>
      <c r="I35" s="80"/>
      <c r="J35" s="79"/>
      <c r="K35" s="80" t="s">
        <v>326</v>
      </c>
      <c r="L35" s="80" t="s">
        <v>328</v>
      </c>
      <c r="M35" s="80"/>
      <c r="N35" s="80"/>
      <c r="O35" s="79"/>
      <c r="P35" s="81" t="s">
        <v>678</v>
      </c>
      <c r="S35" s="42"/>
      <c r="T35" s="42"/>
    </row>
    <row r="36" spans="1:20" ht="15" hidden="1" thickBot="1" x14ac:dyDescent="0.35">
      <c r="A36" s="4" t="s">
        <v>350</v>
      </c>
      <c r="B36" s="4">
        <v>6</v>
      </c>
      <c r="C36" s="9">
        <v>2</v>
      </c>
      <c r="D36" s="10"/>
      <c r="E36" s="10"/>
      <c r="F36" s="10">
        <v>0</v>
      </c>
      <c r="G36" s="24"/>
      <c r="H36" s="8"/>
      <c r="I36" s="8"/>
      <c r="J36" s="2"/>
      <c r="K36" s="8" t="s">
        <v>327</v>
      </c>
      <c r="L36" s="8"/>
      <c r="M36" s="8"/>
      <c r="N36" s="8"/>
      <c r="O36" s="2"/>
      <c r="P36" s="81" t="s">
        <v>678</v>
      </c>
      <c r="S36" s="42"/>
      <c r="T36" s="42"/>
    </row>
    <row r="37" spans="1:20" ht="15" hidden="1" thickBot="1" x14ac:dyDescent="0.35">
      <c r="A37" s="4" t="s">
        <v>90</v>
      </c>
      <c r="B37" s="4">
        <v>3</v>
      </c>
      <c r="C37" s="9">
        <v>1</v>
      </c>
      <c r="D37" s="10"/>
      <c r="E37" s="10"/>
      <c r="F37" s="56">
        <v>1</v>
      </c>
      <c r="G37" s="56" t="s">
        <v>65</v>
      </c>
      <c r="H37" s="8"/>
      <c r="I37" s="8"/>
      <c r="J37" s="2"/>
      <c r="K37" s="8" t="s">
        <v>261</v>
      </c>
      <c r="L37" s="8"/>
      <c r="M37" s="8"/>
      <c r="N37" s="8"/>
      <c r="O37" s="2"/>
      <c r="P37" s="81" t="s">
        <v>772</v>
      </c>
    </row>
    <row r="38" spans="1:20" ht="15" hidden="1" thickBot="1" x14ac:dyDescent="0.35">
      <c r="A38" s="4" t="s">
        <v>90</v>
      </c>
      <c r="B38" s="4">
        <v>2</v>
      </c>
      <c r="C38" s="9">
        <v>1</v>
      </c>
      <c r="D38" s="10"/>
      <c r="E38" s="10"/>
      <c r="F38" s="56">
        <v>1</v>
      </c>
      <c r="G38" s="56" t="s">
        <v>514</v>
      </c>
      <c r="H38" s="8"/>
      <c r="I38" s="8"/>
      <c r="J38" s="2"/>
      <c r="K38" s="8" t="s">
        <v>261</v>
      </c>
      <c r="L38" s="8"/>
      <c r="M38" s="8"/>
      <c r="N38" s="8"/>
      <c r="O38" s="2"/>
      <c r="P38" s="81" t="s">
        <v>772</v>
      </c>
    </row>
    <row r="39" spans="1:20" ht="15" hidden="1" thickBot="1" x14ac:dyDescent="0.35">
      <c r="A39" s="4" t="s">
        <v>662</v>
      </c>
      <c r="B39" s="4">
        <v>2</v>
      </c>
      <c r="C39" s="9">
        <v>1</v>
      </c>
      <c r="D39" s="10"/>
      <c r="E39" s="10" t="s">
        <v>235</v>
      </c>
      <c r="F39" s="10">
        <v>1</v>
      </c>
      <c r="G39" s="10" t="s">
        <v>667</v>
      </c>
      <c r="H39" s="8"/>
      <c r="I39" s="8"/>
      <c r="J39" s="2"/>
      <c r="K39" s="8" t="s">
        <v>505</v>
      </c>
      <c r="L39" s="80" t="s">
        <v>488</v>
      </c>
      <c r="M39" s="80" t="s">
        <v>489</v>
      </c>
      <c r="N39" s="80"/>
      <c r="O39" s="79"/>
      <c r="P39" s="83" t="s">
        <v>670</v>
      </c>
    </row>
    <row r="40" spans="1:20" ht="15" hidden="1" thickBot="1" x14ac:dyDescent="0.35">
      <c r="A40" s="4" t="s">
        <v>662</v>
      </c>
      <c r="B40" s="4">
        <v>2</v>
      </c>
      <c r="C40" s="9">
        <v>1</v>
      </c>
      <c r="D40" s="10"/>
      <c r="E40" s="10" t="s">
        <v>235</v>
      </c>
      <c r="F40" s="10">
        <v>1</v>
      </c>
      <c r="G40" s="10" t="s">
        <v>671</v>
      </c>
      <c r="H40" s="8"/>
      <c r="I40" s="8"/>
      <c r="J40" s="2"/>
      <c r="K40" s="8" t="s">
        <v>505</v>
      </c>
      <c r="L40" s="8" t="s">
        <v>488</v>
      </c>
      <c r="M40" s="8" t="s">
        <v>489</v>
      </c>
      <c r="N40" s="8"/>
      <c r="O40" s="2"/>
      <c r="P40" s="81" t="s">
        <v>670</v>
      </c>
    </row>
    <row r="41" spans="1:20" ht="15" hidden="1" thickBot="1" x14ac:dyDescent="0.35">
      <c r="A41" s="4" t="s">
        <v>663</v>
      </c>
      <c r="B41" s="4">
        <v>2</v>
      </c>
      <c r="C41" s="9">
        <v>1</v>
      </c>
      <c r="D41" s="10" t="s">
        <v>277</v>
      </c>
      <c r="E41" s="10"/>
      <c r="F41" s="10">
        <v>0</v>
      </c>
      <c r="G41" s="24"/>
      <c r="H41" s="8"/>
      <c r="I41" s="8"/>
      <c r="J41" s="2"/>
      <c r="K41" s="8" t="s">
        <v>362</v>
      </c>
      <c r="L41" s="8"/>
      <c r="M41" s="8"/>
      <c r="N41" s="8"/>
      <c r="O41" s="2"/>
      <c r="P41" s="81"/>
    </row>
    <row r="42" spans="1:20" ht="15" hidden="1" thickBot="1" x14ac:dyDescent="0.35">
      <c r="A42" s="4" t="s">
        <v>370</v>
      </c>
      <c r="B42" s="82">
        <v>3</v>
      </c>
      <c r="C42" s="84">
        <v>1</v>
      </c>
      <c r="D42" s="27" t="s">
        <v>276</v>
      </c>
      <c r="E42" s="27"/>
      <c r="F42" s="27">
        <v>1</v>
      </c>
      <c r="G42" s="10" t="s">
        <v>525</v>
      </c>
      <c r="H42" s="80"/>
      <c r="I42" s="80"/>
      <c r="J42" s="79"/>
      <c r="K42" s="80" t="s">
        <v>362</v>
      </c>
      <c r="L42" s="80"/>
      <c r="M42" s="80"/>
      <c r="N42" s="80"/>
      <c r="O42" s="79"/>
      <c r="P42" s="81"/>
    </row>
    <row r="43" spans="1:20" ht="15" hidden="1" thickBot="1" x14ac:dyDescent="0.35">
      <c r="A43" s="82" t="s">
        <v>382</v>
      </c>
      <c r="B43" s="82">
        <v>5</v>
      </c>
      <c r="C43" s="84">
        <v>2</v>
      </c>
      <c r="D43" s="27"/>
      <c r="E43" s="27"/>
      <c r="F43" s="27">
        <v>3</v>
      </c>
      <c r="G43" s="27" t="s">
        <v>74</v>
      </c>
      <c r="H43" s="80" t="s">
        <v>64</v>
      </c>
      <c r="I43" s="80" t="s">
        <v>80</v>
      </c>
      <c r="J43" s="79"/>
      <c r="K43" s="80" t="s">
        <v>364</v>
      </c>
      <c r="L43" s="80"/>
      <c r="M43" s="80"/>
      <c r="N43" s="80"/>
      <c r="O43" s="79"/>
      <c r="P43" s="83"/>
    </row>
    <row r="44" spans="1:20" ht="15" hidden="1" thickBot="1" x14ac:dyDescent="0.35">
      <c r="A44" s="82" t="s">
        <v>79</v>
      </c>
      <c r="B44" s="82">
        <v>5</v>
      </c>
      <c r="C44" s="84">
        <v>2</v>
      </c>
      <c r="D44" s="27"/>
      <c r="E44" s="27"/>
      <c r="F44" s="27">
        <v>3</v>
      </c>
      <c r="G44" s="27" t="s">
        <v>74</v>
      </c>
      <c r="H44" s="80" t="s">
        <v>64</v>
      </c>
      <c r="I44" s="80" t="s">
        <v>80</v>
      </c>
      <c r="J44" s="79"/>
      <c r="K44" s="80" t="s">
        <v>258</v>
      </c>
      <c r="L44" s="80"/>
      <c r="M44" s="80"/>
      <c r="N44" s="80"/>
      <c r="O44" s="79"/>
      <c r="P44" s="83"/>
    </row>
    <row r="45" spans="1:20" ht="15" hidden="1" thickBot="1" x14ac:dyDescent="0.35">
      <c r="A45" s="4" t="s">
        <v>279</v>
      </c>
      <c r="B45" s="4">
        <v>4</v>
      </c>
      <c r="C45" s="9">
        <v>2</v>
      </c>
      <c r="D45" s="10"/>
      <c r="E45" s="10" t="s">
        <v>235</v>
      </c>
      <c r="F45" s="10">
        <v>1</v>
      </c>
      <c r="G45" s="10" t="s">
        <v>16</v>
      </c>
      <c r="H45" s="8"/>
      <c r="I45" s="8"/>
      <c r="J45" s="2"/>
      <c r="K45" s="8" t="s">
        <v>488</v>
      </c>
      <c r="L45" s="8" t="s">
        <v>489</v>
      </c>
      <c r="M45" s="8"/>
      <c r="N45" s="8"/>
      <c r="O45" s="2"/>
      <c r="P45" s="81"/>
    </row>
    <row r="46" spans="1:20" ht="15" hidden="1" thickBot="1" x14ac:dyDescent="0.35">
      <c r="A46" s="4" t="s">
        <v>531</v>
      </c>
      <c r="B46" s="4">
        <v>4</v>
      </c>
      <c r="C46" s="9">
        <v>2</v>
      </c>
      <c r="D46" s="10"/>
      <c r="E46" s="10" t="s">
        <v>235</v>
      </c>
      <c r="F46" s="10">
        <v>1</v>
      </c>
      <c r="G46" s="10" t="s">
        <v>525</v>
      </c>
      <c r="H46" s="8"/>
      <c r="I46" s="8"/>
      <c r="J46" s="2"/>
      <c r="K46" s="8" t="s">
        <v>386</v>
      </c>
      <c r="L46" s="8" t="s">
        <v>486</v>
      </c>
      <c r="M46" s="80"/>
      <c r="N46" s="80"/>
      <c r="O46" s="79"/>
      <c r="P46" s="81"/>
    </row>
    <row r="47" spans="1:20" ht="15" hidden="1" thickBot="1" x14ac:dyDescent="0.35">
      <c r="A47" s="4" t="s">
        <v>658</v>
      </c>
      <c r="B47" s="4">
        <v>4</v>
      </c>
      <c r="C47" s="9">
        <v>1</v>
      </c>
      <c r="D47" s="10"/>
      <c r="E47" s="10"/>
      <c r="F47" s="10">
        <v>1</v>
      </c>
      <c r="G47" s="10" t="s">
        <v>405</v>
      </c>
      <c r="H47" s="8"/>
      <c r="I47" s="8"/>
      <c r="J47" s="2"/>
      <c r="K47" s="8" t="s">
        <v>387</v>
      </c>
      <c r="L47" s="8"/>
      <c r="M47" s="8"/>
      <c r="N47" s="8"/>
      <c r="O47" s="2"/>
      <c r="P47" s="81"/>
    </row>
    <row r="48" spans="1:20" ht="15" hidden="1" thickBot="1" x14ac:dyDescent="0.35">
      <c r="A48" s="4" t="s">
        <v>257</v>
      </c>
      <c r="B48" s="4">
        <v>5</v>
      </c>
      <c r="C48" s="9">
        <v>2</v>
      </c>
      <c r="D48" s="10"/>
      <c r="E48" s="10"/>
      <c r="F48" s="10">
        <v>1</v>
      </c>
      <c r="G48" s="10" t="s">
        <v>63</v>
      </c>
      <c r="H48" s="8"/>
      <c r="I48" s="8"/>
      <c r="J48" s="2"/>
      <c r="K48" s="8" t="s">
        <v>258</v>
      </c>
      <c r="L48" s="8"/>
      <c r="M48" s="8"/>
      <c r="N48" s="8"/>
      <c r="O48" s="2"/>
      <c r="P48" s="81"/>
    </row>
    <row r="49" spans="1:26" ht="15" hidden="1" thickBot="1" x14ac:dyDescent="0.35">
      <c r="A49" s="82" t="s">
        <v>257</v>
      </c>
      <c r="B49" s="82">
        <v>5</v>
      </c>
      <c r="C49" s="84">
        <v>2</v>
      </c>
      <c r="D49" s="27"/>
      <c r="E49" s="27"/>
      <c r="F49" s="27">
        <v>1</v>
      </c>
      <c r="G49" s="27" t="s">
        <v>46</v>
      </c>
      <c r="H49" s="80" t="s">
        <v>355</v>
      </c>
      <c r="I49" s="80"/>
      <c r="J49" s="79"/>
      <c r="K49" s="80" t="s">
        <v>326</v>
      </c>
      <c r="L49" s="80" t="s">
        <v>328</v>
      </c>
      <c r="M49" s="80"/>
      <c r="N49" s="80"/>
      <c r="O49" s="79"/>
      <c r="P49" s="81"/>
    </row>
    <row r="50" spans="1:26" ht="15" hidden="1" thickBot="1" x14ac:dyDescent="0.35">
      <c r="A50" s="4" t="s">
        <v>257</v>
      </c>
      <c r="B50" s="4">
        <v>5</v>
      </c>
      <c r="C50" s="9">
        <v>2</v>
      </c>
      <c r="D50" s="10"/>
      <c r="E50" s="10"/>
      <c r="F50" s="10">
        <v>1</v>
      </c>
      <c r="G50" s="10" t="s">
        <v>46</v>
      </c>
      <c r="H50" s="8" t="s">
        <v>355</v>
      </c>
      <c r="I50" s="8"/>
      <c r="J50" s="2"/>
      <c r="K50" s="8" t="s">
        <v>327</v>
      </c>
      <c r="L50" s="8"/>
      <c r="M50" s="8"/>
      <c r="N50" s="8"/>
      <c r="O50" s="2"/>
      <c r="P50" s="81"/>
    </row>
    <row r="51" spans="1:26" ht="15" hidden="1" thickBot="1" x14ac:dyDescent="0.35">
      <c r="A51" s="4" t="s">
        <v>312</v>
      </c>
      <c r="B51" s="4">
        <v>5</v>
      </c>
      <c r="C51" s="9">
        <v>2</v>
      </c>
      <c r="D51" s="10"/>
      <c r="E51" s="10"/>
      <c r="F51" s="10">
        <v>1</v>
      </c>
      <c r="G51" s="10" t="s">
        <v>313</v>
      </c>
      <c r="H51" s="89" t="s">
        <v>507</v>
      </c>
      <c r="I51" s="89" t="s">
        <v>508</v>
      </c>
      <c r="J51" s="58" t="s">
        <v>681</v>
      </c>
      <c r="K51" s="8" t="s">
        <v>308</v>
      </c>
      <c r="L51" s="8"/>
      <c r="M51" s="8"/>
      <c r="N51" s="8"/>
      <c r="O51" s="2"/>
      <c r="P51" s="81"/>
    </row>
    <row r="52" spans="1:26" ht="15" hidden="1" thickBot="1" x14ac:dyDescent="0.35">
      <c r="A52" s="82" t="s">
        <v>312</v>
      </c>
      <c r="B52" s="82">
        <v>5</v>
      </c>
      <c r="C52" s="84">
        <v>2</v>
      </c>
      <c r="D52" s="27"/>
      <c r="E52" s="27"/>
      <c r="F52" s="27">
        <v>1</v>
      </c>
      <c r="G52" s="10" t="s">
        <v>313</v>
      </c>
      <c r="H52" s="91" t="s">
        <v>507</v>
      </c>
      <c r="I52" s="91" t="s">
        <v>508</v>
      </c>
      <c r="J52" s="92" t="s">
        <v>681</v>
      </c>
      <c r="K52" s="80" t="s">
        <v>309</v>
      </c>
      <c r="L52" s="80"/>
      <c r="M52" s="80"/>
      <c r="N52" s="80"/>
      <c r="O52" s="79"/>
      <c r="P52" s="83"/>
    </row>
    <row r="53" spans="1:26" ht="15" hidden="1" thickBot="1" x14ac:dyDescent="0.35">
      <c r="A53" s="4" t="s">
        <v>312</v>
      </c>
      <c r="B53" s="4">
        <v>5</v>
      </c>
      <c r="C53" s="9">
        <v>2</v>
      </c>
      <c r="D53" s="10"/>
      <c r="E53" s="10"/>
      <c r="F53" s="10">
        <v>1</v>
      </c>
      <c r="G53" s="10" t="s">
        <v>313</v>
      </c>
      <c r="H53" s="89" t="s">
        <v>507</v>
      </c>
      <c r="I53" s="89" t="s">
        <v>508</v>
      </c>
      <c r="J53" s="58" t="s">
        <v>681</v>
      </c>
      <c r="K53" s="8" t="s">
        <v>310</v>
      </c>
      <c r="L53" s="8"/>
      <c r="M53" s="8"/>
      <c r="N53" s="8"/>
      <c r="O53" s="2"/>
      <c r="P53" s="81"/>
      <c r="R53" s="5" t="s">
        <v>22</v>
      </c>
      <c r="S53" s="5" t="s">
        <v>444</v>
      </c>
      <c r="V53" s="45" t="s">
        <v>448</v>
      </c>
      <c r="W53" s="45" t="s">
        <v>449</v>
      </c>
      <c r="X53" s="45" t="s">
        <v>356</v>
      </c>
      <c r="Y53" s="45" t="s">
        <v>450</v>
      </c>
      <c r="Z53" s="45" t="s">
        <v>451</v>
      </c>
    </row>
    <row r="54" spans="1:26" ht="15" hidden="1" thickBot="1" x14ac:dyDescent="0.35">
      <c r="A54" s="82" t="s">
        <v>312</v>
      </c>
      <c r="B54" s="82">
        <v>5</v>
      </c>
      <c r="C54" s="84">
        <v>2</v>
      </c>
      <c r="D54" s="27"/>
      <c r="E54" s="27"/>
      <c r="F54" s="27">
        <v>1</v>
      </c>
      <c r="G54" s="97" t="s">
        <v>507</v>
      </c>
      <c r="H54" s="89" t="s">
        <v>508</v>
      </c>
      <c r="I54" s="89" t="s">
        <v>681</v>
      </c>
      <c r="J54" s="2"/>
      <c r="K54" s="80" t="s">
        <v>311</v>
      </c>
      <c r="L54" s="80"/>
      <c r="M54" s="80"/>
      <c r="N54" s="80"/>
      <c r="O54" s="79"/>
      <c r="P54" s="83"/>
      <c r="R54" s="5" t="s">
        <v>23</v>
      </c>
      <c r="S54" s="5">
        <v>2</v>
      </c>
      <c r="V54" s="45">
        <v>3</v>
      </c>
      <c r="W54" s="45">
        <v>3</v>
      </c>
      <c r="X54" s="45">
        <v>3</v>
      </c>
      <c r="Y54" s="45">
        <v>2</v>
      </c>
      <c r="Z54" s="45">
        <v>2</v>
      </c>
    </row>
    <row r="55" spans="1:26" ht="15" hidden="1" thickBot="1" x14ac:dyDescent="0.35">
      <c r="A55" s="4" t="s">
        <v>459</v>
      </c>
      <c r="B55" s="4">
        <v>3</v>
      </c>
      <c r="C55" s="9">
        <v>1</v>
      </c>
      <c r="D55" s="10"/>
      <c r="E55" s="10"/>
      <c r="F55" s="10">
        <v>1</v>
      </c>
      <c r="G55" s="10" t="s">
        <v>471</v>
      </c>
      <c r="H55" s="8" t="s">
        <v>473</v>
      </c>
      <c r="I55" s="8"/>
      <c r="J55" s="2"/>
      <c r="K55" s="8" t="s">
        <v>486</v>
      </c>
      <c r="L55" s="8" t="s">
        <v>487</v>
      </c>
      <c r="M55" s="8"/>
      <c r="N55" s="8"/>
      <c r="O55" s="2"/>
      <c r="P55" s="81"/>
      <c r="R55" s="5" t="s">
        <v>20</v>
      </c>
      <c r="S55" s="5" t="s">
        <v>444</v>
      </c>
      <c r="V55" s="45"/>
      <c r="W55" s="45"/>
      <c r="X55" s="63">
        <v>2</v>
      </c>
      <c r="Y55" s="45">
        <v>2</v>
      </c>
      <c r="Z55" s="45">
        <v>2</v>
      </c>
    </row>
    <row r="56" spans="1:26" ht="15" hidden="1" thickBot="1" x14ac:dyDescent="0.35">
      <c r="A56" s="82" t="s">
        <v>459</v>
      </c>
      <c r="B56" s="82">
        <v>3</v>
      </c>
      <c r="C56" s="84">
        <v>1</v>
      </c>
      <c r="D56" s="27"/>
      <c r="E56" s="27"/>
      <c r="F56" s="27">
        <v>1</v>
      </c>
      <c r="G56" s="27" t="s">
        <v>471</v>
      </c>
      <c r="H56" s="80" t="s">
        <v>473</v>
      </c>
      <c r="I56" s="125"/>
      <c r="J56" s="79"/>
      <c r="K56" s="80" t="s">
        <v>488</v>
      </c>
      <c r="L56" s="80" t="s">
        <v>489</v>
      </c>
      <c r="M56" s="80"/>
      <c r="N56" s="80"/>
      <c r="O56" s="79"/>
      <c r="P56" s="83"/>
      <c r="R56" s="5" t="s">
        <v>21</v>
      </c>
      <c r="S56" s="5">
        <v>2</v>
      </c>
    </row>
    <row r="57" spans="1:26" ht="15" hidden="1" thickBot="1" x14ac:dyDescent="0.35">
      <c r="A57" s="4" t="s">
        <v>372</v>
      </c>
      <c r="B57" s="4">
        <v>6</v>
      </c>
      <c r="C57" s="9">
        <v>1</v>
      </c>
      <c r="D57" s="10"/>
      <c r="E57" s="10"/>
      <c r="F57" s="10">
        <v>2</v>
      </c>
      <c r="G57" s="10" t="s">
        <v>375</v>
      </c>
      <c r="H57" s="8" t="s">
        <v>432</v>
      </c>
      <c r="I57" s="8"/>
      <c r="J57" s="2"/>
      <c r="K57" s="8" t="s">
        <v>362</v>
      </c>
      <c r="L57" s="8"/>
      <c r="M57" s="8"/>
      <c r="N57" s="8"/>
      <c r="O57" s="2"/>
      <c r="P57" s="81"/>
      <c r="R57" s="5" t="s">
        <v>24</v>
      </c>
      <c r="S57" s="5" t="s">
        <v>444</v>
      </c>
    </row>
    <row r="58" spans="1:26" ht="15" hidden="1" thickBot="1" x14ac:dyDescent="0.35">
      <c r="A58" s="4" t="s">
        <v>336</v>
      </c>
      <c r="B58" s="4">
        <v>3</v>
      </c>
      <c r="C58" s="9">
        <v>1</v>
      </c>
      <c r="D58" s="10"/>
      <c r="E58" s="10"/>
      <c r="F58" s="10">
        <v>1</v>
      </c>
      <c r="G58" s="10" t="s">
        <v>338</v>
      </c>
      <c r="H58" s="8"/>
      <c r="I58" s="8"/>
      <c r="J58" s="2"/>
      <c r="K58" s="8" t="s">
        <v>324</v>
      </c>
      <c r="L58" s="8"/>
      <c r="M58" s="8"/>
      <c r="N58" s="8"/>
      <c r="O58" s="2"/>
      <c r="P58" s="81"/>
      <c r="S58" s="5" t="s">
        <v>536</v>
      </c>
      <c r="T58" s="5">
        <v>19</v>
      </c>
    </row>
    <row r="59" spans="1:26" ht="15" hidden="1" thickBot="1" x14ac:dyDescent="0.35">
      <c r="A59" s="4" t="s">
        <v>249</v>
      </c>
      <c r="B59" s="4">
        <v>4</v>
      </c>
      <c r="C59" s="9">
        <v>2</v>
      </c>
      <c r="D59" s="10"/>
      <c r="E59" s="10"/>
      <c r="F59" s="10">
        <v>1</v>
      </c>
      <c r="G59" s="10" t="s">
        <v>250</v>
      </c>
      <c r="H59" s="8"/>
      <c r="I59" s="8"/>
      <c r="J59" s="2"/>
      <c r="K59" s="8" t="s">
        <v>256</v>
      </c>
      <c r="L59" s="8"/>
      <c r="M59" s="8"/>
      <c r="N59" s="8"/>
      <c r="O59" s="2"/>
      <c r="P59" s="81"/>
    </row>
    <row r="60" spans="1:26" s="39" customFormat="1" ht="15" hidden="1" thickBot="1" x14ac:dyDescent="0.35">
      <c r="A60" s="4" t="s">
        <v>655</v>
      </c>
      <c r="B60" s="4">
        <v>3</v>
      </c>
      <c r="C60" s="9">
        <v>1</v>
      </c>
      <c r="D60" s="10"/>
      <c r="E60" s="10" t="s">
        <v>235</v>
      </c>
      <c r="F60" s="10">
        <v>1</v>
      </c>
      <c r="G60" s="10" t="s">
        <v>521</v>
      </c>
      <c r="H60" s="8"/>
      <c r="I60" s="8"/>
      <c r="J60" s="2"/>
      <c r="K60" s="8" t="s">
        <v>487</v>
      </c>
      <c r="L60" s="8"/>
      <c r="M60" s="8"/>
      <c r="N60" s="8"/>
      <c r="O60" s="2"/>
      <c r="P60" s="81"/>
    </row>
    <row r="61" spans="1:26" ht="15" hidden="1" thickBot="1" x14ac:dyDescent="0.35">
      <c r="A61" s="4" t="s">
        <v>415</v>
      </c>
      <c r="B61" s="4">
        <v>5</v>
      </c>
      <c r="C61" s="9">
        <v>2</v>
      </c>
      <c r="D61" s="10"/>
      <c r="E61" s="10"/>
      <c r="F61" s="10">
        <v>1</v>
      </c>
      <c r="G61" s="10" t="s">
        <v>417</v>
      </c>
      <c r="H61" s="8"/>
      <c r="I61" s="8"/>
      <c r="J61" s="2"/>
      <c r="K61" s="8" t="s">
        <v>388</v>
      </c>
      <c r="L61" s="8"/>
      <c r="M61" s="8"/>
      <c r="N61" s="8"/>
      <c r="O61" s="2"/>
      <c r="P61" s="81"/>
    </row>
    <row r="62" spans="1:26" ht="15" hidden="1" thickBot="1" x14ac:dyDescent="0.35">
      <c r="A62" s="4" t="s">
        <v>762</v>
      </c>
      <c r="B62" s="4">
        <v>4</v>
      </c>
      <c r="C62" s="9">
        <v>2</v>
      </c>
      <c r="D62" s="10"/>
      <c r="E62" s="10"/>
      <c r="F62" s="10">
        <v>1</v>
      </c>
      <c r="G62" s="10" t="s">
        <v>394</v>
      </c>
      <c r="H62" s="8"/>
      <c r="I62" s="8"/>
      <c r="J62" s="2"/>
      <c r="K62" s="8" t="s">
        <v>386</v>
      </c>
      <c r="L62" s="8" t="s">
        <v>387</v>
      </c>
      <c r="M62" s="8" t="s">
        <v>388</v>
      </c>
      <c r="N62" s="8"/>
      <c r="O62" s="2"/>
      <c r="P62" s="81" t="s">
        <v>764</v>
      </c>
    </row>
    <row r="63" spans="1:26" ht="15" hidden="1" thickBot="1" x14ac:dyDescent="0.35">
      <c r="A63" s="4" t="s">
        <v>762</v>
      </c>
      <c r="B63" s="4">
        <v>4</v>
      </c>
      <c r="C63" s="9">
        <v>2</v>
      </c>
      <c r="D63" s="10"/>
      <c r="E63" s="10"/>
      <c r="F63" s="10">
        <v>1</v>
      </c>
      <c r="G63" s="10" t="s">
        <v>394</v>
      </c>
      <c r="H63" s="8"/>
      <c r="I63" s="8"/>
      <c r="J63" s="2"/>
      <c r="K63" s="8" t="s">
        <v>389</v>
      </c>
      <c r="L63" s="8" t="s">
        <v>390</v>
      </c>
      <c r="M63" s="8"/>
      <c r="N63" s="8"/>
      <c r="O63" s="2"/>
      <c r="P63" s="81" t="s">
        <v>764</v>
      </c>
      <c r="R63" s="43" t="s">
        <v>442</v>
      </c>
      <c r="S63" s="42"/>
      <c r="T63" s="42"/>
      <c r="V63" s="5" t="s">
        <v>326</v>
      </c>
      <c r="Y63" s="5" t="s">
        <v>452</v>
      </c>
    </row>
    <row r="64" spans="1:26" ht="15" hidden="1" thickBot="1" x14ac:dyDescent="0.35">
      <c r="A64" s="82" t="s">
        <v>356</v>
      </c>
      <c r="B64" s="82">
        <v>3</v>
      </c>
      <c r="C64" s="84">
        <v>1</v>
      </c>
      <c r="D64" s="27"/>
      <c r="E64" s="27"/>
      <c r="F64" s="27">
        <v>1</v>
      </c>
      <c r="G64" s="27" t="s">
        <v>358</v>
      </c>
      <c r="H64" s="80"/>
      <c r="I64" s="80"/>
      <c r="J64" s="86"/>
      <c r="K64" s="80" t="s">
        <v>326</v>
      </c>
      <c r="L64" s="80"/>
      <c r="M64" s="80"/>
      <c r="N64" s="80"/>
      <c r="O64" s="79"/>
      <c r="P64" s="83"/>
      <c r="R64" s="5" t="s">
        <v>339</v>
      </c>
      <c r="S64" s="42" t="s">
        <v>443</v>
      </c>
      <c r="T64" s="42">
        <v>4</v>
      </c>
      <c r="V64" s="5" t="s">
        <v>339</v>
      </c>
      <c r="W64" s="42" t="s">
        <v>443</v>
      </c>
      <c r="X64" s="42">
        <v>4</v>
      </c>
    </row>
    <row r="65" spans="1:29" ht="15" hidden="1" thickBot="1" x14ac:dyDescent="0.35">
      <c r="A65" s="4" t="s">
        <v>664</v>
      </c>
      <c r="B65" s="46">
        <v>1</v>
      </c>
      <c r="C65" s="9">
        <v>1</v>
      </c>
      <c r="D65" s="10" t="s">
        <v>277</v>
      </c>
      <c r="E65" s="10"/>
      <c r="F65" s="10">
        <v>2</v>
      </c>
      <c r="G65" s="10" t="s">
        <v>71</v>
      </c>
      <c r="H65" s="8" t="s">
        <v>70</v>
      </c>
      <c r="I65" s="8"/>
      <c r="J65" s="2"/>
      <c r="K65" s="8" t="s">
        <v>386</v>
      </c>
      <c r="L65" s="8"/>
      <c r="M65" s="8"/>
      <c r="N65" s="8"/>
      <c r="O65" s="2"/>
      <c r="P65" s="81" t="s">
        <v>959</v>
      </c>
      <c r="R65" s="5" t="s">
        <v>345</v>
      </c>
      <c r="S65" s="42" t="s">
        <v>444</v>
      </c>
      <c r="T65" s="42">
        <v>5</v>
      </c>
      <c r="V65" s="5" t="s">
        <v>322</v>
      </c>
      <c r="W65" s="42" t="s">
        <v>444</v>
      </c>
      <c r="X65" s="42">
        <v>5</v>
      </c>
      <c r="Y65" s="45" t="s">
        <v>448</v>
      </c>
      <c r="Z65" s="45" t="s">
        <v>449</v>
      </c>
      <c r="AA65" s="45" t="s">
        <v>356</v>
      </c>
      <c r="AB65" s="45" t="s">
        <v>450</v>
      </c>
      <c r="AC65" s="45" t="s">
        <v>451</v>
      </c>
    </row>
    <row r="66" spans="1:29" ht="15" hidden="1" thickBot="1" x14ac:dyDescent="0.35">
      <c r="A66" s="82" t="s">
        <v>391</v>
      </c>
      <c r="B66" s="82">
        <v>4</v>
      </c>
      <c r="C66" s="9">
        <v>2</v>
      </c>
      <c r="D66" s="27" t="s">
        <v>276</v>
      </c>
      <c r="E66" s="27"/>
      <c r="F66" s="27">
        <v>1</v>
      </c>
      <c r="G66" s="10" t="s">
        <v>70</v>
      </c>
      <c r="H66" s="80"/>
      <c r="I66" s="80"/>
      <c r="J66" s="79"/>
      <c r="K66" s="80" t="s">
        <v>386</v>
      </c>
      <c r="L66" s="80"/>
      <c r="M66" s="80"/>
      <c r="N66" s="80"/>
      <c r="O66" s="79"/>
      <c r="P66" s="81"/>
      <c r="R66" s="5" t="s">
        <v>346</v>
      </c>
      <c r="S66" s="42">
        <v>2</v>
      </c>
      <c r="T66" s="42">
        <v>2</v>
      </c>
      <c r="V66" s="5" t="s">
        <v>323</v>
      </c>
      <c r="W66" s="42">
        <v>2</v>
      </c>
      <c r="X66" s="42">
        <v>2</v>
      </c>
      <c r="Y66" s="45">
        <v>3</v>
      </c>
      <c r="Z66" s="45">
        <v>3</v>
      </c>
      <c r="AA66" s="45">
        <v>2</v>
      </c>
      <c r="AB66" s="45">
        <v>3</v>
      </c>
      <c r="AC66" s="45">
        <v>2</v>
      </c>
    </row>
    <row r="67" spans="1:29" ht="15" hidden="1" thickBot="1" x14ac:dyDescent="0.35">
      <c r="A67" s="82" t="s">
        <v>332</v>
      </c>
      <c r="B67" s="82">
        <v>5</v>
      </c>
      <c r="C67" s="84">
        <v>2</v>
      </c>
      <c r="D67" s="27"/>
      <c r="E67" s="27"/>
      <c r="F67" s="27">
        <v>1</v>
      </c>
      <c r="G67" s="27" t="s">
        <v>26</v>
      </c>
      <c r="H67" s="80"/>
      <c r="I67" s="80"/>
      <c r="J67" s="79"/>
      <c r="K67" s="80" t="s">
        <v>324</v>
      </c>
      <c r="L67" s="80" t="s">
        <v>325</v>
      </c>
      <c r="M67" s="80"/>
      <c r="N67" s="80"/>
      <c r="O67" s="79"/>
      <c r="P67" s="83"/>
      <c r="R67" s="5" t="s">
        <v>347</v>
      </c>
      <c r="S67" s="42" t="s">
        <v>443</v>
      </c>
      <c r="T67" s="42">
        <v>4</v>
      </c>
      <c r="V67" s="5" t="s">
        <v>445</v>
      </c>
      <c r="W67" s="42" t="s">
        <v>446</v>
      </c>
      <c r="X67" s="42">
        <v>6</v>
      </c>
      <c r="Y67" s="45">
        <v>3</v>
      </c>
      <c r="Z67" s="45">
        <v>3</v>
      </c>
      <c r="AA67" s="45">
        <v>2</v>
      </c>
      <c r="AB67" s="45">
        <v>3</v>
      </c>
      <c r="AC67" s="45">
        <v>2</v>
      </c>
    </row>
    <row r="68" spans="1:29" ht="15" hidden="1" thickBot="1" x14ac:dyDescent="0.35">
      <c r="A68" s="4" t="s">
        <v>527</v>
      </c>
      <c r="B68" s="4">
        <v>4</v>
      </c>
      <c r="C68" s="9">
        <v>2</v>
      </c>
      <c r="D68" s="10"/>
      <c r="E68" s="10" t="s">
        <v>235</v>
      </c>
      <c r="F68" s="10">
        <v>1</v>
      </c>
      <c r="G68" s="10" t="s">
        <v>72</v>
      </c>
      <c r="H68" s="8"/>
      <c r="I68" s="8"/>
      <c r="J68" s="2"/>
      <c r="K68" s="80" t="s">
        <v>387</v>
      </c>
      <c r="L68" s="80"/>
      <c r="M68" s="80"/>
      <c r="N68" s="80"/>
      <c r="O68" s="79"/>
      <c r="P68" s="83"/>
      <c r="R68" s="5" t="s">
        <v>445</v>
      </c>
      <c r="S68" s="42" t="s">
        <v>446</v>
      </c>
      <c r="T68" s="42">
        <v>6</v>
      </c>
      <c r="V68" s="5" t="s">
        <v>353</v>
      </c>
      <c r="W68" s="42" t="s">
        <v>444</v>
      </c>
      <c r="X68" s="42">
        <v>5</v>
      </c>
      <c r="Y68" s="45"/>
      <c r="Z68" s="45"/>
      <c r="AA68" s="45">
        <v>2</v>
      </c>
      <c r="AC68" s="45">
        <v>2</v>
      </c>
    </row>
    <row r="69" spans="1:29" ht="15" hidden="1" thickBot="1" x14ac:dyDescent="0.35">
      <c r="A69" s="82" t="s">
        <v>346</v>
      </c>
      <c r="B69" s="46">
        <v>1</v>
      </c>
      <c r="C69" s="84">
        <v>1</v>
      </c>
      <c r="D69" s="27" t="s">
        <v>277</v>
      </c>
      <c r="E69" s="27"/>
      <c r="F69" s="27">
        <v>1</v>
      </c>
      <c r="G69" s="27" t="s">
        <v>25</v>
      </c>
      <c r="H69" s="80"/>
      <c r="I69" s="80"/>
      <c r="J69" s="79"/>
      <c r="K69" s="80" t="s">
        <v>327</v>
      </c>
      <c r="L69" s="80"/>
      <c r="M69" s="80"/>
      <c r="N69" s="80"/>
      <c r="O69" s="79"/>
      <c r="P69" s="81"/>
      <c r="R69" s="5" t="s">
        <v>353</v>
      </c>
      <c r="S69" s="42" t="s">
        <v>444</v>
      </c>
      <c r="T69" s="42">
        <v>5</v>
      </c>
      <c r="V69" s="5" t="s">
        <v>257</v>
      </c>
      <c r="W69" s="42" t="s">
        <v>444</v>
      </c>
      <c r="X69" s="42">
        <v>5</v>
      </c>
      <c r="Y69" s="45"/>
      <c r="Z69" s="45"/>
      <c r="AA69" s="45"/>
      <c r="AB69" s="45"/>
      <c r="AC69" s="45"/>
    </row>
    <row r="70" spans="1:29" ht="15" hidden="1" thickBot="1" x14ac:dyDescent="0.35">
      <c r="A70" s="4" t="s">
        <v>346</v>
      </c>
      <c r="B70" s="46">
        <v>1</v>
      </c>
      <c r="C70" s="9">
        <v>1</v>
      </c>
      <c r="D70" s="10" t="s">
        <v>277</v>
      </c>
      <c r="E70" s="10"/>
      <c r="F70" s="10">
        <v>1</v>
      </c>
      <c r="G70" s="10" t="s">
        <v>25</v>
      </c>
      <c r="H70" s="8"/>
      <c r="I70" s="8"/>
      <c r="J70" s="2"/>
      <c r="K70" s="8" t="s">
        <v>328</v>
      </c>
      <c r="L70" s="8"/>
      <c r="M70" s="8"/>
      <c r="N70" s="8"/>
      <c r="O70" s="2"/>
      <c r="P70" s="81"/>
      <c r="R70" s="5" t="s">
        <v>257</v>
      </c>
      <c r="S70" s="42" t="s">
        <v>444</v>
      </c>
      <c r="T70" s="42">
        <v>5</v>
      </c>
      <c r="V70" s="5" t="s">
        <v>356</v>
      </c>
      <c r="W70" s="42">
        <v>3</v>
      </c>
      <c r="X70" s="42">
        <v>3</v>
      </c>
      <c r="Y70" s="45" t="s">
        <v>322</v>
      </c>
      <c r="Z70" s="45" t="s">
        <v>456</v>
      </c>
      <c r="AA70" s="45" t="s">
        <v>454</v>
      </c>
      <c r="AB70" s="45" t="s">
        <v>456</v>
      </c>
      <c r="AC70" s="45" t="s">
        <v>454</v>
      </c>
    </row>
    <row r="71" spans="1:29" ht="15" hidden="1" thickBot="1" x14ac:dyDescent="0.35">
      <c r="A71" s="4" t="s">
        <v>345</v>
      </c>
      <c r="B71" s="4">
        <v>5</v>
      </c>
      <c r="C71" s="9">
        <v>2</v>
      </c>
      <c r="D71" s="10" t="s">
        <v>276</v>
      </c>
      <c r="E71" s="10"/>
      <c r="F71" s="10">
        <v>1</v>
      </c>
      <c r="G71" s="10" t="s">
        <v>25</v>
      </c>
      <c r="H71" s="8" t="s">
        <v>17</v>
      </c>
      <c r="I71" s="8"/>
      <c r="J71" s="2"/>
      <c r="K71" s="8" t="s">
        <v>327</v>
      </c>
      <c r="L71" s="8"/>
      <c r="M71" s="8"/>
      <c r="N71" s="8"/>
      <c r="O71" s="2"/>
      <c r="P71" s="81"/>
      <c r="S71" s="42"/>
      <c r="T71" s="44">
        <f>SUM(T64:T70)</f>
        <v>31</v>
      </c>
      <c r="X71" s="42">
        <f>SUM(X64:X70)</f>
        <v>30</v>
      </c>
      <c r="Y71" s="45" t="s">
        <v>453</v>
      </c>
      <c r="Z71" s="45" t="s">
        <v>353</v>
      </c>
      <c r="AA71" s="45" t="s">
        <v>322</v>
      </c>
      <c r="AB71" s="45" t="s">
        <v>356</v>
      </c>
      <c r="AC71" s="45" t="s">
        <v>455</v>
      </c>
    </row>
    <row r="72" spans="1:29" ht="15" hidden="1" thickBot="1" x14ac:dyDescent="0.35">
      <c r="A72" s="4" t="s">
        <v>345</v>
      </c>
      <c r="B72" s="4">
        <v>5</v>
      </c>
      <c r="C72" s="9">
        <v>2</v>
      </c>
      <c r="D72" s="10" t="s">
        <v>276</v>
      </c>
      <c r="E72" s="10"/>
      <c r="F72" s="10">
        <v>1</v>
      </c>
      <c r="G72" s="10" t="s">
        <v>25</v>
      </c>
      <c r="H72" s="8" t="s">
        <v>17</v>
      </c>
      <c r="I72" s="8"/>
      <c r="J72" s="2"/>
      <c r="K72" s="8" t="s">
        <v>328</v>
      </c>
      <c r="L72" s="8"/>
      <c r="M72" s="8"/>
      <c r="N72" s="8"/>
      <c r="O72" s="2"/>
      <c r="P72" s="23"/>
      <c r="S72" s="42"/>
      <c r="T72" s="44"/>
      <c r="X72" s="42"/>
      <c r="Y72" s="45"/>
      <c r="Z72" s="45"/>
      <c r="AA72" s="45"/>
      <c r="AB72" s="45"/>
      <c r="AC72" s="45"/>
    </row>
    <row r="73" spans="1:29" ht="15" hidden="1" thickBot="1" x14ac:dyDescent="0.35">
      <c r="A73" s="4" t="s">
        <v>241</v>
      </c>
      <c r="B73" s="4">
        <v>6</v>
      </c>
      <c r="C73" s="9">
        <v>2</v>
      </c>
      <c r="D73" s="10"/>
      <c r="E73" s="10"/>
      <c r="F73" s="27">
        <v>1</v>
      </c>
      <c r="G73" s="10" t="s">
        <v>15</v>
      </c>
      <c r="H73" s="8"/>
      <c r="I73" s="8"/>
      <c r="J73" s="2"/>
      <c r="K73" s="8" t="s">
        <v>256</v>
      </c>
      <c r="L73" s="8"/>
      <c r="M73" s="8"/>
      <c r="N73" s="8"/>
      <c r="O73" s="2"/>
      <c r="P73" s="23"/>
      <c r="S73" s="42"/>
      <c r="T73" s="44"/>
      <c r="X73" s="42"/>
      <c r="Y73" s="45"/>
      <c r="Z73" s="45"/>
      <c r="AA73" s="45"/>
      <c r="AB73" s="45"/>
      <c r="AC73" s="45"/>
    </row>
    <row r="74" spans="1:29" ht="15" hidden="1" thickBot="1" x14ac:dyDescent="0.35">
      <c r="A74" s="4" t="s">
        <v>395</v>
      </c>
      <c r="B74" s="4">
        <v>5</v>
      </c>
      <c r="C74" s="9">
        <v>2</v>
      </c>
      <c r="D74" s="10"/>
      <c r="E74" s="10"/>
      <c r="F74" s="10">
        <v>1</v>
      </c>
      <c r="G74" s="10" t="s">
        <v>180</v>
      </c>
      <c r="H74" s="8"/>
      <c r="I74" s="8"/>
      <c r="J74" s="2"/>
      <c r="K74" s="8" t="s">
        <v>387</v>
      </c>
      <c r="L74" s="8"/>
      <c r="M74" s="8"/>
      <c r="N74" s="8"/>
      <c r="O74" s="2"/>
      <c r="P74" s="81"/>
      <c r="Y74" s="45"/>
      <c r="Z74" s="45"/>
      <c r="AA74" s="45" t="s">
        <v>453</v>
      </c>
      <c r="AC74" s="45" t="s">
        <v>353</v>
      </c>
    </row>
    <row r="75" spans="1:29" ht="15" hidden="1" thickBot="1" x14ac:dyDescent="0.35">
      <c r="A75" s="4" t="s">
        <v>462</v>
      </c>
      <c r="B75" s="4">
        <v>5</v>
      </c>
      <c r="C75" s="9">
        <v>2</v>
      </c>
      <c r="D75" s="10"/>
      <c r="E75" s="10"/>
      <c r="F75" s="10">
        <v>2</v>
      </c>
      <c r="G75" s="10" t="s">
        <v>479</v>
      </c>
      <c r="H75" s="8" t="s">
        <v>653</v>
      </c>
      <c r="I75" s="8"/>
      <c r="J75" s="2"/>
      <c r="K75" s="8" t="s">
        <v>487</v>
      </c>
      <c r="L75" s="8"/>
      <c r="M75" s="8"/>
      <c r="N75" s="8"/>
      <c r="O75" s="2"/>
      <c r="P75" s="81"/>
    </row>
    <row r="76" spans="1:29" ht="15" hidden="1" thickBot="1" x14ac:dyDescent="0.35">
      <c r="A76" s="82" t="s">
        <v>347</v>
      </c>
      <c r="B76" s="82">
        <v>4</v>
      </c>
      <c r="C76" s="84">
        <v>2</v>
      </c>
      <c r="D76" s="27"/>
      <c r="E76" s="27"/>
      <c r="F76" s="27">
        <v>1</v>
      </c>
      <c r="G76" s="27" t="s">
        <v>349</v>
      </c>
      <c r="H76" s="80"/>
      <c r="I76" s="80"/>
      <c r="J76" s="79"/>
      <c r="K76" s="80" t="s">
        <v>327</v>
      </c>
      <c r="L76" s="80"/>
      <c r="M76" s="80"/>
      <c r="N76" s="80"/>
      <c r="O76" s="79"/>
      <c r="P76" s="81"/>
    </row>
    <row r="77" spans="1:29" ht="15" hidden="1" thickBot="1" x14ac:dyDescent="0.35">
      <c r="A77" s="4" t="s">
        <v>347</v>
      </c>
      <c r="B77" s="4">
        <v>4</v>
      </c>
      <c r="C77" s="9">
        <v>2</v>
      </c>
      <c r="D77" s="10"/>
      <c r="E77" s="10"/>
      <c r="F77" s="10">
        <v>1</v>
      </c>
      <c r="G77" s="10" t="s">
        <v>349</v>
      </c>
      <c r="H77" s="8"/>
      <c r="I77" s="8"/>
      <c r="J77" s="2"/>
      <c r="K77" s="8" t="s">
        <v>328</v>
      </c>
      <c r="L77" s="8"/>
      <c r="M77" s="8"/>
      <c r="N77" s="8"/>
      <c r="O77" s="2"/>
      <c r="P77" s="81"/>
      <c r="R77" s="5" t="s">
        <v>325</v>
      </c>
      <c r="V77" s="5" t="s">
        <v>324</v>
      </c>
    </row>
    <row r="78" spans="1:29" ht="15" hidden="1" thickBot="1" x14ac:dyDescent="0.35">
      <c r="A78" s="82" t="s">
        <v>376</v>
      </c>
      <c r="B78" s="82">
        <v>4</v>
      </c>
      <c r="C78" s="84">
        <v>2</v>
      </c>
      <c r="D78" s="27"/>
      <c r="E78" s="27"/>
      <c r="F78" s="27">
        <v>0</v>
      </c>
      <c r="G78" s="24"/>
      <c r="H78" s="80"/>
      <c r="I78" s="80"/>
      <c r="J78" s="79"/>
      <c r="K78" s="80" t="s">
        <v>363</v>
      </c>
      <c r="L78" s="80"/>
      <c r="M78" s="80"/>
      <c r="N78" s="80"/>
      <c r="O78" s="79"/>
      <c r="P78" s="83"/>
      <c r="R78" s="5" t="s">
        <v>339</v>
      </c>
      <c r="S78" s="42" t="s">
        <v>443</v>
      </c>
      <c r="T78" s="42">
        <v>4</v>
      </c>
      <c r="V78" s="5" t="s">
        <v>339</v>
      </c>
      <c r="W78" s="42" t="s">
        <v>443</v>
      </c>
      <c r="X78" s="42">
        <v>4</v>
      </c>
    </row>
    <row r="79" spans="1:29" ht="15" hidden="1" thickBot="1" x14ac:dyDescent="0.35">
      <c r="A79" s="82" t="s">
        <v>359</v>
      </c>
      <c r="B79" s="82">
        <v>4</v>
      </c>
      <c r="C79" s="84">
        <v>2</v>
      </c>
      <c r="D79" s="27"/>
      <c r="E79" s="27"/>
      <c r="F79" s="27">
        <v>1</v>
      </c>
      <c r="G79" s="27" t="s">
        <v>361</v>
      </c>
      <c r="H79" s="80" t="s">
        <v>72</v>
      </c>
      <c r="I79" s="80"/>
      <c r="J79" s="79"/>
      <c r="K79" s="80" t="s">
        <v>362</v>
      </c>
      <c r="L79" s="80" t="s">
        <v>363</v>
      </c>
      <c r="M79" s="80"/>
      <c r="N79" s="80"/>
      <c r="O79" s="79"/>
      <c r="P79" s="83"/>
      <c r="R79" s="5" t="s">
        <v>322</v>
      </c>
      <c r="S79" s="42" t="s">
        <v>444</v>
      </c>
      <c r="T79" s="42">
        <v>5</v>
      </c>
      <c r="V79" s="5" t="s">
        <v>322</v>
      </c>
      <c r="W79" s="42" t="s">
        <v>444</v>
      </c>
      <c r="X79" s="42">
        <v>5</v>
      </c>
    </row>
    <row r="80" spans="1:29" ht="15" hidden="1" thickBot="1" x14ac:dyDescent="0.35">
      <c r="A80" s="4" t="s">
        <v>359</v>
      </c>
      <c r="B80" s="4">
        <v>4</v>
      </c>
      <c r="C80" s="9">
        <v>2</v>
      </c>
      <c r="D80" s="10"/>
      <c r="E80" s="10"/>
      <c r="F80" s="10">
        <v>1</v>
      </c>
      <c r="G80" s="10" t="s">
        <v>361</v>
      </c>
      <c r="H80" s="8" t="s">
        <v>72</v>
      </c>
      <c r="I80" s="8"/>
      <c r="J80" s="2"/>
      <c r="K80" s="8" t="s">
        <v>364</v>
      </c>
      <c r="L80" s="8" t="s">
        <v>366</v>
      </c>
      <c r="M80" s="8"/>
      <c r="N80" s="8"/>
      <c r="O80" s="2"/>
      <c r="P80" s="81"/>
      <c r="R80" s="5" t="s">
        <v>323</v>
      </c>
      <c r="S80" s="42">
        <v>2</v>
      </c>
      <c r="T80" s="42">
        <v>2</v>
      </c>
      <c r="V80" s="5" t="s">
        <v>323</v>
      </c>
      <c r="W80" s="42">
        <v>2</v>
      </c>
      <c r="X80" s="42">
        <v>2</v>
      </c>
    </row>
    <row r="81" spans="1:34" ht="15" hidden="1" thickBot="1" x14ac:dyDescent="0.35">
      <c r="A81" s="82" t="s">
        <v>359</v>
      </c>
      <c r="B81" s="82">
        <v>4</v>
      </c>
      <c r="C81" s="84">
        <v>2</v>
      </c>
      <c r="D81" s="27"/>
      <c r="E81" s="27"/>
      <c r="F81" s="27">
        <v>0</v>
      </c>
      <c r="G81" s="24"/>
      <c r="H81" s="80"/>
      <c r="I81" s="80"/>
      <c r="J81" s="79"/>
      <c r="K81" s="80" t="s">
        <v>365</v>
      </c>
      <c r="L81" s="80"/>
      <c r="M81" s="80"/>
      <c r="N81" s="80"/>
      <c r="O81" s="79"/>
      <c r="P81" s="83"/>
      <c r="R81" s="5" t="s">
        <v>331</v>
      </c>
      <c r="S81" s="42" t="s">
        <v>444</v>
      </c>
      <c r="T81" s="42">
        <v>5</v>
      </c>
      <c r="V81" s="5" t="s">
        <v>331</v>
      </c>
      <c r="W81" s="42" t="s">
        <v>444</v>
      </c>
      <c r="X81" s="42">
        <v>5</v>
      </c>
    </row>
    <row r="82" spans="1:34" ht="15" hidden="1" thickBot="1" x14ac:dyDescent="0.35">
      <c r="A82" s="4" t="s">
        <v>342</v>
      </c>
      <c r="B82" s="4">
        <v>3</v>
      </c>
      <c r="C82" s="9">
        <v>1</v>
      </c>
      <c r="D82" s="10"/>
      <c r="E82" s="10"/>
      <c r="F82" s="10">
        <v>1</v>
      </c>
      <c r="G82" s="10" t="s">
        <v>344</v>
      </c>
      <c r="H82" s="8"/>
      <c r="I82" s="8"/>
      <c r="J82" s="2"/>
      <c r="K82" s="8" t="s">
        <v>325</v>
      </c>
      <c r="L82" s="8"/>
      <c r="M82" s="8"/>
      <c r="N82" s="8"/>
      <c r="O82" s="2"/>
      <c r="P82" s="81"/>
      <c r="R82" s="5" t="s">
        <v>332</v>
      </c>
      <c r="S82" s="42" t="s">
        <v>444</v>
      </c>
      <c r="T82" s="42">
        <v>5</v>
      </c>
      <c r="V82" s="5" t="s">
        <v>332</v>
      </c>
      <c r="W82" s="42" t="s">
        <v>444</v>
      </c>
      <c r="X82" s="42">
        <v>5</v>
      </c>
    </row>
    <row r="83" spans="1:34" ht="15" hidden="1" thickBot="1" x14ac:dyDescent="0.35">
      <c r="A83" s="4" t="s">
        <v>398</v>
      </c>
      <c r="B83" s="4">
        <v>5</v>
      </c>
      <c r="C83" s="9">
        <v>2</v>
      </c>
      <c r="D83" s="10"/>
      <c r="E83" s="10"/>
      <c r="F83" s="10">
        <v>2</v>
      </c>
      <c r="G83" s="10" t="s">
        <v>400</v>
      </c>
      <c r="H83" s="8" t="s">
        <v>401</v>
      </c>
      <c r="I83" s="8"/>
      <c r="J83" s="2"/>
      <c r="K83" s="8" t="s">
        <v>387</v>
      </c>
      <c r="L83" s="8"/>
      <c r="M83" s="8"/>
      <c r="N83" s="8"/>
      <c r="O83" s="2"/>
      <c r="P83" s="81"/>
      <c r="R83" s="5" t="s">
        <v>333</v>
      </c>
      <c r="S83" s="42" t="s">
        <v>444</v>
      </c>
      <c r="T83" s="42">
        <v>5</v>
      </c>
      <c r="V83" s="5" t="s">
        <v>333</v>
      </c>
      <c r="W83" s="42" t="s">
        <v>444</v>
      </c>
      <c r="X83" s="42">
        <v>5</v>
      </c>
    </row>
    <row r="84" spans="1:34" ht="15" hidden="1" thickBot="1" x14ac:dyDescent="0.35">
      <c r="A84" s="4" t="s">
        <v>398</v>
      </c>
      <c r="B84" s="4">
        <v>4</v>
      </c>
      <c r="C84" s="9">
        <v>2</v>
      </c>
      <c r="D84" s="10"/>
      <c r="E84" s="10" t="s">
        <v>235</v>
      </c>
      <c r="F84" s="10">
        <v>0</v>
      </c>
      <c r="G84" s="24"/>
      <c r="H84" s="8"/>
      <c r="I84" s="8"/>
      <c r="J84" s="2"/>
      <c r="K84" s="80" t="s">
        <v>487</v>
      </c>
      <c r="L84" s="80"/>
      <c r="M84" s="80"/>
      <c r="N84" s="80"/>
      <c r="O84" s="79"/>
      <c r="P84" s="81"/>
      <c r="R84" s="5" t="s">
        <v>342</v>
      </c>
      <c r="S84" s="42">
        <v>3</v>
      </c>
      <c r="T84" s="42">
        <v>3</v>
      </c>
      <c r="V84" s="5" t="s">
        <v>336</v>
      </c>
      <c r="W84" s="42">
        <v>3</v>
      </c>
      <c r="X84" s="42">
        <v>3</v>
      </c>
    </row>
    <row r="85" spans="1:34" ht="15" hidden="1" thickBot="1" x14ac:dyDescent="0.35">
      <c r="A85" s="82" t="s">
        <v>457</v>
      </c>
      <c r="B85" s="4">
        <v>2</v>
      </c>
      <c r="C85" s="9">
        <v>1</v>
      </c>
      <c r="D85" s="27"/>
      <c r="E85" s="27"/>
      <c r="F85" s="27">
        <v>1</v>
      </c>
      <c r="G85" s="27" t="s">
        <v>467</v>
      </c>
      <c r="H85" s="80"/>
      <c r="I85" s="80"/>
      <c r="J85" s="79"/>
      <c r="K85" s="80" t="s">
        <v>486</v>
      </c>
      <c r="L85" s="80"/>
      <c r="M85" s="80"/>
      <c r="N85" s="80"/>
      <c r="O85" s="79"/>
      <c r="P85" s="83" t="s">
        <v>654</v>
      </c>
      <c r="T85" s="42">
        <f>SUM(T78:T84)</f>
        <v>29</v>
      </c>
      <c r="X85" s="42">
        <f>SUM(X78:X84)</f>
        <v>29</v>
      </c>
    </row>
    <row r="86" spans="1:34" ht="15" hidden="1" thickBot="1" x14ac:dyDescent="0.35">
      <c r="A86" s="4" t="s">
        <v>457</v>
      </c>
      <c r="B86" s="4">
        <v>2</v>
      </c>
      <c r="C86" s="9">
        <v>1</v>
      </c>
      <c r="D86" s="10"/>
      <c r="E86" s="10"/>
      <c r="F86" s="10">
        <v>1</v>
      </c>
      <c r="G86" s="10" t="s">
        <v>467</v>
      </c>
      <c r="H86" s="8"/>
      <c r="I86" s="8"/>
      <c r="J86" s="2"/>
      <c r="K86" s="8" t="s">
        <v>486</v>
      </c>
      <c r="L86" s="8"/>
      <c r="M86" s="8"/>
      <c r="N86" s="8"/>
      <c r="O86" s="2"/>
      <c r="P86" s="81" t="s">
        <v>654</v>
      </c>
    </row>
    <row r="87" spans="1:34" ht="15" hidden="1" thickBot="1" x14ac:dyDescent="0.35">
      <c r="A87" s="4" t="s">
        <v>95</v>
      </c>
      <c r="B87" s="4">
        <v>4</v>
      </c>
      <c r="C87" s="9">
        <v>2</v>
      </c>
      <c r="D87" s="10"/>
      <c r="E87" s="10"/>
      <c r="F87" s="10">
        <v>1</v>
      </c>
      <c r="G87" s="10" t="s">
        <v>262</v>
      </c>
      <c r="H87" s="8"/>
      <c r="I87" s="8"/>
      <c r="J87" s="2"/>
      <c r="K87" s="8" t="s">
        <v>261</v>
      </c>
      <c r="L87" s="8"/>
      <c r="M87" s="8"/>
      <c r="N87" s="8"/>
      <c r="O87" s="2"/>
      <c r="P87" s="81"/>
    </row>
    <row r="88" spans="1:34" ht="15" hidden="1" thickBot="1" x14ac:dyDescent="0.35">
      <c r="A88" s="82" t="s">
        <v>383</v>
      </c>
      <c r="B88" s="82">
        <v>4</v>
      </c>
      <c r="C88" s="84">
        <v>2</v>
      </c>
      <c r="D88" s="27"/>
      <c r="E88" s="27"/>
      <c r="F88" s="27">
        <v>1</v>
      </c>
      <c r="G88" s="27" t="s">
        <v>67</v>
      </c>
      <c r="H88" s="80" t="s">
        <v>385</v>
      </c>
      <c r="I88" s="80"/>
      <c r="J88" s="79"/>
      <c r="K88" s="80" t="s">
        <v>364</v>
      </c>
      <c r="L88" s="80" t="s">
        <v>366</v>
      </c>
      <c r="M88" s="80"/>
      <c r="N88" s="80"/>
      <c r="O88" s="79"/>
      <c r="P88" s="83"/>
    </row>
    <row r="89" spans="1:34" s="39" customFormat="1" ht="15" hidden="1" thickBot="1" x14ac:dyDescent="0.35">
      <c r="A89" s="4" t="s">
        <v>383</v>
      </c>
      <c r="B89" s="4">
        <v>4</v>
      </c>
      <c r="C89" s="9">
        <v>2</v>
      </c>
      <c r="D89" s="10"/>
      <c r="E89" s="10"/>
      <c r="F89" s="10">
        <v>1</v>
      </c>
      <c r="G89" s="10" t="s">
        <v>67</v>
      </c>
      <c r="H89" s="8" t="s">
        <v>385</v>
      </c>
      <c r="I89" s="8"/>
      <c r="J89" s="2"/>
      <c r="K89" s="8" t="s">
        <v>365</v>
      </c>
      <c r="L89" s="8"/>
      <c r="M89" s="8"/>
      <c r="N89" s="8"/>
      <c r="O89" s="2"/>
      <c r="P89" s="81"/>
    </row>
    <row r="90" spans="1:34" ht="15" hidden="1" thickBot="1" x14ac:dyDescent="0.35">
      <c r="A90" s="82" t="s">
        <v>458</v>
      </c>
      <c r="B90" s="82">
        <v>4</v>
      </c>
      <c r="C90" s="84">
        <v>2</v>
      </c>
      <c r="D90" s="27"/>
      <c r="E90" s="27"/>
      <c r="F90" s="27">
        <v>2</v>
      </c>
      <c r="G90" s="27" t="s">
        <v>469</v>
      </c>
      <c r="H90" s="80" t="s">
        <v>687</v>
      </c>
      <c r="I90" s="80"/>
      <c r="J90" s="79"/>
      <c r="K90" s="80" t="s">
        <v>486</v>
      </c>
      <c r="L90" s="80"/>
      <c r="M90" s="80"/>
      <c r="N90" s="80"/>
      <c r="O90" s="79"/>
      <c r="P90" s="83"/>
    </row>
    <row r="91" spans="1:34" ht="15" hidden="1" thickBot="1" x14ac:dyDescent="0.35">
      <c r="A91" s="4" t="s">
        <v>269</v>
      </c>
      <c r="B91" s="4">
        <v>4</v>
      </c>
      <c r="C91" s="9">
        <v>2</v>
      </c>
      <c r="D91" s="10"/>
      <c r="E91" s="10"/>
      <c r="F91" s="10">
        <v>1</v>
      </c>
      <c r="G91" s="10" t="s">
        <v>419</v>
      </c>
      <c r="H91" s="8"/>
      <c r="I91" s="8"/>
      <c r="J91" s="2"/>
      <c r="K91" s="8" t="s">
        <v>505</v>
      </c>
      <c r="L91" s="8"/>
      <c r="M91" s="8"/>
      <c r="N91" s="8"/>
      <c r="O91" s="2"/>
      <c r="P91" s="81"/>
      <c r="Z91" s="5" t="s">
        <v>362</v>
      </c>
    </row>
    <row r="92" spans="1:34" ht="15" hidden="1" thickBot="1" x14ac:dyDescent="0.35">
      <c r="A92" s="82" t="s">
        <v>269</v>
      </c>
      <c r="B92" s="82">
        <v>4</v>
      </c>
      <c r="C92" s="84">
        <v>2</v>
      </c>
      <c r="D92" s="27"/>
      <c r="E92" s="27"/>
      <c r="F92" s="27">
        <v>1</v>
      </c>
      <c r="G92" s="27" t="s">
        <v>438</v>
      </c>
      <c r="H92" s="80"/>
      <c r="I92" s="80"/>
      <c r="J92" s="79"/>
      <c r="K92" s="80" t="s">
        <v>365</v>
      </c>
      <c r="L92" s="80"/>
      <c r="M92" s="80"/>
      <c r="N92" s="80"/>
      <c r="O92" s="79"/>
      <c r="P92" s="83"/>
      <c r="Z92" s="5" t="s">
        <v>359</v>
      </c>
      <c r="AA92" s="5" t="s">
        <v>443</v>
      </c>
      <c r="AB92" s="5">
        <v>4</v>
      </c>
      <c r="AD92" s="45" t="s">
        <v>448</v>
      </c>
      <c r="AE92" s="45" t="s">
        <v>449</v>
      </c>
      <c r="AF92" s="45" t="s">
        <v>356</v>
      </c>
      <c r="AG92" s="45" t="s">
        <v>450</v>
      </c>
      <c r="AH92" s="45" t="s">
        <v>451</v>
      </c>
    </row>
    <row r="93" spans="1:34" ht="15" hidden="1" thickBot="1" x14ac:dyDescent="0.35">
      <c r="A93" s="4" t="s">
        <v>269</v>
      </c>
      <c r="B93" s="4">
        <v>4</v>
      </c>
      <c r="C93" s="9">
        <v>2</v>
      </c>
      <c r="D93" s="10"/>
      <c r="E93" s="10"/>
      <c r="F93" s="24">
        <v>0</v>
      </c>
      <c r="G93" s="24"/>
      <c r="H93" s="8"/>
      <c r="I93" s="8"/>
      <c r="J93" s="2"/>
      <c r="K93" s="8" t="s">
        <v>366</v>
      </c>
      <c r="L93" s="8"/>
      <c r="M93" s="8"/>
      <c r="N93" s="8"/>
      <c r="O93" s="2"/>
      <c r="P93" s="81"/>
      <c r="Z93" s="5" t="s">
        <v>367</v>
      </c>
      <c r="AA93" s="5" t="s">
        <v>443</v>
      </c>
      <c r="AB93" s="5">
        <v>4</v>
      </c>
      <c r="AD93" s="45">
        <v>6</v>
      </c>
      <c r="AE93" s="45">
        <v>3</v>
      </c>
      <c r="AF93" s="45">
        <v>3</v>
      </c>
      <c r="AG93" s="45">
        <v>2</v>
      </c>
      <c r="AH93" s="45">
        <v>2</v>
      </c>
    </row>
    <row r="94" spans="1:34" ht="15" hidden="1" thickBot="1" x14ac:dyDescent="0.35">
      <c r="A94" s="4" t="s">
        <v>255</v>
      </c>
      <c r="B94" s="4">
        <v>5</v>
      </c>
      <c r="C94" s="9">
        <v>2</v>
      </c>
      <c r="D94" s="10"/>
      <c r="E94" s="10"/>
      <c r="F94" s="10">
        <v>1</v>
      </c>
      <c r="G94" s="10" t="s">
        <v>245</v>
      </c>
      <c r="H94" s="8"/>
      <c r="I94" s="8"/>
      <c r="J94" s="2"/>
      <c r="K94" s="8" t="s">
        <v>258</v>
      </c>
      <c r="L94" s="8"/>
      <c r="M94" s="8"/>
      <c r="N94" s="8"/>
      <c r="O94" s="2"/>
      <c r="P94" s="81"/>
      <c r="Z94" s="5" t="s">
        <v>274</v>
      </c>
      <c r="AA94" s="5" t="s">
        <v>537</v>
      </c>
      <c r="AB94" s="5">
        <v>3</v>
      </c>
      <c r="AD94" s="45"/>
      <c r="AE94" s="45">
        <v>1</v>
      </c>
      <c r="AF94" s="45">
        <v>2</v>
      </c>
      <c r="AG94" s="45">
        <v>2</v>
      </c>
      <c r="AH94" s="45">
        <v>2</v>
      </c>
    </row>
    <row r="95" spans="1:34" ht="15" hidden="1" thickBot="1" x14ac:dyDescent="0.35">
      <c r="A95" s="82" t="s">
        <v>252</v>
      </c>
      <c r="B95" s="82">
        <v>4</v>
      </c>
      <c r="C95" s="84">
        <v>2</v>
      </c>
      <c r="D95" s="27"/>
      <c r="E95" s="27"/>
      <c r="F95" s="27">
        <v>1</v>
      </c>
      <c r="G95" s="27" t="s">
        <v>254</v>
      </c>
      <c r="H95" s="80"/>
      <c r="I95" s="80"/>
      <c r="J95" s="79"/>
      <c r="K95" s="80" t="s">
        <v>256</v>
      </c>
      <c r="L95" s="80"/>
      <c r="M95" s="80"/>
      <c r="N95" s="80"/>
      <c r="O95" s="79"/>
      <c r="P95" s="83"/>
      <c r="Z95" s="5" t="s">
        <v>370</v>
      </c>
      <c r="AA95" s="5" t="s">
        <v>444</v>
      </c>
      <c r="AB95" s="5">
        <v>5</v>
      </c>
      <c r="AD95" s="45"/>
      <c r="AE95" s="45"/>
      <c r="AF95" s="45"/>
      <c r="AG95" s="5">
        <v>2</v>
      </c>
      <c r="AH95" s="45">
        <v>2</v>
      </c>
    </row>
    <row r="96" spans="1:34" ht="15" hidden="1" thickBot="1" x14ac:dyDescent="0.35">
      <c r="A96" s="4" t="s">
        <v>367</v>
      </c>
      <c r="B96" s="4">
        <v>4</v>
      </c>
      <c r="C96" s="9">
        <v>2</v>
      </c>
      <c r="D96" s="10"/>
      <c r="E96" s="10"/>
      <c r="F96" s="10">
        <v>1</v>
      </c>
      <c r="G96" s="10" t="s">
        <v>369</v>
      </c>
      <c r="H96" s="8"/>
      <c r="I96" s="8"/>
      <c r="J96" s="2"/>
      <c r="K96" s="8" t="s">
        <v>362</v>
      </c>
      <c r="L96" s="8" t="s">
        <v>363</v>
      </c>
      <c r="M96" s="8"/>
      <c r="N96" s="8"/>
      <c r="O96" s="2"/>
      <c r="P96" s="81"/>
      <c r="Z96" s="5" t="s">
        <v>371</v>
      </c>
      <c r="AA96" s="5" t="s">
        <v>444</v>
      </c>
      <c r="AB96" s="5">
        <v>5</v>
      </c>
    </row>
    <row r="97" spans="1:34" ht="15" hidden="1" thickBot="1" x14ac:dyDescent="0.35">
      <c r="A97" s="4" t="s">
        <v>243</v>
      </c>
      <c r="B97" s="4">
        <v>2</v>
      </c>
      <c r="C97" s="9">
        <v>1</v>
      </c>
      <c r="D97" s="10" t="s">
        <v>277</v>
      </c>
      <c r="E97" s="10"/>
      <c r="F97" s="10">
        <v>1</v>
      </c>
      <c r="G97" s="10" t="s">
        <v>248</v>
      </c>
      <c r="H97" s="8"/>
      <c r="I97" s="8"/>
      <c r="J97" s="2"/>
      <c r="K97" s="8" t="s">
        <v>256</v>
      </c>
      <c r="L97" s="8"/>
      <c r="M97" s="8"/>
      <c r="N97" s="8"/>
      <c r="O97" s="2"/>
      <c r="P97" s="81"/>
      <c r="Z97" s="5" t="s">
        <v>372</v>
      </c>
      <c r="AA97" s="5">
        <v>6</v>
      </c>
      <c r="AB97" s="5">
        <v>6</v>
      </c>
    </row>
    <row r="98" spans="1:34" ht="15" hidden="1" thickBot="1" x14ac:dyDescent="0.35">
      <c r="A98" s="4" t="s">
        <v>242</v>
      </c>
      <c r="B98" s="4">
        <v>5</v>
      </c>
      <c r="C98" s="9">
        <v>2</v>
      </c>
      <c r="D98" s="10" t="s">
        <v>276</v>
      </c>
      <c r="E98" s="10"/>
      <c r="F98" s="10">
        <v>1</v>
      </c>
      <c r="G98" s="10" t="s">
        <v>245</v>
      </c>
      <c r="H98" s="8"/>
      <c r="I98" s="8"/>
      <c r="J98" s="2"/>
      <c r="K98" s="8" t="s">
        <v>256</v>
      </c>
      <c r="L98" s="8"/>
      <c r="M98" s="8"/>
      <c r="N98" s="8"/>
      <c r="O98" s="2"/>
      <c r="P98" s="81"/>
      <c r="AA98" s="7" t="s">
        <v>538</v>
      </c>
      <c r="AB98" s="5">
        <f>SUM(AB92:AB97)</f>
        <v>27</v>
      </c>
    </row>
    <row r="99" spans="1:34" ht="15" hidden="1" thickBot="1" x14ac:dyDescent="0.35">
      <c r="A99" s="4" t="s">
        <v>418</v>
      </c>
      <c r="B99" s="4">
        <v>5</v>
      </c>
      <c r="C99" s="9">
        <v>2</v>
      </c>
      <c r="D99" s="10"/>
      <c r="E99" s="10"/>
      <c r="F99" s="10">
        <v>1</v>
      </c>
      <c r="G99" s="10" t="s">
        <v>44</v>
      </c>
      <c r="H99" s="8"/>
      <c r="I99" s="8"/>
      <c r="J99" s="2"/>
      <c r="K99" s="8" t="s">
        <v>388</v>
      </c>
      <c r="L99" s="8"/>
      <c r="M99" s="8"/>
      <c r="N99" s="8"/>
      <c r="O99" s="2"/>
      <c r="P99" s="81"/>
    </row>
    <row r="100" spans="1:34" ht="15" hidden="1" thickBot="1" x14ac:dyDescent="0.35">
      <c r="A100" s="4" t="s">
        <v>529</v>
      </c>
      <c r="B100" s="4">
        <v>4</v>
      </c>
      <c r="C100" s="9">
        <v>2</v>
      </c>
      <c r="D100" s="10"/>
      <c r="E100" s="10" t="s">
        <v>235</v>
      </c>
      <c r="F100" s="10">
        <v>1</v>
      </c>
      <c r="G100" s="10" t="s">
        <v>526</v>
      </c>
      <c r="H100" s="8"/>
      <c r="I100" s="8"/>
      <c r="J100" s="2"/>
      <c r="K100" s="80" t="s">
        <v>386</v>
      </c>
      <c r="L100" s="80"/>
      <c r="M100" s="80"/>
      <c r="N100" s="80"/>
      <c r="O100" s="79"/>
      <c r="P100" s="83"/>
    </row>
    <row r="101" spans="1:34" ht="15" hidden="1" thickBot="1" x14ac:dyDescent="0.35">
      <c r="A101" s="82" t="s">
        <v>371</v>
      </c>
      <c r="B101" s="82">
        <v>5</v>
      </c>
      <c r="C101" s="84">
        <v>2</v>
      </c>
      <c r="D101" s="27"/>
      <c r="E101" s="27"/>
      <c r="F101" s="27">
        <v>2</v>
      </c>
      <c r="G101" s="10" t="s">
        <v>68</v>
      </c>
      <c r="H101" s="80" t="s">
        <v>69</v>
      </c>
      <c r="I101" s="80"/>
      <c r="J101" s="79"/>
      <c r="K101" s="80" t="s">
        <v>362</v>
      </c>
      <c r="L101" s="80"/>
      <c r="M101" s="80"/>
      <c r="N101" s="80"/>
      <c r="O101" s="79"/>
      <c r="P101" s="83"/>
    </row>
    <row r="102" spans="1:34" ht="15" hidden="1" thickBot="1" x14ac:dyDescent="0.35">
      <c r="A102" s="4" t="s">
        <v>259</v>
      </c>
      <c r="B102" s="4">
        <v>3</v>
      </c>
      <c r="C102" s="9">
        <v>2</v>
      </c>
      <c r="D102" s="10"/>
      <c r="E102" s="10"/>
      <c r="F102" s="10">
        <v>1</v>
      </c>
      <c r="G102" s="56" t="s">
        <v>492</v>
      </c>
      <c r="H102" s="8"/>
      <c r="I102" s="8"/>
      <c r="J102" s="2"/>
      <c r="K102" s="8" t="s">
        <v>258</v>
      </c>
      <c r="L102" s="8"/>
      <c r="M102" s="8"/>
      <c r="N102" s="8"/>
      <c r="O102" s="2"/>
      <c r="P102" s="81"/>
      <c r="Z102" s="5" t="s">
        <v>363</v>
      </c>
    </row>
    <row r="103" spans="1:34" ht="15" hidden="1" thickBot="1" x14ac:dyDescent="0.35">
      <c r="A103" s="4" t="s">
        <v>675</v>
      </c>
      <c r="B103" s="4">
        <v>3</v>
      </c>
      <c r="C103" s="9">
        <v>1</v>
      </c>
      <c r="D103" s="10"/>
      <c r="E103" s="10" t="s">
        <v>235</v>
      </c>
      <c r="F103" s="10">
        <v>1</v>
      </c>
      <c r="G103" s="10" t="s">
        <v>669</v>
      </c>
      <c r="H103" s="8"/>
      <c r="I103" s="8"/>
      <c r="J103" s="2"/>
      <c r="K103" s="80" t="s">
        <v>488</v>
      </c>
      <c r="L103" s="80" t="s">
        <v>489</v>
      </c>
      <c r="M103" s="80"/>
      <c r="N103" s="80"/>
      <c r="O103" s="79"/>
      <c r="P103" s="83"/>
      <c r="Z103" s="5" t="s">
        <v>359</v>
      </c>
      <c r="AA103" s="5" t="s">
        <v>443</v>
      </c>
      <c r="AB103" s="5">
        <v>4</v>
      </c>
      <c r="AD103" s="45" t="s">
        <v>448</v>
      </c>
      <c r="AE103" s="45" t="s">
        <v>449</v>
      </c>
      <c r="AF103" s="45" t="s">
        <v>356</v>
      </c>
      <c r="AG103" s="45" t="s">
        <v>450</v>
      </c>
      <c r="AH103" s="45" t="s">
        <v>451</v>
      </c>
    </row>
    <row r="104" spans="1:34" ht="15" hidden="1" thickBot="1" x14ac:dyDescent="0.35">
      <c r="A104" s="4" t="s">
        <v>528</v>
      </c>
      <c r="B104" s="4">
        <v>4</v>
      </c>
      <c r="C104" s="9">
        <v>2</v>
      </c>
      <c r="D104" s="10"/>
      <c r="E104" s="10" t="s">
        <v>235</v>
      </c>
      <c r="F104" s="10">
        <v>1</v>
      </c>
      <c r="G104" s="10" t="s">
        <v>516</v>
      </c>
      <c r="H104" s="8"/>
      <c r="I104" s="8"/>
      <c r="J104" s="2"/>
      <c r="K104" s="8" t="s">
        <v>387</v>
      </c>
      <c r="L104" s="8"/>
      <c r="M104" s="8"/>
      <c r="N104" s="8"/>
      <c r="O104" s="2"/>
      <c r="P104" s="81"/>
      <c r="Z104" s="5" t="s">
        <v>367</v>
      </c>
      <c r="AA104" s="5" t="s">
        <v>443</v>
      </c>
      <c r="AB104" s="5">
        <v>4</v>
      </c>
      <c r="AD104" s="5">
        <v>3</v>
      </c>
      <c r="AE104" s="5">
        <v>3</v>
      </c>
      <c r="AF104" s="5">
        <v>3</v>
      </c>
      <c r="AG104" s="5">
        <v>3</v>
      </c>
      <c r="AH104" s="5">
        <v>2</v>
      </c>
    </row>
    <row r="105" spans="1:34" ht="15" hidden="1" thickBot="1" x14ac:dyDescent="0.35">
      <c r="A105" s="4" t="s">
        <v>408</v>
      </c>
      <c r="B105" s="4">
        <v>4</v>
      </c>
      <c r="C105" s="9">
        <v>2</v>
      </c>
      <c r="D105" s="10"/>
      <c r="E105" s="10"/>
      <c r="F105" s="10">
        <v>1</v>
      </c>
      <c r="G105" s="10" t="s">
        <v>65</v>
      </c>
      <c r="H105" s="8"/>
      <c r="I105" s="8"/>
      <c r="J105" s="2"/>
      <c r="K105" s="8" t="s">
        <v>389</v>
      </c>
      <c r="L105" s="8" t="s">
        <v>390</v>
      </c>
      <c r="M105" s="8"/>
      <c r="N105" s="8"/>
      <c r="O105" s="2"/>
      <c r="P105" s="81"/>
      <c r="Z105" s="5" t="s">
        <v>274</v>
      </c>
      <c r="AA105" s="5" t="s">
        <v>537</v>
      </c>
      <c r="AB105" s="5">
        <v>3</v>
      </c>
      <c r="AD105" s="5">
        <v>2</v>
      </c>
      <c r="AE105" s="5">
        <v>2</v>
      </c>
      <c r="AF105" s="5">
        <v>2</v>
      </c>
      <c r="AG105" s="5">
        <v>2</v>
      </c>
      <c r="AH105" s="5">
        <v>2</v>
      </c>
    </row>
    <row r="106" spans="1:34" ht="15" hidden="1" thickBot="1" x14ac:dyDescent="0.35">
      <c r="A106" s="4" t="s">
        <v>24</v>
      </c>
      <c r="B106" s="4">
        <v>5</v>
      </c>
      <c r="C106" s="9">
        <v>2</v>
      </c>
      <c r="D106" s="10"/>
      <c r="E106" s="10"/>
      <c r="F106" s="10">
        <v>1</v>
      </c>
      <c r="G106" s="10" t="s">
        <v>26</v>
      </c>
      <c r="H106" s="8"/>
      <c r="I106" s="8"/>
      <c r="J106" s="2"/>
      <c r="K106" s="8" t="s">
        <v>440</v>
      </c>
      <c r="L106" s="8" t="s">
        <v>441</v>
      </c>
      <c r="M106" s="8"/>
      <c r="N106" s="8"/>
      <c r="O106" s="2"/>
      <c r="P106" s="81"/>
      <c r="Z106" s="5" t="s">
        <v>373</v>
      </c>
      <c r="AA106" s="5" t="s">
        <v>446</v>
      </c>
      <c r="AB106" s="5">
        <v>6</v>
      </c>
      <c r="AD106" s="5">
        <v>1</v>
      </c>
      <c r="AH106" s="5">
        <v>2</v>
      </c>
    </row>
    <row r="107" spans="1:34" ht="15" hidden="1" thickBot="1" x14ac:dyDescent="0.35">
      <c r="A107" s="4" t="s">
        <v>679</v>
      </c>
      <c r="B107" s="4">
        <v>3</v>
      </c>
      <c r="C107" s="9">
        <v>1</v>
      </c>
      <c r="D107" s="10"/>
      <c r="E107" s="10" t="s">
        <v>235</v>
      </c>
      <c r="F107" s="10">
        <v>1</v>
      </c>
      <c r="G107" s="10" t="s">
        <v>666</v>
      </c>
      <c r="H107" s="8"/>
      <c r="I107" s="8"/>
      <c r="J107" s="2"/>
      <c r="K107" s="8" t="s">
        <v>505</v>
      </c>
      <c r="L107" s="8" t="s">
        <v>488</v>
      </c>
      <c r="M107" s="8" t="s">
        <v>489</v>
      </c>
      <c r="N107" s="8"/>
      <c r="O107" s="2"/>
      <c r="P107" s="81"/>
      <c r="Z107" s="5" t="s">
        <v>376</v>
      </c>
      <c r="AA107" s="5" t="s">
        <v>443</v>
      </c>
      <c r="AB107" s="5">
        <v>4</v>
      </c>
    </row>
    <row r="108" spans="1:34" ht="15" hidden="1" thickBot="1" x14ac:dyDescent="0.35">
      <c r="A108" s="4" t="s">
        <v>421</v>
      </c>
      <c r="B108" s="4">
        <v>6</v>
      </c>
      <c r="C108" s="9">
        <v>2</v>
      </c>
      <c r="D108" s="10"/>
      <c r="E108" s="10"/>
      <c r="F108" s="10">
        <v>1</v>
      </c>
      <c r="G108" s="10" t="s">
        <v>73</v>
      </c>
      <c r="H108" s="8"/>
      <c r="I108" s="8"/>
      <c r="J108" s="2"/>
      <c r="K108" s="8" t="s">
        <v>363</v>
      </c>
      <c r="L108" s="8"/>
      <c r="M108" s="8"/>
      <c r="N108" s="8"/>
      <c r="O108" s="2"/>
      <c r="P108" s="81"/>
      <c r="Z108" s="5" t="s">
        <v>421</v>
      </c>
      <c r="AA108" s="5" t="s">
        <v>446</v>
      </c>
      <c r="AB108" s="5">
        <v>6</v>
      </c>
    </row>
    <row r="109" spans="1:34" ht="15" hidden="1" thickBot="1" x14ac:dyDescent="0.35">
      <c r="A109" s="4" t="s">
        <v>460</v>
      </c>
      <c r="B109" s="4">
        <v>5</v>
      </c>
      <c r="C109" s="9">
        <v>2</v>
      </c>
      <c r="D109" s="10"/>
      <c r="E109" s="10"/>
      <c r="F109" s="10">
        <v>1</v>
      </c>
      <c r="G109" s="10" t="s">
        <v>475</v>
      </c>
      <c r="H109" s="8"/>
      <c r="I109" s="8"/>
      <c r="J109" s="2"/>
      <c r="K109" s="8" t="s">
        <v>486</v>
      </c>
      <c r="L109" s="8"/>
      <c r="M109" s="8"/>
      <c r="N109" s="8"/>
      <c r="O109" s="2"/>
      <c r="P109" s="81"/>
      <c r="AA109" s="5" t="s">
        <v>539</v>
      </c>
      <c r="AB109" s="5">
        <f>SUM(AB103:AB108)</f>
        <v>27</v>
      </c>
    </row>
    <row r="110" spans="1:34" ht="15" hidden="1" thickBot="1" x14ac:dyDescent="0.35">
      <c r="A110" s="4" t="s">
        <v>373</v>
      </c>
      <c r="B110" s="4">
        <v>6</v>
      </c>
      <c r="C110" s="9">
        <v>2</v>
      </c>
      <c r="D110" s="10"/>
      <c r="E110" s="10"/>
      <c r="F110" s="10">
        <v>1</v>
      </c>
      <c r="G110" s="10" t="s">
        <v>42</v>
      </c>
      <c r="H110" s="8"/>
      <c r="I110" s="8"/>
      <c r="J110" s="2"/>
      <c r="K110" s="8" t="s">
        <v>364</v>
      </c>
      <c r="L110" s="8" t="s">
        <v>363</v>
      </c>
      <c r="M110" s="8"/>
      <c r="N110" s="8"/>
      <c r="O110" s="2"/>
      <c r="P110" s="81"/>
    </row>
    <row r="111" spans="1:34" ht="15" hidden="1" thickBot="1" x14ac:dyDescent="0.35">
      <c r="A111" s="4" t="s">
        <v>274</v>
      </c>
      <c r="B111" s="4">
        <v>3</v>
      </c>
      <c r="C111" s="9">
        <v>2</v>
      </c>
      <c r="D111" s="10"/>
      <c r="E111" s="10"/>
      <c r="F111" s="10">
        <v>1</v>
      </c>
      <c r="G111" s="56" t="s">
        <v>491</v>
      </c>
      <c r="H111" s="8"/>
      <c r="I111" s="8"/>
      <c r="J111" s="2"/>
      <c r="K111" s="8" t="s">
        <v>505</v>
      </c>
      <c r="L111" s="8"/>
      <c r="M111" s="8"/>
      <c r="N111" s="8"/>
      <c r="O111" s="2"/>
      <c r="P111" s="81"/>
    </row>
    <row r="112" spans="1:34" ht="15" hidden="1" thickBot="1" x14ac:dyDescent="0.35">
      <c r="A112" s="82" t="s">
        <v>274</v>
      </c>
      <c r="B112" s="82">
        <v>3</v>
      </c>
      <c r="C112" s="84">
        <v>2</v>
      </c>
      <c r="D112" s="27"/>
      <c r="E112" s="27"/>
      <c r="F112" s="27">
        <v>1</v>
      </c>
      <c r="G112" s="56" t="s">
        <v>492</v>
      </c>
      <c r="H112" s="80"/>
      <c r="I112" s="80"/>
      <c r="J112" s="79"/>
      <c r="K112" s="80" t="s">
        <v>362</v>
      </c>
      <c r="L112" s="80" t="s">
        <v>363</v>
      </c>
      <c r="M112" s="80"/>
      <c r="N112" s="80"/>
      <c r="O112" s="79"/>
      <c r="P112" s="83"/>
    </row>
    <row r="113" spans="1:21" s="39" customFormat="1" ht="15" hidden="1" thickBot="1" x14ac:dyDescent="0.35">
      <c r="A113" s="4" t="s">
        <v>274</v>
      </c>
      <c r="B113" s="4">
        <v>3</v>
      </c>
      <c r="C113" s="9">
        <v>2</v>
      </c>
      <c r="D113" s="10"/>
      <c r="E113" s="10"/>
      <c r="F113" s="10">
        <v>1</v>
      </c>
      <c r="G113" s="56" t="s">
        <v>492</v>
      </c>
      <c r="H113" s="8"/>
      <c r="I113" s="8"/>
      <c r="J113" s="2"/>
      <c r="K113" s="8" t="s">
        <v>364</v>
      </c>
      <c r="L113" s="8" t="s">
        <v>366</v>
      </c>
      <c r="M113" s="8"/>
      <c r="N113" s="8"/>
      <c r="O113" s="2"/>
      <c r="P113" s="81"/>
    </row>
    <row r="114" spans="1:21" ht="15" hidden="1" thickBot="1" x14ac:dyDescent="0.35">
      <c r="A114" s="82" t="s">
        <v>274</v>
      </c>
      <c r="B114" s="82">
        <v>3</v>
      </c>
      <c r="C114" s="84">
        <v>2</v>
      </c>
      <c r="D114" s="27"/>
      <c r="E114" s="27"/>
      <c r="F114" s="27">
        <v>1</v>
      </c>
      <c r="G114" s="56" t="s">
        <v>492</v>
      </c>
      <c r="H114" s="80"/>
      <c r="I114" s="80"/>
      <c r="J114" s="79"/>
      <c r="K114" s="80" t="s">
        <v>365</v>
      </c>
      <c r="L114" s="80"/>
      <c r="M114" s="80"/>
      <c r="N114" s="80"/>
      <c r="O114" s="79"/>
      <c r="P114" s="83"/>
    </row>
    <row r="115" spans="1:21" ht="15" hidden="1" thickBot="1" x14ac:dyDescent="0.35">
      <c r="A115" s="82" t="s">
        <v>339</v>
      </c>
      <c r="B115" s="4">
        <v>4</v>
      </c>
      <c r="C115" s="9">
        <v>2</v>
      </c>
      <c r="D115" s="27"/>
      <c r="E115" s="27"/>
      <c r="F115" s="27">
        <v>1</v>
      </c>
      <c r="G115" s="27" t="s">
        <v>341</v>
      </c>
      <c r="H115" s="80"/>
      <c r="I115" s="80"/>
      <c r="J115" s="79"/>
      <c r="K115" s="80" t="s">
        <v>324</v>
      </c>
      <c r="L115" s="80" t="s">
        <v>325</v>
      </c>
      <c r="M115" s="80"/>
      <c r="N115" s="80"/>
      <c r="O115" s="79"/>
      <c r="P115" s="83"/>
    </row>
    <row r="116" spans="1:21" ht="15" hidden="1" thickBot="1" x14ac:dyDescent="0.35">
      <c r="A116" s="4" t="s">
        <v>339</v>
      </c>
      <c r="B116" s="98">
        <v>2</v>
      </c>
      <c r="C116" s="99">
        <v>1</v>
      </c>
      <c r="D116" s="10"/>
      <c r="E116" s="10"/>
      <c r="F116" s="10">
        <v>1</v>
      </c>
      <c r="G116" s="10" t="s">
        <v>341</v>
      </c>
      <c r="H116" s="8"/>
      <c r="I116" s="8"/>
      <c r="J116" s="2"/>
      <c r="K116" s="8" t="s">
        <v>326</v>
      </c>
      <c r="L116" s="8" t="s">
        <v>328</v>
      </c>
      <c r="M116" s="8"/>
      <c r="N116" s="8"/>
      <c r="O116" s="2"/>
      <c r="P116" s="81"/>
      <c r="T116" s="5" t="s">
        <v>260</v>
      </c>
      <c r="U116" s="5">
        <v>3</v>
      </c>
    </row>
    <row r="117" spans="1:21" ht="15" hidden="1" thickBot="1" x14ac:dyDescent="0.35">
      <c r="A117" s="4" t="s">
        <v>339</v>
      </c>
      <c r="B117" s="98">
        <v>1</v>
      </c>
      <c r="C117" s="99">
        <v>1</v>
      </c>
      <c r="D117" s="10"/>
      <c r="E117" s="10"/>
      <c r="F117" s="10">
        <v>1</v>
      </c>
      <c r="G117" s="10" t="s">
        <v>341</v>
      </c>
      <c r="H117" s="8"/>
      <c r="I117" s="8"/>
      <c r="J117" s="2"/>
      <c r="K117" s="8" t="s">
        <v>326</v>
      </c>
      <c r="L117" s="8" t="s">
        <v>328</v>
      </c>
      <c r="M117" s="8"/>
      <c r="N117" s="8"/>
      <c r="O117" s="2"/>
      <c r="P117" s="81"/>
      <c r="T117" s="5" t="s">
        <v>852</v>
      </c>
      <c r="U117" s="5">
        <v>4</v>
      </c>
    </row>
    <row r="118" spans="1:21" ht="15" hidden="1" thickBot="1" x14ac:dyDescent="0.35">
      <c r="A118" s="4" t="s">
        <v>339</v>
      </c>
      <c r="B118" s="98">
        <v>2</v>
      </c>
      <c r="C118" s="99">
        <v>1</v>
      </c>
      <c r="D118" s="10"/>
      <c r="E118" s="10"/>
      <c r="F118" s="10">
        <v>1</v>
      </c>
      <c r="G118" s="10" t="s">
        <v>341</v>
      </c>
      <c r="H118" s="8"/>
      <c r="I118" s="8"/>
      <c r="J118" s="2"/>
      <c r="K118" s="8" t="s">
        <v>327</v>
      </c>
      <c r="L118" s="8"/>
      <c r="M118" s="8"/>
      <c r="N118" s="8"/>
      <c r="O118" s="2"/>
      <c r="P118" s="81"/>
      <c r="T118" s="5" t="s">
        <v>853</v>
      </c>
      <c r="U118" s="5">
        <v>5</v>
      </c>
    </row>
    <row r="119" spans="1:21" ht="15" hidden="1" thickBot="1" x14ac:dyDescent="0.35">
      <c r="A119" s="82" t="s">
        <v>339</v>
      </c>
      <c r="B119" s="98">
        <v>1</v>
      </c>
      <c r="C119" s="99">
        <v>1</v>
      </c>
      <c r="D119" s="27"/>
      <c r="E119" s="27"/>
      <c r="F119" s="27">
        <v>1</v>
      </c>
      <c r="G119" s="27" t="s">
        <v>341</v>
      </c>
      <c r="H119" s="80"/>
      <c r="I119" s="80"/>
      <c r="J119" s="79"/>
      <c r="K119" s="80" t="s">
        <v>327</v>
      </c>
      <c r="L119" s="80"/>
      <c r="M119" s="80"/>
      <c r="N119" s="80"/>
      <c r="O119" s="79"/>
      <c r="P119" s="81"/>
      <c r="T119" s="5" t="s">
        <v>854</v>
      </c>
      <c r="U119" s="5">
        <v>5</v>
      </c>
    </row>
    <row r="120" spans="1:21" ht="15" hidden="1" thickBot="1" x14ac:dyDescent="0.35">
      <c r="A120" s="4" t="s">
        <v>761</v>
      </c>
      <c r="B120" s="4">
        <v>4</v>
      </c>
      <c r="C120" s="9">
        <v>2</v>
      </c>
      <c r="D120" s="10"/>
      <c r="E120" s="10"/>
      <c r="F120" s="10">
        <v>1</v>
      </c>
      <c r="G120" s="10" t="s">
        <v>676</v>
      </c>
      <c r="H120" s="8"/>
      <c r="I120" s="8"/>
      <c r="J120" s="2"/>
      <c r="K120" s="8" t="s">
        <v>386</v>
      </c>
      <c r="L120" s="8" t="s">
        <v>387</v>
      </c>
      <c r="M120" s="8" t="s">
        <v>388</v>
      </c>
      <c r="N120" s="8"/>
      <c r="O120" s="2"/>
      <c r="P120" s="81" t="s">
        <v>763</v>
      </c>
      <c r="T120" s="5" t="s">
        <v>855</v>
      </c>
      <c r="U120" s="5">
        <v>4</v>
      </c>
    </row>
    <row r="121" spans="1:21" ht="15" hidden="1" thickBot="1" x14ac:dyDescent="0.35">
      <c r="A121" s="4" t="s">
        <v>761</v>
      </c>
      <c r="B121" s="4">
        <v>4</v>
      </c>
      <c r="C121" s="9">
        <v>2</v>
      </c>
      <c r="D121" s="10"/>
      <c r="E121" s="10"/>
      <c r="F121" s="10">
        <v>1</v>
      </c>
      <c r="G121" s="10" t="s">
        <v>676</v>
      </c>
      <c r="H121" s="8"/>
      <c r="I121" s="8"/>
      <c r="J121" s="2"/>
      <c r="K121" s="8" t="s">
        <v>389</v>
      </c>
      <c r="L121" s="8" t="s">
        <v>390</v>
      </c>
      <c r="M121" s="8"/>
      <c r="N121" s="8"/>
      <c r="O121" s="2"/>
      <c r="P121" s="81" t="s">
        <v>763</v>
      </c>
    </row>
    <row r="122" spans="1:21" ht="15" hidden="1" thickBot="1" x14ac:dyDescent="0.35">
      <c r="A122" s="4" t="s">
        <v>530</v>
      </c>
      <c r="B122" s="4">
        <v>4</v>
      </c>
      <c r="C122" s="9">
        <v>2</v>
      </c>
      <c r="D122" s="10"/>
      <c r="E122" s="10" t="s">
        <v>235</v>
      </c>
      <c r="F122" s="10">
        <v>1</v>
      </c>
      <c r="G122" s="10" t="s">
        <v>532</v>
      </c>
      <c r="H122" s="8"/>
      <c r="I122" s="8"/>
      <c r="J122" s="2"/>
      <c r="K122" s="8" t="s">
        <v>386</v>
      </c>
      <c r="L122" s="8" t="s">
        <v>486</v>
      </c>
      <c r="M122" s="8"/>
      <c r="N122" s="8"/>
      <c r="O122" s="2"/>
      <c r="P122" s="81"/>
    </row>
    <row r="123" spans="1:21" ht="15" hidden="1" thickBot="1" x14ac:dyDescent="0.35">
      <c r="A123" s="4" t="s">
        <v>656</v>
      </c>
      <c r="B123" s="4">
        <v>4</v>
      </c>
      <c r="C123" s="9">
        <v>2</v>
      </c>
      <c r="D123" s="10"/>
      <c r="E123" s="10" t="s">
        <v>235</v>
      </c>
      <c r="F123" s="10">
        <v>1</v>
      </c>
      <c r="G123" s="10" t="s">
        <v>526</v>
      </c>
      <c r="H123" s="8"/>
      <c r="I123" s="8"/>
      <c r="J123" s="2"/>
      <c r="K123" s="80" t="s">
        <v>486</v>
      </c>
      <c r="L123" s="80"/>
      <c r="M123" s="80"/>
      <c r="N123" s="80"/>
      <c r="O123" s="79"/>
      <c r="P123" s="83"/>
    </row>
    <row r="124" spans="1:21" ht="15" hidden="1" thickBot="1" x14ac:dyDescent="0.35">
      <c r="A124" s="4" t="s">
        <v>533</v>
      </c>
      <c r="B124" s="4">
        <v>4</v>
      </c>
      <c r="C124" s="4">
        <v>2</v>
      </c>
      <c r="D124" s="9"/>
      <c r="E124" s="10" t="s">
        <v>235</v>
      </c>
      <c r="F124" s="10">
        <v>1</v>
      </c>
      <c r="G124" s="10" t="s">
        <v>69</v>
      </c>
      <c r="H124" s="8"/>
      <c r="I124" s="8"/>
      <c r="J124" s="2"/>
      <c r="K124" s="8" t="s">
        <v>386</v>
      </c>
      <c r="L124" s="8" t="s">
        <v>486</v>
      </c>
      <c r="M124" s="8"/>
      <c r="N124" s="8"/>
      <c r="O124" s="2"/>
      <c r="P124" s="81"/>
    </row>
    <row r="125" spans="1:21" ht="15" hidden="1" thickBot="1" x14ac:dyDescent="0.35">
      <c r="A125" s="82" t="s">
        <v>463</v>
      </c>
      <c r="B125" s="82">
        <v>5</v>
      </c>
      <c r="C125" s="82">
        <v>2</v>
      </c>
      <c r="D125" s="84"/>
      <c r="E125" s="27"/>
      <c r="F125" s="27">
        <v>1</v>
      </c>
      <c r="G125" s="27" t="s">
        <v>481</v>
      </c>
      <c r="H125" s="80"/>
      <c r="I125" s="80"/>
      <c r="J125" s="79"/>
      <c r="K125" s="80" t="s">
        <v>487</v>
      </c>
      <c r="L125" s="80"/>
      <c r="M125" s="80"/>
      <c r="N125" s="80"/>
      <c r="O125" s="79"/>
      <c r="P125" s="83"/>
    </row>
    <row r="126" spans="1:21" ht="15" hidden="1" thickBot="1" x14ac:dyDescent="0.35">
      <c r="A126" s="4" t="s">
        <v>281</v>
      </c>
      <c r="B126" s="4">
        <v>5</v>
      </c>
      <c r="C126" s="4">
        <v>2</v>
      </c>
      <c r="D126" s="9"/>
      <c r="E126" s="10" t="s">
        <v>235</v>
      </c>
      <c r="F126" s="10">
        <v>1</v>
      </c>
      <c r="G126" s="10" t="s">
        <v>43</v>
      </c>
      <c r="H126" s="8"/>
      <c r="I126" s="8"/>
      <c r="J126" s="2"/>
      <c r="K126" s="8" t="s">
        <v>505</v>
      </c>
      <c r="L126" s="8" t="s">
        <v>488</v>
      </c>
      <c r="M126" s="8" t="s">
        <v>489</v>
      </c>
      <c r="N126" s="8"/>
      <c r="O126" s="2"/>
      <c r="P126" s="81"/>
    </row>
    <row r="127" spans="1:21" ht="15" hidden="1" thickBot="1" x14ac:dyDescent="0.35">
      <c r="A127" s="82" t="s">
        <v>353</v>
      </c>
      <c r="B127" s="82">
        <v>5</v>
      </c>
      <c r="C127" s="82">
        <v>2</v>
      </c>
      <c r="D127" s="84"/>
      <c r="E127" s="27"/>
      <c r="F127" s="27">
        <v>1</v>
      </c>
      <c r="G127" s="27" t="s">
        <v>43</v>
      </c>
      <c r="H127" s="80" t="s">
        <v>44</v>
      </c>
      <c r="I127" s="80"/>
      <c r="J127" s="79"/>
      <c r="K127" s="80" t="s">
        <v>326</v>
      </c>
      <c r="L127" s="80" t="s">
        <v>328</v>
      </c>
      <c r="M127" s="80"/>
      <c r="N127" s="80"/>
      <c r="O127" s="79"/>
      <c r="P127" s="81"/>
    </row>
    <row r="128" spans="1:21" ht="15" hidden="1" thickBot="1" x14ac:dyDescent="0.35">
      <c r="A128" s="4" t="s">
        <v>353</v>
      </c>
      <c r="B128" s="4">
        <v>5</v>
      </c>
      <c r="C128" s="4">
        <v>2</v>
      </c>
      <c r="D128" s="9"/>
      <c r="E128" s="10"/>
      <c r="F128" s="10">
        <v>1</v>
      </c>
      <c r="G128" s="10" t="s">
        <v>43</v>
      </c>
      <c r="H128" s="8" t="s">
        <v>44</v>
      </c>
      <c r="I128" s="8"/>
      <c r="J128" s="2"/>
      <c r="K128" s="8" t="s">
        <v>327</v>
      </c>
      <c r="L128" s="8"/>
      <c r="M128" s="8"/>
      <c r="N128" s="8"/>
      <c r="O128" s="2"/>
      <c r="P128" s="81"/>
    </row>
    <row r="129" spans="1:18" ht="15" hidden="1" thickBot="1" x14ac:dyDescent="0.35">
      <c r="A129" s="82" t="s">
        <v>102</v>
      </c>
      <c r="B129" s="82">
        <v>5</v>
      </c>
      <c r="C129" s="82">
        <v>2</v>
      </c>
      <c r="D129" s="84"/>
      <c r="E129" s="27"/>
      <c r="F129" s="27">
        <v>1</v>
      </c>
      <c r="G129" s="27" t="s">
        <v>43</v>
      </c>
      <c r="H129" s="80"/>
      <c r="I129" s="80"/>
      <c r="J129" s="79"/>
      <c r="K129" s="80" t="s">
        <v>258</v>
      </c>
      <c r="L129" s="80"/>
      <c r="M129" s="80"/>
      <c r="N129" s="80"/>
      <c r="O129" s="79"/>
      <c r="P129" s="83"/>
    </row>
    <row r="130" spans="1:18" ht="15" hidden="1" thickBot="1" x14ac:dyDescent="0.35">
      <c r="A130" s="4" t="s">
        <v>92</v>
      </c>
      <c r="B130" s="4">
        <v>3</v>
      </c>
      <c r="C130" s="9">
        <v>1</v>
      </c>
      <c r="D130" s="10"/>
      <c r="E130" s="10"/>
      <c r="F130" s="10">
        <v>1</v>
      </c>
      <c r="G130" s="10" t="s">
        <v>282</v>
      </c>
      <c r="H130" s="8"/>
      <c r="I130" s="8"/>
      <c r="J130" s="2"/>
      <c r="K130" s="8" t="s">
        <v>505</v>
      </c>
      <c r="L130" s="8"/>
      <c r="M130" s="8"/>
      <c r="N130" s="8"/>
      <c r="O130" s="2"/>
      <c r="P130" s="81"/>
    </row>
    <row r="131" spans="1:18" ht="15" hidden="1" thickBot="1" x14ac:dyDescent="0.35">
      <c r="A131" s="4" t="s">
        <v>333</v>
      </c>
      <c r="B131" s="4">
        <v>5</v>
      </c>
      <c r="C131" s="4">
        <v>2</v>
      </c>
      <c r="D131" s="9"/>
      <c r="E131" s="10"/>
      <c r="F131" s="10">
        <v>1</v>
      </c>
      <c r="G131" s="10" t="s">
        <v>334</v>
      </c>
      <c r="H131" s="8"/>
      <c r="I131" s="8"/>
      <c r="J131" s="2"/>
      <c r="K131" s="8" t="s">
        <v>324</v>
      </c>
      <c r="L131" s="8"/>
      <c r="M131" s="8"/>
      <c r="N131" s="8"/>
      <c r="O131" s="2"/>
      <c r="P131" s="81"/>
    </row>
    <row r="132" spans="1:18" ht="15" hidden="1" thickBot="1" x14ac:dyDescent="0.35">
      <c r="A132" s="82" t="s">
        <v>333</v>
      </c>
      <c r="B132" s="82">
        <v>5</v>
      </c>
      <c r="C132" s="84">
        <v>2</v>
      </c>
      <c r="D132" s="27"/>
      <c r="E132" s="27"/>
      <c r="F132" s="27">
        <v>1</v>
      </c>
      <c r="G132" s="27" t="s">
        <v>334</v>
      </c>
      <c r="H132" s="80"/>
      <c r="I132" s="80"/>
      <c r="J132" s="79"/>
      <c r="K132" s="80" t="s">
        <v>325</v>
      </c>
      <c r="L132" s="80"/>
      <c r="M132" s="80"/>
      <c r="N132" s="80"/>
      <c r="O132" s="79"/>
      <c r="P132" s="83"/>
    </row>
    <row r="133" spans="1:18" ht="15" hidden="1" thickBot="1" x14ac:dyDescent="0.35">
      <c r="A133" s="4" t="s">
        <v>280</v>
      </c>
      <c r="B133" s="4">
        <v>3</v>
      </c>
      <c r="C133" s="4">
        <v>1</v>
      </c>
      <c r="D133" s="9"/>
      <c r="E133" s="10" t="s">
        <v>235</v>
      </c>
      <c r="F133" s="10">
        <v>1</v>
      </c>
      <c r="G133" s="10" t="s">
        <v>67</v>
      </c>
      <c r="H133" s="8"/>
      <c r="I133" s="8"/>
      <c r="J133" s="2"/>
      <c r="K133" s="80" t="s">
        <v>505</v>
      </c>
      <c r="L133" s="80" t="s">
        <v>488</v>
      </c>
      <c r="M133" s="80" t="s">
        <v>489</v>
      </c>
      <c r="N133" s="80"/>
      <c r="O133" s="79"/>
      <c r="P133" s="83"/>
    </row>
    <row r="134" spans="1:18" ht="15" thickBot="1" x14ac:dyDescent="0.35">
      <c r="A134" s="4" t="s">
        <v>272</v>
      </c>
      <c r="B134" s="4">
        <v>5</v>
      </c>
      <c r="C134" s="4">
        <v>2</v>
      </c>
      <c r="D134" s="9"/>
      <c r="E134" s="10"/>
      <c r="F134" s="10">
        <v>1</v>
      </c>
      <c r="G134" s="10" t="s">
        <v>250</v>
      </c>
      <c r="H134" s="8"/>
      <c r="I134" s="8"/>
      <c r="J134" s="2"/>
      <c r="K134" s="8" t="s">
        <v>505</v>
      </c>
      <c r="L134" s="8"/>
      <c r="M134" s="8"/>
      <c r="N134" s="8"/>
      <c r="O134" s="2"/>
      <c r="P134" s="81"/>
    </row>
    <row r="135" spans="1:18" ht="15" thickBot="1" x14ac:dyDescent="0.35">
      <c r="A135" s="82" t="s">
        <v>272</v>
      </c>
      <c r="B135" s="82">
        <v>5</v>
      </c>
      <c r="C135" s="84">
        <v>2</v>
      </c>
      <c r="D135" s="27"/>
      <c r="E135" s="27"/>
      <c r="F135" s="27">
        <v>1</v>
      </c>
      <c r="G135" s="27" t="s">
        <v>498</v>
      </c>
      <c r="H135" s="25" t="s">
        <v>512</v>
      </c>
      <c r="I135" s="80"/>
      <c r="J135" s="79"/>
      <c r="K135" s="80" t="s">
        <v>365</v>
      </c>
      <c r="L135" s="80"/>
      <c r="M135" s="80"/>
      <c r="N135" s="80"/>
      <c r="O135" s="79"/>
      <c r="P135" s="83"/>
    </row>
    <row r="136" spans="1:18" ht="15" thickBot="1" x14ac:dyDescent="0.35">
      <c r="A136" s="4" t="s">
        <v>272</v>
      </c>
      <c r="B136" s="4">
        <v>5</v>
      </c>
      <c r="C136" s="9">
        <v>2</v>
      </c>
      <c r="D136" s="10"/>
      <c r="E136" s="10"/>
      <c r="F136" s="10">
        <v>1</v>
      </c>
      <c r="G136" s="10" t="s">
        <v>498</v>
      </c>
      <c r="H136" s="25" t="s">
        <v>512</v>
      </c>
      <c r="I136" s="8"/>
      <c r="J136" s="2"/>
      <c r="K136" s="8" t="s">
        <v>366</v>
      </c>
      <c r="L136" s="8"/>
      <c r="M136" s="8"/>
      <c r="N136" s="8"/>
      <c r="O136" s="2"/>
      <c r="P136" s="81"/>
    </row>
    <row r="137" spans="1:18" ht="15" hidden="1" thickBot="1" x14ac:dyDescent="0.35">
      <c r="A137" s="4" t="s">
        <v>661</v>
      </c>
      <c r="B137" s="4">
        <v>4</v>
      </c>
      <c r="C137" s="9">
        <v>1</v>
      </c>
      <c r="D137" s="10"/>
      <c r="E137" s="10" t="s">
        <v>235</v>
      </c>
      <c r="F137" s="10">
        <v>1</v>
      </c>
      <c r="G137" s="10" t="s">
        <v>660</v>
      </c>
      <c r="H137" s="8"/>
      <c r="I137" s="8"/>
      <c r="J137" s="2"/>
      <c r="K137" s="8" t="s">
        <v>505</v>
      </c>
      <c r="L137" s="8" t="s">
        <v>488</v>
      </c>
      <c r="M137" s="8" t="s">
        <v>489</v>
      </c>
      <c r="N137" s="8"/>
      <c r="O137" s="2"/>
      <c r="P137" s="133" t="s">
        <v>960</v>
      </c>
    </row>
    <row r="138" spans="1:18" ht="15" hidden="1" thickBot="1" x14ac:dyDescent="0.35">
      <c r="A138" s="4" t="s">
        <v>323</v>
      </c>
      <c r="B138" s="4">
        <v>2</v>
      </c>
      <c r="C138" s="9">
        <v>1</v>
      </c>
      <c r="D138" s="10" t="s">
        <v>277</v>
      </c>
      <c r="E138" s="10"/>
      <c r="F138" s="10">
        <v>1</v>
      </c>
      <c r="G138" s="10" t="s">
        <v>330</v>
      </c>
      <c r="H138" s="8"/>
      <c r="I138" s="8"/>
      <c r="J138" s="2"/>
      <c r="K138" s="8" t="s">
        <v>324</v>
      </c>
      <c r="L138" s="8" t="s">
        <v>326</v>
      </c>
      <c r="M138" s="8"/>
      <c r="N138" s="8"/>
      <c r="O138" s="2"/>
      <c r="P138" s="81"/>
    </row>
    <row r="139" spans="1:18" s="39" customFormat="1" ht="15" hidden="1" thickBot="1" x14ac:dyDescent="0.35">
      <c r="A139" s="4" t="s">
        <v>323</v>
      </c>
      <c r="B139" s="4">
        <v>2</v>
      </c>
      <c r="C139" s="9">
        <v>1</v>
      </c>
      <c r="D139" s="10" t="s">
        <v>277</v>
      </c>
      <c r="E139" s="10"/>
      <c r="F139" s="10">
        <v>1</v>
      </c>
      <c r="G139" s="10" t="s">
        <v>330</v>
      </c>
      <c r="H139" s="8"/>
      <c r="I139" s="8"/>
      <c r="J139" s="2"/>
      <c r="K139" s="8" t="s">
        <v>325</v>
      </c>
      <c r="L139" s="8"/>
      <c r="M139" s="8"/>
      <c r="N139" s="8"/>
      <c r="O139" s="2"/>
      <c r="P139" s="81"/>
    </row>
    <row r="140" spans="1:18" ht="15" hidden="1" thickBot="1" x14ac:dyDescent="0.35">
      <c r="A140" s="4" t="s">
        <v>322</v>
      </c>
      <c r="B140" s="4">
        <v>5</v>
      </c>
      <c r="C140" s="9">
        <v>2</v>
      </c>
      <c r="D140" s="10" t="s">
        <v>276</v>
      </c>
      <c r="E140" s="10"/>
      <c r="F140" s="10">
        <v>1</v>
      </c>
      <c r="G140" s="10" t="s">
        <v>19</v>
      </c>
      <c r="H140" s="8" t="s">
        <v>45</v>
      </c>
      <c r="I140" s="8"/>
      <c r="J140" s="2"/>
      <c r="K140" s="8" t="s">
        <v>324</v>
      </c>
      <c r="L140" s="8" t="s">
        <v>326</v>
      </c>
      <c r="M140" s="8"/>
      <c r="N140" s="8"/>
      <c r="O140" s="2"/>
      <c r="P140" s="81"/>
    </row>
    <row r="141" spans="1:18" ht="15" hidden="1" thickBot="1" x14ac:dyDescent="0.35">
      <c r="A141" s="4" t="s">
        <v>322</v>
      </c>
      <c r="B141" s="4">
        <v>5</v>
      </c>
      <c r="C141" s="9">
        <v>2</v>
      </c>
      <c r="D141" s="10" t="s">
        <v>276</v>
      </c>
      <c r="E141" s="10"/>
      <c r="F141" s="10">
        <v>1</v>
      </c>
      <c r="G141" s="10" t="s">
        <v>19</v>
      </c>
      <c r="H141" s="8" t="s">
        <v>45</v>
      </c>
      <c r="I141" s="8"/>
      <c r="J141" s="2"/>
      <c r="K141" s="8" t="s">
        <v>325</v>
      </c>
      <c r="L141" s="8"/>
      <c r="M141" s="8"/>
      <c r="N141" s="8"/>
      <c r="O141" s="2"/>
      <c r="P141" s="81"/>
    </row>
    <row r="142" spans="1:18" ht="15" hidden="1" thickBot="1" x14ac:dyDescent="0.35">
      <c r="A142" s="4" t="s">
        <v>23</v>
      </c>
      <c r="B142" s="4">
        <v>2</v>
      </c>
      <c r="C142" s="9">
        <v>1</v>
      </c>
      <c r="D142" s="10" t="s">
        <v>277</v>
      </c>
      <c r="E142" s="10"/>
      <c r="F142" s="10">
        <v>1</v>
      </c>
      <c r="G142" s="10" t="s">
        <v>13</v>
      </c>
      <c r="H142" s="8"/>
      <c r="I142" s="8"/>
      <c r="J142" s="2"/>
      <c r="K142" s="8" t="s">
        <v>440</v>
      </c>
      <c r="L142" s="8"/>
      <c r="M142" s="8"/>
      <c r="N142" s="8"/>
      <c r="O142" s="2"/>
      <c r="P142" s="81" t="s">
        <v>919</v>
      </c>
    </row>
    <row r="143" spans="1:18" ht="15" hidden="1" thickBot="1" x14ac:dyDescent="0.35">
      <c r="A143" s="4" t="s">
        <v>23</v>
      </c>
      <c r="B143" s="4">
        <v>2</v>
      </c>
      <c r="C143" s="9">
        <v>1</v>
      </c>
      <c r="D143" s="10" t="s">
        <v>277</v>
      </c>
      <c r="E143" s="10"/>
      <c r="F143" s="10">
        <v>1</v>
      </c>
      <c r="G143" s="10" t="s">
        <v>18</v>
      </c>
      <c r="H143" s="8"/>
      <c r="I143" s="8"/>
      <c r="J143" s="2"/>
      <c r="K143" s="8" t="s">
        <v>441</v>
      </c>
      <c r="L143" s="8"/>
      <c r="M143" s="8"/>
      <c r="N143" s="8"/>
      <c r="O143" s="2"/>
      <c r="P143" s="81" t="s">
        <v>919</v>
      </c>
      <c r="R143" s="73"/>
    </row>
    <row r="144" spans="1:18" ht="15" hidden="1" thickBot="1" x14ac:dyDescent="0.35">
      <c r="A144" s="4" t="s">
        <v>22</v>
      </c>
      <c r="B144" s="4">
        <v>5</v>
      </c>
      <c r="C144" s="9">
        <v>2</v>
      </c>
      <c r="D144" s="10" t="s">
        <v>276</v>
      </c>
      <c r="E144" s="10"/>
      <c r="F144" s="10">
        <v>1</v>
      </c>
      <c r="G144" s="10" t="s">
        <v>13</v>
      </c>
      <c r="H144" s="8"/>
      <c r="I144" s="8"/>
      <c r="J144" s="2"/>
      <c r="K144" s="8" t="s">
        <v>440</v>
      </c>
      <c r="L144" s="8"/>
      <c r="M144" s="8"/>
      <c r="N144" s="8"/>
      <c r="O144" s="2"/>
      <c r="P144" s="81" t="s">
        <v>918</v>
      </c>
    </row>
    <row r="145" spans="1:16" ht="15" hidden="1" thickBot="1" x14ac:dyDescent="0.35">
      <c r="A145" s="4" t="s">
        <v>22</v>
      </c>
      <c r="B145" s="4">
        <v>5</v>
      </c>
      <c r="C145" s="9">
        <v>2</v>
      </c>
      <c r="D145" s="10" t="s">
        <v>276</v>
      </c>
      <c r="E145" s="10"/>
      <c r="F145" s="10">
        <v>1</v>
      </c>
      <c r="G145" s="10" t="s">
        <v>18</v>
      </c>
      <c r="H145" s="8"/>
      <c r="I145" s="8"/>
      <c r="J145" s="2"/>
      <c r="K145" s="8" t="s">
        <v>441</v>
      </c>
      <c r="L145" s="8"/>
      <c r="M145" s="8"/>
      <c r="N145" s="8"/>
      <c r="O145" s="2"/>
      <c r="P145" s="81" t="s">
        <v>918</v>
      </c>
    </row>
    <row r="146" spans="1:16" ht="15" hidden="1" thickBot="1" x14ac:dyDescent="0.35">
      <c r="A146" s="4" t="s">
        <v>9</v>
      </c>
      <c r="B146" s="4">
        <v>2</v>
      </c>
      <c r="C146" s="9">
        <v>1</v>
      </c>
      <c r="D146" s="10" t="s">
        <v>277</v>
      </c>
      <c r="E146" s="10"/>
      <c r="F146" s="10">
        <v>1</v>
      </c>
      <c r="G146" s="10" t="s">
        <v>62</v>
      </c>
      <c r="H146" s="8"/>
      <c r="I146" s="8"/>
      <c r="J146" s="2"/>
      <c r="K146" s="8" t="s">
        <v>308</v>
      </c>
      <c r="L146" s="8"/>
      <c r="M146" s="8"/>
      <c r="N146" s="8"/>
      <c r="O146" s="2"/>
      <c r="P146" s="81"/>
    </row>
    <row r="147" spans="1:16" ht="15" hidden="1" thickBot="1" x14ac:dyDescent="0.35">
      <c r="A147" s="4" t="s">
        <v>9</v>
      </c>
      <c r="B147" s="4">
        <v>2</v>
      </c>
      <c r="C147" s="9">
        <v>1</v>
      </c>
      <c r="D147" s="10" t="s">
        <v>277</v>
      </c>
      <c r="E147" s="10"/>
      <c r="F147" s="10">
        <v>1</v>
      </c>
      <c r="G147" s="10" t="s">
        <v>62</v>
      </c>
      <c r="H147" s="8"/>
      <c r="I147" s="8"/>
      <c r="J147" s="2"/>
      <c r="K147" s="8" t="s">
        <v>309</v>
      </c>
      <c r="L147" s="8"/>
      <c r="M147" s="8"/>
      <c r="N147" s="8"/>
      <c r="O147" s="2"/>
      <c r="P147" s="81"/>
    </row>
    <row r="148" spans="1:16" ht="15" hidden="1" thickBot="1" x14ac:dyDescent="0.35">
      <c r="A148" s="4" t="s">
        <v>9</v>
      </c>
      <c r="B148" s="4">
        <v>2</v>
      </c>
      <c r="C148" s="9">
        <v>1</v>
      </c>
      <c r="D148" s="10" t="s">
        <v>277</v>
      </c>
      <c r="E148" s="10"/>
      <c r="F148" s="10">
        <v>1</v>
      </c>
      <c r="G148" s="10" t="s">
        <v>62</v>
      </c>
      <c r="H148" s="8"/>
      <c r="I148" s="8"/>
      <c r="J148" s="2"/>
      <c r="K148" s="8" t="s">
        <v>310</v>
      </c>
      <c r="L148" s="8"/>
      <c r="M148" s="8"/>
      <c r="N148" s="8"/>
      <c r="O148" s="2"/>
      <c r="P148" s="81"/>
    </row>
    <row r="149" spans="1:16" ht="15" hidden="1" thickBot="1" x14ac:dyDescent="0.35">
      <c r="A149" s="4" t="s">
        <v>9</v>
      </c>
      <c r="B149" s="4">
        <v>2</v>
      </c>
      <c r="C149" s="9">
        <v>1</v>
      </c>
      <c r="D149" s="10" t="s">
        <v>277</v>
      </c>
      <c r="E149" s="10"/>
      <c r="F149" s="10">
        <v>1</v>
      </c>
      <c r="G149" s="10" t="s">
        <v>62</v>
      </c>
      <c r="H149" s="8"/>
      <c r="I149" s="8"/>
      <c r="J149" s="2"/>
      <c r="K149" s="8" t="s">
        <v>311</v>
      </c>
      <c r="L149" s="8"/>
      <c r="M149" s="8"/>
      <c r="N149" s="8"/>
      <c r="O149" s="2"/>
      <c r="P149" s="81"/>
    </row>
    <row r="150" spans="1:16" ht="15" hidden="1" thickBot="1" x14ac:dyDescent="0.35">
      <c r="A150" s="4" t="s">
        <v>8</v>
      </c>
      <c r="B150" s="4">
        <v>5</v>
      </c>
      <c r="C150" s="9">
        <v>2</v>
      </c>
      <c r="D150" s="10" t="s">
        <v>276</v>
      </c>
      <c r="E150" s="10"/>
      <c r="F150" s="10">
        <v>1</v>
      </c>
      <c r="G150" s="10" t="s">
        <v>13</v>
      </c>
      <c r="H150" s="8" t="s">
        <v>16</v>
      </c>
      <c r="I150" s="8" t="s">
        <v>18</v>
      </c>
      <c r="J150" s="2" t="s">
        <v>19</v>
      </c>
      <c r="K150" s="8" t="s">
        <v>308</v>
      </c>
      <c r="L150" s="8"/>
      <c r="M150" s="8"/>
      <c r="N150" s="8"/>
      <c r="O150" s="2"/>
      <c r="P150" s="81"/>
    </row>
    <row r="151" spans="1:16" ht="15" hidden="1" thickBot="1" x14ac:dyDescent="0.35">
      <c r="A151" s="4" t="s">
        <v>8</v>
      </c>
      <c r="B151" s="4">
        <v>5</v>
      </c>
      <c r="C151" s="9">
        <v>2</v>
      </c>
      <c r="D151" s="10" t="s">
        <v>276</v>
      </c>
      <c r="E151" s="10"/>
      <c r="F151" s="10">
        <v>1</v>
      </c>
      <c r="G151" s="10" t="s">
        <v>13</v>
      </c>
      <c r="H151" s="8" t="s">
        <v>16</v>
      </c>
      <c r="I151" s="8" t="s">
        <v>18</v>
      </c>
      <c r="J151" s="2" t="s">
        <v>19</v>
      </c>
      <c r="K151" s="8" t="s">
        <v>309</v>
      </c>
      <c r="L151" s="8"/>
      <c r="M151" s="8"/>
      <c r="N151" s="8"/>
      <c r="O151" s="2"/>
      <c r="P151" s="81"/>
    </row>
    <row r="152" spans="1:16" s="49" customFormat="1" ht="15" hidden="1" thickBot="1" x14ac:dyDescent="0.35">
      <c r="A152" s="4" t="s">
        <v>8</v>
      </c>
      <c r="B152" s="4">
        <v>5</v>
      </c>
      <c r="C152" s="9">
        <v>2</v>
      </c>
      <c r="D152" s="10" t="s">
        <v>276</v>
      </c>
      <c r="E152" s="10"/>
      <c r="F152" s="10">
        <v>1</v>
      </c>
      <c r="G152" s="10" t="s">
        <v>13</v>
      </c>
      <c r="H152" s="8" t="s">
        <v>16</v>
      </c>
      <c r="I152" s="8" t="s">
        <v>18</v>
      </c>
      <c r="J152" s="2" t="s">
        <v>19</v>
      </c>
      <c r="K152" s="8" t="s">
        <v>310</v>
      </c>
      <c r="L152" s="8"/>
      <c r="M152" s="8"/>
      <c r="N152" s="8"/>
      <c r="O152" s="2"/>
      <c r="P152" s="81"/>
    </row>
    <row r="153" spans="1:16" ht="15" hidden="1" thickBot="1" x14ac:dyDescent="0.35">
      <c r="A153" s="4" t="s">
        <v>8</v>
      </c>
      <c r="B153" s="4">
        <v>5</v>
      </c>
      <c r="C153" s="9">
        <v>2</v>
      </c>
      <c r="D153" s="10" t="s">
        <v>276</v>
      </c>
      <c r="E153" s="10"/>
      <c r="F153" s="10">
        <v>1</v>
      </c>
      <c r="G153" s="10" t="s">
        <v>13</v>
      </c>
      <c r="H153" s="8" t="s">
        <v>16</v>
      </c>
      <c r="I153" s="8" t="s">
        <v>18</v>
      </c>
      <c r="J153" s="2" t="s">
        <v>19</v>
      </c>
      <c r="K153" s="8" t="s">
        <v>311</v>
      </c>
      <c r="L153" s="8"/>
      <c r="M153" s="8"/>
      <c r="N153" s="8"/>
      <c r="O153" s="2"/>
      <c r="P153" s="81"/>
    </row>
    <row r="154" spans="1:16" ht="15" hidden="1" thickBot="1" x14ac:dyDescent="0.35">
      <c r="A154" s="4" t="s">
        <v>7</v>
      </c>
      <c r="B154" s="4">
        <v>2</v>
      </c>
      <c r="C154" s="9">
        <v>1</v>
      </c>
      <c r="D154" s="10" t="s">
        <v>277</v>
      </c>
      <c r="E154" s="10"/>
      <c r="F154" s="10">
        <v>1</v>
      </c>
      <c r="G154" s="10" t="s">
        <v>12</v>
      </c>
      <c r="H154" s="8"/>
      <c r="I154" s="8"/>
      <c r="J154" s="2"/>
      <c r="K154" s="8" t="s">
        <v>308</v>
      </c>
      <c r="L154" s="8"/>
      <c r="M154" s="8"/>
      <c r="N154" s="8"/>
      <c r="O154" s="2"/>
      <c r="P154" s="81"/>
    </row>
    <row r="155" spans="1:16" ht="15" hidden="1" thickBot="1" x14ac:dyDescent="0.35">
      <c r="A155" s="4" t="s">
        <v>7</v>
      </c>
      <c r="B155" s="4">
        <v>2</v>
      </c>
      <c r="C155" s="9">
        <v>1</v>
      </c>
      <c r="D155" s="10" t="s">
        <v>277</v>
      </c>
      <c r="E155" s="10"/>
      <c r="F155" s="10">
        <v>1</v>
      </c>
      <c r="G155" s="10" t="s">
        <v>12</v>
      </c>
      <c r="H155" s="8"/>
      <c r="I155" s="8"/>
      <c r="J155" s="2"/>
      <c r="K155" s="8" t="s">
        <v>309</v>
      </c>
      <c r="L155" s="8"/>
      <c r="M155" s="8"/>
      <c r="N155" s="8"/>
      <c r="O155" s="2"/>
      <c r="P155" s="81"/>
    </row>
    <row r="156" spans="1:16" ht="15" hidden="1" thickBot="1" x14ac:dyDescent="0.35">
      <c r="A156" s="4" t="s">
        <v>7</v>
      </c>
      <c r="B156" s="4">
        <v>2</v>
      </c>
      <c r="C156" s="9">
        <v>1</v>
      </c>
      <c r="D156" s="10" t="s">
        <v>277</v>
      </c>
      <c r="E156" s="10"/>
      <c r="F156" s="10">
        <v>1</v>
      </c>
      <c r="G156" s="10" t="s">
        <v>12</v>
      </c>
      <c r="H156" s="8"/>
      <c r="I156" s="8"/>
      <c r="J156" s="2"/>
      <c r="K156" s="8" t="s">
        <v>310</v>
      </c>
      <c r="L156" s="8"/>
      <c r="M156" s="8"/>
      <c r="N156" s="8"/>
      <c r="O156" s="2"/>
      <c r="P156" s="81"/>
    </row>
    <row r="157" spans="1:16" ht="15" hidden="1" thickBot="1" x14ac:dyDescent="0.35">
      <c r="A157" s="4" t="s">
        <v>7</v>
      </c>
      <c r="B157" s="4">
        <v>2</v>
      </c>
      <c r="C157" s="9">
        <v>1</v>
      </c>
      <c r="D157" s="10" t="s">
        <v>277</v>
      </c>
      <c r="E157" s="10"/>
      <c r="F157" s="10">
        <v>1</v>
      </c>
      <c r="G157" s="10" t="s">
        <v>12</v>
      </c>
      <c r="H157" s="8"/>
      <c r="I157" s="8"/>
      <c r="J157" s="2"/>
      <c r="K157" s="8" t="s">
        <v>311</v>
      </c>
      <c r="L157" s="8"/>
      <c r="M157" s="8"/>
      <c r="N157" s="8"/>
      <c r="O157" s="2"/>
      <c r="P157" s="81"/>
    </row>
    <row r="158" spans="1:16" ht="15" hidden="1" thickBot="1" x14ac:dyDescent="0.35">
      <c r="A158" s="4" t="s">
        <v>21</v>
      </c>
      <c r="B158" s="4">
        <v>2</v>
      </c>
      <c r="C158" s="9">
        <v>1</v>
      </c>
      <c r="D158" s="10" t="s">
        <v>277</v>
      </c>
      <c r="E158" s="10"/>
      <c r="F158" s="10">
        <v>1</v>
      </c>
      <c r="G158" s="10" t="s">
        <v>25</v>
      </c>
      <c r="H158" s="8"/>
      <c r="I158" s="8"/>
      <c r="J158" s="2"/>
      <c r="K158" s="8" t="s">
        <v>440</v>
      </c>
      <c r="L158" s="8" t="s">
        <v>441</v>
      </c>
      <c r="M158" s="8"/>
      <c r="N158" s="8"/>
      <c r="O158" s="2"/>
      <c r="P158" s="81"/>
    </row>
    <row r="159" spans="1:16" ht="15" hidden="1" thickBot="1" x14ac:dyDescent="0.35">
      <c r="A159" s="4" t="s">
        <v>20</v>
      </c>
      <c r="B159" s="4">
        <v>5</v>
      </c>
      <c r="C159" s="9">
        <v>2</v>
      </c>
      <c r="D159" s="10" t="s">
        <v>276</v>
      </c>
      <c r="E159" s="10"/>
      <c r="F159" s="10">
        <v>1</v>
      </c>
      <c r="G159" s="10" t="s">
        <v>25</v>
      </c>
      <c r="H159" s="8"/>
      <c r="I159" s="8"/>
      <c r="J159" s="2"/>
      <c r="K159" s="8" t="s">
        <v>440</v>
      </c>
      <c r="L159" s="8" t="s">
        <v>441</v>
      </c>
      <c r="M159" s="8"/>
      <c r="N159" s="8"/>
      <c r="O159" s="2"/>
      <c r="P159" s="81"/>
    </row>
    <row r="160" spans="1:16" ht="15" hidden="1" thickBot="1" x14ac:dyDescent="0.35">
      <c r="A160" s="4" t="s">
        <v>6</v>
      </c>
      <c r="B160" s="4">
        <v>5</v>
      </c>
      <c r="C160" s="9">
        <v>2</v>
      </c>
      <c r="D160" s="10" t="s">
        <v>276</v>
      </c>
      <c r="E160" s="10"/>
      <c r="F160" s="10">
        <v>1</v>
      </c>
      <c r="G160" s="10" t="s">
        <v>17</v>
      </c>
      <c r="H160" s="8" t="s">
        <v>45</v>
      </c>
      <c r="I160" s="8" t="s">
        <v>15</v>
      </c>
      <c r="J160" s="2" t="s">
        <v>2</v>
      </c>
      <c r="K160" s="8" t="s">
        <v>308</v>
      </c>
      <c r="L160" s="8"/>
      <c r="M160" s="8"/>
      <c r="N160" s="8"/>
      <c r="O160" s="2"/>
      <c r="P160" s="81"/>
    </row>
    <row r="161" spans="1:16" ht="15" hidden="1" thickBot="1" x14ac:dyDescent="0.35">
      <c r="A161" s="4" t="s">
        <v>6</v>
      </c>
      <c r="B161" s="4">
        <v>5</v>
      </c>
      <c r="C161" s="9">
        <v>2</v>
      </c>
      <c r="D161" s="10" t="s">
        <v>276</v>
      </c>
      <c r="E161" s="10"/>
      <c r="F161" s="10">
        <v>1</v>
      </c>
      <c r="G161" s="10" t="s">
        <v>17</v>
      </c>
      <c r="H161" s="8" t="s">
        <v>45</v>
      </c>
      <c r="I161" s="8" t="s">
        <v>15</v>
      </c>
      <c r="J161" s="2" t="s">
        <v>2</v>
      </c>
      <c r="K161" s="8" t="s">
        <v>309</v>
      </c>
      <c r="L161" s="8"/>
      <c r="M161" s="8"/>
      <c r="N161" s="8"/>
      <c r="O161" s="2"/>
      <c r="P161" s="81"/>
    </row>
    <row r="162" spans="1:16" ht="15" hidden="1" thickBot="1" x14ac:dyDescent="0.35">
      <c r="A162" s="4" t="s">
        <v>6</v>
      </c>
      <c r="B162" s="4">
        <v>5</v>
      </c>
      <c r="C162" s="9">
        <v>2</v>
      </c>
      <c r="D162" s="10" t="s">
        <v>276</v>
      </c>
      <c r="E162" s="10"/>
      <c r="F162" s="10">
        <v>1</v>
      </c>
      <c r="G162" s="10" t="s">
        <v>17</v>
      </c>
      <c r="H162" s="8" t="s">
        <v>45</v>
      </c>
      <c r="I162" s="8" t="s">
        <v>15</v>
      </c>
      <c r="J162" s="2" t="s">
        <v>2</v>
      </c>
      <c r="K162" s="8" t="s">
        <v>310</v>
      </c>
      <c r="L162" s="8"/>
      <c r="M162" s="8"/>
      <c r="N162" s="8"/>
      <c r="O162" s="2"/>
      <c r="P162" s="81"/>
    </row>
    <row r="163" spans="1:16" ht="15" hidden="1" thickBot="1" x14ac:dyDescent="0.35">
      <c r="A163" s="4" t="s">
        <v>6</v>
      </c>
      <c r="B163" s="4">
        <v>5</v>
      </c>
      <c r="C163" s="9">
        <v>2</v>
      </c>
      <c r="D163" s="10" t="s">
        <v>276</v>
      </c>
      <c r="E163" s="10"/>
      <c r="F163" s="10">
        <v>1</v>
      </c>
      <c r="G163" s="10" t="s">
        <v>17</v>
      </c>
      <c r="H163" s="8" t="s">
        <v>45</v>
      </c>
      <c r="I163" s="8" t="s">
        <v>15</v>
      </c>
      <c r="J163" s="2" t="s">
        <v>2</v>
      </c>
      <c r="K163" s="8" t="s">
        <v>311</v>
      </c>
      <c r="L163" s="8"/>
      <c r="M163" s="8"/>
      <c r="N163" s="8"/>
      <c r="O163" s="2"/>
      <c r="P163" s="81"/>
    </row>
    <row r="164" spans="1:16" ht="15" hidden="1" thickBot="1" x14ac:dyDescent="0.35">
      <c r="A164" s="4" t="s">
        <v>657</v>
      </c>
      <c r="B164" s="4">
        <v>3</v>
      </c>
      <c r="C164" s="9">
        <v>1</v>
      </c>
      <c r="D164" s="10"/>
      <c r="E164" s="10" t="s">
        <v>235</v>
      </c>
      <c r="F164" s="10">
        <v>1</v>
      </c>
      <c r="G164" s="10" t="s">
        <v>519</v>
      </c>
      <c r="H164" s="8"/>
      <c r="I164" s="8"/>
      <c r="J164" s="2"/>
      <c r="K164" s="8" t="s">
        <v>486</v>
      </c>
      <c r="L164" s="8" t="s">
        <v>487</v>
      </c>
      <c r="M164" s="8" t="s">
        <v>488</v>
      </c>
      <c r="N164" s="8" t="s">
        <v>489</v>
      </c>
      <c r="O164" s="2"/>
      <c r="P164" s="81"/>
    </row>
    <row r="165" spans="1:16" ht="15" hidden="1" thickBot="1" x14ac:dyDescent="0.35">
      <c r="A165" s="4" t="s">
        <v>77</v>
      </c>
      <c r="B165" s="4">
        <v>2</v>
      </c>
      <c r="C165" s="9">
        <v>1</v>
      </c>
      <c r="D165" s="10"/>
      <c r="E165" s="10"/>
      <c r="F165" s="10">
        <v>1</v>
      </c>
      <c r="G165" s="10" t="s">
        <v>178</v>
      </c>
      <c r="H165" s="8"/>
      <c r="I165" s="8"/>
      <c r="J165" s="2"/>
      <c r="K165" s="8" t="s">
        <v>261</v>
      </c>
      <c r="L165" s="8"/>
      <c r="M165" s="8"/>
      <c r="N165" s="8"/>
      <c r="O165" s="2"/>
      <c r="P165" s="81" t="s">
        <v>504</v>
      </c>
    </row>
    <row r="166" spans="1:16" ht="15" hidden="1" thickBot="1" x14ac:dyDescent="0.35">
      <c r="A166" s="4" t="s">
        <v>77</v>
      </c>
      <c r="B166" s="4">
        <v>2</v>
      </c>
      <c r="C166" s="9">
        <v>1</v>
      </c>
      <c r="D166" s="10"/>
      <c r="E166" s="10"/>
      <c r="F166" s="10">
        <v>1</v>
      </c>
      <c r="G166" s="10" t="s">
        <v>397</v>
      </c>
      <c r="H166" s="8"/>
      <c r="I166" s="8"/>
      <c r="J166" s="2"/>
      <c r="K166" s="8" t="s">
        <v>261</v>
      </c>
      <c r="L166" s="8"/>
      <c r="M166" s="8"/>
      <c r="N166" s="8"/>
      <c r="O166" s="2"/>
      <c r="P166" s="81" t="s">
        <v>504</v>
      </c>
    </row>
    <row r="167" spans="1:16" ht="15" hidden="1" thickBot="1" x14ac:dyDescent="0.35">
      <c r="A167" s="82" t="s">
        <v>91</v>
      </c>
      <c r="B167" s="82">
        <v>4</v>
      </c>
      <c r="C167" s="84">
        <v>2</v>
      </c>
      <c r="D167" s="27"/>
      <c r="E167" s="27"/>
      <c r="F167" s="27">
        <v>1</v>
      </c>
      <c r="G167" s="27" t="s">
        <v>66</v>
      </c>
      <c r="H167" s="80"/>
      <c r="I167" s="80"/>
      <c r="J167" s="79"/>
      <c r="K167" s="80" t="s">
        <v>261</v>
      </c>
      <c r="L167" s="80"/>
      <c r="M167" s="88"/>
      <c r="N167" s="88"/>
      <c r="O167" s="145"/>
      <c r="P167" s="83"/>
    </row>
    <row r="168" spans="1:16" ht="15" hidden="1" thickBot="1" x14ac:dyDescent="0.35">
      <c r="A168" s="82" t="s">
        <v>461</v>
      </c>
      <c r="B168" s="82">
        <v>4</v>
      </c>
      <c r="C168" s="84">
        <v>2</v>
      </c>
      <c r="D168" s="27"/>
      <c r="E168" s="27"/>
      <c r="F168" s="27">
        <v>1</v>
      </c>
      <c r="G168" s="27" t="s">
        <v>477</v>
      </c>
      <c r="H168" s="80"/>
      <c r="I168" s="80"/>
      <c r="J168" s="79"/>
      <c r="K168" s="80" t="s">
        <v>487</v>
      </c>
      <c r="L168" s="80"/>
      <c r="M168" s="88"/>
      <c r="N168" s="80"/>
      <c r="O168" s="79"/>
      <c r="P168" s="83"/>
    </row>
    <row r="169" spans="1:16" ht="15" hidden="1" thickBot="1" x14ac:dyDescent="0.35">
      <c r="A169" s="33"/>
      <c r="B169" s="33"/>
      <c r="C169" s="34"/>
      <c r="D169" s="35"/>
      <c r="E169" s="35"/>
      <c r="F169" s="36"/>
      <c r="G169" s="35"/>
      <c r="H169" s="37"/>
      <c r="I169" s="37"/>
      <c r="J169" s="38"/>
      <c r="K169" s="37"/>
      <c r="L169" s="37"/>
      <c r="M169" s="144"/>
      <c r="N169" s="37"/>
      <c r="O169" s="38"/>
      <c r="P169" s="85"/>
    </row>
    <row r="170" spans="1:16" ht="15" hidden="1" thickBot="1" x14ac:dyDescent="0.35">
      <c r="A170" s="33"/>
      <c r="B170" s="33"/>
      <c r="C170" s="34"/>
      <c r="D170" s="35"/>
      <c r="E170" s="35"/>
      <c r="F170" s="36"/>
      <c r="G170" s="35"/>
      <c r="H170" s="37"/>
      <c r="I170" s="37"/>
      <c r="J170" s="38"/>
      <c r="K170" s="144"/>
      <c r="L170" s="144"/>
      <c r="M170" s="37"/>
      <c r="N170" s="37"/>
      <c r="O170" s="38"/>
      <c r="P170" s="85"/>
    </row>
    <row r="171" spans="1:16" ht="15" hidden="1" thickBot="1" x14ac:dyDescent="0.35">
      <c r="A171" s="33"/>
      <c r="B171" s="33"/>
      <c r="C171" s="34"/>
      <c r="D171" s="35"/>
      <c r="E171" s="35"/>
      <c r="F171" s="35"/>
      <c r="G171" s="35"/>
      <c r="H171" s="37"/>
      <c r="I171" s="37"/>
      <c r="J171" s="38"/>
      <c r="K171" s="144"/>
      <c r="L171" s="144"/>
      <c r="M171" s="37"/>
      <c r="N171" s="37"/>
      <c r="O171" s="38"/>
      <c r="P171" s="85"/>
    </row>
    <row r="172" spans="1:16" ht="15" hidden="1" thickBot="1" x14ac:dyDescent="0.35">
      <c r="A172" s="33"/>
      <c r="B172" s="33"/>
      <c r="C172" s="34"/>
      <c r="D172" s="35"/>
      <c r="E172" s="35"/>
      <c r="F172" s="35"/>
      <c r="G172" s="35"/>
      <c r="H172" s="37"/>
      <c r="I172" s="37"/>
      <c r="J172" s="38"/>
      <c r="K172" s="37"/>
      <c r="L172" s="37"/>
      <c r="M172" s="37"/>
      <c r="N172" s="37"/>
      <c r="O172" s="38"/>
      <c r="P172" s="85"/>
    </row>
    <row r="173" spans="1:16" ht="15" hidden="1" thickBot="1" x14ac:dyDescent="0.35">
      <c r="A173" s="33"/>
      <c r="B173" s="33"/>
      <c r="C173" s="34"/>
      <c r="D173" s="35"/>
      <c r="E173" s="35"/>
      <c r="F173" s="35"/>
      <c r="G173" s="35"/>
      <c r="H173" s="37"/>
      <c r="I173" s="37"/>
      <c r="J173" s="38"/>
      <c r="K173" s="37"/>
      <c r="L173" s="37"/>
      <c r="M173" s="37"/>
      <c r="N173" s="37"/>
      <c r="O173" s="38"/>
      <c r="P173" s="85"/>
    </row>
    <row r="174" spans="1:16" ht="15" hidden="1" thickBot="1" x14ac:dyDescent="0.35">
      <c r="A174" s="94"/>
      <c r="B174" s="94"/>
      <c r="C174" s="95"/>
      <c r="D174" s="96"/>
      <c r="E174" s="96"/>
      <c r="F174" s="96"/>
      <c r="G174" s="96"/>
      <c r="H174" s="47"/>
      <c r="I174" s="47"/>
      <c r="J174" s="48"/>
      <c r="K174" s="47"/>
      <c r="L174" s="47"/>
      <c r="M174" s="47"/>
      <c r="N174" s="47"/>
      <c r="O174" s="48"/>
      <c r="P174" s="87"/>
    </row>
    <row r="175" spans="1:16" x14ac:dyDescent="0.3">
      <c r="A175" s="102"/>
      <c r="B175" s="102"/>
      <c r="C175" s="102"/>
      <c r="D175" s="102"/>
      <c r="E175" s="102"/>
      <c r="F175" s="102"/>
      <c r="G175" s="103"/>
      <c r="H175" s="102"/>
      <c r="I175" s="102"/>
      <c r="J175" s="18"/>
      <c r="K175" s="102"/>
      <c r="L175" s="102"/>
      <c r="M175" s="102"/>
      <c r="N175" s="102"/>
      <c r="O175" s="18"/>
      <c r="P175" s="104"/>
    </row>
  </sheetData>
  <phoneticPr fontId="2" type="noConversion"/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CF085-B107-4035-BD52-EA31218E5090}">
          <x14:formula1>
            <xm:f>grupos!$A$2:$A$30</xm:f>
          </x14:formula1>
          <xm:sqref>N133:O133 L167:O169 N114:O117 K114:L117 K118:O129 M116:M117 K2:O113 N130:O130 K130:L130 K131:O132 K133:K134 L134:O134 K136:O166 K170:O173 N174:O174 K174:L174 N135:O135 K135:L135 K175:O175</xm:sqref>
        </x14:dataValidation>
        <x14:dataValidation type="list" allowBlank="1" showInputMessage="1" showErrorMessage="1" xr:uid="{BEF44E82-C065-494E-839C-AA870BCB249F}">
          <x14:formula1>
            <xm:f>profesores!$B$2:$B$147</xm:f>
          </x14:formula1>
          <xm:sqref>G2:J187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E8B-9B66-4B2E-8DA8-988DBCCF9363}">
  <dimension ref="A1:AB26"/>
  <sheetViews>
    <sheetView workbookViewId="0">
      <selection activeCell="M13" sqref="M13"/>
    </sheetView>
  </sheetViews>
  <sheetFormatPr baseColWidth="10" defaultRowHeight="14.4" customHeight="1" x14ac:dyDescent="0.3"/>
  <cols>
    <col min="1" max="5" width="6.6640625" customWidth="1"/>
    <col min="7" max="46" width="8.5546875" customWidth="1"/>
  </cols>
  <sheetData>
    <row r="1" spans="1:28" ht="14.4" customHeight="1" x14ac:dyDescent="0.3">
      <c r="A1" s="64" t="s">
        <v>39</v>
      </c>
      <c r="B1" s="64" t="s">
        <v>40</v>
      </c>
      <c r="C1" s="64" t="s">
        <v>41</v>
      </c>
      <c r="D1" s="64" t="s">
        <v>263</v>
      </c>
      <c r="E1" s="64" t="s">
        <v>264</v>
      </c>
      <c r="F1" s="64" t="s">
        <v>4</v>
      </c>
      <c r="G1" s="74" t="str" cm="1">
        <f t="array" ref="G1:AB1">TRANSPOSE(F2:F23)</f>
        <v>QC</v>
      </c>
      <c r="H1" s="75" t="str">
        <v>BPMN</v>
      </c>
      <c r="I1" s="74" t="str">
        <v>DBD3</v>
      </c>
      <c r="J1" s="75" t="str">
        <v>MdProc</v>
      </c>
      <c r="K1" s="74" t="str">
        <v>GAmb</v>
      </c>
      <c r="L1" s="75" t="str">
        <v>Horm2</v>
      </c>
      <c r="M1" s="74" t="str">
        <v>DPav</v>
      </c>
      <c r="N1" s="75" t="str">
        <v>Puentes</v>
      </c>
      <c r="O1" s="74" t="str">
        <v>DIPyU</v>
      </c>
      <c r="P1" s="75" t="str">
        <v>InstEl</v>
      </c>
      <c r="Q1" s="74" t="str">
        <v>MotCI</v>
      </c>
      <c r="R1" s="75" t="str">
        <v>DisEst</v>
      </c>
      <c r="S1" s="74" t="str">
        <v>AgroN</v>
      </c>
      <c r="T1" s="75" t="str">
        <v>TecFP</v>
      </c>
      <c r="U1" s="74" t="str">
        <v>ApMov</v>
      </c>
      <c r="V1" s="75" t="str">
        <v>RPA</v>
      </c>
      <c r="W1" s="74" t="str">
        <v>RPA</v>
      </c>
      <c r="X1" s="75" t="str">
        <v>GSInf</v>
      </c>
      <c r="Y1" s="74" t="str">
        <v>TestQA</v>
      </c>
      <c r="Z1" s="75" t="str">
        <v>EthHck</v>
      </c>
      <c r="AA1" t="str">
        <v>UIUX</v>
      </c>
      <c r="AB1" t="str">
        <v>UIUX</v>
      </c>
    </row>
    <row r="2" spans="1:28" ht="14.4" customHeight="1" x14ac:dyDescent="0.3">
      <c r="A2" s="66" t="s">
        <v>488</v>
      </c>
      <c r="B2" s="66" t="s">
        <v>489</v>
      </c>
      <c r="C2" s="66"/>
      <c r="D2" s="66"/>
      <c r="E2" s="66"/>
      <c r="F2" s="65" t="s">
        <v>279</v>
      </c>
      <c r="G2" s="78"/>
      <c r="H2" s="67"/>
      <c r="I2" s="76"/>
      <c r="J2" s="67"/>
      <c r="K2" s="76"/>
      <c r="L2" s="67"/>
      <c r="M2" s="76"/>
      <c r="N2" s="67"/>
      <c r="O2" s="76"/>
      <c r="P2" s="67"/>
      <c r="Q2" s="76"/>
      <c r="R2" s="67"/>
      <c r="S2" s="76" t="s">
        <v>235</v>
      </c>
      <c r="T2" s="67"/>
      <c r="U2" s="76"/>
      <c r="V2" s="67"/>
      <c r="W2" s="76"/>
      <c r="X2" s="67"/>
      <c r="Y2" s="76"/>
      <c r="Z2" s="67"/>
      <c r="AA2" s="76"/>
      <c r="AB2" s="67"/>
    </row>
    <row r="3" spans="1:28" ht="14.4" customHeight="1" x14ac:dyDescent="0.3">
      <c r="A3" s="68" t="s">
        <v>505</v>
      </c>
      <c r="B3" s="68" t="s">
        <v>488</v>
      </c>
      <c r="C3" s="68" t="s">
        <v>489</v>
      </c>
      <c r="D3" s="68"/>
      <c r="E3" s="68"/>
      <c r="F3" s="64" t="s">
        <v>280</v>
      </c>
      <c r="G3" s="77"/>
      <c r="H3" s="78"/>
      <c r="I3" s="77"/>
      <c r="J3" s="69"/>
      <c r="K3" s="77"/>
      <c r="L3" s="69"/>
      <c r="M3" s="77"/>
      <c r="N3" s="69"/>
      <c r="O3" s="77"/>
      <c r="P3" s="69"/>
      <c r="Q3" s="77"/>
      <c r="R3" s="69"/>
      <c r="S3" s="77" t="s">
        <v>235</v>
      </c>
      <c r="T3" s="69"/>
      <c r="U3" s="77"/>
      <c r="V3" s="69"/>
      <c r="W3" s="77"/>
      <c r="X3" s="69"/>
      <c r="Y3" s="77"/>
      <c r="Z3" s="69"/>
      <c r="AA3" s="77"/>
      <c r="AB3" s="69"/>
    </row>
    <row r="4" spans="1:28" ht="14.4" customHeight="1" x14ac:dyDescent="0.3">
      <c r="A4" s="66" t="s">
        <v>505</v>
      </c>
      <c r="B4" s="66" t="s">
        <v>488</v>
      </c>
      <c r="C4" s="66" t="s">
        <v>489</v>
      </c>
      <c r="D4" s="66"/>
      <c r="E4" s="66"/>
      <c r="F4" s="65" t="s">
        <v>281</v>
      </c>
      <c r="G4" s="76"/>
      <c r="H4" s="67"/>
      <c r="I4" s="78"/>
      <c r="J4" s="67"/>
      <c r="K4" s="76"/>
      <c r="L4" s="67"/>
      <c r="M4" s="76"/>
      <c r="N4" s="67"/>
      <c r="O4" s="76"/>
      <c r="P4" s="67"/>
      <c r="Q4" s="76"/>
      <c r="R4" s="67"/>
      <c r="S4" s="76" t="s">
        <v>235</v>
      </c>
      <c r="T4" s="67"/>
      <c r="U4" s="76"/>
      <c r="V4" s="67"/>
      <c r="W4" s="76"/>
      <c r="X4" s="67"/>
      <c r="Y4" s="76"/>
      <c r="Z4" s="67"/>
      <c r="AA4" s="76"/>
      <c r="AB4" s="67"/>
    </row>
    <row r="5" spans="1:28" ht="14.4" customHeight="1" x14ac:dyDescent="0.3">
      <c r="A5" s="68" t="s">
        <v>387</v>
      </c>
      <c r="B5" s="68"/>
      <c r="C5" s="68"/>
      <c r="D5" s="68"/>
      <c r="E5" s="68"/>
      <c r="F5" s="64" t="s">
        <v>527</v>
      </c>
      <c r="G5" s="77"/>
      <c r="H5" s="69"/>
      <c r="I5" s="77"/>
      <c r="J5" s="78"/>
      <c r="K5" s="77"/>
      <c r="L5" s="69"/>
      <c r="M5" s="77"/>
      <c r="N5" s="69"/>
      <c r="O5" s="77"/>
      <c r="P5" s="69"/>
      <c r="Q5" s="77"/>
      <c r="R5" s="69"/>
      <c r="S5" s="77" t="s">
        <v>235</v>
      </c>
      <c r="T5" s="69"/>
      <c r="U5" s="77"/>
      <c r="V5" s="69"/>
      <c r="W5" s="77"/>
      <c r="X5" s="69"/>
      <c r="Y5" s="77"/>
      <c r="Z5" s="69"/>
      <c r="AA5" s="77"/>
      <c r="AB5" s="69"/>
    </row>
    <row r="6" spans="1:28" ht="14.4" customHeight="1" x14ac:dyDescent="0.3">
      <c r="A6" s="66" t="s">
        <v>387</v>
      </c>
      <c r="B6" s="66"/>
      <c r="C6" s="66"/>
      <c r="D6" s="66"/>
      <c r="E6" s="66"/>
      <c r="F6" s="65" t="s">
        <v>528</v>
      </c>
      <c r="G6" s="76"/>
      <c r="H6" s="67"/>
      <c r="I6" s="76"/>
      <c r="J6" s="67"/>
      <c r="K6" s="78"/>
      <c r="L6" s="67"/>
      <c r="M6" s="76"/>
      <c r="N6" s="67"/>
      <c r="O6" s="76"/>
      <c r="P6" s="67"/>
      <c r="Q6" s="76"/>
      <c r="R6" s="67"/>
      <c r="S6" s="76" t="s">
        <v>235</v>
      </c>
      <c r="T6" s="67"/>
      <c r="U6" s="76"/>
      <c r="V6" s="67"/>
      <c r="W6" s="76"/>
      <c r="X6" s="67"/>
      <c r="Y6" s="76"/>
      <c r="Z6" s="67"/>
      <c r="AA6" s="76"/>
      <c r="AB6" s="67"/>
    </row>
    <row r="7" spans="1:28" ht="14.4" customHeight="1" x14ac:dyDescent="0.3">
      <c r="A7" s="68" t="s">
        <v>386</v>
      </c>
      <c r="B7" s="68"/>
      <c r="C7" s="68"/>
      <c r="D7" s="68"/>
      <c r="E7" s="68"/>
      <c r="F7" s="64" t="s">
        <v>529</v>
      </c>
      <c r="G7" s="77"/>
      <c r="H7" s="69"/>
      <c r="I7" s="77"/>
      <c r="J7" s="69"/>
      <c r="K7" s="77"/>
      <c r="L7" s="78"/>
      <c r="M7" s="77"/>
      <c r="N7" s="69"/>
      <c r="O7" s="77"/>
      <c r="P7" s="69"/>
      <c r="Q7" s="77"/>
      <c r="R7" s="69"/>
      <c r="S7" s="77" t="s">
        <v>235</v>
      </c>
      <c r="T7" s="69"/>
      <c r="U7" s="77"/>
      <c r="V7" s="69"/>
      <c r="W7" s="77"/>
      <c r="X7" s="69"/>
      <c r="Y7" s="77"/>
      <c r="Z7" s="69"/>
      <c r="AA7" s="77"/>
      <c r="AB7" s="69"/>
    </row>
    <row r="8" spans="1:28" ht="14.4" customHeight="1" x14ac:dyDescent="0.3">
      <c r="A8" s="66" t="s">
        <v>386</v>
      </c>
      <c r="B8" s="66" t="s">
        <v>486</v>
      </c>
      <c r="C8" s="66"/>
      <c r="D8" s="66"/>
      <c r="E8" s="66"/>
      <c r="F8" s="65" t="s">
        <v>530</v>
      </c>
      <c r="G8" s="76"/>
      <c r="H8" s="67"/>
      <c r="I8" s="76"/>
      <c r="J8" s="67"/>
      <c r="K8" s="76"/>
      <c r="L8" s="67"/>
      <c r="M8" s="78"/>
      <c r="N8" s="67"/>
      <c r="O8" s="76"/>
      <c r="P8" s="67"/>
      <c r="Q8" s="76"/>
      <c r="R8" s="67" t="s">
        <v>235</v>
      </c>
      <c r="S8" s="76" t="s">
        <v>235</v>
      </c>
      <c r="T8" s="67"/>
      <c r="U8" s="76"/>
      <c r="V8" s="67"/>
      <c r="W8" s="76"/>
      <c r="X8" s="67"/>
      <c r="Y8" s="76"/>
      <c r="Z8" s="67"/>
      <c r="AA8" s="76"/>
      <c r="AB8" s="67"/>
    </row>
    <row r="9" spans="1:28" ht="14.4" customHeight="1" x14ac:dyDescent="0.3">
      <c r="A9" s="68" t="s">
        <v>386</v>
      </c>
      <c r="B9" s="68" t="s">
        <v>486</v>
      </c>
      <c r="C9" s="68"/>
      <c r="D9" s="68"/>
      <c r="E9" s="68"/>
      <c r="F9" s="64" t="s">
        <v>531</v>
      </c>
      <c r="G9" s="77"/>
      <c r="H9" s="69"/>
      <c r="I9" s="77"/>
      <c r="J9" s="69"/>
      <c r="K9" s="77"/>
      <c r="L9" s="69"/>
      <c r="M9" s="77"/>
      <c r="N9" s="78"/>
      <c r="O9" s="77"/>
      <c r="P9" s="69"/>
      <c r="Q9" s="77"/>
      <c r="R9" s="69"/>
      <c r="S9" s="77" t="s">
        <v>235</v>
      </c>
      <c r="T9" s="69"/>
      <c r="U9" s="77"/>
      <c r="V9" s="69"/>
      <c r="W9" s="77"/>
      <c r="X9" s="69"/>
      <c r="Y9" s="77"/>
      <c r="Z9" s="69"/>
      <c r="AA9" s="77"/>
      <c r="AB9" s="69"/>
    </row>
    <row r="10" spans="1:28" ht="14.4" customHeight="1" x14ac:dyDescent="0.3">
      <c r="A10" s="66" t="s">
        <v>386</v>
      </c>
      <c r="B10" s="66" t="s">
        <v>486</v>
      </c>
      <c r="C10" s="66"/>
      <c r="D10" s="66"/>
      <c r="E10" s="66"/>
      <c r="F10" s="65" t="s">
        <v>533</v>
      </c>
      <c r="G10" s="76"/>
      <c r="H10" s="67"/>
      <c r="I10" s="76"/>
      <c r="J10" s="67"/>
      <c r="K10" s="76"/>
      <c r="L10" s="67"/>
      <c r="M10" s="76"/>
      <c r="N10" s="67"/>
      <c r="O10" s="78"/>
      <c r="P10" s="67"/>
      <c r="Q10" s="76"/>
      <c r="R10" s="67"/>
      <c r="S10" s="76" t="s">
        <v>235</v>
      </c>
      <c r="T10" s="67"/>
      <c r="U10" s="76"/>
      <c r="V10" s="67"/>
      <c r="W10" s="76"/>
      <c r="X10" s="67"/>
      <c r="Y10" s="76"/>
      <c r="Z10" s="67"/>
      <c r="AA10" s="76"/>
      <c r="AB10" s="67"/>
    </row>
    <row r="11" spans="1:28" ht="14.4" customHeight="1" x14ac:dyDescent="0.3">
      <c r="A11" s="68" t="s">
        <v>487</v>
      </c>
      <c r="B11" s="68"/>
      <c r="C11" s="68"/>
      <c r="D11" s="68"/>
      <c r="E11" s="68"/>
      <c r="F11" s="64" t="s">
        <v>398</v>
      </c>
      <c r="G11" s="77"/>
      <c r="H11" s="69"/>
      <c r="I11" s="77"/>
      <c r="J11" s="69"/>
      <c r="K11" s="77"/>
      <c r="L11" s="69"/>
      <c r="M11" s="77"/>
      <c r="N11" s="69"/>
      <c r="O11" s="77"/>
      <c r="P11" s="78"/>
      <c r="Q11" s="77"/>
      <c r="R11" s="69"/>
      <c r="S11" s="77" t="s">
        <v>235</v>
      </c>
      <c r="T11" s="69"/>
      <c r="U11" s="77"/>
      <c r="V11" s="69"/>
      <c r="W11" s="77"/>
      <c r="X11" s="69"/>
      <c r="Y11" s="77"/>
      <c r="Z11" s="69"/>
      <c r="AA11" s="77"/>
      <c r="AB11" s="69"/>
    </row>
    <row r="12" spans="1:28" ht="14.4" customHeight="1" x14ac:dyDescent="0.3">
      <c r="A12" s="66" t="s">
        <v>487</v>
      </c>
      <c r="B12" s="66"/>
      <c r="C12" s="66"/>
      <c r="D12" s="66"/>
      <c r="E12" s="66"/>
      <c r="F12" s="65" t="s">
        <v>655</v>
      </c>
      <c r="G12" s="76"/>
      <c r="H12" s="67"/>
      <c r="I12" s="76"/>
      <c r="J12" s="67"/>
      <c r="K12" s="76"/>
      <c r="L12" s="67"/>
      <c r="M12" s="76"/>
      <c r="N12" s="67"/>
      <c r="O12" s="76"/>
      <c r="P12" s="67"/>
      <c r="Q12" s="78"/>
      <c r="R12" s="67"/>
      <c r="S12" s="76" t="s">
        <v>235</v>
      </c>
      <c r="T12" s="67"/>
      <c r="U12" s="76"/>
      <c r="V12" s="67"/>
      <c r="W12" s="76"/>
      <c r="X12" s="67"/>
      <c r="Y12" s="76"/>
      <c r="Z12" s="67"/>
      <c r="AA12" s="76"/>
      <c r="AB12" s="67"/>
    </row>
    <row r="13" spans="1:28" ht="14.4" customHeight="1" x14ac:dyDescent="0.3">
      <c r="A13" s="68" t="s">
        <v>486</v>
      </c>
      <c r="B13" s="68"/>
      <c r="C13" s="68"/>
      <c r="D13" s="68"/>
      <c r="E13" s="68"/>
      <c r="F13" s="64" t="s">
        <v>656</v>
      </c>
      <c r="G13" s="77"/>
      <c r="H13" s="69"/>
      <c r="I13" s="77"/>
      <c r="J13" s="69"/>
      <c r="K13" s="77"/>
      <c r="L13" s="69"/>
      <c r="M13" s="77" t="s">
        <v>235</v>
      </c>
      <c r="N13" s="69"/>
      <c r="O13" s="77"/>
      <c r="P13" s="69"/>
      <c r="Q13" s="77"/>
      <c r="R13" s="78"/>
      <c r="S13" s="77" t="s">
        <v>235</v>
      </c>
      <c r="T13" s="69"/>
      <c r="U13" s="77"/>
      <c r="V13" s="69"/>
      <c r="W13" s="77"/>
      <c r="X13" s="69"/>
      <c r="Y13" s="77"/>
      <c r="Z13" s="69"/>
      <c r="AA13" s="77"/>
      <c r="AB13" s="69"/>
    </row>
    <row r="14" spans="1:28" ht="14.4" customHeight="1" x14ac:dyDescent="0.3">
      <c r="A14" s="66" t="s">
        <v>486</v>
      </c>
      <c r="B14" s="66" t="s">
        <v>487</v>
      </c>
      <c r="C14" s="66" t="s">
        <v>488</v>
      </c>
      <c r="D14" s="66" t="s">
        <v>489</v>
      </c>
      <c r="E14" s="66"/>
      <c r="F14" s="65" t="s">
        <v>657</v>
      </c>
      <c r="G14" s="76" t="s">
        <v>235</v>
      </c>
      <c r="H14" s="67" t="s">
        <v>235</v>
      </c>
      <c r="I14" s="76" t="s">
        <v>235</v>
      </c>
      <c r="J14" s="67" t="s">
        <v>235</v>
      </c>
      <c r="K14" s="76" t="s">
        <v>235</v>
      </c>
      <c r="L14" s="67" t="s">
        <v>235</v>
      </c>
      <c r="M14" s="76" t="s">
        <v>235</v>
      </c>
      <c r="N14" s="67" t="s">
        <v>235</v>
      </c>
      <c r="O14" s="76" t="s">
        <v>235</v>
      </c>
      <c r="P14" s="67" t="s">
        <v>235</v>
      </c>
      <c r="Q14" s="76" t="s">
        <v>235</v>
      </c>
      <c r="R14" s="67" t="s">
        <v>235</v>
      </c>
      <c r="S14" s="78"/>
      <c r="T14" s="67" t="s">
        <v>235</v>
      </c>
      <c r="U14" s="76" t="s">
        <v>235</v>
      </c>
      <c r="V14" s="67" t="s">
        <v>235</v>
      </c>
      <c r="W14" s="76" t="s">
        <v>235</v>
      </c>
      <c r="X14" s="67" t="s">
        <v>235</v>
      </c>
      <c r="Y14" s="76" t="s">
        <v>235</v>
      </c>
      <c r="Z14" s="67" t="s">
        <v>235</v>
      </c>
      <c r="AA14" s="76" t="s">
        <v>235</v>
      </c>
      <c r="AB14" s="67" t="s">
        <v>235</v>
      </c>
    </row>
    <row r="15" spans="1:28" ht="14.4" customHeight="1" x14ac:dyDescent="0.3">
      <c r="A15" s="68" t="s">
        <v>387</v>
      </c>
      <c r="B15" s="68" t="s">
        <v>487</v>
      </c>
      <c r="C15" s="68"/>
      <c r="D15" s="68"/>
      <c r="E15" s="68"/>
      <c r="F15" s="64" t="s">
        <v>402</v>
      </c>
      <c r="G15" s="77"/>
      <c r="H15" s="69"/>
      <c r="I15" s="77"/>
      <c r="J15" s="69"/>
      <c r="K15" s="77"/>
      <c r="L15" s="69"/>
      <c r="M15" s="77"/>
      <c r="N15" s="69"/>
      <c r="O15" s="77"/>
      <c r="P15" s="69"/>
      <c r="Q15" s="77"/>
      <c r="R15" s="69"/>
      <c r="S15" s="77" t="s">
        <v>235</v>
      </c>
      <c r="T15" s="78"/>
      <c r="U15" s="77"/>
      <c r="V15" s="69"/>
      <c r="W15" s="77"/>
      <c r="X15" s="69"/>
      <c r="Y15" s="77"/>
      <c r="Z15" s="69"/>
      <c r="AA15" s="77"/>
      <c r="AB15" s="69"/>
    </row>
    <row r="16" spans="1:28" ht="14.4" customHeight="1" x14ac:dyDescent="0.3">
      <c r="A16" s="66" t="s">
        <v>488</v>
      </c>
      <c r="B16" s="66" t="s">
        <v>489</v>
      </c>
      <c r="C16" s="66"/>
      <c r="D16" s="66"/>
      <c r="E16" s="66"/>
      <c r="F16" s="65" t="s">
        <v>661</v>
      </c>
      <c r="G16" s="76"/>
      <c r="H16" s="67"/>
      <c r="I16" s="76"/>
      <c r="J16" s="67"/>
      <c r="K16" s="76"/>
      <c r="L16" s="67"/>
      <c r="M16" s="76"/>
      <c r="N16" s="67"/>
      <c r="O16" s="76"/>
      <c r="P16" s="67"/>
      <c r="Q16" s="76"/>
      <c r="R16" s="67"/>
      <c r="S16" s="76" t="s">
        <v>235</v>
      </c>
      <c r="T16" s="67"/>
      <c r="U16" s="78"/>
      <c r="V16" s="67"/>
      <c r="W16" s="76"/>
      <c r="X16" s="67"/>
      <c r="Y16" s="76"/>
      <c r="Z16" s="67"/>
      <c r="AA16" s="76"/>
      <c r="AB16" s="67"/>
    </row>
    <row r="17" spans="1:28" ht="14.4" customHeight="1" x14ac:dyDescent="0.3">
      <c r="A17" s="68" t="s">
        <v>488</v>
      </c>
      <c r="B17" s="68" t="s">
        <v>489</v>
      </c>
      <c r="C17" s="68"/>
      <c r="D17" s="68"/>
      <c r="E17" s="68"/>
      <c r="F17" s="64" t="s">
        <v>662</v>
      </c>
      <c r="G17" s="77"/>
      <c r="H17" s="69"/>
      <c r="I17" s="77"/>
      <c r="J17" s="69"/>
      <c r="K17" s="77"/>
      <c r="L17" s="69"/>
      <c r="M17" s="77"/>
      <c r="N17" s="69"/>
      <c r="O17" s="77"/>
      <c r="P17" s="69"/>
      <c r="Q17" s="77"/>
      <c r="R17" s="69"/>
      <c r="S17" s="77" t="s">
        <v>235</v>
      </c>
      <c r="T17" s="69"/>
      <c r="U17" s="77"/>
      <c r="V17" s="78"/>
      <c r="W17" s="77"/>
      <c r="X17" s="69"/>
      <c r="Y17" s="77"/>
      <c r="Z17" s="69"/>
      <c r="AA17" s="77"/>
      <c r="AB17" s="69"/>
    </row>
    <row r="18" spans="1:28" ht="14.4" customHeight="1" x14ac:dyDescent="0.3">
      <c r="A18" s="66" t="s">
        <v>488</v>
      </c>
      <c r="B18" s="66" t="s">
        <v>489</v>
      </c>
      <c r="C18" s="66"/>
      <c r="D18" s="66"/>
      <c r="E18" s="66"/>
      <c r="F18" s="65" t="s">
        <v>662</v>
      </c>
      <c r="G18" s="76"/>
      <c r="H18" s="67"/>
      <c r="I18" s="76"/>
      <c r="J18" s="67"/>
      <c r="K18" s="76"/>
      <c r="L18" s="67"/>
      <c r="M18" s="76"/>
      <c r="N18" s="67"/>
      <c r="O18" s="76"/>
      <c r="P18" s="67"/>
      <c r="Q18" s="76"/>
      <c r="R18" s="67"/>
      <c r="S18" s="76" t="s">
        <v>235</v>
      </c>
      <c r="T18" s="67"/>
      <c r="U18" s="76"/>
      <c r="V18" s="67"/>
      <c r="W18" s="78"/>
      <c r="X18" s="67"/>
      <c r="Y18" s="76"/>
      <c r="Z18" s="67"/>
      <c r="AA18" s="76"/>
      <c r="AB18" s="67"/>
    </row>
    <row r="19" spans="1:28" ht="14.4" customHeight="1" x14ac:dyDescent="0.3">
      <c r="A19" s="68" t="s">
        <v>488</v>
      </c>
      <c r="B19" s="68" t="s">
        <v>489</v>
      </c>
      <c r="C19" s="68"/>
      <c r="D19" s="68"/>
      <c r="E19" s="68"/>
      <c r="F19" s="64" t="s">
        <v>675</v>
      </c>
      <c r="G19" s="77"/>
      <c r="H19" s="69"/>
      <c r="I19" s="77"/>
      <c r="J19" s="69"/>
      <c r="K19" s="77"/>
      <c r="L19" s="69"/>
      <c r="M19" s="77"/>
      <c r="N19" s="69"/>
      <c r="O19" s="77"/>
      <c r="P19" s="69"/>
      <c r="Q19" s="77"/>
      <c r="R19" s="69"/>
      <c r="S19" s="77" t="s">
        <v>235</v>
      </c>
      <c r="T19" s="69"/>
      <c r="U19" s="77"/>
      <c r="V19" s="69"/>
      <c r="W19" s="77"/>
      <c r="X19" s="78"/>
      <c r="Y19" s="77"/>
      <c r="Z19" s="69"/>
      <c r="AA19" s="77"/>
      <c r="AB19" s="69"/>
    </row>
    <row r="20" spans="1:28" ht="14.4" customHeight="1" x14ac:dyDescent="0.3">
      <c r="A20" s="66" t="s">
        <v>488</v>
      </c>
      <c r="B20" s="66" t="s">
        <v>489</v>
      </c>
      <c r="C20" s="66"/>
      <c r="D20" s="66"/>
      <c r="E20" s="66"/>
      <c r="F20" s="65" t="s">
        <v>409</v>
      </c>
      <c r="G20" s="76"/>
      <c r="H20" s="67"/>
      <c r="I20" s="76"/>
      <c r="J20" s="67"/>
      <c r="K20" s="76"/>
      <c r="L20" s="67"/>
      <c r="M20" s="76"/>
      <c r="N20" s="67"/>
      <c r="O20" s="76"/>
      <c r="P20" s="67"/>
      <c r="Q20" s="76"/>
      <c r="R20" s="67"/>
      <c r="S20" s="76" t="s">
        <v>235</v>
      </c>
      <c r="T20" s="67"/>
      <c r="U20" s="76"/>
      <c r="V20" s="67"/>
      <c r="W20" s="76"/>
      <c r="X20" s="67"/>
      <c r="Y20" s="78"/>
      <c r="Z20" s="67"/>
      <c r="AA20" s="76"/>
      <c r="AB20" s="67"/>
    </row>
    <row r="21" spans="1:28" ht="14.4" customHeight="1" x14ac:dyDescent="0.3">
      <c r="A21" s="68" t="s">
        <v>505</v>
      </c>
      <c r="B21" s="68" t="s">
        <v>488</v>
      </c>
      <c r="C21" s="68" t="s">
        <v>489</v>
      </c>
      <c r="D21" s="68"/>
      <c r="E21" s="68"/>
      <c r="F21" s="64" t="s">
        <v>679</v>
      </c>
      <c r="G21" s="77"/>
      <c r="H21" s="69"/>
      <c r="I21" s="77"/>
      <c r="J21" s="69"/>
      <c r="K21" s="77"/>
      <c r="L21" s="69"/>
      <c r="M21" s="77"/>
      <c r="N21" s="69"/>
      <c r="O21" s="77"/>
      <c r="P21" s="69"/>
      <c r="Q21" s="77"/>
      <c r="R21" s="69"/>
      <c r="S21" s="77" t="s">
        <v>235</v>
      </c>
      <c r="T21" s="69"/>
      <c r="U21" s="77"/>
      <c r="V21" s="69"/>
      <c r="W21" s="77"/>
      <c r="X21" s="69"/>
      <c r="Y21" s="77"/>
      <c r="Z21" s="78"/>
      <c r="AA21" s="77"/>
      <c r="AB21" s="69"/>
    </row>
    <row r="22" spans="1:28" ht="14.4" customHeight="1" x14ac:dyDescent="0.3">
      <c r="A22" s="66" t="s">
        <v>488</v>
      </c>
      <c r="B22" s="66"/>
      <c r="C22" s="66"/>
      <c r="D22" s="66"/>
      <c r="E22" s="66"/>
      <c r="F22" s="65" t="s">
        <v>266</v>
      </c>
      <c r="G22" s="76"/>
      <c r="H22" s="67"/>
      <c r="I22" s="76"/>
      <c r="J22" s="67"/>
      <c r="K22" s="76"/>
      <c r="L22" s="67"/>
      <c r="M22" s="76"/>
      <c r="N22" s="67"/>
      <c r="O22" s="76"/>
      <c r="P22" s="67"/>
      <c r="Q22" s="76"/>
      <c r="R22" s="67"/>
      <c r="S22" s="76" t="s">
        <v>235</v>
      </c>
      <c r="T22" s="67"/>
      <c r="U22" s="76"/>
      <c r="V22" s="67"/>
      <c r="W22" s="76"/>
      <c r="X22" s="67"/>
      <c r="Y22" s="76"/>
      <c r="Z22" s="67"/>
      <c r="AA22" s="78"/>
      <c r="AB22" s="67"/>
    </row>
    <row r="23" spans="1:28" ht="14.4" customHeight="1" x14ac:dyDescent="0.3">
      <c r="A23" s="68" t="s">
        <v>489</v>
      </c>
      <c r="B23" s="68"/>
      <c r="C23" s="68"/>
      <c r="D23" s="68"/>
      <c r="E23" s="68"/>
      <c r="F23" s="64" t="s">
        <v>266</v>
      </c>
      <c r="G23" s="77"/>
      <c r="H23" s="69"/>
      <c r="I23" s="77"/>
      <c r="J23" s="69"/>
      <c r="K23" s="77"/>
      <c r="L23" s="69"/>
      <c r="M23" s="77"/>
      <c r="N23" s="69"/>
      <c r="O23" s="77"/>
      <c r="P23" s="69"/>
      <c r="Q23" s="77"/>
      <c r="R23" s="69"/>
      <c r="S23" s="77" t="s">
        <v>235</v>
      </c>
      <c r="T23" s="69"/>
      <c r="U23" s="77"/>
      <c r="V23" s="69"/>
      <c r="W23" s="77"/>
      <c r="X23" s="69"/>
      <c r="Y23" s="77"/>
      <c r="Z23" s="69"/>
      <c r="AA23" s="77"/>
      <c r="AB23" s="78"/>
    </row>
    <row r="25" spans="1:28" ht="14.4" customHeight="1" x14ac:dyDescent="0.3">
      <c r="G25" t="s">
        <v>672</v>
      </c>
    </row>
    <row r="26" spans="1:28" ht="14.4" customHeight="1" x14ac:dyDescent="0.3">
      <c r="G26" t="s">
        <v>673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O766"/>
  <sheetViews>
    <sheetView topLeftCell="A3" zoomScale="82" zoomScaleNormal="82" workbookViewId="0">
      <selection activeCell="L24" sqref="L24"/>
    </sheetView>
  </sheetViews>
  <sheetFormatPr baseColWidth="10" defaultColWidth="8.88671875" defaultRowHeight="16.2" customHeight="1" x14ac:dyDescent="0.3"/>
  <cols>
    <col min="1" max="1" width="26.77734375" style="15" customWidth="1"/>
    <col min="2" max="2" width="10.44140625" customWidth="1"/>
    <col min="3" max="3" width="10.5546875" customWidth="1"/>
    <col min="4" max="6" width="9.77734375" customWidth="1"/>
    <col min="7" max="7" width="9.77734375" style="29" customWidth="1"/>
    <col min="8" max="11" width="9.77734375" customWidth="1"/>
    <col min="12" max="13" width="16" customWidth="1"/>
    <col min="14" max="14" width="17.109375" customWidth="1"/>
    <col min="19" max="19" width="19.44140625" hidden="1" customWidth="1"/>
    <col min="20" max="20" width="13.109375" hidden="1" customWidth="1"/>
    <col min="21" max="28" width="0" hidden="1" customWidth="1"/>
    <col min="29" max="29" width="11.88671875" hidden="1" customWidth="1"/>
    <col min="30" max="34" width="0" hidden="1" customWidth="1"/>
  </cols>
  <sheetData>
    <row r="1" spans="1:34" ht="29.4" customHeight="1" thickBot="1" x14ac:dyDescent="0.35">
      <c r="A1" s="60" t="s">
        <v>265</v>
      </c>
      <c r="B1" s="1" t="s">
        <v>0</v>
      </c>
      <c r="C1" s="1" t="s">
        <v>848</v>
      </c>
      <c r="D1" s="8" t="s">
        <v>47</v>
      </c>
      <c r="E1" s="2" t="s">
        <v>48</v>
      </c>
      <c r="F1" s="8" t="s">
        <v>49</v>
      </c>
      <c r="G1" s="28" t="s">
        <v>50</v>
      </c>
      <c r="H1" s="8" t="s">
        <v>51</v>
      </c>
      <c r="I1" s="2" t="s">
        <v>52</v>
      </c>
      <c r="J1" s="8" t="s">
        <v>53</v>
      </c>
      <c r="K1" s="2" t="s">
        <v>54</v>
      </c>
      <c r="L1" s="1" t="s">
        <v>162</v>
      </c>
      <c r="M1" s="10" t="s">
        <v>163</v>
      </c>
    </row>
    <row r="2" spans="1:34" ht="16.2" customHeight="1" thickBot="1" x14ac:dyDescent="0.35">
      <c r="A2" s="59" t="s">
        <v>357</v>
      </c>
      <c r="B2" s="1" t="s">
        <v>358</v>
      </c>
      <c r="C2" s="1"/>
      <c r="D2" s="9" t="s">
        <v>356</v>
      </c>
      <c r="E2" s="14">
        <v>1</v>
      </c>
      <c r="F2" s="9"/>
      <c r="G2" s="14"/>
      <c r="H2" s="9"/>
      <c r="I2" s="14"/>
      <c r="J2" s="9"/>
      <c r="K2" s="4"/>
      <c r="L2" s="16"/>
      <c r="M2" s="20"/>
      <c r="O2">
        <f>E2+G2+I2+K2</f>
        <v>1</v>
      </c>
      <c r="Q2">
        <f>COUNTIF($B$2:$B$105,Tabla3[[#This Row],[Profesor]])</f>
        <v>1</v>
      </c>
    </row>
    <row r="3" spans="1:34" ht="16.2" customHeight="1" thickBot="1" x14ac:dyDescent="0.35">
      <c r="A3" s="15" t="s">
        <v>420</v>
      </c>
      <c r="B3" s="3" t="s">
        <v>270</v>
      </c>
      <c r="C3" s="3"/>
      <c r="D3" s="9" t="s">
        <v>511</v>
      </c>
      <c r="E3" s="14">
        <v>4</v>
      </c>
      <c r="F3" s="9"/>
      <c r="G3" s="14"/>
      <c r="H3" s="9"/>
      <c r="I3" s="4"/>
      <c r="J3" s="9"/>
      <c r="K3" s="4"/>
      <c r="L3" s="16"/>
      <c r="M3" s="19"/>
      <c r="O3">
        <f t="shared" ref="O3:O63" si="0">E3+G3+I3+K3</f>
        <v>4</v>
      </c>
      <c r="Q3">
        <f>COUNTIF($B$2:$B$105,Tabla3[[#This Row],[Profesor]])</f>
        <v>1</v>
      </c>
    </row>
    <row r="4" spans="1:34" ht="16.2" customHeight="1" thickBot="1" x14ac:dyDescent="0.35">
      <c r="A4" s="15" t="s">
        <v>520</v>
      </c>
      <c r="B4" s="3" t="s">
        <v>521</v>
      </c>
      <c r="C4" s="3"/>
      <c r="D4" s="9" t="s">
        <v>655</v>
      </c>
      <c r="E4" s="14">
        <v>1</v>
      </c>
      <c r="F4" s="9"/>
      <c r="G4" s="14"/>
      <c r="H4" s="9"/>
      <c r="I4" s="4"/>
      <c r="J4" s="9"/>
      <c r="K4" s="4"/>
      <c r="L4" s="16"/>
      <c r="M4" s="19"/>
      <c r="O4">
        <f t="shared" si="0"/>
        <v>1</v>
      </c>
      <c r="Q4">
        <f>COUNTIF($B$2:$B$105,Tabla3[[#This Row],[Profesor]])</f>
        <v>1</v>
      </c>
      <c r="S4" s="15" t="s">
        <v>103</v>
      </c>
      <c r="T4" t="s">
        <v>182</v>
      </c>
      <c r="AB4" s="15" t="s">
        <v>103</v>
      </c>
      <c r="AC4" t="s">
        <v>182</v>
      </c>
    </row>
    <row r="5" spans="1:34" ht="16.2" customHeight="1" thickBot="1" x14ac:dyDescent="0.35">
      <c r="A5" s="15" t="s">
        <v>271</v>
      </c>
      <c r="B5" s="3" t="s">
        <v>419</v>
      </c>
      <c r="C5" s="3"/>
      <c r="D5" s="9" t="s">
        <v>269</v>
      </c>
      <c r="E5" s="14">
        <v>1</v>
      </c>
      <c r="F5" s="9"/>
      <c r="G5" s="14"/>
      <c r="H5" s="9"/>
      <c r="I5" s="4"/>
      <c r="J5" s="9"/>
      <c r="K5" s="4"/>
      <c r="L5" s="16"/>
      <c r="M5" s="19"/>
      <c r="O5">
        <f t="shared" si="0"/>
        <v>1</v>
      </c>
      <c r="Q5">
        <f>COUNTIF($B$2:$B$105,Tabla3[[#This Row],[Profesor]])</f>
        <v>1</v>
      </c>
      <c r="U5" t="s">
        <v>164</v>
      </c>
      <c r="V5" t="s">
        <v>165</v>
      </c>
      <c r="W5" t="s">
        <v>166</v>
      </c>
      <c r="X5" t="s">
        <v>167</v>
      </c>
      <c r="Y5" t="s">
        <v>168</v>
      </c>
      <c r="AD5" t="s">
        <v>164</v>
      </c>
      <c r="AE5" t="s">
        <v>165</v>
      </c>
      <c r="AF5" t="s">
        <v>166</v>
      </c>
      <c r="AG5" t="s">
        <v>167</v>
      </c>
      <c r="AH5" t="s">
        <v>168</v>
      </c>
    </row>
    <row r="6" spans="1:34" ht="16.2" customHeight="1" thickBot="1" x14ac:dyDescent="0.35">
      <c r="A6" s="15" t="s">
        <v>105</v>
      </c>
      <c r="B6" s="3" t="s">
        <v>18</v>
      </c>
      <c r="C6" s="3"/>
      <c r="D6" s="13" t="s">
        <v>8</v>
      </c>
      <c r="E6" s="14">
        <v>1</v>
      </c>
      <c r="F6" s="13" t="s">
        <v>22</v>
      </c>
      <c r="G6" s="14">
        <v>1</v>
      </c>
      <c r="H6" s="13" t="s">
        <v>23</v>
      </c>
      <c r="I6" s="14">
        <v>1</v>
      </c>
      <c r="J6" s="13"/>
      <c r="K6" s="4"/>
      <c r="L6" s="111" t="s">
        <v>496</v>
      </c>
      <c r="M6" s="19"/>
      <c r="O6">
        <f t="shared" si="0"/>
        <v>3</v>
      </c>
      <c r="Q6">
        <f>COUNTIF($B$2:$B$105,Tabla3[[#This Row],[Profesor]])</f>
        <v>1</v>
      </c>
      <c r="T6" t="s">
        <v>154</v>
      </c>
      <c r="U6" t="s">
        <v>155</v>
      </c>
      <c r="V6" t="s">
        <v>155</v>
      </c>
      <c r="W6" t="s">
        <v>155</v>
      </c>
      <c r="X6" t="s">
        <v>155</v>
      </c>
      <c r="Y6" t="s">
        <v>155</v>
      </c>
      <c r="AC6" t="s">
        <v>154</v>
      </c>
      <c r="AD6" t="s">
        <v>155</v>
      </c>
      <c r="AE6" t="s">
        <v>155</v>
      </c>
      <c r="AF6" t="s">
        <v>155</v>
      </c>
      <c r="AG6" t="s">
        <v>155</v>
      </c>
      <c r="AH6" t="s">
        <v>155</v>
      </c>
    </row>
    <row r="7" spans="1:34" ht="16.2" customHeight="1" thickBot="1" x14ac:dyDescent="0.35">
      <c r="A7" s="15" t="s">
        <v>352</v>
      </c>
      <c r="B7" s="3" t="s">
        <v>351</v>
      </c>
      <c r="C7" s="3"/>
      <c r="D7" s="9" t="s">
        <v>350</v>
      </c>
      <c r="E7" s="14">
        <v>1</v>
      </c>
      <c r="F7" s="9"/>
      <c r="G7" s="14"/>
      <c r="H7" s="9"/>
      <c r="I7" s="4"/>
      <c r="J7" s="9"/>
      <c r="K7" s="4"/>
      <c r="L7" s="16"/>
      <c r="M7" s="19"/>
      <c r="O7">
        <f t="shared" si="0"/>
        <v>1</v>
      </c>
      <c r="Q7">
        <f>COUNTIF($B$2:$B$105,Tabla3[[#This Row],[Profesor]])</f>
        <v>1</v>
      </c>
      <c r="T7" t="s">
        <v>156</v>
      </c>
      <c r="U7" t="s">
        <v>22</v>
      </c>
      <c r="V7" t="s">
        <v>155</v>
      </c>
      <c r="W7" t="s">
        <v>22</v>
      </c>
      <c r="X7" t="s">
        <v>155</v>
      </c>
      <c r="Y7" t="s">
        <v>155</v>
      </c>
      <c r="AC7" t="s">
        <v>156</v>
      </c>
      <c r="AD7" t="s">
        <v>22</v>
      </c>
      <c r="AE7" t="s">
        <v>155</v>
      </c>
      <c r="AF7" t="s">
        <v>155</v>
      </c>
      <c r="AG7" t="s">
        <v>155</v>
      </c>
      <c r="AH7" t="s">
        <v>155</v>
      </c>
    </row>
    <row r="8" spans="1:34" ht="16.2" customHeight="1" thickBot="1" x14ac:dyDescent="0.35">
      <c r="A8" s="59" t="s">
        <v>466</v>
      </c>
      <c r="B8" s="3" t="s">
        <v>467</v>
      </c>
      <c r="C8" s="3"/>
      <c r="D8" s="9" t="s">
        <v>457</v>
      </c>
      <c r="E8" s="14">
        <v>2</v>
      </c>
      <c r="F8" s="9"/>
      <c r="G8" s="14"/>
      <c r="H8" s="9"/>
      <c r="I8" s="4"/>
      <c r="J8" s="9"/>
      <c r="K8" s="4"/>
      <c r="L8" s="16"/>
      <c r="M8" s="19"/>
      <c r="O8">
        <f t="shared" si="0"/>
        <v>2</v>
      </c>
      <c r="Q8">
        <f>COUNTIF($B$2:$B$105,Tabla3[[#This Row],[Profesor]])</f>
        <v>1</v>
      </c>
      <c r="T8" t="s">
        <v>157</v>
      </c>
      <c r="U8" t="s">
        <v>22</v>
      </c>
      <c r="V8" t="s">
        <v>75</v>
      </c>
      <c r="W8" t="s">
        <v>22</v>
      </c>
      <c r="X8" t="s">
        <v>155</v>
      </c>
      <c r="Y8" t="s">
        <v>75</v>
      </c>
      <c r="AC8" t="s">
        <v>157</v>
      </c>
      <c r="AD8" t="s">
        <v>22</v>
      </c>
      <c r="AE8" t="s">
        <v>155</v>
      </c>
      <c r="AF8" t="s">
        <v>75</v>
      </c>
      <c r="AG8" t="s">
        <v>22</v>
      </c>
      <c r="AH8" t="s">
        <v>155</v>
      </c>
    </row>
    <row r="9" spans="1:34" ht="16.2" customHeight="1" thickBot="1" x14ac:dyDescent="0.35">
      <c r="A9" s="15" t="s">
        <v>668</v>
      </c>
      <c r="B9" s="3" t="s">
        <v>669</v>
      </c>
      <c r="C9" s="3"/>
      <c r="D9" s="9" t="s">
        <v>675</v>
      </c>
      <c r="E9" s="14">
        <v>1</v>
      </c>
      <c r="F9" s="9"/>
      <c r="G9" s="14"/>
      <c r="H9" s="9"/>
      <c r="I9" s="4"/>
      <c r="J9" s="9"/>
      <c r="K9" s="4"/>
      <c r="L9" s="16"/>
      <c r="M9" s="19"/>
      <c r="O9">
        <f t="shared" si="0"/>
        <v>1</v>
      </c>
      <c r="Q9">
        <f>COUNTIF($B$2:$B$105,Tabla3[[#This Row],[Profesor]])</f>
        <v>1</v>
      </c>
      <c r="T9" t="s">
        <v>158</v>
      </c>
      <c r="U9" t="s">
        <v>155</v>
      </c>
      <c r="V9" t="s">
        <v>75</v>
      </c>
      <c r="W9" t="s">
        <v>22</v>
      </c>
      <c r="X9" t="s">
        <v>155</v>
      </c>
      <c r="Y9" t="s">
        <v>75</v>
      </c>
      <c r="AC9" t="s">
        <v>158</v>
      </c>
      <c r="AD9" t="s">
        <v>22</v>
      </c>
      <c r="AE9" t="s">
        <v>155</v>
      </c>
      <c r="AF9" t="s">
        <v>75</v>
      </c>
      <c r="AG9" t="s">
        <v>22</v>
      </c>
      <c r="AH9" t="s">
        <v>155</v>
      </c>
    </row>
    <row r="10" spans="1:34" ht="16.2" customHeight="1" thickBot="1" x14ac:dyDescent="0.35">
      <c r="A10" s="15" t="s">
        <v>109</v>
      </c>
      <c r="B10" s="3" t="s">
        <v>2</v>
      </c>
      <c r="C10" s="3"/>
      <c r="D10" s="13" t="s">
        <v>6</v>
      </c>
      <c r="E10" s="14">
        <v>1</v>
      </c>
      <c r="F10" s="13"/>
      <c r="G10" s="14"/>
      <c r="H10" s="13"/>
      <c r="I10" s="14"/>
      <c r="J10" s="13"/>
      <c r="K10" s="4"/>
      <c r="L10" s="16"/>
      <c r="M10" s="19"/>
      <c r="O10">
        <f t="shared" si="0"/>
        <v>1</v>
      </c>
      <c r="Q10">
        <f>COUNTIF($B$2:$B$105,Tabla3[[#This Row],[Profesor]])</f>
        <v>1</v>
      </c>
      <c r="T10" t="s">
        <v>159</v>
      </c>
      <c r="U10" t="s">
        <v>155</v>
      </c>
      <c r="V10" t="s">
        <v>155</v>
      </c>
      <c r="W10" t="s">
        <v>155</v>
      </c>
      <c r="X10" t="s">
        <v>155</v>
      </c>
      <c r="Y10" t="s">
        <v>155</v>
      </c>
      <c r="AC10" t="s">
        <v>159</v>
      </c>
      <c r="AD10" t="s">
        <v>75</v>
      </c>
      <c r="AE10" t="s">
        <v>155</v>
      </c>
      <c r="AF10" t="s">
        <v>155</v>
      </c>
      <c r="AG10" t="s">
        <v>155</v>
      </c>
      <c r="AH10" t="s">
        <v>155</v>
      </c>
    </row>
    <row r="11" spans="1:34" ht="16.2" customHeight="1" thickBot="1" x14ac:dyDescent="0.35">
      <c r="A11" s="15" t="s">
        <v>422</v>
      </c>
      <c r="B11" s="3" t="s">
        <v>262</v>
      </c>
      <c r="C11" s="3"/>
      <c r="D11" s="9" t="s">
        <v>95</v>
      </c>
      <c r="E11" s="14">
        <v>1</v>
      </c>
      <c r="F11" s="9"/>
      <c r="G11" s="14"/>
      <c r="H11" s="9"/>
      <c r="I11" s="4"/>
      <c r="J11" s="9"/>
      <c r="K11" s="4"/>
      <c r="L11" s="16"/>
      <c r="M11" s="19"/>
      <c r="O11">
        <f t="shared" si="0"/>
        <v>1</v>
      </c>
      <c r="Q11">
        <f>COUNTIF($B$2:$B$105,Tabla3[[#This Row],[Profesor]])</f>
        <v>1</v>
      </c>
      <c r="T11" t="s">
        <v>170</v>
      </c>
      <c r="U11" t="s">
        <v>155</v>
      </c>
      <c r="V11" t="s">
        <v>155</v>
      </c>
      <c r="W11" t="s">
        <v>155</v>
      </c>
      <c r="X11" t="s">
        <v>155</v>
      </c>
      <c r="Y11" t="s">
        <v>155</v>
      </c>
      <c r="AC11" t="s">
        <v>170</v>
      </c>
      <c r="AD11" t="s">
        <v>155</v>
      </c>
      <c r="AE11" t="s">
        <v>155</v>
      </c>
      <c r="AF11" t="s">
        <v>155</v>
      </c>
      <c r="AG11" t="s">
        <v>155</v>
      </c>
      <c r="AH11" t="s">
        <v>155</v>
      </c>
    </row>
    <row r="12" spans="1:34" ht="16.2" customHeight="1" thickBot="1" x14ac:dyDescent="0.35">
      <c r="A12" s="15" t="s">
        <v>423</v>
      </c>
      <c r="B12" s="3" t="s">
        <v>401</v>
      </c>
      <c r="C12" s="3"/>
      <c r="D12" s="9" t="s">
        <v>398</v>
      </c>
      <c r="E12" s="14">
        <v>1</v>
      </c>
      <c r="F12" s="9"/>
      <c r="G12" s="14"/>
      <c r="H12" s="9"/>
      <c r="I12" s="4"/>
      <c r="J12" s="9"/>
      <c r="K12" s="4"/>
      <c r="L12" s="16"/>
      <c r="M12" s="19"/>
      <c r="O12">
        <f t="shared" si="0"/>
        <v>1</v>
      </c>
      <c r="Q12">
        <f>COUNTIF($B$2:$B$105,Tabla3[[#This Row],[Profesor]])</f>
        <v>1</v>
      </c>
      <c r="T12" t="s">
        <v>172</v>
      </c>
      <c r="U12" t="s">
        <v>155</v>
      </c>
      <c r="V12" t="s">
        <v>155</v>
      </c>
      <c r="W12" t="s">
        <v>155</v>
      </c>
      <c r="X12" t="s">
        <v>155</v>
      </c>
      <c r="Y12" t="s">
        <v>155</v>
      </c>
      <c r="AC12" t="s">
        <v>172</v>
      </c>
      <c r="AD12" t="s">
        <v>155</v>
      </c>
      <c r="AE12" t="s">
        <v>155</v>
      </c>
      <c r="AF12" t="s">
        <v>155</v>
      </c>
      <c r="AG12" t="s">
        <v>155</v>
      </c>
      <c r="AH12" t="s">
        <v>155</v>
      </c>
    </row>
    <row r="13" spans="1:34" ht="16.2" customHeight="1" thickBot="1" x14ac:dyDescent="0.35">
      <c r="A13" s="15" t="s">
        <v>524</v>
      </c>
      <c r="B13" s="1" t="s">
        <v>525</v>
      </c>
      <c r="C13" s="1"/>
      <c r="D13" s="9" t="s">
        <v>370</v>
      </c>
      <c r="E13" s="14">
        <v>1</v>
      </c>
      <c r="F13" s="9" t="s">
        <v>531</v>
      </c>
      <c r="G13" s="14">
        <v>1</v>
      </c>
      <c r="H13" s="9"/>
      <c r="I13" s="4"/>
      <c r="J13" s="13"/>
      <c r="K13" s="4"/>
      <c r="L13" s="132" t="s">
        <v>535</v>
      </c>
      <c r="M13" s="20"/>
      <c r="O13">
        <f t="shared" si="0"/>
        <v>2</v>
      </c>
      <c r="Q13">
        <f>COUNTIF($B$2:$B$105,Tabla3[[#This Row],[Profesor]])</f>
        <v>1</v>
      </c>
    </row>
    <row r="14" spans="1:34" ht="16.2" customHeight="1" thickBot="1" x14ac:dyDescent="0.35">
      <c r="A14" s="15" t="s">
        <v>513</v>
      </c>
      <c r="B14" s="93" t="s">
        <v>512</v>
      </c>
      <c r="C14" s="1"/>
      <c r="D14" s="9" t="s">
        <v>272</v>
      </c>
      <c r="E14" s="14">
        <v>1</v>
      </c>
      <c r="F14" s="9"/>
      <c r="G14" s="14"/>
      <c r="H14" s="9"/>
      <c r="I14" s="4"/>
      <c r="J14" s="9"/>
      <c r="K14" s="4"/>
      <c r="L14" s="16"/>
      <c r="M14" s="20"/>
      <c r="O14">
        <f t="shared" si="0"/>
        <v>1</v>
      </c>
      <c r="Q14">
        <f>COUNTIF($B$2:$B$105,Tabla3[[#This Row],[Profesor]])</f>
        <v>1</v>
      </c>
      <c r="S14" s="15" t="s">
        <v>104</v>
      </c>
      <c r="T14" t="s">
        <v>183</v>
      </c>
      <c r="AB14" s="15" t="s">
        <v>104</v>
      </c>
      <c r="AC14" t="s">
        <v>183</v>
      </c>
    </row>
    <row r="15" spans="1:34" ht="16.2" customHeight="1" thickBot="1" x14ac:dyDescent="0.35">
      <c r="A15" s="15" t="s">
        <v>424</v>
      </c>
      <c r="B15" s="1" t="s">
        <v>14</v>
      </c>
      <c r="C15" s="1"/>
      <c r="D15" s="13" t="s">
        <v>510</v>
      </c>
      <c r="E15" s="14">
        <v>4</v>
      </c>
      <c r="F15" s="13"/>
      <c r="G15" s="14"/>
      <c r="H15" s="13"/>
      <c r="I15" s="14"/>
      <c r="J15" s="13"/>
      <c r="K15" s="4"/>
      <c r="L15" s="16"/>
      <c r="M15" s="20"/>
      <c r="O15">
        <f t="shared" si="0"/>
        <v>4</v>
      </c>
      <c r="Q15">
        <f>COUNTIF($B$2:$B$105,Tabla3[[#This Row],[Profesor]])</f>
        <v>1</v>
      </c>
      <c r="U15" t="s">
        <v>164</v>
      </c>
      <c r="V15" t="s">
        <v>165</v>
      </c>
      <c r="W15" t="s">
        <v>166</v>
      </c>
      <c r="X15" t="s">
        <v>167</v>
      </c>
      <c r="Y15" t="s">
        <v>168</v>
      </c>
      <c r="AD15" t="s">
        <v>164</v>
      </c>
      <c r="AE15" t="s">
        <v>165</v>
      </c>
      <c r="AF15" t="s">
        <v>166</v>
      </c>
      <c r="AG15" t="s">
        <v>167</v>
      </c>
      <c r="AH15" t="s">
        <v>168</v>
      </c>
    </row>
    <row r="16" spans="1:34" ht="16.2" customHeight="1" thickBot="1" x14ac:dyDescent="0.35">
      <c r="A16" s="15" t="s">
        <v>665</v>
      </c>
      <c r="B16" s="1" t="s">
        <v>666</v>
      </c>
      <c r="C16" s="1"/>
      <c r="D16" s="9" t="s">
        <v>407</v>
      </c>
      <c r="E16" s="14">
        <v>1</v>
      </c>
      <c r="F16" s="9" t="s">
        <v>679</v>
      </c>
      <c r="G16" s="14">
        <v>1</v>
      </c>
      <c r="H16" s="9"/>
      <c r="I16" s="4"/>
      <c r="J16" s="9"/>
      <c r="K16" s="4"/>
      <c r="L16" s="16"/>
      <c r="M16" s="20"/>
      <c r="O16">
        <f t="shared" si="0"/>
        <v>2</v>
      </c>
      <c r="Q16">
        <f>COUNTIF($B$2:$B$105,Tabla3[[#This Row],[Profesor]])</f>
        <v>1</v>
      </c>
      <c r="T16" t="s">
        <v>154</v>
      </c>
      <c r="U16" t="s">
        <v>155</v>
      </c>
      <c r="V16" t="s">
        <v>155</v>
      </c>
      <c r="W16" t="s">
        <v>155</v>
      </c>
      <c r="X16" t="s">
        <v>155</v>
      </c>
      <c r="Y16" t="s">
        <v>155</v>
      </c>
      <c r="AC16" t="s">
        <v>154</v>
      </c>
      <c r="AD16" t="s">
        <v>155</v>
      </c>
      <c r="AE16" t="s">
        <v>155</v>
      </c>
      <c r="AF16" t="s">
        <v>155</v>
      </c>
      <c r="AG16" t="s">
        <v>155</v>
      </c>
      <c r="AH16" t="s">
        <v>155</v>
      </c>
    </row>
    <row r="17" spans="1:34" ht="16.2" customHeight="1" thickBot="1" x14ac:dyDescent="0.35">
      <c r="A17" s="15" t="s">
        <v>246</v>
      </c>
      <c r="B17" s="1" t="s">
        <v>245</v>
      </c>
      <c r="C17" s="1"/>
      <c r="D17" s="9" t="s">
        <v>242</v>
      </c>
      <c r="E17" s="14">
        <v>1</v>
      </c>
      <c r="F17" s="9" t="s">
        <v>255</v>
      </c>
      <c r="G17" s="14">
        <v>1</v>
      </c>
      <c r="H17" s="9"/>
      <c r="I17" s="4"/>
      <c r="J17" s="9"/>
      <c r="K17" s="4"/>
      <c r="L17" s="111" t="s">
        <v>1035</v>
      </c>
      <c r="M17" s="20"/>
      <c r="O17">
        <f t="shared" si="0"/>
        <v>2</v>
      </c>
      <c r="Q17">
        <f>COUNTIF($B$2:$B$105,Tabla3[[#This Row],[Profesor]])</f>
        <v>1</v>
      </c>
      <c r="T17" t="s">
        <v>156</v>
      </c>
      <c r="U17" t="s">
        <v>155</v>
      </c>
      <c r="V17" t="s">
        <v>155</v>
      </c>
      <c r="W17" t="s">
        <v>155</v>
      </c>
      <c r="X17" t="s">
        <v>155</v>
      </c>
      <c r="Y17" t="s">
        <v>155</v>
      </c>
      <c r="AC17" t="s">
        <v>156</v>
      </c>
      <c r="AD17" t="s">
        <v>155</v>
      </c>
      <c r="AE17" t="s">
        <v>155</v>
      </c>
      <c r="AF17" t="s">
        <v>155</v>
      </c>
      <c r="AG17" t="s">
        <v>155</v>
      </c>
      <c r="AH17" t="s">
        <v>155</v>
      </c>
    </row>
    <row r="18" spans="1:34" ht="16.2" customHeight="1" thickBot="1" x14ac:dyDescent="0.35">
      <c r="A18" s="15" t="s">
        <v>360</v>
      </c>
      <c r="B18" s="1" t="s">
        <v>361</v>
      </c>
      <c r="C18" s="1"/>
      <c r="D18" s="9" t="s">
        <v>359</v>
      </c>
      <c r="E18" s="14">
        <v>1</v>
      </c>
      <c r="F18" s="9"/>
      <c r="G18" s="14"/>
      <c r="H18" s="9"/>
      <c r="I18" s="4"/>
      <c r="J18" s="9"/>
      <c r="K18" s="4"/>
      <c r="L18" s="16"/>
      <c r="M18" s="20"/>
      <c r="O18">
        <f t="shared" si="0"/>
        <v>1</v>
      </c>
      <c r="Q18">
        <f>COUNTIF($B$2:$B$105,Tabla3[[#This Row],[Profesor]])</f>
        <v>1</v>
      </c>
      <c r="T18" t="s">
        <v>157</v>
      </c>
      <c r="U18" t="s">
        <v>155</v>
      </c>
      <c r="V18" t="s">
        <v>155</v>
      </c>
      <c r="W18" t="s">
        <v>155</v>
      </c>
      <c r="X18" t="s">
        <v>155</v>
      </c>
      <c r="Y18" t="s">
        <v>155</v>
      </c>
      <c r="AC18" t="s">
        <v>157</v>
      </c>
      <c r="AD18" t="s">
        <v>155</v>
      </c>
      <c r="AE18" t="s">
        <v>155</v>
      </c>
      <c r="AF18" t="s">
        <v>155</v>
      </c>
      <c r="AG18" t="s">
        <v>155</v>
      </c>
      <c r="AH18" t="s">
        <v>155</v>
      </c>
    </row>
    <row r="19" spans="1:34" ht="16.2" customHeight="1" thickBot="1" x14ac:dyDescent="0.35">
      <c r="A19" s="15" t="s">
        <v>335</v>
      </c>
      <c r="B19" s="1" t="s">
        <v>334</v>
      </c>
      <c r="C19" s="1"/>
      <c r="D19" s="9" t="s">
        <v>333</v>
      </c>
      <c r="E19" s="14">
        <v>2</v>
      </c>
      <c r="F19" s="9"/>
      <c r="G19" s="14"/>
      <c r="H19" s="9"/>
      <c r="I19" s="4"/>
      <c r="J19" s="9"/>
      <c r="K19" s="4"/>
      <c r="L19" s="16"/>
      <c r="M19" s="20"/>
      <c r="O19">
        <f t="shared" si="0"/>
        <v>2</v>
      </c>
      <c r="Q19">
        <f>COUNTIF($B$2:$B$105,Tabla3[[#This Row],[Profesor]])</f>
        <v>1</v>
      </c>
      <c r="T19" t="s">
        <v>158</v>
      </c>
      <c r="U19" t="s">
        <v>155</v>
      </c>
      <c r="V19" t="s">
        <v>22</v>
      </c>
      <c r="W19" t="s">
        <v>155</v>
      </c>
      <c r="X19" t="s">
        <v>155</v>
      </c>
      <c r="Y19" t="s">
        <v>155</v>
      </c>
      <c r="AC19" t="s">
        <v>158</v>
      </c>
      <c r="AD19" t="s">
        <v>155</v>
      </c>
      <c r="AE19" t="s">
        <v>22</v>
      </c>
      <c r="AF19" t="s">
        <v>155</v>
      </c>
      <c r="AG19" t="s">
        <v>155</v>
      </c>
      <c r="AH19" t="s">
        <v>155</v>
      </c>
    </row>
    <row r="20" spans="1:34" ht="16.2" customHeight="1" thickBot="1" x14ac:dyDescent="0.35">
      <c r="A20" s="15" t="s">
        <v>126</v>
      </c>
      <c r="B20" s="1" t="s">
        <v>65</v>
      </c>
      <c r="C20" s="1"/>
      <c r="D20" s="13" t="s">
        <v>90</v>
      </c>
      <c r="E20" s="14">
        <v>1</v>
      </c>
      <c r="F20" s="13" t="s">
        <v>408</v>
      </c>
      <c r="G20" s="14">
        <v>1</v>
      </c>
      <c r="H20" s="13"/>
      <c r="I20" s="14"/>
      <c r="J20" s="13"/>
      <c r="K20" s="4"/>
      <c r="L20" s="16"/>
      <c r="M20" s="20"/>
      <c r="O20">
        <f t="shared" si="0"/>
        <v>2</v>
      </c>
      <c r="Q20">
        <f>COUNTIF($B$2:$B$105,Tabla3[[#This Row],[Profesor]])</f>
        <v>1</v>
      </c>
      <c r="T20" t="s">
        <v>159</v>
      </c>
      <c r="U20" t="s">
        <v>155</v>
      </c>
      <c r="V20" t="s">
        <v>22</v>
      </c>
      <c r="W20" t="s">
        <v>155</v>
      </c>
      <c r="X20" t="s">
        <v>22</v>
      </c>
      <c r="Y20" t="s">
        <v>155</v>
      </c>
      <c r="AC20" t="s">
        <v>159</v>
      </c>
      <c r="AD20" t="s">
        <v>155</v>
      </c>
      <c r="AE20" t="s">
        <v>22</v>
      </c>
      <c r="AF20" t="s">
        <v>155</v>
      </c>
      <c r="AG20" t="s">
        <v>22</v>
      </c>
      <c r="AH20" t="s">
        <v>155</v>
      </c>
    </row>
    <row r="21" spans="1:34" ht="16.2" customHeight="1" thickBot="1" x14ac:dyDescent="0.35">
      <c r="A21" s="15" t="s">
        <v>411</v>
      </c>
      <c r="B21" s="1" t="s">
        <v>412</v>
      </c>
      <c r="C21" s="1"/>
      <c r="D21" s="9" t="s">
        <v>410</v>
      </c>
      <c r="E21" s="14">
        <v>2</v>
      </c>
      <c r="F21" s="9" t="s">
        <v>465</v>
      </c>
      <c r="G21" s="14">
        <v>1</v>
      </c>
      <c r="H21" s="9"/>
      <c r="I21" s="4"/>
      <c r="J21" s="9"/>
      <c r="K21" s="4"/>
      <c r="L21" s="16"/>
      <c r="M21" s="20"/>
      <c r="O21">
        <f t="shared" si="0"/>
        <v>3</v>
      </c>
      <c r="Q21">
        <f>COUNTIF($B$2:$B$105,Tabla3[[#This Row],[Profesor]])</f>
        <v>1</v>
      </c>
    </row>
    <row r="22" spans="1:34" ht="16.2" customHeight="1" thickBot="1" x14ac:dyDescent="0.35">
      <c r="A22" s="15" t="s">
        <v>650</v>
      </c>
      <c r="B22" s="1" t="s">
        <v>532</v>
      </c>
      <c r="C22" s="1"/>
      <c r="D22" s="9" t="s">
        <v>530</v>
      </c>
      <c r="E22" s="14">
        <v>1</v>
      </c>
      <c r="F22" s="9"/>
      <c r="G22" s="14"/>
      <c r="H22" s="9"/>
      <c r="I22" s="4"/>
      <c r="J22" s="9"/>
      <c r="K22" s="4"/>
      <c r="L22" s="16"/>
      <c r="M22" s="20"/>
      <c r="O22">
        <f t="shared" si="0"/>
        <v>1</v>
      </c>
      <c r="Q22">
        <f>COUNTIF($B$2:$B$105,Tabla3[[#This Row],[Profesor]])</f>
        <v>1</v>
      </c>
      <c r="S22" s="15" t="s">
        <v>105</v>
      </c>
      <c r="T22" t="s">
        <v>184</v>
      </c>
      <c r="AB22" s="15" t="s">
        <v>105</v>
      </c>
      <c r="AC22" t="s">
        <v>184</v>
      </c>
    </row>
    <row r="23" spans="1:34" ht="16.2" customHeight="1" thickBot="1" x14ac:dyDescent="0.35">
      <c r="A23" s="15" t="s">
        <v>149</v>
      </c>
      <c r="B23" s="1" t="s">
        <v>72</v>
      </c>
      <c r="C23" s="1"/>
      <c r="D23" s="9" t="s">
        <v>359</v>
      </c>
      <c r="E23" s="14">
        <v>1</v>
      </c>
      <c r="F23" s="9" t="s">
        <v>527</v>
      </c>
      <c r="G23" s="14">
        <v>1</v>
      </c>
      <c r="H23" s="9"/>
      <c r="I23" s="4"/>
      <c r="J23" s="9"/>
      <c r="K23" s="4"/>
      <c r="L23" s="132" t="s">
        <v>983</v>
      </c>
      <c r="M23" s="20"/>
      <c r="O23">
        <f t="shared" si="0"/>
        <v>2</v>
      </c>
      <c r="Q23">
        <f>COUNTIF($B$2:$B$105,Tabla3[[#This Row],[Profesor]])</f>
        <v>1</v>
      </c>
      <c r="T23" t="s">
        <v>154</v>
      </c>
      <c r="U23" t="s">
        <v>155</v>
      </c>
      <c r="V23" t="s">
        <v>155</v>
      </c>
      <c r="W23" t="s">
        <v>155</v>
      </c>
      <c r="X23" t="s">
        <v>155</v>
      </c>
      <c r="Y23" t="s">
        <v>155</v>
      </c>
      <c r="AC23" t="s">
        <v>154</v>
      </c>
      <c r="AD23" t="s">
        <v>155</v>
      </c>
      <c r="AE23" t="s">
        <v>155</v>
      </c>
      <c r="AF23" t="s">
        <v>155</v>
      </c>
      <c r="AG23" t="s">
        <v>155</v>
      </c>
      <c r="AH23" t="s">
        <v>155</v>
      </c>
    </row>
    <row r="24" spans="1:34" ht="16.2" customHeight="1" thickBot="1" x14ac:dyDescent="0.35">
      <c r="A24" s="15" t="s">
        <v>425</v>
      </c>
      <c r="B24" s="1" t="s">
        <v>43</v>
      </c>
      <c r="C24" s="1"/>
      <c r="D24" s="13" t="s">
        <v>102</v>
      </c>
      <c r="E24" s="14">
        <v>1</v>
      </c>
      <c r="F24" s="13" t="s">
        <v>353</v>
      </c>
      <c r="G24" s="14">
        <v>1</v>
      </c>
      <c r="H24" s="13" t="s">
        <v>281</v>
      </c>
      <c r="I24" s="14">
        <v>1</v>
      </c>
      <c r="J24" s="13"/>
      <c r="K24" s="4"/>
      <c r="L24" s="16"/>
      <c r="M24" s="20"/>
      <c r="O24">
        <f t="shared" si="0"/>
        <v>3</v>
      </c>
      <c r="Q24">
        <f>COUNTIF($B$2:$B$105,Tabla3[[#This Row],[Profesor]])</f>
        <v>1</v>
      </c>
      <c r="T24" t="s">
        <v>156</v>
      </c>
      <c r="U24" t="s">
        <v>155</v>
      </c>
      <c r="V24" t="s">
        <v>155</v>
      </c>
      <c r="W24" t="s">
        <v>155</v>
      </c>
      <c r="X24" t="s">
        <v>155</v>
      </c>
      <c r="Y24" t="s">
        <v>155</v>
      </c>
      <c r="AC24" t="s">
        <v>156</v>
      </c>
      <c r="AD24" t="s">
        <v>155</v>
      </c>
      <c r="AE24" t="s">
        <v>155</v>
      </c>
      <c r="AF24" t="s">
        <v>155</v>
      </c>
      <c r="AG24" t="s">
        <v>155</v>
      </c>
      <c r="AH24" t="s">
        <v>155</v>
      </c>
    </row>
    <row r="25" spans="1:34" ht="16.2" customHeight="1" thickBot="1" x14ac:dyDescent="0.35">
      <c r="A25" s="15" t="s">
        <v>406</v>
      </c>
      <c r="B25" s="1" t="s">
        <v>405</v>
      </c>
      <c r="C25" s="1"/>
      <c r="D25" s="9" t="s">
        <v>658</v>
      </c>
      <c r="E25" s="14">
        <v>1</v>
      </c>
      <c r="F25" s="9"/>
      <c r="G25" s="14"/>
      <c r="H25" s="9"/>
      <c r="I25" s="4"/>
      <c r="J25" s="9"/>
      <c r="K25" s="4"/>
      <c r="L25" s="16"/>
      <c r="M25" s="20"/>
      <c r="O25">
        <f t="shared" si="0"/>
        <v>1</v>
      </c>
      <c r="Q25">
        <f>COUNTIF($B$2:$B$105,Tabla3[[#This Row],[Profesor]])</f>
        <v>1</v>
      </c>
      <c r="T25" t="s">
        <v>157</v>
      </c>
      <c r="U25" t="s">
        <v>155</v>
      </c>
      <c r="V25" t="s">
        <v>155</v>
      </c>
      <c r="W25" t="s">
        <v>155</v>
      </c>
      <c r="X25" t="s">
        <v>22</v>
      </c>
      <c r="Y25" t="s">
        <v>155</v>
      </c>
      <c r="AC25" t="s">
        <v>157</v>
      </c>
      <c r="AD25" t="s">
        <v>155</v>
      </c>
      <c r="AE25" t="s">
        <v>155</v>
      </c>
      <c r="AF25" t="s">
        <v>155</v>
      </c>
      <c r="AG25" t="s">
        <v>155</v>
      </c>
      <c r="AH25" t="s">
        <v>155</v>
      </c>
    </row>
    <row r="26" spans="1:34" ht="16.2" customHeight="1" thickBot="1" x14ac:dyDescent="0.35">
      <c r="A26" s="15" t="s">
        <v>119</v>
      </c>
      <c r="B26" s="1" t="s">
        <v>15</v>
      </c>
      <c r="C26" s="1"/>
      <c r="D26" s="13" t="s">
        <v>241</v>
      </c>
      <c r="E26" s="14">
        <v>1</v>
      </c>
      <c r="F26" s="13" t="s">
        <v>6</v>
      </c>
      <c r="G26" s="14">
        <v>1</v>
      </c>
      <c r="H26" s="13"/>
      <c r="I26" s="4"/>
      <c r="J26" s="13"/>
      <c r="K26" s="4"/>
      <c r="L26" s="111" t="s">
        <v>496</v>
      </c>
      <c r="M26" s="20"/>
      <c r="O26">
        <f t="shared" si="0"/>
        <v>2</v>
      </c>
      <c r="Q26">
        <f>COUNTIF($B$2:$B$105,Tabla3[[#This Row],[Profesor]])</f>
        <v>1</v>
      </c>
      <c r="T26" t="s">
        <v>158</v>
      </c>
      <c r="U26" t="s">
        <v>155</v>
      </c>
      <c r="V26" t="s">
        <v>155</v>
      </c>
      <c r="W26" t="s">
        <v>155</v>
      </c>
      <c r="X26" t="s">
        <v>22</v>
      </c>
      <c r="Y26" t="s">
        <v>155</v>
      </c>
      <c r="AC26" t="s">
        <v>158</v>
      </c>
      <c r="AD26" t="s">
        <v>155</v>
      </c>
      <c r="AE26" t="s">
        <v>155</v>
      </c>
      <c r="AF26" t="s">
        <v>155</v>
      </c>
      <c r="AG26" t="s">
        <v>22</v>
      </c>
      <c r="AH26" t="s">
        <v>155</v>
      </c>
    </row>
    <row r="27" spans="1:34" ht="16.2" customHeight="1" thickBot="1" x14ac:dyDescent="0.35">
      <c r="A27" s="15" t="s">
        <v>148</v>
      </c>
      <c r="B27" s="1" t="s">
        <v>526</v>
      </c>
      <c r="C27" s="1"/>
      <c r="D27" s="9" t="s">
        <v>529</v>
      </c>
      <c r="E27" s="14">
        <v>1</v>
      </c>
      <c r="F27" s="9" t="s">
        <v>656</v>
      </c>
      <c r="G27" s="14">
        <v>1</v>
      </c>
      <c r="H27" s="9"/>
      <c r="I27" s="4"/>
      <c r="J27" s="13"/>
      <c r="K27" s="4"/>
      <c r="L27" s="16"/>
      <c r="M27" s="20"/>
      <c r="O27">
        <f t="shared" si="0"/>
        <v>2</v>
      </c>
      <c r="Q27">
        <f>COUNTIF($B$2:$B$105,Tabla3[[#This Row],[Profesor]])</f>
        <v>1</v>
      </c>
      <c r="T27" t="s">
        <v>159</v>
      </c>
      <c r="U27" t="s">
        <v>155</v>
      </c>
      <c r="V27" t="s">
        <v>22</v>
      </c>
      <c r="W27" t="s">
        <v>155</v>
      </c>
      <c r="X27" t="s">
        <v>22</v>
      </c>
      <c r="Y27" t="s">
        <v>155</v>
      </c>
      <c r="AC27" t="s">
        <v>159</v>
      </c>
      <c r="AD27" t="s">
        <v>155</v>
      </c>
      <c r="AE27" t="s">
        <v>22</v>
      </c>
      <c r="AF27" t="s">
        <v>155</v>
      </c>
      <c r="AG27" t="s">
        <v>22</v>
      </c>
      <c r="AH27" t="s">
        <v>155</v>
      </c>
    </row>
    <row r="28" spans="1:34" ht="16.2" customHeight="1" thickBot="1" x14ac:dyDescent="0.35">
      <c r="A28" s="59" t="s">
        <v>374</v>
      </c>
      <c r="B28" s="1" t="s">
        <v>375</v>
      </c>
      <c r="C28" s="1"/>
      <c r="D28" s="9" t="s">
        <v>372</v>
      </c>
      <c r="E28" s="14">
        <v>1</v>
      </c>
      <c r="F28" s="9"/>
      <c r="G28" s="14"/>
      <c r="H28" s="9"/>
      <c r="I28" s="4"/>
      <c r="J28" s="9"/>
      <c r="K28" s="4"/>
      <c r="L28" s="16"/>
      <c r="M28" s="20"/>
      <c r="O28">
        <f t="shared" si="0"/>
        <v>1</v>
      </c>
      <c r="Q28">
        <f>COUNTIF($B$2:$B$105,Tabla3[[#This Row],[Profesor]])</f>
        <v>1</v>
      </c>
      <c r="T28" t="s">
        <v>160</v>
      </c>
      <c r="U28" t="s">
        <v>155</v>
      </c>
      <c r="V28" t="s">
        <v>22</v>
      </c>
      <c r="W28" t="s">
        <v>155</v>
      </c>
      <c r="X28" t="s">
        <v>155</v>
      </c>
      <c r="Y28" t="s">
        <v>155</v>
      </c>
      <c r="AC28" t="s">
        <v>160</v>
      </c>
      <c r="AD28" t="s">
        <v>155</v>
      </c>
      <c r="AE28" t="s">
        <v>22</v>
      </c>
      <c r="AF28" t="s">
        <v>155</v>
      </c>
      <c r="AG28" t="s">
        <v>22</v>
      </c>
      <c r="AH28" t="s">
        <v>155</v>
      </c>
    </row>
    <row r="29" spans="1:34" ht="16.2" customHeight="1" thickBot="1" x14ac:dyDescent="0.35">
      <c r="A29" s="15" t="s">
        <v>682</v>
      </c>
      <c r="B29" s="1" t="s">
        <v>676</v>
      </c>
      <c r="C29" s="1"/>
      <c r="D29" s="9" t="s">
        <v>761</v>
      </c>
      <c r="E29" s="14">
        <v>2</v>
      </c>
      <c r="F29" s="9"/>
      <c r="G29" s="14"/>
      <c r="H29" s="9"/>
      <c r="I29" s="4"/>
      <c r="J29" s="9"/>
      <c r="K29" s="4"/>
      <c r="L29" s="16"/>
      <c r="M29" s="20"/>
      <c r="O29">
        <f t="shared" si="0"/>
        <v>2</v>
      </c>
      <c r="Q29">
        <f>COUNTIF($B$2:$B$105,Tabla3[[#This Row],[Profesor]])</f>
        <v>1</v>
      </c>
      <c r="T29" t="s">
        <v>170</v>
      </c>
      <c r="U29" t="s">
        <v>155</v>
      </c>
      <c r="V29" t="s">
        <v>8</v>
      </c>
      <c r="W29" t="s">
        <v>155</v>
      </c>
      <c r="X29" t="s">
        <v>8</v>
      </c>
      <c r="Y29" t="s">
        <v>155</v>
      </c>
      <c r="AC29" t="s">
        <v>170</v>
      </c>
      <c r="AD29" t="s">
        <v>155</v>
      </c>
      <c r="AE29" t="s">
        <v>8</v>
      </c>
      <c r="AF29" t="s">
        <v>155</v>
      </c>
      <c r="AG29" t="s">
        <v>8</v>
      </c>
      <c r="AH29" t="s">
        <v>155</v>
      </c>
    </row>
    <row r="30" spans="1:34" ht="16.2" customHeight="1" thickBot="1" x14ac:dyDescent="0.35">
      <c r="A30" s="15" t="s">
        <v>337</v>
      </c>
      <c r="B30" s="1" t="s">
        <v>338</v>
      </c>
      <c r="C30" s="1"/>
      <c r="D30" s="9" t="s">
        <v>336</v>
      </c>
      <c r="E30" s="14">
        <v>1</v>
      </c>
      <c r="F30" s="9"/>
      <c r="G30" s="14"/>
      <c r="H30" s="9"/>
      <c r="I30" s="4"/>
      <c r="J30" s="9"/>
      <c r="K30" s="4"/>
      <c r="L30" s="16"/>
      <c r="M30" s="20"/>
      <c r="O30">
        <f t="shared" si="0"/>
        <v>1</v>
      </c>
      <c r="Q30">
        <f>COUNTIF($B$2:$B$105,Tabla3[[#This Row],[Profesor]])</f>
        <v>1</v>
      </c>
      <c r="T30" t="s">
        <v>171</v>
      </c>
      <c r="U30" t="s">
        <v>155</v>
      </c>
      <c r="V30" t="s">
        <v>155</v>
      </c>
      <c r="W30" t="s">
        <v>155</v>
      </c>
      <c r="X30" t="s">
        <v>8</v>
      </c>
      <c r="Y30" t="s">
        <v>155</v>
      </c>
      <c r="AC30" t="s">
        <v>171</v>
      </c>
      <c r="AD30" t="s">
        <v>155</v>
      </c>
      <c r="AE30" t="s">
        <v>155</v>
      </c>
      <c r="AF30" t="s">
        <v>155</v>
      </c>
      <c r="AG30" t="s">
        <v>8</v>
      </c>
      <c r="AH30" t="s">
        <v>155</v>
      </c>
    </row>
    <row r="31" spans="1:34" ht="16.2" customHeight="1" thickBot="1" x14ac:dyDescent="0.35">
      <c r="A31" s="15" t="s">
        <v>403</v>
      </c>
      <c r="B31" s="1" t="s">
        <v>404</v>
      </c>
      <c r="C31" s="1"/>
      <c r="D31" s="9" t="s">
        <v>402</v>
      </c>
      <c r="E31" s="14">
        <v>2</v>
      </c>
      <c r="F31" s="9"/>
      <c r="G31" s="14"/>
      <c r="H31" s="9"/>
      <c r="I31" s="4"/>
      <c r="J31" s="9"/>
      <c r="K31" s="4"/>
      <c r="L31" s="16"/>
      <c r="M31" s="20"/>
      <c r="O31">
        <f t="shared" si="0"/>
        <v>2</v>
      </c>
      <c r="Q31">
        <f>COUNTIF($B$2:$B$105,Tabla3[[#This Row],[Profesor]])</f>
        <v>1</v>
      </c>
      <c r="T31" t="s">
        <v>172</v>
      </c>
      <c r="U31" t="s">
        <v>155</v>
      </c>
      <c r="V31" t="s">
        <v>155</v>
      </c>
      <c r="W31" t="s">
        <v>155</v>
      </c>
      <c r="X31" t="s">
        <v>155</v>
      </c>
      <c r="Y31" t="s">
        <v>155</v>
      </c>
      <c r="AC31" t="s">
        <v>172</v>
      </c>
      <c r="AD31" t="s">
        <v>155</v>
      </c>
      <c r="AE31" t="s">
        <v>155</v>
      </c>
      <c r="AF31" t="s">
        <v>155</v>
      </c>
      <c r="AG31" t="s">
        <v>155</v>
      </c>
      <c r="AH31" t="s">
        <v>155</v>
      </c>
    </row>
    <row r="32" spans="1:34" ht="16.2" customHeight="1" thickBot="1" x14ac:dyDescent="0.35">
      <c r="A32" s="15" t="s">
        <v>518</v>
      </c>
      <c r="B32" s="1" t="s">
        <v>519</v>
      </c>
      <c r="C32" s="1"/>
      <c r="D32" s="9" t="s">
        <v>657</v>
      </c>
      <c r="E32" s="14">
        <v>1</v>
      </c>
      <c r="F32" s="9"/>
      <c r="G32" s="14"/>
      <c r="H32" s="9"/>
      <c r="I32" s="4"/>
      <c r="J32" s="9"/>
      <c r="K32" s="4"/>
      <c r="L32" s="16"/>
      <c r="M32" s="20"/>
      <c r="O32">
        <f t="shared" si="0"/>
        <v>1</v>
      </c>
      <c r="Q32">
        <f>COUNTIF($B$2:$B$105,Tabla3[[#This Row],[Profesor]])</f>
        <v>1</v>
      </c>
      <c r="T32" t="s">
        <v>154</v>
      </c>
      <c r="U32" t="s">
        <v>23</v>
      </c>
      <c r="V32" t="s">
        <v>155</v>
      </c>
      <c r="W32" t="s">
        <v>23</v>
      </c>
      <c r="X32" t="s">
        <v>155</v>
      </c>
      <c r="Y32" t="s">
        <v>155</v>
      </c>
      <c r="AC32" t="s">
        <v>154</v>
      </c>
      <c r="AD32" t="s">
        <v>75</v>
      </c>
      <c r="AE32" t="s">
        <v>155</v>
      </c>
      <c r="AF32" t="s">
        <v>155</v>
      </c>
      <c r="AG32" t="s">
        <v>155</v>
      </c>
      <c r="AH32" t="s">
        <v>75</v>
      </c>
    </row>
    <row r="33" spans="1:34" ht="16.2" customHeight="1" thickBot="1" x14ac:dyDescent="0.35">
      <c r="A33" s="15" t="s">
        <v>354</v>
      </c>
      <c r="B33" s="1" t="s">
        <v>355</v>
      </c>
      <c r="C33" s="1"/>
      <c r="D33" s="9" t="s">
        <v>257</v>
      </c>
      <c r="E33" s="14">
        <v>1</v>
      </c>
      <c r="F33" s="9"/>
      <c r="G33" s="14"/>
      <c r="H33" s="9"/>
      <c r="I33" s="4"/>
      <c r="J33" s="9"/>
      <c r="K33" s="4"/>
      <c r="L33" s="16"/>
      <c r="M33" s="20"/>
      <c r="O33">
        <f t="shared" si="0"/>
        <v>1</v>
      </c>
      <c r="Q33">
        <f>COUNTIF($B$2:$B$105,Tabla3[[#This Row],[Profesor]])</f>
        <v>1</v>
      </c>
      <c r="T33" t="s">
        <v>158</v>
      </c>
      <c r="U33" t="s">
        <v>155</v>
      </c>
      <c r="V33" t="s">
        <v>155</v>
      </c>
      <c r="W33" t="s">
        <v>75</v>
      </c>
      <c r="X33" t="s">
        <v>155</v>
      </c>
      <c r="Y33" t="s">
        <v>155</v>
      </c>
      <c r="AC33" t="s">
        <v>158</v>
      </c>
      <c r="AD33" t="s">
        <v>155</v>
      </c>
      <c r="AE33" t="s">
        <v>155</v>
      </c>
      <c r="AF33" t="s">
        <v>155</v>
      </c>
      <c r="AG33" t="s">
        <v>155</v>
      </c>
      <c r="AH33" t="s">
        <v>155</v>
      </c>
    </row>
    <row r="34" spans="1:34" ht="16.2" customHeight="1" thickBot="1" x14ac:dyDescent="0.35">
      <c r="A34" s="15" t="s">
        <v>112</v>
      </c>
      <c r="B34" s="1" t="s">
        <v>42</v>
      </c>
      <c r="C34" s="1"/>
      <c r="D34" s="13" t="s">
        <v>331</v>
      </c>
      <c r="E34" s="14">
        <v>1</v>
      </c>
      <c r="F34" s="13" t="s">
        <v>373</v>
      </c>
      <c r="G34" s="14">
        <v>1</v>
      </c>
      <c r="H34" s="13"/>
      <c r="I34" s="14"/>
      <c r="J34" s="13"/>
      <c r="K34" s="4"/>
      <c r="L34" s="16"/>
      <c r="M34" s="110" t="s">
        <v>568</v>
      </c>
      <c r="O34">
        <f t="shared" si="0"/>
        <v>2</v>
      </c>
      <c r="Q34">
        <f>COUNTIF($B$2:$B$105,Tabla3[[#This Row],[Profesor]])</f>
        <v>1</v>
      </c>
      <c r="T34" t="s">
        <v>159</v>
      </c>
      <c r="U34" t="s">
        <v>75</v>
      </c>
      <c r="V34" t="s">
        <v>155</v>
      </c>
      <c r="W34" t="s">
        <v>23</v>
      </c>
      <c r="X34" t="s">
        <v>155</v>
      </c>
      <c r="Y34" t="s">
        <v>155</v>
      </c>
      <c r="AC34" t="s">
        <v>159</v>
      </c>
      <c r="AD34" t="s">
        <v>23</v>
      </c>
      <c r="AE34" t="s">
        <v>155</v>
      </c>
      <c r="AF34" t="s">
        <v>23</v>
      </c>
      <c r="AG34" t="s">
        <v>155</v>
      </c>
      <c r="AH34" t="s">
        <v>155</v>
      </c>
    </row>
    <row r="35" spans="1:34" ht="16.2" customHeight="1" thickBot="1" x14ac:dyDescent="0.35">
      <c r="A35" s="15" t="s">
        <v>384</v>
      </c>
      <c r="B35" s="1" t="s">
        <v>385</v>
      </c>
      <c r="C35" s="1"/>
      <c r="D35" s="9" t="s">
        <v>383</v>
      </c>
      <c r="E35" s="14">
        <v>1</v>
      </c>
      <c r="F35" s="9"/>
      <c r="G35" s="14"/>
      <c r="H35" s="9"/>
      <c r="I35" s="4"/>
      <c r="J35" s="9"/>
      <c r="K35" s="4"/>
      <c r="L35" s="16"/>
      <c r="M35" s="20"/>
      <c r="O35">
        <f t="shared" si="0"/>
        <v>1</v>
      </c>
      <c r="Q35">
        <f>COUNTIF($B$2:$B$105,Tabla3[[#This Row],[Profesor]])</f>
        <v>1</v>
      </c>
      <c r="T35" t="s">
        <v>160</v>
      </c>
      <c r="U35" t="s">
        <v>75</v>
      </c>
      <c r="V35" t="s">
        <v>155</v>
      </c>
      <c r="W35" t="s">
        <v>23</v>
      </c>
      <c r="X35" t="s">
        <v>155</v>
      </c>
      <c r="Y35" t="s">
        <v>155</v>
      </c>
      <c r="AC35" t="s">
        <v>160</v>
      </c>
      <c r="AD35" t="s">
        <v>23</v>
      </c>
      <c r="AE35" t="s">
        <v>155</v>
      </c>
      <c r="AF35" t="s">
        <v>23</v>
      </c>
      <c r="AG35" t="s">
        <v>155</v>
      </c>
      <c r="AH35" t="s">
        <v>155</v>
      </c>
    </row>
    <row r="36" spans="1:34" ht="16.2" customHeight="1" thickBot="1" x14ac:dyDescent="0.35">
      <c r="A36" s="15" t="s">
        <v>104</v>
      </c>
      <c r="B36" s="1" t="s">
        <v>13</v>
      </c>
      <c r="C36" s="1"/>
      <c r="D36" s="13" t="s">
        <v>8</v>
      </c>
      <c r="E36" s="14">
        <v>1</v>
      </c>
      <c r="F36" s="13" t="s">
        <v>22</v>
      </c>
      <c r="G36" s="14">
        <v>1</v>
      </c>
      <c r="H36" s="13" t="s">
        <v>23</v>
      </c>
      <c r="I36" s="14">
        <v>1</v>
      </c>
      <c r="J36" s="13"/>
      <c r="K36" s="4"/>
      <c r="L36" s="16"/>
      <c r="M36" s="20"/>
      <c r="O36">
        <f t="shared" si="0"/>
        <v>3</v>
      </c>
      <c r="Q36">
        <f>COUNTIF($B$2:$B$105,Tabla3[[#This Row],[Profesor]])</f>
        <v>1</v>
      </c>
      <c r="T36" t="s">
        <v>169</v>
      </c>
      <c r="U36" t="s">
        <v>155</v>
      </c>
      <c r="V36" t="s">
        <v>155</v>
      </c>
      <c r="W36" t="s">
        <v>155</v>
      </c>
      <c r="X36" t="s">
        <v>155</v>
      </c>
      <c r="Y36" t="s">
        <v>155</v>
      </c>
      <c r="AC36" t="s">
        <v>169</v>
      </c>
      <c r="AD36" t="s">
        <v>155</v>
      </c>
      <c r="AE36" t="s">
        <v>155</v>
      </c>
      <c r="AF36" t="s">
        <v>155</v>
      </c>
      <c r="AG36" t="s">
        <v>155</v>
      </c>
      <c r="AH36" t="s">
        <v>155</v>
      </c>
    </row>
    <row r="37" spans="1:34" ht="16.2" customHeight="1" thickBot="1" x14ac:dyDescent="0.35">
      <c r="A37" s="59" t="s">
        <v>686</v>
      </c>
      <c r="B37" s="1" t="s">
        <v>687</v>
      </c>
      <c r="C37" s="1"/>
      <c r="D37" s="9" t="s">
        <v>458</v>
      </c>
      <c r="E37" s="14">
        <v>1</v>
      </c>
      <c r="F37" s="9"/>
      <c r="G37" s="14"/>
      <c r="H37" s="9"/>
      <c r="I37" s="4"/>
      <c r="J37" s="9"/>
      <c r="K37" s="4"/>
      <c r="L37" s="16"/>
      <c r="M37" s="20"/>
      <c r="O37">
        <f t="shared" si="0"/>
        <v>1</v>
      </c>
      <c r="Q37">
        <f>COUNTIF($B$2:$B$105,Tabla3[[#This Row],[Profesor]])</f>
        <v>1</v>
      </c>
      <c r="T37" t="s">
        <v>171</v>
      </c>
      <c r="U37" t="s">
        <v>155</v>
      </c>
      <c r="V37" t="s">
        <v>155</v>
      </c>
      <c r="W37" t="s">
        <v>155</v>
      </c>
      <c r="X37" t="s">
        <v>155</v>
      </c>
      <c r="Y37" t="s">
        <v>155</v>
      </c>
      <c r="AC37" t="s">
        <v>171</v>
      </c>
      <c r="AD37" t="s">
        <v>155</v>
      </c>
      <c r="AE37" t="s">
        <v>155</v>
      </c>
      <c r="AF37" t="s">
        <v>155</v>
      </c>
      <c r="AG37" t="s">
        <v>155</v>
      </c>
      <c r="AH37" t="s">
        <v>155</v>
      </c>
    </row>
    <row r="38" spans="1:34" ht="16.2" customHeight="1" thickBot="1" x14ac:dyDescent="0.35">
      <c r="A38" s="15" t="s">
        <v>368</v>
      </c>
      <c r="B38" s="1" t="s">
        <v>369</v>
      </c>
      <c r="C38" s="1"/>
      <c r="D38" s="9" t="s">
        <v>367</v>
      </c>
      <c r="E38" s="14">
        <v>1</v>
      </c>
      <c r="F38" s="9"/>
      <c r="G38" s="14"/>
      <c r="H38" s="9"/>
      <c r="I38" s="4"/>
      <c r="J38" s="9"/>
      <c r="K38" s="4"/>
      <c r="L38" s="16"/>
      <c r="M38" s="20"/>
      <c r="O38">
        <f t="shared" si="0"/>
        <v>1</v>
      </c>
      <c r="Q38">
        <f>COUNTIF($B$2:$B$105,Tabla3[[#This Row],[Profesor]])</f>
        <v>1</v>
      </c>
      <c r="T38" t="s">
        <v>172</v>
      </c>
      <c r="U38" t="s">
        <v>155</v>
      </c>
      <c r="V38" t="s">
        <v>155</v>
      </c>
      <c r="W38" t="s">
        <v>155</v>
      </c>
      <c r="X38" t="s">
        <v>155</v>
      </c>
      <c r="Y38" t="s">
        <v>155</v>
      </c>
      <c r="AC38" t="s">
        <v>172</v>
      </c>
      <c r="AD38" t="s">
        <v>155</v>
      </c>
      <c r="AE38" t="s">
        <v>155</v>
      </c>
      <c r="AF38" t="s">
        <v>155</v>
      </c>
      <c r="AG38" t="s">
        <v>155</v>
      </c>
      <c r="AH38" t="s">
        <v>155</v>
      </c>
    </row>
    <row r="39" spans="1:34" ht="16.2" customHeight="1" thickBot="1" x14ac:dyDescent="0.35">
      <c r="A39" s="15" t="s">
        <v>484</v>
      </c>
      <c r="B39" s="1" t="s">
        <v>485</v>
      </c>
      <c r="C39" s="1"/>
      <c r="D39" s="9" t="s">
        <v>407</v>
      </c>
      <c r="E39" s="14">
        <v>1</v>
      </c>
      <c r="F39" s="9"/>
      <c r="G39" s="14"/>
      <c r="H39" s="9"/>
      <c r="I39" s="4"/>
      <c r="J39" s="9"/>
      <c r="K39" s="4"/>
      <c r="L39" s="16"/>
      <c r="M39" s="20"/>
      <c r="O39">
        <f t="shared" si="0"/>
        <v>1</v>
      </c>
      <c r="Q39">
        <f>COUNTIF($B$2:$B$105,Tabla3[[#This Row],[Profesor]])</f>
        <v>1</v>
      </c>
    </row>
    <row r="40" spans="1:34" ht="16.2" customHeight="1" thickBot="1" x14ac:dyDescent="0.35">
      <c r="A40" s="15" t="s">
        <v>659</v>
      </c>
      <c r="B40" s="1" t="s">
        <v>660</v>
      </c>
      <c r="C40" s="1"/>
      <c r="D40" s="9" t="s">
        <v>661</v>
      </c>
      <c r="E40" s="14">
        <v>1</v>
      </c>
      <c r="F40" s="9"/>
      <c r="G40" s="14"/>
      <c r="H40" s="9"/>
      <c r="I40" s="4"/>
      <c r="J40" s="9"/>
      <c r="K40" s="4"/>
      <c r="L40" s="16"/>
      <c r="M40" s="20"/>
      <c r="O40">
        <f t="shared" si="0"/>
        <v>1</v>
      </c>
      <c r="Q40">
        <f>COUNTIF($B$2:$B$105,Tabla3[[#This Row],[Profesor]])</f>
        <v>1</v>
      </c>
    </row>
    <row r="41" spans="1:34" ht="16.2" customHeight="1" thickBot="1" x14ac:dyDescent="0.35">
      <c r="A41" s="15" t="s">
        <v>474</v>
      </c>
      <c r="B41" s="1" t="s">
        <v>475</v>
      </c>
      <c r="C41" s="1"/>
      <c r="D41" s="9" t="s">
        <v>460</v>
      </c>
      <c r="E41" s="14">
        <v>1</v>
      </c>
      <c r="F41" s="9"/>
      <c r="G41" s="14"/>
      <c r="H41" s="9"/>
      <c r="I41" s="4"/>
      <c r="J41" s="9"/>
      <c r="K41" s="4"/>
      <c r="L41" s="16"/>
      <c r="M41" s="20"/>
      <c r="O41">
        <f t="shared" si="0"/>
        <v>1</v>
      </c>
      <c r="Q41">
        <f>COUNTIF($B$2:$B$105,Tabla3[[#This Row],[Profesor]])</f>
        <v>1</v>
      </c>
    </row>
    <row r="42" spans="1:34" ht="16.2" customHeight="1" thickBot="1" x14ac:dyDescent="0.35">
      <c r="A42" s="15" t="s">
        <v>378</v>
      </c>
      <c r="B42" s="1" t="s">
        <v>379</v>
      </c>
      <c r="C42" s="1"/>
      <c r="D42" s="9" t="s">
        <v>377</v>
      </c>
      <c r="E42" s="14">
        <v>1</v>
      </c>
      <c r="F42" s="9"/>
      <c r="G42" s="14"/>
      <c r="H42" s="9"/>
      <c r="I42" s="4"/>
      <c r="J42" s="9"/>
      <c r="K42" s="4"/>
      <c r="L42" s="16"/>
      <c r="M42" s="20"/>
      <c r="O42">
        <f t="shared" si="0"/>
        <v>1</v>
      </c>
      <c r="Q42">
        <f>COUNTIF($B$2:$B$105,Tabla3[[#This Row],[Profesor]])</f>
        <v>1</v>
      </c>
    </row>
    <row r="43" spans="1:34" ht="16.2" customHeight="1" thickBot="1" x14ac:dyDescent="0.35">
      <c r="A43" s="15" t="s">
        <v>122</v>
      </c>
      <c r="B43" s="1" t="s">
        <v>74</v>
      </c>
      <c r="C43" s="1"/>
      <c r="D43" s="13" t="s">
        <v>79</v>
      </c>
      <c r="E43" s="14">
        <v>1</v>
      </c>
      <c r="F43" s="13" t="s">
        <v>382</v>
      </c>
      <c r="G43" s="14">
        <v>1</v>
      </c>
      <c r="H43" s="13"/>
      <c r="I43" s="14"/>
      <c r="J43" s="13"/>
      <c r="K43" s="4"/>
      <c r="L43" s="16"/>
      <c r="M43" s="20"/>
      <c r="N43" t="s">
        <v>688</v>
      </c>
      <c r="O43">
        <f t="shared" si="0"/>
        <v>2</v>
      </c>
      <c r="Q43">
        <f>COUNTIF($B$2:$B$105,Tabla3[[#This Row],[Profesor]])</f>
        <v>1</v>
      </c>
    </row>
    <row r="44" spans="1:34" ht="16.2" customHeight="1" thickBot="1" x14ac:dyDescent="0.35">
      <c r="A44" s="15" t="s">
        <v>340</v>
      </c>
      <c r="B44" s="1" t="s">
        <v>341</v>
      </c>
      <c r="C44" s="1"/>
      <c r="D44" s="9" t="s">
        <v>339</v>
      </c>
      <c r="E44" s="100">
        <v>5</v>
      </c>
      <c r="F44" s="9"/>
      <c r="G44" s="14"/>
      <c r="H44" s="9"/>
      <c r="I44" s="4"/>
      <c r="J44" s="9"/>
      <c r="K44" s="4"/>
      <c r="L44" s="112" t="s">
        <v>982</v>
      </c>
      <c r="M44" s="70" t="s">
        <v>981</v>
      </c>
      <c r="O44">
        <f t="shared" si="0"/>
        <v>5</v>
      </c>
      <c r="Q44">
        <f>COUNTIF($B$2:$B$105,Tabla3[[#This Row],[Profesor]])</f>
        <v>1</v>
      </c>
    </row>
    <row r="45" spans="1:34" ht="16.2" customHeight="1" thickBot="1" x14ac:dyDescent="0.35">
      <c r="A45" s="15" t="s">
        <v>380</v>
      </c>
      <c r="B45" s="1" t="s">
        <v>381</v>
      </c>
      <c r="C45" s="1"/>
      <c r="D45" s="9" t="s">
        <v>377</v>
      </c>
      <c r="E45" s="14">
        <v>1</v>
      </c>
      <c r="F45" s="9"/>
      <c r="G45" s="14"/>
      <c r="H45" s="9"/>
      <c r="I45" s="4"/>
      <c r="J45" s="9"/>
      <c r="K45" s="4"/>
      <c r="L45" s="16"/>
      <c r="M45" s="110" t="s">
        <v>499</v>
      </c>
      <c r="O45">
        <f t="shared" si="0"/>
        <v>1</v>
      </c>
      <c r="Q45">
        <f>COUNTIF($B$2:$B$105,Tabla3[[#This Row],[Profesor]])</f>
        <v>1</v>
      </c>
    </row>
    <row r="46" spans="1:34" ht="16.2" customHeight="1" thickBot="1" x14ac:dyDescent="0.35">
      <c r="A46" s="15" t="s">
        <v>652</v>
      </c>
      <c r="B46" s="1" t="s">
        <v>653</v>
      </c>
      <c r="C46" s="1"/>
      <c r="D46" s="9" t="s">
        <v>462</v>
      </c>
      <c r="E46" s="14">
        <v>1</v>
      </c>
      <c r="F46" s="9"/>
      <c r="G46" s="14"/>
      <c r="H46" s="9"/>
      <c r="I46" s="4"/>
      <c r="J46" s="9"/>
      <c r="K46" s="4"/>
      <c r="L46" s="16"/>
      <c r="M46" s="20"/>
      <c r="O46">
        <f t="shared" si="0"/>
        <v>1</v>
      </c>
      <c r="Q46">
        <f>COUNTIF($B$2:$B$105,Tabla3[[#This Row],[Profesor]])</f>
        <v>1</v>
      </c>
    </row>
    <row r="47" spans="1:34" ht="16.2" customHeight="1" thickBot="1" x14ac:dyDescent="0.35">
      <c r="A47" s="15" t="s">
        <v>490</v>
      </c>
      <c r="B47" s="93" t="s">
        <v>491</v>
      </c>
      <c r="C47" s="1"/>
      <c r="D47" s="9" t="s">
        <v>274</v>
      </c>
      <c r="E47" s="14">
        <v>1</v>
      </c>
      <c r="F47" s="9" t="s">
        <v>260</v>
      </c>
      <c r="G47" s="100">
        <v>3</v>
      </c>
      <c r="H47" s="9"/>
      <c r="I47" s="4"/>
      <c r="J47" s="9"/>
      <c r="K47" s="4"/>
      <c r="L47" s="16"/>
      <c r="M47" s="20"/>
      <c r="O47">
        <f t="shared" ref="O47:O52" si="1">E47+G47+I47+K47</f>
        <v>4</v>
      </c>
      <c r="Q47">
        <f>COUNTIF($B$2:$B$105,Tabla3[[#This Row],[Profesor]])</f>
        <v>1</v>
      </c>
    </row>
    <row r="48" spans="1:34" ht="16.2" customHeight="1" thickBot="1" x14ac:dyDescent="0.35">
      <c r="A48" s="15" t="s">
        <v>493</v>
      </c>
      <c r="B48" s="93" t="s">
        <v>492</v>
      </c>
      <c r="C48" s="1"/>
      <c r="D48" s="9" t="s">
        <v>274</v>
      </c>
      <c r="E48" s="14">
        <v>3</v>
      </c>
      <c r="F48" s="9" t="s">
        <v>259</v>
      </c>
      <c r="G48" s="14">
        <v>1</v>
      </c>
      <c r="H48" s="9"/>
      <c r="I48" s="4"/>
      <c r="J48" s="9"/>
      <c r="K48" s="4"/>
      <c r="L48" s="16"/>
      <c r="M48" s="20"/>
      <c r="O48">
        <f t="shared" si="1"/>
        <v>4</v>
      </c>
      <c r="Q48">
        <f>COUNTIF($B$2:$B$105,Tabla3[[#This Row],[Profesor]])</f>
        <v>1</v>
      </c>
    </row>
    <row r="49" spans="1:17" ht="16.2" customHeight="1" thickBot="1" x14ac:dyDescent="0.35">
      <c r="A49" s="15" t="s">
        <v>502</v>
      </c>
      <c r="B49" s="93" t="s">
        <v>503</v>
      </c>
      <c r="C49" s="1"/>
      <c r="D49" s="9" t="s">
        <v>260</v>
      </c>
      <c r="E49" s="100">
        <v>1</v>
      </c>
      <c r="F49" s="9"/>
      <c r="G49" s="14"/>
      <c r="H49" s="9"/>
      <c r="I49" s="4"/>
      <c r="J49" s="9"/>
      <c r="K49" s="4"/>
      <c r="L49" s="16"/>
      <c r="M49" s="110" t="s">
        <v>760</v>
      </c>
      <c r="O49">
        <f t="shared" si="1"/>
        <v>1</v>
      </c>
      <c r="Q49">
        <f>COUNTIF($B$2:$B$105,Tabla3[[#This Row],[Profesor]])</f>
        <v>1</v>
      </c>
    </row>
    <row r="50" spans="1:17" ht="16.2" customHeight="1" thickBot="1" x14ac:dyDescent="0.35">
      <c r="A50" s="15" t="s">
        <v>177</v>
      </c>
      <c r="B50" s="1" t="s">
        <v>178</v>
      </c>
      <c r="C50" s="1"/>
      <c r="D50" s="9" t="s">
        <v>77</v>
      </c>
      <c r="E50" s="14">
        <v>1</v>
      </c>
      <c r="F50" s="9"/>
      <c r="G50" s="14"/>
      <c r="H50" s="9"/>
      <c r="I50" s="4"/>
      <c r="J50" s="9"/>
      <c r="K50" s="4"/>
      <c r="L50" s="16"/>
      <c r="M50" s="20"/>
      <c r="O50">
        <f t="shared" si="1"/>
        <v>1</v>
      </c>
      <c r="Q50">
        <f>COUNTIF($B$2:$B$105,Tabla3[[#This Row],[Profesor]])</f>
        <v>1</v>
      </c>
    </row>
    <row r="51" spans="1:17" ht="16.2" customHeight="1" thickBot="1" x14ac:dyDescent="0.35">
      <c r="A51" s="15" t="s">
        <v>426</v>
      </c>
      <c r="B51" s="1" t="s">
        <v>19</v>
      </c>
      <c r="C51" s="1"/>
      <c r="D51" s="13" t="s">
        <v>8</v>
      </c>
      <c r="E51" s="14">
        <v>1</v>
      </c>
      <c r="F51" s="13" t="s">
        <v>322</v>
      </c>
      <c r="G51" s="14">
        <v>1</v>
      </c>
      <c r="H51" s="13"/>
      <c r="I51" s="4"/>
      <c r="J51" s="13"/>
      <c r="K51" s="4"/>
      <c r="L51" s="16"/>
      <c r="M51" s="20"/>
      <c r="O51">
        <f t="shared" si="1"/>
        <v>2</v>
      </c>
      <c r="Q51">
        <f>COUNTIF($B$2:$B$105,Tabla3[[#This Row],[Profesor]])</f>
        <v>1</v>
      </c>
    </row>
    <row r="52" spans="1:17" ht="16.2" customHeight="1" thickBot="1" x14ac:dyDescent="0.35">
      <c r="A52" s="15" t="s">
        <v>427</v>
      </c>
      <c r="B52" s="1" t="s">
        <v>67</v>
      </c>
      <c r="C52" s="1"/>
      <c r="D52" s="9" t="s">
        <v>280</v>
      </c>
      <c r="E52" s="14">
        <v>1</v>
      </c>
      <c r="F52" s="9" t="s">
        <v>383</v>
      </c>
      <c r="G52" s="14">
        <v>1</v>
      </c>
      <c r="H52" s="9"/>
      <c r="I52" s="4"/>
      <c r="J52" s="9"/>
      <c r="K52" s="4"/>
      <c r="L52" s="16"/>
      <c r="M52" s="20"/>
      <c r="O52">
        <f t="shared" si="1"/>
        <v>2</v>
      </c>
      <c r="Q52">
        <f>COUNTIF($B$2:$B$105,Tabla3[[#This Row],[Profesor]])</f>
        <v>1</v>
      </c>
    </row>
    <row r="53" spans="1:17" ht="16.2" customHeight="1" thickBot="1" x14ac:dyDescent="0.35">
      <c r="A53" s="15" t="s">
        <v>428</v>
      </c>
      <c r="B53" s="1" t="s">
        <v>12</v>
      </c>
      <c r="C53" s="1"/>
      <c r="D53" s="13" t="s">
        <v>7</v>
      </c>
      <c r="E53" s="14">
        <v>4</v>
      </c>
      <c r="F53" s="13"/>
      <c r="G53" s="14"/>
      <c r="H53" s="13"/>
      <c r="I53" s="14"/>
      <c r="J53" s="13"/>
      <c r="K53" s="4"/>
      <c r="L53" s="112" t="s">
        <v>980</v>
      </c>
      <c r="M53" s="20"/>
      <c r="O53">
        <f t="shared" si="0"/>
        <v>4</v>
      </c>
      <c r="Q53">
        <f>COUNTIF($B$2:$B$105,Tabla3[[#This Row],[Profesor]])</f>
        <v>1</v>
      </c>
    </row>
    <row r="54" spans="1:17" ht="16.2" customHeight="1" thickBot="1" x14ac:dyDescent="0.35">
      <c r="A54" s="15" t="s">
        <v>134</v>
      </c>
      <c r="B54" s="1" t="s">
        <v>514</v>
      </c>
      <c r="C54" s="1"/>
      <c r="D54" s="9" t="s">
        <v>90</v>
      </c>
      <c r="E54" s="14">
        <v>1</v>
      </c>
      <c r="F54" s="9"/>
      <c r="G54" s="14"/>
      <c r="H54" s="9"/>
      <c r="I54" s="4"/>
      <c r="J54" s="9"/>
      <c r="K54" s="4"/>
      <c r="L54" s="16"/>
      <c r="M54" s="20"/>
      <c r="O54">
        <f t="shared" si="0"/>
        <v>1</v>
      </c>
      <c r="Q54">
        <f>COUNTIF($B$2:$B$105,Tabla3[[#This Row],[Profesor]])</f>
        <v>1</v>
      </c>
    </row>
    <row r="55" spans="1:17" ht="16.2" customHeight="1" thickBot="1" x14ac:dyDescent="0.35">
      <c r="A55" s="15" t="s">
        <v>437</v>
      </c>
      <c r="B55" s="1" t="s">
        <v>438</v>
      </c>
      <c r="C55" s="1"/>
      <c r="D55" s="9" t="s">
        <v>269</v>
      </c>
      <c r="E55" s="14">
        <v>1</v>
      </c>
      <c r="F55" s="9"/>
      <c r="G55" s="14"/>
      <c r="H55" s="9"/>
      <c r="I55" s="4"/>
      <c r="J55" s="9"/>
      <c r="K55" s="4"/>
      <c r="L55" s="16"/>
      <c r="M55" s="20"/>
      <c r="O55">
        <f t="shared" si="0"/>
        <v>1</v>
      </c>
      <c r="Q55">
        <f>COUNTIF($B$2:$B$105,Tabla3[[#This Row],[Profesor]])</f>
        <v>1</v>
      </c>
    </row>
    <row r="56" spans="1:17" ht="16.2" customHeight="1" thickBot="1" x14ac:dyDescent="0.35">
      <c r="A56" s="15" t="s">
        <v>118</v>
      </c>
      <c r="B56" s="1" t="s">
        <v>25</v>
      </c>
      <c r="C56" s="1"/>
      <c r="D56" s="13" t="s">
        <v>20</v>
      </c>
      <c r="E56" s="14">
        <v>1</v>
      </c>
      <c r="F56" s="13" t="s">
        <v>21</v>
      </c>
      <c r="G56" s="14">
        <v>1</v>
      </c>
      <c r="H56" s="13" t="s">
        <v>345</v>
      </c>
      <c r="I56" s="14">
        <v>1</v>
      </c>
      <c r="J56" s="13" t="s">
        <v>346</v>
      </c>
      <c r="K56" s="14">
        <v>2</v>
      </c>
      <c r="L56" s="132" t="s">
        <v>494</v>
      </c>
      <c r="M56" s="20" t="s">
        <v>495</v>
      </c>
      <c r="O56">
        <f t="shared" si="0"/>
        <v>5</v>
      </c>
      <c r="Q56">
        <f>COUNTIF($B$2:$B$105,Tabla3[[#This Row],[Profesor]])</f>
        <v>1</v>
      </c>
    </row>
    <row r="57" spans="1:17" ht="16.2" customHeight="1" thickBot="1" x14ac:dyDescent="0.35">
      <c r="A57" s="15" t="s">
        <v>267</v>
      </c>
      <c r="B57" s="1" t="s">
        <v>268</v>
      </c>
      <c r="C57" s="1"/>
      <c r="D57" s="9" t="s">
        <v>266</v>
      </c>
      <c r="E57" s="14">
        <v>3</v>
      </c>
      <c r="F57" s="9"/>
      <c r="G57" s="14"/>
      <c r="H57" s="9"/>
      <c r="I57" s="4"/>
      <c r="J57" s="9"/>
      <c r="K57" s="4"/>
      <c r="L57" s="16"/>
      <c r="M57" s="110" t="s">
        <v>517</v>
      </c>
      <c r="O57">
        <f t="shared" si="0"/>
        <v>3</v>
      </c>
      <c r="Q57">
        <f>COUNTIF($B$2:$B$105,Tabla3[[#This Row],[Profesor]])</f>
        <v>1</v>
      </c>
    </row>
    <row r="58" spans="1:17" ht="16.2" customHeight="1" thickBot="1" x14ac:dyDescent="0.35">
      <c r="A58" s="15" t="s">
        <v>468</v>
      </c>
      <c r="B58" s="1" t="s">
        <v>469</v>
      </c>
      <c r="C58" s="1"/>
      <c r="D58" s="9" t="s">
        <v>458</v>
      </c>
      <c r="E58" s="14">
        <v>1</v>
      </c>
      <c r="F58" s="9" t="s">
        <v>392</v>
      </c>
      <c r="G58" s="14">
        <v>1</v>
      </c>
      <c r="H58" s="9"/>
      <c r="I58" s="4"/>
      <c r="J58" s="9"/>
      <c r="K58" s="4"/>
      <c r="L58" s="16"/>
      <c r="M58" s="20"/>
      <c r="O58">
        <f t="shared" si="0"/>
        <v>2</v>
      </c>
      <c r="Q58">
        <f>COUNTIF($B$2:$B$105,Tabla3[[#This Row],[Profesor]])</f>
        <v>1</v>
      </c>
    </row>
    <row r="59" spans="1:17" ht="16.2" customHeight="1" thickBot="1" x14ac:dyDescent="0.35">
      <c r="A59" s="15" t="s">
        <v>476</v>
      </c>
      <c r="B59" s="1" t="s">
        <v>477</v>
      </c>
      <c r="C59" s="1"/>
      <c r="D59" s="9" t="s">
        <v>461</v>
      </c>
      <c r="E59" s="14">
        <v>1</v>
      </c>
      <c r="F59" s="9"/>
      <c r="G59" s="14"/>
      <c r="H59" s="9"/>
      <c r="I59" s="4"/>
      <c r="J59" s="9"/>
      <c r="K59" s="4"/>
      <c r="L59" s="16"/>
      <c r="M59" s="20"/>
      <c r="O59">
        <f t="shared" si="0"/>
        <v>1</v>
      </c>
      <c r="Q59">
        <f>COUNTIF($B$2:$B$105,Tabla3[[#This Row],[Profesor]])</f>
        <v>1</v>
      </c>
    </row>
    <row r="60" spans="1:17" ht="16.2" customHeight="1" thickBot="1" x14ac:dyDescent="0.35">
      <c r="A60" s="15" t="s">
        <v>145</v>
      </c>
      <c r="B60" s="1" t="s">
        <v>70</v>
      </c>
      <c r="C60" s="1"/>
      <c r="D60" s="9" t="s">
        <v>391</v>
      </c>
      <c r="E60" s="14">
        <v>1</v>
      </c>
      <c r="F60" s="9" t="s">
        <v>664</v>
      </c>
      <c r="G60" s="14">
        <v>1</v>
      </c>
      <c r="H60" s="9"/>
      <c r="I60" s="4"/>
      <c r="J60" s="9"/>
      <c r="K60" s="4"/>
      <c r="L60" s="16"/>
      <c r="M60" s="20"/>
      <c r="O60">
        <f t="shared" si="0"/>
        <v>2</v>
      </c>
      <c r="Q60">
        <f>COUNTIF($B$2:$B$105,Tabla3[[#This Row],[Profesor]])</f>
        <v>1</v>
      </c>
    </row>
    <row r="61" spans="1:17" ht="16.2" customHeight="1" thickBot="1" x14ac:dyDescent="0.35">
      <c r="A61" s="15" t="s">
        <v>135</v>
      </c>
      <c r="B61" s="1" t="s">
        <v>66</v>
      </c>
      <c r="C61" s="1"/>
      <c r="D61" s="9" t="s">
        <v>91</v>
      </c>
      <c r="E61" s="14">
        <v>1</v>
      </c>
      <c r="F61" s="9"/>
      <c r="G61" s="14"/>
      <c r="H61" s="9"/>
      <c r="I61" s="4"/>
      <c r="J61" s="9"/>
      <c r="K61" s="4"/>
      <c r="L61" s="16"/>
      <c r="M61" s="20"/>
      <c r="O61">
        <f t="shared" si="0"/>
        <v>1</v>
      </c>
      <c r="Q61">
        <f>COUNTIF($B$2:$B$105,Tabla3[[#This Row],[Profesor]])</f>
        <v>1</v>
      </c>
    </row>
    <row r="62" spans="1:17" ht="16.2" customHeight="1" thickBot="1" x14ac:dyDescent="0.35">
      <c r="A62" s="59" t="s">
        <v>111</v>
      </c>
      <c r="B62" s="1" t="s">
        <v>26</v>
      </c>
      <c r="C62" s="1"/>
      <c r="D62" s="13" t="s">
        <v>332</v>
      </c>
      <c r="E62" s="14">
        <v>1</v>
      </c>
      <c r="F62" s="13" t="s">
        <v>24</v>
      </c>
      <c r="G62" s="14">
        <v>1</v>
      </c>
      <c r="H62" s="13"/>
      <c r="I62" s="14"/>
      <c r="J62" s="13"/>
      <c r="K62" s="4"/>
      <c r="L62" s="16"/>
      <c r="M62" s="20"/>
      <c r="O62">
        <f t="shared" si="0"/>
        <v>2</v>
      </c>
      <c r="Q62">
        <f>COUNTIF($B$2:$B$105,Tabla3[[#This Row],[Profesor]])</f>
        <v>1</v>
      </c>
    </row>
    <row r="63" spans="1:17" ht="16.2" customHeight="1" thickBot="1" x14ac:dyDescent="0.35">
      <c r="A63" s="15" t="s">
        <v>482</v>
      </c>
      <c r="B63" s="1" t="s">
        <v>483</v>
      </c>
      <c r="C63" s="1"/>
      <c r="D63" s="9" t="s">
        <v>464</v>
      </c>
      <c r="E63" s="14">
        <v>1</v>
      </c>
      <c r="F63" s="9"/>
      <c r="G63" s="14"/>
      <c r="H63" s="9"/>
      <c r="I63" s="4"/>
      <c r="J63" s="9"/>
      <c r="K63" s="4"/>
      <c r="L63" s="16"/>
      <c r="M63" s="20"/>
      <c r="O63">
        <f t="shared" si="0"/>
        <v>1</v>
      </c>
      <c r="Q63">
        <f>COUNTIF($B$2:$B$105,Tabla3[[#This Row],[Profesor]])</f>
        <v>1</v>
      </c>
    </row>
    <row r="64" spans="1:17" ht="16.2" customHeight="1" thickBot="1" x14ac:dyDescent="0.35">
      <c r="A64" s="15" t="s">
        <v>247</v>
      </c>
      <c r="B64" s="1" t="s">
        <v>248</v>
      </c>
      <c r="C64" s="1"/>
      <c r="D64" s="9" t="s">
        <v>243</v>
      </c>
      <c r="E64" s="14">
        <v>1</v>
      </c>
      <c r="F64" s="9"/>
      <c r="G64" s="14"/>
      <c r="H64" s="9"/>
      <c r="I64" s="4"/>
      <c r="J64" s="9"/>
      <c r="K64" s="4"/>
      <c r="L64" s="16"/>
      <c r="M64" s="20"/>
      <c r="O64">
        <f t="shared" ref="O64:O105" si="2">E64+G64+I64+K64</f>
        <v>1</v>
      </c>
      <c r="Q64">
        <f>COUNTIF($B$2:$B$105,Tabla3[[#This Row],[Profesor]])</f>
        <v>1</v>
      </c>
    </row>
    <row r="65" spans="1:41" ht="16.2" customHeight="1" thickBot="1" x14ac:dyDescent="0.35">
      <c r="A65" s="15" t="s">
        <v>107</v>
      </c>
      <c r="B65" s="1" t="s">
        <v>16</v>
      </c>
      <c r="C65" s="1"/>
      <c r="D65" s="13" t="s">
        <v>279</v>
      </c>
      <c r="E65" s="14">
        <v>1</v>
      </c>
      <c r="F65" s="13" t="s">
        <v>8</v>
      </c>
      <c r="G65" s="14">
        <v>1</v>
      </c>
      <c r="H65" s="13"/>
      <c r="I65" s="14"/>
      <c r="J65" s="13"/>
      <c r="K65" s="4"/>
      <c r="L65" s="16"/>
      <c r="M65" s="20"/>
      <c r="O65">
        <f t="shared" si="2"/>
        <v>2</v>
      </c>
      <c r="Q65">
        <f>COUNTIF($B$2:$B$105,Tabla3[[#This Row],[Profesor]])</f>
        <v>1</v>
      </c>
    </row>
    <row r="66" spans="1:41" ht="16.2" customHeight="1" thickBot="1" x14ac:dyDescent="0.35">
      <c r="A66" s="15" t="s">
        <v>125</v>
      </c>
      <c r="B66" s="1" t="s">
        <v>667</v>
      </c>
      <c r="C66" s="1"/>
      <c r="D66" s="9" t="s">
        <v>662</v>
      </c>
      <c r="E66" s="14">
        <v>1</v>
      </c>
      <c r="F66" s="9"/>
      <c r="G66" s="14"/>
      <c r="H66" s="9"/>
      <c r="I66" s="4"/>
      <c r="J66" s="9"/>
      <c r="K66" s="4"/>
      <c r="L66" s="16"/>
      <c r="M66" s="20"/>
      <c r="O66">
        <f t="shared" si="2"/>
        <v>1</v>
      </c>
      <c r="Q66">
        <f>COUNTIF($B$2:$B$105,Tabla3[[#This Row],[Profesor]])</f>
        <v>1</v>
      </c>
    </row>
    <row r="67" spans="1:41" ht="16.2" customHeight="1" thickBot="1" x14ac:dyDescent="0.35">
      <c r="A67" s="15" t="s">
        <v>396</v>
      </c>
      <c r="B67" s="1" t="s">
        <v>180</v>
      </c>
      <c r="C67" s="1"/>
      <c r="D67" s="9" t="s">
        <v>395</v>
      </c>
      <c r="E67" s="14">
        <v>1</v>
      </c>
      <c r="F67" s="9"/>
      <c r="G67" s="14"/>
      <c r="H67" s="9"/>
      <c r="I67" s="4"/>
      <c r="J67" s="9"/>
      <c r="K67" s="4"/>
      <c r="L67" s="16"/>
      <c r="M67" s="20"/>
      <c r="O67">
        <f t="shared" si="2"/>
        <v>1</v>
      </c>
      <c r="Q67">
        <f>COUNTIF($B$2:$B$105,Tabla3[[#This Row],[Profesor]])</f>
        <v>1</v>
      </c>
    </row>
    <row r="68" spans="1:41" ht="16.2" customHeight="1" thickBot="1" x14ac:dyDescent="0.35">
      <c r="A68" s="15" t="s">
        <v>429</v>
      </c>
      <c r="B68" s="1" t="s">
        <v>397</v>
      </c>
      <c r="C68" s="1"/>
      <c r="D68" s="9" t="s">
        <v>77</v>
      </c>
      <c r="E68" s="14">
        <v>1</v>
      </c>
      <c r="F68" s="9"/>
      <c r="G68" s="14"/>
      <c r="H68" s="9"/>
      <c r="I68" s="4"/>
      <c r="J68" s="9"/>
      <c r="K68" s="4"/>
      <c r="L68" s="16"/>
      <c r="M68" s="20"/>
      <c r="O68">
        <f t="shared" si="2"/>
        <v>1</v>
      </c>
      <c r="Q68">
        <f>COUNTIF($B$2:$B$105,Tabla3[[#This Row],[Profesor]])</f>
        <v>1</v>
      </c>
    </row>
    <row r="69" spans="1:41" ht="16.2" customHeight="1" thickBot="1" x14ac:dyDescent="0.35">
      <c r="A69" s="15" t="s">
        <v>478</v>
      </c>
      <c r="B69" s="1" t="s">
        <v>479</v>
      </c>
      <c r="C69" s="1"/>
      <c r="D69" s="9" t="s">
        <v>462</v>
      </c>
      <c r="E69" s="14">
        <v>1</v>
      </c>
      <c r="F69" s="9"/>
      <c r="G69" s="14"/>
      <c r="H69" s="9"/>
      <c r="I69" s="4"/>
      <c r="J69" s="9"/>
      <c r="K69" s="4"/>
      <c r="L69" s="16"/>
      <c r="M69" s="20"/>
      <c r="O69">
        <f t="shared" si="2"/>
        <v>1</v>
      </c>
      <c r="Q69">
        <f>COUNTIF($B$2:$B$105,Tabla3[[#This Row],[Profesor]])</f>
        <v>1</v>
      </c>
    </row>
    <row r="70" spans="1:41" ht="16.2" customHeight="1" thickBot="1" x14ac:dyDescent="0.35">
      <c r="A70" s="15" t="s">
        <v>472</v>
      </c>
      <c r="B70" s="1" t="s">
        <v>473</v>
      </c>
      <c r="C70" s="1"/>
      <c r="D70" s="9" t="s">
        <v>459</v>
      </c>
      <c r="E70" s="14">
        <v>1</v>
      </c>
      <c r="F70" s="9"/>
      <c r="G70" s="14"/>
      <c r="H70" s="9"/>
      <c r="I70" s="4"/>
      <c r="J70" s="9"/>
      <c r="K70" s="4"/>
      <c r="L70" s="16"/>
      <c r="M70" s="20"/>
      <c r="O70">
        <f t="shared" si="2"/>
        <v>1</v>
      </c>
      <c r="Q70">
        <f>COUNTIF($B$2:$B$105,Tabla3[[#This Row],[Profesor]])</f>
        <v>1</v>
      </c>
    </row>
    <row r="71" spans="1:41" ht="16.2" customHeight="1" thickBot="1" x14ac:dyDescent="0.35">
      <c r="A71" s="15" t="s">
        <v>497</v>
      </c>
      <c r="B71" s="1" t="s">
        <v>498</v>
      </c>
      <c r="C71" s="1"/>
      <c r="D71" s="9" t="s">
        <v>272</v>
      </c>
      <c r="E71" s="14">
        <v>1</v>
      </c>
      <c r="F71" s="9"/>
      <c r="G71" s="14"/>
      <c r="H71" s="9"/>
      <c r="I71" s="4"/>
      <c r="J71" s="9"/>
      <c r="K71" s="4"/>
      <c r="L71" s="16"/>
      <c r="M71" s="20"/>
      <c r="O71">
        <f t="shared" si="2"/>
        <v>1</v>
      </c>
      <c r="Q71">
        <f>COUNTIF($B$2:$B$105,Tabla3[[#This Row],[Profesor]])</f>
        <v>1</v>
      </c>
    </row>
    <row r="72" spans="1:41" ht="16.2" customHeight="1" thickBot="1" x14ac:dyDescent="0.35">
      <c r="A72" s="15" t="s">
        <v>674</v>
      </c>
      <c r="B72" s="1" t="s">
        <v>671</v>
      </c>
      <c r="C72" s="1"/>
      <c r="D72" s="9" t="s">
        <v>662</v>
      </c>
      <c r="E72" s="14">
        <v>1</v>
      </c>
      <c r="F72" s="9"/>
      <c r="G72" s="14"/>
      <c r="H72" s="9"/>
      <c r="I72" s="4"/>
      <c r="J72" s="9"/>
      <c r="K72" s="4"/>
      <c r="L72" s="16"/>
      <c r="M72" s="20"/>
      <c r="O72">
        <f t="shared" si="2"/>
        <v>1</v>
      </c>
      <c r="Q72">
        <f>COUNTIF($B$2:$B$105,Tabla3[[#This Row],[Profesor]])</f>
        <v>1</v>
      </c>
    </row>
    <row r="73" spans="1:41" ht="16.2" customHeight="1" thickBot="1" x14ac:dyDescent="0.35">
      <c r="A73" s="15" t="s">
        <v>430</v>
      </c>
      <c r="B73" s="1" t="s">
        <v>64</v>
      </c>
      <c r="C73" s="1"/>
      <c r="D73" s="13" t="s">
        <v>79</v>
      </c>
      <c r="E73" s="14">
        <v>1</v>
      </c>
      <c r="F73" s="13" t="s">
        <v>382</v>
      </c>
      <c r="G73" s="14">
        <v>1</v>
      </c>
      <c r="H73" s="13"/>
      <c r="I73" s="14"/>
      <c r="J73" s="13"/>
      <c r="K73" s="4"/>
      <c r="L73" s="16"/>
      <c r="M73" s="20"/>
      <c r="O73">
        <f t="shared" si="2"/>
        <v>2</v>
      </c>
      <c r="Q73">
        <f>COUNTIF($B$2:$B$105,Tabla3[[#This Row],[Profesor]])</f>
        <v>1</v>
      </c>
    </row>
    <row r="74" spans="1:41" ht="16.2" customHeight="1" thickBot="1" x14ac:dyDescent="0.35">
      <c r="A74" s="15" t="s">
        <v>522</v>
      </c>
      <c r="B74" s="1" t="s">
        <v>523</v>
      </c>
      <c r="C74" s="1"/>
      <c r="D74" s="9" t="s">
        <v>392</v>
      </c>
      <c r="E74" s="14">
        <v>1</v>
      </c>
      <c r="F74" s="9"/>
      <c r="G74" s="14"/>
      <c r="H74" s="9"/>
      <c r="I74" s="4"/>
      <c r="J74" s="9"/>
      <c r="K74" s="4"/>
      <c r="L74" s="16"/>
      <c r="M74" s="20"/>
      <c r="O74">
        <f t="shared" si="2"/>
        <v>1</v>
      </c>
      <c r="Q74">
        <f>COUNTIF($B$2:$B$105,Tabla3[[#This Row],[Profesor]])</f>
        <v>1</v>
      </c>
    </row>
    <row r="75" spans="1:41" ht="16.2" customHeight="1" thickBot="1" x14ac:dyDescent="0.35">
      <c r="A75" s="15" t="s">
        <v>106</v>
      </c>
      <c r="B75" s="1" t="s">
        <v>17</v>
      </c>
      <c r="C75" s="1"/>
      <c r="D75" s="13" t="s">
        <v>345</v>
      </c>
      <c r="E75" s="14">
        <v>1</v>
      </c>
      <c r="F75" s="13" t="s">
        <v>6</v>
      </c>
      <c r="G75" s="14">
        <v>1</v>
      </c>
      <c r="H75" s="13"/>
      <c r="I75" s="14"/>
      <c r="J75" s="13"/>
      <c r="K75" s="4"/>
      <c r="L75" s="112" t="s">
        <v>1014</v>
      </c>
      <c r="M75" s="20"/>
      <c r="O75">
        <f t="shared" si="2"/>
        <v>2</v>
      </c>
      <c r="Q75">
        <f>COUNTIF($B$2:$B$105,Tabla3[[#This Row],[Profesor]])</f>
        <v>1</v>
      </c>
      <c r="AO75" s="29"/>
    </row>
    <row r="76" spans="1:41" ht="16.2" customHeight="1" thickBot="1" x14ac:dyDescent="0.35">
      <c r="A76" s="15" t="s">
        <v>143</v>
      </c>
      <c r="B76" s="1" t="s">
        <v>68</v>
      </c>
      <c r="C76" s="1"/>
      <c r="D76" s="9" t="s">
        <v>371</v>
      </c>
      <c r="E76" s="14">
        <v>1</v>
      </c>
      <c r="F76" s="9"/>
      <c r="G76" s="14"/>
      <c r="H76" s="9"/>
      <c r="I76" s="4"/>
      <c r="J76" s="9"/>
      <c r="K76" s="4"/>
      <c r="L76" s="16"/>
      <c r="M76" s="20"/>
      <c r="O76">
        <f t="shared" si="2"/>
        <v>1</v>
      </c>
      <c r="Q76">
        <f>COUNTIF($B$2:$B$105,Tabla3[[#This Row],[Profesor]])</f>
        <v>1</v>
      </c>
    </row>
    <row r="77" spans="1:41" ht="16.2" customHeight="1" thickBot="1" x14ac:dyDescent="0.35">
      <c r="A77" s="15" t="s">
        <v>146</v>
      </c>
      <c r="B77" s="1" t="s">
        <v>71</v>
      </c>
      <c r="C77" s="1"/>
      <c r="D77" s="9" t="s">
        <v>664</v>
      </c>
      <c r="E77" s="14">
        <v>1</v>
      </c>
      <c r="F77" s="9"/>
      <c r="G77" s="14"/>
      <c r="H77" s="9"/>
      <c r="I77" s="4"/>
      <c r="J77" s="9"/>
      <c r="K77" s="4"/>
      <c r="L77" s="16"/>
      <c r="M77" s="20"/>
      <c r="O77">
        <f t="shared" si="2"/>
        <v>1</v>
      </c>
      <c r="Q77">
        <f>COUNTIF($B$2:$B$105,Tabla3[[#This Row],[Profesor]])</f>
        <v>1</v>
      </c>
      <c r="AO77" s="29"/>
    </row>
    <row r="78" spans="1:41" ht="16.2" customHeight="1" thickBot="1" x14ac:dyDescent="0.35">
      <c r="A78" s="15" t="s">
        <v>151</v>
      </c>
      <c r="B78" s="1" t="s">
        <v>73</v>
      </c>
      <c r="C78" s="1"/>
      <c r="D78" s="9" t="s">
        <v>421</v>
      </c>
      <c r="E78" s="14">
        <v>1</v>
      </c>
      <c r="F78" s="9"/>
      <c r="G78" s="14"/>
      <c r="H78" s="9"/>
      <c r="I78" s="4"/>
      <c r="J78" s="9"/>
      <c r="K78" s="4"/>
      <c r="L78" s="16"/>
      <c r="M78" s="20"/>
      <c r="O78">
        <f t="shared" si="2"/>
        <v>1</v>
      </c>
      <c r="Q78">
        <f>COUNTIF($B$2:$B$105,Tabla3[[#This Row],[Profesor]])</f>
        <v>1</v>
      </c>
    </row>
    <row r="79" spans="1:41" ht="16.2" customHeight="1" thickBot="1" x14ac:dyDescent="0.35">
      <c r="A79" s="59" t="s">
        <v>470</v>
      </c>
      <c r="B79" s="1" t="s">
        <v>471</v>
      </c>
      <c r="C79" s="1"/>
      <c r="D79" s="9" t="s">
        <v>459</v>
      </c>
      <c r="E79" s="14">
        <v>1</v>
      </c>
      <c r="F79" s="9"/>
      <c r="G79" s="14"/>
      <c r="H79" s="9"/>
      <c r="I79" s="4"/>
      <c r="J79" s="9"/>
      <c r="K79" s="4"/>
      <c r="L79" s="16"/>
      <c r="M79" s="20"/>
      <c r="O79">
        <f t="shared" si="2"/>
        <v>1</v>
      </c>
      <c r="Q79">
        <f>COUNTIF($B$2:$B$105,Tabla3[[#This Row],[Profesor]])</f>
        <v>1</v>
      </c>
      <c r="AO79" s="29"/>
    </row>
    <row r="80" spans="1:41" ht="16.2" customHeight="1" thickBot="1" x14ac:dyDescent="0.35">
      <c r="A80" s="15" t="s">
        <v>515</v>
      </c>
      <c r="B80" s="1" t="s">
        <v>516</v>
      </c>
      <c r="C80" s="1"/>
      <c r="D80" s="9" t="s">
        <v>528</v>
      </c>
      <c r="E80" s="14">
        <v>1</v>
      </c>
      <c r="F80" s="9"/>
      <c r="G80" s="14"/>
      <c r="H80" s="9"/>
      <c r="I80" s="4"/>
      <c r="J80" s="9"/>
      <c r="K80" s="4"/>
      <c r="L80" s="16"/>
      <c r="M80" s="20"/>
      <c r="O80">
        <f t="shared" si="2"/>
        <v>1</v>
      </c>
      <c r="Q80">
        <f>COUNTIF($B$2:$B$105,Tabla3[[#This Row],[Profesor]])</f>
        <v>1</v>
      </c>
    </row>
    <row r="81" spans="1:17" ht="16.2" customHeight="1" thickBot="1" x14ac:dyDescent="0.35">
      <c r="A81" s="15" t="s">
        <v>329</v>
      </c>
      <c r="B81" s="1" t="s">
        <v>330</v>
      </c>
      <c r="C81" s="1"/>
      <c r="D81" s="9" t="s">
        <v>323</v>
      </c>
      <c r="E81" s="14">
        <v>2</v>
      </c>
      <c r="F81" s="9"/>
      <c r="G81" s="14"/>
      <c r="H81" s="9"/>
      <c r="I81" s="4"/>
      <c r="J81" s="9"/>
      <c r="K81" s="4"/>
      <c r="L81" s="16"/>
      <c r="M81" s="20"/>
      <c r="O81">
        <f t="shared" si="2"/>
        <v>2</v>
      </c>
      <c r="Q81">
        <f>COUNTIF($B$2:$B$105,Tabla3[[#This Row],[Profesor]])</f>
        <v>1</v>
      </c>
    </row>
    <row r="82" spans="1:17" ht="16.2" customHeight="1" thickBot="1" x14ac:dyDescent="0.35">
      <c r="A82" s="15" t="s">
        <v>431</v>
      </c>
      <c r="B82" s="1" t="s">
        <v>432</v>
      </c>
      <c r="C82" s="1"/>
      <c r="D82" s="13" t="s">
        <v>372</v>
      </c>
      <c r="E82" s="14">
        <v>1</v>
      </c>
      <c r="F82" s="13"/>
      <c r="G82" s="14"/>
      <c r="H82" s="13"/>
      <c r="I82" s="14"/>
      <c r="J82" s="13"/>
      <c r="K82" s="4"/>
      <c r="L82" s="16"/>
      <c r="M82" s="20"/>
      <c r="O82">
        <f t="shared" si="2"/>
        <v>1</v>
      </c>
      <c r="Q82">
        <f>COUNTIF($B$2:$B$105,Tabla3[[#This Row],[Profesor]])</f>
        <v>1</v>
      </c>
    </row>
    <row r="83" spans="1:17" ht="16.2" customHeight="1" thickBot="1" x14ac:dyDescent="0.35">
      <c r="A83" s="15" t="s">
        <v>433</v>
      </c>
      <c r="B83" s="1" t="s">
        <v>63</v>
      </c>
      <c r="C83" s="1"/>
      <c r="D83" s="13" t="s">
        <v>257</v>
      </c>
      <c r="E83" s="14">
        <v>1</v>
      </c>
      <c r="F83" s="13"/>
      <c r="G83" s="14"/>
      <c r="H83" s="13"/>
      <c r="I83" s="14"/>
      <c r="J83" s="13"/>
      <c r="K83" s="4"/>
      <c r="L83" s="16"/>
      <c r="M83" s="20"/>
      <c r="O83">
        <f t="shared" si="2"/>
        <v>1</v>
      </c>
      <c r="Q83">
        <f>COUNTIF($B$2:$B$105,Tabla3[[#This Row],[Profesor]])</f>
        <v>1</v>
      </c>
    </row>
    <row r="84" spans="1:17" ht="16.2" customHeight="1" thickBot="1" x14ac:dyDescent="0.35">
      <c r="A84" s="15" t="s">
        <v>413</v>
      </c>
      <c r="B84" s="1" t="s">
        <v>414</v>
      </c>
      <c r="C84" s="1"/>
      <c r="D84" s="9" t="s">
        <v>410</v>
      </c>
      <c r="E84" s="14">
        <v>2</v>
      </c>
      <c r="F84" s="9" t="s">
        <v>465</v>
      </c>
      <c r="G84" s="14">
        <v>1</v>
      </c>
      <c r="H84" s="9"/>
      <c r="I84" s="4"/>
      <c r="J84" s="9"/>
      <c r="K84" s="4"/>
      <c r="L84" s="16"/>
      <c r="M84" s="20"/>
      <c r="O84">
        <f t="shared" si="2"/>
        <v>3</v>
      </c>
      <c r="Q84">
        <f>COUNTIF($B$2:$B$105,Tabla3[[#This Row],[Profesor]])</f>
        <v>1</v>
      </c>
    </row>
    <row r="85" spans="1:17" ht="16.2" customHeight="1" thickBot="1" x14ac:dyDescent="0.35">
      <c r="A85" s="15" t="s">
        <v>480</v>
      </c>
      <c r="B85" s="1" t="s">
        <v>481</v>
      </c>
      <c r="C85" s="1"/>
      <c r="D85" s="9" t="s">
        <v>463</v>
      </c>
      <c r="E85" s="14">
        <v>1</v>
      </c>
      <c r="F85" s="9"/>
      <c r="G85" s="14"/>
      <c r="H85" s="9"/>
      <c r="I85" s="4"/>
      <c r="J85" s="9"/>
      <c r="K85" s="4"/>
      <c r="L85" s="16"/>
      <c r="M85" s="20"/>
      <c r="O85">
        <f t="shared" si="2"/>
        <v>1</v>
      </c>
      <c r="Q85">
        <f>COUNTIF($B$2:$B$105,Tabla3[[#This Row],[Profesor]])</f>
        <v>1</v>
      </c>
    </row>
    <row r="86" spans="1:17" ht="16.2" customHeight="1" thickBot="1" x14ac:dyDescent="0.35">
      <c r="A86" s="15" t="s">
        <v>506</v>
      </c>
      <c r="B86" s="93" t="s">
        <v>507</v>
      </c>
      <c r="C86" s="1"/>
      <c r="D86" s="9" t="s">
        <v>312</v>
      </c>
      <c r="E86" s="14">
        <v>1</v>
      </c>
      <c r="F86" s="9"/>
      <c r="G86" s="14"/>
      <c r="H86" s="9"/>
      <c r="I86" s="4"/>
      <c r="J86" s="9"/>
      <c r="K86" s="4"/>
      <c r="L86" s="16"/>
      <c r="M86" s="20"/>
      <c r="O86">
        <f t="shared" ref="O86" si="3">E86+G86+I86+K86</f>
        <v>1</v>
      </c>
      <c r="Q86">
        <f>COUNTIF($B$2:$B$105,Tabla3[[#This Row],[Profesor]])</f>
        <v>1</v>
      </c>
    </row>
    <row r="87" spans="1:17" ht="16.2" customHeight="1" thickBot="1" x14ac:dyDescent="0.35">
      <c r="A87" s="15" t="s">
        <v>509</v>
      </c>
      <c r="B87" s="93" t="s">
        <v>508</v>
      </c>
      <c r="C87" s="1"/>
      <c r="D87" s="9" t="s">
        <v>312</v>
      </c>
      <c r="E87" s="14">
        <v>1</v>
      </c>
      <c r="F87" s="9"/>
      <c r="G87" s="14"/>
      <c r="H87" s="9"/>
      <c r="I87" s="4"/>
      <c r="J87" s="9"/>
      <c r="K87" s="4"/>
      <c r="L87" s="16"/>
      <c r="M87" s="20"/>
      <c r="O87">
        <f t="shared" si="2"/>
        <v>1</v>
      </c>
      <c r="Q87">
        <f>COUNTIF($B$2:$B$105,Tabla3[[#This Row],[Profesor]])</f>
        <v>1</v>
      </c>
    </row>
    <row r="88" spans="1:17" ht="16.2" customHeight="1" thickBot="1" x14ac:dyDescent="0.35">
      <c r="A88" s="15" t="s">
        <v>680</v>
      </c>
      <c r="B88" s="93" t="s">
        <v>681</v>
      </c>
      <c r="C88" s="1"/>
      <c r="D88" s="9" t="s">
        <v>312</v>
      </c>
      <c r="E88" s="14">
        <v>1</v>
      </c>
      <c r="F88" s="9"/>
      <c r="G88" s="14"/>
      <c r="H88" s="9"/>
      <c r="I88" s="4"/>
      <c r="J88" s="9"/>
      <c r="K88" s="4"/>
      <c r="L88" s="16"/>
      <c r="M88" s="20"/>
      <c r="O88">
        <f t="shared" si="2"/>
        <v>1</v>
      </c>
      <c r="Q88">
        <f>COUNTIF($B$2:$B$105,Tabla3[[#This Row],[Profesor]])</f>
        <v>1</v>
      </c>
    </row>
    <row r="89" spans="1:17" ht="16.2" customHeight="1" thickBot="1" x14ac:dyDescent="0.35">
      <c r="A89" s="15" t="s">
        <v>251</v>
      </c>
      <c r="B89" s="1" t="s">
        <v>250</v>
      </c>
      <c r="C89" s="1"/>
      <c r="D89" s="9" t="s">
        <v>249</v>
      </c>
      <c r="E89" s="14">
        <v>1</v>
      </c>
      <c r="F89" s="9" t="s">
        <v>272</v>
      </c>
      <c r="G89" s="14">
        <v>1</v>
      </c>
      <c r="H89" s="9"/>
      <c r="I89" s="4"/>
      <c r="J89" s="9"/>
      <c r="K89" s="4"/>
      <c r="L89" s="112" t="s">
        <v>1036</v>
      </c>
      <c r="M89" s="20"/>
      <c r="O89">
        <f t="shared" si="2"/>
        <v>2</v>
      </c>
      <c r="Q89">
        <f>COUNTIF($B$2:$B$105,Tabla3[[#This Row],[Profesor]])</f>
        <v>1</v>
      </c>
    </row>
    <row r="90" spans="1:17" ht="16.2" customHeight="1" thickBot="1" x14ac:dyDescent="0.35">
      <c r="A90" s="59" t="s">
        <v>348</v>
      </c>
      <c r="B90" s="1" t="s">
        <v>349</v>
      </c>
      <c r="C90" s="1"/>
      <c r="D90" s="9" t="s">
        <v>347</v>
      </c>
      <c r="E90" s="14">
        <v>2</v>
      </c>
      <c r="F90" s="9"/>
      <c r="G90" s="14"/>
      <c r="H90" s="9"/>
      <c r="I90" s="4"/>
      <c r="J90" s="9"/>
      <c r="K90" s="4"/>
      <c r="L90" s="16"/>
      <c r="M90" s="20"/>
      <c r="O90">
        <f t="shared" si="2"/>
        <v>2</v>
      </c>
      <c r="Q90">
        <f>COUNTIF($B$2:$B$105,Tabla3[[#This Row],[Profesor]])</f>
        <v>1</v>
      </c>
    </row>
    <row r="91" spans="1:17" ht="16.2" customHeight="1" thickBot="1" x14ac:dyDescent="0.35">
      <c r="A91" s="15" t="s">
        <v>684</v>
      </c>
      <c r="B91" s="1" t="s">
        <v>685</v>
      </c>
      <c r="C91" s="1"/>
      <c r="D91" s="9" t="s">
        <v>683</v>
      </c>
      <c r="E91" s="14">
        <v>1</v>
      </c>
      <c r="F91" s="9"/>
      <c r="G91" s="14"/>
      <c r="H91" s="9"/>
      <c r="I91" s="4"/>
      <c r="J91" s="9"/>
      <c r="K91" s="4"/>
      <c r="L91" s="16"/>
      <c r="M91" s="20"/>
      <c r="O91">
        <f t="shared" si="2"/>
        <v>1</v>
      </c>
      <c r="Q91">
        <f>COUNTIF($B$2:$B$105,Tabla3[[#This Row],[Profesor]])</f>
        <v>1</v>
      </c>
    </row>
    <row r="92" spans="1:17" ht="16.2" customHeight="1" thickBot="1" x14ac:dyDescent="0.35">
      <c r="A92" s="15" t="s">
        <v>117</v>
      </c>
      <c r="B92" s="1" t="s">
        <v>62</v>
      </c>
      <c r="C92" s="1"/>
      <c r="D92" s="13" t="s">
        <v>9</v>
      </c>
      <c r="E92" s="14">
        <v>4</v>
      </c>
      <c r="F92" s="13"/>
      <c r="G92" s="14"/>
      <c r="H92" s="13"/>
      <c r="I92" s="14"/>
      <c r="J92" s="13"/>
      <c r="K92" s="4"/>
      <c r="L92" s="16"/>
      <c r="M92" s="20"/>
      <c r="O92">
        <f t="shared" ref="O92" si="4">E92+G92+I92+K92</f>
        <v>4</v>
      </c>
      <c r="Q92">
        <f>COUNTIF($B$2:$B$105,Tabla3[[#This Row],[Profesor]])</f>
        <v>1</v>
      </c>
    </row>
    <row r="93" spans="1:17" ht="16.2" customHeight="1" thickBot="1" x14ac:dyDescent="0.35">
      <c r="A93" s="59" t="s">
        <v>253</v>
      </c>
      <c r="B93" s="1" t="s">
        <v>254</v>
      </c>
      <c r="C93" s="1"/>
      <c r="D93" s="9" t="s">
        <v>252</v>
      </c>
      <c r="E93" s="14">
        <v>1</v>
      </c>
      <c r="F93" s="9"/>
      <c r="G93" s="14"/>
      <c r="H93" s="9"/>
      <c r="I93" s="4"/>
      <c r="J93" s="9"/>
      <c r="K93" s="4"/>
      <c r="L93" s="16"/>
      <c r="M93" s="20"/>
      <c r="O93">
        <f t="shared" si="2"/>
        <v>1</v>
      </c>
      <c r="Q93">
        <f>COUNTIF($B$2:$B$105,Tabla3[[#This Row],[Profesor]])</f>
        <v>1</v>
      </c>
    </row>
    <row r="94" spans="1:17" ht="16.2" customHeight="1" thickBot="1" x14ac:dyDescent="0.35">
      <c r="A94" s="15" t="s">
        <v>343</v>
      </c>
      <c r="B94" s="1" t="s">
        <v>344</v>
      </c>
      <c r="C94" s="1"/>
      <c r="D94" s="9" t="s">
        <v>342</v>
      </c>
      <c r="E94" s="14">
        <v>1</v>
      </c>
      <c r="F94" s="9"/>
      <c r="G94" s="14"/>
      <c r="H94" s="9"/>
      <c r="I94" s="4"/>
      <c r="J94" s="9"/>
      <c r="K94" s="4"/>
      <c r="L94" s="16"/>
      <c r="M94" s="20"/>
      <c r="O94">
        <f t="shared" si="2"/>
        <v>1</v>
      </c>
      <c r="Q94">
        <f>COUNTIF($B$2:$B$105,Tabla3[[#This Row],[Profesor]])</f>
        <v>1</v>
      </c>
    </row>
    <row r="95" spans="1:17" ht="16.2" customHeight="1" thickBot="1" x14ac:dyDescent="0.35">
      <c r="A95" s="15" t="s">
        <v>434</v>
      </c>
      <c r="B95" s="1" t="s">
        <v>46</v>
      </c>
      <c r="C95" s="1"/>
      <c r="D95" s="13" t="s">
        <v>257</v>
      </c>
      <c r="E95" s="14">
        <v>1</v>
      </c>
      <c r="F95" s="13"/>
      <c r="G95" s="14"/>
      <c r="H95" s="13"/>
      <c r="I95" s="14"/>
      <c r="J95" s="13"/>
      <c r="K95" s="4"/>
      <c r="L95" s="16"/>
      <c r="M95" s="20"/>
      <c r="O95">
        <f t="shared" si="2"/>
        <v>1</v>
      </c>
      <c r="Q95">
        <f>COUNTIF($B$2:$B$105,Tabla3[[#This Row],[Profesor]])</f>
        <v>1</v>
      </c>
    </row>
    <row r="96" spans="1:17" ht="16.2" customHeight="1" thickBot="1" x14ac:dyDescent="0.35">
      <c r="A96" s="15" t="s">
        <v>399</v>
      </c>
      <c r="B96" s="1" t="s">
        <v>400</v>
      </c>
      <c r="C96" s="1"/>
      <c r="D96" s="9" t="s">
        <v>398</v>
      </c>
      <c r="E96" s="14">
        <v>1</v>
      </c>
      <c r="F96" s="9"/>
      <c r="G96" s="14"/>
      <c r="H96" s="9"/>
      <c r="I96" s="4"/>
      <c r="J96" s="9"/>
      <c r="K96" s="4"/>
      <c r="L96" s="16"/>
      <c r="M96" s="20"/>
      <c r="O96">
        <f>E96+G96+I96+K96</f>
        <v>1</v>
      </c>
      <c r="Q96">
        <f>COUNTIF($B$2:$B$105,Tabla3[[#This Row],[Profesor]])</f>
        <v>1</v>
      </c>
    </row>
    <row r="97" spans="1:34" ht="16.2" customHeight="1" thickBot="1" x14ac:dyDescent="0.35">
      <c r="A97" s="15" t="s">
        <v>393</v>
      </c>
      <c r="B97" s="1" t="s">
        <v>394</v>
      </c>
      <c r="C97" s="1"/>
      <c r="D97" s="9" t="s">
        <v>762</v>
      </c>
      <c r="E97" s="14">
        <v>2</v>
      </c>
      <c r="F97" s="9"/>
      <c r="G97" s="14"/>
      <c r="H97" s="9"/>
      <c r="I97" s="4"/>
      <c r="J97" s="9"/>
      <c r="K97" s="4"/>
      <c r="L97" s="16"/>
      <c r="M97" s="20"/>
      <c r="O97">
        <f>E97+G97+I97+K97</f>
        <v>2</v>
      </c>
      <c r="Q97">
        <f>COUNTIF($B$2:$B$105,Tabla3[[#This Row],[Profesor]])</f>
        <v>1</v>
      </c>
    </row>
    <row r="98" spans="1:34" ht="16.2" customHeight="1" thickBot="1" x14ac:dyDescent="0.35">
      <c r="A98" s="15" t="s">
        <v>124</v>
      </c>
      <c r="B98" s="1" t="s">
        <v>80</v>
      </c>
      <c r="C98" s="1"/>
      <c r="D98" s="13" t="s">
        <v>79</v>
      </c>
      <c r="E98" s="14">
        <v>1</v>
      </c>
      <c r="F98" s="13" t="s">
        <v>382</v>
      </c>
      <c r="G98" s="14">
        <v>1</v>
      </c>
      <c r="H98" s="13"/>
      <c r="I98" s="14"/>
      <c r="J98" s="13"/>
      <c r="K98" s="4"/>
      <c r="L98" s="16"/>
      <c r="M98" s="20"/>
      <c r="O98">
        <f>E98+G98+I98+K98</f>
        <v>2</v>
      </c>
      <c r="Q98">
        <f>COUNTIF($B$2:$B$105,Tabla3[[#This Row],[Profesor]])</f>
        <v>1</v>
      </c>
    </row>
    <row r="99" spans="1:34" ht="16.2" customHeight="1" thickBot="1" x14ac:dyDescent="0.35">
      <c r="A99" s="15" t="s">
        <v>435</v>
      </c>
      <c r="B99" s="1" t="s">
        <v>44</v>
      </c>
      <c r="C99" s="40"/>
      <c r="D99" s="13" t="s">
        <v>353</v>
      </c>
      <c r="E99" s="14">
        <v>1</v>
      </c>
      <c r="F99" s="13" t="s">
        <v>418</v>
      </c>
      <c r="G99" s="14">
        <v>1</v>
      </c>
      <c r="H99" s="13"/>
      <c r="I99" s="14"/>
      <c r="J99" s="13"/>
      <c r="K99" s="4"/>
      <c r="L99" s="16"/>
      <c r="M99" s="20"/>
      <c r="O99">
        <f>E99+G99+I99+K99</f>
        <v>2</v>
      </c>
      <c r="Q99">
        <f>COUNTIF($B$2:$B$105,Tabla3[[#This Row],[Profesor]])</f>
        <v>1</v>
      </c>
    </row>
    <row r="100" spans="1:34" ht="16.2" customHeight="1" thickBot="1" x14ac:dyDescent="0.35">
      <c r="A100" s="15" t="s">
        <v>144</v>
      </c>
      <c r="B100" s="1" t="s">
        <v>69</v>
      </c>
      <c r="C100" s="1"/>
      <c r="D100" s="9" t="s">
        <v>371</v>
      </c>
      <c r="E100" s="14">
        <v>1</v>
      </c>
      <c r="F100" s="9" t="s">
        <v>533</v>
      </c>
      <c r="G100" s="14">
        <v>1</v>
      </c>
      <c r="H100" s="9"/>
      <c r="I100" s="4"/>
      <c r="J100" s="9"/>
      <c r="K100" s="4"/>
      <c r="L100" s="16"/>
      <c r="M100" s="20"/>
      <c r="O100">
        <f t="shared" ref="O100" si="5">E100+G100+I100+K100</f>
        <v>2</v>
      </c>
      <c r="Q100">
        <f>COUNTIF($B$2:$B$105,Tabla3[[#This Row],[Profesor]])</f>
        <v>1</v>
      </c>
    </row>
    <row r="101" spans="1:34" ht="16.2" customHeight="1" thickBot="1" x14ac:dyDescent="0.35">
      <c r="A101" s="15" t="s">
        <v>273</v>
      </c>
      <c r="B101" s="1" t="s">
        <v>282</v>
      </c>
      <c r="C101" s="1"/>
      <c r="D101" s="9" t="s">
        <v>92</v>
      </c>
      <c r="E101" s="14">
        <v>1</v>
      </c>
      <c r="F101" s="9"/>
      <c r="G101" s="14"/>
      <c r="H101" s="9"/>
      <c r="I101" s="4"/>
      <c r="J101" s="9"/>
      <c r="K101" s="4"/>
      <c r="L101" s="16"/>
      <c r="M101" s="20"/>
      <c r="O101">
        <f t="shared" ref="O101" si="6">E101+G101+I101+K101</f>
        <v>1</v>
      </c>
      <c r="Q101">
        <f>COUNTIF($B$2:$B$105,Tabla3[[#This Row],[Profesor]])</f>
        <v>1</v>
      </c>
    </row>
    <row r="102" spans="1:34" ht="16.2" customHeight="1" thickBot="1" x14ac:dyDescent="0.35">
      <c r="A102" s="15" t="s">
        <v>108</v>
      </c>
      <c r="B102" s="1" t="s">
        <v>45</v>
      </c>
      <c r="C102" s="1"/>
      <c r="D102" s="13" t="s">
        <v>6</v>
      </c>
      <c r="E102" s="14">
        <v>1</v>
      </c>
      <c r="F102" s="13" t="s">
        <v>322</v>
      </c>
      <c r="G102" s="14">
        <v>1</v>
      </c>
      <c r="H102" s="13"/>
      <c r="I102" s="14"/>
      <c r="J102" s="13"/>
      <c r="K102" s="4"/>
      <c r="L102" s="112" t="s">
        <v>677</v>
      </c>
      <c r="M102" s="110" t="s">
        <v>568</v>
      </c>
      <c r="O102">
        <f t="shared" ref="O102:O103" si="7">E102+G102+I102+K102</f>
        <v>2</v>
      </c>
      <c r="Q102">
        <f>COUNTIF($B$2:$B$105,Tabla3[[#This Row],[Profesor]])</f>
        <v>1</v>
      </c>
    </row>
    <row r="103" spans="1:34" ht="16.2" customHeight="1" thickBot="1" x14ac:dyDescent="0.35">
      <c r="A103" s="15" t="s">
        <v>416</v>
      </c>
      <c r="B103" s="1" t="s">
        <v>417</v>
      </c>
      <c r="C103" s="1"/>
      <c r="D103" s="9" t="s">
        <v>415</v>
      </c>
      <c r="E103" s="14">
        <v>1</v>
      </c>
      <c r="F103" s="9"/>
      <c r="G103" s="14"/>
      <c r="H103" s="9"/>
      <c r="I103" s="4"/>
      <c r="J103" s="9"/>
      <c r="K103" s="4"/>
      <c r="L103" s="16"/>
      <c r="M103" s="20"/>
      <c r="O103">
        <f t="shared" si="7"/>
        <v>1</v>
      </c>
      <c r="Q103">
        <f>COUNTIF($B$2:$B$105,Tabla3[[#This Row],[Profesor]])</f>
        <v>1</v>
      </c>
    </row>
    <row r="104" spans="1:34" ht="16.2" customHeight="1" thickBot="1" x14ac:dyDescent="0.35">
      <c r="A104" s="15" t="s">
        <v>314</v>
      </c>
      <c r="B104" s="1" t="s">
        <v>313</v>
      </c>
      <c r="C104" s="1"/>
      <c r="D104" s="9" t="s">
        <v>312</v>
      </c>
      <c r="E104" s="14">
        <v>1</v>
      </c>
      <c r="F104" s="9"/>
      <c r="G104" s="14"/>
      <c r="H104" s="9"/>
      <c r="I104" s="4"/>
      <c r="J104" s="9"/>
      <c r="K104" s="4"/>
      <c r="L104" s="16"/>
      <c r="M104" s="20"/>
      <c r="O104">
        <f t="shared" ref="O104" si="8">E104+G104+I104+K104</f>
        <v>1</v>
      </c>
      <c r="Q104">
        <f>COUNTIF($B$2:$B$105,Tabla3[[#This Row],[Profesor]])</f>
        <v>1</v>
      </c>
    </row>
    <row r="105" spans="1:34" ht="16.2" customHeight="1" thickBot="1" x14ac:dyDescent="0.35">
      <c r="A105" s="15" t="s">
        <v>500</v>
      </c>
      <c r="B105" s="1" t="s">
        <v>501</v>
      </c>
      <c r="C105" s="1"/>
      <c r="D105" s="9" t="s">
        <v>260</v>
      </c>
      <c r="E105" s="100">
        <v>2</v>
      </c>
      <c r="F105" s="9"/>
      <c r="G105" s="14"/>
      <c r="H105" s="9"/>
      <c r="I105" s="4"/>
      <c r="J105" s="9"/>
      <c r="K105" s="4"/>
      <c r="L105" s="16"/>
      <c r="M105" s="20"/>
      <c r="O105">
        <f t="shared" si="2"/>
        <v>2</v>
      </c>
      <c r="Q105">
        <f>COUNTIF($B$2:$B$105,Tabla3[[#This Row],[Profesor]])</f>
        <v>1</v>
      </c>
    </row>
    <row r="106" spans="1:34" ht="16.2" customHeight="1" x14ac:dyDescent="0.3">
      <c r="U106" t="s">
        <v>164</v>
      </c>
      <c r="V106" t="s">
        <v>165</v>
      </c>
      <c r="W106" t="s">
        <v>166</v>
      </c>
      <c r="X106" t="s">
        <v>167</v>
      </c>
      <c r="Y106" t="s">
        <v>168</v>
      </c>
      <c r="AD106" t="s">
        <v>164</v>
      </c>
      <c r="AE106" t="s">
        <v>165</v>
      </c>
      <c r="AF106" t="s">
        <v>166</v>
      </c>
      <c r="AG106" t="s">
        <v>167</v>
      </c>
      <c r="AH106" t="s">
        <v>168</v>
      </c>
    </row>
    <row r="107" spans="1:34" ht="16.2" customHeight="1" x14ac:dyDescent="0.3">
      <c r="N107" t="s">
        <v>238</v>
      </c>
      <c r="T107" t="s">
        <v>154</v>
      </c>
      <c r="U107" t="s">
        <v>155</v>
      </c>
      <c r="V107" t="s">
        <v>155</v>
      </c>
      <c r="W107" t="s">
        <v>155</v>
      </c>
      <c r="X107" t="s">
        <v>155</v>
      </c>
      <c r="Y107" t="s">
        <v>155</v>
      </c>
      <c r="AC107" t="s">
        <v>154</v>
      </c>
      <c r="AD107" t="s">
        <v>155</v>
      </c>
      <c r="AE107" t="s">
        <v>155</v>
      </c>
      <c r="AF107" t="s">
        <v>155</v>
      </c>
      <c r="AG107" t="s">
        <v>155</v>
      </c>
      <c r="AH107" t="s">
        <v>155</v>
      </c>
    </row>
    <row r="108" spans="1:34" ht="16.2" customHeight="1" x14ac:dyDescent="0.3">
      <c r="N108">
        <v>0</v>
      </c>
      <c r="O108">
        <f t="shared" ref="O108:O115" si="9">COUNTIF($O$2:$O$105,N108)</f>
        <v>0</v>
      </c>
      <c r="T108" t="s">
        <v>156</v>
      </c>
      <c r="U108" t="s">
        <v>155</v>
      </c>
      <c r="V108" t="s">
        <v>155</v>
      </c>
      <c r="W108" t="s">
        <v>155</v>
      </c>
      <c r="X108" t="s">
        <v>155</v>
      </c>
      <c r="Y108" t="s">
        <v>155</v>
      </c>
      <c r="AC108" t="s">
        <v>156</v>
      </c>
      <c r="AD108" t="s">
        <v>155</v>
      </c>
      <c r="AE108" t="s">
        <v>155</v>
      </c>
      <c r="AF108" t="s">
        <v>155</v>
      </c>
      <c r="AG108" t="s">
        <v>155</v>
      </c>
      <c r="AH108" t="s">
        <v>155</v>
      </c>
    </row>
    <row r="109" spans="1:34" ht="16.2" customHeight="1" x14ac:dyDescent="0.3">
      <c r="N109">
        <v>1</v>
      </c>
      <c r="O109">
        <f t="shared" si="9"/>
        <v>60</v>
      </c>
      <c r="T109" t="s">
        <v>157</v>
      </c>
      <c r="U109" t="s">
        <v>155</v>
      </c>
      <c r="V109" t="s">
        <v>155</v>
      </c>
      <c r="W109" t="s">
        <v>155</v>
      </c>
      <c r="X109" t="s">
        <v>155</v>
      </c>
      <c r="Y109" t="s">
        <v>155</v>
      </c>
      <c r="AC109" t="s">
        <v>157</v>
      </c>
      <c r="AD109" t="s">
        <v>155</v>
      </c>
      <c r="AE109" t="s">
        <v>155</v>
      </c>
      <c r="AF109" t="s">
        <v>155</v>
      </c>
      <c r="AG109" t="s">
        <v>155</v>
      </c>
      <c r="AH109" t="s">
        <v>155</v>
      </c>
    </row>
    <row r="110" spans="1:34" ht="16.2" customHeight="1" x14ac:dyDescent="0.3">
      <c r="N110">
        <v>2</v>
      </c>
      <c r="O110">
        <f t="shared" si="9"/>
        <v>30</v>
      </c>
      <c r="T110" t="s">
        <v>158</v>
      </c>
      <c r="U110" t="s">
        <v>155</v>
      </c>
      <c r="V110" t="s">
        <v>155</v>
      </c>
      <c r="W110" t="s">
        <v>155</v>
      </c>
      <c r="X110" t="s">
        <v>20</v>
      </c>
      <c r="Y110" t="s">
        <v>155</v>
      </c>
      <c r="AC110" t="s">
        <v>158</v>
      </c>
      <c r="AD110" t="s">
        <v>155</v>
      </c>
      <c r="AE110" t="s">
        <v>20</v>
      </c>
      <c r="AF110" t="s">
        <v>155</v>
      </c>
      <c r="AG110" t="s">
        <v>155</v>
      </c>
      <c r="AH110" t="s">
        <v>155</v>
      </c>
    </row>
    <row r="111" spans="1:34" ht="16.2" customHeight="1" x14ac:dyDescent="0.3">
      <c r="N111">
        <v>3</v>
      </c>
      <c r="O111">
        <f t="shared" si="9"/>
        <v>6</v>
      </c>
      <c r="T111" t="s">
        <v>159</v>
      </c>
      <c r="U111" t="s">
        <v>155</v>
      </c>
      <c r="V111" t="s">
        <v>20</v>
      </c>
      <c r="W111" t="s">
        <v>155</v>
      </c>
      <c r="X111" t="s">
        <v>20</v>
      </c>
      <c r="Y111" t="s">
        <v>155</v>
      </c>
      <c r="AC111" t="s">
        <v>159</v>
      </c>
      <c r="AD111" t="s">
        <v>155</v>
      </c>
      <c r="AE111" t="s">
        <v>20</v>
      </c>
      <c r="AF111" t="s">
        <v>155</v>
      </c>
      <c r="AG111" t="s">
        <v>20</v>
      </c>
      <c r="AH111" t="s">
        <v>155</v>
      </c>
    </row>
    <row r="112" spans="1:34" ht="16.2" customHeight="1" x14ac:dyDescent="0.3">
      <c r="N112">
        <v>4</v>
      </c>
      <c r="O112">
        <f t="shared" si="9"/>
        <v>6</v>
      </c>
      <c r="T112" t="s">
        <v>160</v>
      </c>
      <c r="U112" t="s">
        <v>155</v>
      </c>
      <c r="V112" t="s">
        <v>20</v>
      </c>
      <c r="W112" t="s">
        <v>155</v>
      </c>
      <c r="X112" t="s">
        <v>20</v>
      </c>
      <c r="Y112" t="s">
        <v>155</v>
      </c>
      <c r="AC112" t="s">
        <v>160</v>
      </c>
      <c r="AD112" t="s">
        <v>155</v>
      </c>
      <c r="AE112" t="s">
        <v>20</v>
      </c>
      <c r="AF112" t="s">
        <v>155</v>
      </c>
      <c r="AG112" t="s">
        <v>20</v>
      </c>
      <c r="AH112" t="s">
        <v>155</v>
      </c>
    </row>
    <row r="113" spans="14:34" ht="16.2" customHeight="1" x14ac:dyDescent="0.3">
      <c r="N113">
        <v>5</v>
      </c>
      <c r="O113">
        <f t="shared" si="9"/>
        <v>2</v>
      </c>
      <c r="T113" t="s">
        <v>169</v>
      </c>
      <c r="U113" t="s">
        <v>155</v>
      </c>
      <c r="V113" t="s">
        <v>155</v>
      </c>
      <c r="W113" t="s">
        <v>155</v>
      </c>
      <c r="X113" t="s">
        <v>155</v>
      </c>
      <c r="Y113" t="s">
        <v>155</v>
      </c>
      <c r="AC113" t="s">
        <v>169</v>
      </c>
      <c r="AD113" t="s">
        <v>155</v>
      </c>
      <c r="AE113" t="s">
        <v>155</v>
      </c>
      <c r="AF113" t="s">
        <v>155</v>
      </c>
      <c r="AG113" t="s">
        <v>155</v>
      </c>
      <c r="AH113" t="s">
        <v>155</v>
      </c>
    </row>
    <row r="114" spans="14:34" ht="16.2" customHeight="1" x14ac:dyDescent="0.3">
      <c r="N114">
        <v>6</v>
      </c>
      <c r="O114">
        <f t="shared" si="9"/>
        <v>0</v>
      </c>
      <c r="T114" t="s">
        <v>170</v>
      </c>
      <c r="U114" t="s">
        <v>155</v>
      </c>
      <c r="V114" t="s">
        <v>155</v>
      </c>
      <c r="W114" t="s">
        <v>155</v>
      </c>
      <c r="X114" t="s">
        <v>155</v>
      </c>
      <c r="Y114" t="s">
        <v>155</v>
      </c>
      <c r="AC114" t="s">
        <v>170</v>
      </c>
      <c r="AD114" t="s">
        <v>155</v>
      </c>
      <c r="AE114" t="s">
        <v>155</v>
      </c>
      <c r="AF114" t="s">
        <v>155</v>
      </c>
      <c r="AG114" t="s">
        <v>155</v>
      </c>
      <c r="AH114" t="s">
        <v>155</v>
      </c>
    </row>
    <row r="115" spans="14:34" ht="16.2" customHeight="1" x14ac:dyDescent="0.3">
      <c r="N115">
        <v>7</v>
      </c>
      <c r="O115">
        <f t="shared" si="9"/>
        <v>0</v>
      </c>
      <c r="T115" t="s">
        <v>171</v>
      </c>
      <c r="U115" t="s">
        <v>155</v>
      </c>
      <c r="V115" t="s">
        <v>155</v>
      </c>
      <c r="W115" t="s">
        <v>155</v>
      </c>
      <c r="X115" t="s">
        <v>155</v>
      </c>
      <c r="Y115" t="s">
        <v>155</v>
      </c>
      <c r="AC115" t="s">
        <v>171</v>
      </c>
      <c r="AD115" t="s">
        <v>155</v>
      </c>
      <c r="AE115" t="s">
        <v>155</v>
      </c>
      <c r="AF115" t="s">
        <v>155</v>
      </c>
      <c r="AG115" t="s">
        <v>155</v>
      </c>
      <c r="AH115" t="s">
        <v>155</v>
      </c>
    </row>
    <row r="116" spans="14:34" ht="16.2" customHeight="1" x14ac:dyDescent="0.3">
      <c r="O116" cm="1">
        <f t="array" ref="O116">SUM(N108:N115*O108:O115)</f>
        <v>172</v>
      </c>
      <c r="T116" t="s">
        <v>172</v>
      </c>
      <c r="U116" t="s">
        <v>155</v>
      </c>
      <c r="V116" t="s">
        <v>155</v>
      </c>
      <c r="W116" t="s">
        <v>155</v>
      </c>
      <c r="X116" t="s">
        <v>155</v>
      </c>
      <c r="Y116" t="s">
        <v>155</v>
      </c>
      <c r="AC116" t="s">
        <v>172</v>
      </c>
      <c r="AD116" t="s">
        <v>155</v>
      </c>
      <c r="AE116" t="s">
        <v>155</v>
      </c>
      <c r="AF116" t="s">
        <v>155</v>
      </c>
      <c r="AG116" t="s">
        <v>155</v>
      </c>
      <c r="AH116" t="s">
        <v>155</v>
      </c>
    </row>
    <row r="118" spans="14:34" ht="16.2" customHeight="1" x14ac:dyDescent="0.3">
      <c r="S118" s="15" t="s">
        <v>108</v>
      </c>
      <c r="T118" t="s">
        <v>185</v>
      </c>
      <c r="AB118" s="15" t="s">
        <v>108</v>
      </c>
      <c r="AC118" t="s">
        <v>185</v>
      </c>
    </row>
    <row r="119" spans="14:34" ht="16.2" customHeight="1" x14ac:dyDescent="0.3">
      <c r="U119" t="s">
        <v>164</v>
      </c>
      <c r="V119" t="s">
        <v>165</v>
      </c>
      <c r="W119" t="s">
        <v>166</v>
      </c>
      <c r="X119" t="s">
        <v>167</v>
      </c>
      <c r="Y119" t="s">
        <v>168</v>
      </c>
      <c r="AD119" t="s">
        <v>164</v>
      </c>
      <c r="AE119" t="s">
        <v>165</v>
      </c>
      <c r="AF119" t="s">
        <v>166</v>
      </c>
      <c r="AG119" t="s">
        <v>167</v>
      </c>
      <c r="AH119" t="s">
        <v>168</v>
      </c>
    </row>
    <row r="120" spans="14:34" ht="16.2" customHeight="1" x14ac:dyDescent="0.3">
      <c r="T120" t="s">
        <v>154</v>
      </c>
      <c r="U120" t="s">
        <v>155</v>
      </c>
      <c r="V120" t="s">
        <v>155</v>
      </c>
      <c r="W120" t="s">
        <v>155</v>
      </c>
      <c r="X120" t="s">
        <v>155</v>
      </c>
      <c r="Y120" t="s">
        <v>155</v>
      </c>
      <c r="AC120" t="s">
        <v>154</v>
      </c>
      <c r="AD120" t="s">
        <v>155</v>
      </c>
      <c r="AE120" t="s">
        <v>155</v>
      </c>
      <c r="AF120" t="s">
        <v>155</v>
      </c>
      <c r="AG120" t="s">
        <v>155</v>
      </c>
      <c r="AH120" t="s">
        <v>155</v>
      </c>
    </row>
    <row r="121" spans="14:34" ht="16.2" customHeight="1" x14ac:dyDescent="0.3">
      <c r="T121" t="s">
        <v>156</v>
      </c>
      <c r="U121" t="s">
        <v>155</v>
      </c>
      <c r="V121" t="s">
        <v>155</v>
      </c>
      <c r="W121" t="s">
        <v>155</v>
      </c>
      <c r="X121" t="s">
        <v>155</v>
      </c>
      <c r="Y121" t="s">
        <v>155</v>
      </c>
      <c r="AC121" t="s">
        <v>156</v>
      </c>
      <c r="AD121" t="s">
        <v>155</v>
      </c>
      <c r="AE121" t="s">
        <v>155</v>
      </c>
      <c r="AF121" t="s">
        <v>155</v>
      </c>
      <c r="AG121" t="s">
        <v>155</v>
      </c>
      <c r="AH121" t="s">
        <v>155</v>
      </c>
    </row>
    <row r="122" spans="14:34" ht="16.2" customHeight="1" x14ac:dyDescent="0.3">
      <c r="T122" t="s">
        <v>157</v>
      </c>
      <c r="U122" t="s">
        <v>155</v>
      </c>
      <c r="V122" t="s">
        <v>155</v>
      </c>
      <c r="W122" t="s">
        <v>155</v>
      </c>
      <c r="X122" t="s">
        <v>20</v>
      </c>
      <c r="Y122" t="s">
        <v>155</v>
      </c>
      <c r="AC122" t="s">
        <v>157</v>
      </c>
      <c r="AD122" t="s">
        <v>155</v>
      </c>
      <c r="AE122" t="s">
        <v>155</v>
      </c>
      <c r="AF122" t="s">
        <v>155</v>
      </c>
      <c r="AG122" t="s">
        <v>155</v>
      </c>
      <c r="AH122" t="s">
        <v>155</v>
      </c>
    </row>
    <row r="123" spans="14:34" ht="16.2" customHeight="1" x14ac:dyDescent="0.3">
      <c r="T123" t="s">
        <v>158</v>
      </c>
      <c r="U123" t="s">
        <v>20</v>
      </c>
      <c r="V123" t="s">
        <v>155</v>
      </c>
      <c r="W123" t="s">
        <v>155</v>
      </c>
      <c r="X123" t="s">
        <v>20</v>
      </c>
      <c r="Y123" t="s">
        <v>155</v>
      </c>
      <c r="AC123" t="s">
        <v>158</v>
      </c>
      <c r="AD123" t="s">
        <v>155</v>
      </c>
      <c r="AE123" t="s">
        <v>155</v>
      </c>
      <c r="AF123" t="s">
        <v>20</v>
      </c>
      <c r="AG123" t="s">
        <v>155</v>
      </c>
      <c r="AH123" t="s">
        <v>155</v>
      </c>
    </row>
    <row r="124" spans="14:34" ht="16.2" customHeight="1" x14ac:dyDescent="0.3">
      <c r="T124" t="s">
        <v>159</v>
      </c>
      <c r="U124" t="s">
        <v>20</v>
      </c>
      <c r="V124" t="s">
        <v>155</v>
      </c>
      <c r="W124" t="s">
        <v>155</v>
      </c>
      <c r="X124" t="s">
        <v>155</v>
      </c>
      <c r="Y124" t="s">
        <v>155</v>
      </c>
      <c r="AC124" t="s">
        <v>159</v>
      </c>
      <c r="AD124" t="s">
        <v>155</v>
      </c>
      <c r="AE124" t="s">
        <v>155</v>
      </c>
      <c r="AF124" t="s">
        <v>20</v>
      </c>
      <c r="AG124" t="s">
        <v>155</v>
      </c>
      <c r="AH124" t="s">
        <v>20</v>
      </c>
    </row>
    <row r="125" spans="14:34" ht="16.2" customHeight="1" x14ac:dyDescent="0.3">
      <c r="T125" t="s">
        <v>160</v>
      </c>
      <c r="U125" t="s">
        <v>20</v>
      </c>
      <c r="V125" t="s">
        <v>155</v>
      </c>
      <c r="W125" t="s">
        <v>155</v>
      </c>
      <c r="X125" t="s">
        <v>155</v>
      </c>
      <c r="Y125" t="s">
        <v>155</v>
      </c>
      <c r="AC125" t="s">
        <v>160</v>
      </c>
      <c r="AD125" t="s">
        <v>155</v>
      </c>
      <c r="AE125" t="s">
        <v>155</v>
      </c>
      <c r="AF125" t="s">
        <v>20</v>
      </c>
      <c r="AG125" t="s">
        <v>155</v>
      </c>
      <c r="AH125" t="s">
        <v>20</v>
      </c>
    </row>
    <row r="126" spans="14:34" ht="16.2" customHeight="1" x14ac:dyDescent="0.3">
      <c r="T126" t="s">
        <v>169</v>
      </c>
      <c r="U126" t="s">
        <v>155</v>
      </c>
      <c r="V126" t="s">
        <v>155</v>
      </c>
      <c r="W126" t="s">
        <v>155</v>
      </c>
      <c r="X126" t="s">
        <v>155</v>
      </c>
      <c r="Y126" t="s">
        <v>155</v>
      </c>
      <c r="AC126" t="s">
        <v>169</v>
      </c>
      <c r="AD126" t="s">
        <v>155</v>
      </c>
      <c r="AE126" t="s">
        <v>155</v>
      </c>
      <c r="AF126" t="s">
        <v>155</v>
      </c>
      <c r="AG126" t="s">
        <v>155</v>
      </c>
      <c r="AH126" t="s">
        <v>155</v>
      </c>
    </row>
    <row r="127" spans="14:34" ht="16.2" customHeight="1" x14ac:dyDescent="0.3">
      <c r="T127" t="s">
        <v>170</v>
      </c>
      <c r="U127" t="s">
        <v>155</v>
      </c>
      <c r="V127" t="s">
        <v>155</v>
      </c>
      <c r="W127" t="s">
        <v>155</v>
      </c>
      <c r="X127" t="s">
        <v>155</v>
      </c>
      <c r="Y127" t="s">
        <v>155</v>
      </c>
      <c r="AC127" t="s">
        <v>170</v>
      </c>
      <c r="AD127" t="s">
        <v>155</v>
      </c>
      <c r="AE127" t="s">
        <v>155</v>
      </c>
      <c r="AF127" t="s">
        <v>155</v>
      </c>
      <c r="AG127" t="s">
        <v>155</v>
      </c>
      <c r="AH127" t="s">
        <v>155</v>
      </c>
    </row>
    <row r="128" spans="14:34" ht="16.2" customHeight="1" x14ac:dyDescent="0.3">
      <c r="T128" t="s">
        <v>171</v>
      </c>
      <c r="U128" t="s">
        <v>155</v>
      </c>
      <c r="V128" t="s">
        <v>155</v>
      </c>
      <c r="W128" t="s">
        <v>155</v>
      </c>
      <c r="X128" t="s">
        <v>155</v>
      </c>
      <c r="Y128" t="s">
        <v>155</v>
      </c>
      <c r="AC128" t="s">
        <v>171</v>
      </c>
      <c r="AD128" t="s">
        <v>155</v>
      </c>
      <c r="AE128" t="s">
        <v>155</v>
      </c>
      <c r="AF128" t="s">
        <v>155</v>
      </c>
      <c r="AG128" t="s">
        <v>155</v>
      </c>
      <c r="AH128" t="s">
        <v>155</v>
      </c>
    </row>
    <row r="129" spans="19:34" ht="16.2" customHeight="1" x14ac:dyDescent="0.3">
      <c r="T129" t="s">
        <v>172</v>
      </c>
      <c r="U129" t="s">
        <v>155</v>
      </c>
      <c r="V129" t="s">
        <v>155</v>
      </c>
      <c r="W129" t="s">
        <v>155</v>
      </c>
      <c r="X129" t="s">
        <v>155</v>
      </c>
      <c r="Y129" t="s">
        <v>155</v>
      </c>
      <c r="AC129" t="s">
        <v>172</v>
      </c>
      <c r="AD129" t="s">
        <v>155</v>
      </c>
      <c r="AE129" t="s">
        <v>155</v>
      </c>
      <c r="AF129" t="s">
        <v>155</v>
      </c>
      <c r="AG129" t="s">
        <v>155</v>
      </c>
      <c r="AH129" t="s">
        <v>155</v>
      </c>
    </row>
    <row r="131" spans="19:34" ht="16.2" customHeight="1" x14ac:dyDescent="0.3">
      <c r="S131" s="15" t="s">
        <v>109</v>
      </c>
      <c r="T131" t="s">
        <v>186</v>
      </c>
      <c r="AB131" s="15" t="s">
        <v>109</v>
      </c>
      <c r="AC131" t="s">
        <v>186</v>
      </c>
    </row>
    <row r="132" spans="19:34" ht="16.2" customHeight="1" x14ac:dyDescent="0.3">
      <c r="U132" t="s">
        <v>164</v>
      </c>
      <c r="V132" t="s">
        <v>165</v>
      </c>
      <c r="W132" t="s">
        <v>166</v>
      </c>
      <c r="X132" t="s">
        <v>167</v>
      </c>
      <c r="Y132" t="s">
        <v>168</v>
      </c>
      <c r="AD132" t="s">
        <v>164</v>
      </c>
      <c r="AE132" t="s">
        <v>165</v>
      </c>
      <c r="AF132" t="s">
        <v>166</v>
      </c>
      <c r="AG132" t="s">
        <v>167</v>
      </c>
      <c r="AH132" t="s">
        <v>168</v>
      </c>
    </row>
    <row r="133" spans="19:34" ht="16.2" customHeight="1" x14ac:dyDescent="0.3">
      <c r="T133" t="s">
        <v>154</v>
      </c>
      <c r="U133" t="s">
        <v>155</v>
      </c>
      <c r="V133" t="s">
        <v>20</v>
      </c>
      <c r="W133" t="s">
        <v>155</v>
      </c>
      <c r="X133" t="s">
        <v>20</v>
      </c>
      <c r="Y133" t="s">
        <v>155</v>
      </c>
      <c r="AC133" t="s">
        <v>154</v>
      </c>
      <c r="AD133" t="s">
        <v>20</v>
      </c>
      <c r="AE133" t="s">
        <v>155</v>
      </c>
      <c r="AF133" t="s">
        <v>20</v>
      </c>
      <c r="AG133" t="s">
        <v>155</v>
      </c>
      <c r="AH133" t="s">
        <v>155</v>
      </c>
    </row>
    <row r="134" spans="19:34" ht="16.2" customHeight="1" x14ac:dyDescent="0.3">
      <c r="T134" t="s">
        <v>156</v>
      </c>
      <c r="U134" t="s">
        <v>155</v>
      </c>
      <c r="V134" t="s">
        <v>20</v>
      </c>
      <c r="W134" t="s">
        <v>155</v>
      </c>
      <c r="X134" t="s">
        <v>20</v>
      </c>
      <c r="Y134" t="s">
        <v>155</v>
      </c>
      <c r="AC134" t="s">
        <v>156</v>
      </c>
      <c r="AD134" t="s">
        <v>20</v>
      </c>
      <c r="AE134" t="s">
        <v>155</v>
      </c>
      <c r="AF134" t="s">
        <v>20</v>
      </c>
      <c r="AG134" t="s">
        <v>155</v>
      </c>
      <c r="AH134" t="s">
        <v>155</v>
      </c>
    </row>
    <row r="135" spans="19:34" ht="16.2" customHeight="1" x14ac:dyDescent="0.3">
      <c r="T135" t="s">
        <v>157</v>
      </c>
      <c r="U135" t="s">
        <v>155</v>
      </c>
      <c r="V135" t="s">
        <v>155</v>
      </c>
      <c r="W135" t="s">
        <v>155</v>
      </c>
      <c r="X135" t="s">
        <v>155</v>
      </c>
      <c r="Y135" t="s">
        <v>155</v>
      </c>
      <c r="AC135" t="s">
        <v>157</v>
      </c>
      <c r="AD135" t="s">
        <v>155</v>
      </c>
      <c r="AE135" t="s">
        <v>155</v>
      </c>
      <c r="AF135" t="s">
        <v>155</v>
      </c>
      <c r="AG135" t="s">
        <v>155</v>
      </c>
      <c r="AH135" t="s">
        <v>155</v>
      </c>
    </row>
    <row r="136" spans="19:34" ht="16.2" customHeight="1" x14ac:dyDescent="0.3">
      <c r="T136" t="s">
        <v>158</v>
      </c>
      <c r="U136" t="s">
        <v>155</v>
      </c>
      <c r="V136" t="s">
        <v>155</v>
      </c>
      <c r="W136" t="s">
        <v>155</v>
      </c>
      <c r="X136" t="s">
        <v>155</v>
      </c>
      <c r="Y136" t="s">
        <v>155</v>
      </c>
      <c r="AC136" t="s">
        <v>158</v>
      </c>
      <c r="AD136" t="s">
        <v>155</v>
      </c>
      <c r="AE136" t="s">
        <v>155</v>
      </c>
      <c r="AF136" t="s">
        <v>155</v>
      </c>
      <c r="AG136" t="s">
        <v>155</v>
      </c>
      <c r="AH136" t="s">
        <v>155</v>
      </c>
    </row>
    <row r="137" spans="19:34" ht="16.2" customHeight="1" x14ac:dyDescent="0.3">
      <c r="T137" t="s">
        <v>159</v>
      </c>
      <c r="U137" t="s">
        <v>155</v>
      </c>
      <c r="V137" t="s">
        <v>155</v>
      </c>
      <c r="W137" t="s">
        <v>155</v>
      </c>
      <c r="X137" t="s">
        <v>155</v>
      </c>
      <c r="Y137" t="s">
        <v>155</v>
      </c>
      <c r="AC137" t="s">
        <v>159</v>
      </c>
      <c r="AD137" t="s">
        <v>155</v>
      </c>
      <c r="AE137" t="s">
        <v>155</v>
      </c>
      <c r="AF137" t="s">
        <v>155</v>
      </c>
      <c r="AG137" t="s">
        <v>155</v>
      </c>
      <c r="AH137" t="s">
        <v>155</v>
      </c>
    </row>
    <row r="138" spans="19:34" ht="16.2" customHeight="1" x14ac:dyDescent="0.3">
      <c r="T138" t="s">
        <v>160</v>
      </c>
      <c r="U138" t="s">
        <v>155</v>
      </c>
      <c r="V138" t="s">
        <v>155</v>
      </c>
      <c r="W138" t="s">
        <v>155</v>
      </c>
      <c r="X138" t="s">
        <v>155</v>
      </c>
      <c r="Y138" t="s">
        <v>155</v>
      </c>
      <c r="AC138" t="s">
        <v>160</v>
      </c>
      <c r="AD138" t="s">
        <v>155</v>
      </c>
      <c r="AE138" t="s">
        <v>155</v>
      </c>
      <c r="AF138" t="s">
        <v>155</v>
      </c>
      <c r="AG138" t="s">
        <v>155</v>
      </c>
      <c r="AH138" t="s">
        <v>155</v>
      </c>
    </row>
    <row r="139" spans="19:34" ht="16.2" customHeight="1" x14ac:dyDescent="0.3">
      <c r="T139" t="s">
        <v>169</v>
      </c>
      <c r="U139" t="s">
        <v>155</v>
      </c>
      <c r="V139" t="s">
        <v>155</v>
      </c>
      <c r="W139" t="s">
        <v>155</v>
      </c>
      <c r="X139" t="s">
        <v>155</v>
      </c>
      <c r="Y139" t="s">
        <v>155</v>
      </c>
      <c r="AC139" t="s">
        <v>169</v>
      </c>
      <c r="AD139" t="s">
        <v>155</v>
      </c>
      <c r="AE139" t="s">
        <v>155</v>
      </c>
      <c r="AF139" t="s">
        <v>155</v>
      </c>
      <c r="AG139" t="s">
        <v>155</v>
      </c>
      <c r="AH139" t="s">
        <v>155</v>
      </c>
    </row>
    <row r="140" spans="19:34" ht="16.2" customHeight="1" x14ac:dyDescent="0.3">
      <c r="T140" t="s">
        <v>170</v>
      </c>
      <c r="U140" t="s">
        <v>155</v>
      </c>
      <c r="V140" t="s">
        <v>155</v>
      </c>
      <c r="W140" t="s">
        <v>155</v>
      </c>
      <c r="X140" t="s">
        <v>155</v>
      </c>
      <c r="Y140" t="s">
        <v>155</v>
      </c>
      <c r="AC140" t="s">
        <v>170</v>
      </c>
      <c r="AD140" t="s">
        <v>155</v>
      </c>
      <c r="AE140" t="s">
        <v>155</v>
      </c>
      <c r="AF140" t="s">
        <v>155</v>
      </c>
      <c r="AG140" t="s">
        <v>155</v>
      </c>
      <c r="AH140" t="s">
        <v>155</v>
      </c>
    </row>
    <row r="141" spans="19:34" ht="16.2" customHeight="1" x14ac:dyDescent="0.3">
      <c r="T141" t="s">
        <v>171</v>
      </c>
      <c r="U141" t="s">
        <v>155</v>
      </c>
      <c r="V141" t="s">
        <v>155</v>
      </c>
      <c r="W141" t="s">
        <v>155</v>
      </c>
      <c r="X141" t="s">
        <v>155</v>
      </c>
      <c r="Y141" t="s">
        <v>155</v>
      </c>
      <c r="AC141" t="s">
        <v>171</v>
      </c>
      <c r="AD141" t="s">
        <v>155</v>
      </c>
      <c r="AE141" t="s">
        <v>155</v>
      </c>
      <c r="AF141" t="s">
        <v>155</v>
      </c>
      <c r="AG141" t="s">
        <v>155</v>
      </c>
      <c r="AH141" t="s">
        <v>155</v>
      </c>
    </row>
    <row r="142" spans="19:34" ht="16.2" customHeight="1" x14ac:dyDescent="0.3">
      <c r="T142" t="s">
        <v>172</v>
      </c>
      <c r="U142" t="s">
        <v>155</v>
      </c>
      <c r="V142" t="s">
        <v>155</v>
      </c>
      <c r="W142" t="s">
        <v>155</v>
      </c>
      <c r="X142" t="s">
        <v>155</v>
      </c>
      <c r="Y142" t="s">
        <v>155</v>
      </c>
      <c r="AC142" t="s">
        <v>172</v>
      </c>
      <c r="AD142" t="s">
        <v>155</v>
      </c>
      <c r="AE142" t="s">
        <v>155</v>
      </c>
      <c r="AF142" t="s">
        <v>155</v>
      </c>
      <c r="AG142" t="s">
        <v>155</v>
      </c>
      <c r="AH142" t="s">
        <v>155</v>
      </c>
    </row>
    <row r="144" spans="19:34" ht="16.2" customHeight="1" x14ac:dyDescent="0.3">
      <c r="S144" s="15" t="s">
        <v>110</v>
      </c>
      <c r="T144" t="s">
        <v>187</v>
      </c>
      <c r="AB144" s="15" t="s">
        <v>110</v>
      </c>
      <c r="AC144" t="s">
        <v>187</v>
      </c>
    </row>
    <row r="145" spans="19:34" ht="16.2" customHeight="1" x14ac:dyDescent="0.3">
      <c r="U145" t="s">
        <v>164</v>
      </c>
      <c r="V145" t="s">
        <v>165</v>
      </c>
      <c r="W145" t="s">
        <v>166</v>
      </c>
      <c r="X145" t="s">
        <v>167</v>
      </c>
      <c r="Y145" t="s">
        <v>168</v>
      </c>
      <c r="AD145" t="s">
        <v>164</v>
      </c>
      <c r="AE145" t="s">
        <v>165</v>
      </c>
      <c r="AF145" t="s">
        <v>166</v>
      </c>
      <c r="AG145" t="s">
        <v>167</v>
      </c>
      <c r="AH145" t="s">
        <v>168</v>
      </c>
    </row>
    <row r="146" spans="19:34" ht="16.2" customHeight="1" x14ac:dyDescent="0.3">
      <c r="T146" t="s">
        <v>154</v>
      </c>
      <c r="U146" t="s">
        <v>155</v>
      </c>
      <c r="V146" t="s">
        <v>155</v>
      </c>
      <c r="W146" t="s">
        <v>155</v>
      </c>
      <c r="X146" t="s">
        <v>155</v>
      </c>
      <c r="Y146" t="s">
        <v>21</v>
      </c>
      <c r="AC146" t="s">
        <v>154</v>
      </c>
      <c r="AD146" t="s">
        <v>155</v>
      </c>
      <c r="AE146" t="s">
        <v>155</v>
      </c>
      <c r="AF146" t="s">
        <v>155</v>
      </c>
      <c r="AG146" t="s">
        <v>155</v>
      </c>
      <c r="AH146" t="s">
        <v>21</v>
      </c>
    </row>
    <row r="147" spans="19:34" ht="16.2" customHeight="1" x14ac:dyDescent="0.3">
      <c r="T147" t="s">
        <v>156</v>
      </c>
      <c r="U147" t="s">
        <v>155</v>
      </c>
      <c r="V147" t="s">
        <v>155</v>
      </c>
      <c r="W147" t="s">
        <v>155</v>
      </c>
      <c r="X147" t="s">
        <v>155</v>
      </c>
      <c r="Y147" t="s">
        <v>21</v>
      </c>
      <c r="AC147" t="s">
        <v>156</v>
      </c>
      <c r="AD147" t="s">
        <v>155</v>
      </c>
      <c r="AE147" t="s">
        <v>155</v>
      </c>
      <c r="AF147" t="s">
        <v>155</v>
      </c>
      <c r="AG147" t="s">
        <v>155</v>
      </c>
      <c r="AH147" t="s">
        <v>21</v>
      </c>
    </row>
    <row r="148" spans="19:34" ht="16.2" customHeight="1" x14ac:dyDescent="0.3">
      <c r="T148" t="s">
        <v>157</v>
      </c>
      <c r="U148" t="s">
        <v>155</v>
      </c>
      <c r="V148" t="s">
        <v>155</v>
      </c>
      <c r="W148" t="s">
        <v>155</v>
      </c>
      <c r="X148" t="s">
        <v>155</v>
      </c>
      <c r="Y148" t="s">
        <v>21</v>
      </c>
      <c r="AC148" t="s">
        <v>157</v>
      </c>
      <c r="AD148" t="s">
        <v>155</v>
      </c>
      <c r="AE148" t="s">
        <v>155</v>
      </c>
      <c r="AF148" t="s">
        <v>155</v>
      </c>
      <c r="AG148" t="s">
        <v>155</v>
      </c>
      <c r="AH148" t="s">
        <v>21</v>
      </c>
    </row>
    <row r="149" spans="19:34" ht="16.2" customHeight="1" x14ac:dyDescent="0.3">
      <c r="T149" t="s">
        <v>158</v>
      </c>
      <c r="U149" t="s">
        <v>155</v>
      </c>
      <c r="V149" t="s">
        <v>155</v>
      </c>
      <c r="W149" t="s">
        <v>155</v>
      </c>
      <c r="X149" t="s">
        <v>155</v>
      </c>
      <c r="Y149" t="s">
        <v>21</v>
      </c>
      <c r="AC149" t="s">
        <v>158</v>
      </c>
      <c r="AD149" t="s">
        <v>155</v>
      </c>
      <c r="AE149" t="s">
        <v>155</v>
      </c>
      <c r="AF149" t="s">
        <v>155</v>
      </c>
      <c r="AG149" t="s">
        <v>155</v>
      </c>
      <c r="AH149" t="s">
        <v>21</v>
      </c>
    </row>
    <row r="150" spans="19:34" ht="16.2" customHeight="1" x14ac:dyDescent="0.3">
      <c r="T150" t="s">
        <v>159</v>
      </c>
      <c r="U150" t="s">
        <v>155</v>
      </c>
      <c r="V150" t="s">
        <v>155</v>
      </c>
      <c r="W150" t="s">
        <v>155</v>
      </c>
      <c r="X150" t="s">
        <v>155</v>
      </c>
      <c r="Y150" t="s">
        <v>21</v>
      </c>
      <c r="AC150" t="s">
        <v>159</v>
      </c>
      <c r="AD150" t="s">
        <v>155</v>
      </c>
      <c r="AE150" t="s">
        <v>155</v>
      </c>
      <c r="AF150" t="s">
        <v>155</v>
      </c>
      <c r="AG150" t="s">
        <v>155</v>
      </c>
      <c r="AH150" t="s">
        <v>21</v>
      </c>
    </row>
    <row r="151" spans="19:34" ht="16.2" customHeight="1" x14ac:dyDescent="0.3">
      <c r="T151" t="s">
        <v>160</v>
      </c>
      <c r="U151" t="s">
        <v>155</v>
      </c>
      <c r="V151" t="s">
        <v>155</v>
      </c>
      <c r="W151" t="s">
        <v>155</v>
      </c>
      <c r="X151" t="s">
        <v>155</v>
      </c>
      <c r="Y151" t="s">
        <v>21</v>
      </c>
      <c r="AC151" t="s">
        <v>160</v>
      </c>
      <c r="AD151" t="s">
        <v>155</v>
      </c>
      <c r="AE151" t="s">
        <v>155</v>
      </c>
      <c r="AF151" t="s">
        <v>155</v>
      </c>
      <c r="AG151" t="s">
        <v>155</v>
      </c>
      <c r="AH151" t="s">
        <v>21</v>
      </c>
    </row>
    <row r="152" spans="19:34" ht="16.2" customHeight="1" x14ac:dyDescent="0.3">
      <c r="T152" t="s">
        <v>169</v>
      </c>
      <c r="U152" t="s">
        <v>155</v>
      </c>
      <c r="V152" t="s">
        <v>155</v>
      </c>
      <c r="W152" t="s">
        <v>155</v>
      </c>
      <c r="X152" t="s">
        <v>155</v>
      </c>
      <c r="Y152" t="s">
        <v>155</v>
      </c>
      <c r="AC152" t="s">
        <v>169</v>
      </c>
      <c r="AD152" t="s">
        <v>155</v>
      </c>
      <c r="AE152" t="s">
        <v>155</v>
      </c>
      <c r="AF152" t="s">
        <v>155</v>
      </c>
      <c r="AG152" t="s">
        <v>155</v>
      </c>
      <c r="AH152" t="s">
        <v>155</v>
      </c>
    </row>
    <row r="153" spans="19:34" ht="16.2" customHeight="1" x14ac:dyDescent="0.3">
      <c r="T153" t="s">
        <v>170</v>
      </c>
      <c r="U153" t="s">
        <v>155</v>
      </c>
      <c r="V153" t="s">
        <v>155</v>
      </c>
      <c r="W153" t="s">
        <v>155</v>
      </c>
      <c r="X153" t="s">
        <v>155</v>
      </c>
      <c r="Y153" t="s">
        <v>155</v>
      </c>
      <c r="AC153" t="s">
        <v>170</v>
      </c>
      <c r="AD153" t="s">
        <v>155</v>
      </c>
      <c r="AE153" t="s">
        <v>155</v>
      </c>
      <c r="AF153" t="s">
        <v>155</v>
      </c>
      <c r="AG153" t="s">
        <v>155</v>
      </c>
      <c r="AH153" t="s">
        <v>155</v>
      </c>
    </row>
    <row r="154" spans="19:34" ht="16.2" customHeight="1" x14ac:dyDescent="0.3">
      <c r="T154" t="s">
        <v>171</v>
      </c>
      <c r="U154" t="s">
        <v>155</v>
      </c>
      <c r="V154" t="s">
        <v>155</v>
      </c>
      <c r="W154" t="s">
        <v>155</v>
      </c>
      <c r="X154" t="s">
        <v>155</v>
      </c>
      <c r="Y154" t="s">
        <v>155</v>
      </c>
      <c r="AC154" t="s">
        <v>171</v>
      </c>
      <c r="AD154" t="s">
        <v>155</v>
      </c>
      <c r="AE154" t="s">
        <v>155</v>
      </c>
      <c r="AF154" t="s">
        <v>155</v>
      </c>
      <c r="AG154" t="s">
        <v>155</v>
      </c>
      <c r="AH154" t="s">
        <v>155</v>
      </c>
    </row>
    <row r="155" spans="19:34" ht="16.2" customHeight="1" x14ac:dyDescent="0.3">
      <c r="T155" t="s">
        <v>172</v>
      </c>
      <c r="U155" t="s">
        <v>155</v>
      </c>
      <c r="V155" t="s">
        <v>155</v>
      </c>
      <c r="W155" t="s">
        <v>155</v>
      </c>
      <c r="X155" t="s">
        <v>155</v>
      </c>
      <c r="Y155" t="s">
        <v>155</v>
      </c>
      <c r="AC155" t="s">
        <v>172</v>
      </c>
      <c r="AD155" t="s">
        <v>155</v>
      </c>
      <c r="AE155" t="s">
        <v>155</v>
      </c>
      <c r="AF155" t="s">
        <v>155</v>
      </c>
      <c r="AG155" t="s">
        <v>155</v>
      </c>
      <c r="AH155" t="s">
        <v>155</v>
      </c>
    </row>
    <row r="157" spans="19:34" ht="16.2" customHeight="1" x14ac:dyDescent="0.3">
      <c r="S157" s="15" t="s">
        <v>111</v>
      </c>
      <c r="T157" t="s">
        <v>188</v>
      </c>
      <c r="AB157" s="15" t="s">
        <v>111</v>
      </c>
      <c r="AC157" t="s">
        <v>188</v>
      </c>
    </row>
    <row r="158" spans="19:34" ht="16.2" customHeight="1" x14ac:dyDescent="0.3">
      <c r="U158" t="s">
        <v>164</v>
      </c>
      <c r="V158" t="s">
        <v>165</v>
      </c>
      <c r="W158" t="s">
        <v>166</v>
      </c>
      <c r="X158" t="s">
        <v>167</v>
      </c>
      <c r="Y158" t="s">
        <v>168</v>
      </c>
      <c r="AD158" t="s">
        <v>164</v>
      </c>
      <c r="AE158" t="s">
        <v>165</v>
      </c>
      <c r="AF158" t="s">
        <v>166</v>
      </c>
      <c r="AG158" t="s">
        <v>167</v>
      </c>
      <c r="AH158" t="s">
        <v>168</v>
      </c>
    </row>
    <row r="159" spans="19:34" ht="16.2" customHeight="1" x14ac:dyDescent="0.3">
      <c r="T159" t="s">
        <v>154</v>
      </c>
      <c r="U159" t="s">
        <v>155</v>
      </c>
      <c r="V159" t="s">
        <v>155</v>
      </c>
      <c r="W159" t="s">
        <v>155</v>
      </c>
      <c r="X159" t="s">
        <v>155</v>
      </c>
      <c r="Y159" t="s">
        <v>155</v>
      </c>
      <c r="AC159" t="s">
        <v>154</v>
      </c>
      <c r="AD159" t="s">
        <v>155</v>
      </c>
      <c r="AE159" t="s">
        <v>155</v>
      </c>
      <c r="AF159" t="s">
        <v>155</v>
      </c>
      <c r="AG159" t="s">
        <v>155</v>
      </c>
      <c r="AH159" t="s">
        <v>155</v>
      </c>
    </row>
    <row r="160" spans="19:34" ht="16.2" customHeight="1" x14ac:dyDescent="0.3">
      <c r="T160" t="s">
        <v>156</v>
      </c>
      <c r="U160" t="s">
        <v>155</v>
      </c>
      <c r="V160" t="s">
        <v>155</v>
      </c>
      <c r="W160" t="s">
        <v>155</v>
      </c>
      <c r="X160" t="s">
        <v>155</v>
      </c>
      <c r="Y160" t="s">
        <v>155</v>
      </c>
      <c r="AC160" t="s">
        <v>156</v>
      </c>
      <c r="AD160" t="s">
        <v>155</v>
      </c>
      <c r="AE160" t="s">
        <v>155</v>
      </c>
      <c r="AF160" t="s">
        <v>155</v>
      </c>
      <c r="AG160" t="s">
        <v>155</v>
      </c>
      <c r="AH160" t="s">
        <v>155</v>
      </c>
    </row>
    <row r="161" spans="19:34" ht="16.2" customHeight="1" x14ac:dyDescent="0.3">
      <c r="T161" t="s">
        <v>157</v>
      </c>
      <c r="U161" t="s">
        <v>155</v>
      </c>
      <c r="V161" t="s">
        <v>155</v>
      </c>
      <c r="W161" t="s">
        <v>24</v>
      </c>
      <c r="X161" t="s">
        <v>155</v>
      </c>
      <c r="Y161" t="s">
        <v>24</v>
      </c>
      <c r="AC161" t="s">
        <v>157</v>
      </c>
      <c r="AD161" t="s">
        <v>155</v>
      </c>
      <c r="AE161" t="s">
        <v>155</v>
      </c>
      <c r="AF161" t="s">
        <v>24</v>
      </c>
      <c r="AG161" t="s">
        <v>155</v>
      </c>
      <c r="AH161" t="s">
        <v>24</v>
      </c>
    </row>
    <row r="162" spans="19:34" ht="16.2" customHeight="1" x14ac:dyDescent="0.3">
      <c r="T162" t="s">
        <v>158</v>
      </c>
      <c r="U162" t="s">
        <v>155</v>
      </c>
      <c r="V162" t="s">
        <v>155</v>
      </c>
      <c r="W162" t="s">
        <v>24</v>
      </c>
      <c r="X162" t="s">
        <v>155</v>
      </c>
      <c r="Y162" t="s">
        <v>24</v>
      </c>
      <c r="AC162" t="s">
        <v>158</v>
      </c>
      <c r="AD162" t="s">
        <v>155</v>
      </c>
      <c r="AE162" t="s">
        <v>155</v>
      </c>
      <c r="AF162" t="s">
        <v>24</v>
      </c>
      <c r="AG162" t="s">
        <v>155</v>
      </c>
      <c r="AH162" t="s">
        <v>24</v>
      </c>
    </row>
    <row r="163" spans="19:34" ht="16.2" customHeight="1" x14ac:dyDescent="0.3">
      <c r="T163" t="s">
        <v>159</v>
      </c>
      <c r="U163" t="s">
        <v>155</v>
      </c>
      <c r="V163" t="s">
        <v>155</v>
      </c>
      <c r="W163" t="s">
        <v>24</v>
      </c>
      <c r="X163" t="s">
        <v>155</v>
      </c>
      <c r="Y163" t="s">
        <v>155</v>
      </c>
      <c r="AC163" t="s">
        <v>159</v>
      </c>
      <c r="AD163" t="s">
        <v>155</v>
      </c>
      <c r="AE163" t="s">
        <v>155</v>
      </c>
      <c r="AF163" t="s">
        <v>24</v>
      </c>
      <c r="AG163" t="s">
        <v>155</v>
      </c>
      <c r="AH163" t="s">
        <v>155</v>
      </c>
    </row>
    <row r="164" spans="19:34" ht="16.2" customHeight="1" x14ac:dyDescent="0.3">
      <c r="T164" t="s">
        <v>160</v>
      </c>
      <c r="U164" t="s">
        <v>155</v>
      </c>
      <c r="V164" t="s">
        <v>155</v>
      </c>
      <c r="W164" t="s">
        <v>155</v>
      </c>
      <c r="X164" t="s">
        <v>155</v>
      </c>
      <c r="Y164" t="s">
        <v>155</v>
      </c>
      <c r="AC164" t="s">
        <v>160</v>
      </c>
      <c r="AD164" t="s">
        <v>155</v>
      </c>
      <c r="AE164" t="s">
        <v>155</v>
      </c>
      <c r="AF164" t="s">
        <v>155</v>
      </c>
      <c r="AG164" t="s">
        <v>155</v>
      </c>
      <c r="AH164" t="s">
        <v>155</v>
      </c>
    </row>
    <row r="165" spans="19:34" ht="16.2" customHeight="1" x14ac:dyDescent="0.3">
      <c r="T165" t="s">
        <v>169</v>
      </c>
      <c r="U165" t="s">
        <v>155</v>
      </c>
      <c r="V165" t="s">
        <v>155</v>
      </c>
      <c r="W165" t="s">
        <v>155</v>
      </c>
      <c r="X165" t="s">
        <v>155</v>
      </c>
      <c r="Y165" t="s">
        <v>155</v>
      </c>
      <c r="AC165" t="s">
        <v>169</v>
      </c>
      <c r="AD165" t="s">
        <v>155</v>
      </c>
      <c r="AE165" t="s">
        <v>155</v>
      </c>
      <c r="AF165" t="s">
        <v>155</v>
      </c>
      <c r="AG165" t="s">
        <v>155</v>
      </c>
      <c r="AH165" t="s">
        <v>155</v>
      </c>
    </row>
    <row r="166" spans="19:34" ht="16.2" customHeight="1" x14ac:dyDescent="0.3">
      <c r="T166" t="s">
        <v>170</v>
      </c>
      <c r="U166" t="s">
        <v>155</v>
      </c>
      <c r="V166" t="s">
        <v>155</v>
      </c>
      <c r="W166" t="s">
        <v>155</v>
      </c>
      <c r="X166" t="s">
        <v>155</v>
      </c>
      <c r="Y166" t="s">
        <v>155</v>
      </c>
      <c r="AC166" t="s">
        <v>170</v>
      </c>
      <c r="AD166" t="s">
        <v>155</v>
      </c>
      <c r="AE166" t="s">
        <v>155</v>
      </c>
      <c r="AF166" t="s">
        <v>155</v>
      </c>
      <c r="AG166" t="s">
        <v>155</v>
      </c>
      <c r="AH166" t="s">
        <v>155</v>
      </c>
    </row>
    <row r="167" spans="19:34" ht="16.2" customHeight="1" x14ac:dyDescent="0.3">
      <c r="T167" t="s">
        <v>171</v>
      </c>
      <c r="U167" t="s">
        <v>155</v>
      </c>
      <c r="V167" t="s">
        <v>155</v>
      </c>
      <c r="W167" t="s">
        <v>155</v>
      </c>
      <c r="X167" t="s">
        <v>155</v>
      </c>
      <c r="Y167" t="s">
        <v>155</v>
      </c>
      <c r="AC167" t="s">
        <v>171</v>
      </c>
      <c r="AD167" t="s">
        <v>155</v>
      </c>
      <c r="AE167" t="s">
        <v>155</v>
      </c>
      <c r="AF167" t="s">
        <v>155</v>
      </c>
      <c r="AG167" t="s">
        <v>155</v>
      </c>
      <c r="AH167" t="s">
        <v>155</v>
      </c>
    </row>
    <row r="168" spans="19:34" ht="16.2" customHeight="1" x14ac:dyDescent="0.3">
      <c r="T168" t="s">
        <v>172</v>
      </c>
      <c r="U168" t="s">
        <v>155</v>
      </c>
      <c r="V168" t="s">
        <v>155</v>
      </c>
      <c r="W168" t="s">
        <v>155</v>
      </c>
      <c r="X168" t="s">
        <v>155</v>
      </c>
      <c r="Y168" t="s">
        <v>155</v>
      </c>
      <c r="AC168" t="s">
        <v>172</v>
      </c>
      <c r="AD168" t="s">
        <v>155</v>
      </c>
      <c r="AE168" t="s">
        <v>155</v>
      </c>
      <c r="AF168" t="s">
        <v>155</v>
      </c>
      <c r="AG168" t="s">
        <v>155</v>
      </c>
      <c r="AH168" t="s">
        <v>155</v>
      </c>
    </row>
    <row r="170" spans="19:34" ht="16.2" customHeight="1" x14ac:dyDescent="0.3">
      <c r="S170" s="15" t="s">
        <v>112</v>
      </c>
      <c r="T170" t="s">
        <v>189</v>
      </c>
      <c r="AB170" s="15" t="s">
        <v>112</v>
      </c>
      <c r="AC170" t="s">
        <v>189</v>
      </c>
    </row>
    <row r="171" spans="19:34" ht="16.2" customHeight="1" x14ac:dyDescent="0.3">
      <c r="U171" t="s">
        <v>164</v>
      </c>
      <c r="V171" t="s">
        <v>165</v>
      </c>
      <c r="W171" t="s">
        <v>166</v>
      </c>
      <c r="X171" t="s">
        <v>167</v>
      </c>
      <c r="Y171" t="s">
        <v>168</v>
      </c>
      <c r="AD171" t="s">
        <v>164</v>
      </c>
      <c r="AE171" t="s">
        <v>165</v>
      </c>
      <c r="AF171" t="s">
        <v>166</v>
      </c>
      <c r="AG171" t="s">
        <v>167</v>
      </c>
      <c r="AH171" t="s">
        <v>168</v>
      </c>
    </row>
    <row r="172" spans="19:34" ht="16.2" customHeight="1" x14ac:dyDescent="0.3">
      <c r="T172" t="s">
        <v>154</v>
      </c>
      <c r="U172" t="s">
        <v>155</v>
      </c>
      <c r="V172" t="s">
        <v>155</v>
      </c>
      <c r="W172" t="s">
        <v>155</v>
      </c>
      <c r="X172" t="s">
        <v>155</v>
      </c>
      <c r="Y172" t="s">
        <v>155</v>
      </c>
      <c r="AC172" t="s">
        <v>154</v>
      </c>
      <c r="AD172" t="s">
        <v>155</v>
      </c>
      <c r="AE172" t="s">
        <v>155</v>
      </c>
      <c r="AF172" t="s">
        <v>155</v>
      </c>
      <c r="AG172" t="s">
        <v>155</v>
      </c>
      <c r="AH172" t="s">
        <v>155</v>
      </c>
    </row>
    <row r="173" spans="19:34" ht="16.2" customHeight="1" x14ac:dyDescent="0.3">
      <c r="T173" t="s">
        <v>156</v>
      </c>
      <c r="U173" t="s">
        <v>155</v>
      </c>
      <c r="V173" t="s">
        <v>155</v>
      </c>
      <c r="W173" t="s">
        <v>155</v>
      </c>
      <c r="X173" t="s">
        <v>155</v>
      </c>
      <c r="Y173" t="s">
        <v>155</v>
      </c>
      <c r="AC173" t="s">
        <v>156</v>
      </c>
      <c r="AD173" t="s">
        <v>89</v>
      </c>
      <c r="AE173" t="s">
        <v>155</v>
      </c>
      <c r="AF173" t="s">
        <v>155</v>
      </c>
      <c r="AG173" t="s">
        <v>155</v>
      </c>
      <c r="AH173" t="s">
        <v>155</v>
      </c>
    </row>
    <row r="174" spans="19:34" ht="16.2" customHeight="1" x14ac:dyDescent="0.3">
      <c r="T174" t="s">
        <v>157</v>
      </c>
      <c r="U174" t="s">
        <v>89</v>
      </c>
      <c r="V174" t="s">
        <v>24</v>
      </c>
      <c r="W174" t="s">
        <v>89</v>
      </c>
      <c r="X174" t="s">
        <v>155</v>
      </c>
      <c r="Y174" t="s">
        <v>24</v>
      </c>
      <c r="AC174" t="s">
        <v>157</v>
      </c>
      <c r="AD174" t="s">
        <v>89</v>
      </c>
      <c r="AE174" t="s">
        <v>24</v>
      </c>
      <c r="AF174" t="s">
        <v>89</v>
      </c>
      <c r="AG174" t="s">
        <v>155</v>
      </c>
      <c r="AH174" t="s">
        <v>24</v>
      </c>
    </row>
    <row r="175" spans="19:34" ht="16.2" customHeight="1" x14ac:dyDescent="0.3">
      <c r="T175" t="s">
        <v>158</v>
      </c>
      <c r="U175" t="s">
        <v>89</v>
      </c>
      <c r="V175" t="s">
        <v>24</v>
      </c>
      <c r="W175" t="s">
        <v>89</v>
      </c>
      <c r="X175" t="s">
        <v>155</v>
      </c>
      <c r="Y175" t="s">
        <v>24</v>
      </c>
      <c r="AC175" t="s">
        <v>158</v>
      </c>
      <c r="AD175" t="s">
        <v>89</v>
      </c>
      <c r="AE175" t="s">
        <v>24</v>
      </c>
      <c r="AF175" t="s">
        <v>89</v>
      </c>
      <c r="AG175" t="s">
        <v>155</v>
      </c>
      <c r="AH175" t="s">
        <v>24</v>
      </c>
    </row>
    <row r="176" spans="19:34" ht="16.2" customHeight="1" x14ac:dyDescent="0.3">
      <c r="T176" t="s">
        <v>159</v>
      </c>
      <c r="U176" t="s">
        <v>89</v>
      </c>
      <c r="V176" t="s">
        <v>155</v>
      </c>
      <c r="W176" t="s">
        <v>89</v>
      </c>
      <c r="X176" t="s">
        <v>155</v>
      </c>
      <c r="Y176" t="s">
        <v>24</v>
      </c>
      <c r="AC176" t="s">
        <v>159</v>
      </c>
      <c r="AD176" t="s">
        <v>155</v>
      </c>
      <c r="AE176" t="s">
        <v>155</v>
      </c>
      <c r="AF176" t="s">
        <v>89</v>
      </c>
      <c r="AG176" t="s">
        <v>155</v>
      </c>
      <c r="AH176" t="s">
        <v>24</v>
      </c>
    </row>
    <row r="177" spans="19:34" ht="16.2" customHeight="1" x14ac:dyDescent="0.3">
      <c r="T177" t="s">
        <v>160</v>
      </c>
      <c r="U177" t="s">
        <v>155</v>
      </c>
      <c r="V177" t="s">
        <v>155</v>
      </c>
      <c r="W177" t="s">
        <v>155</v>
      </c>
      <c r="X177" t="s">
        <v>155</v>
      </c>
      <c r="Y177" t="s">
        <v>155</v>
      </c>
      <c r="AC177" t="s">
        <v>160</v>
      </c>
      <c r="AD177" t="s">
        <v>155</v>
      </c>
      <c r="AE177" t="s">
        <v>155</v>
      </c>
      <c r="AF177" t="s">
        <v>155</v>
      </c>
      <c r="AG177" t="s">
        <v>155</v>
      </c>
      <c r="AH177" t="s">
        <v>155</v>
      </c>
    </row>
    <row r="178" spans="19:34" ht="16.2" customHeight="1" x14ac:dyDescent="0.3">
      <c r="T178" t="s">
        <v>169</v>
      </c>
      <c r="U178" t="s">
        <v>155</v>
      </c>
      <c r="V178" t="s">
        <v>155</v>
      </c>
      <c r="W178" t="s">
        <v>155</v>
      </c>
      <c r="X178" t="s">
        <v>155</v>
      </c>
      <c r="Y178" t="s">
        <v>155</v>
      </c>
      <c r="AC178" t="s">
        <v>169</v>
      </c>
      <c r="AD178" t="s">
        <v>155</v>
      </c>
      <c r="AE178" t="s">
        <v>155</v>
      </c>
      <c r="AF178" t="s">
        <v>155</v>
      </c>
      <c r="AG178" t="s">
        <v>155</v>
      </c>
      <c r="AH178" t="s">
        <v>155</v>
      </c>
    </row>
    <row r="179" spans="19:34" ht="16.2" customHeight="1" x14ac:dyDescent="0.3">
      <c r="T179" t="s">
        <v>170</v>
      </c>
      <c r="U179" t="s">
        <v>155</v>
      </c>
      <c r="V179" t="s">
        <v>155</v>
      </c>
      <c r="W179" t="s">
        <v>155</v>
      </c>
      <c r="X179" t="s">
        <v>155</v>
      </c>
      <c r="Y179" t="s">
        <v>155</v>
      </c>
      <c r="AC179" t="s">
        <v>170</v>
      </c>
      <c r="AD179" t="s">
        <v>155</v>
      </c>
      <c r="AE179" t="s">
        <v>155</v>
      </c>
      <c r="AF179" t="s">
        <v>155</v>
      </c>
      <c r="AG179" t="s">
        <v>155</v>
      </c>
      <c r="AH179" t="s">
        <v>155</v>
      </c>
    </row>
    <row r="180" spans="19:34" ht="16.2" customHeight="1" x14ac:dyDescent="0.3">
      <c r="T180" t="s">
        <v>171</v>
      </c>
      <c r="U180" t="s">
        <v>155</v>
      </c>
      <c r="V180" t="s">
        <v>155</v>
      </c>
      <c r="W180" t="s">
        <v>155</v>
      </c>
      <c r="X180" t="s">
        <v>155</v>
      </c>
      <c r="Y180" t="s">
        <v>155</v>
      </c>
      <c r="AC180" t="s">
        <v>171</v>
      </c>
      <c r="AD180" t="s">
        <v>155</v>
      </c>
      <c r="AE180" t="s">
        <v>155</v>
      </c>
      <c r="AF180" t="s">
        <v>155</v>
      </c>
      <c r="AG180" t="s">
        <v>155</v>
      </c>
      <c r="AH180" t="s">
        <v>155</v>
      </c>
    </row>
    <row r="181" spans="19:34" ht="16.2" customHeight="1" x14ac:dyDescent="0.3">
      <c r="T181" t="s">
        <v>172</v>
      </c>
      <c r="U181" t="s">
        <v>155</v>
      </c>
      <c r="V181" t="s">
        <v>155</v>
      </c>
      <c r="W181" t="s">
        <v>155</v>
      </c>
      <c r="X181" t="s">
        <v>155</v>
      </c>
      <c r="Y181" t="s">
        <v>155</v>
      </c>
      <c r="AC181" t="s">
        <v>172</v>
      </c>
      <c r="AD181" t="s">
        <v>155</v>
      </c>
      <c r="AE181" t="s">
        <v>155</v>
      </c>
      <c r="AF181" t="s">
        <v>155</v>
      </c>
      <c r="AG181" t="s">
        <v>155</v>
      </c>
      <c r="AH181" t="s">
        <v>155</v>
      </c>
    </row>
    <row r="183" spans="19:34" ht="16.2" customHeight="1" x14ac:dyDescent="0.3">
      <c r="S183" s="15" t="s">
        <v>113</v>
      </c>
      <c r="T183" t="s">
        <v>190</v>
      </c>
      <c r="AB183" s="15" t="s">
        <v>113</v>
      </c>
      <c r="AC183" t="s">
        <v>190</v>
      </c>
    </row>
    <row r="184" spans="19:34" ht="16.2" customHeight="1" x14ac:dyDescent="0.3">
      <c r="U184" t="s">
        <v>164</v>
      </c>
      <c r="V184" t="s">
        <v>165</v>
      </c>
      <c r="W184" t="s">
        <v>166</v>
      </c>
      <c r="X184" t="s">
        <v>167</v>
      </c>
      <c r="Y184" t="s">
        <v>168</v>
      </c>
      <c r="AD184" t="s">
        <v>164</v>
      </c>
      <c r="AE184" t="s">
        <v>165</v>
      </c>
      <c r="AF184" t="s">
        <v>166</v>
      </c>
      <c r="AG184" t="s">
        <v>167</v>
      </c>
      <c r="AH184" t="s">
        <v>168</v>
      </c>
    </row>
    <row r="185" spans="19:34" ht="16.2" customHeight="1" x14ac:dyDescent="0.3">
      <c r="T185" t="s">
        <v>154</v>
      </c>
      <c r="U185" t="s">
        <v>155</v>
      </c>
      <c r="V185" t="s">
        <v>155</v>
      </c>
      <c r="W185" t="s">
        <v>155</v>
      </c>
      <c r="X185" t="s">
        <v>155</v>
      </c>
      <c r="Y185" t="s">
        <v>155</v>
      </c>
      <c r="AC185" t="s">
        <v>154</v>
      </c>
      <c r="AD185" t="s">
        <v>155</v>
      </c>
      <c r="AE185" t="s">
        <v>155</v>
      </c>
      <c r="AF185" t="s">
        <v>155</v>
      </c>
      <c r="AG185" t="s">
        <v>155</v>
      </c>
      <c r="AH185" t="s">
        <v>155</v>
      </c>
    </row>
    <row r="186" spans="19:34" ht="16.2" customHeight="1" x14ac:dyDescent="0.3">
      <c r="T186" t="s">
        <v>156</v>
      </c>
      <c r="U186" t="s">
        <v>155</v>
      </c>
      <c r="V186" t="s">
        <v>155</v>
      </c>
      <c r="W186" t="s">
        <v>155</v>
      </c>
      <c r="X186" t="s">
        <v>155</v>
      </c>
      <c r="Y186" t="s">
        <v>155</v>
      </c>
      <c r="AC186" t="s">
        <v>156</v>
      </c>
      <c r="AD186" t="s">
        <v>155</v>
      </c>
      <c r="AE186" t="s">
        <v>155</v>
      </c>
      <c r="AF186" t="s">
        <v>155</v>
      </c>
      <c r="AG186" t="s">
        <v>155</v>
      </c>
      <c r="AH186" t="s">
        <v>155</v>
      </c>
    </row>
    <row r="187" spans="19:34" ht="16.2" customHeight="1" x14ac:dyDescent="0.3">
      <c r="T187" t="s">
        <v>157</v>
      </c>
      <c r="U187" t="s">
        <v>155</v>
      </c>
      <c r="V187" t="s">
        <v>155</v>
      </c>
      <c r="W187" t="s">
        <v>155</v>
      </c>
      <c r="X187" t="s">
        <v>155</v>
      </c>
      <c r="Y187" t="s">
        <v>155</v>
      </c>
      <c r="AC187" t="s">
        <v>157</v>
      </c>
      <c r="AD187" t="s">
        <v>24</v>
      </c>
      <c r="AE187" t="s">
        <v>155</v>
      </c>
      <c r="AF187" t="s">
        <v>155</v>
      </c>
      <c r="AG187" t="s">
        <v>24</v>
      </c>
      <c r="AH187" t="s">
        <v>155</v>
      </c>
    </row>
    <row r="188" spans="19:34" ht="16.2" customHeight="1" x14ac:dyDescent="0.3">
      <c r="T188" t="s">
        <v>158</v>
      </c>
      <c r="U188" t="s">
        <v>24</v>
      </c>
      <c r="V188" t="s">
        <v>155</v>
      </c>
      <c r="W188" t="s">
        <v>155</v>
      </c>
      <c r="X188" t="s">
        <v>155</v>
      </c>
      <c r="Y188" t="s">
        <v>155</v>
      </c>
      <c r="AC188" t="s">
        <v>158</v>
      </c>
      <c r="AD188" t="s">
        <v>24</v>
      </c>
      <c r="AE188" t="s">
        <v>155</v>
      </c>
      <c r="AF188" t="s">
        <v>155</v>
      </c>
      <c r="AG188" t="s">
        <v>24</v>
      </c>
      <c r="AH188" t="s">
        <v>155</v>
      </c>
    </row>
    <row r="189" spans="19:34" ht="16.2" customHeight="1" x14ac:dyDescent="0.3">
      <c r="T189" t="s">
        <v>159</v>
      </c>
      <c r="U189" t="s">
        <v>24</v>
      </c>
      <c r="V189" t="s">
        <v>155</v>
      </c>
      <c r="W189" t="s">
        <v>155</v>
      </c>
      <c r="X189" t="s">
        <v>155</v>
      </c>
      <c r="Y189" t="s">
        <v>24</v>
      </c>
      <c r="AC189" t="s">
        <v>159</v>
      </c>
      <c r="AD189" t="s">
        <v>24</v>
      </c>
      <c r="AE189" t="s">
        <v>155</v>
      </c>
      <c r="AF189" t="s">
        <v>155</v>
      </c>
      <c r="AG189" t="s">
        <v>155</v>
      </c>
      <c r="AH189" t="s">
        <v>155</v>
      </c>
    </row>
    <row r="190" spans="19:34" ht="16.2" customHeight="1" x14ac:dyDescent="0.3">
      <c r="T190" t="s">
        <v>160</v>
      </c>
      <c r="U190" t="s">
        <v>24</v>
      </c>
      <c r="V190" t="s">
        <v>155</v>
      </c>
      <c r="W190" t="s">
        <v>155</v>
      </c>
      <c r="X190" t="s">
        <v>155</v>
      </c>
      <c r="Y190" t="s">
        <v>24</v>
      </c>
      <c r="AC190" t="s">
        <v>160</v>
      </c>
      <c r="AD190" t="s">
        <v>155</v>
      </c>
      <c r="AE190" t="s">
        <v>155</v>
      </c>
      <c r="AF190" t="s">
        <v>155</v>
      </c>
      <c r="AG190" t="s">
        <v>155</v>
      </c>
      <c r="AH190" t="s">
        <v>155</v>
      </c>
    </row>
    <row r="191" spans="19:34" ht="16.2" customHeight="1" x14ac:dyDescent="0.3">
      <c r="T191" t="s">
        <v>169</v>
      </c>
      <c r="U191" t="s">
        <v>155</v>
      </c>
      <c r="V191" t="s">
        <v>155</v>
      </c>
      <c r="W191" t="s">
        <v>155</v>
      </c>
      <c r="X191" t="s">
        <v>155</v>
      </c>
      <c r="Y191" t="s">
        <v>155</v>
      </c>
      <c r="AC191" t="s">
        <v>169</v>
      </c>
      <c r="AD191" t="s">
        <v>155</v>
      </c>
      <c r="AE191" t="s">
        <v>155</v>
      </c>
      <c r="AF191" t="s">
        <v>155</v>
      </c>
      <c r="AG191" t="s">
        <v>155</v>
      </c>
      <c r="AH191" t="s">
        <v>155</v>
      </c>
    </row>
    <row r="192" spans="19:34" ht="16.2" customHeight="1" x14ac:dyDescent="0.3">
      <c r="T192" t="s">
        <v>170</v>
      </c>
      <c r="U192" t="s">
        <v>155</v>
      </c>
      <c r="V192" t="s">
        <v>155</v>
      </c>
      <c r="W192" t="s">
        <v>155</v>
      </c>
      <c r="X192" t="s">
        <v>155</v>
      </c>
      <c r="Y192" t="s">
        <v>155</v>
      </c>
      <c r="AC192" t="s">
        <v>170</v>
      </c>
      <c r="AD192" t="s">
        <v>155</v>
      </c>
      <c r="AE192" t="s">
        <v>155</v>
      </c>
      <c r="AF192" t="s">
        <v>155</v>
      </c>
      <c r="AG192" t="s">
        <v>155</v>
      </c>
      <c r="AH192" t="s">
        <v>155</v>
      </c>
    </row>
    <row r="193" spans="19:34" ht="16.2" customHeight="1" x14ac:dyDescent="0.3">
      <c r="T193" t="s">
        <v>171</v>
      </c>
      <c r="U193" t="s">
        <v>155</v>
      </c>
      <c r="V193" t="s">
        <v>155</v>
      </c>
      <c r="W193" t="s">
        <v>155</v>
      </c>
      <c r="X193" t="s">
        <v>155</v>
      </c>
      <c r="Y193" t="s">
        <v>155</v>
      </c>
      <c r="AC193" t="s">
        <v>171</v>
      </c>
      <c r="AD193" t="s">
        <v>155</v>
      </c>
      <c r="AE193" t="s">
        <v>155</v>
      </c>
      <c r="AF193" t="s">
        <v>155</v>
      </c>
      <c r="AG193" t="s">
        <v>155</v>
      </c>
      <c r="AH193" t="s">
        <v>155</v>
      </c>
    </row>
    <row r="194" spans="19:34" ht="16.2" customHeight="1" x14ac:dyDescent="0.3">
      <c r="T194" t="s">
        <v>172</v>
      </c>
      <c r="U194" t="s">
        <v>155</v>
      </c>
      <c r="V194" t="s">
        <v>155</v>
      </c>
      <c r="W194" t="s">
        <v>155</v>
      </c>
      <c r="X194" t="s">
        <v>155</v>
      </c>
      <c r="Y194" t="s">
        <v>155</v>
      </c>
      <c r="AC194" t="s">
        <v>172</v>
      </c>
      <c r="AD194" t="s">
        <v>155</v>
      </c>
      <c r="AE194" t="s">
        <v>155</v>
      </c>
      <c r="AF194" t="s">
        <v>155</v>
      </c>
      <c r="AG194" t="s">
        <v>155</v>
      </c>
      <c r="AH194" t="s">
        <v>155</v>
      </c>
    </row>
    <row r="196" spans="19:34" ht="16.2" customHeight="1" x14ac:dyDescent="0.3">
      <c r="S196" s="15" t="s">
        <v>114</v>
      </c>
      <c r="T196" t="s">
        <v>191</v>
      </c>
      <c r="AB196" s="15" t="s">
        <v>114</v>
      </c>
      <c r="AC196" t="s">
        <v>191</v>
      </c>
    </row>
    <row r="197" spans="19:34" ht="16.2" customHeight="1" x14ac:dyDescent="0.3">
      <c r="U197" t="s">
        <v>164</v>
      </c>
      <c r="V197" t="s">
        <v>165</v>
      </c>
      <c r="W197" t="s">
        <v>166</v>
      </c>
      <c r="X197" t="s">
        <v>167</v>
      </c>
      <c r="Y197" t="s">
        <v>168</v>
      </c>
      <c r="AD197" t="s">
        <v>164</v>
      </c>
      <c r="AE197" t="s">
        <v>165</v>
      </c>
      <c r="AF197" t="s">
        <v>166</v>
      </c>
      <c r="AG197" t="s">
        <v>167</v>
      </c>
      <c r="AH197" t="s">
        <v>168</v>
      </c>
    </row>
    <row r="198" spans="19:34" ht="16.2" customHeight="1" x14ac:dyDescent="0.3">
      <c r="T198" t="s">
        <v>154</v>
      </c>
      <c r="U198" t="s">
        <v>155</v>
      </c>
      <c r="V198" t="s">
        <v>102</v>
      </c>
      <c r="W198" t="s">
        <v>155</v>
      </c>
      <c r="X198" t="s">
        <v>102</v>
      </c>
      <c r="Y198" t="s">
        <v>155</v>
      </c>
      <c r="AC198" t="s">
        <v>154</v>
      </c>
      <c r="AD198" t="s">
        <v>155</v>
      </c>
      <c r="AE198" t="s">
        <v>102</v>
      </c>
      <c r="AF198" t="s">
        <v>155</v>
      </c>
      <c r="AG198" t="s">
        <v>102</v>
      </c>
      <c r="AH198" t="s">
        <v>155</v>
      </c>
    </row>
    <row r="199" spans="19:34" ht="16.2" customHeight="1" x14ac:dyDescent="0.3">
      <c r="T199" t="s">
        <v>156</v>
      </c>
      <c r="U199" t="s">
        <v>155</v>
      </c>
      <c r="V199" t="s">
        <v>102</v>
      </c>
      <c r="W199" t="s">
        <v>155</v>
      </c>
      <c r="X199" t="s">
        <v>102</v>
      </c>
      <c r="Y199" t="s">
        <v>155</v>
      </c>
      <c r="AC199" t="s">
        <v>156</v>
      </c>
      <c r="AD199" t="s">
        <v>155</v>
      </c>
      <c r="AE199" t="s">
        <v>102</v>
      </c>
      <c r="AF199" t="s">
        <v>155</v>
      </c>
      <c r="AG199" t="s">
        <v>102</v>
      </c>
      <c r="AH199" t="s">
        <v>155</v>
      </c>
    </row>
    <row r="200" spans="19:34" ht="16.2" customHeight="1" x14ac:dyDescent="0.3">
      <c r="T200" t="s">
        <v>157</v>
      </c>
      <c r="U200" t="s">
        <v>155</v>
      </c>
      <c r="V200" t="s">
        <v>102</v>
      </c>
      <c r="W200" t="s">
        <v>155</v>
      </c>
      <c r="X200" t="s">
        <v>155</v>
      </c>
      <c r="Y200" t="s">
        <v>155</v>
      </c>
      <c r="AC200" t="s">
        <v>157</v>
      </c>
      <c r="AD200" t="s">
        <v>155</v>
      </c>
      <c r="AE200" t="s">
        <v>102</v>
      </c>
      <c r="AF200" t="s">
        <v>155</v>
      </c>
      <c r="AG200" t="s">
        <v>155</v>
      </c>
      <c r="AH200" t="s">
        <v>155</v>
      </c>
    </row>
    <row r="201" spans="19:34" ht="16.2" customHeight="1" x14ac:dyDescent="0.3">
      <c r="T201" t="s">
        <v>158</v>
      </c>
      <c r="U201" t="s">
        <v>155</v>
      </c>
      <c r="V201" t="s">
        <v>155</v>
      </c>
      <c r="W201" t="s">
        <v>155</v>
      </c>
      <c r="X201" t="s">
        <v>155</v>
      </c>
      <c r="Y201" t="s">
        <v>155</v>
      </c>
      <c r="AC201" t="s">
        <v>158</v>
      </c>
      <c r="AD201" t="s">
        <v>155</v>
      </c>
      <c r="AE201" t="s">
        <v>155</v>
      </c>
      <c r="AF201" t="s">
        <v>155</v>
      </c>
      <c r="AG201" t="s">
        <v>155</v>
      </c>
      <c r="AH201" t="s">
        <v>155</v>
      </c>
    </row>
    <row r="202" spans="19:34" ht="16.2" customHeight="1" x14ac:dyDescent="0.3">
      <c r="T202" t="s">
        <v>159</v>
      </c>
      <c r="U202" t="s">
        <v>155</v>
      </c>
      <c r="V202" t="s">
        <v>155</v>
      </c>
      <c r="W202" t="s">
        <v>155</v>
      </c>
      <c r="X202" t="s">
        <v>155</v>
      </c>
      <c r="Y202" t="s">
        <v>155</v>
      </c>
      <c r="AC202" t="s">
        <v>159</v>
      </c>
      <c r="AD202" t="s">
        <v>155</v>
      </c>
      <c r="AE202" t="s">
        <v>155</v>
      </c>
      <c r="AF202" t="s">
        <v>155</v>
      </c>
      <c r="AG202" t="s">
        <v>155</v>
      </c>
      <c r="AH202" t="s">
        <v>155</v>
      </c>
    </row>
    <row r="203" spans="19:34" ht="16.2" customHeight="1" x14ac:dyDescent="0.3">
      <c r="T203" t="s">
        <v>160</v>
      </c>
      <c r="U203" t="s">
        <v>155</v>
      </c>
      <c r="V203" t="s">
        <v>155</v>
      </c>
      <c r="W203" t="s">
        <v>155</v>
      </c>
      <c r="X203" t="s">
        <v>155</v>
      </c>
      <c r="Y203" t="s">
        <v>155</v>
      </c>
      <c r="AC203" t="s">
        <v>160</v>
      </c>
      <c r="AD203" t="s">
        <v>155</v>
      </c>
      <c r="AE203" t="s">
        <v>155</v>
      </c>
      <c r="AF203" t="s">
        <v>155</v>
      </c>
      <c r="AG203" t="s">
        <v>155</v>
      </c>
      <c r="AH203" t="s">
        <v>155</v>
      </c>
    </row>
    <row r="204" spans="19:34" ht="16.2" customHeight="1" x14ac:dyDescent="0.3">
      <c r="T204" t="s">
        <v>169</v>
      </c>
      <c r="U204" t="s">
        <v>155</v>
      </c>
      <c r="V204" t="s">
        <v>155</v>
      </c>
      <c r="W204" t="s">
        <v>155</v>
      </c>
      <c r="X204" t="s">
        <v>155</v>
      </c>
      <c r="Y204" t="s">
        <v>155</v>
      </c>
      <c r="AC204" t="s">
        <v>169</v>
      </c>
      <c r="AD204" t="s">
        <v>155</v>
      </c>
      <c r="AE204" t="s">
        <v>155</v>
      </c>
      <c r="AF204" t="s">
        <v>155</v>
      </c>
      <c r="AG204" t="s">
        <v>155</v>
      </c>
      <c r="AH204" t="s">
        <v>155</v>
      </c>
    </row>
    <row r="205" spans="19:34" ht="16.2" customHeight="1" x14ac:dyDescent="0.3">
      <c r="T205" t="s">
        <v>170</v>
      </c>
      <c r="U205" t="s">
        <v>155</v>
      </c>
      <c r="V205" t="s">
        <v>155</v>
      </c>
      <c r="W205" t="s">
        <v>155</v>
      </c>
      <c r="X205" t="s">
        <v>155</v>
      </c>
      <c r="Y205" t="s">
        <v>155</v>
      </c>
      <c r="AC205" t="s">
        <v>170</v>
      </c>
      <c r="AD205" t="s">
        <v>155</v>
      </c>
      <c r="AE205" t="s">
        <v>155</v>
      </c>
      <c r="AF205" t="s">
        <v>155</v>
      </c>
      <c r="AG205" t="s">
        <v>155</v>
      </c>
      <c r="AH205" t="s">
        <v>155</v>
      </c>
    </row>
    <row r="206" spans="19:34" ht="16.2" customHeight="1" x14ac:dyDescent="0.3">
      <c r="T206" t="s">
        <v>171</v>
      </c>
      <c r="U206" t="s">
        <v>155</v>
      </c>
      <c r="V206" t="s">
        <v>155</v>
      </c>
      <c r="W206" t="s">
        <v>155</v>
      </c>
      <c r="X206" t="s">
        <v>155</v>
      </c>
      <c r="Y206" t="s">
        <v>155</v>
      </c>
      <c r="AC206" t="s">
        <v>171</v>
      </c>
      <c r="AD206" t="s">
        <v>155</v>
      </c>
      <c r="AE206" t="s">
        <v>155</v>
      </c>
      <c r="AF206" t="s">
        <v>155</v>
      </c>
      <c r="AG206" t="s">
        <v>155</v>
      </c>
      <c r="AH206" t="s">
        <v>155</v>
      </c>
    </row>
    <row r="207" spans="19:34" ht="16.2" customHeight="1" x14ac:dyDescent="0.3">
      <c r="T207" t="s">
        <v>172</v>
      </c>
      <c r="U207" t="s">
        <v>155</v>
      </c>
      <c r="V207" t="s">
        <v>155</v>
      </c>
      <c r="W207" t="s">
        <v>155</v>
      </c>
      <c r="X207" t="s">
        <v>155</v>
      </c>
      <c r="Y207" t="s">
        <v>155</v>
      </c>
      <c r="AC207" t="s">
        <v>172</v>
      </c>
      <c r="AD207" t="s">
        <v>155</v>
      </c>
      <c r="AE207" t="s">
        <v>155</v>
      </c>
      <c r="AF207" t="s">
        <v>155</v>
      </c>
      <c r="AG207" t="s">
        <v>155</v>
      </c>
      <c r="AH207" t="s">
        <v>155</v>
      </c>
    </row>
    <row r="209" spans="19:34" ht="16.2" customHeight="1" x14ac:dyDescent="0.3">
      <c r="S209" s="15" t="s">
        <v>115</v>
      </c>
      <c r="T209" t="s">
        <v>192</v>
      </c>
      <c r="AB209" s="15" t="s">
        <v>115</v>
      </c>
      <c r="AC209" t="s">
        <v>192</v>
      </c>
    </row>
    <row r="210" spans="19:34" ht="16.2" customHeight="1" x14ac:dyDescent="0.3">
      <c r="U210" t="s">
        <v>164</v>
      </c>
      <c r="V210" t="s">
        <v>165</v>
      </c>
      <c r="W210" t="s">
        <v>166</v>
      </c>
      <c r="X210" t="s">
        <v>167</v>
      </c>
      <c r="Y210" t="s">
        <v>168</v>
      </c>
      <c r="AD210" t="s">
        <v>164</v>
      </c>
      <c r="AE210" t="s">
        <v>165</v>
      </c>
      <c r="AF210" t="s">
        <v>166</v>
      </c>
      <c r="AG210" t="s">
        <v>167</v>
      </c>
      <c r="AH210" t="s">
        <v>168</v>
      </c>
    </row>
    <row r="211" spans="19:34" ht="16.2" customHeight="1" x14ac:dyDescent="0.3">
      <c r="T211" t="s">
        <v>154</v>
      </c>
      <c r="U211" t="s">
        <v>155</v>
      </c>
      <c r="V211" t="s">
        <v>102</v>
      </c>
      <c r="W211" t="s">
        <v>155</v>
      </c>
      <c r="X211" t="s">
        <v>102</v>
      </c>
      <c r="Y211" t="s">
        <v>155</v>
      </c>
      <c r="AC211" t="s">
        <v>154</v>
      </c>
      <c r="AD211" t="s">
        <v>155</v>
      </c>
      <c r="AE211" t="s">
        <v>102</v>
      </c>
      <c r="AF211" t="s">
        <v>155</v>
      </c>
      <c r="AG211" t="s">
        <v>102</v>
      </c>
      <c r="AH211" t="s">
        <v>155</v>
      </c>
    </row>
    <row r="212" spans="19:34" ht="16.2" customHeight="1" x14ac:dyDescent="0.3">
      <c r="T212" t="s">
        <v>156</v>
      </c>
      <c r="U212" t="s">
        <v>155</v>
      </c>
      <c r="V212" t="s">
        <v>102</v>
      </c>
      <c r="W212" t="s">
        <v>155</v>
      </c>
      <c r="X212" t="s">
        <v>102</v>
      </c>
      <c r="Y212" t="s">
        <v>155</v>
      </c>
      <c r="AC212" t="s">
        <v>156</v>
      </c>
      <c r="AD212" t="s">
        <v>155</v>
      </c>
      <c r="AE212" t="s">
        <v>102</v>
      </c>
      <c r="AF212" t="s">
        <v>155</v>
      </c>
      <c r="AG212" t="s">
        <v>102</v>
      </c>
      <c r="AH212" t="s">
        <v>155</v>
      </c>
    </row>
    <row r="213" spans="19:34" ht="16.2" customHeight="1" x14ac:dyDescent="0.3">
      <c r="T213" t="s">
        <v>157</v>
      </c>
      <c r="U213" t="s">
        <v>155</v>
      </c>
      <c r="V213" t="s">
        <v>155</v>
      </c>
      <c r="W213" t="s">
        <v>155</v>
      </c>
      <c r="X213" t="s">
        <v>102</v>
      </c>
      <c r="Y213" t="s">
        <v>155</v>
      </c>
      <c r="AC213" t="s">
        <v>157</v>
      </c>
      <c r="AD213" t="s">
        <v>155</v>
      </c>
      <c r="AE213" t="s">
        <v>102</v>
      </c>
      <c r="AF213" t="s">
        <v>155</v>
      </c>
      <c r="AG213" t="s">
        <v>155</v>
      </c>
      <c r="AH213" t="s">
        <v>155</v>
      </c>
    </row>
    <row r="214" spans="19:34" ht="16.2" customHeight="1" x14ac:dyDescent="0.3">
      <c r="T214" t="s">
        <v>158</v>
      </c>
      <c r="U214" t="s">
        <v>155</v>
      </c>
      <c r="V214" t="s">
        <v>155</v>
      </c>
      <c r="W214" t="s">
        <v>155</v>
      </c>
      <c r="X214" t="s">
        <v>155</v>
      </c>
      <c r="Y214" t="s">
        <v>155</v>
      </c>
      <c r="AC214" t="s">
        <v>158</v>
      </c>
      <c r="AD214" t="s">
        <v>155</v>
      </c>
      <c r="AE214" t="s">
        <v>155</v>
      </c>
      <c r="AF214" t="s">
        <v>155</v>
      </c>
      <c r="AG214" t="s">
        <v>155</v>
      </c>
      <c r="AH214" t="s">
        <v>155</v>
      </c>
    </row>
    <row r="215" spans="19:34" ht="16.2" customHeight="1" x14ac:dyDescent="0.3">
      <c r="T215" t="s">
        <v>159</v>
      </c>
      <c r="U215" t="s">
        <v>155</v>
      </c>
      <c r="V215" t="s">
        <v>155</v>
      </c>
      <c r="W215" t="s">
        <v>155</v>
      </c>
      <c r="X215" t="s">
        <v>155</v>
      </c>
      <c r="Y215" t="s">
        <v>155</v>
      </c>
      <c r="AC215" t="s">
        <v>159</v>
      </c>
      <c r="AD215" t="s">
        <v>155</v>
      </c>
      <c r="AE215" t="s">
        <v>155</v>
      </c>
      <c r="AF215" t="s">
        <v>155</v>
      </c>
      <c r="AG215" t="s">
        <v>155</v>
      </c>
      <c r="AH215" t="s">
        <v>155</v>
      </c>
    </row>
    <row r="216" spans="19:34" ht="16.2" customHeight="1" x14ac:dyDescent="0.3">
      <c r="T216" t="s">
        <v>160</v>
      </c>
      <c r="U216" t="s">
        <v>155</v>
      </c>
      <c r="V216" t="s">
        <v>155</v>
      </c>
      <c r="W216" t="s">
        <v>155</v>
      </c>
      <c r="X216" t="s">
        <v>155</v>
      </c>
      <c r="Y216" t="s">
        <v>155</v>
      </c>
      <c r="AC216" t="s">
        <v>160</v>
      </c>
      <c r="AD216" t="s">
        <v>155</v>
      </c>
      <c r="AE216" t="s">
        <v>155</v>
      </c>
      <c r="AF216" t="s">
        <v>155</v>
      </c>
      <c r="AG216" t="s">
        <v>155</v>
      </c>
      <c r="AH216" t="s">
        <v>155</v>
      </c>
    </row>
    <row r="217" spans="19:34" ht="16.2" customHeight="1" x14ac:dyDescent="0.3">
      <c r="T217" t="s">
        <v>169</v>
      </c>
      <c r="U217" t="s">
        <v>155</v>
      </c>
      <c r="V217" t="s">
        <v>155</v>
      </c>
      <c r="W217" t="s">
        <v>155</v>
      </c>
      <c r="X217" t="s">
        <v>155</v>
      </c>
      <c r="Y217" t="s">
        <v>155</v>
      </c>
      <c r="AC217" t="s">
        <v>169</v>
      </c>
      <c r="AD217" t="s">
        <v>155</v>
      </c>
      <c r="AE217" t="s">
        <v>155</v>
      </c>
      <c r="AF217" t="s">
        <v>155</v>
      </c>
      <c r="AG217" t="s">
        <v>155</v>
      </c>
      <c r="AH217" t="s">
        <v>155</v>
      </c>
    </row>
    <row r="218" spans="19:34" ht="16.2" customHeight="1" x14ac:dyDescent="0.3">
      <c r="T218" t="s">
        <v>170</v>
      </c>
      <c r="U218" t="s">
        <v>155</v>
      </c>
      <c r="V218" t="s">
        <v>155</v>
      </c>
      <c r="W218" t="s">
        <v>155</v>
      </c>
      <c r="X218" t="s">
        <v>155</v>
      </c>
      <c r="Y218" t="s">
        <v>155</v>
      </c>
      <c r="AC218" t="s">
        <v>170</v>
      </c>
      <c r="AD218" t="s">
        <v>155</v>
      </c>
      <c r="AE218" t="s">
        <v>155</v>
      </c>
      <c r="AF218" t="s">
        <v>155</v>
      </c>
      <c r="AG218" t="s">
        <v>155</v>
      </c>
      <c r="AH218" t="s">
        <v>155</v>
      </c>
    </row>
    <row r="219" spans="19:34" ht="16.2" customHeight="1" x14ac:dyDescent="0.3">
      <c r="T219" t="s">
        <v>171</v>
      </c>
      <c r="U219" t="s">
        <v>155</v>
      </c>
      <c r="V219" t="s">
        <v>155</v>
      </c>
      <c r="W219" t="s">
        <v>155</v>
      </c>
      <c r="X219" t="s">
        <v>155</v>
      </c>
      <c r="Y219" t="s">
        <v>155</v>
      </c>
      <c r="AC219" t="s">
        <v>171</v>
      </c>
      <c r="AD219" t="s">
        <v>155</v>
      </c>
      <c r="AE219" t="s">
        <v>155</v>
      </c>
      <c r="AF219" t="s">
        <v>155</v>
      </c>
      <c r="AG219" t="s">
        <v>155</v>
      </c>
      <c r="AH219" t="s">
        <v>155</v>
      </c>
    </row>
    <row r="220" spans="19:34" ht="16.2" customHeight="1" x14ac:dyDescent="0.3">
      <c r="T220" t="s">
        <v>172</v>
      </c>
      <c r="U220" t="s">
        <v>155</v>
      </c>
      <c r="V220" t="s">
        <v>155</v>
      </c>
      <c r="W220" t="s">
        <v>155</v>
      </c>
      <c r="X220" t="s">
        <v>155</v>
      </c>
      <c r="Y220" t="s">
        <v>155</v>
      </c>
      <c r="AC220" t="s">
        <v>172</v>
      </c>
      <c r="AD220" t="s">
        <v>155</v>
      </c>
      <c r="AE220" t="s">
        <v>155</v>
      </c>
      <c r="AF220" t="s">
        <v>155</v>
      </c>
      <c r="AG220" t="s">
        <v>155</v>
      </c>
      <c r="AH220" t="s">
        <v>155</v>
      </c>
    </row>
    <row r="222" spans="19:34" ht="16.2" customHeight="1" x14ac:dyDescent="0.3">
      <c r="S222" s="15" t="s">
        <v>116</v>
      </c>
      <c r="T222" t="s">
        <v>193</v>
      </c>
      <c r="AB222" s="15" t="s">
        <v>116</v>
      </c>
      <c r="AC222" t="s">
        <v>193</v>
      </c>
    </row>
    <row r="223" spans="19:34" ht="16.2" customHeight="1" x14ac:dyDescent="0.3">
      <c r="U223" t="s">
        <v>164</v>
      </c>
      <c r="V223" t="s">
        <v>165</v>
      </c>
      <c r="W223" t="s">
        <v>166</v>
      </c>
      <c r="X223" t="s">
        <v>167</v>
      </c>
      <c r="Y223" t="s">
        <v>168</v>
      </c>
      <c r="AD223" t="s">
        <v>164</v>
      </c>
      <c r="AE223" t="s">
        <v>165</v>
      </c>
      <c r="AF223" t="s">
        <v>166</v>
      </c>
      <c r="AG223" t="s">
        <v>167</v>
      </c>
      <c r="AH223" t="s">
        <v>168</v>
      </c>
    </row>
    <row r="224" spans="19:34" ht="16.2" customHeight="1" x14ac:dyDescent="0.3">
      <c r="T224" t="s">
        <v>154</v>
      </c>
      <c r="U224" t="s">
        <v>155</v>
      </c>
      <c r="V224" t="s">
        <v>155</v>
      </c>
      <c r="W224" t="s">
        <v>155</v>
      </c>
      <c r="X224" t="s">
        <v>155</v>
      </c>
      <c r="Y224" t="s">
        <v>155</v>
      </c>
      <c r="AC224" t="s">
        <v>154</v>
      </c>
      <c r="AD224" t="s">
        <v>155</v>
      </c>
      <c r="AE224" t="s">
        <v>155</v>
      </c>
      <c r="AF224" t="s">
        <v>155</v>
      </c>
      <c r="AG224" t="s">
        <v>155</v>
      </c>
      <c r="AH224" t="s">
        <v>155</v>
      </c>
    </row>
    <row r="225" spans="19:34" ht="16.2" customHeight="1" x14ac:dyDescent="0.3">
      <c r="T225" t="s">
        <v>156</v>
      </c>
      <c r="U225" t="s">
        <v>155</v>
      </c>
      <c r="V225" t="s">
        <v>155</v>
      </c>
      <c r="W225" t="s">
        <v>155</v>
      </c>
      <c r="X225" t="s">
        <v>155</v>
      </c>
      <c r="Y225" t="s">
        <v>155</v>
      </c>
      <c r="AC225" t="s">
        <v>156</v>
      </c>
      <c r="AD225" t="s">
        <v>155</v>
      </c>
      <c r="AE225" t="s">
        <v>155</v>
      </c>
      <c r="AF225" t="s">
        <v>155</v>
      </c>
      <c r="AG225" t="s">
        <v>155</v>
      </c>
      <c r="AH225" t="s">
        <v>155</v>
      </c>
    </row>
    <row r="226" spans="19:34" ht="16.2" customHeight="1" x14ac:dyDescent="0.3">
      <c r="T226" t="s">
        <v>157</v>
      </c>
      <c r="U226" t="s">
        <v>102</v>
      </c>
      <c r="V226" t="s">
        <v>155</v>
      </c>
      <c r="W226" t="s">
        <v>102</v>
      </c>
      <c r="X226" t="s">
        <v>155</v>
      </c>
      <c r="Y226" t="s">
        <v>155</v>
      </c>
      <c r="AC226" t="s">
        <v>157</v>
      </c>
      <c r="AD226" t="s">
        <v>102</v>
      </c>
      <c r="AE226" t="s">
        <v>155</v>
      </c>
      <c r="AF226" t="s">
        <v>102</v>
      </c>
      <c r="AG226" t="s">
        <v>155</v>
      </c>
      <c r="AH226" t="s">
        <v>155</v>
      </c>
    </row>
    <row r="227" spans="19:34" ht="16.2" customHeight="1" x14ac:dyDescent="0.3">
      <c r="T227" t="s">
        <v>158</v>
      </c>
      <c r="U227" t="s">
        <v>102</v>
      </c>
      <c r="V227" t="s">
        <v>155</v>
      </c>
      <c r="W227" t="s">
        <v>102</v>
      </c>
      <c r="X227" t="s">
        <v>155</v>
      </c>
      <c r="Y227" t="s">
        <v>155</v>
      </c>
      <c r="AC227" t="s">
        <v>158</v>
      </c>
      <c r="AD227" t="s">
        <v>102</v>
      </c>
      <c r="AE227" t="s">
        <v>155</v>
      </c>
      <c r="AF227" t="s">
        <v>102</v>
      </c>
      <c r="AG227" t="s">
        <v>155</v>
      </c>
      <c r="AH227" t="s">
        <v>155</v>
      </c>
    </row>
    <row r="228" spans="19:34" ht="16.2" customHeight="1" x14ac:dyDescent="0.3">
      <c r="T228" t="s">
        <v>159</v>
      </c>
      <c r="U228" t="s">
        <v>155</v>
      </c>
      <c r="V228" t="s">
        <v>155</v>
      </c>
      <c r="W228" t="s">
        <v>102</v>
      </c>
      <c r="X228" t="s">
        <v>155</v>
      </c>
      <c r="Y228" t="s">
        <v>155</v>
      </c>
      <c r="AC228" t="s">
        <v>159</v>
      </c>
      <c r="AD228" t="s">
        <v>102</v>
      </c>
      <c r="AE228" t="s">
        <v>155</v>
      </c>
      <c r="AF228" t="s">
        <v>155</v>
      </c>
      <c r="AG228" t="s">
        <v>155</v>
      </c>
      <c r="AH228" t="s">
        <v>155</v>
      </c>
    </row>
    <row r="229" spans="19:34" ht="16.2" customHeight="1" x14ac:dyDescent="0.3">
      <c r="T229" t="s">
        <v>160</v>
      </c>
      <c r="U229" t="s">
        <v>155</v>
      </c>
      <c r="V229" t="s">
        <v>155</v>
      </c>
      <c r="W229" t="s">
        <v>155</v>
      </c>
      <c r="X229" t="s">
        <v>155</v>
      </c>
      <c r="Y229" t="s">
        <v>155</v>
      </c>
      <c r="AC229" t="s">
        <v>160</v>
      </c>
      <c r="AD229" t="s">
        <v>155</v>
      </c>
      <c r="AE229" t="s">
        <v>155</v>
      </c>
      <c r="AF229" t="s">
        <v>155</v>
      </c>
      <c r="AG229" t="s">
        <v>155</v>
      </c>
      <c r="AH229" t="s">
        <v>155</v>
      </c>
    </row>
    <row r="230" spans="19:34" ht="16.2" customHeight="1" x14ac:dyDescent="0.3">
      <c r="T230" t="s">
        <v>169</v>
      </c>
      <c r="U230" t="s">
        <v>155</v>
      </c>
      <c r="V230" t="s">
        <v>155</v>
      </c>
      <c r="W230" t="s">
        <v>155</v>
      </c>
      <c r="X230" t="s">
        <v>155</v>
      </c>
      <c r="Y230" t="s">
        <v>155</v>
      </c>
      <c r="AC230" t="s">
        <v>169</v>
      </c>
      <c r="AD230" t="s">
        <v>155</v>
      </c>
      <c r="AE230" t="s">
        <v>155</v>
      </c>
      <c r="AF230" t="s">
        <v>155</v>
      </c>
      <c r="AG230" t="s">
        <v>155</v>
      </c>
      <c r="AH230" t="s">
        <v>155</v>
      </c>
    </row>
    <row r="231" spans="19:34" ht="16.2" customHeight="1" x14ac:dyDescent="0.3">
      <c r="T231" t="s">
        <v>170</v>
      </c>
      <c r="U231" t="s">
        <v>155</v>
      </c>
      <c r="V231" t="s">
        <v>155</v>
      </c>
      <c r="W231" t="s">
        <v>155</v>
      </c>
      <c r="X231" t="s">
        <v>155</v>
      </c>
      <c r="Y231" t="s">
        <v>155</v>
      </c>
      <c r="AC231" t="s">
        <v>170</v>
      </c>
      <c r="AD231" t="s">
        <v>155</v>
      </c>
      <c r="AE231" t="s">
        <v>155</v>
      </c>
      <c r="AF231" t="s">
        <v>155</v>
      </c>
      <c r="AG231" t="s">
        <v>155</v>
      </c>
      <c r="AH231" t="s">
        <v>155</v>
      </c>
    </row>
    <row r="232" spans="19:34" ht="16.2" customHeight="1" x14ac:dyDescent="0.3">
      <c r="T232" t="s">
        <v>171</v>
      </c>
      <c r="U232" t="s">
        <v>155</v>
      </c>
      <c r="V232" t="s">
        <v>155</v>
      </c>
      <c r="W232" t="s">
        <v>155</v>
      </c>
      <c r="X232" t="s">
        <v>155</v>
      </c>
      <c r="Y232" t="s">
        <v>155</v>
      </c>
      <c r="AC232" t="s">
        <v>171</v>
      </c>
      <c r="AD232" t="s">
        <v>155</v>
      </c>
      <c r="AE232" t="s">
        <v>155</v>
      </c>
      <c r="AF232" t="s">
        <v>155</v>
      </c>
      <c r="AG232" t="s">
        <v>155</v>
      </c>
      <c r="AH232" t="s">
        <v>155</v>
      </c>
    </row>
    <row r="233" spans="19:34" ht="16.2" customHeight="1" x14ac:dyDescent="0.3">
      <c r="T233" t="s">
        <v>172</v>
      </c>
      <c r="U233" t="s">
        <v>155</v>
      </c>
      <c r="V233" t="s">
        <v>155</v>
      </c>
      <c r="W233" t="s">
        <v>155</v>
      </c>
      <c r="X233" t="s">
        <v>155</v>
      </c>
      <c r="Y233" t="s">
        <v>155</v>
      </c>
      <c r="AC233" t="s">
        <v>172</v>
      </c>
      <c r="AD233" t="s">
        <v>155</v>
      </c>
      <c r="AE233" t="s">
        <v>155</v>
      </c>
      <c r="AF233" t="s">
        <v>155</v>
      </c>
      <c r="AG233" t="s">
        <v>155</v>
      </c>
      <c r="AH233" t="s">
        <v>155</v>
      </c>
    </row>
    <row r="235" spans="19:34" ht="16.2" customHeight="1" x14ac:dyDescent="0.3">
      <c r="S235" s="15" t="s">
        <v>117</v>
      </c>
      <c r="T235" t="s">
        <v>194</v>
      </c>
      <c r="AB235" s="15" t="s">
        <v>117</v>
      </c>
      <c r="AC235" t="s">
        <v>194</v>
      </c>
    </row>
    <row r="236" spans="19:34" ht="16.2" customHeight="1" x14ac:dyDescent="0.3">
      <c r="U236" t="s">
        <v>164</v>
      </c>
      <c r="V236" t="s">
        <v>165</v>
      </c>
      <c r="W236" t="s">
        <v>166</v>
      </c>
      <c r="X236" t="s">
        <v>167</v>
      </c>
      <c r="Y236" t="s">
        <v>168</v>
      </c>
      <c r="AD236" t="s">
        <v>164</v>
      </c>
      <c r="AE236" t="s">
        <v>165</v>
      </c>
      <c r="AF236" t="s">
        <v>166</v>
      </c>
      <c r="AG236" t="s">
        <v>167</v>
      </c>
      <c r="AH236" t="s">
        <v>168</v>
      </c>
    </row>
    <row r="237" spans="19:34" ht="16.2" customHeight="1" x14ac:dyDescent="0.3">
      <c r="T237" t="s">
        <v>154</v>
      </c>
      <c r="U237" t="s">
        <v>155</v>
      </c>
      <c r="V237" t="s">
        <v>155</v>
      </c>
      <c r="W237" t="s">
        <v>155</v>
      </c>
      <c r="X237" t="s">
        <v>155</v>
      </c>
      <c r="Y237" t="s">
        <v>155</v>
      </c>
      <c r="AC237" t="s">
        <v>154</v>
      </c>
      <c r="AD237" t="s">
        <v>155</v>
      </c>
      <c r="AE237" t="s">
        <v>155</v>
      </c>
      <c r="AF237" t="s">
        <v>155</v>
      </c>
      <c r="AG237" t="s">
        <v>155</v>
      </c>
      <c r="AH237" t="s">
        <v>155</v>
      </c>
    </row>
    <row r="238" spans="19:34" ht="16.2" customHeight="1" x14ac:dyDescent="0.3">
      <c r="T238" t="s">
        <v>156</v>
      </c>
      <c r="U238" t="s">
        <v>155</v>
      </c>
      <c r="V238" t="s">
        <v>155</v>
      </c>
      <c r="W238" t="s">
        <v>155</v>
      </c>
      <c r="X238" t="s">
        <v>155</v>
      </c>
      <c r="Y238" t="s">
        <v>155</v>
      </c>
      <c r="AC238" t="s">
        <v>156</v>
      </c>
      <c r="AD238" t="s">
        <v>155</v>
      </c>
      <c r="AE238" t="s">
        <v>155</v>
      </c>
      <c r="AF238" t="s">
        <v>155</v>
      </c>
      <c r="AG238" t="s">
        <v>155</v>
      </c>
      <c r="AH238" t="s">
        <v>155</v>
      </c>
    </row>
    <row r="239" spans="19:34" ht="16.2" customHeight="1" x14ac:dyDescent="0.3">
      <c r="T239" t="s">
        <v>157</v>
      </c>
      <c r="U239" t="s">
        <v>155</v>
      </c>
      <c r="V239" t="s">
        <v>155</v>
      </c>
      <c r="W239" t="s">
        <v>155</v>
      </c>
      <c r="X239" t="s">
        <v>155</v>
      </c>
      <c r="Y239" t="s">
        <v>155</v>
      </c>
      <c r="AC239" t="s">
        <v>157</v>
      </c>
      <c r="AD239" t="s">
        <v>155</v>
      </c>
      <c r="AE239" t="s">
        <v>155</v>
      </c>
      <c r="AF239" t="s">
        <v>155</v>
      </c>
      <c r="AG239" t="s">
        <v>155</v>
      </c>
      <c r="AH239" t="s">
        <v>155</v>
      </c>
    </row>
    <row r="240" spans="19:34" ht="16.2" customHeight="1" x14ac:dyDescent="0.3">
      <c r="T240" t="s">
        <v>158</v>
      </c>
      <c r="U240" t="s">
        <v>155</v>
      </c>
      <c r="V240" t="s">
        <v>155</v>
      </c>
      <c r="W240" t="s">
        <v>155</v>
      </c>
      <c r="X240" t="s">
        <v>155</v>
      </c>
      <c r="Y240" t="s">
        <v>155</v>
      </c>
      <c r="AC240" t="s">
        <v>158</v>
      </c>
      <c r="AD240" t="s">
        <v>155</v>
      </c>
      <c r="AE240" t="s">
        <v>155</v>
      </c>
      <c r="AF240" t="s">
        <v>155</v>
      </c>
      <c r="AG240" t="s">
        <v>155</v>
      </c>
      <c r="AH240" t="s">
        <v>155</v>
      </c>
    </row>
    <row r="241" spans="19:34" ht="16.2" customHeight="1" x14ac:dyDescent="0.3">
      <c r="T241" t="s">
        <v>159</v>
      </c>
      <c r="U241" t="s">
        <v>155</v>
      </c>
      <c r="V241" t="s">
        <v>155</v>
      </c>
      <c r="W241" t="s">
        <v>155</v>
      </c>
      <c r="X241" t="s">
        <v>155</v>
      </c>
      <c r="Y241" t="s">
        <v>155</v>
      </c>
      <c r="AC241" t="s">
        <v>159</v>
      </c>
      <c r="AD241" t="s">
        <v>155</v>
      </c>
      <c r="AE241" t="s">
        <v>155</v>
      </c>
      <c r="AF241" t="s">
        <v>155</v>
      </c>
      <c r="AG241" t="s">
        <v>155</v>
      </c>
      <c r="AH241" t="s">
        <v>155</v>
      </c>
    </row>
    <row r="242" spans="19:34" ht="16.2" customHeight="1" x14ac:dyDescent="0.3">
      <c r="T242" t="s">
        <v>160</v>
      </c>
      <c r="U242" t="s">
        <v>155</v>
      </c>
      <c r="V242" t="s">
        <v>155</v>
      </c>
      <c r="W242" t="s">
        <v>155</v>
      </c>
      <c r="X242" t="s">
        <v>155</v>
      </c>
      <c r="Y242" t="s">
        <v>155</v>
      </c>
      <c r="AC242" t="s">
        <v>160</v>
      </c>
      <c r="AD242" t="s">
        <v>155</v>
      </c>
      <c r="AE242" t="s">
        <v>155</v>
      </c>
      <c r="AF242" t="s">
        <v>155</v>
      </c>
      <c r="AG242" t="s">
        <v>155</v>
      </c>
      <c r="AH242" t="s">
        <v>155</v>
      </c>
    </row>
    <row r="243" spans="19:34" ht="16.2" customHeight="1" x14ac:dyDescent="0.3">
      <c r="T243" t="s">
        <v>169</v>
      </c>
      <c r="U243" t="s">
        <v>155</v>
      </c>
      <c r="V243" t="s">
        <v>155</v>
      </c>
      <c r="W243" t="s">
        <v>155</v>
      </c>
      <c r="X243" t="s">
        <v>155</v>
      </c>
      <c r="Y243" t="s">
        <v>9</v>
      </c>
      <c r="AC243" t="s">
        <v>169</v>
      </c>
      <c r="AD243" t="s">
        <v>155</v>
      </c>
      <c r="AE243" t="s">
        <v>155</v>
      </c>
      <c r="AF243" t="s">
        <v>155</v>
      </c>
      <c r="AG243" t="s">
        <v>155</v>
      </c>
      <c r="AH243" t="s">
        <v>9</v>
      </c>
    </row>
    <row r="244" spans="19:34" ht="16.2" customHeight="1" x14ac:dyDescent="0.3">
      <c r="T244" t="s">
        <v>170</v>
      </c>
      <c r="U244" t="s">
        <v>155</v>
      </c>
      <c r="V244" t="s">
        <v>155</v>
      </c>
      <c r="W244" t="s">
        <v>155</v>
      </c>
      <c r="X244" t="s">
        <v>155</v>
      </c>
      <c r="Y244" t="s">
        <v>9</v>
      </c>
      <c r="AC244" t="s">
        <v>170</v>
      </c>
      <c r="AD244" t="s">
        <v>155</v>
      </c>
      <c r="AE244" t="s">
        <v>155</v>
      </c>
      <c r="AF244" t="s">
        <v>155</v>
      </c>
      <c r="AG244" t="s">
        <v>155</v>
      </c>
      <c r="AH244" t="s">
        <v>9</v>
      </c>
    </row>
    <row r="245" spans="19:34" ht="16.2" customHeight="1" x14ac:dyDescent="0.3">
      <c r="T245" t="s">
        <v>171</v>
      </c>
      <c r="U245" t="s">
        <v>155</v>
      </c>
      <c r="V245" t="s">
        <v>155</v>
      </c>
      <c r="W245" t="s">
        <v>155</v>
      </c>
      <c r="X245" t="s">
        <v>155</v>
      </c>
      <c r="Y245" t="s">
        <v>9</v>
      </c>
      <c r="AC245" t="s">
        <v>171</v>
      </c>
      <c r="AD245" t="s">
        <v>155</v>
      </c>
      <c r="AE245" t="s">
        <v>155</v>
      </c>
      <c r="AF245" t="s">
        <v>155</v>
      </c>
      <c r="AG245" t="s">
        <v>155</v>
      </c>
      <c r="AH245" t="s">
        <v>9</v>
      </c>
    </row>
    <row r="246" spans="19:34" ht="16.2" customHeight="1" x14ac:dyDescent="0.3">
      <c r="T246" t="s">
        <v>172</v>
      </c>
      <c r="U246" t="s">
        <v>155</v>
      </c>
      <c r="V246" t="s">
        <v>155</v>
      </c>
      <c r="W246" t="s">
        <v>155</v>
      </c>
      <c r="X246" t="s">
        <v>155</v>
      </c>
      <c r="Y246" t="s">
        <v>9</v>
      </c>
      <c r="AC246" t="s">
        <v>172</v>
      </c>
      <c r="AD246" t="s">
        <v>155</v>
      </c>
      <c r="AE246" t="s">
        <v>155</v>
      </c>
      <c r="AF246" t="s">
        <v>155</v>
      </c>
      <c r="AG246" t="s">
        <v>155</v>
      </c>
      <c r="AH246" t="s">
        <v>9</v>
      </c>
    </row>
    <row r="248" spans="19:34" ht="16.2" customHeight="1" x14ac:dyDescent="0.3">
      <c r="S248" s="15" t="s">
        <v>118</v>
      </c>
      <c r="T248" t="s">
        <v>195</v>
      </c>
      <c r="AB248" s="15" t="s">
        <v>118</v>
      </c>
      <c r="AC248" t="s">
        <v>195</v>
      </c>
    </row>
    <row r="249" spans="19:34" ht="16.2" customHeight="1" x14ac:dyDescent="0.3">
      <c r="U249" t="s">
        <v>164</v>
      </c>
      <c r="V249" t="s">
        <v>165</v>
      </c>
      <c r="W249" t="s">
        <v>166</v>
      </c>
      <c r="X249" t="s">
        <v>167</v>
      </c>
      <c r="Y249" t="s">
        <v>168</v>
      </c>
      <c r="AD249" t="s">
        <v>164</v>
      </c>
      <c r="AE249" t="s">
        <v>165</v>
      </c>
      <c r="AF249" t="s">
        <v>166</v>
      </c>
      <c r="AG249" t="s">
        <v>167</v>
      </c>
      <c r="AH249" t="s">
        <v>168</v>
      </c>
    </row>
    <row r="250" spans="19:34" ht="16.2" customHeight="1" x14ac:dyDescent="0.3">
      <c r="T250" t="s">
        <v>154</v>
      </c>
      <c r="U250" t="s">
        <v>155</v>
      </c>
      <c r="V250" t="s">
        <v>155</v>
      </c>
      <c r="W250" t="s">
        <v>155</v>
      </c>
      <c r="X250" t="s">
        <v>155</v>
      </c>
      <c r="Y250" t="s">
        <v>155</v>
      </c>
      <c r="AC250" t="s">
        <v>154</v>
      </c>
      <c r="AD250" t="s">
        <v>155</v>
      </c>
      <c r="AE250" t="s">
        <v>155</v>
      </c>
      <c r="AF250" t="s">
        <v>155</v>
      </c>
      <c r="AG250" t="s">
        <v>155</v>
      </c>
      <c r="AH250" t="s">
        <v>155</v>
      </c>
    </row>
    <row r="251" spans="19:34" ht="16.2" customHeight="1" x14ac:dyDescent="0.3">
      <c r="T251" t="s">
        <v>156</v>
      </c>
      <c r="U251" t="s">
        <v>155</v>
      </c>
      <c r="V251" t="s">
        <v>155</v>
      </c>
      <c r="W251" t="s">
        <v>155</v>
      </c>
      <c r="X251" t="s">
        <v>155</v>
      </c>
      <c r="Y251" t="s">
        <v>155</v>
      </c>
      <c r="AC251" t="s">
        <v>156</v>
      </c>
      <c r="AD251" t="s">
        <v>155</v>
      </c>
      <c r="AE251" t="s">
        <v>155</v>
      </c>
      <c r="AF251" t="s">
        <v>155</v>
      </c>
      <c r="AG251" t="s">
        <v>155</v>
      </c>
      <c r="AH251" t="s">
        <v>155</v>
      </c>
    </row>
    <row r="252" spans="19:34" ht="16.2" customHeight="1" x14ac:dyDescent="0.3">
      <c r="T252" t="s">
        <v>157</v>
      </c>
      <c r="U252" t="s">
        <v>155</v>
      </c>
      <c r="V252" t="s">
        <v>155</v>
      </c>
      <c r="W252" t="s">
        <v>155</v>
      </c>
      <c r="X252" t="s">
        <v>155</v>
      </c>
      <c r="Y252" t="s">
        <v>155</v>
      </c>
      <c r="AC252" t="s">
        <v>157</v>
      </c>
      <c r="AD252" t="s">
        <v>155</v>
      </c>
      <c r="AE252" t="s">
        <v>155</v>
      </c>
      <c r="AF252" t="s">
        <v>155</v>
      </c>
      <c r="AG252" t="s">
        <v>155</v>
      </c>
      <c r="AH252" t="s">
        <v>155</v>
      </c>
    </row>
    <row r="253" spans="19:34" ht="16.2" customHeight="1" x14ac:dyDescent="0.3">
      <c r="T253" t="s">
        <v>158</v>
      </c>
      <c r="U253" t="s">
        <v>75</v>
      </c>
      <c r="V253" t="s">
        <v>155</v>
      </c>
      <c r="W253" t="s">
        <v>75</v>
      </c>
      <c r="X253" t="s">
        <v>155</v>
      </c>
      <c r="Y253" t="s">
        <v>155</v>
      </c>
      <c r="AC253" t="s">
        <v>158</v>
      </c>
      <c r="AD253" t="s">
        <v>75</v>
      </c>
      <c r="AE253" t="s">
        <v>155</v>
      </c>
      <c r="AF253" t="s">
        <v>75</v>
      </c>
      <c r="AG253" t="s">
        <v>155</v>
      </c>
      <c r="AH253" t="s">
        <v>155</v>
      </c>
    </row>
    <row r="254" spans="19:34" ht="16.2" customHeight="1" x14ac:dyDescent="0.3">
      <c r="T254" t="s">
        <v>159</v>
      </c>
      <c r="U254" t="s">
        <v>75</v>
      </c>
      <c r="V254" t="s">
        <v>155</v>
      </c>
      <c r="W254" t="s">
        <v>75</v>
      </c>
      <c r="X254" t="s">
        <v>155</v>
      </c>
      <c r="Y254" t="s">
        <v>155</v>
      </c>
      <c r="AC254" t="s">
        <v>159</v>
      </c>
      <c r="AD254" t="s">
        <v>75</v>
      </c>
      <c r="AE254" t="s">
        <v>155</v>
      </c>
      <c r="AF254" t="s">
        <v>75</v>
      </c>
      <c r="AG254" t="s">
        <v>155</v>
      </c>
      <c r="AH254" t="s">
        <v>155</v>
      </c>
    </row>
    <row r="255" spans="19:34" ht="16.2" customHeight="1" x14ac:dyDescent="0.3">
      <c r="T255" t="s">
        <v>160</v>
      </c>
      <c r="U255" t="s">
        <v>155</v>
      </c>
      <c r="V255" t="s">
        <v>155</v>
      </c>
      <c r="W255" t="s">
        <v>155</v>
      </c>
      <c r="X255" t="s">
        <v>155</v>
      </c>
      <c r="Y255" t="s">
        <v>155</v>
      </c>
      <c r="AC255" t="s">
        <v>160</v>
      </c>
      <c r="AD255" t="s">
        <v>155</v>
      </c>
      <c r="AE255" t="s">
        <v>155</v>
      </c>
      <c r="AF255" t="s">
        <v>155</v>
      </c>
      <c r="AG255" t="s">
        <v>155</v>
      </c>
      <c r="AH255" t="s">
        <v>155</v>
      </c>
    </row>
    <row r="256" spans="19:34" ht="16.2" customHeight="1" x14ac:dyDescent="0.3">
      <c r="T256" t="s">
        <v>169</v>
      </c>
      <c r="U256" t="s">
        <v>7</v>
      </c>
      <c r="V256" t="s">
        <v>155</v>
      </c>
      <c r="W256" t="s">
        <v>6</v>
      </c>
      <c r="X256" t="s">
        <v>155</v>
      </c>
      <c r="Y256" t="s">
        <v>155</v>
      </c>
      <c r="AC256" t="s">
        <v>169</v>
      </c>
      <c r="AD256" t="s">
        <v>6</v>
      </c>
      <c r="AE256" t="s">
        <v>155</v>
      </c>
      <c r="AF256" t="s">
        <v>6</v>
      </c>
      <c r="AG256" t="s">
        <v>155</v>
      </c>
      <c r="AH256" t="s">
        <v>155</v>
      </c>
    </row>
    <row r="257" spans="19:34" ht="16.2" customHeight="1" x14ac:dyDescent="0.3">
      <c r="T257" t="s">
        <v>170</v>
      </c>
      <c r="U257" t="s">
        <v>7</v>
      </c>
      <c r="V257" t="s">
        <v>155</v>
      </c>
      <c r="W257" t="s">
        <v>6</v>
      </c>
      <c r="X257" t="s">
        <v>155</v>
      </c>
      <c r="Y257" t="s">
        <v>155</v>
      </c>
      <c r="AC257" t="s">
        <v>170</v>
      </c>
      <c r="AD257" t="s">
        <v>6</v>
      </c>
      <c r="AE257" t="s">
        <v>155</v>
      </c>
      <c r="AF257" t="s">
        <v>6</v>
      </c>
      <c r="AG257" t="s">
        <v>155</v>
      </c>
      <c r="AH257" t="s">
        <v>155</v>
      </c>
    </row>
    <row r="258" spans="19:34" ht="16.2" customHeight="1" x14ac:dyDescent="0.3">
      <c r="T258" t="s">
        <v>171</v>
      </c>
      <c r="U258" t="s">
        <v>6</v>
      </c>
      <c r="V258" t="s">
        <v>155</v>
      </c>
      <c r="W258" t="s">
        <v>6</v>
      </c>
      <c r="X258" t="s">
        <v>155</v>
      </c>
      <c r="Y258" t="s">
        <v>155</v>
      </c>
      <c r="AC258" t="s">
        <v>171</v>
      </c>
      <c r="AD258" t="s">
        <v>6</v>
      </c>
      <c r="AE258" t="s">
        <v>155</v>
      </c>
      <c r="AF258" t="s">
        <v>7</v>
      </c>
      <c r="AG258" t="s">
        <v>155</v>
      </c>
      <c r="AH258" t="s">
        <v>155</v>
      </c>
    </row>
    <row r="259" spans="19:34" ht="16.2" customHeight="1" x14ac:dyDescent="0.3">
      <c r="T259" t="s">
        <v>172</v>
      </c>
      <c r="U259" t="s">
        <v>6</v>
      </c>
      <c r="V259" t="s">
        <v>155</v>
      </c>
      <c r="W259" t="s">
        <v>155</v>
      </c>
      <c r="X259" t="s">
        <v>155</v>
      </c>
      <c r="Y259" t="s">
        <v>155</v>
      </c>
      <c r="AC259" t="s">
        <v>172</v>
      </c>
      <c r="AD259" t="s">
        <v>155</v>
      </c>
      <c r="AE259" t="s">
        <v>155</v>
      </c>
      <c r="AF259" t="s">
        <v>7</v>
      </c>
      <c r="AG259" t="s">
        <v>155</v>
      </c>
      <c r="AH259" t="s">
        <v>155</v>
      </c>
    </row>
    <row r="261" spans="19:34" ht="16.2" customHeight="1" x14ac:dyDescent="0.3">
      <c r="S261" s="15" t="s">
        <v>119</v>
      </c>
      <c r="T261" t="s">
        <v>196</v>
      </c>
      <c r="AB261" s="15" t="s">
        <v>119</v>
      </c>
      <c r="AC261" t="s">
        <v>196</v>
      </c>
    </row>
    <row r="262" spans="19:34" ht="16.2" customHeight="1" x14ac:dyDescent="0.3">
      <c r="U262" t="s">
        <v>164</v>
      </c>
      <c r="V262" t="s">
        <v>165</v>
      </c>
      <c r="W262" t="s">
        <v>166</v>
      </c>
      <c r="X262" t="s">
        <v>167</v>
      </c>
      <c r="Y262" t="s">
        <v>168</v>
      </c>
      <c r="AD262" t="s">
        <v>164</v>
      </c>
      <c r="AE262" t="s">
        <v>165</v>
      </c>
      <c r="AF262" t="s">
        <v>166</v>
      </c>
      <c r="AG262" t="s">
        <v>167</v>
      </c>
      <c r="AH262" t="s">
        <v>168</v>
      </c>
    </row>
    <row r="263" spans="19:34" ht="16.2" customHeight="1" x14ac:dyDescent="0.3">
      <c r="T263" t="s">
        <v>154</v>
      </c>
      <c r="U263" t="s">
        <v>155</v>
      </c>
      <c r="V263" t="s">
        <v>155</v>
      </c>
      <c r="W263" t="s">
        <v>155</v>
      </c>
      <c r="X263" t="s">
        <v>155</v>
      </c>
      <c r="Y263" t="s">
        <v>155</v>
      </c>
      <c r="AC263" t="s">
        <v>154</v>
      </c>
      <c r="AD263" t="s">
        <v>155</v>
      </c>
      <c r="AE263" t="s">
        <v>155</v>
      </c>
      <c r="AF263" t="s">
        <v>155</v>
      </c>
      <c r="AG263" t="s">
        <v>155</v>
      </c>
      <c r="AH263" t="s">
        <v>155</v>
      </c>
    </row>
    <row r="264" spans="19:34" ht="16.2" customHeight="1" x14ac:dyDescent="0.3">
      <c r="T264" t="s">
        <v>156</v>
      </c>
      <c r="U264" t="s">
        <v>155</v>
      </c>
      <c r="V264" t="s">
        <v>155</v>
      </c>
      <c r="W264" t="s">
        <v>155</v>
      </c>
      <c r="X264" t="s">
        <v>155</v>
      </c>
      <c r="Y264" t="s">
        <v>155</v>
      </c>
      <c r="AC264" t="s">
        <v>156</v>
      </c>
      <c r="AD264" t="s">
        <v>155</v>
      </c>
      <c r="AE264" t="s">
        <v>155</v>
      </c>
      <c r="AF264" t="s">
        <v>155</v>
      </c>
      <c r="AG264" t="s">
        <v>155</v>
      </c>
      <c r="AH264" t="s">
        <v>155</v>
      </c>
    </row>
    <row r="265" spans="19:34" ht="16.2" customHeight="1" x14ac:dyDescent="0.3">
      <c r="T265" t="s">
        <v>157</v>
      </c>
      <c r="U265" t="s">
        <v>155</v>
      </c>
      <c r="V265" t="s">
        <v>155</v>
      </c>
      <c r="W265" t="s">
        <v>155</v>
      </c>
      <c r="X265" t="s">
        <v>155</v>
      </c>
      <c r="Y265" t="s">
        <v>155</v>
      </c>
      <c r="AC265" t="s">
        <v>157</v>
      </c>
      <c r="AD265" t="s">
        <v>155</v>
      </c>
      <c r="AE265" t="s">
        <v>155</v>
      </c>
      <c r="AF265" t="s">
        <v>155</v>
      </c>
      <c r="AG265" t="s">
        <v>155</v>
      </c>
      <c r="AH265" t="s">
        <v>155</v>
      </c>
    </row>
    <row r="266" spans="19:34" ht="16.2" customHeight="1" x14ac:dyDescent="0.3">
      <c r="T266" t="s">
        <v>158</v>
      </c>
      <c r="U266" t="s">
        <v>155</v>
      </c>
      <c r="V266" t="s">
        <v>155</v>
      </c>
      <c r="W266" t="s">
        <v>155</v>
      </c>
      <c r="X266" t="s">
        <v>76</v>
      </c>
      <c r="Y266" t="s">
        <v>155</v>
      </c>
      <c r="AC266" t="s">
        <v>158</v>
      </c>
      <c r="AD266" t="s">
        <v>155</v>
      </c>
      <c r="AE266" t="s">
        <v>155</v>
      </c>
      <c r="AF266" t="s">
        <v>155</v>
      </c>
      <c r="AG266" t="s">
        <v>76</v>
      </c>
      <c r="AH266" t="s">
        <v>155</v>
      </c>
    </row>
    <row r="267" spans="19:34" ht="16.2" customHeight="1" x14ac:dyDescent="0.3">
      <c r="T267" t="s">
        <v>159</v>
      </c>
      <c r="U267" t="s">
        <v>155</v>
      </c>
      <c r="V267" t="s">
        <v>155</v>
      </c>
      <c r="W267" t="s">
        <v>155</v>
      </c>
      <c r="X267" t="s">
        <v>76</v>
      </c>
      <c r="Y267" t="s">
        <v>76</v>
      </c>
      <c r="AC267" t="s">
        <v>159</v>
      </c>
      <c r="AD267" t="s">
        <v>155</v>
      </c>
      <c r="AE267" t="s">
        <v>155</v>
      </c>
      <c r="AF267" t="s">
        <v>76</v>
      </c>
      <c r="AG267" t="s">
        <v>76</v>
      </c>
      <c r="AH267" t="s">
        <v>155</v>
      </c>
    </row>
    <row r="268" spans="19:34" ht="16.2" customHeight="1" x14ac:dyDescent="0.3">
      <c r="T268" t="s">
        <v>160</v>
      </c>
      <c r="U268" t="s">
        <v>155</v>
      </c>
      <c r="V268" t="s">
        <v>155</v>
      </c>
      <c r="W268" t="s">
        <v>155</v>
      </c>
      <c r="X268" t="s">
        <v>76</v>
      </c>
      <c r="Y268" t="s">
        <v>76</v>
      </c>
      <c r="AC268" t="s">
        <v>160</v>
      </c>
      <c r="AD268" t="s">
        <v>155</v>
      </c>
      <c r="AE268" t="s">
        <v>155</v>
      </c>
      <c r="AF268" t="s">
        <v>76</v>
      </c>
      <c r="AG268" t="s">
        <v>76</v>
      </c>
      <c r="AH268" t="s">
        <v>155</v>
      </c>
    </row>
    <row r="269" spans="19:34" ht="16.2" customHeight="1" x14ac:dyDescent="0.3">
      <c r="T269" t="s">
        <v>169</v>
      </c>
      <c r="U269" t="s">
        <v>155</v>
      </c>
      <c r="V269" t="s">
        <v>155</v>
      </c>
      <c r="W269" t="s">
        <v>155</v>
      </c>
      <c r="X269" t="s">
        <v>155</v>
      </c>
      <c r="Y269" t="s">
        <v>155</v>
      </c>
      <c r="AC269" t="s">
        <v>169</v>
      </c>
      <c r="AD269" t="s">
        <v>155</v>
      </c>
      <c r="AE269" t="s">
        <v>155</v>
      </c>
      <c r="AF269" t="s">
        <v>155</v>
      </c>
      <c r="AG269" t="s">
        <v>155</v>
      </c>
      <c r="AH269" t="s">
        <v>155</v>
      </c>
    </row>
    <row r="270" spans="19:34" ht="16.2" customHeight="1" x14ac:dyDescent="0.3">
      <c r="T270" t="s">
        <v>170</v>
      </c>
      <c r="U270" t="s">
        <v>155</v>
      </c>
      <c r="V270" t="s">
        <v>155</v>
      </c>
      <c r="W270" t="s">
        <v>155</v>
      </c>
      <c r="X270" t="s">
        <v>155</v>
      </c>
      <c r="Y270" t="s">
        <v>155</v>
      </c>
      <c r="AC270" t="s">
        <v>170</v>
      </c>
      <c r="AD270" t="s">
        <v>155</v>
      </c>
      <c r="AE270" t="s">
        <v>155</v>
      </c>
      <c r="AF270" t="s">
        <v>155</v>
      </c>
      <c r="AG270" t="s">
        <v>155</v>
      </c>
      <c r="AH270" t="s">
        <v>155</v>
      </c>
    </row>
    <row r="271" spans="19:34" ht="16.2" customHeight="1" x14ac:dyDescent="0.3">
      <c r="T271" t="s">
        <v>171</v>
      </c>
      <c r="U271" t="s">
        <v>155</v>
      </c>
      <c r="V271" t="s">
        <v>155</v>
      </c>
      <c r="W271" t="s">
        <v>155</v>
      </c>
      <c r="X271" t="s">
        <v>155</v>
      </c>
      <c r="Y271" t="s">
        <v>155</v>
      </c>
      <c r="AC271" t="s">
        <v>171</v>
      </c>
      <c r="AD271" t="s">
        <v>155</v>
      </c>
      <c r="AE271" t="s">
        <v>155</v>
      </c>
      <c r="AF271" t="s">
        <v>155</v>
      </c>
      <c r="AG271" t="s">
        <v>155</v>
      </c>
      <c r="AH271" t="s">
        <v>155</v>
      </c>
    </row>
    <row r="272" spans="19:34" ht="16.2" customHeight="1" x14ac:dyDescent="0.3">
      <c r="T272" t="s">
        <v>172</v>
      </c>
      <c r="U272" t="s">
        <v>155</v>
      </c>
      <c r="V272" t="s">
        <v>155</v>
      </c>
      <c r="W272" t="s">
        <v>155</v>
      </c>
      <c r="X272" t="s">
        <v>155</v>
      </c>
      <c r="Y272" t="s">
        <v>155</v>
      </c>
      <c r="AC272" t="s">
        <v>172</v>
      </c>
      <c r="AD272" t="s">
        <v>155</v>
      </c>
      <c r="AE272" t="s">
        <v>155</v>
      </c>
      <c r="AF272" t="s">
        <v>155</v>
      </c>
      <c r="AG272" t="s">
        <v>155</v>
      </c>
      <c r="AH272" t="s">
        <v>155</v>
      </c>
    </row>
    <row r="274" spans="19:34" ht="16.2" customHeight="1" x14ac:dyDescent="0.3">
      <c r="S274" s="15" t="s">
        <v>120</v>
      </c>
      <c r="T274" t="s">
        <v>197</v>
      </c>
      <c r="AB274" s="15" t="s">
        <v>120</v>
      </c>
      <c r="AC274" t="s">
        <v>197</v>
      </c>
    </row>
    <row r="275" spans="19:34" ht="16.2" customHeight="1" x14ac:dyDescent="0.3">
      <c r="U275" t="s">
        <v>164</v>
      </c>
      <c r="V275" t="s">
        <v>165</v>
      </c>
      <c r="W275" t="s">
        <v>166</v>
      </c>
      <c r="X275" t="s">
        <v>167</v>
      </c>
      <c r="Y275" t="s">
        <v>168</v>
      </c>
      <c r="AD275" t="s">
        <v>164</v>
      </c>
      <c r="AE275" t="s">
        <v>165</v>
      </c>
      <c r="AF275" t="s">
        <v>166</v>
      </c>
      <c r="AG275" t="s">
        <v>167</v>
      </c>
      <c r="AH275" t="s">
        <v>168</v>
      </c>
    </row>
    <row r="276" spans="19:34" ht="16.2" customHeight="1" x14ac:dyDescent="0.3">
      <c r="T276" t="s">
        <v>154</v>
      </c>
      <c r="U276" t="s">
        <v>155</v>
      </c>
      <c r="V276" t="s">
        <v>155</v>
      </c>
      <c r="W276" t="s">
        <v>155</v>
      </c>
      <c r="X276" t="s">
        <v>155</v>
      </c>
      <c r="Y276" t="s">
        <v>155</v>
      </c>
      <c r="AC276" t="s">
        <v>154</v>
      </c>
      <c r="AD276" t="s">
        <v>155</v>
      </c>
      <c r="AE276" t="s">
        <v>155</v>
      </c>
      <c r="AF276" t="s">
        <v>155</v>
      </c>
      <c r="AG276" t="s">
        <v>155</v>
      </c>
      <c r="AH276" t="s">
        <v>155</v>
      </c>
    </row>
    <row r="277" spans="19:34" ht="16.2" customHeight="1" x14ac:dyDescent="0.3">
      <c r="T277" t="s">
        <v>156</v>
      </c>
      <c r="U277" t="s">
        <v>155</v>
      </c>
      <c r="V277" t="s">
        <v>155</v>
      </c>
      <c r="W277" t="s">
        <v>155</v>
      </c>
      <c r="X277" t="s">
        <v>155</v>
      </c>
      <c r="Y277" t="s">
        <v>155</v>
      </c>
      <c r="AC277" t="s">
        <v>156</v>
      </c>
      <c r="AD277" t="s">
        <v>155</v>
      </c>
      <c r="AE277" t="s">
        <v>155</v>
      </c>
      <c r="AF277" t="s">
        <v>155</v>
      </c>
      <c r="AG277" t="s">
        <v>155</v>
      </c>
      <c r="AH277" t="s">
        <v>155</v>
      </c>
    </row>
    <row r="278" spans="19:34" ht="16.2" customHeight="1" x14ac:dyDescent="0.3">
      <c r="T278" t="s">
        <v>157</v>
      </c>
      <c r="U278" t="s">
        <v>155</v>
      </c>
      <c r="V278" t="s">
        <v>155</v>
      </c>
      <c r="W278" t="s">
        <v>155</v>
      </c>
      <c r="X278" t="s">
        <v>155</v>
      </c>
      <c r="Y278" t="s">
        <v>155</v>
      </c>
      <c r="AC278" t="s">
        <v>157</v>
      </c>
      <c r="AD278" t="s">
        <v>155</v>
      </c>
      <c r="AE278" t="s">
        <v>155</v>
      </c>
      <c r="AF278" t="s">
        <v>155</v>
      </c>
      <c r="AG278" t="s">
        <v>155</v>
      </c>
      <c r="AH278" t="s">
        <v>155</v>
      </c>
    </row>
    <row r="279" spans="19:34" ht="16.2" customHeight="1" x14ac:dyDescent="0.3">
      <c r="T279" t="s">
        <v>158</v>
      </c>
      <c r="U279" t="s">
        <v>155</v>
      </c>
      <c r="V279" t="s">
        <v>155</v>
      </c>
      <c r="W279" t="s">
        <v>155</v>
      </c>
      <c r="X279" t="s">
        <v>78</v>
      </c>
      <c r="Y279" t="s">
        <v>155</v>
      </c>
      <c r="AC279" t="s">
        <v>158</v>
      </c>
      <c r="AD279" t="s">
        <v>155</v>
      </c>
      <c r="AE279" t="s">
        <v>155</v>
      </c>
      <c r="AF279" t="s">
        <v>155</v>
      </c>
      <c r="AG279" t="s">
        <v>78</v>
      </c>
      <c r="AH279" t="s">
        <v>155</v>
      </c>
    </row>
    <row r="280" spans="19:34" ht="16.2" customHeight="1" x14ac:dyDescent="0.3">
      <c r="T280" t="s">
        <v>159</v>
      </c>
      <c r="U280" t="s">
        <v>155</v>
      </c>
      <c r="V280" t="s">
        <v>78</v>
      </c>
      <c r="W280" t="s">
        <v>155</v>
      </c>
      <c r="X280" t="s">
        <v>78</v>
      </c>
      <c r="Y280" t="s">
        <v>155</v>
      </c>
      <c r="AC280" t="s">
        <v>159</v>
      </c>
      <c r="AD280" t="s">
        <v>155</v>
      </c>
      <c r="AE280" t="s">
        <v>78</v>
      </c>
      <c r="AF280" t="s">
        <v>155</v>
      </c>
      <c r="AG280" t="s">
        <v>78</v>
      </c>
      <c r="AH280" t="s">
        <v>155</v>
      </c>
    </row>
    <row r="281" spans="19:34" ht="16.2" customHeight="1" x14ac:dyDescent="0.3">
      <c r="T281" t="s">
        <v>160</v>
      </c>
      <c r="U281" t="s">
        <v>155</v>
      </c>
      <c r="V281" t="s">
        <v>78</v>
      </c>
      <c r="W281" t="s">
        <v>155</v>
      </c>
      <c r="X281" t="s">
        <v>155</v>
      </c>
      <c r="Y281" t="s">
        <v>155</v>
      </c>
      <c r="AC281" t="s">
        <v>160</v>
      </c>
      <c r="AD281" t="s">
        <v>155</v>
      </c>
      <c r="AE281" t="s">
        <v>78</v>
      </c>
      <c r="AF281" t="s">
        <v>155</v>
      </c>
      <c r="AG281" t="s">
        <v>155</v>
      </c>
      <c r="AH281" t="s">
        <v>155</v>
      </c>
    </row>
    <row r="282" spans="19:34" ht="16.2" customHeight="1" x14ac:dyDescent="0.3">
      <c r="T282" t="s">
        <v>169</v>
      </c>
      <c r="U282" t="s">
        <v>155</v>
      </c>
      <c r="V282" t="s">
        <v>155</v>
      </c>
      <c r="W282" t="s">
        <v>155</v>
      </c>
      <c r="X282" t="s">
        <v>155</v>
      </c>
      <c r="Y282" t="s">
        <v>155</v>
      </c>
      <c r="AC282" t="s">
        <v>169</v>
      </c>
      <c r="AD282" t="s">
        <v>155</v>
      </c>
      <c r="AE282" t="s">
        <v>155</v>
      </c>
      <c r="AF282" t="s">
        <v>155</v>
      </c>
      <c r="AG282" t="s">
        <v>155</v>
      </c>
      <c r="AH282" t="s">
        <v>155</v>
      </c>
    </row>
    <row r="283" spans="19:34" ht="16.2" customHeight="1" x14ac:dyDescent="0.3">
      <c r="T283" t="s">
        <v>170</v>
      </c>
      <c r="U283" t="s">
        <v>155</v>
      </c>
      <c r="V283" t="s">
        <v>155</v>
      </c>
      <c r="W283" t="s">
        <v>155</v>
      </c>
      <c r="X283" t="s">
        <v>155</v>
      </c>
      <c r="Y283" t="s">
        <v>155</v>
      </c>
      <c r="AC283" t="s">
        <v>170</v>
      </c>
      <c r="AD283" t="s">
        <v>155</v>
      </c>
      <c r="AE283" t="s">
        <v>155</v>
      </c>
      <c r="AF283" t="s">
        <v>155</v>
      </c>
      <c r="AG283" t="s">
        <v>155</v>
      </c>
      <c r="AH283" t="s">
        <v>155</v>
      </c>
    </row>
    <row r="284" spans="19:34" ht="16.2" customHeight="1" x14ac:dyDescent="0.3">
      <c r="T284" t="s">
        <v>171</v>
      </c>
      <c r="U284" t="s">
        <v>155</v>
      </c>
      <c r="V284" t="s">
        <v>155</v>
      </c>
      <c r="W284" t="s">
        <v>155</v>
      </c>
      <c r="X284" t="s">
        <v>155</v>
      </c>
      <c r="Y284" t="s">
        <v>155</v>
      </c>
      <c r="AC284" t="s">
        <v>171</v>
      </c>
      <c r="AD284" t="s">
        <v>155</v>
      </c>
      <c r="AE284" t="s">
        <v>155</v>
      </c>
      <c r="AF284" t="s">
        <v>155</v>
      </c>
      <c r="AG284" t="s">
        <v>155</v>
      </c>
      <c r="AH284" t="s">
        <v>155</v>
      </c>
    </row>
    <row r="285" spans="19:34" ht="16.2" customHeight="1" x14ac:dyDescent="0.3">
      <c r="T285" t="s">
        <v>172</v>
      </c>
      <c r="U285" t="s">
        <v>155</v>
      </c>
      <c r="V285" t="s">
        <v>155</v>
      </c>
      <c r="W285" t="s">
        <v>155</v>
      </c>
      <c r="X285" t="s">
        <v>155</v>
      </c>
      <c r="Y285" t="s">
        <v>155</v>
      </c>
      <c r="AC285" t="s">
        <v>172</v>
      </c>
      <c r="AD285" t="s">
        <v>155</v>
      </c>
      <c r="AE285" t="s">
        <v>155</v>
      </c>
      <c r="AF285" t="s">
        <v>155</v>
      </c>
      <c r="AG285" t="s">
        <v>155</v>
      </c>
      <c r="AH285" t="s">
        <v>155</v>
      </c>
    </row>
    <row r="287" spans="19:34" ht="16.2" customHeight="1" x14ac:dyDescent="0.3">
      <c r="S287" s="15" t="s">
        <v>121</v>
      </c>
      <c r="T287" t="s">
        <v>198</v>
      </c>
      <c r="AB287" s="15" t="s">
        <v>121</v>
      </c>
      <c r="AC287" t="s">
        <v>198</v>
      </c>
    </row>
    <row r="288" spans="19:34" ht="16.2" customHeight="1" x14ac:dyDescent="0.3">
      <c r="U288" t="s">
        <v>164</v>
      </c>
      <c r="V288" t="s">
        <v>165</v>
      </c>
      <c r="W288" t="s">
        <v>166</v>
      </c>
      <c r="X288" t="s">
        <v>167</v>
      </c>
      <c r="Y288" t="s">
        <v>168</v>
      </c>
      <c r="AD288" t="s">
        <v>164</v>
      </c>
      <c r="AE288" t="s">
        <v>165</v>
      </c>
      <c r="AF288" t="s">
        <v>166</v>
      </c>
      <c r="AG288" t="s">
        <v>167</v>
      </c>
      <c r="AH288" t="s">
        <v>168</v>
      </c>
    </row>
    <row r="289" spans="19:34" ht="16.2" customHeight="1" x14ac:dyDescent="0.3">
      <c r="T289" t="s">
        <v>154</v>
      </c>
      <c r="U289" t="s">
        <v>78</v>
      </c>
      <c r="V289" t="s">
        <v>155</v>
      </c>
      <c r="W289" t="s">
        <v>155</v>
      </c>
      <c r="X289" t="s">
        <v>155</v>
      </c>
      <c r="Y289" t="s">
        <v>78</v>
      </c>
      <c r="AC289" t="s">
        <v>154</v>
      </c>
      <c r="AD289" t="s">
        <v>78</v>
      </c>
      <c r="AE289" t="s">
        <v>155</v>
      </c>
      <c r="AF289" t="s">
        <v>155</v>
      </c>
      <c r="AG289" t="s">
        <v>155</v>
      </c>
      <c r="AH289" t="s">
        <v>78</v>
      </c>
    </row>
    <row r="290" spans="19:34" ht="16.2" customHeight="1" x14ac:dyDescent="0.3">
      <c r="T290" t="s">
        <v>156</v>
      </c>
      <c r="U290" t="s">
        <v>78</v>
      </c>
      <c r="V290" t="s">
        <v>155</v>
      </c>
      <c r="W290" t="s">
        <v>155</v>
      </c>
      <c r="X290" t="s">
        <v>155</v>
      </c>
      <c r="Y290" t="s">
        <v>78</v>
      </c>
      <c r="AC290" t="s">
        <v>156</v>
      </c>
      <c r="AD290" t="s">
        <v>78</v>
      </c>
      <c r="AE290" t="s">
        <v>155</v>
      </c>
      <c r="AF290" t="s">
        <v>155</v>
      </c>
      <c r="AG290" t="s">
        <v>155</v>
      </c>
      <c r="AH290" t="s">
        <v>78</v>
      </c>
    </row>
    <row r="291" spans="19:34" ht="16.2" customHeight="1" x14ac:dyDescent="0.3">
      <c r="T291" t="s">
        <v>157</v>
      </c>
      <c r="U291" t="s">
        <v>155</v>
      </c>
      <c r="V291" t="s">
        <v>155</v>
      </c>
      <c r="W291" t="s">
        <v>155</v>
      </c>
      <c r="X291" t="s">
        <v>155</v>
      </c>
      <c r="Y291" t="s">
        <v>155</v>
      </c>
      <c r="AC291" t="s">
        <v>157</v>
      </c>
      <c r="AD291" t="s">
        <v>155</v>
      </c>
      <c r="AE291" t="s">
        <v>155</v>
      </c>
      <c r="AF291" t="s">
        <v>155</v>
      </c>
      <c r="AG291" t="s">
        <v>155</v>
      </c>
      <c r="AH291" t="s">
        <v>155</v>
      </c>
    </row>
    <row r="292" spans="19:34" ht="16.2" customHeight="1" x14ac:dyDescent="0.3">
      <c r="T292" t="s">
        <v>158</v>
      </c>
      <c r="U292" t="s">
        <v>155</v>
      </c>
      <c r="V292" t="s">
        <v>155</v>
      </c>
      <c r="W292" t="s">
        <v>155</v>
      </c>
      <c r="X292" t="s">
        <v>155</v>
      </c>
      <c r="Y292" t="s">
        <v>155</v>
      </c>
      <c r="AC292" t="s">
        <v>158</v>
      </c>
      <c r="AD292" t="s">
        <v>155</v>
      </c>
      <c r="AE292" t="s">
        <v>155</v>
      </c>
      <c r="AF292" t="s">
        <v>155</v>
      </c>
      <c r="AG292" t="s">
        <v>155</v>
      </c>
      <c r="AH292" t="s">
        <v>155</v>
      </c>
    </row>
    <row r="293" spans="19:34" ht="16.2" customHeight="1" x14ac:dyDescent="0.3">
      <c r="T293" t="s">
        <v>159</v>
      </c>
      <c r="U293" t="s">
        <v>155</v>
      </c>
      <c r="V293" t="s">
        <v>155</v>
      </c>
      <c r="W293" t="s">
        <v>155</v>
      </c>
      <c r="X293" t="s">
        <v>155</v>
      </c>
      <c r="Y293" t="s">
        <v>155</v>
      </c>
      <c r="AC293" t="s">
        <v>159</v>
      </c>
      <c r="AD293" t="s">
        <v>155</v>
      </c>
      <c r="AE293" t="s">
        <v>155</v>
      </c>
      <c r="AF293" t="s">
        <v>155</v>
      </c>
      <c r="AG293" t="s">
        <v>155</v>
      </c>
      <c r="AH293" t="s">
        <v>155</v>
      </c>
    </row>
    <row r="294" spans="19:34" ht="16.2" customHeight="1" x14ac:dyDescent="0.3">
      <c r="T294" t="s">
        <v>160</v>
      </c>
      <c r="U294" t="s">
        <v>155</v>
      </c>
      <c r="V294" t="s">
        <v>155</v>
      </c>
      <c r="W294" t="s">
        <v>155</v>
      </c>
      <c r="X294" t="s">
        <v>155</v>
      </c>
      <c r="Y294" t="s">
        <v>155</v>
      </c>
      <c r="AC294" t="s">
        <v>160</v>
      </c>
      <c r="AD294" t="s">
        <v>155</v>
      </c>
      <c r="AE294" t="s">
        <v>155</v>
      </c>
      <c r="AF294" t="s">
        <v>155</v>
      </c>
      <c r="AG294" t="s">
        <v>155</v>
      </c>
      <c r="AH294" t="s">
        <v>155</v>
      </c>
    </row>
    <row r="295" spans="19:34" ht="16.2" customHeight="1" x14ac:dyDescent="0.3">
      <c r="T295" t="s">
        <v>169</v>
      </c>
      <c r="U295" t="s">
        <v>155</v>
      </c>
      <c r="V295" t="s">
        <v>155</v>
      </c>
      <c r="W295" t="s">
        <v>155</v>
      </c>
      <c r="X295" t="s">
        <v>155</v>
      </c>
      <c r="Y295" t="s">
        <v>155</v>
      </c>
      <c r="AC295" t="s">
        <v>169</v>
      </c>
      <c r="AD295" t="s">
        <v>155</v>
      </c>
      <c r="AE295" t="s">
        <v>155</v>
      </c>
      <c r="AF295" t="s">
        <v>155</v>
      </c>
      <c r="AG295" t="s">
        <v>155</v>
      </c>
      <c r="AH295" t="s">
        <v>155</v>
      </c>
    </row>
    <row r="296" spans="19:34" ht="16.2" customHeight="1" x14ac:dyDescent="0.3">
      <c r="T296" t="s">
        <v>170</v>
      </c>
      <c r="U296" t="s">
        <v>155</v>
      </c>
      <c r="V296" t="s">
        <v>155</v>
      </c>
      <c r="W296" t="s">
        <v>155</v>
      </c>
      <c r="X296" t="s">
        <v>155</v>
      </c>
      <c r="Y296" t="s">
        <v>155</v>
      </c>
      <c r="AC296" t="s">
        <v>170</v>
      </c>
      <c r="AD296" t="s">
        <v>155</v>
      </c>
      <c r="AE296" t="s">
        <v>155</v>
      </c>
      <c r="AF296" t="s">
        <v>155</v>
      </c>
      <c r="AG296" t="s">
        <v>155</v>
      </c>
      <c r="AH296" t="s">
        <v>155</v>
      </c>
    </row>
    <row r="297" spans="19:34" ht="16.2" customHeight="1" x14ac:dyDescent="0.3">
      <c r="T297" t="s">
        <v>171</v>
      </c>
      <c r="U297" t="s">
        <v>155</v>
      </c>
      <c r="V297" t="s">
        <v>155</v>
      </c>
      <c r="W297" t="s">
        <v>155</v>
      </c>
      <c r="X297" t="s">
        <v>155</v>
      </c>
      <c r="Y297" t="s">
        <v>155</v>
      </c>
      <c r="AC297" t="s">
        <v>171</v>
      </c>
      <c r="AD297" t="s">
        <v>155</v>
      </c>
      <c r="AE297" t="s">
        <v>155</v>
      </c>
      <c r="AF297" t="s">
        <v>155</v>
      </c>
      <c r="AG297" t="s">
        <v>155</v>
      </c>
      <c r="AH297" t="s">
        <v>155</v>
      </c>
    </row>
    <row r="298" spans="19:34" ht="16.2" customHeight="1" x14ac:dyDescent="0.3">
      <c r="T298" t="s">
        <v>172</v>
      </c>
      <c r="U298" t="s">
        <v>155</v>
      </c>
      <c r="V298" t="s">
        <v>155</v>
      </c>
      <c r="W298" t="s">
        <v>155</v>
      </c>
      <c r="X298" t="s">
        <v>155</v>
      </c>
      <c r="Y298" t="s">
        <v>155</v>
      </c>
      <c r="AC298" t="s">
        <v>172</v>
      </c>
      <c r="AD298" t="s">
        <v>155</v>
      </c>
      <c r="AE298" t="s">
        <v>155</v>
      </c>
      <c r="AF298" t="s">
        <v>155</v>
      </c>
      <c r="AG298" t="s">
        <v>155</v>
      </c>
      <c r="AH298" t="s">
        <v>155</v>
      </c>
    </row>
    <row r="300" spans="19:34" ht="16.2" customHeight="1" x14ac:dyDescent="0.3">
      <c r="S300" s="15" t="s">
        <v>122</v>
      </c>
      <c r="T300" t="s">
        <v>199</v>
      </c>
      <c r="AB300" s="15" t="s">
        <v>122</v>
      </c>
      <c r="AC300" t="s">
        <v>199</v>
      </c>
    </row>
    <row r="301" spans="19:34" ht="16.2" customHeight="1" x14ac:dyDescent="0.3">
      <c r="U301" t="s">
        <v>164</v>
      </c>
      <c r="V301" t="s">
        <v>165</v>
      </c>
      <c r="W301" t="s">
        <v>166</v>
      </c>
      <c r="X301" t="s">
        <v>167</v>
      </c>
      <c r="Y301" t="s">
        <v>168</v>
      </c>
      <c r="AD301" t="s">
        <v>164</v>
      </c>
      <c r="AE301" t="s">
        <v>165</v>
      </c>
      <c r="AF301" t="s">
        <v>166</v>
      </c>
      <c r="AG301" t="s">
        <v>167</v>
      </c>
      <c r="AH301" t="s">
        <v>168</v>
      </c>
    </row>
    <row r="302" spans="19:34" ht="16.2" customHeight="1" x14ac:dyDescent="0.3">
      <c r="T302" t="s">
        <v>154</v>
      </c>
      <c r="U302" t="s">
        <v>155</v>
      </c>
      <c r="V302" t="s">
        <v>79</v>
      </c>
      <c r="W302" t="s">
        <v>79</v>
      </c>
      <c r="X302" t="s">
        <v>79</v>
      </c>
      <c r="Y302" t="s">
        <v>79</v>
      </c>
      <c r="AC302" t="s">
        <v>154</v>
      </c>
      <c r="AD302" t="s">
        <v>155</v>
      </c>
      <c r="AE302" t="s">
        <v>79</v>
      </c>
      <c r="AF302" t="s">
        <v>79</v>
      </c>
      <c r="AG302" t="s">
        <v>79</v>
      </c>
      <c r="AH302" t="s">
        <v>79</v>
      </c>
    </row>
    <row r="303" spans="19:34" ht="16.2" customHeight="1" x14ac:dyDescent="0.3">
      <c r="T303" t="s">
        <v>156</v>
      </c>
      <c r="U303" t="s">
        <v>155</v>
      </c>
      <c r="V303" t="s">
        <v>79</v>
      </c>
      <c r="W303" t="s">
        <v>79</v>
      </c>
      <c r="X303" t="s">
        <v>79</v>
      </c>
      <c r="Y303" t="s">
        <v>79</v>
      </c>
      <c r="AC303" t="s">
        <v>156</v>
      </c>
      <c r="AD303" t="s">
        <v>155</v>
      </c>
      <c r="AE303" t="s">
        <v>79</v>
      </c>
      <c r="AF303" t="s">
        <v>79</v>
      </c>
      <c r="AG303" t="s">
        <v>79</v>
      </c>
      <c r="AH303" t="s">
        <v>79</v>
      </c>
    </row>
    <row r="304" spans="19:34" ht="16.2" customHeight="1" x14ac:dyDescent="0.3">
      <c r="T304" t="s">
        <v>157</v>
      </c>
      <c r="U304" t="s">
        <v>155</v>
      </c>
      <c r="V304" t="s">
        <v>155</v>
      </c>
      <c r="W304" t="s">
        <v>79</v>
      </c>
      <c r="X304" t="s">
        <v>79</v>
      </c>
      <c r="Y304" t="s">
        <v>155</v>
      </c>
      <c r="AC304" t="s">
        <v>157</v>
      </c>
      <c r="AD304" t="s">
        <v>155</v>
      </c>
      <c r="AE304" t="s">
        <v>155</v>
      </c>
      <c r="AF304" t="s">
        <v>79</v>
      </c>
      <c r="AG304" t="s">
        <v>79</v>
      </c>
      <c r="AH304" t="s">
        <v>155</v>
      </c>
    </row>
    <row r="305" spans="19:34" ht="16.2" customHeight="1" x14ac:dyDescent="0.3">
      <c r="T305" t="s">
        <v>158</v>
      </c>
      <c r="U305" t="s">
        <v>155</v>
      </c>
      <c r="V305" t="s">
        <v>155</v>
      </c>
      <c r="W305" t="s">
        <v>155</v>
      </c>
      <c r="X305" t="s">
        <v>155</v>
      </c>
      <c r="Y305" t="s">
        <v>155</v>
      </c>
      <c r="AC305" t="s">
        <v>158</v>
      </c>
      <c r="AD305" t="s">
        <v>155</v>
      </c>
      <c r="AE305" t="s">
        <v>155</v>
      </c>
      <c r="AF305" t="s">
        <v>155</v>
      </c>
      <c r="AG305" t="s">
        <v>155</v>
      </c>
      <c r="AH305" t="s">
        <v>155</v>
      </c>
    </row>
    <row r="306" spans="19:34" ht="16.2" customHeight="1" x14ac:dyDescent="0.3">
      <c r="T306" t="s">
        <v>159</v>
      </c>
      <c r="U306" t="s">
        <v>155</v>
      </c>
      <c r="V306" t="s">
        <v>155</v>
      </c>
      <c r="W306" t="s">
        <v>155</v>
      </c>
      <c r="X306" t="s">
        <v>155</v>
      </c>
      <c r="Y306" t="s">
        <v>155</v>
      </c>
      <c r="AC306" t="s">
        <v>159</v>
      </c>
      <c r="AD306" t="s">
        <v>155</v>
      </c>
      <c r="AE306" t="s">
        <v>155</v>
      </c>
      <c r="AF306" t="s">
        <v>155</v>
      </c>
      <c r="AG306" t="s">
        <v>155</v>
      </c>
      <c r="AH306" t="s">
        <v>155</v>
      </c>
    </row>
    <row r="307" spans="19:34" ht="16.2" customHeight="1" x14ac:dyDescent="0.3">
      <c r="T307" t="s">
        <v>160</v>
      </c>
      <c r="U307" t="s">
        <v>155</v>
      </c>
      <c r="V307" t="s">
        <v>155</v>
      </c>
      <c r="W307" t="s">
        <v>155</v>
      </c>
      <c r="X307" t="s">
        <v>155</v>
      </c>
      <c r="Y307" t="s">
        <v>155</v>
      </c>
      <c r="AC307" t="s">
        <v>160</v>
      </c>
      <c r="AD307" t="s">
        <v>155</v>
      </c>
      <c r="AE307" t="s">
        <v>155</v>
      </c>
      <c r="AF307" t="s">
        <v>155</v>
      </c>
      <c r="AG307" t="s">
        <v>155</v>
      </c>
      <c r="AH307" t="s">
        <v>155</v>
      </c>
    </row>
    <row r="308" spans="19:34" ht="16.2" customHeight="1" x14ac:dyDescent="0.3">
      <c r="T308" t="s">
        <v>169</v>
      </c>
      <c r="U308" t="s">
        <v>155</v>
      </c>
      <c r="V308" t="s">
        <v>155</v>
      </c>
      <c r="W308" t="s">
        <v>155</v>
      </c>
      <c r="X308" t="s">
        <v>155</v>
      </c>
      <c r="Y308" t="s">
        <v>155</v>
      </c>
      <c r="AC308" t="s">
        <v>169</v>
      </c>
      <c r="AD308" t="s">
        <v>155</v>
      </c>
      <c r="AE308" t="s">
        <v>155</v>
      </c>
      <c r="AF308" t="s">
        <v>155</v>
      </c>
      <c r="AG308" t="s">
        <v>155</v>
      </c>
      <c r="AH308" t="s">
        <v>155</v>
      </c>
    </row>
    <row r="309" spans="19:34" ht="16.2" customHeight="1" x14ac:dyDescent="0.3">
      <c r="T309" t="s">
        <v>170</v>
      </c>
      <c r="U309" t="s">
        <v>155</v>
      </c>
      <c r="V309" t="s">
        <v>155</v>
      </c>
      <c r="W309" t="s">
        <v>155</v>
      </c>
      <c r="X309" t="s">
        <v>155</v>
      </c>
      <c r="Y309" t="s">
        <v>155</v>
      </c>
      <c r="AC309" t="s">
        <v>170</v>
      </c>
      <c r="AD309" t="s">
        <v>155</v>
      </c>
      <c r="AE309" t="s">
        <v>155</v>
      </c>
      <c r="AF309" t="s">
        <v>155</v>
      </c>
      <c r="AG309" t="s">
        <v>155</v>
      </c>
      <c r="AH309" t="s">
        <v>155</v>
      </c>
    </row>
    <row r="310" spans="19:34" ht="16.2" customHeight="1" x14ac:dyDescent="0.3">
      <c r="T310" t="s">
        <v>171</v>
      </c>
      <c r="U310" t="s">
        <v>155</v>
      </c>
      <c r="V310" t="s">
        <v>155</v>
      </c>
      <c r="W310" t="s">
        <v>155</v>
      </c>
      <c r="X310" t="s">
        <v>155</v>
      </c>
      <c r="Y310" t="s">
        <v>155</v>
      </c>
      <c r="AC310" t="s">
        <v>171</v>
      </c>
      <c r="AD310" t="s">
        <v>155</v>
      </c>
      <c r="AE310" t="s">
        <v>155</v>
      </c>
      <c r="AF310" t="s">
        <v>155</v>
      </c>
      <c r="AG310" t="s">
        <v>155</v>
      </c>
      <c r="AH310" t="s">
        <v>155</v>
      </c>
    </row>
    <row r="311" spans="19:34" ht="16.2" customHeight="1" x14ac:dyDescent="0.3">
      <c r="T311" t="s">
        <v>172</v>
      </c>
      <c r="U311" t="s">
        <v>155</v>
      </c>
      <c r="V311" t="s">
        <v>155</v>
      </c>
      <c r="W311" t="s">
        <v>155</v>
      </c>
      <c r="X311" t="s">
        <v>155</v>
      </c>
      <c r="Y311" t="s">
        <v>155</v>
      </c>
      <c r="AC311" t="s">
        <v>172</v>
      </c>
      <c r="AD311" t="s">
        <v>155</v>
      </c>
      <c r="AE311" t="s">
        <v>155</v>
      </c>
      <c r="AF311" t="s">
        <v>155</v>
      </c>
      <c r="AG311" t="s">
        <v>155</v>
      </c>
      <c r="AH311" t="s">
        <v>155</v>
      </c>
    </row>
    <row r="313" spans="19:34" ht="16.2" customHeight="1" x14ac:dyDescent="0.3">
      <c r="S313" s="15" t="s">
        <v>123</v>
      </c>
      <c r="T313" t="s">
        <v>200</v>
      </c>
      <c r="AB313" s="15" t="s">
        <v>123</v>
      </c>
      <c r="AC313" t="s">
        <v>200</v>
      </c>
    </row>
    <row r="314" spans="19:34" ht="16.2" customHeight="1" x14ac:dyDescent="0.3">
      <c r="U314" t="s">
        <v>164</v>
      </c>
      <c r="V314" t="s">
        <v>165</v>
      </c>
      <c r="W314" t="s">
        <v>166</v>
      </c>
      <c r="X314" t="s">
        <v>167</v>
      </c>
      <c r="Y314" t="s">
        <v>168</v>
      </c>
      <c r="AD314" t="s">
        <v>164</v>
      </c>
      <c r="AE314" t="s">
        <v>165</v>
      </c>
      <c r="AF314" t="s">
        <v>166</v>
      </c>
      <c r="AG314" t="s">
        <v>167</v>
      </c>
      <c r="AH314" t="s">
        <v>168</v>
      </c>
    </row>
    <row r="315" spans="19:34" ht="16.2" customHeight="1" x14ac:dyDescent="0.3">
      <c r="T315" t="s">
        <v>154</v>
      </c>
      <c r="U315" t="s">
        <v>155</v>
      </c>
      <c r="V315" t="s">
        <v>79</v>
      </c>
      <c r="W315" t="s">
        <v>79</v>
      </c>
      <c r="X315" t="s">
        <v>79</v>
      </c>
      <c r="Y315" t="s">
        <v>79</v>
      </c>
      <c r="AC315" t="s">
        <v>154</v>
      </c>
      <c r="AD315" t="s">
        <v>155</v>
      </c>
      <c r="AE315" t="s">
        <v>79</v>
      </c>
      <c r="AF315" t="s">
        <v>79</v>
      </c>
      <c r="AG315" t="s">
        <v>79</v>
      </c>
      <c r="AH315" t="s">
        <v>79</v>
      </c>
    </row>
    <row r="316" spans="19:34" ht="16.2" customHeight="1" x14ac:dyDescent="0.3">
      <c r="T316" t="s">
        <v>156</v>
      </c>
      <c r="U316" t="s">
        <v>155</v>
      </c>
      <c r="V316" t="s">
        <v>79</v>
      </c>
      <c r="W316" t="s">
        <v>79</v>
      </c>
      <c r="X316" t="s">
        <v>79</v>
      </c>
      <c r="Y316" t="s">
        <v>79</v>
      </c>
      <c r="AC316" t="s">
        <v>156</v>
      </c>
      <c r="AD316" t="s">
        <v>155</v>
      </c>
      <c r="AE316" t="s">
        <v>79</v>
      </c>
      <c r="AF316" t="s">
        <v>79</v>
      </c>
      <c r="AG316" t="s">
        <v>79</v>
      </c>
      <c r="AH316" t="s">
        <v>79</v>
      </c>
    </row>
    <row r="317" spans="19:34" ht="16.2" customHeight="1" x14ac:dyDescent="0.3">
      <c r="T317" t="s">
        <v>157</v>
      </c>
      <c r="U317" t="s">
        <v>155</v>
      </c>
      <c r="V317" t="s">
        <v>155</v>
      </c>
      <c r="W317" t="s">
        <v>79</v>
      </c>
      <c r="X317" t="s">
        <v>79</v>
      </c>
      <c r="Y317" t="s">
        <v>155</v>
      </c>
      <c r="AC317" t="s">
        <v>157</v>
      </c>
      <c r="AD317" t="s">
        <v>155</v>
      </c>
      <c r="AE317" t="s">
        <v>155</v>
      </c>
      <c r="AF317" t="s">
        <v>79</v>
      </c>
      <c r="AG317" t="s">
        <v>79</v>
      </c>
      <c r="AH317" t="s">
        <v>155</v>
      </c>
    </row>
    <row r="318" spans="19:34" ht="16.2" customHeight="1" x14ac:dyDescent="0.3">
      <c r="T318" t="s">
        <v>158</v>
      </c>
      <c r="U318" t="s">
        <v>155</v>
      </c>
      <c r="V318" t="s">
        <v>155</v>
      </c>
      <c r="W318" t="s">
        <v>155</v>
      </c>
      <c r="X318" t="s">
        <v>155</v>
      </c>
      <c r="Y318" t="s">
        <v>155</v>
      </c>
      <c r="AC318" t="s">
        <v>158</v>
      </c>
      <c r="AD318" t="s">
        <v>155</v>
      </c>
      <c r="AE318" t="s">
        <v>155</v>
      </c>
      <c r="AF318" t="s">
        <v>155</v>
      </c>
      <c r="AG318" t="s">
        <v>155</v>
      </c>
      <c r="AH318" t="s">
        <v>155</v>
      </c>
    </row>
    <row r="319" spans="19:34" ht="16.2" customHeight="1" x14ac:dyDescent="0.3">
      <c r="T319" t="s">
        <v>159</v>
      </c>
      <c r="U319" t="s">
        <v>155</v>
      </c>
      <c r="V319" t="s">
        <v>155</v>
      </c>
      <c r="W319" t="s">
        <v>155</v>
      </c>
      <c r="X319" t="s">
        <v>155</v>
      </c>
      <c r="Y319" t="s">
        <v>155</v>
      </c>
      <c r="AC319" t="s">
        <v>159</v>
      </c>
      <c r="AD319" t="s">
        <v>155</v>
      </c>
      <c r="AE319" t="s">
        <v>155</v>
      </c>
      <c r="AF319" t="s">
        <v>155</v>
      </c>
      <c r="AG319" t="s">
        <v>155</v>
      </c>
      <c r="AH319" t="s">
        <v>155</v>
      </c>
    </row>
    <row r="320" spans="19:34" ht="16.2" customHeight="1" x14ac:dyDescent="0.3">
      <c r="T320" t="s">
        <v>160</v>
      </c>
      <c r="U320" t="s">
        <v>155</v>
      </c>
      <c r="V320" t="s">
        <v>155</v>
      </c>
      <c r="W320" t="s">
        <v>155</v>
      </c>
      <c r="X320" t="s">
        <v>155</v>
      </c>
      <c r="Y320" t="s">
        <v>155</v>
      </c>
      <c r="AC320" t="s">
        <v>160</v>
      </c>
      <c r="AD320" t="s">
        <v>155</v>
      </c>
      <c r="AE320" t="s">
        <v>155</v>
      </c>
      <c r="AF320" t="s">
        <v>155</v>
      </c>
      <c r="AG320" t="s">
        <v>155</v>
      </c>
      <c r="AH320" t="s">
        <v>155</v>
      </c>
    </row>
    <row r="321" spans="19:34" ht="16.2" customHeight="1" x14ac:dyDescent="0.3">
      <c r="T321" t="s">
        <v>169</v>
      </c>
      <c r="U321" t="s">
        <v>155</v>
      </c>
      <c r="V321" t="s">
        <v>155</v>
      </c>
      <c r="W321" t="s">
        <v>155</v>
      </c>
      <c r="X321" t="s">
        <v>155</v>
      </c>
      <c r="Y321" t="s">
        <v>155</v>
      </c>
      <c r="AC321" t="s">
        <v>169</v>
      </c>
      <c r="AD321" t="s">
        <v>155</v>
      </c>
      <c r="AE321" t="s">
        <v>155</v>
      </c>
      <c r="AF321" t="s">
        <v>155</v>
      </c>
      <c r="AG321" t="s">
        <v>155</v>
      </c>
      <c r="AH321" t="s">
        <v>155</v>
      </c>
    </row>
    <row r="322" spans="19:34" ht="16.2" customHeight="1" x14ac:dyDescent="0.3">
      <c r="T322" t="s">
        <v>170</v>
      </c>
      <c r="U322" t="s">
        <v>155</v>
      </c>
      <c r="V322" t="s">
        <v>155</v>
      </c>
      <c r="W322" t="s">
        <v>155</v>
      </c>
      <c r="X322" t="s">
        <v>155</v>
      </c>
      <c r="Y322" t="s">
        <v>155</v>
      </c>
      <c r="AC322" t="s">
        <v>170</v>
      </c>
      <c r="AD322" t="s">
        <v>155</v>
      </c>
      <c r="AE322" t="s">
        <v>155</v>
      </c>
      <c r="AF322" t="s">
        <v>155</v>
      </c>
      <c r="AG322" t="s">
        <v>155</v>
      </c>
      <c r="AH322" t="s">
        <v>155</v>
      </c>
    </row>
    <row r="323" spans="19:34" ht="16.2" customHeight="1" x14ac:dyDescent="0.3">
      <c r="T323" t="s">
        <v>171</v>
      </c>
      <c r="U323" t="s">
        <v>155</v>
      </c>
      <c r="V323" t="s">
        <v>155</v>
      </c>
      <c r="W323" t="s">
        <v>155</v>
      </c>
      <c r="X323" t="s">
        <v>155</v>
      </c>
      <c r="Y323" t="s">
        <v>155</v>
      </c>
      <c r="AC323" t="s">
        <v>171</v>
      </c>
      <c r="AD323" t="s">
        <v>155</v>
      </c>
      <c r="AE323" t="s">
        <v>155</v>
      </c>
      <c r="AF323" t="s">
        <v>155</v>
      </c>
      <c r="AG323" t="s">
        <v>155</v>
      </c>
      <c r="AH323" t="s">
        <v>155</v>
      </c>
    </row>
    <row r="324" spans="19:34" ht="16.2" customHeight="1" x14ac:dyDescent="0.3">
      <c r="T324" t="s">
        <v>172</v>
      </c>
      <c r="U324" t="s">
        <v>155</v>
      </c>
      <c r="V324" t="s">
        <v>155</v>
      </c>
      <c r="W324" t="s">
        <v>155</v>
      </c>
      <c r="X324" t="s">
        <v>155</v>
      </c>
      <c r="Y324" t="s">
        <v>155</v>
      </c>
      <c r="AC324" t="s">
        <v>172</v>
      </c>
      <c r="AD324" t="s">
        <v>155</v>
      </c>
      <c r="AE324" t="s">
        <v>155</v>
      </c>
      <c r="AF324" t="s">
        <v>155</v>
      </c>
      <c r="AG324" t="s">
        <v>155</v>
      </c>
      <c r="AH324" t="s">
        <v>155</v>
      </c>
    </row>
    <row r="326" spans="19:34" ht="16.2" customHeight="1" x14ac:dyDescent="0.3">
      <c r="S326" s="15" t="s">
        <v>124</v>
      </c>
      <c r="T326" t="s">
        <v>201</v>
      </c>
      <c r="AB326" s="15" t="s">
        <v>124</v>
      </c>
      <c r="AC326" t="s">
        <v>201</v>
      </c>
    </row>
    <row r="327" spans="19:34" ht="16.2" customHeight="1" x14ac:dyDescent="0.3">
      <c r="U327" t="s">
        <v>164</v>
      </c>
      <c r="V327" t="s">
        <v>165</v>
      </c>
      <c r="W327" t="s">
        <v>166</v>
      </c>
      <c r="X327" t="s">
        <v>167</v>
      </c>
      <c r="Y327" t="s">
        <v>168</v>
      </c>
      <c r="AD327" t="s">
        <v>164</v>
      </c>
      <c r="AE327" t="s">
        <v>165</v>
      </c>
      <c r="AF327" t="s">
        <v>166</v>
      </c>
      <c r="AG327" t="s">
        <v>167</v>
      </c>
      <c r="AH327" t="s">
        <v>168</v>
      </c>
    </row>
    <row r="328" spans="19:34" ht="16.2" customHeight="1" x14ac:dyDescent="0.3">
      <c r="T328" t="s">
        <v>154</v>
      </c>
      <c r="U328" t="s">
        <v>155</v>
      </c>
      <c r="V328" t="s">
        <v>79</v>
      </c>
      <c r="W328" t="s">
        <v>79</v>
      </c>
      <c r="X328" t="s">
        <v>79</v>
      </c>
      <c r="Y328" t="s">
        <v>79</v>
      </c>
      <c r="AC328" t="s">
        <v>154</v>
      </c>
      <c r="AD328" t="s">
        <v>155</v>
      </c>
      <c r="AE328" t="s">
        <v>79</v>
      </c>
      <c r="AF328" t="s">
        <v>79</v>
      </c>
      <c r="AG328" t="s">
        <v>79</v>
      </c>
      <c r="AH328" t="s">
        <v>79</v>
      </c>
    </row>
    <row r="329" spans="19:34" ht="16.2" customHeight="1" x14ac:dyDescent="0.3">
      <c r="T329" t="s">
        <v>156</v>
      </c>
      <c r="U329" t="s">
        <v>155</v>
      </c>
      <c r="V329" t="s">
        <v>79</v>
      </c>
      <c r="W329" t="s">
        <v>79</v>
      </c>
      <c r="X329" t="s">
        <v>79</v>
      </c>
      <c r="Y329" t="s">
        <v>79</v>
      </c>
      <c r="AC329" t="s">
        <v>156</v>
      </c>
      <c r="AD329" t="s">
        <v>155</v>
      </c>
      <c r="AE329" t="s">
        <v>79</v>
      </c>
      <c r="AF329" t="s">
        <v>79</v>
      </c>
      <c r="AG329" t="s">
        <v>79</v>
      </c>
      <c r="AH329" t="s">
        <v>79</v>
      </c>
    </row>
    <row r="330" spans="19:34" ht="16.2" customHeight="1" x14ac:dyDescent="0.3">
      <c r="T330" t="s">
        <v>157</v>
      </c>
      <c r="U330" t="s">
        <v>155</v>
      </c>
      <c r="V330" t="s">
        <v>155</v>
      </c>
      <c r="W330" t="s">
        <v>79</v>
      </c>
      <c r="X330" t="s">
        <v>79</v>
      </c>
      <c r="Y330" t="s">
        <v>155</v>
      </c>
      <c r="AC330" t="s">
        <v>157</v>
      </c>
      <c r="AD330" t="s">
        <v>155</v>
      </c>
      <c r="AE330" t="s">
        <v>155</v>
      </c>
      <c r="AF330" t="s">
        <v>79</v>
      </c>
      <c r="AG330" t="s">
        <v>79</v>
      </c>
      <c r="AH330" t="s">
        <v>155</v>
      </c>
    </row>
    <row r="331" spans="19:34" ht="16.2" customHeight="1" x14ac:dyDescent="0.3">
      <c r="T331" t="s">
        <v>158</v>
      </c>
      <c r="U331" t="s">
        <v>155</v>
      </c>
      <c r="V331" t="s">
        <v>155</v>
      </c>
      <c r="W331" t="s">
        <v>155</v>
      </c>
      <c r="X331" t="s">
        <v>155</v>
      </c>
      <c r="Y331" t="s">
        <v>155</v>
      </c>
      <c r="AC331" t="s">
        <v>158</v>
      </c>
      <c r="AD331" t="s">
        <v>155</v>
      </c>
      <c r="AE331" t="s">
        <v>155</v>
      </c>
      <c r="AF331" t="s">
        <v>155</v>
      </c>
      <c r="AG331" t="s">
        <v>155</v>
      </c>
      <c r="AH331" t="s">
        <v>155</v>
      </c>
    </row>
    <row r="332" spans="19:34" ht="16.2" customHeight="1" x14ac:dyDescent="0.3">
      <c r="T332" t="s">
        <v>159</v>
      </c>
      <c r="U332" t="s">
        <v>155</v>
      </c>
      <c r="V332" t="s">
        <v>155</v>
      </c>
      <c r="W332" t="s">
        <v>155</v>
      </c>
      <c r="X332" t="s">
        <v>155</v>
      </c>
      <c r="Y332" t="s">
        <v>155</v>
      </c>
      <c r="AC332" t="s">
        <v>159</v>
      </c>
      <c r="AD332" t="s">
        <v>155</v>
      </c>
      <c r="AE332" t="s">
        <v>155</v>
      </c>
      <c r="AF332" t="s">
        <v>155</v>
      </c>
      <c r="AG332" t="s">
        <v>155</v>
      </c>
      <c r="AH332" t="s">
        <v>155</v>
      </c>
    </row>
    <row r="333" spans="19:34" ht="16.2" customHeight="1" x14ac:dyDescent="0.3">
      <c r="T333" t="s">
        <v>160</v>
      </c>
      <c r="U333" t="s">
        <v>155</v>
      </c>
      <c r="V333" t="s">
        <v>155</v>
      </c>
      <c r="W333" t="s">
        <v>155</v>
      </c>
      <c r="X333" t="s">
        <v>155</v>
      </c>
      <c r="Y333" t="s">
        <v>155</v>
      </c>
      <c r="AC333" t="s">
        <v>160</v>
      </c>
      <c r="AD333" t="s">
        <v>155</v>
      </c>
      <c r="AE333" t="s">
        <v>155</v>
      </c>
      <c r="AF333" t="s">
        <v>155</v>
      </c>
      <c r="AG333" t="s">
        <v>155</v>
      </c>
      <c r="AH333" t="s">
        <v>155</v>
      </c>
    </row>
    <row r="334" spans="19:34" ht="16.2" customHeight="1" x14ac:dyDescent="0.3">
      <c r="T334" t="s">
        <v>169</v>
      </c>
      <c r="U334" t="s">
        <v>155</v>
      </c>
      <c r="V334" t="s">
        <v>155</v>
      </c>
      <c r="W334" t="s">
        <v>155</v>
      </c>
      <c r="X334" t="s">
        <v>155</v>
      </c>
      <c r="Y334" t="s">
        <v>155</v>
      </c>
      <c r="AC334" t="s">
        <v>169</v>
      </c>
      <c r="AD334" t="s">
        <v>155</v>
      </c>
      <c r="AE334" t="s">
        <v>155</v>
      </c>
      <c r="AF334" t="s">
        <v>155</v>
      </c>
      <c r="AG334" t="s">
        <v>155</v>
      </c>
      <c r="AH334" t="s">
        <v>155</v>
      </c>
    </row>
    <row r="335" spans="19:34" ht="16.2" customHeight="1" x14ac:dyDescent="0.3">
      <c r="T335" t="s">
        <v>170</v>
      </c>
      <c r="U335" t="s">
        <v>155</v>
      </c>
      <c r="V335" t="s">
        <v>155</v>
      </c>
      <c r="W335" t="s">
        <v>155</v>
      </c>
      <c r="X335" t="s">
        <v>155</v>
      </c>
      <c r="Y335" t="s">
        <v>155</v>
      </c>
      <c r="AC335" t="s">
        <v>170</v>
      </c>
      <c r="AD335" t="s">
        <v>155</v>
      </c>
      <c r="AE335" t="s">
        <v>155</v>
      </c>
      <c r="AF335" t="s">
        <v>155</v>
      </c>
      <c r="AG335" t="s">
        <v>155</v>
      </c>
      <c r="AH335" t="s">
        <v>155</v>
      </c>
    </row>
    <row r="336" spans="19:34" ht="16.2" customHeight="1" x14ac:dyDescent="0.3">
      <c r="T336" t="s">
        <v>171</v>
      </c>
      <c r="U336" t="s">
        <v>155</v>
      </c>
      <c r="V336" t="s">
        <v>155</v>
      </c>
      <c r="W336" t="s">
        <v>155</v>
      </c>
      <c r="X336" t="s">
        <v>155</v>
      </c>
      <c r="Y336" t="s">
        <v>155</v>
      </c>
      <c r="AC336" t="s">
        <v>171</v>
      </c>
      <c r="AD336" t="s">
        <v>155</v>
      </c>
      <c r="AE336" t="s">
        <v>155</v>
      </c>
      <c r="AF336" t="s">
        <v>155</v>
      </c>
      <c r="AG336" t="s">
        <v>155</v>
      </c>
      <c r="AH336" t="s">
        <v>155</v>
      </c>
    </row>
    <row r="337" spans="19:34" ht="16.2" customHeight="1" x14ac:dyDescent="0.3">
      <c r="T337" t="s">
        <v>172</v>
      </c>
      <c r="U337" t="s">
        <v>155</v>
      </c>
      <c r="V337" t="s">
        <v>155</v>
      </c>
      <c r="W337" t="s">
        <v>155</v>
      </c>
      <c r="X337" t="s">
        <v>155</v>
      </c>
      <c r="Y337" t="s">
        <v>155</v>
      </c>
      <c r="AC337" t="s">
        <v>172</v>
      </c>
      <c r="AD337" t="s">
        <v>155</v>
      </c>
      <c r="AE337" t="s">
        <v>155</v>
      </c>
      <c r="AF337" t="s">
        <v>155</v>
      </c>
      <c r="AG337" t="s">
        <v>155</v>
      </c>
      <c r="AH337" t="s">
        <v>155</v>
      </c>
    </row>
    <row r="339" spans="19:34" ht="16.2" customHeight="1" x14ac:dyDescent="0.3">
      <c r="S339" s="15" t="s">
        <v>125</v>
      </c>
      <c r="T339" t="s">
        <v>202</v>
      </c>
      <c r="AB339" s="15" t="s">
        <v>125</v>
      </c>
      <c r="AC339" t="s">
        <v>202</v>
      </c>
    </row>
    <row r="340" spans="19:34" ht="16.2" customHeight="1" x14ac:dyDescent="0.3">
      <c r="U340" t="s">
        <v>164</v>
      </c>
      <c r="V340" t="s">
        <v>165</v>
      </c>
      <c r="W340" t="s">
        <v>166</v>
      </c>
      <c r="X340" t="s">
        <v>167</v>
      </c>
      <c r="Y340" t="s">
        <v>168</v>
      </c>
      <c r="AD340" t="s">
        <v>164</v>
      </c>
      <c r="AE340" t="s">
        <v>165</v>
      </c>
      <c r="AF340" t="s">
        <v>166</v>
      </c>
      <c r="AG340" t="s">
        <v>167</v>
      </c>
      <c r="AH340" t="s">
        <v>168</v>
      </c>
    </row>
    <row r="341" spans="19:34" ht="16.2" customHeight="1" x14ac:dyDescent="0.3">
      <c r="T341" t="s">
        <v>154</v>
      </c>
      <c r="U341" t="s">
        <v>81</v>
      </c>
      <c r="V341" t="s">
        <v>155</v>
      </c>
      <c r="W341" t="s">
        <v>155</v>
      </c>
      <c r="X341" t="s">
        <v>81</v>
      </c>
      <c r="Y341" t="s">
        <v>155</v>
      </c>
      <c r="AC341" t="s">
        <v>154</v>
      </c>
      <c r="AD341" t="s">
        <v>81</v>
      </c>
      <c r="AE341" t="s">
        <v>155</v>
      </c>
      <c r="AF341" t="s">
        <v>155</v>
      </c>
      <c r="AG341" t="s">
        <v>81</v>
      </c>
      <c r="AH341" t="s">
        <v>155</v>
      </c>
    </row>
    <row r="342" spans="19:34" ht="16.2" customHeight="1" x14ac:dyDescent="0.3">
      <c r="T342" t="s">
        <v>156</v>
      </c>
      <c r="U342" t="s">
        <v>81</v>
      </c>
      <c r="V342" t="s">
        <v>155</v>
      </c>
      <c r="W342" t="s">
        <v>155</v>
      </c>
      <c r="X342" t="s">
        <v>81</v>
      </c>
      <c r="Y342" t="s">
        <v>155</v>
      </c>
      <c r="AC342" t="s">
        <v>156</v>
      </c>
      <c r="AD342" t="s">
        <v>81</v>
      </c>
      <c r="AE342" t="s">
        <v>155</v>
      </c>
      <c r="AF342" t="s">
        <v>155</v>
      </c>
      <c r="AG342" t="s">
        <v>81</v>
      </c>
      <c r="AH342" t="s">
        <v>155</v>
      </c>
    </row>
    <row r="343" spans="19:34" ht="16.2" customHeight="1" x14ac:dyDescent="0.3">
      <c r="T343" t="s">
        <v>157</v>
      </c>
      <c r="U343" t="s">
        <v>81</v>
      </c>
      <c r="V343" t="s">
        <v>155</v>
      </c>
      <c r="W343" t="s">
        <v>155</v>
      </c>
      <c r="X343" t="s">
        <v>81</v>
      </c>
      <c r="Y343" t="s">
        <v>155</v>
      </c>
      <c r="AC343" t="s">
        <v>157</v>
      </c>
      <c r="AD343" t="s">
        <v>81</v>
      </c>
      <c r="AE343" t="s">
        <v>155</v>
      </c>
      <c r="AF343" t="s">
        <v>155</v>
      </c>
      <c r="AG343" t="s">
        <v>81</v>
      </c>
      <c r="AH343" t="s">
        <v>155</v>
      </c>
    </row>
    <row r="344" spans="19:34" ht="16.2" customHeight="1" x14ac:dyDescent="0.3">
      <c r="T344" t="s">
        <v>158</v>
      </c>
      <c r="U344" t="s">
        <v>155</v>
      </c>
      <c r="V344" t="s">
        <v>155</v>
      </c>
      <c r="W344" t="s">
        <v>155</v>
      </c>
      <c r="X344" t="s">
        <v>155</v>
      </c>
      <c r="Y344" t="s">
        <v>155</v>
      </c>
      <c r="AC344" t="s">
        <v>158</v>
      </c>
      <c r="AD344" t="s">
        <v>155</v>
      </c>
      <c r="AE344" t="s">
        <v>155</v>
      </c>
      <c r="AF344" t="s">
        <v>155</v>
      </c>
      <c r="AG344" t="s">
        <v>155</v>
      </c>
      <c r="AH344" t="s">
        <v>155</v>
      </c>
    </row>
    <row r="345" spans="19:34" ht="16.2" customHeight="1" x14ac:dyDescent="0.3">
      <c r="T345" t="s">
        <v>159</v>
      </c>
      <c r="U345" t="s">
        <v>155</v>
      </c>
      <c r="V345" t="s">
        <v>155</v>
      </c>
      <c r="W345" t="s">
        <v>155</v>
      </c>
      <c r="X345" t="s">
        <v>155</v>
      </c>
      <c r="Y345" t="s">
        <v>155</v>
      </c>
      <c r="AC345" t="s">
        <v>159</v>
      </c>
      <c r="AD345" t="s">
        <v>155</v>
      </c>
      <c r="AE345" t="s">
        <v>155</v>
      </c>
      <c r="AF345" t="s">
        <v>155</v>
      </c>
      <c r="AG345" t="s">
        <v>155</v>
      </c>
      <c r="AH345" t="s">
        <v>155</v>
      </c>
    </row>
    <row r="346" spans="19:34" ht="16.2" customHeight="1" x14ac:dyDescent="0.3">
      <c r="T346" t="s">
        <v>160</v>
      </c>
      <c r="U346" t="s">
        <v>155</v>
      </c>
      <c r="V346" t="s">
        <v>155</v>
      </c>
      <c r="W346" t="s">
        <v>155</v>
      </c>
      <c r="X346" t="s">
        <v>155</v>
      </c>
      <c r="Y346" t="s">
        <v>155</v>
      </c>
      <c r="AC346" t="s">
        <v>160</v>
      </c>
      <c r="AD346" t="s">
        <v>155</v>
      </c>
      <c r="AE346" t="s">
        <v>155</v>
      </c>
      <c r="AF346" t="s">
        <v>155</v>
      </c>
      <c r="AG346" t="s">
        <v>155</v>
      </c>
      <c r="AH346" t="s">
        <v>155</v>
      </c>
    </row>
    <row r="347" spans="19:34" ht="16.2" customHeight="1" x14ac:dyDescent="0.3">
      <c r="T347" t="s">
        <v>169</v>
      </c>
      <c r="U347" t="s">
        <v>155</v>
      </c>
      <c r="V347" t="s">
        <v>155</v>
      </c>
      <c r="W347" t="s">
        <v>155</v>
      </c>
      <c r="X347" t="s">
        <v>155</v>
      </c>
      <c r="Y347" t="s">
        <v>155</v>
      </c>
      <c r="AC347" t="s">
        <v>169</v>
      </c>
      <c r="AD347" t="s">
        <v>155</v>
      </c>
      <c r="AE347" t="s">
        <v>155</v>
      </c>
      <c r="AF347" t="s">
        <v>155</v>
      </c>
      <c r="AG347" t="s">
        <v>155</v>
      </c>
      <c r="AH347" t="s">
        <v>155</v>
      </c>
    </row>
    <row r="348" spans="19:34" ht="16.2" customHeight="1" x14ac:dyDescent="0.3">
      <c r="T348" t="s">
        <v>170</v>
      </c>
      <c r="U348" t="s">
        <v>155</v>
      </c>
      <c r="V348" t="s">
        <v>155</v>
      </c>
      <c r="W348" t="s">
        <v>155</v>
      </c>
      <c r="X348" t="s">
        <v>155</v>
      </c>
      <c r="Y348" t="s">
        <v>155</v>
      </c>
      <c r="AC348" t="s">
        <v>170</v>
      </c>
      <c r="AD348" t="s">
        <v>155</v>
      </c>
      <c r="AE348" t="s">
        <v>155</v>
      </c>
      <c r="AF348" t="s">
        <v>155</v>
      </c>
      <c r="AG348" t="s">
        <v>155</v>
      </c>
      <c r="AH348" t="s">
        <v>155</v>
      </c>
    </row>
    <row r="349" spans="19:34" ht="16.2" customHeight="1" x14ac:dyDescent="0.3">
      <c r="T349" t="s">
        <v>171</v>
      </c>
      <c r="U349" t="s">
        <v>155</v>
      </c>
      <c r="V349" t="s">
        <v>155</v>
      </c>
      <c r="W349" t="s">
        <v>155</v>
      </c>
      <c r="X349" t="s">
        <v>155</v>
      </c>
      <c r="Y349" t="s">
        <v>155</v>
      </c>
      <c r="AC349" t="s">
        <v>171</v>
      </c>
      <c r="AD349" t="s">
        <v>155</v>
      </c>
      <c r="AE349" t="s">
        <v>155</v>
      </c>
      <c r="AF349" t="s">
        <v>155</v>
      </c>
      <c r="AG349" t="s">
        <v>155</v>
      </c>
      <c r="AH349" t="s">
        <v>155</v>
      </c>
    </row>
    <row r="350" spans="19:34" ht="16.2" customHeight="1" x14ac:dyDescent="0.3">
      <c r="T350" t="s">
        <v>172</v>
      </c>
      <c r="U350" t="s">
        <v>155</v>
      </c>
      <c r="V350" t="s">
        <v>155</v>
      </c>
      <c r="W350" t="s">
        <v>155</v>
      </c>
      <c r="X350" t="s">
        <v>155</v>
      </c>
      <c r="Y350" t="s">
        <v>155</v>
      </c>
      <c r="AC350" t="s">
        <v>172</v>
      </c>
      <c r="AD350" t="s">
        <v>155</v>
      </c>
      <c r="AE350" t="s">
        <v>155</v>
      </c>
      <c r="AF350" t="s">
        <v>155</v>
      </c>
      <c r="AG350" t="s">
        <v>155</v>
      </c>
      <c r="AH350" t="s">
        <v>155</v>
      </c>
    </row>
    <row r="352" spans="19:34" ht="16.2" customHeight="1" x14ac:dyDescent="0.3">
      <c r="S352" s="15" t="s">
        <v>126</v>
      </c>
      <c r="T352" t="s">
        <v>203</v>
      </c>
      <c r="AB352" s="15" t="s">
        <v>126</v>
      </c>
      <c r="AC352" t="s">
        <v>203</v>
      </c>
    </row>
    <row r="353" spans="19:34" ht="16.2" customHeight="1" x14ac:dyDescent="0.3">
      <c r="U353" t="s">
        <v>164</v>
      </c>
      <c r="V353" t="s">
        <v>165</v>
      </c>
      <c r="W353" t="s">
        <v>166</v>
      </c>
      <c r="X353" t="s">
        <v>167</v>
      </c>
      <c r="Y353" t="s">
        <v>168</v>
      </c>
      <c r="AD353" t="s">
        <v>164</v>
      </c>
      <c r="AE353" t="s">
        <v>165</v>
      </c>
      <c r="AF353" t="s">
        <v>166</v>
      </c>
      <c r="AG353" t="s">
        <v>167</v>
      </c>
      <c r="AH353" t="s">
        <v>168</v>
      </c>
    </row>
    <row r="354" spans="19:34" ht="16.2" customHeight="1" x14ac:dyDescent="0.3">
      <c r="T354" t="s">
        <v>154</v>
      </c>
      <c r="U354" t="s">
        <v>155</v>
      </c>
      <c r="V354" t="s">
        <v>155</v>
      </c>
      <c r="W354" t="s">
        <v>155</v>
      </c>
      <c r="X354" t="s">
        <v>155</v>
      </c>
      <c r="Y354" t="s">
        <v>155</v>
      </c>
      <c r="AC354" t="s">
        <v>154</v>
      </c>
      <c r="AD354" t="s">
        <v>155</v>
      </c>
      <c r="AE354" t="s">
        <v>155</v>
      </c>
      <c r="AF354" t="s">
        <v>155</v>
      </c>
      <c r="AG354" t="s">
        <v>155</v>
      </c>
      <c r="AH354" t="s">
        <v>155</v>
      </c>
    </row>
    <row r="355" spans="19:34" ht="16.2" customHeight="1" x14ac:dyDescent="0.3">
      <c r="T355" t="s">
        <v>156</v>
      </c>
      <c r="U355" t="s">
        <v>82</v>
      </c>
      <c r="V355" t="s">
        <v>155</v>
      </c>
      <c r="W355" t="s">
        <v>155</v>
      </c>
      <c r="X355" t="s">
        <v>82</v>
      </c>
      <c r="Y355" t="s">
        <v>155</v>
      </c>
      <c r="AC355" t="s">
        <v>156</v>
      </c>
      <c r="AD355" t="s">
        <v>82</v>
      </c>
      <c r="AE355" t="s">
        <v>155</v>
      </c>
      <c r="AF355" t="s">
        <v>155</v>
      </c>
      <c r="AG355" t="s">
        <v>82</v>
      </c>
      <c r="AH355" t="s">
        <v>155</v>
      </c>
    </row>
    <row r="356" spans="19:34" ht="16.2" customHeight="1" x14ac:dyDescent="0.3">
      <c r="T356" t="s">
        <v>157</v>
      </c>
      <c r="U356" t="s">
        <v>82</v>
      </c>
      <c r="V356" t="s">
        <v>90</v>
      </c>
      <c r="W356" t="s">
        <v>155</v>
      </c>
      <c r="X356" t="s">
        <v>82</v>
      </c>
      <c r="Y356" t="s">
        <v>155</v>
      </c>
      <c r="AC356" t="s">
        <v>157</v>
      </c>
      <c r="AD356" t="s">
        <v>82</v>
      </c>
      <c r="AE356" t="s">
        <v>90</v>
      </c>
      <c r="AF356" t="s">
        <v>155</v>
      </c>
      <c r="AG356" t="s">
        <v>82</v>
      </c>
      <c r="AH356" t="s">
        <v>155</v>
      </c>
    </row>
    <row r="357" spans="19:34" ht="16.2" customHeight="1" x14ac:dyDescent="0.3">
      <c r="T357" t="s">
        <v>158</v>
      </c>
      <c r="U357" t="s">
        <v>155</v>
      </c>
      <c r="V357" t="s">
        <v>90</v>
      </c>
      <c r="W357" t="s">
        <v>155</v>
      </c>
      <c r="X357" t="s">
        <v>90</v>
      </c>
      <c r="Y357" t="s">
        <v>155</v>
      </c>
      <c r="AC357" t="s">
        <v>158</v>
      </c>
      <c r="AD357" t="s">
        <v>155</v>
      </c>
      <c r="AE357" t="s">
        <v>90</v>
      </c>
      <c r="AF357" t="s">
        <v>155</v>
      </c>
      <c r="AG357" t="s">
        <v>90</v>
      </c>
      <c r="AH357" t="s">
        <v>155</v>
      </c>
    </row>
    <row r="358" spans="19:34" ht="16.2" customHeight="1" x14ac:dyDescent="0.3">
      <c r="T358" t="s">
        <v>159</v>
      </c>
      <c r="U358" t="s">
        <v>155</v>
      </c>
      <c r="V358" t="s">
        <v>155</v>
      </c>
      <c r="W358" t="s">
        <v>155</v>
      </c>
      <c r="X358" t="s">
        <v>90</v>
      </c>
      <c r="Y358" t="s">
        <v>155</v>
      </c>
      <c r="AC358" t="s">
        <v>159</v>
      </c>
      <c r="AD358" t="s">
        <v>155</v>
      </c>
      <c r="AE358" t="s">
        <v>155</v>
      </c>
      <c r="AF358" t="s">
        <v>155</v>
      </c>
      <c r="AG358" t="s">
        <v>90</v>
      </c>
      <c r="AH358" t="s">
        <v>155</v>
      </c>
    </row>
    <row r="359" spans="19:34" ht="16.2" customHeight="1" x14ac:dyDescent="0.3">
      <c r="T359" t="s">
        <v>160</v>
      </c>
      <c r="U359" t="s">
        <v>155</v>
      </c>
      <c r="V359" t="s">
        <v>155</v>
      </c>
      <c r="W359" t="s">
        <v>155</v>
      </c>
      <c r="X359" t="s">
        <v>155</v>
      </c>
      <c r="Y359" t="s">
        <v>155</v>
      </c>
      <c r="AC359" t="s">
        <v>160</v>
      </c>
      <c r="AD359" t="s">
        <v>155</v>
      </c>
      <c r="AE359" t="s">
        <v>155</v>
      </c>
      <c r="AF359" t="s">
        <v>155</v>
      </c>
      <c r="AG359" t="s">
        <v>155</v>
      </c>
      <c r="AH359" t="s">
        <v>155</v>
      </c>
    </row>
    <row r="360" spans="19:34" ht="16.2" customHeight="1" x14ac:dyDescent="0.3">
      <c r="T360" t="s">
        <v>169</v>
      </c>
      <c r="U360" t="s">
        <v>155</v>
      </c>
      <c r="V360" t="s">
        <v>155</v>
      </c>
      <c r="W360" t="s">
        <v>155</v>
      </c>
      <c r="X360" t="s">
        <v>155</v>
      </c>
      <c r="Y360" t="s">
        <v>155</v>
      </c>
      <c r="AC360" t="s">
        <v>169</v>
      </c>
      <c r="AD360" t="s">
        <v>155</v>
      </c>
      <c r="AE360" t="s">
        <v>155</v>
      </c>
      <c r="AF360" t="s">
        <v>155</v>
      </c>
      <c r="AG360" t="s">
        <v>155</v>
      </c>
      <c r="AH360" t="s">
        <v>155</v>
      </c>
    </row>
    <row r="361" spans="19:34" ht="16.2" customHeight="1" x14ac:dyDescent="0.3">
      <c r="T361" t="s">
        <v>170</v>
      </c>
      <c r="U361" t="s">
        <v>155</v>
      </c>
      <c r="V361" t="s">
        <v>155</v>
      </c>
      <c r="W361" t="s">
        <v>155</v>
      </c>
      <c r="X361" t="s">
        <v>155</v>
      </c>
      <c r="Y361" t="s">
        <v>155</v>
      </c>
      <c r="AC361" t="s">
        <v>170</v>
      </c>
      <c r="AD361" t="s">
        <v>155</v>
      </c>
      <c r="AE361" t="s">
        <v>155</v>
      </c>
      <c r="AF361" t="s">
        <v>155</v>
      </c>
      <c r="AG361" t="s">
        <v>155</v>
      </c>
      <c r="AH361" t="s">
        <v>155</v>
      </c>
    </row>
    <row r="362" spans="19:34" ht="16.2" customHeight="1" x14ac:dyDescent="0.3">
      <c r="T362" t="s">
        <v>171</v>
      </c>
      <c r="U362" t="s">
        <v>155</v>
      </c>
      <c r="V362" t="s">
        <v>155</v>
      </c>
      <c r="W362" t="s">
        <v>155</v>
      </c>
      <c r="X362" t="s">
        <v>155</v>
      </c>
      <c r="Y362" t="s">
        <v>155</v>
      </c>
      <c r="AC362" t="s">
        <v>171</v>
      </c>
      <c r="AD362" t="s">
        <v>155</v>
      </c>
      <c r="AE362" t="s">
        <v>155</v>
      </c>
      <c r="AF362" t="s">
        <v>155</v>
      </c>
      <c r="AG362" t="s">
        <v>155</v>
      </c>
      <c r="AH362" t="s">
        <v>155</v>
      </c>
    </row>
    <row r="363" spans="19:34" ht="16.2" customHeight="1" x14ac:dyDescent="0.3">
      <c r="T363" t="s">
        <v>172</v>
      </c>
      <c r="U363" t="s">
        <v>155</v>
      </c>
      <c r="V363" t="s">
        <v>155</v>
      </c>
      <c r="W363" t="s">
        <v>155</v>
      </c>
      <c r="X363" t="s">
        <v>155</v>
      </c>
      <c r="Y363" t="s">
        <v>155</v>
      </c>
      <c r="AC363" t="s">
        <v>172</v>
      </c>
      <c r="AD363" t="s">
        <v>155</v>
      </c>
      <c r="AE363" t="s">
        <v>155</v>
      </c>
      <c r="AF363" t="s">
        <v>155</v>
      </c>
      <c r="AG363" t="s">
        <v>155</v>
      </c>
      <c r="AH363" t="s">
        <v>155</v>
      </c>
    </row>
    <row r="365" spans="19:34" ht="16.2" customHeight="1" x14ac:dyDescent="0.3">
      <c r="S365" s="15" t="s">
        <v>127</v>
      </c>
      <c r="T365" t="s">
        <v>204</v>
      </c>
      <c r="AB365" s="15" t="s">
        <v>127</v>
      </c>
      <c r="AC365" t="s">
        <v>204</v>
      </c>
    </row>
    <row r="366" spans="19:34" ht="16.2" customHeight="1" x14ac:dyDescent="0.3">
      <c r="U366" t="s">
        <v>164</v>
      </c>
      <c r="V366" t="s">
        <v>165</v>
      </c>
      <c r="W366" t="s">
        <v>166</v>
      </c>
      <c r="X366" t="s">
        <v>167</v>
      </c>
      <c r="Y366" t="s">
        <v>168</v>
      </c>
      <c r="AD366" t="s">
        <v>164</v>
      </c>
      <c r="AE366" t="s">
        <v>165</v>
      </c>
      <c r="AF366" t="s">
        <v>166</v>
      </c>
      <c r="AG366" t="s">
        <v>167</v>
      </c>
      <c r="AH366" t="s">
        <v>168</v>
      </c>
    </row>
    <row r="367" spans="19:34" ht="16.2" customHeight="1" x14ac:dyDescent="0.3">
      <c r="T367" t="s">
        <v>154</v>
      </c>
      <c r="U367" t="s">
        <v>174</v>
      </c>
      <c r="V367" t="s">
        <v>155</v>
      </c>
      <c r="W367" t="s">
        <v>174</v>
      </c>
      <c r="X367" t="s">
        <v>155</v>
      </c>
      <c r="Y367" t="s">
        <v>155</v>
      </c>
      <c r="AC367" t="s">
        <v>154</v>
      </c>
      <c r="AD367" t="s">
        <v>94</v>
      </c>
      <c r="AE367" t="s">
        <v>155</v>
      </c>
      <c r="AF367" t="s">
        <v>174</v>
      </c>
      <c r="AG367" t="s">
        <v>155</v>
      </c>
      <c r="AH367" t="s">
        <v>155</v>
      </c>
    </row>
    <row r="368" spans="19:34" ht="16.2" customHeight="1" x14ac:dyDescent="0.3">
      <c r="T368" t="s">
        <v>156</v>
      </c>
      <c r="U368" t="s">
        <v>174</v>
      </c>
      <c r="V368" t="s">
        <v>155</v>
      </c>
      <c r="W368" t="s">
        <v>174</v>
      </c>
      <c r="X368" t="s">
        <v>155</v>
      </c>
      <c r="Y368" t="s">
        <v>155</v>
      </c>
      <c r="AC368" t="s">
        <v>156</v>
      </c>
      <c r="AD368" t="s">
        <v>94</v>
      </c>
      <c r="AE368" t="s">
        <v>155</v>
      </c>
      <c r="AF368" t="s">
        <v>174</v>
      </c>
      <c r="AG368" t="s">
        <v>155</v>
      </c>
      <c r="AH368" t="s">
        <v>155</v>
      </c>
    </row>
    <row r="369" spans="19:34" ht="16.2" customHeight="1" x14ac:dyDescent="0.3">
      <c r="T369" t="s">
        <v>157</v>
      </c>
      <c r="U369" t="s">
        <v>82</v>
      </c>
      <c r="V369" t="s">
        <v>155</v>
      </c>
      <c r="W369" t="s">
        <v>155</v>
      </c>
      <c r="X369" t="s">
        <v>155</v>
      </c>
      <c r="Y369" t="s">
        <v>155</v>
      </c>
      <c r="AC369" t="s">
        <v>157</v>
      </c>
      <c r="AD369" t="s">
        <v>82</v>
      </c>
      <c r="AE369" t="s">
        <v>155</v>
      </c>
      <c r="AF369" t="s">
        <v>155</v>
      </c>
      <c r="AG369" t="s">
        <v>155</v>
      </c>
      <c r="AH369" t="s">
        <v>155</v>
      </c>
    </row>
    <row r="370" spans="19:34" ht="16.2" customHeight="1" x14ac:dyDescent="0.3">
      <c r="T370" t="s">
        <v>158</v>
      </c>
      <c r="U370" t="s">
        <v>82</v>
      </c>
      <c r="V370" t="s">
        <v>155</v>
      </c>
      <c r="W370" t="s">
        <v>155</v>
      </c>
      <c r="X370" t="s">
        <v>155</v>
      </c>
      <c r="Y370" t="s">
        <v>155</v>
      </c>
      <c r="AC370" t="s">
        <v>158</v>
      </c>
      <c r="AD370" t="s">
        <v>82</v>
      </c>
      <c r="AE370" t="s">
        <v>155</v>
      </c>
      <c r="AF370" t="s">
        <v>155</v>
      </c>
      <c r="AG370" t="s">
        <v>155</v>
      </c>
      <c r="AH370" t="s">
        <v>155</v>
      </c>
    </row>
    <row r="371" spans="19:34" ht="16.2" customHeight="1" x14ac:dyDescent="0.3">
      <c r="T371" t="s">
        <v>159</v>
      </c>
      <c r="U371" t="s">
        <v>94</v>
      </c>
      <c r="V371" t="s">
        <v>155</v>
      </c>
      <c r="W371" t="s">
        <v>82</v>
      </c>
      <c r="X371" t="s">
        <v>155</v>
      </c>
      <c r="Y371" t="s">
        <v>155</v>
      </c>
      <c r="AC371" t="s">
        <v>159</v>
      </c>
      <c r="AD371" t="s">
        <v>174</v>
      </c>
      <c r="AE371" t="s">
        <v>155</v>
      </c>
      <c r="AF371" t="s">
        <v>82</v>
      </c>
      <c r="AG371" t="s">
        <v>155</v>
      </c>
      <c r="AH371" t="s">
        <v>155</v>
      </c>
    </row>
    <row r="372" spans="19:34" ht="16.2" customHeight="1" x14ac:dyDescent="0.3">
      <c r="T372" t="s">
        <v>160</v>
      </c>
      <c r="U372" t="s">
        <v>94</v>
      </c>
      <c r="V372" t="s">
        <v>155</v>
      </c>
      <c r="W372" t="s">
        <v>82</v>
      </c>
      <c r="X372" t="s">
        <v>155</v>
      </c>
      <c r="Y372" t="s">
        <v>155</v>
      </c>
      <c r="AC372" t="s">
        <v>160</v>
      </c>
      <c r="AD372" t="s">
        <v>174</v>
      </c>
      <c r="AE372" t="s">
        <v>155</v>
      </c>
      <c r="AF372" t="s">
        <v>82</v>
      </c>
      <c r="AG372" t="s">
        <v>155</v>
      </c>
      <c r="AH372" t="s">
        <v>155</v>
      </c>
    </row>
    <row r="373" spans="19:34" ht="16.2" customHeight="1" x14ac:dyDescent="0.3">
      <c r="T373" t="s">
        <v>169</v>
      </c>
      <c r="U373" t="s">
        <v>155</v>
      </c>
      <c r="V373" t="s">
        <v>155</v>
      </c>
      <c r="W373" t="s">
        <v>155</v>
      </c>
      <c r="X373" t="s">
        <v>155</v>
      </c>
      <c r="Y373" t="s">
        <v>155</v>
      </c>
      <c r="AC373" t="s">
        <v>169</v>
      </c>
      <c r="AD373" t="s">
        <v>155</v>
      </c>
      <c r="AE373" t="s">
        <v>155</v>
      </c>
      <c r="AF373" t="s">
        <v>155</v>
      </c>
      <c r="AG373" t="s">
        <v>155</v>
      </c>
      <c r="AH373" t="s">
        <v>155</v>
      </c>
    </row>
    <row r="374" spans="19:34" ht="16.2" customHeight="1" x14ac:dyDescent="0.3">
      <c r="T374" t="s">
        <v>170</v>
      </c>
      <c r="U374" t="s">
        <v>155</v>
      </c>
      <c r="V374" t="s">
        <v>155</v>
      </c>
      <c r="W374" t="s">
        <v>155</v>
      </c>
      <c r="X374" t="s">
        <v>155</v>
      </c>
      <c r="Y374" t="s">
        <v>155</v>
      </c>
      <c r="AC374" t="s">
        <v>170</v>
      </c>
      <c r="AD374" t="s">
        <v>155</v>
      </c>
      <c r="AE374" t="s">
        <v>155</v>
      </c>
      <c r="AF374" t="s">
        <v>155</v>
      </c>
      <c r="AG374" t="s">
        <v>155</v>
      </c>
      <c r="AH374" t="s">
        <v>155</v>
      </c>
    </row>
    <row r="375" spans="19:34" ht="16.2" customHeight="1" x14ac:dyDescent="0.3">
      <c r="T375" t="s">
        <v>171</v>
      </c>
      <c r="U375" t="s">
        <v>155</v>
      </c>
      <c r="V375" t="s">
        <v>155</v>
      </c>
      <c r="W375" t="s">
        <v>155</v>
      </c>
      <c r="X375" t="s">
        <v>155</v>
      </c>
      <c r="Y375" t="s">
        <v>155</v>
      </c>
      <c r="AC375" t="s">
        <v>171</v>
      </c>
      <c r="AD375" t="s">
        <v>155</v>
      </c>
      <c r="AE375" t="s">
        <v>155</v>
      </c>
      <c r="AF375" t="s">
        <v>155</v>
      </c>
      <c r="AG375" t="s">
        <v>155</v>
      </c>
      <c r="AH375" t="s">
        <v>155</v>
      </c>
    </row>
    <row r="376" spans="19:34" ht="16.2" customHeight="1" x14ac:dyDescent="0.3">
      <c r="T376" t="s">
        <v>172</v>
      </c>
      <c r="U376" t="s">
        <v>155</v>
      </c>
      <c r="V376" t="s">
        <v>155</v>
      </c>
      <c r="W376" t="s">
        <v>155</v>
      </c>
      <c r="X376" t="s">
        <v>155</v>
      </c>
      <c r="Y376" t="s">
        <v>155</v>
      </c>
      <c r="AC376" t="s">
        <v>172</v>
      </c>
      <c r="AD376" t="s">
        <v>155</v>
      </c>
      <c r="AE376" t="s">
        <v>155</v>
      </c>
      <c r="AF376" t="s">
        <v>155</v>
      </c>
      <c r="AG376" t="s">
        <v>155</v>
      </c>
      <c r="AH376" t="s">
        <v>155</v>
      </c>
    </row>
    <row r="378" spans="19:34" ht="16.2" customHeight="1" x14ac:dyDescent="0.3">
      <c r="S378" s="15" t="s">
        <v>128</v>
      </c>
      <c r="T378" t="s">
        <v>205</v>
      </c>
      <c r="AB378" s="15" t="s">
        <v>128</v>
      </c>
      <c r="AC378" t="s">
        <v>205</v>
      </c>
    </row>
    <row r="379" spans="19:34" ht="16.2" customHeight="1" x14ac:dyDescent="0.3">
      <c r="U379" t="s">
        <v>164</v>
      </c>
      <c r="V379" t="s">
        <v>165</v>
      </c>
      <c r="W379" t="s">
        <v>166</v>
      </c>
      <c r="X379" t="s">
        <v>167</v>
      </c>
      <c r="Y379" t="s">
        <v>168</v>
      </c>
      <c r="AD379" t="s">
        <v>164</v>
      </c>
      <c r="AE379" t="s">
        <v>165</v>
      </c>
      <c r="AF379" t="s">
        <v>166</v>
      </c>
      <c r="AG379" t="s">
        <v>167</v>
      </c>
      <c r="AH379" t="s">
        <v>168</v>
      </c>
    </row>
    <row r="380" spans="19:34" ht="16.2" customHeight="1" x14ac:dyDescent="0.3">
      <c r="T380" t="s">
        <v>154</v>
      </c>
      <c r="U380" t="s">
        <v>155</v>
      </c>
      <c r="V380" t="s">
        <v>155</v>
      </c>
      <c r="W380" t="s">
        <v>155</v>
      </c>
      <c r="X380" t="s">
        <v>155</v>
      </c>
      <c r="Y380" t="s">
        <v>155</v>
      </c>
      <c r="AC380" t="s">
        <v>154</v>
      </c>
      <c r="AD380" t="s">
        <v>155</v>
      </c>
      <c r="AE380" t="s">
        <v>155</v>
      </c>
      <c r="AF380" t="s">
        <v>155</v>
      </c>
      <c r="AG380" t="s">
        <v>155</v>
      </c>
      <c r="AH380" t="s">
        <v>155</v>
      </c>
    </row>
    <row r="381" spans="19:34" ht="16.2" customHeight="1" x14ac:dyDescent="0.3">
      <c r="T381" t="s">
        <v>156</v>
      </c>
      <c r="U381" t="s">
        <v>155</v>
      </c>
      <c r="V381" t="s">
        <v>155</v>
      </c>
      <c r="W381" t="s">
        <v>155</v>
      </c>
      <c r="X381" t="s">
        <v>155</v>
      </c>
      <c r="Y381" t="s">
        <v>155</v>
      </c>
      <c r="AC381" t="s">
        <v>156</v>
      </c>
      <c r="AD381" t="s">
        <v>155</v>
      </c>
      <c r="AE381" t="s">
        <v>155</v>
      </c>
      <c r="AF381" t="s">
        <v>155</v>
      </c>
      <c r="AG381" t="s">
        <v>155</v>
      </c>
      <c r="AH381" t="s">
        <v>155</v>
      </c>
    </row>
    <row r="382" spans="19:34" ht="16.2" customHeight="1" x14ac:dyDescent="0.3">
      <c r="T382" t="s">
        <v>157</v>
      </c>
      <c r="U382" t="s">
        <v>155</v>
      </c>
      <c r="V382" t="s">
        <v>155</v>
      </c>
      <c r="W382" t="s">
        <v>155</v>
      </c>
      <c r="X382" t="s">
        <v>155</v>
      </c>
      <c r="Y382" t="s">
        <v>155</v>
      </c>
      <c r="AC382" t="s">
        <v>157</v>
      </c>
      <c r="AD382" t="s">
        <v>155</v>
      </c>
      <c r="AE382" t="s">
        <v>83</v>
      </c>
      <c r="AF382" t="s">
        <v>155</v>
      </c>
      <c r="AG382" t="s">
        <v>155</v>
      </c>
      <c r="AH382" t="s">
        <v>155</v>
      </c>
    </row>
    <row r="383" spans="19:34" ht="16.2" customHeight="1" x14ac:dyDescent="0.3">
      <c r="T383" t="s">
        <v>158</v>
      </c>
      <c r="U383" t="s">
        <v>155</v>
      </c>
      <c r="V383" t="s">
        <v>155</v>
      </c>
      <c r="W383" t="s">
        <v>155</v>
      </c>
      <c r="X383" t="s">
        <v>83</v>
      </c>
      <c r="Y383" t="s">
        <v>155</v>
      </c>
      <c r="AC383" t="s">
        <v>158</v>
      </c>
      <c r="AD383" t="s">
        <v>155</v>
      </c>
      <c r="AE383" t="s">
        <v>83</v>
      </c>
      <c r="AF383" t="s">
        <v>155</v>
      </c>
      <c r="AG383" t="s">
        <v>155</v>
      </c>
      <c r="AH383" t="s">
        <v>155</v>
      </c>
    </row>
    <row r="384" spans="19:34" ht="16.2" customHeight="1" x14ac:dyDescent="0.3">
      <c r="T384" t="s">
        <v>159</v>
      </c>
      <c r="U384" t="s">
        <v>155</v>
      </c>
      <c r="V384" t="s">
        <v>83</v>
      </c>
      <c r="W384" t="s">
        <v>155</v>
      </c>
      <c r="X384" t="s">
        <v>83</v>
      </c>
      <c r="Y384" t="s">
        <v>155</v>
      </c>
      <c r="AC384" t="s">
        <v>159</v>
      </c>
      <c r="AD384" t="s">
        <v>155</v>
      </c>
      <c r="AE384" t="s">
        <v>83</v>
      </c>
      <c r="AF384" t="s">
        <v>155</v>
      </c>
      <c r="AG384" t="s">
        <v>155</v>
      </c>
      <c r="AH384" t="s">
        <v>83</v>
      </c>
    </row>
    <row r="385" spans="19:34" ht="16.2" customHeight="1" x14ac:dyDescent="0.3">
      <c r="T385" t="s">
        <v>160</v>
      </c>
      <c r="U385" t="s">
        <v>155</v>
      </c>
      <c r="V385" t="s">
        <v>83</v>
      </c>
      <c r="W385" t="s">
        <v>155</v>
      </c>
      <c r="X385" t="s">
        <v>83</v>
      </c>
      <c r="Y385" t="s">
        <v>155</v>
      </c>
      <c r="AC385" t="s">
        <v>160</v>
      </c>
      <c r="AD385" t="s">
        <v>155</v>
      </c>
      <c r="AE385" t="s">
        <v>155</v>
      </c>
      <c r="AF385" t="s">
        <v>155</v>
      </c>
      <c r="AG385" t="s">
        <v>155</v>
      </c>
      <c r="AH385" t="s">
        <v>83</v>
      </c>
    </row>
    <row r="386" spans="19:34" ht="16.2" customHeight="1" x14ac:dyDescent="0.3">
      <c r="T386" t="s">
        <v>169</v>
      </c>
      <c r="U386" t="s">
        <v>155</v>
      </c>
      <c r="V386" t="s">
        <v>155</v>
      </c>
      <c r="W386" t="s">
        <v>155</v>
      </c>
      <c r="X386" t="s">
        <v>155</v>
      </c>
      <c r="Y386" t="s">
        <v>155</v>
      </c>
      <c r="AC386" t="s">
        <v>169</v>
      </c>
      <c r="AD386" t="s">
        <v>155</v>
      </c>
      <c r="AE386" t="s">
        <v>155</v>
      </c>
      <c r="AF386" t="s">
        <v>155</v>
      </c>
      <c r="AG386" t="s">
        <v>155</v>
      </c>
      <c r="AH386" t="s">
        <v>155</v>
      </c>
    </row>
    <row r="387" spans="19:34" ht="16.2" customHeight="1" x14ac:dyDescent="0.3">
      <c r="T387" t="s">
        <v>170</v>
      </c>
      <c r="U387" t="s">
        <v>155</v>
      </c>
      <c r="V387" t="s">
        <v>155</v>
      </c>
      <c r="W387" t="s">
        <v>155</v>
      </c>
      <c r="X387" t="s">
        <v>155</v>
      </c>
      <c r="Y387" t="s">
        <v>155</v>
      </c>
      <c r="AC387" t="s">
        <v>170</v>
      </c>
      <c r="AD387" t="s">
        <v>155</v>
      </c>
      <c r="AE387" t="s">
        <v>155</v>
      </c>
      <c r="AF387" t="s">
        <v>155</v>
      </c>
      <c r="AG387" t="s">
        <v>155</v>
      </c>
      <c r="AH387" t="s">
        <v>155</v>
      </c>
    </row>
    <row r="388" spans="19:34" ht="16.2" customHeight="1" x14ac:dyDescent="0.3">
      <c r="T388" t="s">
        <v>171</v>
      </c>
      <c r="U388" t="s">
        <v>155</v>
      </c>
      <c r="V388" t="s">
        <v>155</v>
      </c>
      <c r="W388" t="s">
        <v>155</v>
      </c>
      <c r="X388" t="s">
        <v>155</v>
      </c>
      <c r="Y388" t="s">
        <v>155</v>
      </c>
      <c r="AC388" t="s">
        <v>171</v>
      </c>
      <c r="AD388" t="s">
        <v>155</v>
      </c>
      <c r="AE388" t="s">
        <v>155</v>
      </c>
      <c r="AF388" t="s">
        <v>155</v>
      </c>
      <c r="AG388" t="s">
        <v>155</v>
      </c>
      <c r="AH388" t="s">
        <v>155</v>
      </c>
    </row>
    <row r="389" spans="19:34" ht="16.2" customHeight="1" x14ac:dyDescent="0.3">
      <c r="T389" t="s">
        <v>172</v>
      </c>
      <c r="U389" t="s">
        <v>155</v>
      </c>
      <c r="V389" t="s">
        <v>155</v>
      </c>
      <c r="W389" t="s">
        <v>155</v>
      </c>
      <c r="X389" t="s">
        <v>155</v>
      </c>
      <c r="Y389" t="s">
        <v>155</v>
      </c>
      <c r="AC389" t="s">
        <v>172</v>
      </c>
      <c r="AD389" t="s">
        <v>155</v>
      </c>
      <c r="AE389" t="s">
        <v>155</v>
      </c>
      <c r="AF389" t="s">
        <v>155</v>
      </c>
      <c r="AG389" t="s">
        <v>155</v>
      </c>
      <c r="AH389" t="s">
        <v>155</v>
      </c>
    </row>
    <row r="391" spans="19:34" ht="16.2" customHeight="1" x14ac:dyDescent="0.3">
      <c r="S391" s="15" t="s">
        <v>129</v>
      </c>
      <c r="T391" t="s">
        <v>206</v>
      </c>
      <c r="AB391" s="15" t="s">
        <v>129</v>
      </c>
      <c r="AC391" t="s">
        <v>206</v>
      </c>
    </row>
    <row r="392" spans="19:34" ht="16.2" customHeight="1" x14ac:dyDescent="0.3">
      <c r="U392" t="s">
        <v>164</v>
      </c>
      <c r="V392" t="s">
        <v>165</v>
      </c>
      <c r="W392" t="s">
        <v>166</v>
      </c>
      <c r="X392" t="s">
        <v>167</v>
      </c>
      <c r="Y392" t="s">
        <v>168</v>
      </c>
      <c r="AD392" t="s">
        <v>164</v>
      </c>
      <c r="AE392" t="s">
        <v>165</v>
      </c>
      <c r="AF392" t="s">
        <v>166</v>
      </c>
      <c r="AG392" t="s">
        <v>167</v>
      </c>
      <c r="AH392" t="s">
        <v>168</v>
      </c>
    </row>
    <row r="393" spans="19:34" ht="16.2" customHeight="1" x14ac:dyDescent="0.3">
      <c r="T393" t="s">
        <v>154</v>
      </c>
      <c r="U393" t="s">
        <v>155</v>
      </c>
      <c r="V393" t="s">
        <v>155</v>
      </c>
      <c r="W393" t="s">
        <v>155</v>
      </c>
      <c r="X393" t="s">
        <v>155</v>
      </c>
      <c r="Y393" t="s">
        <v>155</v>
      </c>
      <c r="AC393" t="s">
        <v>154</v>
      </c>
      <c r="AD393" t="s">
        <v>155</v>
      </c>
      <c r="AE393" t="s">
        <v>155</v>
      </c>
      <c r="AF393" t="s">
        <v>155</v>
      </c>
      <c r="AG393" t="s">
        <v>155</v>
      </c>
      <c r="AH393" t="s">
        <v>155</v>
      </c>
    </row>
    <row r="394" spans="19:34" ht="16.2" customHeight="1" x14ac:dyDescent="0.3">
      <c r="T394" t="s">
        <v>156</v>
      </c>
      <c r="U394" t="s">
        <v>84</v>
      </c>
      <c r="V394" t="s">
        <v>155</v>
      </c>
      <c r="W394" t="s">
        <v>155</v>
      </c>
      <c r="X394" t="s">
        <v>155</v>
      </c>
      <c r="Y394" t="s">
        <v>155</v>
      </c>
      <c r="AC394" t="s">
        <v>156</v>
      </c>
      <c r="AD394" t="s">
        <v>155</v>
      </c>
      <c r="AE394" t="s">
        <v>155</v>
      </c>
      <c r="AF394" t="s">
        <v>155</v>
      </c>
      <c r="AG394" t="s">
        <v>155</v>
      </c>
      <c r="AH394" t="s">
        <v>155</v>
      </c>
    </row>
    <row r="395" spans="19:34" ht="16.2" customHeight="1" x14ac:dyDescent="0.3">
      <c r="T395" t="s">
        <v>157</v>
      </c>
      <c r="U395" t="s">
        <v>84</v>
      </c>
      <c r="V395" t="s">
        <v>155</v>
      </c>
      <c r="W395" t="s">
        <v>155</v>
      </c>
      <c r="X395" t="s">
        <v>155</v>
      </c>
      <c r="Y395" t="s">
        <v>155</v>
      </c>
      <c r="AC395" t="s">
        <v>157</v>
      </c>
      <c r="AD395" t="s">
        <v>155</v>
      </c>
      <c r="AE395" t="s">
        <v>155</v>
      </c>
      <c r="AF395" t="s">
        <v>155</v>
      </c>
      <c r="AG395" t="s">
        <v>155</v>
      </c>
      <c r="AH395" t="s">
        <v>155</v>
      </c>
    </row>
    <row r="396" spans="19:34" ht="16.2" customHeight="1" x14ac:dyDescent="0.3">
      <c r="T396" t="s">
        <v>158</v>
      </c>
      <c r="U396" t="s">
        <v>84</v>
      </c>
      <c r="V396" t="s">
        <v>155</v>
      </c>
      <c r="W396" t="s">
        <v>155</v>
      </c>
      <c r="X396" t="s">
        <v>155</v>
      </c>
      <c r="Y396" t="s">
        <v>155</v>
      </c>
      <c r="AC396" t="s">
        <v>158</v>
      </c>
      <c r="AD396" t="s">
        <v>155</v>
      </c>
      <c r="AE396" t="s">
        <v>155</v>
      </c>
      <c r="AF396" t="s">
        <v>155</v>
      </c>
      <c r="AG396" t="s">
        <v>84</v>
      </c>
      <c r="AH396" t="s">
        <v>155</v>
      </c>
    </row>
    <row r="397" spans="19:34" ht="16.2" customHeight="1" x14ac:dyDescent="0.3">
      <c r="T397" t="s">
        <v>159</v>
      </c>
      <c r="U397" t="s">
        <v>155</v>
      </c>
      <c r="V397" t="s">
        <v>155</v>
      </c>
      <c r="W397" t="s">
        <v>84</v>
      </c>
      <c r="X397" t="s">
        <v>155</v>
      </c>
      <c r="Y397" t="s">
        <v>155</v>
      </c>
      <c r="AC397" t="s">
        <v>159</v>
      </c>
      <c r="AD397" t="s">
        <v>84</v>
      </c>
      <c r="AE397" t="s">
        <v>155</v>
      </c>
      <c r="AF397" t="s">
        <v>155</v>
      </c>
      <c r="AG397" t="s">
        <v>84</v>
      </c>
      <c r="AH397" t="s">
        <v>155</v>
      </c>
    </row>
    <row r="398" spans="19:34" ht="16.2" customHeight="1" x14ac:dyDescent="0.3">
      <c r="T398" t="s">
        <v>160</v>
      </c>
      <c r="U398" t="s">
        <v>155</v>
      </c>
      <c r="V398" t="s">
        <v>155</v>
      </c>
      <c r="W398" t="s">
        <v>84</v>
      </c>
      <c r="X398" t="s">
        <v>155</v>
      </c>
      <c r="Y398" t="s">
        <v>155</v>
      </c>
      <c r="AC398" t="s">
        <v>160</v>
      </c>
      <c r="AD398" t="s">
        <v>84</v>
      </c>
      <c r="AE398" t="s">
        <v>155</v>
      </c>
      <c r="AF398" t="s">
        <v>155</v>
      </c>
      <c r="AG398" t="s">
        <v>84</v>
      </c>
      <c r="AH398" t="s">
        <v>155</v>
      </c>
    </row>
    <row r="399" spans="19:34" ht="16.2" customHeight="1" x14ac:dyDescent="0.3">
      <c r="T399" t="s">
        <v>169</v>
      </c>
      <c r="U399" t="s">
        <v>155</v>
      </c>
      <c r="V399" t="s">
        <v>155</v>
      </c>
      <c r="W399" t="s">
        <v>155</v>
      </c>
      <c r="X399" t="s">
        <v>155</v>
      </c>
      <c r="Y399" t="s">
        <v>155</v>
      </c>
      <c r="AC399" t="s">
        <v>169</v>
      </c>
      <c r="AD399" t="s">
        <v>155</v>
      </c>
      <c r="AE399" t="s">
        <v>155</v>
      </c>
      <c r="AF399" t="s">
        <v>155</v>
      </c>
      <c r="AG399" t="s">
        <v>155</v>
      </c>
      <c r="AH399" t="s">
        <v>155</v>
      </c>
    </row>
    <row r="400" spans="19:34" ht="16.2" customHeight="1" x14ac:dyDescent="0.3">
      <c r="T400" t="s">
        <v>170</v>
      </c>
      <c r="U400" t="s">
        <v>155</v>
      </c>
      <c r="V400" t="s">
        <v>155</v>
      </c>
      <c r="W400" t="s">
        <v>155</v>
      </c>
      <c r="X400" t="s">
        <v>155</v>
      </c>
      <c r="Y400" t="s">
        <v>155</v>
      </c>
      <c r="AC400" t="s">
        <v>170</v>
      </c>
      <c r="AD400" t="s">
        <v>155</v>
      </c>
      <c r="AE400" t="s">
        <v>155</v>
      </c>
      <c r="AF400" t="s">
        <v>155</v>
      </c>
      <c r="AG400" t="s">
        <v>155</v>
      </c>
      <c r="AH400" t="s">
        <v>155</v>
      </c>
    </row>
    <row r="401" spans="19:34" ht="16.2" customHeight="1" x14ac:dyDescent="0.3">
      <c r="T401" t="s">
        <v>171</v>
      </c>
      <c r="U401" t="s">
        <v>155</v>
      </c>
      <c r="V401" t="s">
        <v>155</v>
      </c>
      <c r="W401" t="s">
        <v>155</v>
      </c>
      <c r="X401" t="s">
        <v>155</v>
      </c>
      <c r="Y401" t="s">
        <v>155</v>
      </c>
      <c r="AC401" t="s">
        <v>171</v>
      </c>
      <c r="AD401" t="s">
        <v>155</v>
      </c>
      <c r="AE401" t="s">
        <v>155</v>
      </c>
      <c r="AF401" t="s">
        <v>155</v>
      </c>
      <c r="AG401" t="s">
        <v>155</v>
      </c>
      <c r="AH401" t="s">
        <v>155</v>
      </c>
    </row>
    <row r="402" spans="19:34" ht="16.2" customHeight="1" x14ac:dyDescent="0.3">
      <c r="T402" t="s">
        <v>172</v>
      </c>
      <c r="U402" t="s">
        <v>155</v>
      </c>
      <c r="V402" t="s">
        <v>155</v>
      </c>
      <c r="W402" t="s">
        <v>155</v>
      </c>
      <c r="X402" t="s">
        <v>155</v>
      </c>
      <c r="Y402" t="s">
        <v>155</v>
      </c>
      <c r="AC402" t="s">
        <v>172</v>
      </c>
      <c r="AD402" t="s">
        <v>155</v>
      </c>
      <c r="AE402" t="s">
        <v>155</v>
      </c>
      <c r="AF402" t="s">
        <v>155</v>
      </c>
      <c r="AG402" t="s">
        <v>155</v>
      </c>
      <c r="AH402" t="s">
        <v>155</v>
      </c>
    </row>
    <row r="404" spans="19:34" ht="16.2" customHeight="1" x14ac:dyDescent="0.3">
      <c r="S404" s="15" t="s">
        <v>130</v>
      </c>
      <c r="T404" t="s">
        <v>207</v>
      </c>
      <c r="AB404" s="15" t="s">
        <v>130</v>
      </c>
      <c r="AC404" t="s">
        <v>207</v>
      </c>
    </row>
    <row r="405" spans="19:34" ht="16.2" customHeight="1" x14ac:dyDescent="0.3">
      <c r="U405" t="s">
        <v>164</v>
      </c>
      <c r="V405" t="s">
        <v>165</v>
      </c>
      <c r="W405" t="s">
        <v>166</v>
      </c>
      <c r="X405" t="s">
        <v>167</v>
      </c>
      <c r="Y405" t="s">
        <v>168</v>
      </c>
      <c r="AD405" t="s">
        <v>164</v>
      </c>
      <c r="AE405" t="s">
        <v>165</v>
      </c>
      <c r="AF405" t="s">
        <v>166</v>
      </c>
      <c r="AG405" t="s">
        <v>167</v>
      </c>
      <c r="AH405" t="s">
        <v>168</v>
      </c>
    </row>
    <row r="406" spans="19:34" ht="16.2" customHeight="1" x14ac:dyDescent="0.3">
      <c r="T406" t="s">
        <v>154</v>
      </c>
      <c r="U406" t="s">
        <v>155</v>
      </c>
      <c r="V406" t="s">
        <v>155</v>
      </c>
      <c r="W406" t="s">
        <v>155</v>
      </c>
      <c r="X406" t="s">
        <v>85</v>
      </c>
      <c r="Y406" t="s">
        <v>155</v>
      </c>
      <c r="AC406" t="s">
        <v>154</v>
      </c>
      <c r="AD406" t="s">
        <v>155</v>
      </c>
      <c r="AE406" t="s">
        <v>155</v>
      </c>
      <c r="AF406" t="s">
        <v>155</v>
      </c>
      <c r="AG406" t="s">
        <v>85</v>
      </c>
      <c r="AH406" t="s">
        <v>155</v>
      </c>
    </row>
    <row r="407" spans="19:34" ht="16.2" customHeight="1" x14ac:dyDescent="0.3">
      <c r="T407" t="s">
        <v>156</v>
      </c>
      <c r="U407" t="s">
        <v>155</v>
      </c>
      <c r="V407" t="s">
        <v>155</v>
      </c>
      <c r="W407" t="s">
        <v>155</v>
      </c>
      <c r="X407" t="s">
        <v>85</v>
      </c>
      <c r="Y407" t="s">
        <v>155</v>
      </c>
      <c r="AC407" t="s">
        <v>156</v>
      </c>
      <c r="AD407" t="s">
        <v>155</v>
      </c>
      <c r="AE407" t="s">
        <v>155</v>
      </c>
      <c r="AF407" t="s">
        <v>155</v>
      </c>
      <c r="AG407" t="s">
        <v>85</v>
      </c>
      <c r="AH407" t="s">
        <v>155</v>
      </c>
    </row>
    <row r="408" spans="19:34" ht="16.2" customHeight="1" x14ac:dyDescent="0.3">
      <c r="T408" t="s">
        <v>157</v>
      </c>
      <c r="U408" t="s">
        <v>155</v>
      </c>
      <c r="V408" t="s">
        <v>155</v>
      </c>
      <c r="W408" t="s">
        <v>155</v>
      </c>
      <c r="X408" t="s">
        <v>85</v>
      </c>
      <c r="Y408" t="s">
        <v>155</v>
      </c>
      <c r="AC408" t="s">
        <v>157</v>
      </c>
      <c r="AD408" t="s">
        <v>155</v>
      </c>
      <c r="AE408" t="s">
        <v>155</v>
      </c>
      <c r="AF408" t="s">
        <v>155</v>
      </c>
      <c r="AG408" t="s">
        <v>85</v>
      </c>
      <c r="AH408" t="s">
        <v>155</v>
      </c>
    </row>
    <row r="409" spans="19:34" ht="16.2" customHeight="1" x14ac:dyDescent="0.3">
      <c r="T409" t="s">
        <v>158</v>
      </c>
      <c r="U409" t="s">
        <v>155</v>
      </c>
      <c r="V409" t="s">
        <v>155</v>
      </c>
      <c r="W409" t="s">
        <v>155</v>
      </c>
      <c r="X409" t="s">
        <v>155</v>
      </c>
      <c r="Y409" t="s">
        <v>155</v>
      </c>
      <c r="AC409" t="s">
        <v>158</v>
      </c>
      <c r="AD409" t="s">
        <v>155</v>
      </c>
      <c r="AE409" t="s">
        <v>155</v>
      </c>
      <c r="AF409" t="s">
        <v>155</v>
      </c>
      <c r="AG409" t="s">
        <v>155</v>
      </c>
      <c r="AH409" t="s">
        <v>155</v>
      </c>
    </row>
    <row r="410" spans="19:34" ht="16.2" customHeight="1" x14ac:dyDescent="0.3">
      <c r="T410" t="s">
        <v>159</v>
      </c>
      <c r="U410" t="s">
        <v>155</v>
      </c>
      <c r="V410" t="s">
        <v>155</v>
      </c>
      <c r="W410" t="s">
        <v>155</v>
      </c>
      <c r="X410" t="s">
        <v>155</v>
      </c>
      <c r="Y410" t="s">
        <v>155</v>
      </c>
      <c r="AC410" t="s">
        <v>159</v>
      </c>
      <c r="AD410" t="s">
        <v>155</v>
      </c>
      <c r="AE410" t="s">
        <v>155</v>
      </c>
      <c r="AF410" t="s">
        <v>155</v>
      </c>
      <c r="AG410" t="s">
        <v>155</v>
      </c>
      <c r="AH410" t="s">
        <v>155</v>
      </c>
    </row>
    <row r="411" spans="19:34" ht="16.2" customHeight="1" x14ac:dyDescent="0.3">
      <c r="T411" t="s">
        <v>160</v>
      </c>
      <c r="U411" t="s">
        <v>155</v>
      </c>
      <c r="V411" t="s">
        <v>155</v>
      </c>
      <c r="W411" t="s">
        <v>155</v>
      </c>
      <c r="X411" t="s">
        <v>155</v>
      </c>
      <c r="Y411" t="s">
        <v>155</v>
      </c>
      <c r="AC411" t="s">
        <v>160</v>
      </c>
      <c r="AD411" t="s">
        <v>155</v>
      </c>
      <c r="AE411" t="s">
        <v>155</v>
      </c>
      <c r="AF411" t="s">
        <v>155</v>
      </c>
      <c r="AG411" t="s">
        <v>155</v>
      </c>
      <c r="AH411" t="s">
        <v>155</v>
      </c>
    </row>
    <row r="412" spans="19:34" ht="16.2" customHeight="1" x14ac:dyDescent="0.3">
      <c r="T412" t="s">
        <v>169</v>
      </c>
      <c r="U412" t="s">
        <v>155</v>
      </c>
      <c r="V412" t="s">
        <v>155</v>
      </c>
      <c r="W412" t="s">
        <v>155</v>
      </c>
      <c r="X412" t="s">
        <v>155</v>
      </c>
      <c r="Y412" t="s">
        <v>155</v>
      </c>
      <c r="AC412" t="s">
        <v>169</v>
      </c>
      <c r="AD412" t="s">
        <v>155</v>
      </c>
      <c r="AE412" t="s">
        <v>155</v>
      </c>
      <c r="AF412" t="s">
        <v>155</v>
      </c>
      <c r="AG412" t="s">
        <v>155</v>
      </c>
      <c r="AH412" t="s">
        <v>155</v>
      </c>
    </row>
    <row r="413" spans="19:34" ht="16.2" customHeight="1" x14ac:dyDescent="0.3">
      <c r="T413" t="s">
        <v>170</v>
      </c>
      <c r="U413" t="s">
        <v>155</v>
      </c>
      <c r="V413" t="s">
        <v>155</v>
      </c>
      <c r="W413" t="s">
        <v>155</v>
      </c>
      <c r="X413" t="s">
        <v>155</v>
      </c>
      <c r="Y413" t="s">
        <v>155</v>
      </c>
      <c r="AC413" t="s">
        <v>170</v>
      </c>
      <c r="AD413" t="s">
        <v>155</v>
      </c>
      <c r="AE413" t="s">
        <v>155</v>
      </c>
      <c r="AF413" t="s">
        <v>155</v>
      </c>
      <c r="AG413" t="s">
        <v>155</v>
      </c>
      <c r="AH413" t="s">
        <v>155</v>
      </c>
    </row>
    <row r="414" spans="19:34" ht="16.2" customHeight="1" x14ac:dyDescent="0.3">
      <c r="T414" t="s">
        <v>171</v>
      </c>
      <c r="U414" t="s">
        <v>155</v>
      </c>
      <c r="V414" t="s">
        <v>155</v>
      </c>
      <c r="W414" t="s">
        <v>155</v>
      </c>
      <c r="X414" t="s">
        <v>155</v>
      </c>
      <c r="Y414" t="s">
        <v>155</v>
      </c>
      <c r="AC414" t="s">
        <v>171</v>
      </c>
      <c r="AD414" t="s">
        <v>155</v>
      </c>
      <c r="AE414" t="s">
        <v>155</v>
      </c>
      <c r="AF414" t="s">
        <v>155</v>
      </c>
      <c r="AG414" t="s">
        <v>155</v>
      </c>
      <c r="AH414" t="s">
        <v>155</v>
      </c>
    </row>
    <row r="415" spans="19:34" ht="16.2" customHeight="1" x14ac:dyDescent="0.3">
      <c r="T415" t="s">
        <v>172</v>
      </c>
      <c r="U415" t="s">
        <v>155</v>
      </c>
      <c r="V415" t="s">
        <v>155</v>
      </c>
      <c r="W415" t="s">
        <v>155</v>
      </c>
      <c r="X415" t="s">
        <v>155</v>
      </c>
      <c r="Y415" t="s">
        <v>155</v>
      </c>
      <c r="AC415" t="s">
        <v>172</v>
      </c>
      <c r="AD415" t="s">
        <v>155</v>
      </c>
      <c r="AE415" t="s">
        <v>155</v>
      </c>
      <c r="AF415" t="s">
        <v>155</v>
      </c>
      <c r="AG415" t="s">
        <v>155</v>
      </c>
      <c r="AH415" t="s">
        <v>155</v>
      </c>
    </row>
    <row r="417" spans="19:34" ht="16.2" customHeight="1" x14ac:dyDescent="0.3">
      <c r="S417" s="15" t="s">
        <v>131</v>
      </c>
      <c r="T417" t="s">
        <v>208</v>
      </c>
      <c r="AB417" s="15" t="s">
        <v>131</v>
      </c>
      <c r="AC417" t="s">
        <v>208</v>
      </c>
    </row>
    <row r="418" spans="19:34" ht="16.2" customHeight="1" x14ac:dyDescent="0.3">
      <c r="U418" t="s">
        <v>164</v>
      </c>
      <c r="V418" t="s">
        <v>165</v>
      </c>
      <c r="W418" t="s">
        <v>166</v>
      </c>
      <c r="X418" t="s">
        <v>167</v>
      </c>
      <c r="Y418" t="s">
        <v>168</v>
      </c>
      <c r="AD418" t="s">
        <v>164</v>
      </c>
      <c r="AE418" t="s">
        <v>165</v>
      </c>
      <c r="AF418" t="s">
        <v>166</v>
      </c>
      <c r="AG418" t="s">
        <v>167</v>
      </c>
      <c r="AH418" t="s">
        <v>168</v>
      </c>
    </row>
    <row r="419" spans="19:34" ht="16.2" customHeight="1" x14ac:dyDescent="0.3">
      <c r="T419" t="s">
        <v>154</v>
      </c>
      <c r="U419" t="s">
        <v>155</v>
      </c>
      <c r="V419" t="s">
        <v>86</v>
      </c>
      <c r="W419" t="s">
        <v>155</v>
      </c>
      <c r="X419" t="s">
        <v>155</v>
      </c>
      <c r="Y419" t="s">
        <v>155</v>
      </c>
      <c r="AC419" t="s">
        <v>154</v>
      </c>
      <c r="AD419" t="s">
        <v>155</v>
      </c>
      <c r="AE419" t="s">
        <v>86</v>
      </c>
      <c r="AF419" t="s">
        <v>155</v>
      </c>
      <c r="AG419" t="s">
        <v>155</v>
      </c>
      <c r="AH419" t="s">
        <v>155</v>
      </c>
    </row>
    <row r="420" spans="19:34" ht="16.2" customHeight="1" x14ac:dyDescent="0.3">
      <c r="T420" t="s">
        <v>156</v>
      </c>
      <c r="U420" t="s">
        <v>155</v>
      </c>
      <c r="V420" t="s">
        <v>86</v>
      </c>
      <c r="W420" t="s">
        <v>155</v>
      </c>
      <c r="X420" t="s">
        <v>155</v>
      </c>
      <c r="Y420" t="s">
        <v>155</v>
      </c>
      <c r="AC420" t="s">
        <v>156</v>
      </c>
      <c r="AD420" t="s">
        <v>155</v>
      </c>
      <c r="AE420" t="s">
        <v>86</v>
      </c>
      <c r="AF420" t="s">
        <v>155</v>
      </c>
      <c r="AG420" t="s">
        <v>155</v>
      </c>
      <c r="AH420" t="s">
        <v>155</v>
      </c>
    </row>
    <row r="421" spans="19:34" ht="16.2" customHeight="1" x14ac:dyDescent="0.3">
      <c r="T421" t="s">
        <v>157</v>
      </c>
      <c r="U421" t="s">
        <v>155</v>
      </c>
      <c r="V421" t="s">
        <v>155</v>
      </c>
      <c r="W421" t="s">
        <v>86</v>
      </c>
      <c r="X421" t="s">
        <v>155</v>
      </c>
      <c r="Y421" t="s">
        <v>155</v>
      </c>
      <c r="AC421" t="s">
        <v>157</v>
      </c>
      <c r="AD421" t="s">
        <v>155</v>
      </c>
      <c r="AE421" t="s">
        <v>155</v>
      </c>
      <c r="AF421" t="s">
        <v>86</v>
      </c>
      <c r="AG421" t="s">
        <v>155</v>
      </c>
      <c r="AH421" t="s">
        <v>155</v>
      </c>
    </row>
    <row r="422" spans="19:34" ht="16.2" customHeight="1" x14ac:dyDescent="0.3">
      <c r="T422" t="s">
        <v>158</v>
      </c>
      <c r="U422" t="s">
        <v>155</v>
      </c>
      <c r="V422" t="s">
        <v>155</v>
      </c>
      <c r="W422" t="s">
        <v>86</v>
      </c>
      <c r="X422" t="s">
        <v>155</v>
      </c>
      <c r="Y422" t="s">
        <v>155</v>
      </c>
      <c r="AC422" t="s">
        <v>158</v>
      </c>
      <c r="AD422" t="s">
        <v>155</v>
      </c>
      <c r="AE422" t="s">
        <v>155</v>
      </c>
      <c r="AF422" t="s">
        <v>86</v>
      </c>
      <c r="AG422" t="s">
        <v>155</v>
      </c>
      <c r="AH422" t="s">
        <v>155</v>
      </c>
    </row>
    <row r="423" spans="19:34" ht="16.2" customHeight="1" x14ac:dyDescent="0.3">
      <c r="T423" t="s">
        <v>159</v>
      </c>
      <c r="U423" t="s">
        <v>155</v>
      </c>
      <c r="V423" t="s">
        <v>155</v>
      </c>
      <c r="W423" t="s">
        <v>155</v>
      </c>
      <c r="X423" t="s">
        <v>155</v>
      </c>
      <c r="Y423" t="s">
        <v>155</v>
      </c>
      <c r="AC423" t="s">
        <v>159</v>
      </c>
      <c r="AD423" t="s">
        <v>155</v>
      </c>
      <c r="AE423" t="s">
        <v>155</v>
      </c>
      <c r="AF423" t="s">
        <v>155</v>
      </c>
      <c r="AG423" t="s">
        <v>155</v>
      </c>
      <c r="AH423" t="s">
        <v>155</v>
      </c>
    </row>
    <row r="424" spans="19:34" ht="16.2" customHeight="1" x14ac:dyDescent="0.3">
      <c r="T424" t="s">
        <v>160</v>
      </c>
      <c r="U424" t="s">
        <v>155</v>
      </c>
      <c r="V424" t="s">
        <v>155</v>
      </c>
      <c r="W424" t="s">
        <v>155</v>
      </c>
      <c r="X424" t="s">
        <v>155</v>
      </c>
      <c r="Y424" t="s">
        <v>155</v>
      </c>
      <c r="AC424" t="s">
        <v>160</v>
      </c>
      <c r="AD424" t="s">
        <v>155</v>
      </c>
      <c r="AE424" t="s">
        <v>155</v>
      </c>
      <c r="AF424" t="s">
        <v>155</v>
      </c>
      <c r="AG424" t="s">
        <v>155</v>
      </c>
      <c r="AH424" t="s">
        <v>155</v>
      </c>
    </row>
    <row r="425" spans="19:34" ht="16.2" customHeight="1" x14ac:dyDescent="0.3">
      <c r="T425" t="s">
        <v>169</v>
      </c>
      <c r="U425" t="s">
        <v>155</v>
      </c>
      <c r="V425" t="s">
        <v>155</v>
      </c>
      <c r="W425" t="s">
        <v>155</v>
      </c>
      <c r="X425" t="s">
        <v>155</v>
      </c>
      <c r="Y425" t="s">
        <v>155</v>
      </c>
      <c r="AC425" t="s">
        <v>169</v>
      </c>
      <c r="AD425" t="s">
        <v>155</v>
      </c>
      <c r="AE425" t="s">
        <v>155</v>
      </c>
      <c r="AF425" t="s">
        <v>155</v>
      </c>
      <c r="AG425" t="s">
        <v>155</v>
      </c>
      <c r="AH425" t="s">
        <v>155</v>
      </c>
    </row>
    <row r="426" spans="19:34" ht="16.2" customHeight="1" x14ac:dyDescent="0.3">
      <c r="T426" t="s">
        <v>170</v>
      </c>
      <c r="U426" t="s">
        <v>155</v>
      </c>
      <c r="V426" t="s">
        <v>155</v>
      </c>
      <c r="W426" t="s">
        <v>155</v>
      </c>
      <c r="X426" t="s">
        <v>155</v>
      </c>
      <c r="Y426" t="s">
        <v>155</v>
      </c>
      <c r="AC426" t="s">
        <v>170</v>
      </c>
      <c r="AD426" t="s">
        <v>155</v>
      </c>
      <c r="AE426" t="s">
        <v>155</v>
      </c>
      <c r="AF426" t="s">
        <v>155</v>
      </c>
      <c r="AG426" t="s">
        <v>155</v>
      </c>
      <c r="AH426" t="s">
        <v>155</v>
      </c>
    </row>
    <row r="427" spans="19:34" ht="16.2" customHeight="1" x14ac:dyDescent="0.3">
      <c r="T427" t="s">
        <v>171</v>
      </c>
      <c r="U427" t="s">
        <v>155</v>
      </c>
      <c r="V427" t="s">
        <v>155</v>
      </c>
      <c r="W427" t="s">
        <v>155</v>
      </c>
      <c r="X427" t="s">
        <v>155</v>
      </c>
      <c r="Y427" t="s">
        <v>155</v>
      </c>
      <c r="AC427" t="s">
        <v>171</v>
      </c>
      <c r="AD427" t="s">
        <v>155</v>
      </c>
      <c r="AE427" t="s">
        <v>155</v>
      </c>
      <c r="AF427" t="s">
        <v>155</v>
      </c>
      <c r="AG427" t="s">
        <v>155</v>
      </c>
      <c r="AH427" t="s">
        <v>155</v>
      </c>
    </row>
    <row r="428" spans="19:34" ht="16.2" customHeight="1" x14ac:dyDescent="0.3">
      <c r="T428" t="s">
        <v>172</v>
      </c>
      <c r="U428" t="s">
        <v>155</v>
      </c>
      <c r="V428" t="s">
        <v>155</v>
      </c>
      <c r="W428" t="s">
        <v>155</v>
      </c>
      <c r="X428" t="s">
        <v>155</v>
      </c>
      <c r="Y428" t="s">
        <v>155</v>
      </c>
      <c r="AC428" t="s">
        <v>172</v>
      </c>
      <c r="AD428" t="s">
        <v>155</v>
      </c>
      <c r="AE428" t="s">
        <v>155</v>
      </c>
      <c r="AF428" t="s">
        <v>155</v>
      </c>
      <c r="AG428" t="s">
        <v>155</v>
      </c>
      <c r="AH428" t="s">
        <v>155</v>
      </c>
    </row>
    <row r="430" spans="19:34" ht="16.2" customHeight="1" x14ac:dyDescent="0.3">
      <c r="S430" s="15" t="s">
        <v>152</v>
      </c>
      <c r="T430" t="s">
        <v>209</v>
      </c>
      <c r="AB430" s="15" t="s">
        <v>152</v>
      </c>
      <c r="AC430" t="s">
        <v>209</v>
      </c>
    </row>
    <row r="431" spans="19:34" ht="16.2" customHeight="1" x14ac:dyDescent="0.3">
      <c r="U431" t="s">
        <v>164</v>
      </c>
      <c r="V431" t="s">
        <v>165</v>
      </c>
      <c r="W431" t="s">
        <v>166</v>
      </c>
      <c r="X431" t="s">
        <v>167</v>
      </c>
      <c r="Y431" t="s">
        <v>168</v>
      </c>
      <c r="AD431" t="s">
        <v>164</v>
      </c>
      <c r="AE431" t="s">
        <v>165</v>
      </c>
      <c r="AF431" t="s">
        <v>166</v>
      </c>
      <c r="AG431" t="s">
        <v>167</v>
      </c>
      <c r="AH431" t="s">
        <v>168</v>
      </c>
    </row>
    <row r="432" spans="19:34" ht="16.2" customHeight="1" x14ac:dyDescent="0.3">
      <c r="T432" t="s">
        <v>154</v>
      </c>
      <c r="U432" t="s">
        <v>155</v>
      </c>
      <c r="V432" t="s">
        <v>87</v>
      </c>
      <c r="W432" t="s">
        <v>155</v>
      </c>
      <c r="X432" t="s">
        <v>87</v>
      </c>
      <c r="Y432" t="s">
        <v>155</v>
      </c>
      <c r="AC432" t="s">
        <v>154</v>
      </c>
      <c r="AD432" t="s">
        <v>155</v>
      </c>
      <c r="AE432" t="s">
        <v>87</v>
      </c>
      <c r="AF432" t="s">
        <v>155</v>
      </c>
      <c r="AG432" t="s">
        <v>87</v>
      </c>
      <c r="AH432" t="s">
        <v>155</v>
      </c>
    </row>
    <row r="433" spans="19:34" ht="16.2" customHeight="1" x14ac:dyDescent="0.3">
      <c r="T433" t="s">
        <v>156</v>
      </c>
      <c r="U433" t="s">
        <v>155</v>
      </c>
      <c r="V433" t="s">
        <v>87</v>
      </c>
      <c r="W433" t="s">
        <v>155</v>
      </c>
      <c r="X433" t="s">
        <v>87</v>
      </c>
      <c r="Y433" t="s">
        <v>155</v>
      </c>
      <c r="AC433" t="s">
        <v>156</v>
      </c>
      <c r="AD433" t="s">
        <v>155</v>
      </c>
      <c r="AE433" t="s">
        <v>87</v>
      </c>
      <c r="AF433" t="s">
        <v>155</v>
      </c>
      <c r="AG433" t="s">
        <v>87</v>
      </c>
      <c r="AH433" t="s">
        <v>155</v>
      </c>
    </row>
    <row r="434" spans="19:34" ht="16.2" customHeight="1" x14ac:dyDescent="0.3">
      <c r="T434" t="s">
        <v>157</v>
      </c>
      <c r="U434" t="s">
        <v>155</v>
      </c>
      <c r="V434" t="s">
        <v>155</v>
      </c>
      <c r="W434" t="s">
        <v>155</v>
      </c>
      <c r="X434" t="s">
        <v>87</v>
      </c>
      <c r="Y434" t="s">
        <v>155</v>
      </c>
      <c r="AC434" t="s">
        <v>157</v>
      </c>
      <c r="AD434" t="s">
        <v>155</v>
      </c>
      <c r="AE434" t="s">
        <v>155</v>
      </c>
      <c r="AF434" t="s">
        <v>155</v>
      </c>
      <c r="AG434" t="s">
        <v>87</v>
      </c>
      <c r="AH434" t="s">
        <v>155</v>
      </c>
    </row>
    <row r="435" spans="19:34" ht="16.2" customHeight="1" x14ac:dyDescent="0.3">
      <c r="T435" t="s">
        <v>158</v>
      </c>
      <c r="U435" t="s">
        <v>155</v>
      </c>
      <c r="V435" t="s">
        <v>155</v>
      </c>
      <c r="W435" t="s">
        <v>155</v>
      </c>
      <c r="X435" t="s">
        <v>155</v>
      </c>
      <c r="Y435" t="s">
        <v>155</v>
      </c>
      <c r="AC435" t="s">
        <v>158</v>
      </c>
      <c r="AD435" t="s">
        <v>155</v>
      </c>
      <c r="AE435" t="s">
        <v>155</v>
      </c>
      <c r="AF435" t="s">
        <v>155</v>
      </c>
      <c r="AG435" t="s">
        <v>155</v>
      </c>
      <c r="AH435" t="s">
        <v>155</v>
      </c>
    </row>
    <row r="436" spans="19:34" ht="16.2" customHeight="1" x14ac:dyDescent="0.3">
      <c r="T436" t="s">
        <v>159</v>
      </c>
      <c r="U436" t="s">
        <v>155</v>
      </c>
      <c r="V436" t="s">
        <v>155</v>
      </c>
      <c r="W436" t="s">
        <v>155</v>
      </c>
      <c r="X436" t="s">
        <v>155</v>
      </c>
      <c r="Y436" t="s">
        <v>155</v>
      </c>
      <c r="AC436" t="s">
        <v>159</v>
      </c>
      <c r="AD436" t="s">
        <v>155</v>
      </c>
      <c r="AE436" t="s">
        <v>155</v>
      </c>
      <c r="AF436" t="s">
        <v>155</v>
      </c>
      <c r="AG436" t="s">
        <v>155</v>
      </c>
      <c r="AH436" t="s">
        <v>155</v>
      </c>
    </row>
    <row r="437" spans="19:34" ht="16.2" customHeight="1" x14ac:dyDescent="0.3">
      <c r="T437" t="s">
        <v>160</v>
      </c>
      <c r="U437" t="s">
        <v>155</v>
      </c>
      <c r="V437" t="s">
        <v>155</v>
      </c>
      <c r="W437" t="s">
        <v>155</v>
      </c>
      <c r="X437" t="s">
        <v>155</v>
      </c>
      <c r="Y437" t="s">
        <v>155</v>
      </c>
      <c r="AC437" t="s">
        <v>160</v>
      </c>
      <c r="AD437" t="s">
        <v>155</v>
      </c>
      <c r="AE437" t="s">
        <v>155</v>
      </c>
      <c r="AF437" t="s">
        <v>155</v>
      </c>
      <c r="AG437" t="s">
        <v>155</v>
      </c>
      <c r="AH437" t="s">
        <v>155</v>
      </c>
    </row>
    <row r="438" spans="19:34" ht="16.2" customHeight="1" x14ac:dyDescent="0.3">
      <c r="T438" t="s">
        <v>169</v>
      </c>
      <c r="U438" t="s">
        <v>155</v>
      </c>
      <c r="V438" t="s">
        <v>155</v>
      </c>
      <c r="W438" t="s">
        <v>155</v>
      </c>
      <c r="X438" t="s">
        <v>155</v>
      </c>
      <c r="Y438" t="s">
        <v>155</v>
      </c>
      <c r="AC438" t="s">
        <v>169</v>
      </c>
      <c r="AD438" t="s">
        <v>155</v>
      </c>
      <c r="AE438" t="s">
        <v>155</v>
      </c>
      <c r="AF438" t="s">
        <v>155</v>
      </c>
      <c r="AG438" t="s">
        <v>155</v>
      </c>
      <c r="AH438" t="s">
        <v>155</v>
      </c>
    </row>
    <row r="439" spans="19:34" ht="16.2" customHeight="1" x14ac:dyDescent="0.3">
      <c r="T439" t="s">
        <v>170</v>
      </c>
      <c r="U439" t="s">
        <v>155</v>
      </c>
      <c r="V439" t="s">
        <v>155</v>
      </c>
      <c r="W439" t="s">
        <v>155</v>
      </c>
      <c r="X439" t="s">
        <v>155</v>
      </c>
      <c r="Y439" t="s">
        <v>155</v>
      </c>
      <c r="AC439" t="s">
        <v>170</v>
      </c>
      <c r="AD439" t="s">
        <v>155</v>
      </c>
      <c r="AE439" t="s">
        <v>155</v>
      </c>
      <c r="AF439" t="s">
        <v>155</v>
      </c>
      <c r="AG439" t="s">
        <v>155</v>
      </c>
      <c r="AH439" t="s">
        <v>155</v>
      </c>
    </row>
    <row r="440" spans="19:34" ht="16.2" customHeight="1" x14ac:dyDescent="0.3">
      <c r="T440" t="s">
        <v>171</v>
      </c>
      <c r="U440" t="s">
        <v>155</v>
      </c>
      <c r="V440" t="s">
        <v>155</v>
      </c>
      <c r="W440" t="s">
        <v>155</v>
      </c>
      <c r="X440" t="s">
        <v>155</v>
      </c>
      <c r="Y440" t="s">
        <v>155</v>
      </c>
      <c r="AC440" t="s">
        <v>171</v>
      </c>
      <c r="AD440" t="s">
        <v>155</v>
      </c>
      <c r="AE440" t="s">
        <v>155</v>
      </c>
      <c r="AF440" t="s">
        <v>155</v>
      </c>
      <c r="AG440" t="s">
        <v>155</v>
      </c>
      <c r="AH440" t="s">
        <v>155</v>
      </c>
    </row>
    <row r="441" spans="19:34" ht="16.2" customHeight="1" x14ac:dyDescent="0.3">
      <c r="T441" t="s">
        <v>172</v>
      </c>
      <c r="U441" t="s">
        <v>155</v>
      </c>
      <c r="V441" t="s">
        <v>155</v>
      </c>
      <c r="W441" t="s">
        <v>155</v>
      </c>
      <c r="X441" t="s">
        <v>155</v>
      </c>
      <c r="Y441" t="s">
        <v>155</v>
      </c>
      <c r="AC441" t="s">
        <v>172</v>
      </c>
      <c r="AD441" t="s">
        <v>155</v>
      </c>
      <c r="AE441" t="s">
        <v>155</v>
      </c>
      <c r="AF441" t="s">
        <v>155</v>
      </c>
      <c r="AG441" t="s">
        <v>155</v>
      </c>
      <c r="AH441" t="s">
        <v>155</v>
      </c>
    </row>
    <row r="443" spans="19:34" ht="16.2" customHeight="1" x14ac:dyDescent="0.3">
      <c r="S443" s="15" t="s">
        <v>132</v>
      </c>
      <c r="T443" t="s">
        <v>210</v>
      </c>
      <c r="AB443" s="15" t="s">
        <v>132</v>
      </c>
      <c r="AC443" t="s">
        <v>210</v>
      </c>
    </row>
    <row r="444" spans="19:34" ht="16.2" customHeight="1" x14ac:dyDescent="0.3">
      <c r="U444" t="s">
        <v>164</v>
      </c>
      <c r="V444" t="s">
        <v>165</v>
      </c>
      <c r="W444" t="s">
        <v>166</v>
      </c>
      <c r="X444" t="s">
        <v>167</v>
      </c>
      <c r="Y444" t="s">
        <v>168</v>
      </c>
      <c r="AD444" t="s">
        <v>164</v>
      </c>
      <c r="AE444" t="s">
        <v>165</v>
      </c>
      <c r="AF444" t="s">
        <v>166</v>
      </c>
      <c r="AG444" t="s">
        <v>167</v>
      </c>
      <c r="AH444" t="s">
        <v>168</v>
      </c>
    </row>
    <row r="445" spans="19:34" ht="16.2" customHeight="1" x14ac:dyDescent="0.3">
      <c r="T445" t="s">
        <v>154</v>
      </c>
      <c r="U445" t="s">
        <v>155</v>
      </c>
      <c r="V445" t="s">
        <v>155</v>
      </c>
      <c r="W445" t="s">
        <v>175</v>
      </c>
      <c r="X445" t="s">
        <v>155</v>
      </c>
      <c r="Y445" t="s">
        <v>155</v>
      </c>
      <c r="AC445" t="s">
        <v>154</v>
      </c>
      <c r="AD445" t="s">
        <v>155</v>
      </c>
      <c r="AE445" t="s">
        <v>155</v>
      </c>
      <c r="AF445" t="s">
        <v>175</v>
      </c>
      <c r="AG445" t="s">
        <v>155</v>
      </c>
      <c r="AH445" t="s">
        <v>155</v>
      </c>
    </row>
    <row r="446" spans="19:34" ht="16.2" customHeight="1" x14ac:dyDescent="0.3">
      <c r="T446" t="s">
        <v>156</v>
      </c>
      <c r="U446" t="s">
        <v>155</v>
      </c>
      <c r="V446" t="s">
        <v>155</v>
      </c>
      <c r="W446" t="s">
        <v>175</v>
      </c>
      <c r="X446" t="s">
        <v>155</v>
      </c>
      <c r="Y446" t="s">
        <v>155</v>
      </c>
      <c r="AC446" t="s">
        <v>156</v>
      </c>
      <c r="AD446" t="s">
        <v>155</v>
      </c>
      <c r="AE446" t="s">
        <v>155</v>
      </c>
      <c r="AF446" t="s">
        <v>175</v>
      </c>
      <c r="AG446" t="s">
        <v>155</v>
      </c>
      <c r="AH446" t="s">
        <v>155</v>
      </c>
    </row>
    <row r="447" spans="19:34" ht="16.2" customHeight="1" x14ac:dyDescent="0.3">
      <c r="T447" t="s">
        <v>157</v>
      </c>
      <c r="U447" t="s">
        <v>155</v>
      </c>
      <c r="V447" t="s">
        <v>155</v>
      </c>
      <c r="W447" t="s">
        <v>175</v>
      </c>
      <c r="X447" t="s">
        <v>155</v>
      </c>
      <c r="Y447" t="s">
        <v>155</v>
      </c>
      <c r="AC447" t="s">
        <v>157</v>
      </c>
      <c r="AD447" t="s">
        <v>155</v>
      </c>
      <c r="AE447" t="s">
        <v>155</v>
      </c>
      <c r="AF447" t="s">
        <v>175</v>
      </c>
      <c r="AG447" t="s">
        <v>155</v>
      </c>
      <c r="AH447" t="s">
        <v>155</v>
      </c>
    </row>
    <row r="448" spans="19:34" ht="16.2" customHeight="1" x14ac:dyDescent="0.3">
      <c r="T448" t="s">
        <v>158</v>
      </c>
      <c r="U448" t="s">
        <v>155</v>
      </c>
      <c r="V448" t="s">
        <v>155</v>
      </c>
      <c r="W448" t="s">
        <v>175</v>
      </c>
      <c r="X448" t="s">
        <v>155</v>
      </c>
      <c r="Y448" t="s">
        <v>155</v>
      </c>
      <c r="AC448" t="s">
        <v>158</v>
      </c>
      <c r="AD448" t="s">
        <v>155</v>
      </c>
      <c r="AE448" t="s">
        <v>155</v>
      </c>
      <c r="AF448" t="s">
        <v>175</v>
      </c>
      <c r="AG448" t="s">
        <v>155</v>
      </c>
      <c r="AH448" t="s">
        <v>155</v>
      </c>
    </row>
    <row r="449" spans="19:34" ht="16.2" customHeight="1" x14ac:dyDescent="0.3">
      <c r="T449" t="s">
        <v>159</v>
      </c>
      <c r="U449" t="s">
        <v>155</v>
      </c>
      <c r="V449" t="s">
        <v>155</v>
      </c>
      <c r="W449" t="s">
        <v>155</v>
      </c>
      <c r="X449" t="s">
        <v>155</v>
      </c>
      <c r="Y449" t="s">
        <v>155</v>
      </c>
      <c r="AC449" t="s">
        <v>159</v>
      </c>
      <c r="AD449" t="s">
        <v>155</v>
      </c>
      <c r="AE449" t="s">
        <v>155</v>
      </c>
      <c r="AF449" t="s">
        <v>155</v>
      </c>
      <c r="AG449" t="s">
        <v>155</v>
      </c>
      <c r="AH449" t="s">
        <v>155</v>
      </c>
    </row>
    <row r="450" spans="19:34" ht="16.2" customHeight="1" x14ac:dyDescent="0.3">
      <c r="T450" t="s">
        <v>160</v>
      </c>
      <c r="U450" t="s">
        <v>155</v>
      </c>
      <c r="V450" t="s">
        <v>155</v>
      </c>
      <c r="W450" t="s">
        <v>155</v>
      </c>
      <c r="X450" t="s">
        <v>155</v>
      </c>
      <c r="Y450" t="s">
        <v>155</v>
      </c>
      <c r="AC450" t="s">
        <v>160</v>
      </c>
      <c r="AD450" t="s">
        <v>155</v>
      </c>
      <c r="AE450" t="s">
        <v>155</v>
      </c>
      <c r="AF450" t="s">
        <v>155</v>
      </c>
      <c r="AG450" t="s">
        <v>155</v>
      </c>
      <c r="AH450" t="s">
        <v>155</v>
      </c>
    </row>
    <row r="451" spans="19:34" ht="16.2" customHeight="1" x14ac:dyDescent="0.3">
      <c r="T451" t="s">
        <v>169</v>
      </c>
      <c r="U451" t="s">
        <v>155</v>
      </c>
      <c r="V451" t="s">
        <v>155</v>
      </c>
      <c r="W451" t="s">
        <v>155</v>
      </c>
      <c r="X451" t="s">
        <v>155</v>
      </c>
      <c r="Y451" t="s">
        <v>155</v>
      </c>
      <c r="AC451" t="s">
        <v>169</v>
      </c>
      <c r="AD451" t="s">
        <v>155</v>
      </c>
      <c r="AE451" t="s">
        <v>155</v>
      </c>
      <c r="AF451" t="s">
        <v>155</v>
      </c>
      <c r="AG451" t="s">
        <v>155</v>
      </c>
      <c r="AH451" t="s">
        <v>155</v>
      </c>
    </row>
    <row r="452" spans="19:34" ht="16.2" customHeight="1" x14ac:dyDescent="0.3">
      <c r="T452" t="s">
        <v>170</v>
      </c>
      <c r="U452" t="s">
        <v>155</v>
      </c>
      <c r="V452" t="s">
        <v>155</v>
      </c>
      <c r="W452" t="s">
        <v>155</v>
      </c>
      <c r="X452" t="s">
        <v>155</v>
      </c>
      <c r="Y452" t="s">
        <v>155</v>
      </c>
      <c r="AC452" t="s">
        <v>170</v>
      </c>
      <c r="AD452" t="s">
        <v>155</v>
      </c>
      <c r="AE452" t="s">
        <v>155</v>
      </c>
      <c r="AF452" t="s">
        <v>155</v>
      </c>
      <c r="AG452" t="s">
        <v>155</v>
      </c>
      <c r="AH452" t="s">
        <v>155</v>
      </c>
    </row>
    <row r="453" spans="19:34" ht="16.2" customHeight="1" x14ac:dyDescent="0.3">
      <c r="T453" t="s">
        <v>171</v>
      </c>
      <c r="U453" t="s">
        <v>155</v>
      </c>
      <c r="V453" t="s">
        <v>155</v>
      </c>
      <c r="W453" t="s">
        <v>155</v>
      </c>
      <c r="X453" t="s">
        <v>155</v>
      </c>
      <c r="Y453" t="s">
        <v>155</v>
      </c>
      <c r="AC453" t="s">
        <v>171</v>
      </c>
      <c r="AD453" t="s">
        <v>155</v>
      </c>
      <c r="AE453" t="s">
        <v>155</v>
      </c>
      <c r="AF453" t="s">
        <v>155</v>
      </c>
      <c r="AG453" t="s">
        <v>155</v>
      </c>
      <c r="AH453" t="s">
        <v>155</v>
      </c>
    </row>
    <row r="454" spans="19:34" ht="16.2" customHeight="1" x14ac:dyDescent="0.3">
      <c r="T454" t="s">
        <v>172</v>
      </c>
      <c r="U454" t="s">
        <v>155</v>
      </c>
      <c r="V454" t="s">
        <v>155</v>
      </c>
      <c r="W454" t="s">
        <v>155</v>
      </c>
      <c r="X454" t="s">
        <v>155</v>
      </c>
      <c r="Y454" t="s">
        <v>155</v>
      </c>
      <c r="AC454" t="s">
        <v>172</v>
      </c>
      <c r="AD454" t="s">
        <v>155</v>
      </c>
      <c r="AE454" t="s">
        <v>155</v>
      </c>
      <c r="AF454" t="s">
        <v>155</v>
      </c>
      <c r="AG454" t="s">
        <v>155</v>
      </c>
      <c r="AH454" t="s">
        <v>155</v>
      </c>
    </row>
    <row r="456" spans="19:34" ht="16.2" customHeight="1" x14ac:dyDescent="0.3">
      <c r="S456" s="15" t="s">
        <v>176</v>
      </c>
      <c r="T456" t="s">
        <v>211</v>
      </c>
      <c r="AB456" s="15" t="s">
        <v>176</v>
      </c>
      <c r="AC456" t="s">
        <v>211</v>
      </c>
    </row>
    <row r="457" spans="19:34" ht="16.2" customHeight="1" x14ac:dyDescent="0.3">
      <c r="U457" t="s">
        <v>164</v>
      </c>
      <c r="V457" t="s">
        <v>165</v>
      </c>
      <c r="W457" t="s">
        <v>166</v>
      </c>
      <c r="X457" t="s">
        <v>167</v>
      </c>
      <c r="Y457" t="s">
        <v>168</v>
      </c>
      <c r="AD457" t="s">
        <v>164</v>
      </c>
      <c r="AE457" t="s">
        <v>165</v>
      </c>
      <c r="AF457" t="s">
        <v>166</v>
      </c>
      <c r="AG457" t="s">
        <v>167</v>
      </c>
      <c r="AH457" t="s">
        <v>168</v>
      </c>
    </row>
    <row r="458" spans="19:34" ht="16.2" customHeight="1" x14ac:dyDescent="0.3">
      <c r="T458" t="s">
        <v>154</v>
      </c>
      <c r="U458" t="s">
        <v>155</v>
      </c>
      <c r="V458" t="s">
        <v>155</v>
      </c>
      <c r="W458" t="s">
        <v>77</v>
      </c>
      <c r="X458" t="s">
        <v>155</v>
      </c>
      <c r="Y458" t="s">
        <v>155</v>
      </c>
      <c r="AC458" t="s">
        <v>154</v>
      </c>
      <c r="AD458" t="s">
        <v>155</v>
      </c>
      <c r="AE458" t="s">
        <v>155</v>
      </c>
      <c r="AF458" t="s">
        <v>77</v>
      </c>
      <c r="AG458" t="s">
        <v>155</v>
      </c>
      <c r="AH458" t="s">
        <v>155</v>
      </c>
    </row>
    <row r="459" spans="19:34" ht="16.2" customHeight="1" x14ac:dyDescent="0.3">
      <c r="T459" t="s">
        <v>156</v>
      </c>
      <c r="U459" t="s">
        <v>155</v>
      </c>
      <c r="V459" t="s">
        <v>155</v>
      </c>
      <c r="W459" t="s">
        <v>77</v>
      </c>
      <c r="X459" t="s">
        <v>155</v>
      </c>
      <c r="Y459" t="s">
        <v>155</v>
      </c>
      <c r="AC459" t="s">
        <v>156</v>
      </c>
      <c r="AD459" t="s">
        <v>155</v>
      </c>
      <c r="AE459" t="s">
        <v>155</v>
      </c>
      <c r="AF459" t="s">
        <v>77</v>
      </c>
      <c r="AG459" t="s">
        <v>155</v>
      </c>
      <c r="AH459" t="s">
        <v>155</v>
      </c>
    </row>
    <row r="460" spans="19:34" ht="16.2" customHeight="1" x14ac:dyDescent="0.3">
      <c r="T460" t="s">
        <v>157</v>
      </c>
      <c r="U460" t="s">
        <v>155</v>
      </c>
      <c r="V460" t="s">
        <v>155</v>
      </c>
      <c r="W460" t="s">
        <v>155</v>
      </c>
      <c r="X460" t="s">
        <v>155</v>
      </c>
      <c r="Y460" t="s">
        <v>155</v>
      </c>
      <c r="AC460" t="s">
        <v>157</v>
      </c>
      <c r="AD460" t="s">
        <v>155</v>
      </c>
      <c r="AE460" t="s">
        <v>155</v>
      </c>
      <c r="AF460" t="s">
        <v>155</v>
      </c>
      <c r="AG460" t="s">
        <v>155</v>
      </c>
      <c r="AH460" t="s">
        <v>155</v>
      </c>
    </row>
    <row r="461" spans="19:34" ht="16.2" customHeight="1" x14ac:dyDescent="0.3">
      <c r="T461" t="s">
        <v>158</v>
      </c>
      <c r="U461" t="s">
        <v>155</v>
      </c>
      <c r="V461" t="s">
        <v>155</v>
      </c>
      <c r="W461" t="s">
        <v>155</v>
      </c>
      <c r="X461" t="s">
        <v>155</v>
      </c>
      <c r="Y461" t="s">
        <v>155</v>
      </c>
      <c r="AC461" t="s">
        <v>158</v>
      </c>
      <c r="AD461" t="s">
        <v>155</v>
      </c>
      <c r="AE461" t="s">
        <v>155</v>
      </c>
      <c r="AF461" t="s">
        <v>155</v>
      </c>
      <c r="AG461" t="s">
        <v>155</v>
      </c>
      <c r="AH461" t="s">
        <v>155</v>
      </c>
    </row>
    <row r="462" spans="19:34" ht="16.2" customHeight="1" x14ac:dyDescent="0.3">
      <c r="T462" t="s">
        <v>159</v>
      </c>
      <c r="U462" t="s">
        <v>155</v>
      </c>
      <c r="V462" t="s">
        <v>155</v>
      </c>
      <c r="W462" t="s">
        <v>155</v>
      </c>
      <c r="X462" t="s">
        <v>155</v>
      </c>
      <c r="Y462" t="s">
        <v>155</v>
      </c>
      <c r="AC462" t="s">
        <v>159</v>
      </c>
      <c r="AD462" t="s">
        <v>155</v>
      </c>
      <c r="AE462" t="s">
        <v>155</v>
      </c>
      <c r="AF462" t="s">
        <v>155</v>
      </c>
      <c r="AG462" t="s">
        <v>155</v>
      </c>
      <c r="AH462" t="s">
        <v>155</v>
      </c>
    </row>
    <row r="463" spans="19:34" ht="16.2" customHeight="1" x14ac:dyDescent="0.3">
      <c r="T463" t="s">
        <v>160</v>
      </c>
      <c r="U463" t="s">
        <v>155</v>
      </c>
      <c r="V463" t="s">
        <v>155</v>
      </c>
      <c r="W463" t="s">
        <v>155</v>
      </c>
      <c r="X463" t="s">
        <v>155</v>
      </c>
      <c r="Y463" t="s">
        <v>155</v>
      </c>
      <c r="AC463" t="s">
        <v>160</v>
      </c>
      <c r="AD463" t="s">
        <v>155</v>
      </c>
      <c r="AE463" t="s">
        <v>155</v>
      </c>
      <c r="AF463" t="s">
        <v>155</v>
      </c>
      <c r="AG463" t="s">
        <v>155</v>
      </c>
      <c r="AH463" t="s">
        <v>155</v>
      </c>
    </row>
    <row r="464" spans="19:34" ht="16.2" customHeight="1" x14ac:dyDescent="0.3">
      <c r="T464" t="s">
        <v>169</v>
      </c>
      <c r="U464" t="s">
        <v>155</v>
      </c>
      <c r="V464" t="s">
        <v>155</v>
      </c>
      <c r="W464" t="s">
        <v>155</v>
      </c>
      <c r="X464" t="s">
        <v>155</v>
      </c>
      <c r="Y464" t="s">
        <v>155</v>
      </c>
      <c r="AC464" t="s">
        <v>169</v>
      </c>
      <c r="AD464" t="s">
        <v>155</v>
      </c>
      <c r="AE464" t="s">
        <v>155</v>
      </c>
      <c r="AF464" t="s">
        <v>155</v>
      </c>
      <c r="AG464" t="s">
        <v>155</v>
      </c>
      <c r="AH464" t="s">
        <v>155</v>
      </c>
    </row>
    <row r="465" spans="19:34" ht="16.2" customHeight="1" x14ac:dyDescent="0.3">
      <c r="T465" t="s">
        <v>170</v>
      </c>
      <c r="U465" t="s">
        <v>155</v>
      </c>
      <c r="V465" t="s">
        <v>155</v>
      </c>
      <c r="W465" t="s">
        <v>155</v>
      </c>
      <c r="X465" t="s">
        <v>155</v>
      </c>
      <c r="Y465" t="s">
        <v>155</v>
      </c>
      <c r="AC465" t="s">
        <v>170</v>
      </c>
      <c r="AD465" t="s">
        <v>155</v>
      </c>
      <c r="AE465" t="s">
        <v>155</v>
      </c>
      <c r="AF465" t="s">
        <v>155</v>
      </c>
      <c r="AG465" t="s">
        <v>155</v>
      </c>
      <c r="AH465" t="s">
        <v>155</v>
      </c>
    </row>
    <row r="466" spans="19:34" ht="16.2" customHeight="1" x14ac:dyDescent="0.3">
      <c r="T466" t="s">
        <v>171</v>
      </c>
      <c r="U466" t="s">
        <v>155</v>
      </c>
      <c r="V466" t="s">
        <v>155</v>
      </c>
      <c r="W466" t="s">
        <v>155</v>
      </c>
      <c r="X466" t="s">
        <v>155</v>
      </c>
      <c r="Y466" t="s">
        <v>155</v>
      </c>
      <c r="AC466" t="s">
        <v>171</v>
      </c>
      <c r="AD466" t="s">
        <v>155</v>
      </c>
      <c r="AE466" t="s">
        <v>155</v>
      </c>
      <c r="AF466" t="s">
        <v>155</v>
      </c>
      <c r="AG466" t="s">
        <v>155</v>
      </c>
      <c r="AH466" t="s">
        <v>155</v>
      </c>
    </row>
    <row r="467" spans="19:34" ht="16.2" customHeight="1" x14ac:dyDescent="0.3">
      <c r="T467" t="s">
        <v>172</v>
      </c>
      <c r="U467" t="s">
        <v>155</v>
      </c>
      <c r="V467" t="s">
        <v>155</v>
      </c>
      <c r="W467" t="s">
        <v>155</v>
      </c>
      <c r="X467" t="s">
        <v>155</v>
      </c>
      <c r="Y467" t="s">
        <v>155</v>
      </c>
      <c r="AC467" t="s">
        <v>172</v>
      </c>
      <c r="AD467" t="s">
        <v>155</v>
      </c>
      <c r="AE467" t="s">
        <v>155</v>
      </c>
      <c r="AF467" t="s">
        <v>155</v>
      </c>
      <c r="AG467" t="s">
        <v>155</v>
      </c>
      <c r="AH467" t="s">
        <v>155</v>
      </c>
    </row>
    <row r="469" spans="19:34" ht="16.2" customHeight="1" x14ac:dyDescent="0.3">
      <c r="S469" s="15" t="s">
        <v>179</v>
      </c>
      <c r="T469" t="s">
        <v>212</v>
      </c>
      <c r="AB469" s="15" t="s">
        <v>179</v>
      </c>
      <c r="AC469" t="s">
        <v>212</v>
      </c>
    </row>
    <row r="470" spans="19:34" ht="16.2" customHeight="1" x14ac:dyDescent="0.3">
      <c r="U470" t="s">
        <v>164</v>
      </c>
      <c r="V470" t="s">
        <v>165</v>
      </c>
      <c r="W470" t="s">
        <v>166</v>
      </c>
      <c r="X470" t="s">
        <v>167</v>
      </c>
      <c r="Y470" t="s">
        <v>168</v>
      </c>
      <c r="AD470" t="s">
        <v>164</v>
      </c>
      <c r="AE470" t="s">
        <v>165</v>
      </c>
      <c r="AF470" t="s">
        <v>166</v>
      </c>
      <c r="AG470" t="s">
        <v>167</v>
      </c>
      <c r="AH470" t="s">
        <v>168</v>
      </c>
    </row>
    <row r="471" spans="19:34" ht="16.2" customHeight="1" x14ac:dyDescent="0.3">
      <c r="T471" t="s">
        <v>154</v>
      </c>
      <c r="U471" t="s">
        <v>155</v>
      </c>
      <c r="V471" t="s">
        <v>155</v>
      </c>
      <c r="W471" t="s">
        <v>155</v>
      </c>
      <c r="X471" t="s">
        <v>155</v>
      </c>
      <c r="Y471" t="s">
        <v>155</v>
      </c>
      <c r="AC471" t="s">
        <v>154</v>
      </c>
      <c r="AD471" t="s">
        <v>155</v>
      </c>
      <c r="AE471" t="s">
        <v>155</v>
      </c>
      <c r="AF471" t="s">
        <v>155</v>
      </c>
      <c r="AG471" t="s">
        <v>155</v>
      </c>
      <c r="AH471" t="s">
        <v>155</v>
      </c>
    </row>
    <row r="472" spans="19:34" ht="16.2" customHeight="1" x14ac:dyDescent="0.3">
      <c r="T472" t="s">
        <v>156</v>
      </c>
      <c r="U472" t="s">
        <v>155</v>
      </c>
      <c r="V472" t="s">
        <v>155</v>
      </c>
      <c r="W472" t="s">
        <v>155</v>
      </c>
      <c r="X472" t="s">
        <v>155</v>
      </c>
      <c r="Y472" t="s">
        <v>155</v>
      </c>
      <c r="AC472" t="s">
        <v>156</v>
      </c>
      <c r="AD472" t="s">
        <v>155</v>
      </c>
      <c r="AE472" t="s">
        <v>155</v>
      </c>
      <c r="AF472" t="s">
        <v>155</v>
      </c>
      <c r="AG472" t="s">
        <v>155</v>
      </c>
      <c r="AH472" t="s">
        <v>155</v>
      </c>
    </row>
    <row r="473" spans="19:34" ht="16.2" customHeight="1" x14ac:dyDescent="0.3">
      <c r="T473" t="s">
        <v>157</v>
      </c>
      <c r="U473" t="s">
        <v>155</v>
      </c>
      <c r="V473" t="s">
        <v>155</v>
      </c>
      <c r="W473" t="s">
        <v>155</v>
      </c>
      <c r="X473" t="s">
        <v>155</v>
      </c>
      <c r="Y473" t="s">
        <v>77</v>
      </c>
      <c r="AC473" t="s">
        <v>157</v>
      </c>
      <c r="AD473" t="s">
        <v>155</v>
      </c>
      <c r="AE473" t="s">
        <v>155</v>
      </c>
      <c r="AF473" t="s">
        <v>155</v>
      </c>
      <c r="AG473" t="s">
        <v>155</v>
      </c>
      <c r="AH473" t="s">
        <v>77</v>
      </c>
    </row>
    <row r="474" spans="19:34" ht="16.2" customHeight="1" x14ac:dyDescent="0.3">
      <c r="T474" t="s">
        <v>158</v>
      </c>
      <c r="U474" t="s">
        <v>155</v>
      </c>
      <c r="V474" t="s">
        <v>155</v>
      </c>
      <c r="W474" t="s">
        <v>155</v>
      </c>
      <c r="X474" t="s">
        <v>155</v>
      </c>
      <c r="Y474" t="s">
        <v>77</v>
      </c>
      <c r="AC474" t="s">
        <v>158</v>
      </c>
      <c r="AD474" t="s">
        <v>155</v>
      </c>
      <c r="AE474" t="s">
        <v>155</v>
      </c>
      <c r="AF474" t="s">
        <v>155</v>
      </c>
      <c r="AG474" t="s">
        <v>155</v>
      </c>
      <c r="AH474" t="s">
        <v>77</v>
      </c>
    </row>
    <row r="475" spans="19:34" ht="16.2" customHeight="1" x14ac:dyDescent="0.3">
      <c r="T475" t="s">
        <v>159</v>
      </c>
      <c r="U475" t="s">
        <v>155</v>
      </c>
      <c r="V475" t="s">
        <v>155</v>
      </c>
      <c r="W475" t="s">
        <v>155</v>
      </c>
      <c r="X475" t="s">
        <v>155</v>
      </c>
      <c r="Y475" t="s">
        <v>155</v>
      </c>
      <c r="AC475" t="s">
        <v>159</v>
      </c>
      <c r="AD475" t="s">
        <v>155</v>
      </c>
      <c r="AE475" t="s">
        <v>155</v>
      </c>
      <c r="AF475" t="s">
        <v>155</v>
      </c>
      <c r="AG475" t="s">
        <v>155</v>
      </c>
      <c r="AH475" t="s">
        <v>155</v>
      </c>
    </row>
    <row r="476" spans="19:34" ht="16.2" customHeight="1" x14ac:dyDescent="0.3">
      <c r="T476" t="s">
        <v>160</v>
      </c>
      <c r="U476" t="s">
        <v>155</v>
      </c>
      <c r="V476" t="s">
        <v>155</v>
      </c>
      <c r="W476" t="s">
        <v>155</v>
      </c>
      <c r="X476" t="s">
        <v>155</v>
      </c>
      <c r="Y476" t="s">
        <v>155</v>
      </c>
      <c r="AC476" t="s">
        <v>160</v>
      </c>
      <c r="AD476" t="s">
        <v>155</v>
      </c>
      <c r="AE476" t="s">
        <v>155</v>
      </c>
      <c r="AF476" t="s">
        <v>155</v>
      </c>
      <c r="AG476" t="s">
        <v>155</v>
      </c>
      <c r="AH476" t="s">
        <v>155</v>
      </c>
    </row>
    <row r="477" spans="19:34" ht="16.2" customHeight="1" x14ac:dyDescent="0.3">
      <c r="T477" t="s">
        <v>169</v>
      </c>
      <c r="U477" t="s">
        <v>155</v>
      </c>
      <c r="V477" t="s">
        <v>155</v>
      </c>
      <c r="W477" t="s">
        <v>155</v>
      </c>
      <c r="X477" t="s">
        <v>155</v>
      </c>
      <c r="Y477" t="s">
        <v>155</v>
      </c>
      <c r="AC477" t="s">
        <v>169</v>
      </c>
      <c r="AD477" t="s">
        <v>155</v>
      </c>
      <c r="AE477" t="s">
        <v>155</v>
      </c>
      <c r="AF477" t="s">
        <v>155</v>
      </c>
      <c r="AG477" t="s">
        <v>155</v>
      </c>
      <c r="AH477" t="s">
        <v>155</v>
      </c>
    </row>
    <row r="478" spans="19:34" ht="16.2" customHeight="1" x14ac:dyDescent="0.3">
      <c r="T478" t="s">
        <v>170</v>
      </c>
      <c r="U478" t="s">
        <v>155</v>
      </c>
      <c r="V478" t="s">
        <v>155</v>
      </c>
      <c r="W478" t="s">
        <v>155</v>
      </c>
      <c r="X478" t="s">
        <v>155</v>
      </c>
      <c r="Y478" t="s">
        <v>155</v>
      </c>
      <c r="AC478" t="s">
        <v>170</v>
      </c>
      <c r="AD478" t="s">
        <v>155</v>
      </c>
      <c r="AE478" t="s">
        <v>155</v>
      </c>
      <c r="AF478" t="s">
        <v>155</v>
      </c>
      <c r="AG478" t="s">
        <v>155</v>
      </c>
      <c r="AH478" t="s">
        <v>155</v>
      </c>
    </row>
    <row r="479" spans="19:34" ht="16.2" customHeight="1" x14ac:dyDescent="0.3">
      <c r="T479" t="s">
        <v>171</v>
      </c>
      <c r="U479" t="s">
        <v>155</v>
      </c>
      <c r="V479" t="s">
        <v>155</v>
      </c>
      <c r="W479" t="s">
        <v>155</v>
      </c>
      <c r="X479" t="s">
        <v>155</v>
      </c>
      <c r="Y479" t="s">
        <v>155</v>
      </c>
      <c r="AC479" t="s">
        <v>171</v>
      </c>
      <c r="AD479" t="s">
        <v>155</v>
      </c>
      <c r="AE479" t="s">
        <v>155</v>
      </c>
      <c r="AF479" t="s">
        <v>155</v>
      </c>
      <c r="AG479" t="s">
        <v>155</v>
      </c>
      <c r="AH479" t="s">
        <v>155</v>
      </c>
    </row>
    <row r="480" spans="19:34" ht="16.2" customHeight="1" x14ac:dyDescent="0.3">
      <c r="T480" t="s">
        <v>172</v>
      </c>
      <c r="U480" t="s">
        <v>155</v>
      </c>
      <c r="V480" t="s">
        <v>155</v>
      </c>
      <c r="W480" t="s">
        <v>155</v>
      </c>
      <c r="X480" t="s">
        <v>155</v>
      </c>
      <c r="Y480" t="s">
        <v>155</v>
      </c>
      <c r="AC480" t="s">
        <v>172</v>
      </c>
      <c r="AD480" t="s">
        <v>155</v>
      </c>
      <c r="AE480" t="s">
        <v>155</v>
      </c>
      <c r="AF480" t="s">
        <v>155</v>
      </c>
      <c r="AG480" t="s">
        <v>155</v>
      </c>
      <c r="AH480" t="s">
        <v>155</v>
      </c>
    </row>
    <row r="482" spans="19:34" ht="16.2" customHeight="1" x14ac:dyDescent="0.3">
      <c r="S482" s="15" t="s">
        <v>177</v>
      </c>
      <c r="T482" t="s">
        <v>213</v>
      </c>
      <c r="AB482" s="15" t="s">
        <v>177</v>
      </c>
      <c r="AC482" t="s">
        <v>213</v>
      </c>
    </row>
    <row r="483" spans="19:34" ht="16.2" customHeight="1" x14ac:dyDescent="0.3">
      <c r="U483" t="s">
        <v>164</v>
      </c>
      <c r="V483" t="s">
        <v>165</v>
      </c>
      <c r="W483" t="s">
        <v>166</v>
      </c>
      <c r="X483" t="s">
        <v>167</v>
      </c>
      <c r="Y483" t="s">
        <v>168</v>
      </c>
      <c r="AD483" t="s">
        <v>164</v>
      </c>
      <c r="AE483" t="s">
        <v>165</v>
      </c>
      <c r="AF483" t="s">
        <v>166</v>
      </c>
      <c r="AG483" t="s">
        <v>167</v>
      </c>
      <c r="AH483" t="s">
        <v>168</v>
      </c>
    </row>
    <row r="484" spans="19:34" ht="16.2" customHeight="1" x14ac:dyDescent="0.3">
      <c r="T484" t="s">
        <v>154</v>
      </c>
      <c r="U484" t="s">
        <v>155</v>
      </c>
      <c r="V484" t="s">
        <v>155</v>
      </c>
      <c r="W484" t="s">
        <v>155</v>
      </c>
      <c r="X484" t="s">
        <v>155</v>
      </c>
      <c r="Y484" t="s">
        <v>155</v>
      </c>
      <c r="AC484" t="s">
        <v>154</v>
      </c>
      <c r="AD484" t="s">
        <v>155</v>
      </c>
      <c r="AE484" t="s">
        <v>155</v>
      </c>
      <c r="AF484" t="s">
        <v>155</v>
      </c>
      <c r="AG484" t="s">
        <v>155</v>
      </c>
      <c r="AH484" t="s">
        <v>155</v>
      </c>
    </row>
    <row r="485" spans="19:34" ht="16.2" customHeight="1" x14ac:dyDescent="0.3">
      <c r="T485" t="s">
        <v>156</v>
      </c>
      <c r="U485" t="s">
        <v>155</v>
      </c>
      <c r="V485" t="s">
        <v>155</v>
      </c>
      <c r="W485" t="s">
        <v>155</v>
      </c>
      <c r="X485" t="s">
        <v>155</v>
      </c>
      <c r="Y485" t="s">
        <v>155</v>
      </c>
      <c r="AC485" t="s">
        <v>156</v>
      </c>
      <c r="AD485" t="s">
        <v>155</v>
      </c>
      <c r="AE485" t="s">
        <v>155</v>
      </c>
      <c r="AF485" t="s">
        <v>155</v>
      </c>
      <c r="AG485" t="s">
        <v>155</v>
      </c>
      <c r="AH485" t="s">
        <v>155</v>
      </c>
    </row>
    <row r="486" spans="19:34" ht="16.2" customHeight="1" x14ac:dyDescent="0.3">
      <c r="T486" t="s">
        <v>157</v>
      </c>
      <c r="U486" t="s">
        <v>155</v>
      </c>
      <c r="V486" t="s">
        <v>155</v>
      </c>
      <c r="W486" t="s">
        <v>155</v>
      </c>
      <c r="X486" t="s">
        <v>155</v>
      </c>
      <c r="Y486" t="s">
        <v>77</v>
      </c>
      <c r="AC486" t="s">
        <v>157</v>
      </c>
      <c r="AD486" t="s">
        <v>155</v>
      </c>
      <c r="AE486" t="s">
        <v>155</v>
      </c>
      <c r="AF486" t="s">
        <v>155</v>
      </c>
      <c r="AG486" t="s">
        <v>155</v>
      </c>
      <c r="AH486" t="s">
        <v>77</v>
      </c>
    </row>
    <row r="487" spans="19:34" ht="16.2" customHeight="1" x14ac:dyDescent="0.3">
      <c r="T487" t="s">
        <v>158</v>
      </c>
      <c r="U487" t="s">
        <v>155</v>
      </c>
      <c r="V487" t="s">
        <v>155</v>
      </c>
      <c r="W487" t="s">
        <v>155</v>
      </c>
      <c r="X487" t="s">
        <v>155</v>
      </c>
      <c r="Y487" t="s">
        <v>77</v>
      </c>
      <c r="AC487" t="s">
        <v>158</v>
      </c>
      <c r="AD487" t="s">
        <v>155</v>
      </c>
      <c r="AE487" t="s">
        <v>155</v>
      </c>
      <c r="AF487" t="s">
        <v>155</v>
      </c>
      <c r="AG487" t="s">
        <v>155</v>
      </c>
      <c r="AH487" t="s">
        <v>77</v>
      </c>
    </row>
    <row r="488" spans="19:34" ht="16.2" customHeight="1" x14ac:dyDescent="0.3">
      <c r="T488" t="s">
        <v>159</v>
      </c>
      <c r="U488" t="s">
        <v>155</v>
      </c>
      <c r="V488" t="s">
        <v>155</v>
      </c>
      <c r="W488" t="s">
        <v>155</v>
      </c>
      <c r="X488" t="s">
        <v>155</v>
      </c>
      <c r="Y488" t="s">
        <v>155</v>
      </c>
      <c r="AC488" t="s">
        <v>159</v>
      </c>
      <c r="AD488" t="s">
        <v>155</v>
      </c>
      <c r="AE488" t="s">
        <v>155</v>
      </c>
      <c r="AF488" t="s">
        <v>155</v>
      </c>
      <c r="AG488" t="s">
        <v>155</v>
      </c>
      <c r="AH488" t="s">
        <v>155</v>
      </c>
    </row>
    <row r="489" spans="19:34" ht="16.2" customHeight="1" x14ac:dyDescent="0.3">
      <c r="T489" t="s">
        <v>160</v>
      </c>
      <c r="U489" t="s">
        <v>155</v>
      </c>
      <c r="V489" t="s">
        <v>155</v>
      </c>
      <c r="W489" t="s">
        <v>155</v>
      </c>
      <c r="X489" t="s">
        <v>155</v>
      </c>
      <c r="Y489" t="s">
        <v>155</v>
      </c>
      <c r="AC489" t="s">
        <v>160</v>
      </c>
      <c r="AD489" t="s">
        <v>155</v>
      </c>
      <c r="AE489" t="s">
        <v>155</v>
      </c>
      <c r="AF489" t="s">
        <v>155</v>
      </c>
      <c r="AG489" t="s">
        <v>155</v>
      </c>
      <c r="AH489" t="s">
        <v>155</v>
      </c>
    </row>
    <row r="490" spans="19:34" ht="16.2" customHeight="1" x14ac:dyDescent="0.3">
      <c r="T490" t="s">
        <v>169</v>
      </c>
      <c r="U490" t="s">
        <v>155</v>
      </c>
      <c r="V490" t="s">
        <v>155</v>
      </c>
      <c r="W490" t="s">
        <v>155</v>
      </c>
      <c r="X490" t="s">
        <v>155</v>
      </c>
      <c r="Y490" t="s">
        <v>155</v>
      </c>
      <c r="AC490" t="s">
        <v>169</v>
      </c>
      <c r="AD490" t="s">
        <v>155</v>
      </c>
      <c r="AE490" t="s">
        <v>155</v>
      </c>
      <c r="AF490" t="s">
        <v>155</v>
      </c>
      <c r="AG490" t="s">
        <v>155</v>
      </c>
      <c r="AH490" t="s">
        <v>155</v>
      </c>
    </row>
    <row r="491" spans="19:34" ht="16.2" customHeight="1" x14ac:dyDescent="0.3">
      <c r="T491" t="s">
        <v>170</v>
      </c>
      <c r="U491" t="s">
        <v>155</v>
      </c>
      <c r="V491" t="s">
        <v>155</v>
      </c>
      <c r="W491" t="s">
        <v>155</v>
      </c>
      <c r="X491" t="s">
        <v>155</v>
      </c>
      <c r="Y491" t="s">
        <v>155</v>
      </c>
      <c r="AC491" t="s">
        <v>170</v>
      </c>
      <c r="AD491" t="s">
        <v>155</v>
      </c>
      <c r="AE491" t="s">
        <v>155</v>
      </c>
      <c r="AF491" t="s">
        <v>155</v>
      </c>
      <c r="AG491" t="s">
        <v>155</v>
      </c>
      <c r="AH491" t="s">
        <v>155</v>
      </c>
    </row>
    <row r="492" spans="19:34" ht="16.2" customHeight="1" x14ac:dyDescent="0.3">
      <c r="T492" t="s">
        <v>171</v>
      </c>
      <c r="U492" t="s">
        <v>155</v>
      </c>
      <c r="V492" t="s">
        <v>155</v>
      </c>
      <c r="W492" t="s">
        <v>155</v>
      </c>
      <c r="X492" t="s">
        <v>155</v>
      </c>
      <c r="Y492" t="s">
        <v>155</v>
      </c>
      <c r="AC492" t="s">
        <v>171</v>
      </c>
      <c r="AD492" t="s">
        <v>155</v>
      </c>
      <c r="AE492" t="s">
        <v>155</v>
      </c>
      <c r="AF492" t="s">
        <v>155</v>
      </c>
      <c r="AG492" t="s">
        <v>155</v>
      </c>
      <c r="AH492" t="s">
        <v>155</v>
      </c>
    </row>
    <row r="493" spans="19:34" ht="16.2" customHeight="1" x14ac:dyDescent="0.3">
      <c r="T493" t="s">
        <v>172</v>
      </c>
      <c r="U493" t="s">
        <v>155</v>
      </c>
      <c r="V493" t="s">
        <v>155</v>
      </c>
      <c r="W493" t="s">
        <v>155</v>
      </c>
      <c r="X493" t="s">
        <v>155</v>
      </c>
      <c r="Y493" t="s">
        <v>155</v>
      </c>
      <c r="AC493" t="s">
        <v>172</v>
      </c>
      <c r="AD493" t="s">
        <v>155</v>
      </c>
      <c r="AE493" t="s">
        <v>155</v>
      </c>
      <c r="AF493" t="s">
        <v>155</v>
      </c>
      <c r="AG493" t="s">
        <v>155</v>
      </c>
      <c r="AH493" t="s">
        <v>155</v>
      </c>
    </row>
    <row r="495" spans="19:34" ht="16.2" customHeight="1" x14ac:dyDescent="0.3">
      <c r="S495" s="15" t="s">
        <v>181</v>
      </c>
      <c r="T495" t="s">
        <v>214</v>
      </c>
      <c r="AB495" s="15" t="s">
        <v>181</v>
      </c>
      <c r="AC495" t="s">
        <v>214</v>
      </c>
    </row>
    <row r="496" spans="19:34" ht="16.2" customHeight="1" x14ac:dyDescent="0.3">
      <c r="U496" t="s">
        <v>164</v>
      </c>
      <c r="V496" t="s">
        <v>165</v>
      </c>
      <c r="W496" t="s">
        <v>166</v>
      </c>
      <c r="X496" t="s">
        <v>167</v>
      </c>
      <c r="Y496" t="s">
        <v>168</v>
      </c>
      <c r="AD496" t="s">
        <v>164</v>
      </c>
      <c r="AE496" t="s">
        <v>165</v>
      </c>
      <c r="AF496" t="s">
        <v>166</v>
      </c>
      <c r="AG496" t="s">
        <v>167</v>
      </c>
      <c r="AH496" t="s">
        <v>168</v>
      </c>
    </row>
    <row r="497" spans="19:34" ht="16.2" customHeight="1" x14ac:dyDescent="0.3">
      <c r="T497" t="s">
        <v>154</v>
      </c>
      <c r="U497" t="s">
        <v>155</v>
      </c>
      <c r="V497" t="s">
        <v>77</v>
      </c>
      <c r="W497" t="s">
        <v>155</v>
      </c>
      <c r="X497" t="s">
        <v>155</v>
      </c>
      <c r="Y497" t="s">
        <v>155</v>
      </c>
      <c r="AC497" t="s">
        <v>154</v>
      </c>
      <c r="AD497" t="s">
        <v>155</v>
      </c>
      <c r="AE497" t="s">
        <v>77</v>
      </c>
      <c r="AF497" t="s">
        <v>155</v>
      </c>
      <c r="AG497" t="s">
        <v>155</v>
      </c>
      <c r="AH497" t="s">
        <v>155</v>
      </c>
    </row>
    <row r="498" spans="19:34" ht="16.2" customHeight="1" x14ac:dyDescent="0.3">
      <c r="T498" t="s">
        <v>156</v>
      </c>
      <c r="U498" t="s">
        <v>155</v>
      </c>
      <c r="V498" t="s">
        <v>77</v>
      </c>
      <c r="W498" t="s">
        <v>155</v>
      </c>
      <c r="X498" t="s">
        <v>155</v>
      </c>
      <c r="Y498" t="s">
        <v>155</v>
      </c>
      <c r="AC498" t="s">
        <v>156</v>
      </c>
      <c r="AD498" t="s">
        <v>155</v>
      </c>
      <c r="AE498" t="s">
        <v>77</v>
      </c>
      <c r="AF498" t="s">
        <v>155</v>
      </c>
      <c r="AG498" t="s">
        <v>155</v>
      </c>
      <c r="AH498" t="s">
        <v>155</v>
      </c>
    </row>
    <row r="499" spans="19:34" ht="16.2" customHeight="1" x14ac:dyDescent="0.3">
      <c r="T499" t="s">
        <v>157</v>
      </c>
      <c r="U499" t="s">
        <v>155</v>
      </c>
      <c r="V499" t="s">
        <v>155</v>
      </c>
      <c r="W499" t="s">
        <v>155</v>
      </c>
      <c r="X499" t="s">
        <v>155</v>
      </c>
      <c r="Y499" t="s">
        <v>155</v>
      </c>
      <c r="AC499" t="s">
        <v>157</v>
      </c>
      <c r="AD499" t="s">
        <v>155</v>
      </c>
      <c r="AE499" t="s">
        <v>155</v>
      </c>
      <c r="AF499" t="s">
        <v>155</v>
      </c>
      <c r="AG499" t="s">
        <v>155</v>
      </c>
      <c r="AH499" t="s">
        <v>155</v>
      </c>
    </row>
    <row r="500" spans="19:34" ht="16.2" customHeight="1" x14ac:dyDescent="0.3">
      <c r="T500" t="s">
        <v>158</v>
      </c>
      <c r="U500" t="s">
        <v>155</v>
      </c>
      <c r="V500" t="s">
        <v>155</v>
      </c>
      <c r="W500" t="s">
        <v>155</v>
      </c>
      <c r="X500" t="s">
        <v>155</v>
      </c>
      <c r="Y500" t="s">
        <v>155</v>
      </c>
      <c r="AC500" t="s">
        <v>158</v>
      </c>
      <c r="AD500" t="s">
        <v>155</v>
      </c>
      <c r="AE500" t="s">
        <v>155</v>
      </c>
      <c r="AF500" t="s">
        <v>155</v>
      </c>
      <c r="AG500" t="s">
        <v>155</v>
      </c>
      <c r="AH500" t="s">
        <v>155</v>
      </c>
    </row>
    <row r="501" spans="19:34" ht="16.2" customHeight="1" x14ac:dyDescent="0.3">
      <c r="T501" t="s">
        <v>159</v>
      </c>
      <c r="U501" t="s">
        <v>155</v>
      </c>
      <c r="V501" t="s">
        <v>155</v>
      </c>
      <c r="W501" t="s">
        <v>155</v>
      </c>
      <c r="X501" t="s">
        <v>155</v>
      </c>
      <c r="Y501" t="s">
        <v>155</v>
      </c>
      <c r="AC501" t="s">
        <v>159</v>
      </c>
      <c r="AD501" t="s">
        <v>155</v>
      </c>
      <c r="AE501" t="s">
        <v>155</v>
      </c>
      <c r="AF501" t="s">
        <v>155</v>
      </c>
      <c r="AG501" t="s">
        <v>155</v>
      </c>
      <c r="AH501" t="s">
        <v>155</v>
      </c>
    </row>
    <row r="502" spans="19:34" ht="16.2" customHeight="1" x14ac:dyDescent="0.3">
      <c r="T502" t="s">
        <v>160</v>
      </c>
      <c r="U502" t="s">
        <v>155</v>
      </c>
      <c r="V502" t="s">
        <v>155</v>
      </c>
      <c r="W502" t="s">
        <v>155</v>
      </c>
      <c r="X502" t="s">
        <v>155</v>
      </c>
      <c r="Y502" t="s">
        <v>155</v>
      </c>
      <c r="AC502" t="s">
        <v>160</v>
      </c>
      <c r="AD502" t="s">
        <v>155</v>
      </c>
      <c r="AE502" t="s">
        <v>155</v>
      </c>
      <c r="AF502" t="s">
        <v>155</v>
      </c>
      <c r="AG502" t="s">
        <v>155</v>
      </c>
      <c r="AH502" t="s">
        <v>155</v>
      </c>
    </row>
    <row r="503" spans="19:34" ht="16.2" customHeight="1" x14ac:dyDescent="0.3">
      <c r="T503" t="s">
        <v>169</v>
      </c>
      <c r="U503" t="s">
        <v>155</v>
      </c>
      <c r="V503" t="s">
        <v>155</v>
      </c>
      <c r="W503" t="s">
        <v>155</v>
      </c>
      <c r="X503" t="s">
        <v>155</v>
      </c>
      <c r="Y503" t="s">
        <v>155</v>
      </c>
      <c r="AC503" t="s">
        <v>169</v>
      </c>
      <c r="AD503" t="s">
        <v>155</v>
      </c>
      <c r="AE503" t="s">
        <v>155</v>
      </c>
      <c r="AF503" t="s">
        <v>155</v>
      </c>
      <c r="AG503" t="s">
        <v>155</v>
      </c>
      <c r="AH503" t="s">
        <v>155</v>
      </c>
    </row>
    <row r="504" spans="19:34" ht="16.2" customHeight="1" x14ac:dyDescent="0.3">
      <c r="T504" t="s">
        <v>170</v>
      </c>
      <c r="U504" t="s">
        <v>155</v>
      </c>
      <c r="V504" t="s">
        <v>155</v>
      </c>
      <c r="W504" t="s">
        <v>155</v>
      </c>
      <c r="X504" t="s">
        <v>155</v>
      </c>
      <c r="Y504" t="s">
        <v>155</v>
      </c>
      <c r="AC504" t="s">
        <v>170</v>
      </c>
      <c r="AD504" t="s">
        <v>155</v>
      </c>
      <c r="AE504" t="s">
        <v>155</v>
      </c>
      <c r="AF504" t="s">
        <v>155</v>
      </c>
      <c r="AG504" t="s">
        <v>155</v>
      </c>
      <c r="AH504" t="s">
        <v>155</v>
      </c>
    </row>
    <row r="505" spans="19:34" ht="16.2" customHeight="1" x14ac:dyDescent="0.3">
      <c r="T505" t="s">
        <v>171</v>
      </c>
      <c r="U505" t="s">
        <v>155</v>
      </c>
      <c r="V505" t="s">
        <v>155</v>
      </c>
      <c r="W505" t="s">
        <v>155</v>
      </c>
      <c r="X505" t="s">
        <v>155</v>
      </c>
      <c r="Y505" t="s">
        <v>155</v>
      </c>
      <c r="AC505" t="s">
        <v>171</v>
      </c>
      <c r="AD505" t="s">
        <v>155</v>
      </c>
      <c r="AE505" t="s">
        <v>155</v>
      </c>
      <c r="AF505" t="s">
        <v>155</v>
      </c>
      <c r="AG505" t="s">
        <v>155</v>
      </c>
      <c r="AH505" t="s">
        <v>155</v>
      </c>
    </row>
    <row r="506" spans="19:34" ht="16.2" customHeight="1" x14ac:dyDescent="0.3">
      <c r="T506" t="s">
        <v>172</v>
      </c>
      <c r="U506" t="s">
        <v>155</v>
      </c>
      <c r="V506" t="s">
        <v>155</v>
      </c>
      <c r="W506" t="s">
        <v>155</v>
      </c>
      <c r="X506" t="s">
        <v>155</v>
      </c>
      <c r="Y506" t="s">
        <v>155</v>
      </c>
      <c r="AC506" t="s">
        <v>172</v>
      </c>
      <c r="AD506" t="s">
        <v>155</v>
      </c>
      <c r="AE506" t="s">
        <v>155</v>
      </c>
      <c r="AF506" t="s">
        <v>155</v>
      </c>
      <c r="AG506" t="s">
        <v>155</v>
      </c>
      <c r="AH506" t="s">
        <v>155</v>
      </c>
    </row>
    <row r="508" spans="19:34" ht="16.2" customHeight="1" x14ac:dyDescent="0.3">
      <c r="S508" s="15" t="s">
        <v>133</v>
      </c>
      <c r="T508" t="s">
        <v>215</v>
      </c>
      <c r="AB508" s="15" t="s">
        <v>133</v>
      </c>
      <c r="AC508" t="s">
        <v>215</v>
      </c>
    </row>
    <row r="509" spans="19:34" ht="16.2" customHeight="1" x14ac:dyDescent="0.3">
      <c r="U509" t="s">
        <v>164</v>
      </c>
      <c r="V509" t="s">
        <v>165</v>
      </c>
      <c r="W509" t="s">
        <v>166</v>
      </c>
      <c r="X509" t="s">
        <v>167</v>
      </c>
      <c r="Y509" t="s">
        <v>168</v>
      </c>
      <c r="AD509" t="s">
        <v>164</v>
      </c>
      <c r="AE509" t="s">
        <v>165</v>
      </c>
      <c r="AF509" t="s">
        <v>166</v>
      </c>
      <c r="AG509" t="s">
        <v>167</v>
      </c>
      <c r="AH509" t="s">
        <v>168</v>
      </c>
    </row>
    <row r="510" spans="19:34" ht="16.2" customHeight="1" x14ac:dyDescent="0.3">
      <c r="T510" t="s">
        <v>154</v>
      </c>
      <c r="U510" t="s">
        <v>155</v>
      </c>
      <c r="V510" t="s">
        <v>88</v>
      </c>
      <c r="W510" t="s">
        <v>155</v>
      </c>
      <c r="X510" t="s">
        <v>88</v>
      </c>
      <c r="Y510" t="s">
        <v>155</v>
      </c>
      <c r="AC510" t="s">
        <v>154</v>
      </c>
      <c r="AD510" t="s">
        <v>155</v>
      </c>
      <c r="AE510" t="s">
        <v>88</v>
      </c>
      <c r="AF510" t="s">
        <v>155</v>
      </c>
      <c r="AG510" t="s">
        <v>88</v>
      </c>
      <c r="AH510" t="s">
        <v>155</v>
      </c>
    </row>
    <row r="511" spans="19:34" ht="16.2" customHeight="1" x14ac:dyDescent="0.3">
      <c r="T511" t="s">
        <v>156</v>
      </c>
      <c r="U511" t="s">
        <v>155</v>
      </c>
      <c r="V511" t="s">
        <v>88</v>
      </c>
      <c r="W511" t="s">
        <v>155</v>
      </c>
      <c r="X511" t="s">
        <v>88</v>
      </c>
      <c r="Y511" t="s">
        <v>155</v>
      </c>
      <c r="AC511" t="s">
        <v>156</v>
      </c>
      <c r="AD511" t="s">
        <v>155</v>
      </c>
      <c r="AE511" t="s">
        <v>88</v>
      </c>
      <c r="AF511" t="s">
        <v>155</v>
      </c>
      <c r="AG511" t="s">
        <v>88</v>
      </c>
      <c r="AH511" t="s">
        <v>155</v>
      </c>
    </row>
    <row r="512" spans="19:34" ht="16.2" customHeight="1" x14ac:dyDescent="0.3">
      <c r="T512" t="s">
        <v>157</v>
      </c>
      <c r="U512" t="s">
        <v>155</v>
      </c>
      <c r="V512" t="s">
        <v>155</v>
      </c>
      <c r="W512" t="s">
        <v>155</v>
      </c>
      <c r="X512" t="s">
        <v>88</v>
      </c>
      <c r="Y512" t="s">
        <v>155</v>
      </c>
      <c r="AC512" t="s">
        <v>157</v>
      </c>
      <c r="AD512" t="s">
        <v>155</v>
      </c>
      <c r="AE512" t="s">
        <v>155</v>
      </c>
      <c r="AF512" t="s">
        <v>155</v>
      </c>
      <c r="AG512" t="s">
        <v>88</v>
      </c>
      <c r="AH512" t="s">
        <v>155</v>
      </c>
    </row>
    <row r="513" spans="19:34" ht="16.2" customHeight="1" x14ac:dyDescent="0.3">
      <c r="T513" t="s">
        <v>158</v>
      </c>
      <c r="U513" t="s">
        <v>155</v>
      </c>
      <c r="V513" t="s">
        <v>155</v>
      </c>
      <c r="W513" t="s">
        <v>155</v>
      </c>
      <c r="X513" t="s">
        <v>155</v>
      </c>
      <c r="Y513" t="s">
        <v>155</v>
      </c>
      <c r="AC513" t="s">
        <v>158</v>
      </c>
      <c r="AD513" t="s">
        <v>155</v>
      </c>
      <c r="AE513" t="s">
        <v>155</v>
      </c>
      <c r="AF513" t="s">
        <v>155</v>
      </c>
      <c r="AG513" t="s">
        <v>155</v>
      </c>
      <c r="AH513" t="s">
        <v>155</v>
      </c>
    </row>
    <row r="514" spans="19:34" ht="16.2" customHeight="1" x14ac:dyDescent="0.3">
      <c r="T514" t="s">
        <v>159</v>
      </c>
      <c r="U514" t="s">
        <v>155</v>
      </c>
      <c r="V514" t="s">
        <v>155</v>
      </c>
      <c r="W514" t="s">
        <v>155</v>
      </c>
      <c r="X514" t="s">
        <v>155</v>
      </c>
      <c r="Y514" t="s">
        <v>155</v>
      </c>
      <c r="AC514" t="s">
        <v>159</v>
      </c>
      <c r="AD514" t="s">
        <v>155</v>
      </c>
      <c r="AE514" t="s">
        <v>155</v>
      </c>
      <c r="AF514" t="s">
        <v>155</v>
      </c>
      <c r="AG514" t="s">
        <v>155</v>
      </c>
      <c r="AH514" t="s">
        <v>155</v>
      </c>
    </row>
    <row r="515" spans="19:34" ht="16.2" customHeight="1" x14ac:dyDescent="0.3">
      <c r="T515" t="s">
        <v>160</v>
      </c>
      <c r="U515" t="s">
        <v>155</v>
      </c>
      <c r="V515" t="s">
        <v>155</v>
      </c>
      <c r="W515" t="s">
        <v>155</v>
      </c>
      <c r="X515" t="s">
        <v>155</v>
      </c>
      <c r="Y515" t="s">
        <v>155</v>
      </c>
      <c r="AC515" t="s">
        <v>160</v>
      </c>
      <c r="AD515" t="s">
        <v>155</v>
      </c>
      <c r="AE515" t="s">
        <v>155</v>
      </c>
      <c r="AF515" t="s">
        <v>155</v>
      </c>
      <c r="AG515" t="s">
        <v>155</v>
      </c>
      <c r="AH515" t="s">
        <v>155</v>
      </c>
    </row>
    <row r="516" spans="19:34" ht="16.2" customHeight="1" x14ac:dyDescent="0.3">
      <c r="T516" t="s">
        <v>169</v>
      </c>
      <c r="U516" t="s">
        <v>155</v>
      </c>
      <c r="V516" t="s">
        <v>155</v>
      </c>
      <c r="W516" t="s">
        <v>155</v>
      </c>
      <c r="X516" t="s">
        <v>155</v>
      </c>
      <c r="Y516" t="s">
        <v>155</v>
      </c>
      <c r="AC516" t="s">
        <v>169</v>
      </c>
      <c r="AD516" t="s">
        <v>155</v>
      </c>
      <c r="AE516" t="s">
        <v>155</v>
      </c>
      <c r="AF516" t="s">
        <v>155</v>
      </c>
      <c r="AG516" t="s">
        <v>155</v>
      </c>
      <c r="AH516" t="s">
        <v>155</v>
      </c>
    </row>
    <row r="517" spans="19:34" ht="16.2" customHeight="1" x14ac:dyDescent="0.3">
      <c r="T517" t="s">
        <v>170</v>
      </c>
      <c r="U517" t="s">
        <v>155</v>
      </c>
      <c r="V517" t="s">
        <v>155</v>
      </c>
      <c r="W517" t="s">
        <v>155</v>
      </c>
      <c r="X517" t="s">
        <v>155</v>
      </c>
      <c r="Y517" t="s">
        <v>155</v>
      </c>
      <c r="AC517" t="s">
        <v>170</v>
      </c>
      <c r="AD517" t="s">
        <v>155</v>
      </c>
      <c r="AE517" t="s">
        <v>155</v>
      </c>
      <c r="AF517" t="s">
        <v>155</v>
      </c>
      <c r="AG517" t="s">
        <v>155</v>
      </c>
      <c r="AH517" t="s">
        <v>155</v>
      </c>
    </row>
    <row r="518" spans="19:34" ht="16.2" customHeight="1" x14ac:dyDescent="0.3">
      <c r="T518" t="s">
        <v>171</v>
      </c>
      <c r="U518" t="s">
        <v>155</v>
      </c>
      <c r="V518" t="s">
        <v>155</v>
      </c>
      <c r="W518" t="s">
        <v>155</v>
      </c>
      <c r="X518" t="s">
        <v>155</v>
      </c>
      <c r="Y518" t="s">
        <v>155</v>
      </c>
      <c r="AC518" t="s">
        <v>171</v>
      </c>
      <c r="AD518" t="s">
        <v>155</v>
      </c>
      <c r="AE518" t="s">
        <v>155</v>
      </c>
      <c r="AF518" t="s">
        <v>155</v>
      </c>
      <c r="AG518" t="s">
        <v>155</v>
      </c>
      <c r="AH518" t="s">
        <v>155</v>
      </c>
    </row>
    <row r="519" spans="19:34" ht="16.2" customHeight="1" x14ac:dyDescent="0.3">
      <c r="T519" t="s">
        <v>172</v>
      </c>
      <c r="U519" t="s">
        <v>155</v>
      </c>
      <c r="V519" t="s">
        <v>155</v>
      </c>
      <c r="W519" t="s">
        <v>155</v>
      </c>
      <c r="X519" t="s">
        <v>155</v>
      </c>
      <c r="Y519" t="s">
        <v>155</v>
      </c>
      <c r="AC519" t="s">
        <v>172</v>
      </c>
      <c r="AD519" t="s">
        <v>155</v>
      </c>
      <c r="AE519" t="s">
        <v>155</v>
      </c>
      <c r="AF519" t="s">
        <v>155</v>
      </c>
      <c r="AG519" t="s">
        <v>155</v>
      </c>
      <c r="AH519" t="s">
        <v>155</v>
      </c>
    </row>
    <row r="521" spans="19:34" ht="16.2" customHeight="1" x14ac:dyDescent="0.3">
      <c r="S521" s="15" t="s">
        <v>134</v>
      </c>
      <c r="T521" t="s">
        <v>216</v>
      </c>
      <c r="AB521" s="15" t="s">
        <v>134</v>
      </c>
      <c r="AC521" t="s">
        <v>216</v>
      </c>
    </row>
    <row r="522" spans="19:34" ht="16.2" customHeight="1" x14ac:dyDescent="0.3">
      <c r="U522" t="s">
        <v>164</v>
      </c>
      <c r="V522" t="s">
        <v>165</v>
      </c>
      <c r="W522" t="s">
        <v>166</v>
      </c>
      <c r="X522" t="s">
        <v>167</v>
      </c>
      <c r="Y522" t="s">
        <v>168</v>
      </c>
      <c r="AD522" t="s">
        <v>164</v>
      </c>
      <c r="AE522" t="s">
        <v>165</v>
      </c>
      <c r="AF522" t="s">
        <v>166</v>
      </c>
      <c r="AG522" t="s">
        <v>167</v>
      </c>
      <c r="AH522" t="s">
        <v>168</v>
      </c>
    </row>
    <row r="523" spans="19:34" ht="16.2" customHeight="1" x14ac:dyDescent="0.3">
      <c r="T523" t="s">
        <v>154</v>
      </c>
      <c r="U523" t="s">
        <v>155</v>
      </c>
      <c r="V523" t="s">
        <v>155</v>
      </c>
      <c r="W523" t="s">
        <v>90</v>
      </c>
      <c r="X523" t="s">
        <v>155</v>
      </c>
      <c r="Y523" t="s">
        <v>90</v>
      </c>
      <c r="AC523" t="s">
        <v>154</v>
      </c>
      <c r="AD523" t="s">
        <v>155</v>
      </c>
      <c r="AE523" t="s">
        <v>155</v>
      </c>
      <c r="AF523" t="s">
        <v>90</v>
      </c>
      <c r="AG523" t="s">
        <v>155</v>
      </c>
      <c r="AH523" t="s">
        <v>90</v>
      </c>
    </row>
    <row r="524" spans="19:34" ht="16.2" customHeight="1" x14ac:dyDescent="0.3">
      <c r="T524" t="s">
        <v>156</v>
      </c>
      <c r="U524" t="s">
        <v>155</v>
      </c>
      <c r="V524" t="s">
        <v>155</v>
      </c>
      <c r="W524" t="s">
        <v>90</v>
      </c>
      <c r="X524" t="s">
        <v>155</v>
      </c>
      <c r="Y524" t="s">
        <v>90</v>
      </c>
      <c r="AC524" t="s">
        <v>156</v>
      </c>
      <c r="AD524" t="s">
        <v>155</v>
      </c>
      <c r="AE524" t="s">
        <v>155</v>
      </c>
      <c r="AF524" t="s">
        <v>90</v>
      </c>
      <c r="AG524" t="s">
        <v>155</v>
      </c>
      <c r="AH524" t="s">
        <v>90</v>
      </c>
    </row>
    <row r="525" spans="19:34" ht="16.2" customHeight="1" x14ac:dyDescent="0.3">
      <c r="T525" t="s">
        <v>157</v>
      </c>
      <c r="U525" t="s">
        <v>155</v>
      </c>
      <c r="V525" t="s">
        <v>155</v>
      </c>
      <c r="W525" t="s">
        <v>155</v>
      </c>
      <c r="X525" t="s">
        <v>155</v>
      </c>
      <c r="Y525" t="s">
        <v>155</v>
      </c>
      <c r="AC525" t="s">
        <v>157</v>
      </c>
      <c r="AD525" t="s">
        <v>155</v>
      </c>
      <c r="AE525" t="s">
        <v>155</v>
      </c>
      <c r="AF525" t="s">
        <v>155</v>
      </c>
      <c r="AG525" t="s">
        <v>155</v>
      </c>
      <c r="AH525" t="s">
        <v>155</v>
      </c>
    </row>
    <row r="526" spans="19:34" ht="16.2" customHeight="1" x14ac:dyDescent="0.3">
      <c r="T526" t="s">
        <v>158</v>
      </c>
      <c r="U526" t="s">
        <v>155</v>
      </c>
      <c r="V526" t="s">
        <v>155</v>
      </c>
      <c r="W526" t="s">
        <v>155</v>
      </c>
      <c r="X526" t="s">
        <v>155</v>
      </c>
      <c r="Y526" t="s">
        <v>155</v>
      </c>
      <c r="AC526" t="s">
        <v>158</v>
      </c>
      <c r="AD526" t="s">
        <v>155</v>
      </c>
      <c r="AE526" t="s">
        <v>155</v>
      </c>
      <c r="AF526" t="s">
        <v>155</v>
      </c>
      <c r="AG526" t="s">
        <v>155</v>
      </c>
      <c r="AH526" t="s">
        <v>155</v>
      </c>
    </row>
    <row r="527" spans="19:34" ht="16.2" customHeight="1" x14ac:dyDescent="0.3">
      <c r="T527" t="s">
        <v>159</v>
      </c>
      <c r="U527" t="s">
        <v>155</v>
      </c>
      <c r="V527" t="s">
        <v>155</v>
      </c>
      <c r="W527" t="s">
        <v>155</v>
      </c>
      <c r="X527" t="s">
        <v>155</v>
      </c>
      <c r="Y527" t="s">
        <v>155</v>
      </c>
      <c r="AC527" t="s">
        <v>159</v>
      </c>
      <c r="AD527" t="s">
        <v>155</v>
      </c>
      <c r="AE527" t="s">
        <v>155</v>
      </c>
      <c r="AF527" t="s">
        <v>155</v>
      </c>
      <c r="AG527" t="s">
        <v>155</v>
      </c>
      <c r="AH527" t="s">
        <v>155</v>
      </c>
    </row>
    <row r="528" spans="19:34" ht="16.2" customHeight="1" x14ac:dyDescent="0.3">
      <c r="T528" t="s">
        <v>160</v>
      </c>
      <c r="U528" t="s">
        <v>155</v>
      </c>
      <c r="V528" t="s">
        <v>155</v>
      </c>
      <c r="W528" t="s">
        <v>155</v>
      </c>
      <c r="X528" t="s">
        <v>155</v>
      </c>
      <c r="Y528" t="s">
        <v>155</v>
      </c>
      <c r="AC528" t="s">
        <v>160</v>
      </c>
      <c r="AD528" t="s">
        <v>155</v>
      </c>
      <c r="AE528" t="s">
        <v>155</v>
      </c>
      <c r="AF528" t="s">
        <v>155</v>
      </c>
      <c r="AG528" t="s">
        <v>155</v>
      </c>
      <c r="AH528" t="s">
        <v>155</v>
      </c>
    </row>
    <row r="529" spans="19:34" ht="16.2" customHeight="1" x14ac:dyDescent="0.3">
      <c r="T529" t="s">
        <v>169</v>
      </c>
      <c r="U529" t="s">
        <v>155</v>
      </c>
      <c r="V529" t="s">
        <v>155</v>
      </c>
      <c r="W529" t="s">
        <v>155</v>
      </c>
      <c r="X529" t="s">
        <v>155</v>
      </c>
      <c r="Y529" t="s">
        <v>155</v>
      </c>
      <c r="AC529" t="s">
        <v>169</v>
      </c>
      <c r="AD529" t="s">
        <v>155</v>
      </c>
      <c r="AE529" t="s">
        <v>155</v>
      </c>
      <c r="AF529" t="s">
        <v>155</v>
      </c>
      <c r="AG529" t="s">
        <v>155</v>
      </c>
      <c r="AH529" t="s">
        <v>155</v>
      </c>
    </row>
    <row r="530" spans="19:34" ht="16.2" customHeight="1" x14ac:dyDescent="0.3">
      <c r="T530" t="s">
        <v>170</v>
      </c>
      <c r="U530" t="s">
        <v>155</v>
      </c>
      <c r="V530" t="s">
        <v>155</v>
      </c>
      <c r="W530" t="s">
        <v>155</v>
      </c>
      <c r="X530" t="s">
        <v>155</v>
      </c>
      <c r="Y530" t="s">
        <v>155</v>
      </c>
      <c r="AC530" t="s">
        <v>170</v>
      </c>
      <c r="AD530" t="s">
        <v>155</v>
      </c>
      <c r="AE530" t="s">
        <v>155</v>
      </c>
      <c r="AF530" t="s">
        <v>155</v>
      </c>
      <c r="AG530" t="s">
        <v>155</v>
      </c>
      <c r="AH530" t="s">
        <v>155</v>
      </c>
    </row>
    <row r="531" spans="19:34" ht="16.2" customHeight="1" x14ac:dyDescent="0.3">
      <c r="T531" t="s">
        <v>171</v>
      </c>
      <c r="U531" t="s">
        <v>155</v>
      </c>
      <c r="V531" t="s">
        <v>155</v>
      </c>
      <c r="W531" t="s">
        <v>155</v>
      </c>
      <c r="X531" t="s">
        <v>155</v>
      </c>
      <c r="Y531" t="s">
        <v>155</v>
      </c>
      <c r="AC531" t="s">
        <v>171</v>
      </c>
      <c r="AD531" t="s">
        <v>155</v>
      </c>
      <c r="AE531" t="s">
        <v>155</v>
      </c>
      <c r="AF531" t="s">
        <v>155</v>
      </c>
      <c r="AG531" t="s">
        <v>155</v>
      </c>
      <c r="AH531" t="s">
        <v>155</v>
      </c>
    </row>
    <row r="532" spans="19:34" ht="16.2" customHeight="1" x14ac:dyDescent="0.3">
      <c r="T532" t="s">
        <v>172</v>
      </c>
      <c r="U532" t="s">
        <v>155</v>
      </c>
      <c r="V532" t="s">
        <v>155</v>
      </c>
      <c r="W532" t="s">
        <v>155</v>
      </c>
      <c r="X532" t="s">
        <v>155</v>
      </c>
      <c r="Y532" t="s">
        <v>155</v>
      </c>
      <c r="AC532" t="s">
        <v>172</v>
      </c>
      <c r="AD532" t="s">
        <v>155</v>
      </c>
      <c r="AE532" t="s">
        <v>155</v>
      </c>
      <c r="AF532" t="s">
        <v>155</v>
      </c>
      <c r="AG532" t="s">
        <v>155</v>
      </c>
      <c r="AH532" t="s">
        <v>155</v>
      </c>
    </row>
    <row r="534" spans="19:34" ht="16.2" customHeight="1" x14ac:dyDescent="0.3">
      <c r="S534" s="15" t="s">
        <v>135</v>
      </c>
      <c r="T534" t="s">
        <v>217</v>
      </c>
      <c r="AB534" s="15" t="s">
        <v>135</v>
      </c>
      <c r="AC534" t="s">
        <v>217</v>
      </c>
    </row>
    <row r="535" spans="19:34" ht="16.2" customHeight="1" x14ac:dyDescent="0.3">
      <c r="U535" t="s">
        <v>164</v>
      </c>
      <c r="V535" t="s">
        <v>165</v>
      </c>
      <c r="W535" t="s">
        <v>166</v>
      </c>
      <c r="X535" t="s">
        <v>167</v>
      </c>
      <c r="Y535" t="s">
        <v>168</v>
      </c>
      <c r="AD535" t="s">
        <v>164</v>
      </c>
      <c r="AE535" t="s">
        <v>165</v>
      </c>
      <c r="AF535" t="s">
        <v>166</v>
      </c>
      <c r="AG535" t="s">
        <v>167</v>
      </c>
      <c r="AH535" t="s">
        <v>168</v>
      </c>
    </row>
    <row r="536" spans="19:34" ht="16.2" customHeight="1" x14ac:dyDescent="0.3">
      <c r="T536" t="s">
        <v>154</v>
      </c>
      <c r="U536" t="s">
        <v>91</v>
      </c>
      <c r="V536" t="s">
        <v>155</v>
      </c>
      <c r="W536" t="s">
        <v>155</v>
      </c>
      <c r="X536" t="s">
        <v>155</v>
      </c>
      <c r="Y536" t="s">
        <v>91</v>
      </c>
      <c r="AC536" t="s">
        <v>154</v>
      </c>
      <c r="AD536" t="s">
        <v>155</v>
      </c>
      <c r="AE536" t="s">
        <v>155</v>
      </c>
      <c r="AF536" t="s">
        <v>155</v>
      </c>
      <c r="AG536" t="s">
        <v>155</v>
      </c>
      <c r="AH536" t="s">
        <v>91</v>
      </c>
    </row>
    <row r="537" spans="19:34" ht="16.2" customHeight="1" x14ac:dyDescent="0.3">
      <c r="T537" t="s">
        <v>156</v>
      </c>
      <c r="U537" t="s">
        <v>91</v>
      </c>
      <c r="V537" t="s">
        <v>155</v>
      </c>
      <c r="W537" t="s">
        <v>155</v>
      </c>
      <c r="X537" t="s">
        <v>155</v>
      </c>
      <c r="Y537" t="s">
        <v>91</v>
      </c>
      <c r="AC537" t="s">
        <v>156</v>
      </c>
      <c r="AD537" t="s">
        <v>155</v>
      </c>
      <c r="AE537" t="s">
        <v>155</v>
      </c>
      <c r="AF537" t="s">
        <v>155</v>
      </c>
      <c r="AG537" t="s">
        <v>155</v>
      </c>
      <c r="AH537" t="s">
        <v>91</v>
      </c>
    </row>
    <row r="538" spans="19:34" ht="16.2" customHeight="1" x14ac:dyDescent="0.3">
      <c r="T538" t="s">
        <v>157</v>
      </c>
      <c r="U538" t="s">
        <v>91</v>
      </c>
      <c r="V538" t="s">
        <v>155</v>
      </c>
      <c r="W538" t="s">
        <v>155</v>
      </c>
      <c r="X538" t="s">
        <v>91</v>
      </c>
      <c r="Y538" t="s">
        <v>155</v>
      </c>
      <c r="AC538" t="s">
        <v>157</v>
      </c>
      <c r="AD538" t="s">
        <v>91</v>
      </c>
      <c r="AE538" t="s">
        <v>155</v>
      </c>
      <c r="AF538" t="s">
        <v>155</v>
      </c>
      <c r="AG538" t="s">
        <v>155</v>
      </c>
      <c r="AH538" t="s">
        <v>155</v>
      </c>
    </row>
    <row r="539" spans="19:34" ht="16.2" customHeight="1" x14ac:dyDescent="0.3">
      <c r="T539" t="s">
        <v>158</v>
      </c>
      <c r="U539" t="s">
        <v>91</v>
      </c>
      <c r="V539" t="s">
        <v>155</v>
      </c>
      <c r="W539" t="s">
        <v>155</v>
      </c>
      <c r="X539" t="s">
        <v>91</v>
      </c>
      <c r="Y539" t="s">
        <v>155</v>
      </c>
      <c r="AC539" t="s">
        <v>158</v>
      </c>
      <c r="AD539" t="s">
        <v>91</v>
      </c>
      <c r="AE539" t="s">
        <v>155</v>
      </c>
      <c r="AF539" t="s">
        <v>155</v>
      </c>
      <c r="AG539" t="s">
        <v>155</v>
      </c>
      <c r="AH539" t="s">
        <v>155</v>
      </c>
    </row>
    <row r="540" spans="19:34" ht="16.2" customHeight="1" x14ac:dyDescent="0.3">
      <c r="T540" t="s">
        <v>159</v>
      </c>
      <c r="U540" t="s">
        <v>155</v>
      </c>
      <c r="V540" t="s">
        <v>155</v>
      </c>
      <c r="W540" t="s">
        <v>155</v>
      </c>
      <c r="X540" t="s">
        <v>155</v>
      </c>
      <c r="Y540" t="s">
        <v>155</v>
      </c>
      <c r="AC540" t="s">
        <v>159</v>
      </c>
      <c r="AD540" t="s">
        <v>91</v>
      </c>
      <c r="AE540" t="s">
        <v>155</v>
      </c>
      <c r="AF540" t="s">
        <v>155</v>
      </c>
      <c r="AG540" t="s">
        <v>91</v>
      </c>
      <c r="AH540" t="s">
        <v>155</v>
      </c>
    </row>
    <row r="541" spans="19:34" ht="16.2" customHeight="1" x14ac:dyDescent="0.3">
      <c r="T541" t="s">
        <v>160</v>
      </c>
      <c r="U541" t="s">
        <v>155</v>
      </c>
      <c r="V541" t="s">
        <v>155</v>
      </c>
      <c r="W541" t="s">
        <v>155</v>
      </c>
      <c r="X541" t="s">
        <v>155</v>
      </c>
      <c r="Y541" t="s">
        <v>155</v>
      </c>
      <c r="AC541" t="s">
        <v>160</v>
      </c>
      <c r="AD541" t="s">
        <v>91</v>
      </c>
      <c r="AE541" t="s">
        <v>155</v>
      </c>
      <c r="AF541" t="s">
        <v>155</v>
      </c>
      <c r="AG541" t="s">
        <v>91</v>
      </c>
      <c r="AH541" t="s">
        <v>155</v>
      </c>
    </row>
    <row r="542" spans="19:34" ht="16.2" customHeight="1" x14ac:dyDescent="0.3">
      <c r="T542" t="s">
        <v>169</v>
      </c>
      <c r="U542" t="s">
        <v>155</v>
      </c>
      <c r="V542" t="s">
        <v>155</v>
      </c>
      <c r="W542" t="s">
        <v>155</v>
      </c>
      <c r="X542" t="s">
        <v>155</v>
      </c>
      <c r="Y542" t="s">
        <v>155</v>
      </c>
      <c r="AC542" t="s">
        <v>169</v>
      </c>
      <c r="AD542" t="s">
        <v>155</v>
      </c>
      <c r="AE542" t="s">
        <v>155</v>
      </c>
      <c r="AF542" t="s">
        <v>155</v>
      </c>
      <c r="AG542" t="s">
        <v>155</v>
      </c>
      <c r="AH542" t="s">
        <v>155</v>
      </c>
    </row>
    <row r="543" spans="19:34" ht="16.2" customHeight="1" x14ac:dyDescent="0.3">
      <c r="T543" t="s">
        <v>170</v>
      </c>
      <c r="U543" t="s">
        <v>155</v>
      </c>
      <c r="V543" t="s">
        <v>155</v>
      </c>
      <c r="W543" t="s">
        <v>155</v>
      </c>
      <c r="X543" t="s">
        <v>155</v>
      </c>
      <c r="Y543" t="s">
        <v>155</v>
      </c>
      <c r="AC543" t="s">
        <v>170</v>
      </c>
      <c r="AD543" t="s">
        <v>155</v>
      </c>
      <c r="AE543" t="s">
        <v>155</v>
      </c>
      <c r="AF543" t="s">
        <v>155</v>
      </c>
      <c r="AG543" t="s">
        <v>155</v>
      </c>
      <c r="AH543" t="s">
        <v>155</v>
      </c>
    </row>
    <row r="544" spans="19:34" ht="16.2" customHeight="1" x14ac:dyDescent="0.3">
      <c r="T544" t="s">
        <v>171</v>
      </c>
      <c r="U544" t="s">
        <v>155</v>
      </c>
      <c r="V544" t="s">
        <v>155</v>
      </c>
      <c r="W544" t="s">
        <v>155</v>
      </c>
      <c r="X544" t="s">
        <v>155</v>
      </c>
      <c r="Y544" t="s">
        <v>155</v>
      </c>
      <c r="AC544" t="s">
        <v>171</v>
      </c>
      <c r="AD544" t="s">
        <v>155</v>
      </c>
      <c r="AE544" t="s">
        <v>155</v>
      </c>
      <c r="AF544" t="s">
        <v>155</v>
      </c>
      <c r="AG544" t="s">
        <v>155</v>
      </c>
      <c r="AH544" t="s">
        <v>155</v>
      </c>
    </row>
    <row r="545" spans="19:34" ht="16.2" customHeight="1" x14ac:dyDescent="0.3">
      <c r="T545" t="s">
        <v>172</v>
      </c>
      <c r="U545" t="s">
        <v>155</v>
      </c>
      <c r="V545" t="s">
        <v>155</v>
      </c>
      <c r="W545" t="s">
        <v>155</v>
      </c>
      <c r="X545" t="s">
        <v>155</v>
      </c>
      <c r="Y545" t="s">
        <v>155</v>
      </c>
      <c r="AC545" t="s">
        <v>172</v>
      </c>
      <c r="AD545" t="s">
        <v>155</v>
      </c>
      <c r="AE545" t="s">
        <v>155</v>
      </c>
      <c r="AF545" t="s">
        <v>155</v>
      </c>
      <c r="AG545" t="s">
        <v>155</v>
      </c>
      <c r="AH545" t="s">
        <v>155</v>
      </c>
    </row>
    <row r="547" spans="19:34" ht="16.2" customHeight="1" x14ac:dyDescent="0.3">
      <c r="S547" s="15" t="s">
        <v>136</v>
      </c>
      <c r="T547" t="s">
        <v>218</v>
      </c>
      <c r="AB547" s="15" t="s">
        <v>136</v>
      </c>
      <c r="AC547" t="s">
        <v>218</v>
      </c>
    </row>
    <row r="548" spans="19:34" ht="16.2" customHeight="1" x14ac:dyDescent="0.3">
      <c r="U548" t="s">
        <v>164</v>
      </c>
      <c r="V548" t="s">
        <v>165</v>
      </c>
      <c r="W548" t="s">
        <v>166</v>
      </c>
      <c r="X548" t="s">
        <v>167</v>
      </c>
      <c r="Y548" t="s">
        <v>168</v>
      </c>
      <c r="AD548" t="s">
        <v>164</v>
      </c>
      <c r="AE548" t="s">
        <v>165</v>
      </c>
      <c r="AF548" t="s">
        <v>166</v>
      </c>
      <c r="AG548" t="s">
        <v>167</v>
      </c>
      <c r="AH548" t="s">
        <v>168</v>
      </c>
    </row>
    <row r="549" spans="19:34" ht="16.2" customHeight="1" x14ac:dyDescent="0.3">
      <c r="T549" t="s">
        <v>154</v>
      </c>
      <c r="U549" t="s">
        <v>155</v>
      </c>
      <c r="V549" t="s">
        <v>155</v>
      </c>
      <c r="W549" t="s">
        <v>155</v>
      </c>
      <c r="X549" t="s">
        <v>155</v>
      </c>
      <c r="Y549" t="s">
        <v>155</v>
      </c>
      <c r="AC549" t="s">
        <v>154</v>
      </c>
      <c r="AD549" t="s">
        <v>155</v>
      </c>
      <c r="AE549" t="s">
        <v>155</v>
      </c>
      <c r="AF549" t="s">
        <v>155</v>
      </c>
      <c r="AG549" t="s">
        <v>155</v>
      </c>
      <c r="AH549" t="s">
        <v>155</v>
      </c>
    </row>
    <row r="550" spans="19:34" ht="16.2" customHeight="1" x14ac:dyDescent="0.3">
      <c r="T550" t="s">
        <v>156</v>
      </c>
      <c r="U550" t="s">
        <v>155</v>
      </c>
      <c r="V550" t="s">
        <v>155</v>
      </c>
      <c r="W550" t="s">
        <v>155</v>
      </c>
      <c r="X550" t="s">
        <v>155</v>
      </c>
      <c r="Y550" t="s">
        <v>155</v>
      </c>
      <c r="AC550" t="s">
        <v>156</v>
      </c>
      <c r="AD550" t="s">
        <v>155</v>
      </c>
      <c r="AE550" t="s">
        <v>155</v>
      </c>
      <c r="AF550" t="s">
        <v>155</v>
      </c>
      <c r="AG550" t="s">
        <v>155</v>
      </c>
      <c r="AH550" t="s">
        <v>155</v>
      </c>
    </row>
    <row r="551" spans="19:34" ht="16.2" customHeight="1" x14ac:dyDescent="0.3">
      <c r="T551" t="s">
        <v>157</v>
      </c>
      <c r="U551" t="s">
        <v>155</v>
      </c>
      <c r="V551" t="s">
        <v>155</v>
      </c>
      <c r="W551" t="s">
        <v>155</v>
      </c>
      <c r="X551" t="s">
        <v>155</v>
      </c>
      <c r="Y551" t="s">
        <v>155</v>
      </c>
      <c r="AC551" t="s">
        <v>157</v>
      </c>
      <c r="AD551" t="s">
        <v>155</v>
      </c>
      <c r="AE551" t="s">
        <v>155</v>
      </c>
      <c r="AF551" t="s">
        <v>155</v>
      </c>
      <c r="AG551" t="s">
        <v>155</v>
      </c>
      <c r="AH551" t="s">
        <v>155</v>
      </c>
    </row>
    <row r="552" spans="19:34" ht="16.2" customHeight="1" x14ac:dyDescent="0.3">
      <c r="T552" t="s">
        <v>158</v>
      </c>
      <c r="U552" t="s">
        <v>155</v>
      </c>
      <c r="V552" t="s">
        <v>155</v>
      </c>
      <c r="W552" t="s">
        <v>155</v>
      </c>
      <c r="X552" t="s">
        <v>155</v>
      </c>
      <c r="Y552" t="s">
        <v>155</v>
      </c>
      <c r="AC552" t="s">
        <v>158</v>
      </c>
      <c r="AD552" t="s">
        <v>155</v>
      </c>
      <c r="AE552" t="s">
        <v>155</v>
      </c>
      <c r="AF552" t="s">
        <v>155</v>
      </c>
      <c r="AG552" t="s">
        <v>155</v>
      </c>
      <c r="AH552" t="s">
        <v>155</v>
      </c>
    </row>
    <row r="553" spans="19:34" ht="16.2" customHeight="1" x14ac:dyDescent="0.3">
      <c r="T553" t="s">
        <v>159</v>
      </c>
      <c r="U553" t="s">
        <v>155</v>
      </c>
      <c r="V553" t="s">
        <v>155</v>
      </c>
      <c r="W553" t="s">
        <v>155</v>
      </c>
      <c r="X553" t="s">
        <v>155</v>
      </c>
      <c r="Y553" t="s">
        <v>92</v>
      </c>
      <c r="AC553" t="s">
        <v>159</v>
      </c>
      <c r="AD553" t="s">
        <v>155</v>
      </c>
      <c r="AE553" t="s">
        <v>155</v>
      </c>
      <c r="AF553" t="s">
        <v>155</v>
      </c>
      <c r="AG553" t="s">
        <v>155</v>
      </c>
      <c r="AH553" t="s">
        <v>92</v>
      </c>
    </row>
    <row r="554" spans="19:34" ht="16.2" customHeight="1" x14ac:dyDescent="0.3">
      <c r="T554" t="s">
        <v>160</v>
      </c>
      <c r="U554" t="s">
        <v>155</v>
      </c>
      <c r="V554" t="s">
        <v>155</v>
      </c>
      <c r="W554" t="s">
        <v>155</v>
      </c>
      <c r="X554" t="s">
        <v>155</v>
      </c>
      <c r="Y554" t="s">
        <v>92</v>
      </c>
      <c r="AC554" t="s">
        <v>160</v>
      </c>
      <c r="AD554" t="s">
        <v>155</v>
      </c>
      <c r="AE554" t="s">
        <v>155</v>
      </c>
      <c r="AF554" t="s">
        <v>155</v>
      </c>
      <c r="AG554" t="s">
        <v>155</v>
      </c>
      <c r="AH554" t="s">
        <v>92</v>
      </c>
    </row>
    <row r="555" spans="19:34" ht="16.2" customHeight="1" x14ac:dyDescent="0.3">
      <c r="T555" t="s">
        <v>169</v>
      </c>
      <c r="U555" t="s">
        <v>155</v>
      </c>
      <c r="V555" t="s">
        <v>155</v>
      </c>
      <c r="W555" t="s">
        <v>155</v>
      </c>
      <c r="X555" t="s">
        <v>155</v>
      </c>
      <c r="Y555" t="s">
        <v>155</v>
      </c>
      <c r="AC555" t="s">
        <v>169</v>
      </c>
      <c r="AD555" t="s">
        <v>155</v>
      </c>
      <c r="AE555" t="s">
        <v>155</v>
      </c>
      <c r="AF555" t="s">
        <v>155</v>
      </c>
      <c r="AG555" t="s">
        <v>155</v>
      </c>
      <c r="AH555" t="s">
        <v>155</v>
      </c>
    </row>
    <row r="556" spans="19:34" ht="16.2" customHeight="1" x14ac:dyDescent="0.3">
      <c r="T556" t="s">
        <v>170</v>
      </c>
      <c r="U556" t="s">
        <v>155</v>
      </c>
      <c r="V556" t="s">
        <v>155</v>
      </c>
      <c r="W556" t="s">
        <v>155</v>
      </c>
      <c r="X556" t="s">
        <v>155</v>
      </c>
      <c r="Y556" t="s">
        <v>155</v>
      </c>
      <c r="AC556" t="s">
        <v>170</v>
      </c>
      <c r="AD556" t="s">
        <v>155</v>
      </c>
      <c r="AE556" t="s">
        <v>155</v>
      </c>
      <c r="AF556" t="s">
        <v>155</v>
      </c>
      <c r="AG556" t="s">
        <v>155</v>
      </c>
      <c r="AH556" t="s">
        <v>155</v>
      </c>
    </row>
    <row r="557" spans="19:34" ht="16.2" customHeight="1" x14ac:dyDescent="0.3">
      <c r="T557" t="s">
        <v>171</v>
      </c>
      <c r="U557" t="s">
        <v>155</v>
      </c>
      <c r="V557" t="s">
        <v>155</v>
      </c>
      <c r="W557" t="s">
        <v>155</v>
      </c>
      <c r="X557" t="s">
        <v>155</v>
      </c>
      <c r="Y557" t="s">
        <v>155</v>
      </c>
      <c r="AC557" t="s">
        <v>171</v>
      </c>
      <c r="AD557" t="s">
        <v>155</v>
      </c>
      <c r="AE557" t="s">
        <v>155</v>
      </c>
      <c r="AF557" t="s">
        <v>155</v>
      </c>
      <c r="AG557" t="s">
        <v>155</v>
      </c>
      <c r="AH557" t="s">
        <v>155</v>
      </c>
    </row>
    <row r="558" spans="19:34" ht="16.2" customHeight="1" x14ac:dyDescent="0.3">
      <c r="T558" t="s">
        <v>172</v>
      </c>
      <c r="U558" t="s">
        <v>155</v>
      </c>
      <c r="V558" t="s">
        <v>155</v>
      </c>
      <c r="W558" t="s">
        <v>155</v>
      </c>
      <c r="X558" t="s">
        <v>155</v>
      </c>
      <c r="Y558" t="s">
        <v>155</v>
      </c>
      <c r="AC558" t="s">
        <v>172</v>
      </c>
      <c r="AD558" t="s">
        <v>155</v>
      </c>
      <c r="AE558" t="s">
        <v>155</v>
      </c>
      <c r="AF558" t="s">
        <v>155</v>
      </c>
      <c r="AG558" t="s">
        <v>155</v>
      </c>
      <c r="AH558" t="s">
        <v>155</v>
      </c>
    </row>
    <row r="560" spans="19:34" ht="16.2" customHeight="1" x14ac:dyDescent="0.3">
      <c r="S560" s="15" t="s">
        <v>137</v>
      </c>
      <c r="T560" t="s">
        <v>219</v>
      </c>
      <c r="AB560" s="15" t="s">
        <v>137</v>
      </c>
      <c r="AC560" t="s">
        <v>219</v>
      </c>
    </row>
    <row r="561" spans="19:34" ht="16.2" customHeight="1" x14ac:dyDescent="0.3">
      <c r="U561" t="s">
        <v>164</v>
      </c>
      <c r="V561" t="s">
        <v>165</v>
      </c>
      <c r="W561" t="s">
        <v>166</v>
      </c>
      <c r="X561" t="s">
        <v>167</v>
      </c>
      <c r="Y561" t="s">
        <v>168</v>
      </c>
      <c r="AD561" t="s">
        <v>164</v>
      </c>
      <c r="AE561" t="s">
        <v>165</v>
      </c>
      <c r="AF561" t="s">
        <v>166</v>
      </c>
      <c r="AG561" t="s">
        <v>167</v>
      </c>
      <c r="AH561" t="s">
        <v>168</v>
      </c>
    </row>
    <row r="562" spans="19:34" ht="16.2" customHeight="1" x14ac:dyDescent="0.3">
      <c r="T562" t="s">
        <v>154</v>
      </c>
      <c r="U562" t="s">
        <v>155</v>
      </c>
      <c r="V562" t="s">
        <v>155</v>
      </c>
      <c r="W562" t="s">
        <v>155</v>
      </c>
      <c r="X562" t="s">
        <v>155</v>
      </c>
      <c r="Y562" t="s">
        <v>155</v>
      </c>
      <c r="AC562" t="s">
        <v>154</v>
      </c>
      <c r="AD562" t="s">
        <v>155</v>
      </c>
      <c r="AE562" t="s">
        <v>155</v>
      </c>
      <c r="AF562" t="s">
        <v>155</v>
      </c>
      <c r="AG562" t="s">
        <v>155</v>
      </c>
      <c r="AH562" t="s">
        <v>155</v>
      </c>
    </row>
    <row r="563" spans="19:34" ht="16.2" customHeight="1" x14ac:dyDescent="0.3">
      <c r="T563" t="s">
        <v>156</v>
      </c>
      <c r="U563" t="s">
        <v>155</v>
      </c>
      <c r="V563" t="s">
        <v>155</v>
      </c>
      <c r="W563" t="s">
        <v>155</v>
      </c>
      <c r="X563" t="s">
        <v>155</v>
      </c>
      <c r="Y563" t="s">
        <v>155</v>
      </c>
      <c r="AC563" t="s">
        <v>156</v>
      </c>
      <c r="AD563" t="s">
        <v>155</v>
      </c>
      <c r="AE563" t="s">
        <v>155</v>
      </c>
      <c r="AF563" t="s">
        <v>155</v>
      </c>
      <c r="AG563" t="s">
        <v>155</v>
      </c>
      <c r="AH563" t="s">
        <v>155</v>
      </c>
    </row>
    <row r="564" spans="19:34" ht="16.2" customHeight="1" x14ac:dyDescent="0.3">
      <c r="T564" t="s">
        <v>157</v>
      </c>
      <c r="U564" t="s">
        <v>155</v>
      </c>
      <c r="V564" t="s">
        <v>155</v>
      </c>
      <c r="W564" t="s">
        <v>92</v>
      </c>
      <c r="X564" t="s">
        <v>155</v>
      </c>
      <c r="Y564" t="s">
        <v>155</v>
      </c>
      <c r="AC564" t="s">
        <v>157</v>
      </c>
      <c r="AD564" t="s">
        <v>155</v>
      </c>
      <c r="AE564" t="s">
        <v>155</v>
      </c>
      <c r="AF564" t="s">
        <v>92</v>
      </c>
      <c r="AG564" t="s">
        <v>155</v>
      </c>
      <c r="AH564" t="s">
        <v>155</v>
      </c>
    </row>
    <row r="565" spans="19:34" ht="16.2" customHeight="1" x14ac:dyDescent="0.3">
      <c r="T565" t="s">
        <v>158</v>
      </c>
      <c r="U565" t="s">
        <v>155</v>
      </c>
      <c r="V565" t="s">
        <v>155</v>
      </c>
      <c r="W565" t="s">
        <v>92</v>
      </c>
      <c r="X565" t="s">
        <v>155</v>
      </c>
      <c r="Y565" t="s">
        <v>155</v>
      </c>
      <c r="AC565" t="s">
        <v>158</v>
      </c>
      <c r="AD565" t="s">
        <v>155</v>
      </c>
      <c r="AE565" t="s">
        <v>155</v>
      </c>
      <c r="AF565" t="s">
        <v>92</v>
      </c>
      <c r="AG565" t="s">
        <v>155</v>
      </c>
      <c r="AH565" t="s">
        <v>155</v>
      </c>
    </row>
    <row r="566" spans="19:34" ht="16.2" customHeight="1" x14ac:dyDescent="0.3">
      <c r="T566" t="s">
        <v>159</v>
      </c>
      <c r="U566" t="s">
        <v>155</v>
      </c>
      <c r="V566" t="s">
        <v>155</v>
      </c>
      <c r="W566" t="s">
        <v>92</v>
      </c>
      <c r="X566" t="s">
        <v>155</v>
      </c>
      <c r="Y566" t="s">
        <v>155</v>
      </c>
      <c r="AC566" t="s">
        <v>159</v>
      </c>
      <c r="AD566" t="s">
        <v>155</v>
      </c>
      <c r="AE566" t="s">
        <v>155</v>
      </c>
      <c r="AF566" t="s">
        <v>92</v>
      </c>
      <c r="AG566" t="s">
        <v>155</v>
      </c>
      <c r="AH566" t="s">
        <v>155</v>
      </c>
    </row>
    <row r="567" spans="19:34" ht="16.2" customHeight="1" x14ac:dyDescent="0.3">
      <c r="T567" t="s">
        <v>160</v>
      </c>
      <c r="U567" t="s">
        <v>155</v>
      </c>
      <c r="V567" t="s">
        <v>155</v>
      </c>
      <c r="W567" t="s">
        <v>155</v>
      </c>
      <c r="X567" t="s">
        <v>155</v>
      </c>
      <c r="Y567" t="s">
        <v>155</v>
      </c>
      <c r="AC567" t="s">
        <v>160</v>
      </c>
      <c r="AD567" t="s">
        <v>155</v>
      </c>
      <c r="AE567" t="s">
        <v>155</v>
      </c>
      <c r="AF567" t="s">
        <v>155</v>
      </c>
      <c r="AG567" t="s">
        <v>155</v>
      </c>
      <c r="AH567" t="s">
        <v>155</v>
      </c>
    </row>
    <row r="568" spans="19:34" ht="16.2" customHeight="1" x14ac:dyDescent="0.3">
      <c r="T568" t="s">
        <v>169</v>
      </c>
      <c r="U568" t="s">
        <v>155</v>
      </c>
      <c r="V568" t="s">
        <v>155</v>
      </c>
      <c r="W568" t="s">
        <v>155</v>
      </c>
      <c r="X568" t="s">
        <v>155</v>
      </c>
      <c r="Y568" t="s">
        <v>155</v>
      </c>
      <c r="AC568" t="s">
        <v>169</v>
      </c>
      <c r="AD568" t="s">
        <v>155</v>
      </c>
      <c r="AE568" t="s">
        <v>155</v>
      </c>
      <c r="AF568" t="s">
        <v>155</v>
      </c>
      <c r="AG568" t="s">
        <v>155</v>
      </c>
      <c r="AH568" t="s">
        <v>155</v>
      </c>
    </row>
    <row r="569" spans="19:34" ht="16.2" customHeight="1" x14ac:dyDescent="0.3">
      <c r="T569" t="s">
        <v>170</v>
      </c>
      <c r="U569" t="s">
        <v>155</v>
      </c>
      <c r="V569" t="s">
        <v>155</v>
      </c>
      <c r="W569" t="s">
        <v>155</v>
      </c>
      <c r="X569" t="s">
        <v>155</v>
      </c>
      <c r="Y569" t="s">
        <v>155</v>
      </c>
      <c r="AC569" t="s">
        <v>170</v>
      </c>
      <c r="AD569" t="s">
        <v>155</v>
      </c>
      <c r="AE569" t="s">
        <v>155</v>
      </c>
      <c r="AF569" t="s">
        <v>155</v>
      </c>
      <c r="AG569" t="s">
        <v>155</v>
      </c>
      <c r="AH569" t="s">
        <v>155</v>
      </c>
    </row>
    <row r="570" spans="19:34" ht="16.2" customHeight="1" x14ac:dyDescent="0.3">
      <c r="T570" t="s">
        <v>171</v>
      </c>
      <c r="U570" t="s">
        <v>155</v>
      </c>
      <c r="V570" t="s">
        <v>155</v>
      </c>
      <c r="W570" t="s">
        <v>155</v>
      </c>
      <c r="X570" t="s">
        <v>155</v>
      </c>
      <c r="Y570" t="s">
        <v>155</v>
      </c>
      <c r="AC570" t="s">
        <v>171</v>
      </c>
      <c r="AD570" t="s">
        <v>155</v>
      </c>
      <c r="AE570" t="s">
        <v>155</v>
      </c>
      <c r="AF570" t="s">
        <v>155</v>
      </c>
      <c r="AG570" t="s">
        <v>155</v>
      </c>
      <c r="AH570" t="s">
        <v>155</v>
      </c>
    </row>
    <row r="571" spans="19:34" ht="16.2" customHeight="1" x14ac:dyDescent="0.3">
      <c r="T571" t="s">
        <v>172</v>
      </c>
      <c r="U571" t="s">
        <v>155</v>
      </c>
      <c r="V571" t="s">
        <v>155</v>
      </c>
      <c r="W571" t="s">
        <v>155</v>
      </c>
      <c r="X571" t="s">
        <v>155</v>
      </c>
      <c r="Y571" t="s">
        <v>155</v>
      </c>
      <c r="AC571" t="s">
        <v>172</v>
      </c>
      <c r="AD571" t="s">
        <v>155</v>
      </c>
      <c r="AE571" t="s">
        <v>155</v>
      </c>
      <c r="AF571" t="s">
        <v>155</v>
      </c>
      <c r="AG571" t="s">
        <v>155</v>
      </c>
      <c r="AH571" t="s">
        <v>155</v>
      </c>
    </row>
    <row r="573" spans="19:34" ht="16.2" customHeight="1" x14ac:dyDescent="0.3">
      <c r="S573" s="15" t="s">
        <v>138</v>
      </c>
      <c r="T573" t="s">
        <v>220</v>
      </c>
      <c r="AB573" s="15" t="s">
        <v>138</v>
      </c>
      <c r="AC573" t="s">
        <v>220</v>
      </c>
    </row>
    <row r="574" spans="19:34" ht="16.2" customHeight="1" x14ac:dyDescent="0.3">
      <c r="U574" t="s">
        <v>164</v>
      </c>
      <c r="V574" t="s">
        <v>165</v>
      </c>
      <c r="W574" t="s">
        <v>166</v>
      </c>
      <c r="X574" t="s">
        <v>167</v>
      </c>
      <c r="Y574" t="s">
        <v>168</v>
      </c>
      <c r="AD574" t="s">
        <v>164</v>
      </c>
      <c r="AE574" t="s">
        <v>165</v>
      </c>
      <c r="AF574" t="s">
        <v>166</v>
      </c>
      <c r="AG574" t="s">
        <v>167</v>
      </c>
      <c r="AH574" t="s">
        <v>168</v>
      </c>
    </row>
    <row r="575" spans="19:34" ht="16.2" customHeight="1" x14ac:dyDescent="0.3">
      <c r="T575" t="s">
        <v>154</v>
      </c>
      <c r="U575" t="s">
        <v>155</v>
      </c>
      <c r="V575" t="s">
        <v>93</v>
      </c>
      <c r="W575" t="s">
        <v>155</v>
      </c>
      <c r="X575" t="s">
        <v>155</v>
      </c>
      <c r="Y575" t="s">
        <v>155</v>
      </c>
      <c r="AC575" t="s">
        <v>154</v>
      </c>
      <c r="AD575" t="s">
        <v>155</v>
      </c>
      <c r="AE575" t="s">
        <v>93</v>
      </c>
      <c r="AF575" t="s">
        <v>155</v>
      </c>
      <c r="AG575" t="s">
        <v>155</v>
      </c>
      <c r="AH575" t="s">
        <v>155</v>
      </c>
    </row>
    <row r="576" spans="19:34" ht="16.2" customHeight="1" x14ac:dyDescent="0.3">
      <c r="T576" t="s">
        <v>156</v>
      </c>
      <c r="U576" t="s">
        <v>155</v>
      </c>
      <c r="V576" t="s">
        <v>93</v>
      </c>
      <c r="W576" t="s">
        <v>155</v>
      </c>
      <c r="X576" t="s">
        <v>155</v>
      </c>
      <c r="Y576" t="s">
        <v>155</v>
      </c>
      <c r="AC576" t="s">
        <v>156</v>
      </c>
      <c r="AD576" t="s">
        <v>155</v>
      </c>
      <c r="AE576" t="s">
        <v>93</v>
      </c>
      <c r="AF576" t="s">
        <v>155</v>
      </c>
      <c r="AG576" t="s">
        <v>155</v>
      </c>
      <c r="AH576" t="s">
        <v>155</v>
      </c>
    </row>
    <row r="577" spans="19:34" ht="16.2" customHeight="1" x14ac:dyDescent="0.3">
      <c r="T577" t="s">
        <v>157</v>
      </c>
      <c r="U577" t="s">
        <v>155</v>
      </c>
      <c r="V577" t="s">
        <v>155</v>
      </c>
      <c r="W577" t="s">
        <v>155</v>
      </c>
      <c r="X577" t="s">
        <v>155</v>
      </c>
      <c r="Y577" t="s">
        <v>93</v>
      </c>
      <c r="AC577" t="s">
        <v>157</v>
      </c>
      <c r="AD577" t="s">
        <v>155</v>
      </c>
      <c r="AE577" t="s">
        <v>155</v>
      </c>
      <c r="AF577" t="s">
        <v>155</v>
      </c>
      <c r="AG577" t="s">
        <v>155</v>
      </c>
      <c r="AH577" t="s">
        <v>93</v>
      </c>
    </row>
    <row r="578" spans="19:34" ht="16.2" customHeight="1" x14ac:dyDescent="0.3">
      <c r="T578" t="s">
        <v>158</v>
      </c>
      <c r="U578" t="s">
        <v>155</v>
      </c>
      <c r="V578" t="s">
        <v>155</v>
      </c>
      <c r="W578" t="s">
        <v>155</v>
      </c>
      <c r="X578" t="s">
        <v>155</v>
      </c>
      <c r="Y578" t="s">
        <v>93</v>
      </c>
      <c r="AC578" t="s">
        <v>158</v>
      </c>
      <c r="AD578" t="s">
        <v>155</v>
      </c>
      <c r="AE578" t="s">
        <v>155</v>
      </c>
      <c r="AF578" t="s">
        <v>155</v>
      </c>
      <c r="AG578" t="s">
        <v>155</v>
      </c>
      <c r="AH578" t="s">
        <v>93</v>
      </c>
    </row>
    <row r="579" spans="19:34" ht="16.2" customHeight="1" x14ac:dyDescent="0.3">
      <c r="T579" t="s">
        <v>159</v>
      </c>
      <c r="U579" t="s">
        <v>155</v>
      </c>
      <c r="V579" t="s">
        <v>155</v>
      </c>
      <c r="W579" t="s">
        <v>155</v>
      </c>
      <c r="X579" t="s">
        <v>155</v>
      </c>
      <c r="Y579" t="s">
        <v>155</v>
      </c>
      <c r="AC579" t="s">
        <v>159</v>
      </c>
      <c r="AD579" t="s">
        <v>155</v>
      </c>
      <c r="AE579" t="s">
        <v>155</v>
      </c>
      <c r="AF579" t="s">
        <v>155</v>
      </c>
      <c r="AG579" t="s">
        <v>155</v>
      </c>
      <c r="AH579" t="s">
        <v>155</v>
      </c>
    </row>
    <row r="580" spans="19:34" ht="16.2" customHeight="1" x14ac:dyDescent="0.3">
      <c r="T580" t="s">
        <v>160</v>
      </c>
      <c r="U580" t="s">
        <v>155</v>
      </c>
      <c r="V580" t="s">
        <v>155</v>
      </c>
      <c r="W580" t="s">
        <v>155</v>
      </c>
      <c r="X580" t="s">
        <v>155</v>
      </c>
      <c r="Y580" t="s">
        <v>155</v>
      </c>
      <c r="AC580" t="s">
        <v>160</v>
      </c>
      <c r="AD580" t="s">
        <v>155</v>
      </c>
      <c r="AE580" t="s">
        <v>155</v>
      </c>
      <c r="AF580" t="s">
        <v>155</v>
      </c>
      <c r="AG580" t="s">
        <v>155</v>
      </c>
      <c r="AH580" t="s">
        <v>155</v>
      </c>
    </row>
    <row r="581" spans="19:34" ht="16.2" customHeight="1" x14ac:dyDescent="0.3">
      <c r="T581" t="s">
        <v>169</v>
      </c>
      <c r="U581" t="s">
        <v>155</v>
      </c>
      <c r="V581" t="s">
        <v>155</v>
      </c>
      <c r="W581" t="s">
        <v>155</v>
      </c>
      <c r="X581" t="s">
        <v>155</v>
      </c>
      <c r="Y581" t="s">
        <v>155</v>
      </c>
      <c r="AC581" t="s">
        <v>169</v>
      </c>
      <c r="AD581" t="s">
        <v>155</v>
      </c>
      <c r="AE581" t="s">
        <v>155</v>
      </c>
      <c r="AF581" t="s">
        <v>155</v>
      </c>
      <c r="AG581" t="s">
        <v>155</v>
      </c>
      <c r="AH581" t="s">
        <v>155</v>
      </c>
    </row>
    <row r="582" spans="19:34" ht="16.2" customHeight="1" x14ac:dyDescent="0.3">
      <c r="T582" t="s">
        <v>170</v>
      </c>
      <c r="U582" t="s">
        <v>155</v>
      </c>
      <c r="V582" t="s">
        <v>155</v>
      </c>
      <c r="W582" t="s">
        <v>155</v>
      </c>
      <c r="X582" t="s">
        <v>155</v>
      </c>
      <c r="Y582" t="s">
        <v>155</v>
      </c>
      <c r="AC582" t="s">
        <v>170</v>
      </c>
      <c r="AD582" t="s">
        <v>155</v>
      </c>
      <c r="AE582" t="s">
        <v>155</v>
      </c>
      <c r="AF582" t="s">
        <v>155</v>
      </c>
      <c r="AG582" t="s">
        <v>155</v>
      </c>
      <c r="AH582" t="s">
        <v>155</v>
      </c>
    </row>
    <row r="583" spans="19:34" ht="16.2" customHeight="1" x14ac:dyDescent="0.3">
      <c r="T583" t="s">
        <v>171</v>
      </c>
      <c r="U583" t="s">
        <v>155</v>
      </c>
      <c r="V583" t="s">
        <v>155</v>
      </c>
      <c r="W583" t="s">
        <v>155</v>
      </c>
      <c r="X583" t="s">
        <v>155</v>
      </c>
      <c r="Y583" t="s">
        <v>155</v>
      </c>
      <c r="AC583" t="s">
        <v>171</v>
      </c>
      <c r="AD583" t="s">
        <v>155</v>
      </c>
      <c r="AE583" t="s">
        <v>155</v>
      </c>
      <c r="AF583" t="s">
        <v>155</v>
      </c>
      <c r="AG583" t="s">
        <v>155</v>
      </c>
      <c r="AH583" t="s">
        <v>155</v>
      </c>
    </row>
    <row r="584" spans="19:34" ht="16.2" customHeight="1" x14ac:dyDescent="0.3">
      <c r="T584" t="s">
        <v>172</v>
      </c>
      <c r="U584" t="s">
        <v>155</v>
      </c>
      <c r="V584" t="s">
        <v>155</v>
      </c>
      <c r="W584" t="s">
        <v>155</v>
      </c>
      <c r="X584" t="s">
        <v>155</v>
      </c>
      <c r="Y584" t="s">
        <v>155</v>
      </c>
      <c r="AC584" t="s">
        <v>172</v>
      </c>
      <c r="AD584" t="s">
        <v>155</v>
      </c>
      <c r="AE584" t="s">
        <v>155</v>
      </c>
      <c r="AF584" t="s">
        <v>155</v>
      </c>
      <c r="AG584" t="s">
        <v>155</v>
      </c>
      <c r="AH584" t="s">
        <v>155</v>
      </c>
    </row>
    <row r="586" spans="19:34" ht="16.2" customHeight="1" x14ac:dyDescent="0.3">
      <c r="S586" s="15" t="s">
        <v>139</v>
      </c>
      <c r="T586" t="s">
        <v>221</v>
      </c>
      <c r="AB586" s="15" t="s">
        <v>139</v>
      </c>
      <c r="AC586" t="s">
        <v>221</v>
      </c>
    </row>
    <row r="587" spans="19:34" ht="16.2" customHeight="1" x14ac:dyDescent="0.3">
      <c r="U587" t="s">
        <v>164</v>
      </c>
      <c r="V587" t="s">
        <v>165</v>
      </c>
      <c r="W587" t="s">
        <v>166</v>
      </c>
      <c r="X587" t="s">
        <v>167</v>
      </c>
      <c r="Y587" t="s">
        <v>168</v>
      </c>
      <c r="AD587" t="s">
        <v>164</v>
      </c>
      <c r="AE587" t="s">
        <v>165</v>
      </c>
      <c r="AF587" t="s">
        <v>166</v>
      </c>
      <c r="AG587" t="s">
        <v>167</v>
      </c>
      <c r="AH587" t="s">
        <v>168</v>
      </c>
    </row>
    <row r="588" spans="19:34" ht="16.2" customHeight="1" x14ac:dyDescent="0.3">
      <c r="T588" t="s">
        <v>154</v>
      </c>
      <c r="U588" t="s">
        <v>155</v>
      </c>
      <c r="V588" t="s">
        <v>155</v>
      </c>
      <c r="W588" t="s">
        <v>93</v>
      </c>
      <c r="X588" t="s">
        <v>155</v>
      </c>
      <c r="Y588" t="s">
        <v>155</v>
      </c>
      <c r="AC588" t="s">
        <v>154</v>
      </c>
      <c r="AD588" t="s">
        <v>155</v>
      </c>
      <c r="AE588" t="s">
        <v>155</v>
      </c>
      <c r="AF588" t="s">
        <v>93</v>
      </c>
      <c r="AG588" t="s">
        <v>155</v>
      </c>
      <c r="AH588" t="s">
        <v>155</v>
      </c>
    </row>
    <row r="589" spans="19:34" ht="16.2" customHeight="1" x14ac:dyDescent="0.3">
      <c r="T589" t="s">
        <v>156</v>
      </c>
      <c r="U589" t="s">
        <v>155</v>
      </c>
      <c r="V589" t="s">
        <v>155</v>
      </c>
      <c r="W589" t="s">
        <v>93</v>
      </c>
      <c r="X589" t="s">
        <v>155</v>
      </c>
      <c r="Y589" t="s">
        <v>155</v>
      </c>
      <c r="AC589" t="s">
        <v>156</v>
      </c>
      <c r="AD589" t="s">
        <v>155</v>
      </c>
      <c r="AE589" t="s">
        <v>155</v>
      </c>
      <c r="AF589" t="s">
        <v>93</v>
      </c>
      <c r="AG589" t="s">
        <v>155</v>
      </c>
      <c r="AH589" t="s">
        <v>155</v>
      </c>
    </row>
    <row r="590" spans="19:34" ht="16.2" customHeight="1" x14ac:dyDescent="0.3">
      <c r="T590" t="s">
        <v>157</v>
      </c>
      <c r="U590" t="s">
        <v>155</v>
      </c>
      <c r="V590" t="s">
        <v>155</v>
      </c>
      <c r="W590" t="s">
        <v>155</v>
      </c>
      <c r="X590" t="s">
        <v>155</v>
      </c>
      <c r="Y590" t="s">
        <v>93</v>
      </c>
      <c r="AC590" t="s">
        <v>157</v>
      </c>
      <c r="AD590" t="s">
        <v>155</v>
      </c>
      <c r="AE590" t="s">
        <v>155</v>
      </c>
      <c r="AF590" t="s">
        <v>155</v>
      </c>
      <c r="AG590" t="s">
        <v>155</v>
      </c>
      <c r="AH590" t="s">
        <v>93</v>
      </c>
    </row>
    <row r="591" spans="19:34" ht="16.2" customHeight="1" x14ac:dyDescent="0.3">
      <c r="T591" t="s">
        <v>158</v>
      </c>
      <c r="U591" t="s">
        <v>155</v>
      </c>
      <c r="V591" t="s">
        <v>155</v>
      </c>
      <c r="W591" t="s">
        <v>155</v>
      </c>
      <c r="X591" t="s">
        <v>155</v>
      </c>
      <c r="Y591" t="s">
        <v>93</v>
      </c>
      <c r="AC591" t="s">
        <v>158</v>
      </c>
      <c r="AD591" t="s">
        <v>155</v>
      </c>
      <c r="AE591" t="s">
        <v>155</v>
      </c>
      <c r="AF591" t="s">
        <v>155</v>
      </c>
      <c r="AG591" t="s">
        <v>155</v>
      </c>
      <c r="AH591" t="s">
        <v>93</v>
      </c>
    </row>
    <row r="592" spans="19:34" ht="16.2" customHeight="1" x14ac:dyDescent="0.3">
      <c r="T592" t="s">
        <v>159</v>
      </c>
      <c r="U592" t="s">
        <v>155</v>
      </c>
      <c r="V592" t="s">
        <v>155</v>
      </c>
      <c r="W592" t="s">
        <v>155</v>
      </c>
      <c r="X592" t="s">
        <v>155</v>
      </c>
      <c r="Y592" t="s">
        <v>155</v>
      </c>
      <c r="AC592" t="s">
        <v>159</v>
      </c>
      <c r="AD592" t="s">
        <v>155</v>
      </c>
      <c r="AE592" t="s">
        <v>155</v>
      </c>
      <c r="AF592" t="s">
        <v>155</v>
      </c>
      <c r="AG592" t="s">
        <v>155</v>
      </c>
      <c r="AH592" t="s">
        <v>155</v>
      </c>
    </row>
    <row r="593" spans="19:34" ht="16.2" customHeight="1" x14ac:dyDescent="0.3">
      <c r="T593" t="s">
        <v>160</v>
      </c>
      <c r="U593" t="s">
        <v>155</v>
      </c>
      <c r="V593" t="s">
        <v>155</v>
      </c>
      <c r="W593" t="s">
        <v>155</v>
      </c>
      <c r="X593" t="s">
        <v>155</v>
      </c>
      <c r="Y593" t="s">
        <v>155</v>
      </c>
      <c r="AC593" t="s">
        <v>160</v>
      </c>
      <c r="AD593" t="s">
        <v>155</v>
      </c>
      <c r="AE593" t="s">
        <v>155</v>
      </c>
      <c r="AF593" t="s">
        <v>155</v>
      </c>
      <c r="AG593" t="s">
        <v>155</v>
      </c>
      <c r="AH593" t="s">
        <v>155</v>
      </c>
    </row>
    <row r="594" spans="19:34" ht="16.2" customHeight="1" x14ac:dyDescent="0.3">
      <c r="T594" t="s">
        <v>169</v>
      </c>
      <c r="U594" t="s">
        <v>155</v>
      </c>
      <c r="V594" t="s">
        <v>155</v>
      </c>
      <c r="W594" t="s">
        <v>155</v>
      </c>
      <c r="X594" t="s">
        <v>155</v>
      </c>
      <c r="Y594" t="s">
        <v>155</v>
      </c>
      <c r="AC594" t="s">
        <v>169</v>
      </c>
      <c r="AD594" t="s">
        <v>155</v>
      </c>
      <c r="AE594" t="s">
        <v>155</v>
      </c>
      <c r="AF594" t="s">
        <v>155</v>
      </c>
      <c r="AG594" t="s">
        <v>155</v>
      </c>
      <c r="AH594" t="s">
        <v>155</v>
      </c>
    </row>
    <row r="595" spans="19:34" ht="16.2" customHeight="1" x14ac:dyDescent="0.3">
      <c r="T595" t="s">
        <v>170</v>
      </c>
      <c r="U595" t="s">
        <v>155</v>
      </c>
      <c r="V595" t="s">
        <v>155</v>
      </c>
      <c r="W595" t="s">
        <v>155</v>
      </c>
      <c r="X595" t="s">
        <v>155</v>
      </c>
      <c r="Y595" t="s">
        <v>155</v>
      </c>
      <c r="AC595" t="s">
        <v>170</v>
      </c>
      <c r="AD595" t="s">
        <v>155</v>
      </c>
      <c r="AE595" t="s">
        <v>155</v>
      </c>
      <c r="AF595" t="s">
        <v>155</v>
      </c>
      <c r="AG595" t="s">
        <v>155</v>
      </c>
      <c r="AH595" t="s">
        <v>155</v>
      </c>
    </row>
    <row r="596" spans="19:34" ht="16.2" customHeight="1" x14ac:dyDescent="0.3">
      <c r="T596" t="s">
        <v>171</v>
      </c>
      <c r="U596" t="s">
        <v>155</v>
      </c>
      <c r="V596" t="s">
        <v>155</v>
      </c>
      <c r="W596" t="s">
        <v>155</v>
      </c>
      <c r="X596" t="s">
        <v>155</v>
      </c>
      <c r="Y596" t="s">
        <v>155</v>
      </c>
      <c r="AC596" t="s">
        <v>171</v>
      </c>
      <c r="AD596" t="s">
        <v>155</v>
      </c>
      <c r="AE596" t="s">
        <v>155</v>
      </c>
      <c r="AF596" t="s">
        <v>155</v>
      </c>
      <c r="AG596" t="s">
        <v>155</v>
      </c>
      <c r="AH596" t="s">
        <v>155</v>
      </c>
    </row>
    <row r="597" spans="19:34" ht="16.2" customHeight="1" x14ac:dyDescent="0.3">
      <c r="T597" t="s">
        <v>172</v>
      </c>
      <c r="U597" t="s">
        <v>155</v>
      </c>
      <c r="V597" t="s">
        <v>155</v>
      </c>
      <c r="W597" t="s">
        <v>155</v>
      </c>
      <c r="X597" t="s">
        <v>155</v>
      </c>
      <c r="Y597" t="s">
        <v>155</v>
      </c>
      <c r="AC597" t="s">
        <v>172</v>
      </c>
      <c r="AD597" t="s">
        <v>155</v>
      </c>
      <c r="AE597" t="s">
        <v>155</v>
      </c>
      <c r="AF597" t="s">
        <v>155</v>
      </c>
      <c r="AG597" t="s">
        <v>155</v>
      </c>
      <c r="AH597" t="s">
        <v>155</v>
      </c>
    </row>
    <row r="599" spans="19:34" ht="16.2" customHeight="1" x14ac:dyDescent="0.3">
      <c r="S599" s="15" t="s">
        <v>140</v>
      </c>
      <c r="T599" t="s">
        <v>222</v>
      </c>
      <c r="AB599" s="15" t="s">
        <v>140</v>
      </c>
      <c r="AC599" t="s">
        <v>222</v>
      </c>
    </row>
    <row r="600" spans="19:34" ht="16.2" customHeight="1" x14ac:dyDescent="0.3">
      <c r="U600" t="s">
        <v>164</v>
      </c>
      <c r="V600" t="s">
        <v>165</v>
      </c>
      <c r="W600" t="s">
        <v>166</v>
      </c>
      <c r="X600" t="s">
        <v>167</v>
      </c>
      <c r="Y600" t="s">
        <v>168</v>
      </c>
      <c r="AD600" t="s">
        <v>164</v>
      </c>
      <c r="AE600" t="s">
        <v>165</v>
      </c>
      <c r="AF600" t="s">
        <v>166</v>
      </c>
      <c r="AG600" t="s">
        <v>167</v>
      </c>
      <c r="AH600" t="s">
        <v>168</v>
      </c>
    </row>
    <row r="601" spans="19:34" ht="16.2" customHeight="1" x14ac:dyDescent="0.3">
      <c r="T601" t="s">
        <v>154</v>
      </c>
      <c r="U601" t="s">
        <v>155</v>
      </c>
      <c r="V601" t="s">
        <v>155</v>
      </c>
      <c r="W601" t="s">
        <v>155</v>
      </c>
      <c r="X601" t="s">
        <v>155</v>
      </c>
      <c r="Y601" t="s">
        <v>155</v>
      </c>
      <c r="AC601" t="s">
        <v>154</v>
      </c>
      <c r="AD601" t="s">
        <v>155</v>
      </c>
      <c r="AE601" t="s">
        <v>155</v>
      </c>
      <c r="AF601" t="s">
        <v>155</v>
      </c>
      <c r="AG601" t="s">
        <v>155</v>
      </c>
      <c r="AH601" t="s">
        <v>155</v>
      </c>
    </row>
    <row r="602" spans="19:34" ht="16.2" customHeight="1" x14ac:dyDescent="0.3">
      <c r="T602" t="s">
        <v>156</v>
      </c>
      <c r="U602" t="s">
        <v>155</v>
      </c>
      <c r="V602" t="s">
        <v>155</v>
      </c>
      <c r="W602" t="s">
        <v>155</v>
      </c>
      <c r="X602" t="s">
        <v>155</v>
      </c>
      <c r="Y602" t="s">
        <v>155</v>
      </c>
      <c r="AC602" t="s">
        <v>156</v>
      </c>
      <c r="AD602" t="s">
        <v>155</v>
      </c>
      <c r="AE602" t="s">
        <v>155</v>
      </c>
      <c r="AF602" t="s">
        <v>155</v>
      </c>
      <c r="AG602" t="s">
        <v>155</v>
      </c>
      <c r="AH602" t="s">
        <v>155</v>
      </c>
    </row>
    <row r="603" spans="19:34" ht="16.2" customHeight="1" x14ac:dyDescent="0.3">
      <c r="T603" t="s">
        <v>157</v>
      </c>
      <c r="U603" t="s">
        <v>155</v>
      </c>
      <c r="V603" t="s">
        <v>95</v>
      </c>
      <c r="W603" t="s">
        <v>155</v>
      </c>
      <c r="X603" t="s">
        <v>155</v>
      </c>
      <c r="Y603" t="s">
        <v>155</v>
      </c>
      <c r="AC603" t="s">
        <v>157</v>
      </c>
      <c r="AD603" t="s">
        <v>155</v>
      </c>
      <c r="AE603" t="s">
        <v>95</v>
      </c>
      <c r="AF603" t="s">
        <v>155</v>
      </c>
      <c r="AG603" t="s">
        <v>95</v>
      </c>
      <c r="AH603" t="s">
        <v>155</v>
      </c>
    </row>
    <row r="604" spans="19:34" ht="16.2" customHeight="1" x14ac:dyDescent="0.3">
      <c r="T604" t="s">
        <v>158</v>
      </c>
      <c r="U604" t="s">
        <v>155</v>
      </c>
      <c r="V604" t="s">
        <v>95</v>
      </c>
      <c r="W604" t="s">
        <v>155</v>
      </c>
      <c r="X604" t="s">
        <v>155</v>
      </c>
      <c r="Y604" t="s">
        <v>155</v>
      </c>
      <c r="AC604" t="s">
        <v>158</v>
      </c>
      <c r="AD604" t="s">
        <v>155</v>
      </c>
      <c r="AE604" t="s">
        <v>95</v>
      </c>
      <c r="AF604" t="s">
        <v>155</v>
      </c>
      <c r="AG604" t="s">
        <v>95</v>
      </c>
      <c r="AH604" t="s">
        <v>155</v>
      </c>
    </row>
    <row r="605" spans="19:34" ht="16.2" customHeight="1" x14ac:dyDescent="0.3">
      <c r="T605" t="s">
        <v>159</v>
      </c>
      <c r="U605" t="s">
        <v>155</v>
      </c>
      <c r="V605" t="s">
        <v>155</v>
      </c>
      <c r="W605" t="s">
        <v>155</v>
      </c>
      <c r="X605" t="s">
        <v>155</v>
      </c>
      <c r="Y605" t="s">
        <v>95</v>
      </c>
      <c r="AC605" t="s">
        <v>159</v>
      </c>
      <c r="AD605" t="s">
        <v>155</v>
      </c>
      <c r="AE605" t="s">
        <v>155</v>
      </c>
      <c r="AF605" t="s">
        <v>155</v>
      </c>
      <c r="AG605" t="s">
        <v>155</v>
      </c>
      <c r="AH605" t="s">
        <v>155</v>
      </c>
    </row>
    <row r="606" spans="19:34" ht="16.2" customHeight="1" x14ac:dyDescent="0.3">
      <c r="T606" t="s">
        <v>160</v>
      </c>
      <c r="U606" t="s">
        <v>155</v>
      </c>
      <c r="V606" t="s">
        <v>155</v>
      </c>
      <c r="W606" t="s">
        <v>155</v>
      </c>
      <c r="X606" t="s">
        <v>155</v>
      </c>
      <c r="Y606" t="s">
        <v>95</v>
      </c>
      <c r="AC606" t="s">
        <v>160</v>
      </c>
      <c r="AD606" t="s">
        <v>155</v>
      </c>
      <c r="AE606" t="s">
        <v>155</v>
      </c>
      <c r="AF606" t="s">
        <v>155</v>
      </c>
      <c r="AG606" t="s">
        <v>155</v>
      </c>
      <c r="AH606" t="s">
        <v>155</v>
      </c>
    </row>
    <row r="607" spans="19:34" ht="16.2" customHeight="1" x14ac:dyDescent="0.3">
      <c r="T607" t="s">
        <v>169</v>
      </c>
      <c r="U607" t="s">
        <v>155</v>
      </c>
      <c r="V607" t="s">
        <v>155</v>
      </c>
      <c r="W607" t="s">
        <v>155</v>
      </c>
      <c r="X607" t="s">
        <v>155</v>
      </c>
      <c r="Y607" t="s">
        <v>155</v>
      </c>
      <c r="AC607" t="s">
        <v>169</v>
      </c>
      <c r="AD607" t="s">
        <v>155</v>
      </c>
      <c r="AE607" t="s">
        <v>155</v>
      </c>
      <c r="AF607" t="s">
        <v>155</v>
      </c>
      <c r="AG607" t="s">
        <v>155</v>
      </c>
      <c r="AH607" t="s">
        <v>155</v>
      </c>
    </row>
    <row r="608" spans="19:34" ht="16.2" customHeight="1" x14ac:dyDescent="0.3">
      <c r="T608" t="s">
        <v>170</v>
      </c>
      <c r="U608" t="s">
        <v>155</v>
      </c>
      <c r="V608" t="s">
        <v>155</v>
      </c>
      <c r="W608" t="s">
        <v>155</v>
      </c>
      <c r="X608" t="s">
        <v>155</v>
      </c>
      <c r="Y608" t="s">
        <v>155</v>
      </c>
      <c r="AC608" t="s">
        <v>170</v>
      </c>
      <c r="AD608" t="s">
        <v>155</v>
      </c>
      <c r="AE608" t="s">
        <v>155</v>
      </c>
      <c r="AF608" t="s">
        <v>155</v>
      </c>
      <c r="AG608" t="s">
        <v>155</v>
      </c>
      <c r="AH608" t="s">
        <v>155</v>
      </c>
    </row>
    <row r="609" spans="19:34" ht="16.2" customHeight="1" x14ac:dyDescent="0.3">
      <c r="T609" t="s">
        <v>171</v>
      </c>
      <c r="U609" t="s">
        <v>155</v>
      </c>
      <c r="V609" t="s">
        <v>155</v>
      </c>
      <c r="W609" t="s">
        <v>155</v>
      </c>
      <c r="X609" t="s">
        <v>155</v>
      </c>
      <c r="Y609" t="s">
        <v>155</v>
      </c>
      <c r="AC609" t="s">
        <v>171</v>
      </c>
      <c r="AD609" t="s">
        <v>155</v>
      </c>
      <c r="AE609" t="s">
        <v>155</v>
      </c>
      <c r="AF609" t="s">
        <v>155</v>
      </c>
      <c r="AG609" t="s">
        <v>155</v>
      </c>
      <c r="AH609" t="s">
        <v>155</v>
      </c>
    </row>
    <row r="610" spans="19:34" ht="16.2" customHeight="1" x14ac:dyDescent="0.3">
      <c r="T610" t="s">
        <v>172</v>
      </c>
      <c r="U610" t="s">
        <v>155</v>
      </c>
      <c r="V610" t="s">
        <v>155</v>
      </c>
      <c r="W610" t="s">
        <v>155</v>
      </c>
      <c r="X610" t="s">
        <v>155</v>
      </c>
      <c r="Y610" t="s">
        <v>155</v>
      </c>
      <c r="AC610" t="s">
        <v>172</v>
      </c>
      <c r="AD610" t="s">
        <v>155</v>
      </c>
      <c r="AE610" t="s">
        <v>155</v>
      </c>
      <c r="AF610" t="s">
        <v>155</v>
      </c>
      <c r="AG610" t="s">
        <v>155</v>
      </c>
      <c r="AH610" t="s">
        <v>155</v>
      </c>
    </row>
    <row r="612" spans="19:34" ht="16.2" customHeight="1" x14ac:dyDescent="0.3">
      <c r="S612" s="15" t="s">
        <v>141</v>
      </c>
      <c r="T612" t="s">
        <v>223</v>
      </c>
      <c r="AB612" s="15" t="s">
        <v>141</v>
      </c>
      <c r="AC612" t="s">
        <v>223</v>
      </c>
    </row>
    <row r="613" spans="19:34" ht="16.2" customHeight="1" x14ac:dyDescent="0.3">
      <c r="U613" t="s">
        <v>164</v>
      </c>
      <c r="V613" t="s">
        <v>165</v>
      </c>
      <c r="W613" t="s">
        <v>166</v>
      </c>
      <c r="X613" t="s">
        <v>167</v>
      </c>
      <c r="Y613" t="s">
        <v>168</v>
      </c>
      <c r="AD613" t="s">
        <v>164</v>
      </c>
      <c r="AE613" t="s">
        <v>165</v>
      </c>
      <c r="AF613" t="s">
        <v>166</v>
      </c>
      <c r="AG613" t="s">
        <v>167</v>
      </c>
      <c r="AH613" t="s">
        <v>168</v>
      </c>
    </row>
    <row r="614" spans="19:34" ht="16.2" customHeight="1" x14ac:dyDescent="0.3">
      <c r="T614" t="s">
        <v>154</v>
      </c>
      <c r="U614" t="s">
        <v>155</v>
      </c>
      <c r="V614" t="s">
        <v>155</v>
      </c>
      <c r="W614" t="s">
        <v>155</v>
      </c>
      <c r="X614" t="s">
        <v>155</v>
      </c>
      <c r="Y614" t="s">
        <v>155</v>
      </c>
      <c r="AC614" t="s">
        <v>154</v>
      </c>
      <c r="AD614" t="s">
        <v>155</v>
      </c>
      <c r="AE614" t="s">
        <v>155</v>
      </c>
      <c r="AF614" t="s">
        <v>155</v>
      </c>
      <c r="AG614" t="s">
        <v>155</v>
      </c>
      <c r="AH614" t="s">
        <v>155</v>
      </c>
    </row>
    <row r="615" spans="19:34" ht="16.2" customHeight="1" x14ac:dyDescent="0.3">
      <c r="T615" t="s">
        <v>156</v>
      </c>
      <c r="U615" t="s">
        <v>155</v>
      </c>
      <c r="V615" t="s">
        <v>155</v>
      </c>
      <c r="W615" t="s">
        <v>155</v>
      </c>
      <c r="X615" t="s">
        <v>95</v>
      </c>
      <c r="Y615" t="s">
        <v>155</v>
      </c>
      <c r="AC615" t="s">
        <v>156</v>
      </c>
      <c r="AD615" t="s">
        <v>155</v>
      </c>
      <c r="AE615" t="s">
        <v>155</v>
      </c>
      <c r="AF615" t="s">
        <v>155</v>
      </c>
      <c r="AG615" t="s">
        <v>95</v>
      </c>
      <c r="AH615" t="s">
        <v>155</v>
      </c>
    </row>
    <row r="616" spans="19:34" ht="16.2" customHeight="1" x14ac:dyDescent="0.3">
      <c r="T616" t="s">
        <v>157</v>
      </c>
      <c r="U616" t="s">
        <v>155</v>
      </c>
      <c r="V616" t="s">
        <v>155</v>
      </c>
      <c r="W616" t="s">
        <v>155</v>
      </c>
      <c r="X616" t="s">
        <v>95</v>
      </c>
      <c r="Y616" t="s">
        <v>155</v>
      </c>
      <c r="AC616" t="s">
        <v>157</v>
      </c>
      <c r="AD616" t="s">
        <v>155</v>
      </c>
      <c r="AE616" t="s">
        <v>155</v>
      </c>
      <c r="AF616" t="s">
        <v>155</v>
      </c>
      <c r="AG616" t="s">
        <v>95</v>
      </c>
      <c r="AH616" t="s">
        <v>155</v>
      </c>
    </row>
    <row r="617" spans="19:34" ht="16.2" customHeight="1" x14ac:dyDescent="0.3">
      <c r="T617" t="s">
        <v>158</v>
      </c>
      <c r="U617" t="s">
        <v>155</v>
      </c>
      <c r="V617" t="s">
        <v>155</v>
      </c>
      <c r="W617" t="s">
        <v>155</v>
      </c>
      <c r="X617" t="s">
        <v>155</v>
      </c>
      <c r="Y617" t="s">
        <v>155</v>
      </c>
      <c r="AC617" t="s">
        <v>158</v>
      </c>
      <c r="AD617" t="s">
        <v>155</v>
      </c>
      <c r="AE617" t="s">
        <v>155</v>
      </c>
      <c r="AF617" t="s">
        <v>155</v>
      </c>
      <c r="AG617" t="s">
        <v>155</v>
      </c>
      <c r="AH617" t="s">
        <v>155</v>
      </c>
    </row>
    <row r="618" spans="19:34" ht="16.2" customHeight="1" x14ac:dyDescent="0.3">
      <c r="T618" t="s">
        <v>159</v>
      </c>
      <c r="U618" t="s">
        <v>155</v>
      </c>
      <c r="V618" t="s">
        <v>155</v>
      </c>
      <c r="W618" t="s">
        <v>155</v>
      </c>
      <c r="X618" t="s">
        <v>155</v>
      </c>
      <c r="Y618" t="s">
        <v>155</v>
      </c>
      <c r="AC618" t="s">
        <v>159</v>
      </c>
      <c r="AD618" t="s">
        <v>155</v>
      </c>
      <c r="AE618" t="s">
        <v>155</v>
      </c>
      <c r="AF618" t="s">
        <v>155</v>
      </c>
      <c r="AG618" t="s">
        <v>155</v>
      </c>
      <c r="AH618" t="s">
        <v>155</v>
      </c>
    </row>
    <row r="619" spans="19:34" ht="16.2" customHeight="1" x14ac:dyDescent="0.3">
      <c r="T619" t="s">
        <v>160</v>
      </c>
      <c r="U619" t="s">
        <v>155</v>
      </c>
      <c r="V619" t="s">
        <v>155</v>
      </c>
      <c r="W619" t="s">
        <v>155</v>
      </c>
      <c r="X619" t="s">
        <v>155</v>
      </c>
      <c r="Y619" t="s">
        <v>155</v>
      </c>
      <c r="AC619" t="s">
        <v>160</v>
      </c>
      <c r="AD619" t="s">
        <v>155</v>
      </c>
      <c r="AE619" t="s">
        <v>155</v>
      </c>
      <c r="AF619" t="s">
        <v>155</v>
      </c>
      <c r="AG619" t="s">
        <v>155</v>
      </c>
      <c r="AH619" t="s">
        <v>155</v>
      </c>
    </row>
    <row r="620" spans="19:34" ht="16.2" customHeight="1" x14ac:dyDescent="0.3">
      <c r="T620" t="s">
        <v>169</v>
      </c>
      <c r="U620" t="s">
        <v>155</v>
      </c>
      <c r="V620" t="s">
        <v>155</v>
      </c>
      <c r="W620" t="s">
        <v>155</v>
      </c>
      <c r="X620" t="s">
        <v>155</v>
      </c>
      <c r="Y620" t="s">
        <v>155</v>
      </c>
      <c r="AC620" t="s">
        <v>169</v>
      </c>
      <c r="AD620" t="s">
        <v>155</v>
      </c>
      <c r="AE620" t="s">
        <v>155</v>
      </c>
      <c r="AF620" t="s">
        <v>155</v>
      </c>
      <c r="AG620" t="s">
        <v>155</v>
      </c>
      <c r="AH620" t="s">
        <v>155</v>
      </c>
    </row>
    <row r="621" spans="19:34" ht="16.2" customHeight="1" x14ac:dyDescent="0.3">
      <c r="T621" t="s">
        <v>170</v>
      </c>
      <c r="U621" t="s">
        <v>155</v>
      </c>
      <c r="V621" t="s">
        <v>155</v>
      </c>
      <c r="W621" t="s">
        <v>155</v>
      </c>
      <c r="X621" t="s">
        <v>155</v>
      </c>
      <c r="Y621" t="s">
        <v>155</v>
      </c>
      <c r="AC621" t="s">
        <v>170</v>
      </c>
      <c r="AD621" t="s">
        <v>155</v>
      </c>
      <c r="AE621" t="s">
        <v>155</v>
      </c>
      <c r="AF621" t="s">
        <v>155</v>
      </c>
      <c r="AG621" t="s">
        <v>155</v>
      </c>
      <c r="AH621" t="s">
        <v>155</v>
      </c>
    </row>
    <row r="622" spans="19:34" ht="16.2" customHeight="1" x14ac:dyDescent="0.3">
      <c r="T622" t="s">
        <v>171</v>
      </c>
      <c r="U622" t="s">
        <v>155</v>
      </c>
      <c r="V622" t="s">
        <v>155</v>
      </c>
      <c r="W622" t="s">
        <v>155</v>
      </c>
      <c r="X622" t="s">
        <v>155</v>
      </c>
      <c r="Y622" t="s">
        <v>155</v>
      </c>
      <c r="AC622" t="s">
        <v>171</v>
      </c>
      <c r="AD622" t="s">
        <v>155</v>
      </c>
      <c r="AE622" t="s">
        <v>155</v>
      </c>
      <c r="AF622" t="s">
        <v>155</v>
      </c>
      <c r="AG622" t="s">
        <v>155</v>
      </c>
      <c r="AH622" t="s">
        <v>155</v>
      </c>
    </row>
    <row r="623" spans="19:34" ht="16.2" customHeight="1" x14ac:dyDescent="0.3">
      <c r="T623" t="s">
        <v>172</v>
      </c>
      <c r="U623" t="s">
        <v>155</v>
      </c>
      <c r="V623" t="s">
        <v>155</v>
      </c>
      <c r="W623" t="s">
        <v>155</v>
      </c>
      <c r="X623" t="s">
        <v>155</v>
      </c>
      <c r="Y623" t="s">
        <v>155</v>
      </c>
      <c r="AC623" t="s">
        <v>172</v>
      </c>
      <c r="AD623" t="s">
        <v>155</v>
      </c>
      <c r="AE623" t="s">
        <v>155</v>
      </c>
      <c r="AF623" t="s">
        <v>155</v>
      </c>
      <c r="AG623" t="s">
        <v>155</v>
      </c>
      <c r="AH623" t="s">
        <v>155</v>
      </c>
    </row>
    <row r="625" spans="19:34" ht="16.2" customHeight="1" x14ac:dyDescent="0.3">
      <c r="S625" s="15" t="s">
        <v>142</v>
      </c>
      <c r="T625" t="s">
        <v>224</v>
      </c>
      <c r="AB625" s="15" t="s">
        <v>142</v>
      </c>
      <c r="AC625" t="s">
        <v>224</v>
      </c>
    </row>
    <row r="626" spans="19:34" ht="16.2" customHeight="1" x14ac:dyDescent="0.3">
      <c r="U626" t="s">
        <v>164</v>
      </c>
      <c r="V626" t="s">
        <v>165</v>
      </c>
      <c r="W626" t="s">
        <v>166</v>
      </c>
      <c r="X626" t="s">
        <v>167</v>
      </c>
      <c r="Y626" t="s">
        <v>168</v>
      </c>
      <c r="AD626" t="s">
        <v>164</v>
      </c>
      <c r="AE626" t="s">
        <v>165</v>
      </c>
      <c r="AF626" t="s">
        <v>166</v>
      </c>
      <c r="AG626" t="s">
        <v>167</v>
      </c>
      <c r="AH626" t="s">
        <v>168</v>
      </c>
    </row>
    <row r="627" spans="19:34" ht="16.2" customHeight="1" x14ac:dyDescent="0.3">
      <c r="T627" t="s">
        <v>154</v>
      </c>
      <c r="U627" t="s">
        <v>155</v>
      </c>
      <c r="V627" t="s">
        <v>155</v>
      </c>
      <c r="W627" t="s">
        <v>155</v>
      </c>
      <c r="X627" t="s">
        <v>155</v>
      </c>
      <c r="Y627" t="s">
        <v>155</v>
      </c>
      <c r="AC627" t="s">
        <v>154</v>
      </c>
      <c r="AD627" t="s">
        <v>155</v>
      </c>
      <c r="AE627" t="s">
        <v>155</v>
      </c>
      <c r="AF627" t="s">
        <v>155</v>
      </c>
      <c r="AG627" t="s">
        <v>155</v>
      </c>
      <c r="AH627" t="s">
        <v>155</v>
      </c>
    </row>
    <row r="628" spans="19:34" ht="16.2" customHeight="1" x14ac:dyDescent="0.3">
      <c r="T628" t="s">
        <v>156</v>
      </c>
      <c r="U628" t="s">
        <v>155</v>
      </c>
      <c r="V628" t="s">
        <v>155</v>
      </c>
      <c r="W628" t="s">
        <v>155</v>
      </c>
      <c r="X628" t="s">
        <v>155</v>
      </c>
      <c r="Y628" t="s">
        <v>155</v>
      </c>
      <c r="AC628" t="s">
        <v>156</v>
      </c>
      <c r="AD628" t="s">
        <v>155</v>
      </c>
      <c r="AE628" t="s">
        <v>155</v>
      </c>
      <c r="AF628" t="s">
        <v>155</v>
      </c>
      <c r="AG628" t="s">
        <v>155</v>
      </c>
      <c r="AH628" t="s">
        <v>155</v>
      </c>
    </row>
    <row r="629" spans="19:34" ht="16.2" customHeight="1" x14ac:dyDescent="0.3">
      <c r="T629" t="s">
        <v>157</v>
      </c>
      <c r="U629" t="s">
        <v>95</v>
      </c>
      <c r="V629" t="s">
        <v>155</v>
      </c>
      <c r="W629" t="s">
        <v>155</v>
      </c>
      <c r="X629" t="s">
        <v>155</v>
      </c>
      <c r="Y629" t="s">
        <v>155</v>
      </c>
      <c r="AC629" t="s">
        <v>157</v>
      </c>
      <c r="AD629" t="s">
        <v>95</v>
      </c>
      <c r="AE629" t="s">
        <v>155</v>
      </c>
      <c r="AF629" t="s">
        <v>155</v>
      </c>
      <c r="AG629" t="s">
        <v>155</v>
      </c>
      <c r="AH629" t="s">
        <v>155</v>
      </c>
    </row>
    <row r="630" spans="19:34" ht="16.2" customHeight="1" x14ac:dyDescent="0.3">
      <c r="T630" t="s">
        <v>158</v>
      </c>
      <c r="U630" t="s">
        <v>95</v>
      </c>
      <c r="V630" t="s">
        <v>155</v>
      </c>
      <c r="W630" t="s">
        <v>155</v>
      </c>
      <c r="X630" t="s">
        <v>155</v>
      </c>
      <c r="Y630" t="s">
        <v>155</v>
      </c>
      <c r="AC630" t="s">
        <v>158</v>
      </c>
      <c r="AD630" t="s">
        <v>95</v>
      </c>
      <c r="AE630" t="s">
        <v>155</v>
      </c>
      <c r="AF630" t="s">
        <v>155</v>
      </c>
      <c r="AG630" t="s">
        <v>155</v>
      </c>
      <c r="AH630" t="s">
        <v>155</v>
      </c>
    </row>
    <row r="631" spans="19:34" ht="16.2" customHeight="1" x14ac:dyDescent="0.3">
      <c r="T631" t="s">
        <v>159</v>
      </c>
      <c r="U631" t="s">
        <v>155</v>
      </c>
      <c r="V631" t="s">
        <v>155</v>
      </c>
      <c r="W631" t="s">
        <v>155</v>
      </c>
      <c r="X631" t="s">
        <v>155</v>
      </c>
      <c r="Y631" t="s">
        <v>155</v>
      </c>
      <c r="AC631" t="s">
        <v>159</v>
      </c>
      <c r="AD631" t="s">
        <v>155</v>
      </c>
      <c r="AE631" t="s">
        <v>155</v>
      </c>
      <c r="AF631" t="s">
        <v>155</v>
      </c>
      <c r="AG631" t="s">
        <v>155</v>
      </c>
      <c r="AH631" t="s">
        <v>155</v>
      </c>
    </row>
    <row r="632" spans="19:34" ht="16.2" customHeight="1" x14ac:dyDescent="0.3">
      <c r="T632" t="s">
        <v>160</v>
      </c>
      <c r="U632" t="s">
        <v>155</v>
      </c>
      <c r="V632" t="s">
        <v>155</v>
      </c>
      <c r="W632" t="s">
        <v>155</v>
      </c>
      <c r="X632" t="s">
        <v>155</v>
      </c>
      <c r="Y632" t="s">
        <v>155</v>
      </c>
      <c r="AC632" t="s">
        <v>160</v>
      </c>
      <c r="AD632" t="s">
        <v>155</v>
      </c>
      <c r="AE632" t="s">
        <v>155</v>
      </c>
      <c r="AF632" t="s">
        <v>155</v>
      </c>
      <c r="AG632" t="s">
        <v>155</v>
      </c>
      <c r="AH632" t="s">
        <v>155</v>
      </c>
    </row>
    <row r="633" spans="19:34" ht="16.2" customHeight="1" x14ac:dyDescent="0.3">
      <c r="T633" t="s">
        <v>169</v>
      </c>
      <c r="U633" t="s">
        <v>155</v>
      </c>
      <c r="V633" t="s">
        <v>155</v>
      </c>
      <c r="W633" t="s">
        <v>155</v>
      </c>
      <c r="X633" t="s">
        <v>155</v>
      </c>
      <c r="Y633" t="s">
        <v>155</v>
      </c>
      <c r="AC633" t="s">
        <v>169</v>
      </c>
      <c r="AD633" t="s">
        <v>155</v>
      </c>
      <c r="AE633" t="s">
        <v>155</v>
      </c>
      <c r="AF633" t="s">
        <v>155</v>
      </c>
      <c r="AG633" t="s">
        <v>155</v>
      </c>
      <c r="AH633" t="s">
        <v>155</v>
      </c>
    </row>
    <row r="634" spans="19:34" ht="16.2" customHeight="1" x14ac:dyDescent="0.3">
      <c r="T634" t="s">
        <v>170</v>
      </c>
      <c r="U634" t="s">
        <v>155</v>
      </c>
      <c r="V634" t="s">
        <v>155</v>
      </c>
      <c r="W634" t="s">
        <v>155</v>
      </c>
      <c r="X634" t="s">
        <v>155</v>
      </c>
      <c r="Y634" t="s">
        <v>155</v>
      </c>
      <c r="AC634" t="s">
        <v>170</v>
      </c>
      <c r="AD634" t="s">
        <v>155</v>
      </c>
      <c r="AE634" t="s">
        <v>155</v>
      </c>
      <c r="AF634" t="s">
        <v>155</v>
      </c>
      <c r="AG634" t="s">
        <v>155</v>
      </c>
      <c r="AH634" t="s">
        <v>155</v>
      </c>
    </row>
    <row r="635" spans="19:34" ht="16.2" customHeight="1" x14ac:dyDescent="0.3">
      <c r="T635" t="s">
        <v>171</v>
      </c>
      <c r="U635" t="s">
        <v>155</v>
      </c>
      <c r="V635" t="s">
        <v>155</v>
      </c>
      <c r="W635" t="s">
        <v>155</v>
      </c>
      <c r="X635" t="s">
        <v>155</v>
      </c>
      <c r="Y635" t="s">
        <v>155</v>
      </c>
      <c r="AC635" t="s">
        <v>171</v>
      </c>
      <c r="AD635" t="s">
        <v>155</v>
      </c>
      <c r="AE635" t="s">
        <v>155</v>
      </c>
      <c r="AF635" t="s">
        <v>155</v>
      </c>
      <c r="AG635" t="s">
        <v>155</v>
      </c>
      <c r="AH635" t="s">
        <v>155</v>
      </c>
    </row>
    <row r="636" spans="19:34" ht="16.2" customHeight="1" x14ac:dyDescent="0.3">
      <c r="T636" t="s">
        <v>172</v>
      </c>
      <c r="U636" t="s">
        <v>155</v>
      </c>
      <c r="V636" t="s">
        <v>155</v>
      </c>
      <c r="W636" t="s">
        <v>155</v>
      </c>
      <c r="X636" t="s">
        <v>155</v>
      </c>
      <c r="Y636" t="s">
        <v>155</v>
      </c>
      <c r="AC636" t="s">
        <v>172</v>
      </c>
      <c r="AD636" t="s">
        <v>155</v>
      </c>
      <c r="AE636" t="s">
        <v>155</v>
      </c>
      <c r="AF636" t="s">
        <v>155</v>
      </c>
      <c r="AG636" t="s">
        <v>155</v>
      </c>
      <c r="AH636" t="s">
        <v>155</v>
      </c>
    </row>
    <row r="638" spans="19:34" ht="16.2" customHeight="1" x14ac:dyDescent="0.3">
      <c r="S638" s="15" t="s">
        <v>143</v>
      </c>
      <c r="T638" t="s">
        <v>225</v>
      </c>
      <c r="AB638" s="15" t="s">
        <v>143</v>
      </c>
      <c r="AC638" t="s">
        <v>225</v>
      </c>
    </row>
    <row r="639" spans="19:34" ht="16.2" customHeight="1" x14ac:dyDescent="0.3">
      <c r="U639" t="s">
        <v>164</v>
      </c>
      <c r="V639" t="s">
        <v>165</v>
      </c>
      <c r="W639" t="s">
        <v>166</v>
      </c>
      <c r="X639" t="s">
        <v>167</v>
      </c>
      <c r="Y639" t="s">
        <v>168</v>
      </c>
      <c r="AD639" t="s">
        <v>164</v>
      </c>
      <c r="AE639" t="s">
        <v>165</v>
      </c>
      <c r="AF639" t="s">
        <v>166</v>
      </c>
      <c r="AG639" t="s">
        <v>167</v>
      </c>
      <c r="AH639" t="s">
        <v>168</v>
      </c>
    </row>
    <row r="640" spans="19:34" ht="16.2" customHeight="1" x14ac:dyDescent="0.3">
      <c r="T640" t="s">
        <v>154</v>
      </c>
      <c r="U640" t="s">
        <v>155</v>
      </c>
      <c r="V640" t="s">
        <v>155</v>
      </c>
      <c r="W640" t="s">
        <v>155</v>
      </c>
      <c r="X640" t="s">
        <v>155</v>
      </c>
      <c r="Y640" t="s">
        <v>155</v>
      </c>
      <c r="AC640" t="s">
        <v>154</v>
      </c>
      <c r="AD640" t="s">
        <v>155</v>
      </c>
      <c r="AE640" t="s">
        <v>155</v>
      </c>
      <c r="AF640" t="s">
        <v>155</v>
      </c>
      <c r="AG640" t="s">
        <v>155</v>
      </c>
      <c r="AH640" t="s">
        <v>155</v>
      </c>
    </row>
    <row r="641" spans="19:34" ht="16.2" customHeight="1" x14ac:dyDescent="0.3">
      <c r="T641" t="s">
        <v>156</v>
      </c>
      <c r="U641" t="s">
        <v>155</v>
      </c>
      <c r="V641" t="s">
        <v>155</v>
      </c>
      <c r="W641" t="s">
        <v>155</v>
      </c>
      <c r="X641" t="s">
        <v>155</v>
      </c>
      <c r="Y641" t="s">
        <v>155</v>
      </c>
      <c r="AC641" t="s">
        <v>156</v>
      </c>
      <c r="AD641" t="s">
        <v>155</v>
      </c>
      <c r="AE641" t="s">
        <v>155</v>
      </c>
      <c r="AF641" t="s">
        <v>155</v>
      </c>
      <c r="AG641" t="s">
        <v>155</v>
      </c>
      <c r="AH641" t="s">
        <v>155</v>
      </c>
    </row>
    <row r="642" spans="19:34" ht="16.2" customHeight="1" x14ac:dyDescent="0.3">
      <c r="T642" t="s">
        <v>157</v>
      </c>
      <c r="U642" t="s">
        <v>155</v>
      </c>
      <c r="V642" t="s">
        <v>155</v>
      </c>
      <c r="W642" t="s">
        <v>155</v>
      </c>
      <c r="X642" t="s">
        <v>155</v>
      </c>
      <c r="Y642" t="s">
        <v>155</v>
      </c>
      <c r="AC642" t="s">
        <v>157</v>
      </c>
      <c r="AD642" t="s">
        <v>155</v>
      </c>
      <c r="AE642" t="s">
        <v>155</v>
      </c>
      <c r="AF642" t="s">
        <v>96</v>
      </c>
      <c r="AG642" t="s">
        <v>155</v>
      </c>
      <c r="AH642" t="s">
        <v>155</v>
      </c>
    </row>
    <row r="643" spans="19:34" ht="16.2" customHeight="1" x14ac:dyDescent="0.3">
      <c r="T643" t="s">
        <v>158</v>
      </c>
      <c r="U643" t="s">
        <v>155</v>
      </c>
      <c r="V643" t="s">
        <v>96</v>
      </c>
      <c r="W643" t="s">
        <v>155</v>
      </c>
      <c r="X643" t="s">
        <v>155</v>
      </c>
      <c r="Y643" t="s">
        <v>155</v>
      </c>
      <c r="AC643" t="s">
        <v>158</v>
      </c>
      <c r="AD643" t="s">
        <v>155</v>
      </c>
      <c r="AE643" t="s">
        <v>155</v>
      </c>
      <c r="AF643" t="s">
        <v>96</v>
      </c>
      <c r="AG643" t="s">
        <v>155</v>
      </c>
      <c r="AH643" t="s">
        <v>155</v>
      </c>
    </row>
    <row r="644" spans="19:34" ht="16.2" customHeight="1" x14ac:dyDescent="0.3">
      <c r="T644" t="s">
        <v>159</v>
      </c>
      <c r="U644" t="s">
        <v>155</v>
      </c>
      <c r="V644" t="s">
        <v>96</v>
      </c>
      <c r="W644" t="s">
        <v>155</v>
      </c>
      <c r="X644" t="s">
        <v>96</v>
      </c>
      <c r="Y644" t="s">
        <v>155</v>
      </c>
      <c r="AC644" t="s">
        <v>159</v>
      </c>
      <c r="AD644" t="s">
        <v>96</v>
      </c>
      <c r="AE644" t="s">
        <v>155</v>
      </c>
      <c r="AF644" t="s">
        <v>155</v>
      </c>
      <c r="AG644" t="s">
        <v>155</v>
      </c>
      <c r="AH644" t="s">
        <v>155</v>
      </c>
    </row>
    <row r="645" spans="19:34" ht="16.2" customHeight="1" x14ac:dyDescent="0.3">
      <c r="T645" t="s">
        <v>160</v>
      </c>
      <c r="U645" t="s">
        <v>155</v>
      </c>
      <c r="V645" t="s">
        <v>155</v>
      </c>
      <c r="W645" t="s">
        <v>155</v>
      </c>
      <c r="X645" t="s">
        <v>96</v>
      </c>
      <c r="Y645" t="s">
        <v>155</v>
      </c>
      <c r="AC645" t="s">
        <v>160</v>
      </c>
      <c r="AD645" t="s">
        <v>96</v>
      </c>
      <c r="AE645" t="s">
        <v>155</v>
      </c>
      <c r="AF645" t="s">
        <v>155</v>
      </c>
      <c r="AG645" t="s">
        <v>155</v>
      </c>
      <c r="AH645" t="s">
        <v>155</v>
      </c>
    </row>
    <row r="646" spans="19:34" ht="16.2" customHeight="1" x14ac:dyDescent="0.3">
      <c r="T646" t="s">
        <v>169</v>
      </c>
      <c r="U646" t="s">
        <v>155</v>
      </c>
      <c r="V646" t="s">
        <v>155</v>
      </c>
      <c r="W646" t="s">
        <v>155</v>
      </c>
      <c r="X646" t="s">
        <v>155</v>
      </c>
      <c r="Y646" t="s">
        <v>155</v>
      </c>
      <c r="AC646" t="s">
        <v>169</v>
      </c>
      <c r="AD646" t="s">
        <v>155</v>
      </c>
      <c r="AE646" t="s">
        <v>155</v>
      </c>
      <c r="AF646" t="s">
        <v>155</v>
      </c>
      <c r="AG646" t="s">
        <v>155</v>
      </c>
      <c r="AH646" t="s">
        <v>155</v>
      </c>
    </row>
    <row r="647" spans="19:34" ht="16.2" customHeight="1" x14ac:dyDescent="0.3">
      <c r="T647" t="s">
        <v>170</v>
      </c>
      <c r="U647" t="s">
        <v>155</v>
      </c>
      <c r="V647" t="s">
        <v>155</v>
      </c>
      <c r="W647" t="s">
        <v>155</v>
      </c>
      <c r="X647" t="s">
        <v>155</v>
      </c>
      <c r="Y647" t="s">
        <v>155</v>
      </c>
      <c r="AC647" t="s">
        <v>170</v>
      </c>
      <c r="AD647" t="s">
        <v>155</v>
      </c>
      <c r="AE647" t="s">
        <v>155</v>
      </c>
      <c r="AF647" t="s">
        <v>155</v>
      </c>
      <c r="AG647" t="s">
        <v>155</v>
      </c>
      <c r="AH647" t="s">
        <v>155</v>
      </c>
    </row>
    <row r="648" spans="19:34" ht="16.2" customHeight="1" x14ac:dyDescent="0.3">
      <c r="T648" t="s">
        <v>171</v>
      </c>
      <c r="U648" t="s">
        <v>155</v>
      </c>
      <c r="V648" t="s">
        <v>155</v>
      </c>
      <c r="W648" t="s">
        <v>155</v>
      </c>
      <c r="X648" t="s">
        <v>155</v>
      </c>
      <c r="Y648" t="s">
        <v>155</v>
      </c>
      <c r="AC648" t="s">
        <v>171</v>
      </c>
      <c r="AD648" t="s">
        <v>155</v>
      </c>
      <c r="AE648" t="s">
        <v>155</v>
      </c>
      <c r="AF648" t="s">
        <v>155</v>
      </c>
      <c r="AG648" t="s">
        <v>155</v>
      </c>
      <c r="AH648" t="s">
        <v>155</v>
      </c>
    </row>
    <row r="649" spans="19:34" ht="16.2" customHeight="1" x14ac:dyDescent="0.3">
      <c r="T649" t="s">
        <v>172</v>
      </c>
      <c r="U649" t="s">
        <v>155</v>
      </c>
      <c r="V649" t="s">
        <v>155</v>
      </c>
      <c r="W649" t="s">
        <v>155</v>
      </c>
      <c r="X649" t="s">
        <v>155</v>
      </c>
      <c r="Y649" t="s">
        <v>155</v>
      </c>
      <c r="AC649" t="s">
        <v>172</v>
      </c>
      <c r="AD649" t="s">
        <v>155</v>
      </c>
      <c r="AE649" t="s">
        <v>155</v>
      </c>
      <c r="AF649" t="s">
        <v>155</v>
      </c>
      <c r="AG649" t="s">
        <v>155</v>
      </c>
      <c r="AH649" t="s">
        <v>155</v>
      </c>
    </row>
    <row r="651" spans="19:34" ht="16.2" customHeight="1" x14ac:dyDescent="0.3">
      <c r="S651" s="15" t="s">
        <v>144</v>
      </c>
      <c r="T651" t="s">
        <v>226</v>
      </c>
      <c r="AB651" s="15" t="s">
        <v>144</v>
      </c>
      <c r="AC651" t="s">
        <v>226</v>
      </c>
    </row>
    <row r="652" spans="19:34" ht="16.2" customHeight="1" x14ac:dyDescent="0.3">
      <c r="U652" t="s">
        <v>164</v>
      </c>
      <c r="V652" t="s">
        <v>165</v>
      </c>
      <c r="W652" t="s">
        <v>166</v>
      </c>
      <c r="X652" t="s">
        <v>167</v>
      </c>
      <c r="Y652" t="s">
        <v>168</v>
      </c>
      <c r="AD652" t="s">
        <v>164</v>
      </c>
      <c r="AE652" t="s">
        <v>165</v>
      </c>
      <c r="AF652" t="s">
        <v>166</v>
      </c>
      <c r="AG652" t="s">
        <v>167</v>
      </c>
      <c r="AH652" t="s">
        <v>168</v>
      </c>
    </row>
    <row r="653" spans="19:34" ht="16.2" customHeight="1" x14ac:dyDescent="0.3">
      <c r="T653" t="s">
        <v>154</v>
      </c>
      <c r="U653" t="s">
        <v>155</v>
      </c>
      <c r="V653" t="s">
        <v>155</v>
      </c>
      <c r="W653" t="s">
        <v>155</v>
      </c>
      <c r="X653" t="s">
        <v>155</v>
      </c>
      <c r="Y653" t="s">
        <v>155</v>
      </c>
      <c r="AC653" t="s">
        <v>154</v>
      </c>
      <c r="AD653" t="s">
        <v>155</v>
      </c>
      <c r="AE653" t="s">
        <v>155</v>
      </c>
      <c r="AF653" t="s">
        <v>155</v>
      </c>
      <c r="AG653" t="s">
        <v>155</v>
      </c>
      <c r="AH653" t="s">
        <v>155</v>
      </c>
    </row>
    <row r="654" spans="19:34" ht="16.2" customHeight="1" x14ac:dyDescent="0.3">
      <c r="T654" t="s">
        <v>156</v>
      </c>
      <c r="U654" t="s">
        <v>155</v>
      </c>
      <c r="V654" t="s">
        <v>155</v>
      </c>
      <c r="W654" t="s">
        <v>155</v>
      </c>
      <c r="X654" t="s">
        <v>155</v>
      </c>
      <c r="Y654" t="s">
        <v>155</v>
      </c>
      <c r="AC654" t="s">
        <v>156</v>
      </c>
      <c r="AD654" t="s">
        <v>155</v>
      </c>
      <c r="AE654" t="s">
        <v>155</v>
      </c>
      <c r="AF654" t="s">
        <v>155</v>
      </c>
      <c r="AG654" t="s">
        <v>155</v>
      </c>
      <c r="AH654" t="s">
        <v>155</v>
      </c>
    </row>
    <row r="655" spans="19:34" ht="16.2" customHeight="1" x14ac:dyDescent="0.3">
      <c r="T655" t="s">
        <v>157</v>
      </c>
      <c r="U655" t="s">
        <v>155</v>
      </c>
      <c r="V655" t="s">
        <v>155</v>
      </c>
      <c r="W655" t="s">
        <v>155</v>
      </c>
      <c r="X655" t="s">
        <v>155</v>
      </c>
      <c r="Y655" t="s">
        <v>155</v>
      </c>
      <c r="AC655" t="s">
        <v>157</v>
      </c>
      <c r="AD655" t="s">
        <v>155</v>
      </c>
      <c r="AE655" t="s">
        <v>155</v>
      </c>
      <c r="AF655" t="s">
        <v>96</v>
      </c>
      <c r="AG655" t="s">
        <v>155</v>
      </c>
      <c r="AH655" t="s">
        <v>155</v>
      </c>
    </row>
    <row r="656" spans="19:34" ht="16.2" customHeight="1" x14ac:dyDescent="0.3">
      <c r="T656" t="s">
        <v>158</v>
      </c>
      <c r="U656" t="s">
        <v>155</v>
      </c>
      <c r="V656" t="s">
        <v>96</v>
      </c>
      <c r="W656" t="s">
        <v>155</v>
      </c>
      <c r="X656" t="s">
        <v>155</v>
      </c>
      <c r="Y656" t="s">
        <v>155</v>
      </c>
      <c r="AC656" t="s">
        <v>158</v>
      </c>
      <c r="AD656" t="s">
        <v>155</v>
      </c>
      <c r="AE656" t="s">
        <v>155</v>
      </c>
      <c r="AF656" t="s">
        <v>96</v>
      </c>
      <c r="AG656" t="s">
        <v>155</v>
      </c>
      <c r="AH656" t="s">
        <v>155</v>
      </c>
    </row>
    <row r="657" spans="19:34" ht="16.2" customHeight="1" x14ac:dyDescent="0.3">
      <c r="T657" t="s">
        <v>159</v>
      </c>
      <c r="U657" t="s">
        <v>155</v>
      </c>
      <c r="V657" t="s">
        <v>96</v>
      </c>
      <c r="W657" t="s">
        <v>155</v>
      </c>
      <c r="X657" t="s">
        <v>96</v>
      </c>
      <c r="Y657" t="s">
        <v>155</v>
      </c>
      <c r="AC657" t="s">
        <v>159</v>
      </c>
      <c r="AD657" t="s">
        <v>96</v>
      </c>
      <c r="AE657" t="s">
        <v>155</v>
      </c>
      <c r="AF657" t="s">
        <v>155</v>
      </c>
      <c r="AG657" t="s">
        <v>155</v>
      </c>
      <c r="AH657" t="s">
        <v>155</v>
      </c>
    </row>
    <row r="658" spans="19:34" ht="16.2" customHeight="1" x14ac:dyDescent="0.3">
      <c r="T658" t="s">
        <v>160</v>
      </c>
      <c r="U658" t="s">
        <v>155</v>
      </c>
      <c r="V658" t="s">
        <v>155</v>
      </c>
      <c r="W658" t="s">
        <v>155</v>
      </c>
      <c r="X658" t="s">
        <v>96</v>
      </c>
      <c r="Y658" t="s">
        <v>155</v>
      </c>
      <c r="AC658" t="s">
        <v>160</v>
      </c>
      <c r="AD658" t="s">
        <v>96</v>
      </c>
      <c r="AE658" t="s">
        <v>155</v>
      </c>
      <c r="AF658" t="s">
        <v>155</v>
      </c>
      <c r="AG658" t="s">
        <v>155</v>
      </c>
      <c r="AH658" t="s">
        <v>155</v>
      </c>
    </row>
    <row r="659" spans="19:34" ht="16.2" customHeight="1" x14ac:dyDescent="0.3">
      <c r="T659" t="s">
        <v>169</v>
      </c>
      <c r="U659" t="s">
        <v>155</v>
      </c>
      <c r="V659" t="s">
        <v>155</v>
      </c>
      <c r="W659" t="s">
        <v>155</v>
      </c>
      <c r="X659" t="s">
        <v>155</v>
      </c>
      <c r="Y659" t="s">
        <v>155</v>
      </c>
      <c r="AC659" t="s">
        <v>169</v>
      </c>
      <c r="AD659" t="s">
        <v>155</v>
      </c>
      <c r="AE659" t="s">
        <v>155</v>
      </c>
      <c r="AF659" t="s">
        <v>155</v>
      </c>
      <c r="AG659" t="s">
        <v>155</v>
      </c>
      <c r="AH659" t="s">
        <v>155</v>
      </c>
    </row>
    <row r="660" spans="19:34" ht="16.2" customHeight="1" x14ac:dyDescent="0.3">
      <c r="T660" t="s">
        <v>170</v>
      </c>
      <c r="U660" t="s">
        <v>155</v>
      </c>
      <c r="V660" t="s">
        <v>155</v>
      </c>
      <c r="W660" t="s">
        <v>155</v>
      </c>
      <c r="X660" t="s">
        <v>155</v>
      </c>
      <c r="Y660" t="s">
        <v>155</v>
      </c>
      <c r="AC660" t="s">
        <v>170</v>
      </c>
      <c r="AD660" t="s">
        <v>155</v>
      </c>
      <c r="AE660" t="s">
        <v>155</v>
      </c>
      <c r="AF660" t="s">
        <v>155</v>
      </c>
      <c r="AG660" t="s">
        <v>155</v>
      </c>
      <c r="AH660" t="s">
        <v>155</v>
      </c>
    </row>
    <row r="661" spans="19:34" ht="16.2" customHeight="1" x14ac:dyDescent="0.3">
      <c r="T661" t="s">
        <v>171</v>
      </c>
      <c r="U661" t="s">
        <v>155</v>
      </c>
      <c r="V661" t="s">
        <v>155</v>
      </c>
      <c r="W661" t="s">
        <v>155</v>
      </c>
      <c r="X661" t="s">
        <v>155</v>
      </c>
      <c r="Y661" t="s">
        <v>155</v>
      </c>
      <c r="AC661" t="s">
        <v>171</v>
      </c>
      <c r="AD661" t="s">
        <v>155</v>
      </c>
      <c r="AE661" t="s">
        <v>155</v>
      </c>
      <c r="AF661" t="s">
        <v>155</v>
      </c>
      <c r="AG661" t="s">
        <v>155</v>
      </c>
      <c r="AH661" t="s">
        <v>155</v>
      </c>
    </row>
    <row r="662" spans="19:34" ht="16.2" customHeight="1" x14ac:dyDescent="0.3">
      <c r="T662" t="s">
        <v>172</v>
      </c>
      <c r="U662" t="s">
        <v>155</v>
      </c>
      <c r="V662" t="s">
        <v>155</v>
      </c>
      <c r="W662" t="s">
        <v>155</v>
      </c>
      <c r="X662" t="s">
        <v>155</v>
      </c>
      <c r="Y662" t="s">
        <v>155</v>
      </c>
      <c r="AC662" t="s">
        <v>172</v>
      </c>
      <c r="AD662" t="s">
        <v>155</v>
      </c>
      <c r="AE662" t="s">
        <v>155</v>
      </c>
      <c r="AF662" t="s">
        <v>155</v>
      </c>
      <c r="AG662" t="s">
        <v>155</v>
      </c>
      <c r="AH662" t="s">
        <v>155</v>
      </c>
    </row>
    <row r="664" spans="19:34" ht="16.2" customHeight="1" x14ac:dyDescent="0.3">
      <c r="S664" s="15" t="s">
        <v>145</v>
      </c>
      <c r="T664" t="s">
        <v>227</v>
      </c>
      <c r="AB664" s="15" t="s">
        <v>145</v>
      </c>
      <c r="AC664" t="s">
        <v>227</v>
      </c>
    </row>
    <row r="665" spans="19:34" ht="16.2" customHeight="1" x14ac:dyDescent="0.3">
      <c r="U665" t="s">
        <v>164</v>
      </c>
      <c r="V665" t="s">
        <v>165</v>
      </c>
      <c r="W665" t="s">
        <v>166</v>
      </c>
      <c r="X665" t="s">
        <v>167</v>
      </c>
      <c r="Y665" t="s">
        <v>168</v>
      </c>
      <c r="AD665" t="s">
        <v>164</v>
      </c>
      <c r="AE665" t="s">
        <v>165</v>
      </c>
      <c r="AF665" t="s">
        <v>166</v>
      </c>
      <c r="AG665" t="s">
        <v>167</v>
      </c>
      <c r="AH665" t="s">
        <v>168</v>
      </c>
    </row>
    <row r="666" spans="19:34" ht="16.2" customHeight="1" x14ac:dyDescent="0.3">
      <c r="T666" t="s">
        <v>154</v>
      </c>
      <c r="U666" t="s">
        <v>155</v>
      </c>
      <c r="V666" t="s">
        <v>97</v>
      </c>
      <c r="W666" t="s">
        <v>155</v>
      </c>
      <c r="X666" t="s">
        <v>155</v>
      </c>
      <c r="Y666" t="s">
        <v>97</v>
      </c>
      <c r="AC666" t="s">
        <v>154</v>
      </c>
      <c r="AD666" t="s">
        <v>155</v>
      </c>
      <c r="AE666" t="s">
        <v>97</v>
      </c>
      <c r="AF666" t="s">
        <v>155</v>
      </c>
      <c r="AG666" t="s">
        <v>155</v>
      </c>
      <c r="AH666" t="s">
        <v>97</v>
      </c>
    </row>
    <row r="667" spans="19:34" ht="16.2" customHeight="1" x14ac:dyDescent="0.3">
      <c r="T667" t="s">
        <v>156</v>
      </c>
      <c r="U667" t="s">
        <v>155</v>
      </c>
      <c r="V667" t="s">
        <v>97</v>
      </c>
      <c r="W667" t="s">
        <v>155</v>
      </c>
      <c r="X667" t="s">
        <v>155</v>
      </c>
      <c r="Y667" t="s">
        <v>97</v>
      </c>
      <c r="AC667" t="s">
        <v>156</v>
      </c>
      <c r="AD667" t="s">
        <v>155</v>
      </c>
      <c r="AE667" t="s">
        <v>97</v>
      </c>
      <c r="AF667" t="s">
        <v>155</v>
      </c>
      <c r="AG667" t="s">
        <v>155</v>
      </c>
      <c r="AH667" t="s">
        <v>97</v>
      </c>
    </row>
    <row r="668" spans="19:34" ht="16.2" customHeight="1" x14ac:dyDescent="0.3">
      <c r="T668" t="s">
        <v>157</v>
      </c>
      <c r="U668" t="s">
        <v>155</v>
      </c>
      <c r="V668" t="s">
        <v>97</v>
      </c>
      <c r="W668" t="s">
        <v>155</v>
      </c>
      <c r="X668" t="s">
        <v>155</v>
      </c>
      <c r="Y668" t="s">
        <v>155</v>
      </c>
      <c r="AC668" t="s">
        <v>157</v>
      </c>
      <c r="AD668" t="s">
        <v>155</v>
      </c>
      <c r="AE668" t="s">
        <v>97</v>
      </c>
      <c r="AF668" t="s">
        <v>155</v>
      </c>
      <c r="AG668" t="s">
        <v>155</v>
      </c>
      <c r="AH668" t="s">
        <v>155</v>
      </c>
    </row>
    <row r="669" spans="19:34" ht="16.2" customHeight="1" x14ac:dyDescent="0.3">
      <c r="T669" t="s">
        <v>158</v>
      </c>
      <c r="U669" t="s">
        <v>155</v>
      </c>
      <c r="V669" t="s">
        <v>155</v>
      </c>
      <c r="W669" t="s">
        <v>155</v>
      </c>
      <c r="X669" t="s">
        <v>155</v>
      </c>
      <c r="Y669" t="s">
        <v>155</v>
      </c>
      <c r="AC669" t="s">
        <v>158</v>
      </c>
      <c r="AD669" t="s">
        <v>155</v>
      </c>
      <c r="AE669" t="s">
        <v>155</v>
      </c>
      <c r="AF669" t="s">
        <v>155</v>
      </c>
      <c r="AG669" t="s">
        <v>155</v>
      </c>
      <c r="AH669" t="s">
        <v>155</v>
      </c>
    </row>
    <row r="670" spans="19:34" ht="16.2" customHeight="1" x14ac:dyDescent="0.3">
      <c r="T670" t="s">
        <v>159</v>
      </c>
      <c r="U670" t="s">
        <v>155</v>
      </c>
      <c r="V670" t="s">
        <v>155</v>
      </c>
      <c r="W670" t="s">
        <v>155</v>
      </c>
      <c r="X670" t="s">
        <v>155</v>
      </c>
      <c r="Y670" t="s">
        <v>155</v>
      </c>
      <c r="AC670" t="s">
        <v>159</v>
      </c>
      <c r="AD670" t="s">
        <v>155</v>
      </c>
      <c r="AE670" t="s">
        <v>155</v>
      </c>
      <c r="AF670" t="s">
        <v>155</v>
      </c>
      <c r="AG670" t="s">
        <v>155</v>
      </c>
      <c r="AH670" t="s">
        <v>155</v>
      </c>
    </row>
    <row r="671" spans="19:34" ht="16.2" customHeight="1" x14ac:dyDescent="0.3">
      <c r="T671" t="s">
        <v>160</v>
      </c>
      <c r="U671" t="s">
        <v>155</v>
      </c>
      <c r="V671" t="s">
        <v>155</v>
      </c>
      <c r="W671" t="s">
        <v>155</v>
      </c>
      <c r="X671" t="s">
        <v>155</v>
      </c>
      <c r="Y671" t="s">
        <v>155</v>
      </c>
      <c r="AC671" t="s">
        <v>160</v>
      </c>
      <c r="AD671" t="s">
        <v>155</v>
      </c>
      <c r="AE671" t="s">
        <v>155</v>
      </c>
      <c r="AF671" t="s">
        <v>155</v>
      </c>
      <c r="AG671" t="s">
        <v>155</v>
      </c>
      <c r="AH671" t="s">
        <v>155</v>
      </c>
    </row>
    <row r="672" spans="19:34" ht="16.2" customHeight="1" x14ac:dyDescent="0.3">
      <c r="T672" t="s">
        <v>169</v>
      </c>
      <c r="U672" t="s">
        <v>155</v>
      </c>
      <c r="V672" t="s">
        <v>155</v>
      </c>
      <c r="W672" t="s">
        <v>155</v>
      </c>
      <c r="X672" t="s">
        <v>155</v>
      </c>
      <c r="Y672" t="s">
        <v>155</v>
      </c>
      <c r="AC672" t="s">
        <v>169</v>
      </c>
      <c r="AD672" t="s">
        <v>155</v>
      </c>
      <c r="AE672" t="s">
        <v>155</v>
      </c>
      <c r="AF672" t="s">
        <v>155</v>
      </c>
      <c r="AG672" t="s">
        <v>155</v>
      </c>
      <c r="AH672" t="s">
        <v>155</v>
      </c>
    </row>
    <row r="673" spans="19:34" ht="16.2" customHeight="1" x14ac:dyDescent="0.3">
      <c r="T673" t="s">
        <v>170</v>
      </c>
      <c r="U673" t="s">
        <v>155</v>
      </c>
      <c r="V673" t="s">
        <v>155</v>
      </c>
      <c r="W673" t="s">
        <v>155</v>
      </c>
      <c r="X673" t="s">
        <v>155</v>
      </c>
      <c r="Y673" t="s">
        <v>155</v>
      </c>
      <c r="AC673" t="s">
        <v>170</v>
      </c>
      <c r="AD673" t="s">
        <v>155</v>
      </c>
      <c r="AE673" t="s">
        <v>155</v>
      </c>
      <c r="AF673" t="s">
        <v>155</v>
      </c>
      <c r="AG673" t="s">
        <v>155</v>
      </c>
      <c r="AH673" t="s">
        <v>155</v>
      </c>
    </row>
    <row r="674" spans="19:34" ht="16.2" customHeight="1" x14ac:dyDescent="0.3">
      <c r="T674" t="s">
        <v>171</v>
      </c>
      <c r="U674" t="s">
        <v>155</v>
      </c>
      <c r="V674" t="s">
        <v>155</v>
      </c>
      <c r="W674" t="s">
        <v>155</v>
      </c>
      <c r="X674" t="s">
        <v>155</v>
      </c>
      <c r="Y674" t="s">
        <v>155</v>
      </c>
      <c r="AC674" t="s">
        <v>171</v>
      </c>
      <c r="AD674" t="s">
        <v>155</v>
      </c>
      <c r="AE674" t="s">
        <v>155</v>
      </c>
      <c r="AF674" t="s">
        <v>155</v>
      </c>
      <c r="AG674" t="s">
        <v>155</v>
      </c>
      <c r="AH674" t="s">
        <v>155</v>
      </c>
    </row>
    <row r="675" spans="19:34" ht="16.2" customHeight="1" x14ac:dyDescent="0.3">
      <c r="T675" t="s">
        <v>172</v>
      </c>
      <c r="U675" t="s">
        <v>155</v>
      </c>
      <c r="V675" t="s">
        <v>155</v>
      </c>
      <c r="W675" t="s">
        <v>155</v>
      </c>
      <c r="X675" t="s">
        <v>155</v>
      </c>
      <c r="Y675" t="s">
        <v>155</v>
      </c>
      <c r="AC675" t="s">
        <v>172</v>
      </c>
      <c r="AD675" t="s">
        <v>155</v>
      </c>
      <c r="AE675" t="s">
        <v>155</v>
      </c>
      <c r="AF675" t="s">
        <v>155</v>
      </c>
      <c r="AG675" t="s">
        <v>155</v>
      </c>
      <c r="AH675" t="s">
        <v>155</v>
      </c>
    </row>
    <row r="677" spans="19:34" ht="16.2" customHeight="1" x14ac:dyDescent="0.3">
      <c r="S677" s="15" t="s">
        <v>146</v>
      </c>
      <c r="T677" t="s">
        <v>228</v>
      </c>
      <c r="AB677" s="15" t="s">
        <v>146</v>
      </c>
      <c r="AC677" t="s">
        <v>228</v>
      </c>
    </row>
    <row r="678" spans="19:34" ht="16.2" customHeight="1" x14ac:dyDescent="0.3">
      <c r="U678" t="s">
        <v>164</v>
      </c>
      <c r="V678" t="s">
        <v>165</v>
      </c>
      <c r="W678" t="s">
        <v>166</v>
      </c>
      <c r="X678" t="s">
        <v>167</v>
      </c>
      <c r="Y678" t="s">
        <v>168</v>
      </c>
      <c r="AD678" t="s">
        <v>164</v>
      </c>
      <c r="AE678" t="s">
        <v>165</v>
      </c>
      <c r="AF678" t="s">
        <v>166</v>
      </c>
      <c r="AG678" t="s">
        <v>167</v>
      </c>
      <c r="AH678" t="s">
        <v>168</v>
      </c>
    </row>
    <row r="679" spans="19:34" ht="16.2" customHeight="1" x14ac:dyDescent="0.3">
      <c r="T679" t="s">
        <v>154</v>
      </c>
      <c r="U679" t="s">
        <v>155</v>
      </c>
      <c r="V679" t="s">
        <v>97</v>
      </c>
      <c r="W679" t="s">
        <v>155</v>
      </c>
      <c r="X679" t="s">
        <v>155</v>
      </c>
      <c r="Y679" t="s">
        <v>97</v>
      </c>
      <c r="AC679" t="s">
        <v>154</v>
      </c>
      <c r="AD679" t="s">
        <v>155</v>
      </c>
      <c r="AE679" t="s">
        <v>97</v>
      </c>
      <c r="AF679" t="s">
        <v>155</v>
      </c>
      <c r="AG679" t="s">
        <v>155</v>
      </c>
      <c r="AH679" t="s">
        <v>97</v>
      </c>
    </row>
    <row r="680" spans="19:34" ht="16.2" customHeight="1" x14ac:dyDescent="0.3">
      <c r="T680" t="s">
        <v>156</v>
      </c>
      <c r="U680" t="s">
        <v>155</v>
      </c>
      <c r="V680" t="s">
        <v>97</v>
      </c>
      <c r="W680" t="s">
        <v>155</v>
      </c>
      <c r="X680" t="s">
        <v>155</v>
      </c>
      <c r="Y680" t="s">
        <v>97</v>
      </c>
      <c r="AC680" t="s">
        <v>156</v>
      </c>
      <c r="AD680" t="s">
        <v>155</v>
      </c>
      <c r="AE680" t="s">
        <v>97</v>
      </c>
      <c r="AF680" t="s">
        <v>155</v>
      </c>
      <c r="AG680" t="s">
        <v>155</v>
      </c>
      <c r="AH680" t="s">
        <v>97</v>
      </c>
    </row>
    <row r="681" spans="19:34" ht="16.2" customHeight="1" x14ac:dyDescent="0.3">
      <c r="T681" t="s">
        <v>157</v>
      </c>
      <c r="U681" t="s">
        <v>155</v>
      </c>
      <c r="V681" t="s">
        <v>97</v>
      </c>
      <c r="W681" t="s">
        <v>155</v>
      </c>
      <c r="X681" t="s">
        <v>155</v>
      </c>
      <c r="Y681" t="s">
        <v>155</v>
      </c>
      <c r="AC681" t="s">
        <v>157</v>
      </c>
      <c r="AD681" t="s">
        <v>155</v>
      </c>
      <c r="AE681" t="s">
        <v>97</v>
      </c>
      <c r="AF681" t="s">
        <v>155</v>
      </c>
      <c r="AG681" t="s">
        <v>155</v>
      </c>
      <c r="AH681" t="s">
        <v>155</v>
      </c>
    </row>
    <row r="682" spans="19:34" ht="16.2" customHeight="1" x14ac:dyDescent="0.3">
      <c r="T682" t="s">
        <v>158</v>
      </c>
      <c r="U682" t="s">
        <v>155</v>
      </c>
      <c r="V682" t="s">
        <v>155</v>
      </c>
      <c r="W682" t="s">
        <v>155</v>
      </c>
      <c r="X682" t="s">
        <v>155</v>
      </c>
      <c r="Y682" t="s">
        <v>155</v>
      </c>
      <c r="AC682" t="s">
        <v>158</v>
      </c>
      <c r="AD682" t="s">
        <v>155</v>
      </c>
      <c r="AE682" t="s">
        <v>155</v>
      </c>
      <c r="AF682" t="s">
        <v>155</v>
      </c>
      <c r="AG682" t="s">
        <v>155</v>
      </c>
      <c r="AH682" t="s">
        <v>155</v>
      </c>
    </row>
    <row r="683" spans="19:34" ht="16.2" customHeight="1" x14ac:dyDescent="0.3">
      <c r="T683" t="s">
        <v>159</v>
      </c>
      <c r="U683" t="s">
        <v>155</v>
      </c>
      <c r="V683" t="s">
        <v>155</v>
      </c>
      <c r="W683" t="s">
        <v>155</v>
      </c>
      <c r="X683" t="s">
        <v>155</v>
      </c>
      <c r="Y683" t="s">
        <v>155</v>
      </c>
      <c r="AC683" t="s">
        <v>159</v>
      </c>
      <c r="AD683" t="s">
        <v>155</v>
      </c>
      <c r="AE683" t="s">
        <v>155</v>
      </c>
      <c r="AF683" t="s">
        <v>155</v>
      </c>
      <c r="AG683" t="s">
        <v>155</v>
      </c>
      <c r="AH683" t="s">
        <v>155</v>
      </c>
    </row>
    <row r="684" spans="19:34" ht="16.2" customHeight="1" x14ac:dyDescent="0.3">
      <c r="T684" t="s">
        <v>160</v>
      </c>
      <c r="U684" t="s">
        <v>155</v>
      </c>
      <c r="V684" t="s">
        <v>155</v>
      </c>
      <c r="W684" t="s">
        <v>155</v>
      </c>
      <c r="X684" t="s">
        <v>155</v>
      </c>
      <c r="Y684" t="s">
        <v>155</v>
      </c>
      <c r="AC684" t="s">
        <v>160</v>
      </c>
      <c r="AD684" t="s">
        <v>155</v>
      </c>
      <c r="AE684" t="s">
        <v>155</v>
      </c>
      <c r="AF684" t="s">
        <v>155</v>
      </c>
      <c r="AG684" t="s">
        <v>155</v>
      </c>
      <c r="AH684" t="s">
        <v>155</v>
      </c>
    </row>
    <row r="685" spans="19:34" ht="16.2" customHeight="1" x14ac:dyDescent="0.3">
      <c r="T685" t="s">
        <v>169</v>
      </c>
      <c r="U685" t="s">
        <v>155</v>
      </c>
      <c r="V685" t="s">
        <v>155</v>
      </c>
      <c r="W685" t="s">
        <v>155</v>
      </c>
      <c r="X685" t="s">
        <v>155</v>
      </c>
      <c r="Y685" t="s">
        <v>155</v>
      </c>
      <c r="AC685" t="s">
        <v>169</v>
      </c>
      <c r="AD685" t="s">
        <v>155</v>
      </c>
      <c r="AE685" t="s">
        <v>155</v>
      </c>
      <c r="AF685" t="s">
        <v>155</v>
      </c>
      <c r="AG685" t="s">
        <v>155</v>
      </c>
      <c r="AH685" t="s">
        <v>155</v>
      </c>
    </row>
    <row r="686" spans="19:34" ht="16.2" customHeight="1" x14ac:dyDescent="0.3">
      <c r="T686" t="s">
        <v>170</v>
      </c>
      <c r="U686" t="s">
        <v>155</v>
      </c>
      <c r="V686" t="s">
        <v>155</v>
      </c>
      <c r="W686" t="s">
        <v>155</v>
      </c>
      <c r="X686" t="s">
        <v>155</v>
      </c>
      <c r="Y686" t="s">
        <v>155</v>
      </c>
      <c r="AC686" t="s">
        <v>170</v>
      </c>
      <c r="AD686" t="s">
        <v>155</v>
      </c>
      <c r="AE686" t="s">
        <v>155</v>
      </c>
      <c r="AF686" t="s">
        <v>155</v>
      </c>
      <c r="AG686" t="s">
        <v>155</v>
      </c>
      <c r="AH686" t="s">
        <v>155</v>
      </c>
    </row>
    <row r="687" spans="19:34" ht="16.2" customHeight="1" x14ac:dyDescent="0.3">
      <c r="T687" t="s">
        <v>171</v>
      </c>
      <c r="U687" t="s">
        <v>155</v>
      </c>
      <c r="V687" t="s">
        <v>155</v>
      </c>
      <c r="W687" t="s">
        <v>155</v>
      </c>
      <c r="X687" t="s">
        <v>155</v>
      </c>
      <c r="Y687" t="s">
        <v>155</v>
      </c>
      <c r="AC687" t="s">
        <v>171</v>
      </c>
      <c r="AD687" t="s">
        <v>155</v>
      </c>
      <c r="AE687" t="s">
        <v>155</v>
      </c>
      <c r="AF687" t="s">
        <v>155</v>
      </c>
      <c r="AG687" t="s">
        <v>155</v>
      </c>
      <c r="AH687" t="s">
        <v>155</v>
      </c>
    </row>
    <row r="688" spans="19:34" ht="16.2" customHeight="1" x14ac:dyDescent="0.3">
      <c r="T688" t="s">
        <v>172</v>
      </c>
      <c r="U688" t="s">
        <v>155</v>
      </c>
      <c r="V688" t="s">
        <v>155</v>
      </c>
      <c r="W688" t="s">
        <v>155</v>
      </c>
      <c r="X688" t="s">
        <v>155</v>
      </c>
      <c r="Y688" t="s">
        <v>155</v>
      </c>
      <c r="AC688" t="s">
        <v>172</v>
      </c>
      <c r="AD688" t="s">
        <v>155</v>
      </c>
      <c r="AE688" t="s">
        <v>155</v>
      </c>
      <c r="AF688" t="s">
        <v>155</v>
      </c>
      <c r="AG688" t="s">
        <v>155</v>
      </c>
      <c r="AH688" t="s">
        <v>155</v>
      </c>
    </row>
    <row r="690" spans="19:34" ht="16.2" customHeight="1" x14ac:dyDescent="0.3">
      <c r="S690" s="15" t="s">
        <v>147</v>
      </c>
      <c r="T690" t="s">
        <v>229</v>
      </c>
      <c r="AB690" s="15" t="s">
        <v>147</v>
      </c>
      <c r="AC690" t="s">
        <v>229</v>
      </c>
    </row>
    <row r="691" spans="19:34" ht="16.2" customHeight="1" x14ac:dyDescent="0.3">
      <c r="U691" t="s">
        <v>164</v>
      </c>
      <c r="V691" t="s">
        <v>165</v>
      </c>
      <c r="W691" t="s">
        <v>166</v>
      </c>
      <c r="X691" t="s">
        <v>167</v>
      </c>
      <c r="Y691" t="s">
        <v>168</v>
      </c>
      <c r="AD691" t="s">
        <v>164</v>
      </c>
      <c r="AE691" t="s">
        <v>165</v>
      </c>
      <c r="AF691" t="s">
        <v>166</v>
      </c>
      <c r="AG691" t="s">
        <v>167</v>
      </c>
      <c r="AH691" t="s">
        <v>168</v>
      </c>
    </row>
    <row r="692" spans="19:34" ht="16.2" customHeight="1" x14ac:dyDescent="0.3">
      <c r="T692" t="s">
        <v>154</v>
      </c>
      <c r="U692" t="s">
        <v>99</v>
      </c>
      <c r="V692" t="s">
        <v>155</v>
      </c>
      <c r="W692" t="s">
        <v>155</v>
      </c>
      <c r="X692" t="s">
        <v>99</v>
      </c>
      <c r="Y692" t="s">
        <v>155</v>
      </c>
      <c r="AC692" t="s">
        <v>154</v>
      </c>
      <c r="AD692" t="s">
        <v>99</v>
      </c>
      <c r="AE692" t="s">
        <v>155</v>
      </c>
      <c r="AF692" t="s">
        <v>155</v>
      </c>
      <c r="AG692" t="s">
        <v>99</v>
      </c>
      <c r="AH692" t="s">
        <v>155</v>
      </c>
    </row>
    <row r="693" spans="19:34" ht="16.2" customHeight="1" x14ac:dyDescent="0.3">
      <c r="T693" t="s">
        <v>156</v>
      </c>
      <c r="U693" t="s">
        <v>99</v>
      </c>
      <c r="V693" t="s">
        <v>155</v>
      </c>
      <c r="W693" t="s">
        <v>155</v>
      </c>
      <c r="X693" t="s">
        <v>99</v>
      </c>
      <c r="Y693" t="s">
        <v>155</v>
      </c>
      <c r="AC693" t="s">
        <v>156</v>
      </c>
      <c r="AD693" t="s">
        <v>99</v>
      </c>
      <c r="AE693" t="s">
        <v>155</v>
      </c>
      <c r="AF693" t="s">
        <v>155</v>
      </c>
      <c r="AG693" t="s">
        <v>99</v>
      </c>
      <c r="AH693" t="s">
        <v>155</v>
      </c>
    </row>
    <row r="694" spans="19:34" ht="16.2" customHeight="1" x14ac:dyDescent="0.3">
      <c r="T694" t="s">
        <v>157</v>
      </c>
      <c r="U694" t="s">
        <v>155</v>
      </c>
      <c r="V694" t="s">
        <v>155</v>
      </c>
      <c r="W694" t="s">
        <v>155</v>
      </c>
      <c r="X694" t="s">
        <v>155</v>
      </c>
      <c r="Y694" t="s">
        <v>155</v>
      </c>
      <c r="AC694" t="s">
        <v>157</v>
      </c>
      <c r="AD694" t="s">
        <v>155</v>
      </c>
      <c r="AE694" t="s">
        <v>155</v>
      </c>
      <c r="AF694" t="s">
        <v>155</v>
      </c>
      <c r="AG694" t="s">
        <v>155</v>
      </c>
      <c r="AH694" t="s">
        <v>155</v>
      </c>
    </row>
    <row r="695" spans="19:34" ht="16.2" customHeight="1" x14ac:dyDescent="0.3">
      <c r="T695" t="s">
        <v>158</v>
      </c>
      <c r="U695" t="s">
        <v>155</v>
      </c>
      <c r="V695" t="s">
        <v>155</v>
      </c>
      <c r="W695" t="s">
        <v>155</v>
      </c>
      <c r="X695" t="s">
        <v>155</v>
      </c>
      <c r="Y695" t="s">
        <v>155</v>
      </c>
      <c r="AC695" t="s">
        <v>158</v>
      </c>
      <c r="AD695" t="s">
        <v>155</v>
      </c>
      <c r="AE695" t="s">
        <v>155</v>
      </c>
      <c r="AF695" t="s">
        <v>155</v>
      </c>
      <c r="AG695" t="s">
        <v>155</v>
      </c>
      <c r="AH695" t="s">
        <v>155</v>
      </c>
    </row>
    <row r="696" spans="19:34" ht="16.2" customHeight="1" x14ac:dyDescent="0.3">
      <c r="T696" t="s">
        <v>159</v>
      </c>
      <c r="U696" t="s">
        <v>155</v>
      </c>
      <c r="V696" t="s">
        <v>155</v>
      </c>
      <c r="W696" t="s">
        <v>155</v>
      </c>
      <c r="X696" t="s">
        <v>155</v>
      </c>
      <c r="Y696" t="s">
        <v>155</v>
      </c>
      <c r="AC696" t="s">
        <v>159</v>
      </c>
      <c r="AD696" t="s">
        <v>155</v>
      </c>
      <c r="AE696" t="s">
        <v>155</v>
      </c>
      <c r="AF696" t="s">
        <v>155</v>
      </c>
      <c r="AG696" t="s">
        <v>155</v>
      </c>
      <c r="AH696" t="s">
        <v>155</v>
      </c>
    </row>
    <row r="697" spans="19:34" ht="16.2" customHeight="1" x14ac:dyDescent="0.3">
      <c r="T697" t="s">
        <v>160</v>
      </c>
      <c r="U697" t="s">
        <v>155</v>
      </c>
      <c r="V697" t="s">
        <v>155</v>
      </c>
      <c r="W697" t="s">
        <v>155</v>
      </c>
      <c r="X697" t="s">
        <v>155</v>
      </c>
      <c r="Y697" t="s">
        <v>155</v>
      </c>
      <c r="AC697" t="s">
        <v>160</v>
      </c>
      <c r="AD697" t="s">
        <v>155</v>
      </c>
      <c r="AE697" t="s">
        <v>155</v>
      </c>
      <c r="AF697" t="s">
        <v>155</v>
      </c>
      <c r="AG697" t="s">
        <v>155</v>
      </c>
      <c r="AH697" t="s">
        <v>155</v>
      </c>
    </row>
    <row r="698" spans="19:34" ht="16.2" customHeight="1" x14ac:dyDescent="0.3">
      <c r="T698" t="s">
        <v>169</v>
      </c>
      <c r="U698" t="s">
        <v>155</v>
      </c>
      <c r="V698" t="s">
        <v>155</v>
      </c>
      <c r="W698" t="s">
        <v>155</v>
      </c>
      <c r="X698" t="s">
        <v>155</v>
      </c>
      <c r="Y698" t="s">
        <v>155</v>
      </c>
      <c r="AC698" t="s">
        <v>169</v>
      </c>
      <c r="AD698" t="s">
        <v>155</v>
      </c>
      <c r="AE698" t="s">
        <v>155</v>
      </c>
      <c r="AF698" t="s">
        <v>155</v>
      </c>
      <c r="AG698" t="s">
        <v>155</v>
      </c>
      <c r="AH698" t="s">
        <v>155</v>
      </c>
    </row>
    <row r="699" spans="19:34" ht="16.2" customHeight="1" x14ac:dyDescent="0.3">
      <c r="T699" t="s">
        <v>170</v>
      </c>
      <c r="U699" t="s">
        <v>155</v>
      </c>
      <c r="V699" t="s">
        <v>155</v>
      </c>
      <c r="W699" t="s">
        <v>155</v>
      </c>
      <c r="X699" t="s">
        <v>155</v>
      </c>
      <c r="Y699" t="s">
        <v>155</v>
      </c>
      <c r="AC699" t="s">
        <v>170</v>
      </c>
      <c r="AD699" t="s">
        <v>155</v>
      </c>
      <c r="AE699" t="s">
        <v>155</v>
      </c>
      <c r="AF699" t="s">
        <v>155</v>
      </c>
      <c r="AG699" t="s">
        <v>155</v>
      </c>
      <c r="AH699" t="s">
        <v>155</v>
      </c>
    </row>
    <row r="700" spans="19:34" ht="16.2" customHeight="1" x14ac:dyDescent="0.3">
      <c r="T700" t="s">
        <v>171</v>
      </c>
      <c r="U700" t="s">
        <v>155</v>
      </c>
      <c r="V700" t="s">
        <v>155</v>
      </c>
      <c r="W700" t="s">
        <v>155</v>
      </c>
      <c r="X700" t="s">
        <v>155</v>
      </c>
      <c r="Y700" t="s">
        <v>155</v>
      </c>
      <c r="AC700" t="s">
        <v>171</v>
      </c>
      <c r="AD700" t="s">
        <v>155</v>
      </c>
      <c r="AE700" t="s">
        <v>155</v>
      </c>
      <c r="AF700" t="s">
        <v>155</v>
      </c>
      <c r="AG700" t="s">
        <v>155</v>
      </c>
      <c r="AH700" t="s">
        <v>155</v>
      </c>
    </row>
    <row r="701" spans="19:34" ht="16.2" customHeight="1" x14ac:dyDescent="0.3">
      <c r="T701" t="s">
        <v>172</v>
      </c>
      <c r="U701" t="s">
        <v>155</v>
      </c>
      <c r="V701" t="s">
        <v>155</v>
      </c>
      <c r="W701" t="s">
        <v>155</v>
      </c>
      <c r="X701" t="s">
        <v>155</v>
      </c>
      <c r="Y701" t="s">
        <v>155</v>
      </c>
      <c r="AC701" t="s">
        <v>172</v>
      </c>
      <c r="AD701" t="s">
        <v>155</v>
      </c>
      <c r="AE701" t="s">
        <v>155</v>
      </c>
      <c r="AF701" t="s">
        <v>155</v>
      </c>
      <c r="AG701" t="s">
        <v>155</v>
      </c>
      <c r="AH701" t="s">
        <v>155</v>
      </c>
    </row>
    <row r="703" spans="19:34" ht="16.2" customHeight="1" x14ac:dyDescent="0.3">
      <c r="S703" s="15" t="s">
        <v>148</v>
      </c>
      <c r="T703" t="s">
        <v>230</v>
      </c>
      <c r="AB703" s="15" t="s">
        <v>148</v>
      </c>
      <c r="AC703" t="s">
        <v>230</v>
      </c>
    </row>
    <row r="704" spans="19:34" ht="16.2" customHeight="1" x14ac:dyDescent="0.3">
      <c r="U704" t="s">
        <v>164</v>
      </c>
      <c r="V704" t="s">
        <v>165</v>
      </c>
      <c r="W704" t="s">
        <v>166</v>
      </c>
      <c r="X704" t="s">
        <v>167</v>
      </c>
      <c r="Y704" t="s">
        <v>168</v>
      </c>
      <c r="AD704" t="s">
        <v>164</v>
      </c>
      <c r="AE704" t="s">
        <v>165</v>
      </c>
      <c r="AF704" t="s">
        <v>166</v>
      </c>
      <c r="AG704" t="s">
        <v>167</v>
      </c>
      <c r="AH704" t="s">
        <v>168</v>
      </c>
    </row>
    <row r="705" spans="19:34" ht="16.2" customHeight="1" x14ac:dyDescent="0.3">
      <c r="T705" t="s">
        <v>154</v>
      </c>
      <c r="U705" t="s">
        <v>155</v>
      </c>
      <c r="V705" t="s">
        <v>155</v>
      </c>
      <c r="W705" t="s">
        <v>155</v>
      </c>
      <c r="X705" t="s">
        <v>155</v>
      </c>
      <c r="Y705" t="s">
        <v>155</v>
      </c>
      <c r="AC705" t="s">
        <v>154</v>
      </c>
      <c r="AD705" t="s">
        <v>155</v>
      </c>
      <c r="AE705" t="s">
        <v>155</v>
      </c>
      <c r="AF705" t="s">
        <v>155</v>
      </c>
      <c r="AG705" t="s">
        <v>155</v>
      </c>
      <c r="AH705" t="s">
        <v>155</v>
      </c>
    </row>
    <row r="706" spans="19:34" ht="16.2" customHeight="1" x14ac:dyDescent="0.3">
      <c r="T706" t="s">
        <v>156</v>
      </c>
      <c r="U706" t="s">
        <v>155</v>
      </c>
      <c r="V706" t="s">
        <v>155</v>
      </c>
      <c r="W706" t="s">
        <v>155</v>
      </c>
      <c r="X706" t="s">
        <v>155</v>
      </c>
      <c r="Y706" t="s">
        <v>155</v>
      </c>
      <c r="AC706" t="s">
        <v>156</v>
      </c>
      <c r="AD706" t="s">
        <v>155</v>
      </c>
      <c r="AE706" t="s">
        <v>155</v>
      </c>
      <c r="AF706" t="s">
        <v>155</v>
      </c>
      <c r="AG706" t="s">
        <v>155</v>
      </c>
      <c r="AH706" t="s">
        <v>155</v>
      </c>
    </row>
    <row r="707" spans="19:34" ht="16.2" customHeight="1" x14ac:dyDescent="0.3">
      <c r="T707" t="s">
        <v>157</v>
      </c>
      <c r="U707" t="s">
        <v>155</v>
      </c>
      <c r="V707" t="s">
        <v>155</v>
      </c>
      <c r="W707" t="s">
        <v>98</v>
      </c>
      <c r="X707" t="s">
        <v>155</v>
      </c>
      <c r="Y707" t="s">
        <v>155</v>
      </c>
      <c r="AC707" t="s">
        <v>157</v>
      </c>
      <c r="AD707" t="s">
        <v>155</v>
      </c>
      <c r="AE707" t="s">
        <v>155</v>
      </c>
      <c r="AF707" t="s">
        <v>155</v>
      </c>
      <c r="AG707" t="s">
        <v>98</v>
      </c>
      <c r="AH707" t="s">
        <v>155</v>
      </c>
    </row>
    <row r="708" spans="19:34" ht="16.2" customHeight="1" x14ac:dyDescent="0.3">
      <c r="T708" t="s">
        <v>158</v>
      </c>
      <c r="U708" t="s">
        <v>155</v>
      </c>
      <c r="V708" t="s">
        <v>155</v>
      </c>
      <c r="W708" t="s">
        <v>98</v>
      </c>
      <c r="X708" t="s">
        <v>155</v>
      </c>
      <c r="Y708" t="s">
        <v>155</v>
      </c>
      <c r="AC708" t="s">
        <v>158</v>
      </c>
      <c r="AD708" t="s">
        <v>155</v>
      </c>
      <c r="AE708" t="s">
        <v>98</v>
      </c>
      <c r="AF708" t="s">
        <v>155</v>
      </c>
      <c r="AG708" t="s">
        <v>98</v>
      </c>
      <c r="AH708" t="s">
        <v>155</v>
      </c>
    </row>
    <row r="709" spans="19:34" ht="16.2" customHeight="1" x14ac:dyDescent="0.3">
      <c r="T709" t="s">
        <v>159</v>
      </c>
      <c r="U709" t="s">
        <v>98</v>
      </c>
      <c r="V709" t="s">
        <v>155</v>
      </c>
      <c r="W709" t="s">
        <v>98</v>
      </c>
      <c r="X709" t="s">
        <v>155</v>
      </c>
      <c r="Y709" t="s">
        <v>155</v>
      </c>
      <c r="AC709" t="s">
        <v>159</v>
      </c>
      <c r="AD709" t="s">
        <v>155</v>
      </c>
      <c r="AE709" t="s">
        <v>98</v>
      </c>
      <c r="AF709" t="s">
        <v>155</v>
      </c>
      <c r="AG709" t="s">
        <v>155</v>
      </c>
      <c r="AH709" t="s">
        <v>155</v>
      </c>
    </row>
    <row r="710" spans="19:34" ht="16.2" customHeight="1" x14ac:dyDescent="0.3">
      <c r="T710" t="s">
        <v>160</v>
      </c>
      <c r="U710" t="s">
        <v>98</v>
      </c>
      <c r="V710" t="s">
        <v>155</v>
      </c>
      <c r="W710" t="s">
        <v>155</v>
      </c>
      <c r="X710" t="s">
        <v>155</v>
      </c>
      <c r="Y710" t="s">
        <v>155</v>
      </c>
      <c r="AC710" t="s">
        <v>160</v>
      </c>
      <c r="AD710" t="s">
        <v>155</v>
      </c>
      <c r="AE710" t="s">
        <v>98</v>
      </c>
      <c r="AF710" t="s">
        <v>155</v>
      </c>
      <c r="AG710" t="s">
        <v>155</v>
      </c>
      <c r="AH710" t="s">
        <v>155</v>
      </c>
    </row>
    <row r="711" spans="19:34" ht="16.2" customHeight="1" x14ac:dyDescent="0.3">
      <c r="T711" t="s">
        <v>169</v>
      </c>
      <c r="U711" t="s">
        <v>155</v>
      </c>
      <c r="V711" t="s">
        <v>155</v>
      </c>
      <c r="W711" t="s">
        <v>155</v>
      </c>
      <c r="X711" t="s">
        <v>155</v>
      </c>
      <c r="Y711" t="s">
        <v>155</v>
      </c>
      <c r="AC711" t="s">
        <v>169</v>
      </c>
      <c r="AD711" t="s">
        <v>155</v>
      </c>
      <c r="AE711" t="s">
        <v>155</v>
      </c>
      <c r="AF711" t="s">
        <v>155</v>
      </c>
      <c r="AG711" t="s">
        <v>155</v>
      </c>
      <c r="AH711" t="s">
        <v>155</v>
      </c>
    </row>
    <row r="712" spans="19:34" ht="16.2" customHeight="1" x14ac:dyDescent="0.3">
      <c r="T712" t="s">
        <v>170</v>
      </c>
      <c r="U712" t="s">
        <v>155</v>
      </c>
      <c r="V712" t="s">
        <v>155</v>
      </c>
      <c r="W712" t="s">
        <v>155</v>
      </c>
      <c r="X712" t="s">
        <v>155</v>
      </c>
      <c r="Y712" t="s">
        <v>155</v>
      </c>
      <c r="AC712" t="s">
        <v>170</v>
      </c>
      <c r="AD712" t="s">
        <v>155</v>
      </c>
      <c r="AE712" t="s">
        <v>155</v>
      </c>
      <c r="AF712" t="s">
        <v>155</v>
      </c>
      <c r="AG712" t="s">
        <v>155</v>
      </c>
      <c r="AH712" t="s">
        <v>155</v>
      </c>
    </row>
    <row r="713" spans="19:34" ht="16.2" customHeight="1" x14ac:dyDescent="0.3">
      <c r="T713" t="s">
        <v>171</v>
      </c>
      <c r="U713" t="s">
        <v>155</v>
      </c>
      <c r="V713" t="s">
        <v>155</v>
      </c>
      <c r="W713" t="s">
        <v>155</v>
      </c>
      <c r="X713" t="s">
        <v>155</v>
      </c>
      <c r="Y713" t="s">
        <v>155</v>
      </c>
      <c r="AC713" t="s">
        <v>171</v>
      </c>
      <c r="AD713" t="s">
        <v>155</v>
      </c>
      <c r="AE713" t="s">
        <v>155</v>
      </c>
      <c r="AF713" t="s">
        <v>155</v>
      </c>
      <c r="AG713" t="s">
        <v>155</v>
      </c>
      <c r="AH713" t="s">
        <v>155</v>
      </c>
    </row>
    <row r="714" spans="19:34" ht="16.2" customHeight="1" x14ac:dyDescent="0.3">
      <c r="T714" t="s">
        <v>172</v>
      </c>
      <c r="U714" t="s">
        <v>155</v>
      </c>
      <c r="V714" t="s">
        <v>155</v>
      </c>
      <c r="W714" t="s">
        <v>155</v>
      </c>
      <c r="X714" t="s">
        <v>155</v>
      </c>
      <c r="Y714" t="s">
        <v>155</v>
      </c>
      <c r="AC714" t="s">
        <v>172</v>
      </c>
      <c r="AD714" t="s">
        <v>155</v>
      </c>
      <c r="AE714" t="s">
        <v>155</v>
      </c>
      <c r="AF714" t="s">
        <v>155</v>
      </c>
      <c r="AG714" t="s">
        <v>155</v>
      </c>
      <c r="AH714" t="s">
        <v>155</v>
      </c>
    </row>
    <row r="716" spans="19:34" ht="16.2" customHeight="1" x14ac:dyDescent="0.3">
      <c r="S716" s="15" t="s">
        <v>149</v>
      </c>
      <c r="T716" t="s">
        <v>231</v>
      </c>
      <c r="AB716" s="15" t="s">
        <v>149</v>
      </c>
      <c r="AC716" t="s">
        <v>231</v>
      </c>
    </row>
    <row r="717" spans="19:34" ht="16.2" customHeight="1" x14ac:dyDescent="0.3">
      <c r="U717" t="s">
        <v>164</v>
      </c>
      <c r="V717" t="s">
        <v>165</v>
      </c>
      <c r="W717" t="s">
        <v>166</v>
      </c>
      <c r="X717" t="s">
        <v>167</v>
      </c>
      <c r="Y717" t="s">
        <v>168</v>
      </c>
      <c r="AD717" t="s">
        <v>164</v>
      </c>
      <c r="AE717" t="s">
        <v>165</v>
      </c>
      <c r="AF717" t="s">
        <v>166</v>
      </c>
      <c r="AG717" t="s">
        <v>167</v>
      </c>
      <c r="AH717" t="s">
        <v>168</v>
      </c>
    </row>
    <row r="718" spans="19:34" ht="16.2" customHeight="1" x14ac:dyDescent="0.3">
      <c r="T718" t="s">
        <v>154</v>
      </c>
      <c r="U718" t="s">
        <v>155</v>
      </c>
      <c r="V718" t="s">
        <v>155</v>
      </c>
      <c r="W718" t="s">
        <v>155</v>
      </c>
      <c r="X718" t="s">
        <v>155</v>
      </c>
      <c r="Y718" t="s">
        <v>155</v>
      </c>
      <c r="AC718" t="s">
        <v>154</v>
      </c>
      <c r="AD718" t="s">
        <v>155</v>
      </c>
      <c r="AE718" t="s">
        <v>155</v>
      </c>
      <c r="AF718" t="s">
        <v>155</v>
      </c>
      <c r="AG718" t="s">
        <v>155</v>
      </c>
      <c r="AH718" t="s">
        <v>155</v>
      </c>
    </row>
    <row r="719" spans="19:34" ht="16.2" customHeight="1" x14ac:dyDescent="0.3">
      <c r="T719" t="s">
        <v>156</v>
      </c>
      <c r="U719" t="s">
        <v>155</v>
      </c>
      <c r="V719" t="s">
        <v>155</v>
      </c>
      <c r="W719" t="s">
        <v>155</v>
      </c>
      <c r="X719" t="s">
        <v>155</v>
      </c>
      <c r="Y719" t="s">
        <v>155</v>
      </c>
      <c r="AC719" t="s">
        <v>156</v>
      </c>
      <c r="AD719" t="s">
        <v>100</v>
      </c>
      <c r="AE719" t="s">
        <v>155</v>
      </c>
      <c r="AF719" t="s">
        <v>155</v>
      </c>
      <c r="AG719" t="s">
        <v>155</v>
      </c>
      <c r="AH719" t="s">
        <v>155</v>
      </c>
    </row>
    <row r="720" spans="19:34" ht="16.2" customHeight="1" x14ac:dyDescent="0.3">
      <c r="T720" t="s">
        <v>157</v>
      </c>
      <c r="U720" t="s">
        <v>100</v>
      </c>
      <c r="V720" t="s">
        <v>155</v>
      </c>
      <c r="W720" t="s">
        <v>100</v>
      </c>
      <c r="X720" t="s">
        <v>155</v>
      </c>
      <c r="Y720" t="s">
        <v>155</v>
      </c>
      <c r="AC720" t="s">
        <v>157</v>
      </c>
      <c r="AD720" t="s">
        <v>100</v>
      </c>
      <c r="AE720" t="s">
        <v>155</v>
      </c>
      <c r="AF720" t="s">
        <v>100</v>
      </c>
      <c r="AG720" t="s">
        <v>155</v>
      </c>
      <c r="AH720" t="s">
        <v>155</v>
      </c>
    </row>
    <row r="721" spans="19:34" ht="16.2" customHeight="1" x14ac:dyDescent="0.3">
      <c r="T721" t="s">
        <v>158</v>
      </c>
      <c r="U721" t="s">
        <v>100</v>
      </c>
      <c r="V721" t="s">
        <v>155</v>
      </c>
      <c r="W721" t="s">
        <v>100</v>
      </c>
      <c r="X721" t="s">
        <v>155</v>
      </c>
      <c r="Y721" t="s">
        <v>155</v>
      </c>
      <c r="AC721" t="s">
        <v>158</v>
      </c>
      <c r="AD721" t="s">
        <v>100</v>
      </c>
      <c r="AE721" t="s">
        <v>155</v>
      </c>
      <c r="AF721" t="s">
        <v>100</v>
      </c>
      <c r="AG721" t="s">
        <v>155</v>
      </c>
      <c r="AH721" t="s">
        <v>155</v>
      </c>
    </row>
    <row r="722" spans="19:34" ht="16.2" customHeight="1" x14ac:dyDescent="0.3">
      <c r="T722" t="s">
        <v>159</v>
      </c>
      <c r="U722" t="s">
        <v>100</v>
      </c>
      <c r="V722" t="s">
        <v>155</v>
      </c>
      <c r="W722" t="s">
        <v>100</v>
      </c>
      <c r="X722" t="s">
        <v>155</v>
      </c>
      <c r="Y722" t="s">
        <v>155</v>
      </c>
      <c r="AC722" t="s">
        <v>159</v>
      </c>
      <c r="AD722" t="s">
        <v>155</v>
      </c>
      <c r="AE722" t="s">
        <v>155</v>
      </c>
      <c r="AF722" t="s">
        <v>100</v>
      </c>
      <c r="AG722" t="s">
        <v>155</v>
      </c>
      <c r="AH722" t="s">
        <v>155</v>
      </c>
    </row>
    <row r="723" spans="19:34" ht="16.2" customHeight="1" x14ac:dyDescent="0.3">
      <c r="T723" t="s">
        <v>160</v>
      </c>
      <c r="U723" t="s">
        <v>155</v>
      </c>
      <c r="V723" t="s">
        <v>155</v>
      </c>
      <c r="W723" t="s">
        <v>155</v>
      </c>
      <c r="X723" t="s">
        <v>155</v>
      </c>
      <c r="Y723" t="s">
        <v>155</v>
      </c>
      <c r="AC723" t="s">
        <v>160</v>
      </c>
      <c r="AD723" t="s">
        <v>155</v>
      </c>
      <c r="AE723" t="s">
        <v>155</v>
      </c>
      <c r="AF723" t="s">
        <v>155</v>
      </c>
      <c r="AG723" t="s">
        <v>155</v>
      </c>
      <c r="AH723" t="s">
        <v>155</v>
      </c>
    </row>
    <row r="724" spans="19:34" ht="16.2" customHeight="1" x14ac:dyDescent="0.3">
      <c r="T724" t="s">
        <v>169</v>
      </c>
      <c r="U724" t="s">
        <v>155</v>
      </c>
      <c r="V724" t="s">
        <v>155</v>
      </c>
      <c r="W724" t="s">
        <v>155</v>
      </c>
      <c r="X724" t="s">
        <v>155</v>
      </c>
      <c r="Y724" t="s">
        <v>155</v>
      </c>
      <c r="AC724" t="s">
        <v>169</v>
      </c>
      <c r="AD724" t="s">
        <v>155</v>
      </c>
      <c r="AE724" t="s">
        <v>155</v>
      </c>
      <c r="AF724" t="s">
        <v>155</v>
      </c>
      <c r="AG724" t="s">
        <v>155</v>
      </c>
      <c r="AH724" t="s">
        <v>155</v>
      </c>
    </row>
    <row r="725" spans="19:34" ht="16.2" customHeight="1" x14ac:dyDescent="0.3">
      <c r="T725" t="s">
        <v>170</v>
      </c>
      <c r="U725" t="s">
        <v>155</v>
      </c>
      <c r="V725" t="s">
        <v>155</v>
      </c>
      <c r="W725" t="s">
        <v>155</v>
      </c>
      <c r="X725" t="s">
        <v>155</v>
      </c>
      <c r="Y725" t="s">
        <v>155</v>
      </c>
      <c r="AC725" t="s">
        <v>170</v>
      </c>
      <c r="AD725" t="s">
        <v>155</v>
      </c>
      <c r="AE725" t="s">
        <v>155</v>
      </c>
      <c r="AF725" t="s">
        <v>155</v>
      </c>
      <c r="AG725" t="s">
        <v>155</v>
      </c>
      <c r="AH725" t="s">
        <v>155</v>
      </c>
    </row>
    <row r="726" spans="19:34" ht="16.2" customHeight="1" x14ac:dyDescent="0.3">
      <c r="T726" t="s">
        <v>171</v>
      </c>
      <c r="U726" t="s">
        <v>155</v>
      </c>
      <c r="V726" t="s">
        <v>155</v>
      </c>
      <c r="W726" t="s">
        <v>155</v>
      </c>
      <c r="X726" t="s">
        <v>155</v>
      </c>
      <c r="Y726" t="s">
        <v>155</v>
      </c>
      <c r="AC726" t="s">
        <v>171</v>
      </c>
      <c r="AD726" t="s">
        <v>155</v>
      </c>
      <c r="AE726" t="s">
        <v>155</v>
      </c>
      <c r="AF726" t="s">
        <v>155</v>
      </c>
      <c r="AG726" t="s">
        <v>155</v>
      </c>
      <c r="AH726" t="s">
        <v>155</v>
      </c>
    </row>
    <row r="727" spans="19:34" ht="16.2" customHeight="1" x14ac:dyDescent="0.3">
      <c r="T727" t="s">
        <v>172</v>
      </c>
      <c r="U727" t="s">
        <v>155</v>
      </c>
      <c r="V727" t="s">
        <v>155</v>
      </c>
      <c r="W727" t="s">
        <v>155</v>
      </c>
      <c r="X727" t="s">
        <v>155</v>
      </c>
      <c r="Y727" t="s">
        <v>155</v>
      </c>
      <c r="AC727" t="s">
        <v>172</v>
      </c>
      <c r="AD727" t="s">
        <v>155</v>
      </c>
      <c r="AE727" t="s">
        <v>155</v>
      </c>
      <c r="AF727" t="s">
        <v>155</v>
      </c>
      <c r="AG727" t="s">
        <v>155</v>
      </c>
      <c r="AH727" t="s">
        <v>155</v>
      </c>
    </row>
    <row r="729" spans="19:34" ht="16.2" customHeight="1" x14ac:dyDescent="0.3">
      <c r="S729" s="15" t="s">
        <v>150</v>
      </c>
      <c r="T729" t="s">
        <v>232</v>
      </c>
      <c r="AB729" s="15" t="s">
        <v>150</v>
      </c>
      <c r="AC729" t="s">
        <v>232</v>
      </c>
    </row>
    <row r="730" spans="19:34" ht="16.2" customHeight="1" x14ac:dyDescent="0.3">
      <c r="U730" t="s">
        <v>164</v>
      </c>
      <c r="V730" t="s">
        <v>165</v>
      </c>
      <c r="W730" t="s">
        <v>166</v>
      </c>
      <c r="X730" t="s">
        <v>167</v>
      </c>
      <c r="Y730" t="s">
        <v>168</v>
      </c>
      <c r="AD730" t="s">
        <v>164</v>
      </c>
      <c r="AE730" t="s">
        <v>165</v>
      </c>
      <c r="AF730" t="s">
        <v>166</v>
      </c>
      <c r="AG730" t="s">
        <v>167</v>
      </c>
      <c r="AH730" t="s">
        <v>168</v>
      </c>
    </row>
    <row r="731" spans="19:34" ht="16.2" customHeight="1" x14ac:dyDescent="0.3">
      <c r="T731" t="s">
        <v>154</v>
      </c>
      <c r="U731" t="s">
        <v>155</v>
      </c>
      <c r="V731" t="s">
        <v>155</v>
      </c>
      <c r="W731" t="s">
        <v>155</v>
      </c>
      <c r="X731" t="s">
        <v>155</v>
      </c>
      <c r="Y731" t="s">
        <v>155</v>
      </c>
      <c r="AC731" t="s">
        <v>154</v>
      </c>
      <c r="AD731" t="s">
        <v>155</v>
      </c>
      <c r="AE731" t="s">
        <v>155</v>
      </c>
      <c r="AF731" t="s">
        <v>155</v>
      </c>
      <c r="AG731" t="s">
        <v>155</v>
      </c>
      <c r="AH731" t="s">
        <v>155</v>
      </c>
    </row>
    <row r="732" spans="19:34" ht="16.2" customHeight="1" x14ac:dyDescent="0.3">
      <c r="T732" t="s">
        <v>156</v>
      </c>
      <c r="U732" t="s">
        <v>155</v>
      </c>
      <c r="V732" t="s">
        <v>155</v>
      </c>
      <c r="W732" t="s">
        <v>155</v>
      </c>
      <c r="X732" t="s">
        <v>155</v>
      </c>
      <c r="Y732" t="s">
        <v>155</v>
      </c>
      <c r="AC732" t="s">
        <v>156</v>
      </c>
      <c r="AD732" t="s">
        <v>100</v>
      </c>
      <c r="AE732" t="s">
        <v>155</v>
      </c>
      <c r="AF732" t="s">
        <v>155</v>
      </c>
      <c r="AG732" t="s">
        <v>155</v>
      </c>
      <c r="AH732" t="s">
        <v>155</v>
      </c>
    </row>
    <row r="733" spans="19:34" ht="16.2" customHeight="1" x14ac:dyDescent="0.3">
      <c r="T733" t="s">
        <v>157</v>
      </c>
      <c r="U733" t="s">
        <v>100</v>
      </c>
      <c r="V733" t="s">
        <v>155</v>
      </c>
      <c r="W733" t="s">
        <v>100</v>
      </c>
      <c r="X733" t="s">
        <v>155</v>
      </c>
      <c r="Y733" t="s">
        <v>155</v>
      </c>
      <c r="AC733" t="s">
        <v>157</v>
      </c>
      <c r="AD733" t="s">
        <v>100</v>
      </c>
      <c r="AE733" t="s">
        <v>155</v>
      </c>
      <c r="AF733" t="s">
        <v>100</v>
      </c>
      <c r="AG733" t="s">
        <v>155</v>
      </c>
      <c r="AH733" t="s">
        <v>155</v>
      </c>
    </row>
    <row r="734" spans="19:34" ht="16.2" customHeight="1" x14ac:dyDescent="0.3">
      <c r="T734" t="s">
        <v>158</v>
      </c>
      <c r="U734" t="s">
        <v>100</v>
      </c>
      <c r="V734" t="s">
        <v>155</v>
      </c>
      <c r="W734" t="s">
        <v>100</v>
      </c>
      <c r="X734" t="s">
        <v>155</v>
      </c>
      <c r="Y734" t="s">
        <v>155</v>
      </c>
      <c r="AC734" t="s">
        <v>158</v>
      </c>
      <c r="AD734" t="s">
        <v>100</v>
      </c>
      <c r="AE734" t="s">
        <v>155</v>
      </c>
      <c r="AF734" t="s">
        <v>100</v>
      </c>
      <c r="AG734" t="s">
        <v>155</v>
      </c>
      <c r="AH734" t="s">
        <v>155</v>
      </c>
    </row>
    <row r="735" spans="19:34" ht="16.2" customHeight="1" x14ac:dyDescent="0.3">
      <c r="T735" t="s">
        <v>159</v>
      </c>
      <c r="U735" t="s">
        <v>100</v>
      </c>
      <c r="V735" t="s">
        <v>155</v>
      </c>
      <c r="W735" t="s">
        <v>100</v>
      </c>
      <c r="X735" t="s">
        <v>155</v>
      </c>
      <c r="Y735" t="s">
        <v>155</v>
      </c>
      <c r="AC735" t="s">
        <v>159</v>
      </c>
      <c r="AD735" t="s">
        <v>155</v>
      </c>
      <c r="AE735" t="s">
        <v>155</v>
      </c>
      <c r="AF735" t="s">
        <v>100</v>
      </c>
      <c r="AG735" t="s">
        <v>155</v>
      </c>
      <c r="AH735" t="s">
        <v>155</v>
      </c>
    </row>
    <row r="736" spans="19:34" ht="16.2" customHeight="1" x14ac:dyDescent="0.3">
      <c r="T736" t="s">
        <v>160</v>
      </c>
      <c r="U736" t="s">
        <v>155</v>
      </c>
      <c r="V736" t="s">
        <v>155</v>
      </c>
      <c r="W736" t="s">
        <v>155</v>
      </c>
      <c r="X736" t="s">
        <v>155</v>
      </c>
      <c r="Y736" t="s">
        <v>155</v>
      </c>
      <c r="AC736" t="s">
        <v>160</v>
      </c>
      <c r="AD736" t="s">
        <v>155</v>
      </c>
      <c r="AE736" t="s">
        <v>155</v>
      </c>
      <c r="AF736" t="s">
        <v>155</v>
      </c>
      <c r="AG736" t="s">
        <v>155</v>
      </c>
      <c r="AH736" t="s">
        <v>155</v>
      </c>
    </row>
    <row r="737" spans="19:34" ht="16.2" customHeight="1" x14ac:dyDescent="0.3">
      <c r="T737" t="s">
        <v>169</v>
      </c>
      <c r="U737" t="s">
        <v>155</v>
      </c>
      <c r="V737" t="s">
        <v>155</v>
      </c>
      <c r="W737" t="s">
        <v>155</v>
      </c>
      <c r="X737" t="s">
        <v>155</v>
      </c>
      <c r="Y737" t="s">
        <v>155</v>
      </c>
      <c r="AC737" t="s">
        <v>169</v>
      </c>
      <c r="AD737" t="s">
        <v>155</v>
      </c>
      <c r="AE737" t="s">
        <v>155</v>
      </c>
      <c r="AF737" t="s">
        <v>155</v>
      </c>
      <c r="AG737" t="s">
        <v>155</v>
      </c>
      <c r="AH737" t="s">
        <v>155</v>
      </c>
    </row>
    <row r="738" spans="19:34" ht="16.2" customHeight="1" x14ac:dyDescent="0.3">
      <c r="T738" t="s">
        <v>170</v>
      </c>
      <c r="U738" t="s">
        <v>155</v>
      </c>
      <c r="V738" t="s">
        <v>155</v>
      </c>
      <c r="W738" t="s">
        <v>155</v>
      </c>
      <c r="X738" t="s">
        <v>155</v>
      </c>
      <c r="Y738" t="s">
        <v>155</v>
      </c>
      <c r="AC738" t="s">
        <v>170</v>
      </c>
      <c r="AD738" t="s">
        <v>155</v>
      </c>
      <c r="AE738" t="s">
        <v>155</v>
      </c>
      <c r="AF738" t="s">
        <v>155</v>
      </c>
      <c r="AG738" t="s">
        <v>155</v>
      </c>
      <c r="AH738" t="s">
        <v>155</v>
      </c>
    </row>
    <row r="739" spans="19:34" ht="16.2" customHeight="1" x14ac:dyDescent="0.3">
      <c r="T739" t="s">
        <v>171</v>
      </c>
      <c r="U739" t="s">
        <v>155</v>
      </c>
      <c r="V739" t="s">
        <v>155</v>
      </c>
      <c r="W739" t="s">
        <v>155</v>
      </c>
      <c r="X739" t="s">
        <v>155</v>
      </c>
      <c r="Y739" t="s">
        <v>155</v>
      </c>
      <c r="AC739" t="s">
        <v>171</v>
      </c>
      <c r="AD739" t="s">
        <v>155</v>
      </c>
      <c r="AE739" t="s">
        <v>155</v>
      </c>
      <c r="AF739" t="s">
        <v>155</v>
      </c>
      <c r="AG739" t="s">
        <v>155</v>
      </c>
      <c r="AH739" t="s">
        <v>155</v>
      </c>
    </row>
    <row r="740" spans="19:34" ht="16.2" customHeight="1" x14ac:dyDescent="0.3">
      <c r="T740" t="s">
        <v>172</v>
      </c>
      <c r="U740" t="s">
        <v>155</v>
      </c>
      <c r="V740" t="s">
        <v>155</v>
      </c>
      <c r="W740" t="s">
        <v>155</v>
      </c>
      <c r="X740" t="s">
        <v>155</v>
      </c>
      <c r="Y740" t="s">
        <v>155</v>
      </c>
      <c r="AC740" t="s">
        <v>172</v>
      </c>
      <c r="AD740" t="s">
        <v>155</v>
      </c>
      <c r="AE740" t="s">
        <v>155</v>
      </c>
      <c r="AF740" t="s">
        <v>155</v>
      </c>
      <c r="AG740" t="s">
        <v>155</v>
      </c>
      <c r="AH740" t="s">
        <v>155</v>
      </c>
    </row>
    <row r="742" spans="19:34" ht="16.2" customHeight="1" x14ac:dyDescent="0.3">
      <c r="S742" s="15" t="s">
        <v>151</v>
      </c>
      <c r="T742" t="s">
        <v>233</v>
      </c>
      <c r="AB742" s="15" t="s">
        <v>151</v>
      </c>
      <c r="AC742" t="s">
        <v>233</v>
      </c>
    </row>
    <row r="743" spans="19:34" ht="16.2" customHeight="1" x14ac:dyDescent="0.3">
      <c r="U743" t="s">
        <v>164</v>
      </c>
      <c r="V743" t="s">
        <v>165</v>
      </c>
      <c r="W743" t="s">
        <v>166</v>
      </c>
      <c r="X743" t="s">
        <v>167</v>
      </c>
      <c r="Y743" t="s">
        <v>168</v>
      </c>
      <c r="AD743" t="s">
        <v>164</v>
      </c>
      <c r="AE743" t="s">
        <v>165</v>
      </c>
      <c r="AF743" t="s">
        <v>166</v>
      </c>
      <c r="AG743" t="s">
        <v>167</v>
      </c>
      <c r="AH743" t="s">
        <v>168</v>
      </c>
    </row>
    <row r="744" spans="19:34" ht="16.2" customHeight="1" x14ac:dyDescent="0.3">
      <c r="T744" t="s">
        <v>154</v>
      </c>
      <c r="U744" t="s">
        <v>155</v>
      </c>
      <c r="V744" t="s">
        <v>101</v>
      </c>
      <c r="W744" t="s">
        <v>155</v>
      </c>
      <c r="X744" t="s">
        <v>101</v>
      </c>
      <c r="Y744" t="s">
        <v>155</v>
      </c>
      <c r="AC744" t="s">
        <v>154</v>
      </c>
      <c r="AD744" t="s">
        <v>155</v>
      </c>
      <c r="AE744" t="s">
        <v>101</v>
      </c>
      <c r="AF744" t="s">
        <v>155</v>
      </c>
      <c r="AG744" t="s">
        <v>101</v>
      </c>
      <c r="AH744" t="s">
        <v>155</v>
      </c>
    </row>
    <row r="745" spans="19:34" ht="16.2" customHeight="1" x14ac:dyDescent="0.3">
      <c r="T745" t="s">
        <v>156</v>
      </c>
      <c r="U745" t="s">
        <v>155</v>
      </c>
      <c r="V745" t="s">
        <v>101</v>
      </c>
      <c r="W745" t="s">
        <v>155</v>
      </c>
      <c r="X745" t="s">
        <v>101</v>
      </c>
      <c r="Y745" t="s">
        <v>155</v>
      </c>
      <c r="AC745" t="s">
        <v>156</v>
      </c>
      <c r="AD745" t="s">
        <v>155</v>
      </c>
      <c r="AE745" t="s">
        <v>101</v>
      </c>
      <c r="AF745" t="s">
        <v>155</v>
      </c>
      <c r="AG745" t="s">
        <v>101</v>
      </c>
      <c r="AH745" t="s">
        <v>155</v>
      </c>
    </row>
    <row r="746" spans="19:34" ht="16.2" customHeight="1" x14ac:dyDescent="0.3">
      <c r="T746" t="s">
        <v>157</v>
      </c>
      <c r="U746" t="s">
        <v>155</v>
      </c>
      <c r="V746" t="s">
        <v>101</v>
      </c>
      <c r="W746" t="s">
        <v>155</v>
      </c>
      <c r="X746" t="s">
        <v>101</v>
      </c>
      <c r="Y746" t="s">
        <v>155</v>
      </c>
      <c r="AC746" t="s">
        <v>157</v>
      </c>
      <c r="AD746" t="s">
        <v>155</v>
      </c>
      <c r="AE746" t="s">
        <v>101</v>
      </c>
      <c r="AF746" t="s">
        <v>155</v>
      </c>
      <c r="AG746" t="s">
        <v>101</v>
      </c>
      <c r="AH746" t="s">
        <v>155</v>
      </c>
    </row>
    <row r="747" spans="19:34" ht="16.2" customHeight="1" x14ac:dyDescent="0.3">
      <c r="T747" t="s">
        <v>158</v>
      </c>
      <c r="U747" t="s">
        <v>155</v>
      </c>
      <c r="V747" t="s">
        <v>155</v>
      </c>
      <c r="W747" t="s">
        <v>155</v>
      </c>
      <c r="X747" t="s">
        <v>155</v>
      </c>
      <c r="Y747" t="s">
        <v>155</v>
      </c>
      <c r="AC747" t="s">
        <v>158</v>
      </c>
      <c r="AD747" t="s">
        <v>155</v>
      </c>
      <c r="AE747" t="s">
        <v>155</v>
      </c>
      <c r="AF747" t="s">
        <v>155</v>
      </c>
      <c r="AG747" t="s">
        <v>155</v>
      </c>
      <c r="AH747" t="s">
        <v>155</v>
      </c>
    </row>
    <row r="748" spans="19:34" ht="16.2" customHeight="1" x14ac:dyDescent="0.3">
      <c r="T748" t="s">
        <v>159</v>
      </c>
      <c r="U748" t="s">
        <v>155</v>
      </c>
      <c r="V748" t="s">
        <v>155</v>
      </c>
      <c r="W748" t="s">
        <v>155</v>
      </c>
      <c r="X748" t="s">
        <v>155</v>
      </c>
      <c r="Y748" t="s">
        <v>155</v>
      </c>
      <c r="AC748" t="s">
        <v>159</v>
      </c>
      <c r="AD748" t="s">
        <v>155</v>
      </c>
      <c r="AE748" t="s">
        <v>155</v>
      </c>
      <c r="AF748" t="s">
        <v>155</v>
      </c>
      <c r="AG748" t="s">
        <v>155</v>
      </c>
      <c r="AH748" t="s">
        <v>155</v>
      </c>
    </row>
    <row r="749" spans="19:34" ht="16.2" customHeight="1" x14ac:dyDescent="0.3">
      <c r="T749" t="s">
        <v>160</v>
      </c>
      <c r="U749" t="s">
        <v>155</v>
      </c>
      <c r="V749" t="s">
        <v>155</v>
      </c>
      <c r="W749" t="s">
        <v>155</v>
      </c>
      <c r="X749" t="s">
        <v>155</v>
      </c>
      <c r="Y749" t="s">
        <v>155</v>
      </c>
      <c r="AC749" t="s">
        <v>160</v>
      </c>
      <c r="AD749" t="s">
        <v>155</v>
      </c>
      <c r="AE749" t="s">
        <v>155</v>
      </c>
      <c r="AF749" t="s">
        <v>155</v>
      </c>
      <c r="AG749" t="s">
        <v>155</v>
      </c>
      <c r="AH749" t="s">
        <v>155</v>
      </c>
    </row>
    <row r="750" spans="19:34" ht="16.2" customHeight="1" x14ac:dyDescent="0.3">
      <c r="T750" t="s">
        <v>169</v>
      </c>
      <c r="U750" t="s">
        <v>155</v>
      </c>
      <c r="V750" t="s">
        <v>155</v>
      </c>
      <c r="W750" t="s">
        <v>155</v>
      </c>
      <c r="X750" t="s">
        <v>155</v>
      </c>
      <c r="Y750" t="s">
        <v>155</v>
      </c>
      <c r="AC750" t="s">
        <v>169</v>
      </c>
      <c r="AD750" t="s">
        <v>155</v>
      </c>
      <c r="AE750" t="s">
        <v>155</v>
      </c>
      <c r="AF750" t="s">
        <v>155</v>
      </c>
      <c r="AG750" t="s">
        <v>155</v>
      </c>
      <c r="AH750" t="s">
        <v>155</v>
      </c>
    </row>
    <row r="751" spans="19:34" ht="16.2" customHeight="1" x14ac:dyDescent="0.3">
      <c r="T751" t="s">
        <v>170</v>
      </c>
      <c r="U751" t="s">
        <v>155</v>
      </c>
      <c r="V751" t="s">
        <v>155</v>
      </c>
      <c r="W751" t="s">
        <v>155</v>
      </c>
      <c r="X751" t="s">
        <v>155</v>
      </c>
      <c r="Y751" t="s">
        <v>155</v>
      </c>
      <c r="AC751" t="s">
        <v>170</v>
      </c>
      <c r="AD751" t="s">
        <v>155</v>
      </c>
      <c r="AE751" t="s">
        <v>155</v>
      </c>
      <c r="AF751" t="s">
        <v>155</v>
      </c>
      <c r="AG751" t="s">
        <v>155</v>
      </c>
      <c r="AH751" t="s">
        <v>155</v>
      </c>
    </row>
    <row r="752" spans="19:34" ht="16.2" customHeight="1" x14ac:dyDescent="0.3">
      <c r="T752" t="s">
        <v>171</v>
      </c>
      <c r="U752" t="s">
        <v>155</v>
      </c>
      <c r="V752" t="s">
        <v>155</v>
      </c>
      <c r="W752" t="s">
        <v>155</v>
      </c>
      <c r="X752" t="s">
        <v>155</v>
      </c>
      <c r="Y752" t="s">
        <v>155</v>
      </c>
      <c r="AC752" t="s">
        <v>171</v>
      </c>
      <c r="AD752" t="s">
        <v>155</v>
      </c>
      <c r="AE752" t="s">
        <v>155</v>
      </c>
      <c r="AF752" t="s">
        <v>155</v>
      </c>
      <c r="AG752" t="s">
        <v>155</v>
      </c>
      <c r="AH752" t="s">
        <v>155</v>
      </c>
    </row>
    <row r="753" spans="19:34" ht="16.2" customHeight="1" x14ac:dyDescent="0.3">
      <c r="T753" t="s">
        <v>172</v>
      </c>
      <c r="U753" t="s">
        <v>155</v>
      </c>
      <c r="V753" t="s">
        <v>155</v>
      </c>
      <c r="W753" t="s">
        <v>155</v>
      </c>
      <c r="X753" t="s">
        <v>155</v>
      </c>
      <c r="Y753" t="s">
        <v>155</v>
      </c>
      <c r="AC753" t="s">
        <v>172</v>
      </c>
      <c r="AD753" t="s">
        <v>155</v>
      </c>
      <c r="AE753" t="s">
        <v>155</v>
      </c>
      <c r="AF753" t="s">
        <v>155</v>
      </c>
      <c r="AG753" t="s">
        <v>155</v>
      </c>
      <c r="AH753" t="s">
        <v>155</v>
      </c>
    </row>
    <row r="755" spans="19:34" ht="16.2" customHeight="1" x14ac:dyDescent="0.3">
      <c r="S755" s="15" t="s">
        <v>234</v>
      </c>
      <c r="T755" t="s">
        <v>236</v>
      </c>
      <c r="AB755" s="15" t="s">
        <v>234</v>
      </c>
      <c r="AC755" t="s">
        <v>236</v>
      </c>
    </row>
    <row r="756" spans="19:34" ht="16.2" customHeight="1" x14ac:dyDescent="0.3">
      <c r="U756" t="s">
        <v>164</v>
      </c>
      <c r="V756" t="s">
        <v>165</v>
      </c>
      <c r="W756" t="s">
        <v>166</v>
      </c>
      <c r="X756" t="s">
        <v>167</v>
      </c>
      <c r="Y756" t="s">
        <v>168</v>
      </c>
      <c r="AD756" t="s">
        <v>164</v>
      </c>
      <c r="AE756" t="s">
        <v>165</v>
      </c>
      <c r="AF756" t="s">
        <v>166</v>
      </c>
      <c r="AG756" t="s">
        <v>167</v>
      </c>
      <c r="AH756" t="s">
        <v>168</v>
      </c>
    </row>
    <row r="757" spans="19:34" ht="16.2" customHeight="1" x14ac:dyDescent="0.3">
      <c r="T757" t="s">
        <v>154</v>
      </c>
      <c r="U757" t="s">
        <v>155</v>
      </c>
      <c r="V757" t="s">
        <v>155</v>
      </c>
      <c r="W757" t="s">
        <v>155</v>
      </c>
      <c r="X757" t="s">
        <v>155</v>
      </c>
      <c r="Y757" t="s">
        <v>155</v>
      </c>
      <c r="AC757" t="s">
        <v>154</v>
      </c>
      <c r="AD757" t="s">
        <v>155</v>
      </c>
      <c r="AE757" t="s">
        <v>155</v>
      </c>
      <c r="AF757" t="s">
        <v>155</v>
      </c>
      <c r="AG757" t="s">
        <v>155</v>
      </c>
      <c r="AH757" t="s">
        <v>155</v>
      </c>
    </row>
    <row r="758" spans="19:34" ht="16.2" customHeight="1" x14ac:dyDescent="0.3">
      <c r="T758" t="s">
        <v>156</v>
      </c>
      <c r="U758" t="s">
        <v>155</v>
      </c>
      <c r="V758" t="s">
        <v>155</v>
      </c>
      <c r="W758" t="s">
        <v>155</v>
      </c>
      <c r="X758" t="s">
        <v>155</v>
      </c>
      <c r="Y758" t="s">
        <v>155</v>
      </c>
      <c r="AC758" t="s">
        <v>156</v>
      </c>
      <c r="AD758" t="s">
        <v>155</v>
      </c>
      <c r="AE758" t="s">
        <v>155</v>
      </c>
      <c r="AF758" t="s">
        <v>155</v>
      </c>
      <c r="AG758" t="s">
        <v>155</v>
      </c>
      <c r="AH758" t="s">
        <v>155</v>
      </c>
    </row>
    <row r="759" spans="19:34" ht="16.2" customHeight="1" x14ac:dyDescent="0.3">
      <c r="T759" t="s">
        <v>157</v>
      </c>
      <c r="U759" t="s">
        <v>155</v>
      </c>
      <c r="V759" t="s">
        <v>155</v>
      </c>
      <c r="W759" t="s">
        <v>155</v>
      </c>
      <c r="X759" t="s">
        <v>155</v>
      </c>
      <c r="Y759" t="s">
        <v>155</v>
      </c>
      <c r="AC759" t="s">
        <v>157</v>
      </c>
      <c r="AD759" t="s">
        <v>155</v>
      </c>
      <c r="AE759" t="s">
        <v>155</v>
      </c>
      <c r="AF759" t="s">
        <v>155</v>
      </c>
      <c r="AG759" t="s">
        <v>155</v>
      </c>
      <c r="AH759" t="s">
        <v>155</v>
      </c>
    </row>
    <row r="760" spans="19:34" ht="16.2" customHeight="1" x14ac:dyDescent="0.3">
      <c r="T760" t="s">
        <v>158</v>
      </c>
      <c r="U760" t="s">
        <v>155</v>
      </c>
      <c r="V760" t="s">
        <v>153</v>
      </c>
      <c r="W760" t="s">
        <v>155</v>
      </c>
      <c r="X760" t="s">
        <v>153</v>
      </c>
      <c r="Y760" t="s">
        <v>155</v>
      </c>
      <c r="AC760" t="s">
        <v>158</v>
      </c>
      <c r="AD760" t="s">
        <v>155</v>
      </c>
      <c r="AE760" t="s">
        <v>153</v>
      </c>
      <c r="AF760" t="s">
        <v>155</v>
      </c>
      <c r="AG760" t="s">
        <v>153</v>
      </c>
      <c r="AH760" t="s">
        <v>155</v>
      </c>
    </row>
    <row r="761" spans="19:34" ht="16.2" customHeight="1" x14ac:dyDescent="0.3">
      <c r="T761" t="s">
        <v>159</v>
      </c>
      <c r="U761" t="s">
        <v>155</v>
      </c>
      <c r="V761" t="s">
        <v>153</v>
      </c>
      <c r="W761" t="s">
        <v>155</v>
      </c>
      <c r="X761" t="s">
        <v>153</v>
      </c>
      <c r="Y761" t="s">
        <v>155</v>
      </c>
      <c r="AC761" t="s">
        <v>159</v>
      </c>
      <c r="AD761" t="s">
        <v>155</v>
      </c>
      <c r="AE761" t="s">
        <v>153</v>
      </c>
      <c r="AF761" t="s">
        <v>155</v>
      </c>
      <c r="AG761" t="s">
        <v>153</v>
      </c>
      <c r="AH761" t="s">
        <v>155</v>
      </c>
    </row>
    <row r="762" spans="19:34" ht="16.2" customHeight="1" x14ac:dyDescent="0.3">
      <c r="T762" t="s">
        <v>160</v>
      </c>
      <c r="U762" t="s">
        <v>155</v>
      </c>
      <c r="V762" t="s">
        <v>153</v>
      </c>
      <c r="W762" t="s">
        <v>155</v>
      </c>
      <c r="X762" t="s">
        <v>153</v>
      </c>
      <c r="Y762" t="s">
        <v>155</v>
      </c>
      <c r="AC762" t="s">
        <v>160</v>
      </c>
      <c r="AD762" t="s">
        <v>155</v>
      </c>
      <c r="AE762" t="s">
        <v>153</v>
      </c>
      <c r="AF762" t="s">
        <v>155</v>
      </c>
      <c r="AG762" t="s">
        <v>153</v>
      </c>
      <c r="AH762" t="s">
        <v>155</v>
      </c>
    </row>
    <row r="763" spans="19:34" ht="16.2" customHeight="1" x14ac:dyDescent="0.3">
      <c r="T763" t="s">
        <v>169</v>
      </c>
      <c r="U763" t="s">
        <v>155</v>
      </c>
      <c r="V763" t="s">
        <v>155</v>
      </c>
      <c r="W763" t="s">
        <v>155</v>
      </c>
      <c r="X763" t="s">
        <v>155</v>
      </c>
      <c r="Y763" t="s">
        <v>155</v>
      </c>
      <c r="AC763" t="s">
        <v>169</v>
      </c>
      <c r="AD763" t="s">
        <v>155</v>
      </c>
      <c r="AE763" t="s">
        <v>155</v>
      </c>
      <c r="AF763" t="s">
        <v>155</v>
      </c>
      <c r="AG763" t="s">
        <v>155</v>
      </c>
      <c r="AH763" t="s">
        <v>155</v>
      </c>
    </row>
    <row r="764" spans="19:34" ht="16.2" customHeight="1" x14ac:dyDescent="0.3">
      <c r="T764" t="s">
        <v>170</v>
      </c>
      <c r="U764" t="s">
        <v>155</v>
      </c>
      <c r="V764" t="s">
        <v>155</v>
      </c>
      <c r="W764" t="s">
        <v>155</v>
      </c>
      <c r="X764" t="s">
        <v>155</v>
      </c>
      <c r="Y764" t="s">
        <v>155</v>
      </c>
      <c r="AC764" t="s">
        <v>170</v>
      </c>
      <c r="AD764" t="s">
        <v>155</v>
      </c>
      <c r="AE764" t="s">
        <v>155</v>
      </c>
      <c r="AF764" t="s">
        <v>155</v>
      </c>
      <c r="AG764" t="s">
        <v>155</v>
      </c>
      <c r="AH764" t="s">
        <v>155</v>
      </c>
    </row>
    <row r="765" spans="19:34" ht="16.2" customHeight="1" x14ac:dyDescent="0.3">
      <c r="T765" t="s">
        <v>171</v>
      </c>
      <c r="U765" t="s">
        <v>155</v>
      </c>
      <c r="V765" t="s">
        <v>155</v>
      </c>
      <c r="W765" t="s">
        <v>155</v>
      </c>
      <c r="X765" t="s">
        <v>155</v>
      </c>
      <c r="Y765" t="s">
        <v>155</v>
      </c>
      <c r="AC765" t="s">
        <v>171</v>
      </c>
      <c r="AD765" t="s">
        <v>155</v>
      </c>
      <c r="AE765" t="s">
        <v>155</v>
      </c>
      <c r="AF765" t="s">
        <v>155</v>
      </c>
      <c r="AG765" t="s">
        <v>155</v>
      </c>
      <c r="AH765" t="s">
        <v>155</v>
      </c>
    </row>
    <row r="766" spans="19:34" ht="16.2" customHeight="1" x14ac:dyDescent="0.3">
      <c r="T766" t="s">
        <v>172</v>
      </c>
      <c r="U766" t="s">
        <v>155</v>
      </c>
      <c r="V766" t="s">
        <v>155</v>
      </c>
      <c r="W766" t="s">
        <v>155</v>
      </c>
      <c r="X766" t="s">
        <v>155</v>
      </c>
      <c r="Y766" t="s">
        <v>155</v>
      </c>
      <c r="AC766" t="s">
        <v>172</v>
      </c>
      <c r="AD766" t="s">
        <v>155</v>
      </c>
      <c r="AE766" t="s">
        <v>155</v>
      </c>
      <c r="AF766" t="s">
        <v>155</v>
      </c>
      <c r="AG766" t="s">
        <v>155</v>
      </c>
      <c r="AH766" t="s">
        <v>155</v>
      </c>
    </row>
  </sheetData>
  <phoneticPr fontId="2" type="noConversion"/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756AFC-55CF-45F8-8D6F-2641C0E41902}">
          <x14:formula1>
            <xm:f>materias!$A$2:$A$2</xm:f>
          </x14:formula1>
          <xm:sqref>F5 H5</xm:sqref>
        </x14:dataValidation>
        <x14:dataValidation type="list" allowBlank="1" showInputMessage="1" showErrorMessage="1" xr:uid="{7A16A3D4-DAC5-470A-81CE-AF394FE32FCB}">
          <x14:formula1>
            <xm:f>materias!$A$2:$A$173</xm:f>
          </x14:formula1>
          <xm:sqref>H2:H4 F2:F4 J2:J105 H6:H105 D2:D105 F6:F105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I30"/>
  <sheetViews>
    <sheetView workbookViewId="0">
      <selection activeCell="L4" sqref="L4"/>
    </sheetView>
  </sheetViews>
  <sheetFormatPr baseColWidth="10" defaultRowHeight="14.4" x14ac:dyDescent="0.3"/>
  <sheetData>
    <row r="1" spans="1:9" ht="15" thickBot="1" x14ac:dyDescent="0.35">
      <c r="A1" s="2" t="s">
        <v>27</v>
      </c>
      <c r="B1" s="2" t="s">
        <v>3</v>
      </c>
      <c r="C1" s="2" t="s">
        <v>28</v>
      </c>
      <c r="D1" s="2" t="s">
        <v>30</v>
      </c>
      <c r="E1" s="2" t="s">
        <v>29</v>
      </c>
      <c r="F1" s="2" t="s">
        <v>173</v>
      </c>
      <c r="G1" s="2" t="s">
        <v>10</v>
      </c>
      <c r="H1" s="18" t="s">
        <v>244</v>
      </c>
    </row>
    <row r="2" spans="1:9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11</v>
      </c>
      <c r="H2">
        <v>45</v>
      </c>
    </row>
    <row r="3" spans="1:9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11</v>
      </c>
      <c r="H3">
        <v>45</v>
      </c>
    </row>
    <row r="4" spans="1:9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11</v>
      </c>
      <c r="H4">
        <v>45</v>
      </c>
    </row>
    <row r="5" spans="1:9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284</v>
      </c>
      <c r="H5">
        <v>45</v>
      </c>
    </row>
    <row r="6" spans="1:9" ht="15" thickBot="1" x14ac:dyDescent="0.35">
      <c r="A6" s="2" t="str">
        <f t="shared" si="0"/>
        <v>1LIC</v>
      </c>
      <c r="B6" s="2">
        <v>1</v>
      </c>
      <c r="C6" s="2" t="s">
        <v>240</v>
      </c>
      <c r="D6" s="2"/>
      <c r="E6" s="2"/>
      <c r="F6" s="2"/>
      <c r="G6" s="2" t="s">
        <v>299</v>
      </c>
      <c r="H6">
        <v>25</v>
      </c>
    </row>
    <row r="7" spans="1:9" ht="15" thickBot="1" x14ac:dyDescent="0.35">
      <c r="A7" s="2" t="str">
        <f t="shared" si="0"/>
        <v>1REC1</v>
      </c>
      <c r="B7" s="2">
        <v>1</v>
      </c>
      <c r="C7" s="2"/>
      <c r="D7" s="2" t="s">
        <v>439</v>
      </c>
      <c r="E7" s="2">
        <v>1</v>
      </c>
      <c r="F7" s="2"/>
      <c r="G7" s="2" t="s">
        <v>284</v>
      </c>
      <c r="H7">
        <v>35</v>
      </c>
    </row>
    <row r="8" spans="1:9" ht="15" thickBot="1" x14ac:dyDescent="0.35">
      <c r="A8" s="2" t="str">
        <f t="shared" si="0"/>
        <v>1REC2</v>
      </c>
      <c r="B8" s="2">
        <v>1</v>
      </c>
      <c r="C8" s="2"/>
      <c r="D8" s="2" t="s">
        <v>439</v>
      </c>
      <c r="E8" s="2">
        <v>2</v>
      </c>
      <c r="F8" s="2"/>
      <c r="G8" s="2" t="s">
        <v>284</v>
      </c>
      <c r="H8">
        <v>35</v>
      </c>
    </row>
    <row r="9" spans="1:9" ht="15" thickBot="1" x14ac:dyDescent="0.35">
      <c r="A9" s="2" t="str">
        <f>_xlfn.CONCAT(B9:F9)</f>
        <v>2CIV</v>
      </c>
      <c r="B9" s="2">
        <v>2</v>
      </c>
      <c r="C9" s="2" t="s">
        <v>31</v>
      </c>
      <c r="D9" s="2"/>
      <c r="E9" s="2"/>
      <c r="F9" s="2"/>
      <c r="G9" s="2" t="s">
        <v>11</v>
      </c>
      <c r="H9">
        <v>18</v>
      </c>
    </row>
    <row r="10" spans="1:9" ht="15" thickBot="1" x14ac:dyDescent="0.35">
      <c r="A10" s="2" t="str">
        <f>_xlfn.CONCAT(B10:F10)</f>
        <v>2IND</v>
      </c>
      <c r="B10" s="2">
        <v>2</v>
      </c>
      <c r="C10" s="2" t="s">
        <v>32</v>
      </c>
      <c r="D10" s="2"/>
      <c r="E10" s="2"/>
      <c r="F10" s="2"/>
      <c r="G10" s="2" t="s">
        <v>11</v>
      </c>
      <c r="H10">
        <v>26</v>
      </c>
    </row>
    <row r="11" spans="1:9" ht="15" thickBot="1" x14ac:dyDescent="0.35">
      <c r="A11" s="2" t="str">
        <f>_xlfn.CONCAT(B11:F11)</f>
        <v>2INF1</v>
      </c>
      <c r="B11" s="2">
        <v>2</v>
      </c>
      <c r="C11" s="2" t="s">
        <v>34</v>
      </c>
      <c r="D11" s="2"/>
      <c r="E11" s="2">
        <v>1</v>
      </c>
      <c r="F11" s="2"/>
      <c r="G11" s="2" t="s">
        <v>11</v>
      </c>
      <c r="H11">
        <v>34</v>
      </c>
      <c r="I11" s="41" t="s">
        <v>436</v>
      </c>
    </row>
    <row r="12" spans="1:9" ht="15" thickBot="1" x14ac:dyDescent="0.35">
      <c r="A12" s="2" t="str">
        <f>_xlfn.CONCAT(B12:F12)</f>
        <v>2INF2</v>
      </c>
      <c r="B12" s="2">
        <v>2</v>
      </c>
      <c r="C12" s="2" t="s">
        <v>34</v>
      </c>
      <c r="D12" s="2"/>
      <c r="E12" s="2">
        <v>2</v>
      </c>
      <c r="F12" s="2"/>
      <c r="G12" s="2" t="s">
        <v>11</v>
      </c>
      <c r="H12">
        <v>34</v>
      </c>
      <c r="I12" s="41" t="s">
        <v>436</v>
      </c>
    </row>
    <row r="13" spans="1:9" ht="15" thickBot="1" x14ac:dyDescent="0.35">
      <c r="A13" s="2" t="str">
        <f>_xlfn.CONCAT(B13:F13)</f>
        <v>2TEL</v>
      </c>
      <c r="B13" s="2">
        <v>2</v>
      </c>
      <c r="C13" s="2" t="s">
        <v>33</v>
      </c>
      <c r="D13" s="2"/>
      <c r="E13" s="2"/>
      <c r="F13" s="2"/>
      <c r="G13" s="2" t="s">
        <v>11</v>
      </c>
      <c r="H13">
        <v>16</v>
      </c>
    </row>
    <row r="14" spans="1:9" ht="15" thickBot="1" x14ac:dyDescent="0.35">
      <c r="A14" s="2" t="str">
        <f t="shared" ref="A14:A25" si="1">_xlfn.CONCAT(B14:F14)</f>
        <v>2LIC</v>
      </c>
      <c r="B14" s="2">
        <v>2</v>
      </c>
      <c r="C14" s="2" t="s">
        <v>240</v>
      </c>
      <c r="D14" s="2"/>
      <c r="E14" s="2"/>
      <c r="F14" s="2"/>
      <c r="G14" s="2" t="s">
        <v>299</v>
      </c>
      <c r="H14">
        <v>26</v>
      </c>
    </row>
    <row r="15" spans="1:9" ht="15" thickBot="1" x14ac:dyDescent="0.35">
      <c r="A15" s="2" t="str">
        <f t="shared" si="1"/>
        <v>3CIV</v>
      </c>
      <c r="B15" s="2">
        <v>3</v>
      </c>
      <c r="C15" s="2" t="s">
        <v>31</v>
      </c>
      <c r="D15" s="2"/>
      <c r="E15" s="2"/>
      <c r="F15" s="2"/>
      <c r="G15" s="2" t="s">
        <v>11</v>
      </c>
      <c r="H15">
        <v>17</v>
      </c>
    </row>
    <row r="16" spans="1:9" ht="15" thickBot="1" x14ac:dyDescent="0.35">
      <c r="A16" s="2" t="str">
        <f t="shared" si="1"/>
        <v>3IND</v>
      </c>
      <c r="B16" s="2">
        <v>3</v>
      </c>
      <c r="C16" s="2" t="s">
        <v>32</v>
      </c>
      <c r="D16" s="2"/>
      <c r="E16" s="2"/>
      <c r="F16" s="2"/>
      <c r="G16" s="2" t="s">
        <v>11</v>
      </c>
      <c r="H16">
        <v>32</v>
      </c>
    </row>
    <row r="17" spans="1:8" ht="15" thickBot="1" x14ac:dyDescent="0.35">
      <c r="A17" s="2" t="str">
        <f t="shared" si="1"/>
        <v>3TEL</v>
      </c>
      <c r="B17" s="2">
        <v>3</v>
      </c>
      <c r="C17" s="2" t="s">
        <v>33</v>
      </c>
      <c r="D17" s="2"/>
      <c r="E17" s="2"/>
      <c r="F17" s="2"/>
      <c r="G17" s="2" t="s">
        <v>11</v>
      </c>
      <c r="H17">
        <v>24</v>
      </c>
    </row>
    <row r="18" spans="1:8" ht="15" thickBot="1" x14ac:dyDescent="0.35">
      <c r="A18" s="2" t="str">
        <f t="shared" si="1"/>
        <v>3INF1</v>
      </c>
      <c r="B18" s="2">
        <v>3</v>
      </c>
      <c r="C18" s="2" t="s">
        <v>34</v>
      </c>
      <c r="D18" s="2"/>
      <c r="E18" s="2">
        <v>1</v>
      </c>
      <c r="F18" s="2"/>
      <c r="G18" s="2" t="s">
        <v>11</v>
      </c>
      <c r="H18">
        <v>27</v>
      </c>
    </row>
    <row r="19" spans="1:8" ht="15" thickBot="1" x14ac:dyDescent="0.35">
      <c r="A19" s="2" t="str">
        <f t="shared" si="1"/>
        <v>3INF2</v>
      </c>
      <c r="B19" s="2">
        <v>3</v>
      </c>
      <c r="C19" s="2" t="s">
        <v>34</v>
      </c>
      <c r="D19" s="2"/>
      <c r="E19" s="2">
        <v>2</v>
      </c>
      <c r="F19" s="2"/>
      <c r="G19" s="2" t="s">
        <v>11</v>
      </c>
      <c r="H19">
        <v>26</v>
      </c>
    </row>
    <row r="20" spans="1:8" ht="15" thickBot="1" x14ac:dyDescent="0.35">
      <c r="A20" s="2" t="str">
        <f t="shared" si="1"/>
        <v>3LIC</v>
      </c>
      <c r="B20" s="2">
        <v>3</v>
      </c>
      <c r="C20" s="2" t="s">
        <v>240</v>
      </c>
      <c r="D20" s="2"/>
      <c r="E20" s="2"/>
      <c r="F20" s="2"/>
      <c r="G20" s="2" t="s">
        <v>299</v>
      </c>
      <c r="H20">
        <v>20</v>
      </c>
    </row>
    <row r="21" spans="1:8" ht="15" thickBot="1" x14ac:dyDescent="0.35">
      <c r="A21" s="2" t="str">
        <f t="shared" si="1"/>
        <v>4CIV</v>
      </c>
      <c r="B21" s="2">
        <v>4</v>
      </c>
      <c r="C21" s="2" t="s">
        <v>31</v>
      </c>
      <c r="D21" s="2"/>
      <c r="E21" s="2"/>
      <c r="F21" s="2"/>
      <c r="G21" s="2" t="s">
        <v>294</v>
      </c>
      <c r="H21">
        <v>7</v>
      </c>
    </row>
    <row r="22" spans="1:8" ht="15" thickBot="1" x14ac:dyDescent="0.35">
      <c r="A22" s="2" t="str">
        <f t="shared" si="1"/>
        <v>4IND</v>
      </c>
      <c r="B22" s="2">
        <v>4</v>
      </c>
      <c r="C22" s="2" t="s">
        <v>32</v>
      </c>
      <c r="D22" s="2"/>
      <c r="E22" s="2"/>
      <c r="F22" s="2"/>
      <c r="G22" s="2" t="s">
        <v>294</v>
      </c>
      <c r="H22">
        <v>16</v>
      </c>
    </row>
    <row r="23" spans="1:8" ht="15" thickBot="1" x14ac:dyDescent="0.35">
      <c r="A23" s="2" t="str">
        <f t="shared" si="1"/>
        <v>4TEL</v>
      </c>
      <c r="B23" s="2">
        <v>4</v>
      </c>
      <c r="C23" s="2" t="s">
        <v>33</v>
      </c>
      <c r="D23" s="2"/>
      <c r="E23" s="2"/>
      <c r="F23" s="2"/>
      <c r="G23" s="2" t="s">
        <v>294</v>
      </c>
      <c r="H23">
        <v>8</v>
      </c>
    </row>
    <row r="24" spans="1:8" ht="15" thickBot="1" x14ac:dyDescent="0.35">
      <c r="A24" s="2" t="str">
        <f t="shared" si="1"/>
        <v>4INF1</v>
      </c>
      <c r="B24" s="2">
        <v>4</v>
      </c>
      <c r="C24" s="2" t="s">
        <v>34</v>
      </c>
      <c r="D24" s="2"/>
      <c r="E24" s="2">
        <v>1</v>
      </c>
      <c r="F24" s="2"/>
      <c r="G24" s="2" t="s">
        <v>294</v>
      </c>
      <c r="H24">
        <v>24</v>
      </c>
    </row>
    <row r="25" spans="1:8" ht="15" thickBot="1" x14ac:dyDescent="0.35">
      <c r="A25" s="2" t="str">
        <f t="shared" si="1"/>
        <v>4INF2</v>
      </c>
      <c r="B25" s="2">
        <v>4</v>
      </c>
      <c r="C25" s="2" t="s">
        <v>34</v>
      </c>
      <c r="D25" s="2"/>
      <c r="E25" s="2">
        <v>2</v>
      </c>
      <c r="F25" s="2"/>
      <c r="G25" s="2" t="s">
        <v>294</v>
      </c>
      <c r="H25">
        <v>23</v>
      </c>
    </row>
    <row r="26" spans="1:8" ht="15" thickBot="1" x14ac:dyDescent="0.35">
      <c r="A26" s="2" t="str">
        <f t="shared" ref="A26:A30" si="2">_xlfn.CONCAT(B26:F26)</f>
        <v>4LIC</v>
      </c>
      <c r="B26" s="2">
        <v>4</v>
      </c>
      <c r="C26" s="2" t="s">
        <v>240</v>
      </c>
      <c r="D26" s="2"/>
      <c r="E26" s="2"/>
      <c r="F26" s="2"/>
      <c r="G26" s="2" t="s">
        <v>299</v>
      </c>
      <c r="H26">
        <v>31</v>
      </c>
    </row>
    <row r="27" spans="1:8" ht="15" thickBot="1" x14ac:dyDescent="0.35">
      <c r="A27" s="2" t="str">
        <f t="shared" si="2"/>
        <v>5CIV</v>
      </c>
      <c r="B27" s="2">
        <v>5</v>
      </c>
      <c r="C27" s="2" t="s">
        <v>31</v>
      </c>
      <c r="D27" s="2"/>
      <c r="E27" s="2"/>
      <c r="F27" s="2"/>
      <c r="G27" s="2" t="s">
        <v>294</v>
      </c>
      <c r="H27">
        <v>15</v>
      </c>
    </row>
    <row r="28" spans="1:8" ht="15" thickBot="1" x14ac:dyDescent="0.35">
      <c r="A28" s="2" t="str">
        <f t="shared" si="2"/>
        <v>5IND</v>
      </c>
      <c r="B28" s="2">
        <v>5</v>
      </c>
      <c r="C28" s="2" t="s">
        <v>32</v>
      </c>
      <c r="D28" s="2"/>
      <c r="E28" s="2"/>
      <c r="F28" s="2"/>
      <c r="G28" s="2" t="s">
        <v>294</v>
      </c>
      <c r="H28">
        <v>17</v>
      </c>
    </row>
    <row r="29" spans="1:8" ht="15" thickBot="1" x14ac:dyDescent="0.35">
      <c r="A29" s="2" t="str">
        <f t="shared" si="2"/>
        <v>5TEL</v>
      </c>
      <c r="B29" s="2">
        <v>5</v>
      </c>
      <c r="C29" s="2" t="s">
        <v>33</v>
      </c>
      <c r="D29" s="2"/>
      <c r="E29" s="2"/>
      <c r="F29" s="2"/>
      <c r="G29" s="2" t="s">
        <v>294</v>
      </c>
      <c r="H29">
        <v>14</v>
      </c>
    </row>
    <row r="30" spans="1:8" ht="15" thickBot="1" x14ac:dyDescent="0.35">
      <c r="A30" s="2" t="str">
        <f t="shared" si="2"/>
        <v>5INF</v>
      </c>
      <c r="B30" s="2">
        <v>5</v>
      </c>
      <c r="C30" s="2" t="s">
        <v>34</v>
      </c>
      <c r="D30" s="2"/>
      <c r="E30" s="2"/>
      <c r="F30" s="2"/>
      <c r="G30" s="2" t="s">
        <v>294</v>
      </c>
      <c r="H30">
        <v>21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workbookViewId="0">
      <selection activeCell="K8" sqref="K8"/>
    </sheetView>
  </sheetViews>
  <sheetFormatPr baseColWidth="10" defaultRowHeight="14.4" x14ac:dyDescent="0.3"/>
  <cols>
    <col min="1" max="1" width="4.21875" bestFit="1" customWidth="1"/>
    <col min="2" max="2" width="7.33203125" style="29" customWidth="1"/>
    <col min="3" max="3" width="6" style="29" customWidth="1"/>
    <col min="4" max="7" width="9.109375" style="31" customWidth="1"/>
  </cols>
  <sheetData>
    <row r="1" spans="1:21" x14ac:dyDescent="0.3">
      <c r="A1" s="29" t="s">
        <v>292</v>
      </c>
      <c r="B1" s="29" t="s">
        <v>316</v>
      </c>
      <c r="C1" s="29" t="s">
        <v>317</v>
      </c>
      <c r="D1" s="31" t="s">
        <v>318</v>
      </c>
      <c r="E1" s="31" t="s">
        <v>319</v>
      </c>
      <c r="F1" s="31" t="s">
        <v>320</v>
      </c>
      <c r="G1" s="31" t="s">
        <v>321</v>
      </c>
      <c r="Q1" s="15" t="s">
        <v>292</v>
      </c>
      <c r="R1" t="s">
        <v>11</v>
      </c>
      <c r="S1" t="s">
        <v>284</v>
      </c>
      <c r="T1" t="s">
        <v>294</v>
      </c>
      <c r="U1" t="s">
        <v>299</v>
      </c>
    </row>
    <row r="2" spans="1:21" x14ac:dyDescent="0.3">
      <c r="A2" s="29">
        <v>1</v>
      </c>
      <c r="B2" s="32">
        <v>0.33333333333333331</v>
      </c>
      <c r="C2" s="32">
        <f>B2+(5/6)/24</f>
        <v>0.36805555555555552</v>
      </c>
      <c r="D2" t="s">
        <v>11</v>
      </c>
      <c r="K2" t="s">
        <v>56</v>
      </c>
      <c r="M2" t="s">
        <v>11</v>
      </c>
      <c r="Q2" s="15">
        <v>1</v>
      </c>
      <c r="R2" t="s">
        <v>56</v>
      </c>
    </row>
    <row r="3" spans="1:21" x14ac:dyDescent="0.3">
      <c r="A3" s="29">
        <v>2</v>
      </c>
      <c r="B3" s="32">
        <v>0.36805555555555558</v>
      </c>
      <c r="C3" s="32">
        <f t="shared" ref="C3:C16" si="0">B3+(5/6)/24</f>
        <v>0.40277777777777779</v>
      </c>
      <c r="D3" t="s">
        <v>11</v>
      </c>
      <c r="K3" t="s">
        <v>57</v>
      </c>
      <c r="M3" t="s">
        <v>11</v>
      </c>
      <c r="Q3" s="15">
        <v>2</v>
      </c>
      <c r="R3" t="s">
        <v>57</v>
      </c>
    </row>
    <row r="4" spans="1:21" x14ac:dyDescent="0.3">
      <c r="A4" s="29">
        <v>3</v>
      </c>
      <c r="B4" s="32">
        <v>0.40972222222222221</v>
      </c>
      <c r="C4" s="32">
        <f t="shared" si="0"/>
        <v>0.44444444444444442</v>
      </c>
      <c r="D4" t="s">
        <v>11</v>
      </c>
      <c r="K4" t="s">
        <v>58</v>
      </c>
      <c r="M4" t="s">
        <v>11</v>
      </c>
      <c r="Q4" s="15">
        <v>3</v>
      </c>
      <c r="R4" t="s">
        <v>58</v>
      </c>
    </row>
    <row r="5" spans="1:21" x14ac:dyDescent="0.3">
      <c r="A5" s="29">
        <v>4</v>
      </c>
      <c r="B5" s="32">
        <v>0.44444444444444442</v>
      </c>
      <c r="C5" s="32">
        <f t="shared" si="0"/>
        <v>0.47916666666666663</v>
      </c>
      <c r="D5" t="s">
        <v>11</v>
      </c>
      <c r="K5" t="s">
        <v>59</v>
      </c>
      <c r="M5" t="s">
        <v>11</v>
      </c>
      <c r="Q5" s="15">
        <v>4</v>
      </c>
      <c r="R5" t="s">
        <v>59</v>
      </c>
    </row>
    <row r="6" spans="1:21" x14ac:dyDescent="0.3">
      <c r="A6" s="29">
        <v>5</v>
      </c>
      <c r="B6" s="32">
        <v>0.4861111111111111</v>
      </c>
      <c r="C6" s="32">
        <f t="shared" si="0"/>
        <v>0.52083333333333337</v>
      </c>
      <c r="D6" t="s">
        <v>11</v>
      </c>
      <c r="K6" t="s">
        <v>60</v>
      </c>
      <c r="M6" t="s">
        <v>11</v>
      </c>
      <c r="Q6" s="15">
        <v>5</v>
      </c>
      <c r="R6" t="s">
        <v>60</v>
      </c>
    </row>
    <row r="7" spans="1:21" x14ac:dyDescent="0.3">
      <c r="A7" s="29">
        <v>6</v>
      </c>
      <c r="B7" s="32">
        <v>0.52083333333333337</v>
      </c>
      <c r="C7" s="32">
        <f t="shared" si="0"/>
        <v>0.55555555555555558</v>
      </c>
      <c r="D7" t="s">
        <v>11</v>
      </c>
      <c r="K7" t="s">
        <v>61</v>
      </c>
      <c r="M7" t="s">
        <v>11</v>
      </c>
      <c r="Q7" s="15">
        <v>6</v>
      </c>
      <c r="R7" t="s">
        <v>61</v>
      </c>
    </row>
    <row r="8" spans="1:21" x14ac:dyDescent="0.3">
      <c r="A8" s="29">
        <v>7</v>
      </c>
      <c r="B8" s="32">
        <v>0.59027777777777779</v>
      </c>
      <c r="C8" s="32">
        <f t="shared" si="0"/>
        <v>0.625</v>
      </c>
      <c r="E8" t="s">
        <v>284</v>
      </c>
      <c r="K8" s="30" t="s">
        <v>293</v>
      </c>
      <c r="M8" t="s">
        <v>11</v>
      </c>
      <c r="N8" t="s">
        <v>284</v>
      </c>
      <c r="R8" s="30" t="s">
        <v>293</v>
      </c>
      <c r="S8" s="30" t="s">
        <v>283</v>
      </c>
    </row>
    <row r="9" spans="1:21" x14ac:dyDescent="0.3">
      <c r="A9" s="29">
        <v>8</v>
      </c>
      <c r="B9" s="32">
        <v>0.63194444444444442</v>
      </c>
      <c r="C9" s="32">
        <f t="shared" si="0"/>
        <v>0.66666666666666663</v>
      </c>
      <c r="E9" t="s">
        <v>284</v>
      </c>
      <c r="F9" t="s">
        <v>294</v>
      </c>
      <c r="K9" t="s">
        <v>307</v>
      </c>
      <c r="N9" t="s">
        <v>284</v>
      </c>
      <c r="Q9" s="15">
        <v>7</v>
      </c>
      <c r="S9" t="s">
        <v>287</v>
      </c>
    </row>
    <row r="10" spans="1:21" x14ac:dyDescent="0.3">
      <c r="A10" s="29">
        <v>9</v>
      </c>
      <c r="B10" s="32">
        <v>0.67361111111111116</v>
      </c>
      <c r="C10" s="32">
        <f t="shared" si="0"/>
        <v>0.70833333333333337</v>
      </c>
      <c r="E10" t="s">
        <v>284</v>
      </c>
      <c r="F10" t="s">
        <v>294</v>
      </c>
      <c r="K10" t="s">
        <v>295</v>
      </c>
      <c r="N10" t="s">
        <v>284</v>
      </c>
      <c r="O10" t="s">
        <v>294</v>
      </c>
      <c r="Q10" s="15">
        <v>8</v>
      </c>
      <c r="S10" t="s">
        <v>290</v>
      </c>
      <c r="T10" t="s">
        <v>295</v>
      </c>
    </row>
    <row r="11" spans="1:21" x14ac:dyDescent="0.3">
      <c r="A11" s="29">
        <v>10</v>
      </c>
      <c r="B11" s="32">
        <v>0.70833333333333337</v>
      </c>
      <c r="C11" s="32">
        <f t="shared" si="0"/>
        <v>0.74305555555555558</v>
      </c>
      <c r="E11" t="s">
        <v>284</v>
      </c>
      <c r="F11" t="s">
        <v>294</v>
      </c>
      <c r="K11" t="s">
        <v>296</v>
      </c>
      <c r="N11" t="s">
        <v>284</v>
      </c>
      <c r="O11" t="s">
        <v>294</v>
      </c>
      <c r="Q11" s="15">
        <v>9</v>
      </c>
      <c r="S11" t="s">
        <v>285</v>
      </c>
      <c r="T11" t="s">
        <v>296</v>
      </c>
    </row>
    <row r="12" spans="1:21" x14ac:dyDescent="0.3">
      <c r="A12" s="29">
        <v>11</v>
      </c>
      <c r="B12" s="32">
        <v>0.75</v>
      </c>
      <c r="C12" s="32">
        <f t="shared" si="0"/>
        <v>0.78472222222222221</v>
      </c>
      <c r="E12" t="s">
        <v>284</v>
      </c>
      <c r="F12" t="s">
        <v>294</v>
      </c>
      <c r="G12" t="s">
        <v>299</v>
      </c>
      <c r="K12" t="s">
        <v>297</v>
      </c>
      <c r="N12" t="s">
        <v>284</v>
      </c>
      <c r="O12" t="s">
        <v>294</v>
      </c>
      <c r="Q12" s="15">
        <v>10</v>
      </c>
      <c r="S12" t="s">
        <v>289</v>
      </c>
      <c r="T12" t="s">
        <v>297</v>
      </c>
    </row>
    <row r="13" spans="1:21" x14ac:dyDescent="0.3">
      <c r="A13" s="29">
        <v>12</v>
      </c>
      <c r="B13" s="32">
        <v>0.78472222222222221</v>
      </c>
      <c r="C13" s="32">
        <f t="shared" si="0"/>
        <v>0.81944444444444442</v>
      </c>
      <c r="E13" t="s">
        <v>284</v>
      </c>
      <c r="F13" t="s">
        <v>294</v>
      </c>
      <c r="G13" t="s">
        <v>299</v>
      </c>
      <c r="K13" t="s">
        <v>298</v>
      </c>
      <c r="N13" t="s">
        <v>284</v>
      </c>
      <c r="O13" t="s">
        <v>294</v>
      </c>
      <c r="Q13" s="15">
        <v>11</v>
      </c>
      <c r="S13" t="s">
        <v>286</v>
      </c>
      <c r="T13" t="s">
        <v>298</v>
      </c>
      <c r="U13" t="s">
        <v>298</v>
      </c>
    </row>
    <row r="14" spans="1:21" x14ac:dyDescent="0.3">
      <c r="A14" s="29">
        <v>13</v>
      </c>
      <c r="B14" s="32">
        <v>0.82638888888888884</v>
      </c>
      <c r="C14" s="32">
        <f t="shared" si="0"/>
        <v>0.86111111111111105</v>
      </c>
      <c r="F14" t="s">
        <v>294</v>
      </c>
      <c r="G14" t="s">
        <v>299</v>
      </c>
      <c r="K14" t="s">
        <v>300</v>
      </c>
      <c r="N14" t="s">
        <v>284</v>
      </c>
      <c r="O14" t="s">
        <v>294</v>
      </c>
      <c r="Q14" s="15">
        <v>12</v>
      </c>
      <c r="S14" t="s">
        <v>288</v>
      </c>
      <c r="T14" t="s">
        <v>300</v>
      </c>
      <c r="U14" t="s">
        <v>300</v>
      </c>
    </row>
    <row r="15" spans="1:21" x14ac:dyDescent="0.3">
      <c r="A15" s="29">
        <v>14</v>
      </c>
      <c r="B15" s="32">
        <v>0.86111111111111116</v>
      </c>
      <c r="C15" s="32">
        <f t="shared" si="0"/>
        <v>0.89583333333333337</v>
      </c>
      <c r="F15" t="s">
        <v>294</v>
      </c>
      <c r="G15" t="s">
        <v>299</v>
      </c>
      <c r="K15" t="s">
        <v>291</v>
      </c>
      <c r="O15" t="s">
        <v>294</v>
      </c>
      <c r="Q15" s="15">
        <v>13</v>
      </c>
      <c r="T15" t="s">
        <v>291</v>
      </c>
      <c r="U15" t="s">
        <v>291</v>
      </c>
    </row>
    <row r="16" spans="1:21" x14ac:dyDescent="0.3">
      <c r="A16" s="29">
        <v>15</v>
      </c>
      <c r="B16" s="32">
        <v>0.90277777777777779</v>
      </c>
      <c r="C16" s="32">
        <f t="shared" si="0"/>
        <v>0.9375</v>
      </c>
      <c r="G16" t="s">
        <v>299</v>
      </c>
      <c r="K16" t="s">
        <v>301</v>
      </c>
      <c r="O16" t="s">
        <v>294</v>
      </c>
      <c r="Q16" s="15">
        <v>14</v>
      </c>
      <c r="T16" t="s">
        <v>301</v>
      </c>
      <c r="U16" t="s">
        <v>301</v>
      </c>
    </row>
    <row r="17" spans="11:21" x14ac:dyDescent="0.3">
      <c r="K17" t="s">
        <v>302</v>
      </c>
      <c r="Q17" s="15">
        <v>15</v>
      </c>
      <c r="U17" t="s">
        <v>302</v>
      </c>
    </row>
    <row r="18" spans="11:21" x14ac:dyDescent="0.3">
      <c r="R18" t="s">
        <v>303</v>
      </c>
      <c r="S18" t="s">
        <v>305</v>
      </c>
      <c r="T18" t="s">
        <v>304</v>
      </c>
      <c r="U18" t="s">
        <v>306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B1:BP730"/>
  <sheetViews>
    <sheetView tabSelected="1" zoomScale="105" zoomScaleNormal="85" workbookViewId="0">
      <selection activeCell="F2" sqref="F2"/>
    </sheetView>
  </sheetViews>
  <sheetFormatPr baseColWidth="10" defaultColWidth="17.21875" defaultRowHeight="14.4" x14ac:dyDescent="0.3"/>
  <cols>
    <col min="2" max="2" width="17.21875" style="15"/>
    <col min="3" max="7" width="29.77734375" style="17" customWidth="1"/>
    <col min="8" max="9" width="17.21875" style="17"/>
    <col min="10" max="10" width="13.21875" customWidth="1"/>
    <col min="11" max="15" width="9.44140625" style="17" customWidth="1"/>
    <col min="22" max="22" width="5.5546875" style="140" customWidth="1"/>
    <col min="25" max="25" width="17.21875" style="15"/>
    <col min="26" max="30" width="29.77734375" style="17" customWidth="1"/>
    <col min="31" max="32" width="17.21875" style="17"/>
    <col min="33" max="33" width="13.21875" customWidth="1"/>
    <col min="34" max="38" width="9.44140625" style="17" customWidth="1"/>
    <col min="45" max="45" width="5.5546875" style="140" customWidth="1"/>
    <col min="56" max="61" width="5.44140625" customWidth="1"/>
  </cols>
  <sheetData>
    <row r="1" spans="2:61" x14ac:dyDescent="0.3">
      <c r="G1" s="29" t="s">
        <v>984</v>
      </c>
      <c r="H1" s="29"/>
      <c r="AD1" s="29" t="s">
        <v>984</v>
      </c>
      <c r="AE1" s="29"/>
    </row>
    <row r="2" spans="2:61" x14ac:dyDescent="0.3">
      <c r="B2" s="141" t="s">
        <v>989</v>
      </c>
      <c r="C2" s="106"/>
      <c r="D2" s="106"/>
      <c r="E2" s="106"/>
      <c r="G2" s="29" t="s">
        <v>985</v>
      </c>
      <c r="H2" s="29"/>
      <c r="Y2" s="141" t="s">
        <v>989</v>
      </c>
      <c r="Z2" s="106"/>
      <c r="AA2" s="106"/>
      <c r="AD2" s="29" t="s">
        <v>985</v>
      </c>
      <c r="AE2" s="29"/>
    </row>
    <row r="3" spans="2:61" x14ac:dyDescent="0.3">
      <c r="B3" s="143" t="s">
        <v>1015</v>
      </c>
      <c r="E3" s="29" t="s">
        <v>1054</v>
      </c>
      <c r="G3" s="29" t="s">
        <v>1037</v>
      </c>
      <c r="H3" s="29"/>
      <c r="AB3" s="29" t="s">
        <v>987</v>
      </c>
      <c r="AD3" s="29" t="s">
        <v>991</v>
      </c>
      <c r="AE3" s="29"/>
    </row>
    <row r="4" spans="2:61" x14ac:dyDescent="0.3">
      <c r="E4" s="29" t="s">
        <v>1055</v>
      </c>
      <c r="G4" s="29" t="s">
        <v>964</v>
      </c>
      <c r="H4" s="29"/>
      <c r="R4" t="s">
        <v>1013</v>
      </c>
      <c r="AB4" s="29" t="s">
        <v>988</v>
      </c>
      <c r="AD4" s="29" t="s">
        <v>986</v>
      </c>
      <c r="AE4" s="29"/>
      <c r="AO4" t="s">
        <v>1013</v>
      </c>
      <c r="BD4">
        <f>SUM(BD8:BI730)</f>
        <v>400</v>
      </c>
    </row>
    <row r="5" spans="2:61" x14ac:dyDescent="0.3">
      <c r="E5" s="29"/>
      <c r="G5" s="29"/>
      <c r="AD5" s="29"/>
    </row>
    <row r="6" spans="2:61" x14ac:dyDescent="0.3">
      <c r="G6" s="29"/>
      <c r="R6" t="s">
        <v>386</v>
      </c>
      <c r="AD6" s="29"/>
      <c r="AO6" t="s">
        <v>386</v>
      </c>
      <c r="BD6">
        <f>SUM(BD8:BD730)</f>
        <v>115</v>
      </c>
      <c r="BE6">
        <f t="shared" ref="BE6:BI6" si="0">SUM(BE8:BE730)</f>
        <v>54</v>
      </c>
      <c r="BF6">
        <f t="shared" si="0"/>
        <v>56</v>
      </c>
      <c r="BG6">
        <f t="shared" si="0"/>
        <v>59</v>
      </c>
      <c r="BH6">
        <f t="shared" si="0"/>
        <v>61</v>
      </c>
      <c r="BI6">
        <f t="shared" si="0"/>
        <v>55</v>
      </c>
    </row>
    <row r="7" spans="2:61" x14ac:dyDescent="0.3">
      <c r="B7" s="29" t="s">
        <v>596</v>
      </c>
      <c r="G7" s="29"/>
      <c r="S7" t="s">
        <v>966</v>
      </c>
      <c r="Y7" s="29" t="s">
        <v>596</v>
      </c>
      <c r="AD7" s="29"/>
      <c r="AP7" t="s">
        <v>966</v>
      </c>
    </row>
    <row r="8" spans="2:61" x14ac:dyDescent="0.3">
      <c r="B8" s="71" t="s">
        <v>540</v>
      </c>
      <c r="G8" s="29"/>
      <c r="J8" t="s">
        <v>741</v>
      </c>
      <c r="S8" t="s">
        <v>992</v>
      </c>
      <c r="Y8" s="71" t="s">
        <v>540</v>
      </c>
      <c r="AD8" s="29"/>
      <c r="AG8" t="s">
        <v>741</v>
      </c>
      <c r="AP8" t="s">
        <v>992</v>
      </c>
      <c r="AW8" t="s">
        <v>741</v>
      </c>
      <c r="BD8">
        <f>IF(J8=AW8,0,1)</f>
        <v>0</v>
      </c>
      <c r="BE8">
        <f t="shared" ref="BE8:BI8" si="1">IF(K8=AX8,0,1)</f>
        <v>0</v>
      </c>
      <c r="BF8">
        <f t="shared" si="1"/>
        <v>0</v>
      </c>
      <c r="BG8">
        <f t="shared" si="1"/>
        <v>0</v>
      </c>
      <c r="BH8">
        <f t="shared" si="1"/>
        <v>0</v>
      </c>
      <c r="BI8">
        <f t="shared" si="1"/>
        <v>0</v>
      </c>
    </row>
    <row r="9" spans="2:61" x14ac:dyDescent="0.3">
      <c r="K9" s="17" t="s">
        <v>164</v>
      </c>
      <c r="L9" s="17" t="s">
        <v>165</v>
      </c>
      <c r="M9" s="17" t="s">
        <v>166</v>
      </c>
      <c r="N9" s="17" t="s">
        <v>167</v>
      </c>
      <c r="O9" s="17" t="s">
        <v>168</v>
      </c>
      <c r="S9" t="s">
        <v>965</v>
      </c>
      <c r="AH9" s="17" t="s">
        <v>164</v>
      </c>
      <c r="AI9" s="17" t="s">
        <v>165</v>
      </c>
      <c r="AJ9" s="17" t="s">
        <v>166</v>
      </c>
      <c r="AK9" s="17" t="s">
        <v>167</v>
      </c>
      <c r="AL9" s="17" t="s">
        <v>168</v>
      </c>
      <c r="AP9" t="s">
        <v>965</v>
      </c>
      <c r="AX9" t="s">
        <v>164</v>
      </c>
      <c r="AY9" t="s">
        <v>165</v>
      </c>
      <c r="AZ9" t="s">
        <v>166</v>
      </c>
      <c r="BA9" t="s">
        <v>167</v>
      </c>
      <c r="BB9" t="s">
        <v>168</v>
      </c>
      <c r="BD9">
        <f t="shared" ref="BD9:BD72" si="2">IF(J9=AW9,0,1)</f>
        <v>0</v>
      </c>
      <c r="BE9">
        <f t="shared" ref="BE9:BE72" si="3">IF(K9=AX9,0,1)</f>
        <v>0</v>
      </c>
      <c r="BF9">
        <f t="shared" ref="BF9:BF72" si="4">IF(L9=AY9,0,1)</f>
        <v>0</v>
      </c>
      <c r="BG9">
        <f t="shared" ref="BG9:BG72" si="5">IF(M9=AZ9,0,1)</f>
        <v>0</v>
      </c>
      <c r="BH9">
        <f t="shared" ref="BH9:BH72" si="6">IF(N9=BA9,0,1)</f>
        <v>0</v>
      </c>
      <c r="BI9">
        <f t="shared" ref="BI9:BI72" si="7">IF(O9=BB9,0,1)</f>
        <v>0</v>
      </c>
    </row>
    <row r="10" spans="2:61" x14ac:dyDescent="0.3">
      <c r="B10" s="15" t="s">
        <v>547</v>
      </c>
      <c r="J10" t="s">
        <v>548</v>
      </c>
      <c r="K10" s="17" t="s">
        <v>155</v>
      </c>
      <c r="L10" s="17" t="s">
        <v>155</v>
      </c>
      <c r="M10" s="17" t="s">
        <v>155</v>
      </c>
      <c r="N10" s="17" t="s">
        <v>155</v>
      </c>
      <c r="O10" s="17" t="s">
        <v>356</v>
      </c>
      <c r="S10" t="s">
        <v>993</v>
      </c>
      <c r="Y10" s="15" t="s">
        <v>547</v>
      </c>
      <c r="AG10" t="s">
        <v>548</v>
      </c>
      <c r="AH10" s="17" t="s">
        <v>155</v>
      </c>
      <c r="AI10" s="17" t="s">
        <v>155</v>
      </c>
      <c r="AJ10" s="17" t="s">
        <v>155</v>
      </c>
      <c r="AK10" s="17" t="s">
        <v>155</v>
      </c>
      <c r="AL10" s="17" t="s">
        <v>356</v>
      </c>
      <c r="AP10" t="s">
        <v>993</v>
      </c>
      <c r="AW10" t="s">
        <v>548</v>
      </c>
      <c r="AX10" t="s">
        <v>155</v>
      </c>
      <c r="AY10" t="s">
        <v>155</v>
      </c>
      <c r="AZ10" t="s">
        <v>155</v>
      </c>
      <c r="BA10" t="s">
        <v>155</v>
      </c>
      <c r="BB10" t="s">
        <v>356</v>
      </c>
      <c r="BD10">
        <f t="shared" si="2"/>
        <v>0</v>
      </c>
      <c r="BE10">
        <f t="shared" si="3"/>
        <v>0</v>
      </c>
      <c r="BF10">
        <f t="shared" si="4"/>
        <v>0</v>
      </c>
      <c r="BG10">
        <f t="shared" si="5"/>
        <v>0</v>
      </c>
      <c r="BH10">
        <f t="shared" si="6"/>
        <v>0</v>
      </c>
      <c r="BI10">
        <f t="shared" si="7"/>
        <v>0</v>
      </c>
    </row>
    <row r="11" spans="2:61" x14ac:dyDescent="0.3">
      <c r="C11" s="17" t="s">
        <v>164</v>
      </c>
      <c r="D11" s="17" t="s">
        <v>165</v>
      </c>
      <c r="E11" s="17" t="s">
        <v>166</v>
      </c>
      <c r="F11" s="17" t="s">
        <v>167</v>
      </c>
      <c r="G11" s="17" t="s">
        <v>168</v>
      </c>
      <c r="J11" t="s">
        <v>549</v>
      </c>
      <c r="K11" s="17" t="s">
        <v>155</v>
      </c>
      <c r="L11" s="17" t="s">
        <v>155</v>
      </c>
      <c r="M11" s="17" t="s">
        <v>155</v>
      </c>
      <c r="N11" s="17" t="s">
        <v>155</v>
      </c>
      <c r="O11" s="17" t="s">
        <v>356</v>
      </c>
      <c r="R11" t="s">
        <v>387</v>
      </c>
      <c r="Z11" s="17" t="s">
        <v>164</v>
      </c>
      <c r="AA11" s="17" t="s">
        <v>165</v>
      </c>
      <c r="AB11" s="17" t="s">
        <v>166</v>
      </c>
      <c r="AC11" s="17" t="s">
        <v>167</v>
      </c>
      <c r="AD11" s="17" t="s">
        <v>168</v>
      </c>
      <c r="AG11" t="s">
        <v>549</v>
      </c>
      <c r="AH11" s="17" t="s">
        <v>155</v>
      </c>
      <c r="AI11" s="17" t="s">
        <v>155</v>
      </c>
      <c r="AJ11" s="17" t="s">
        <v>155</v>
      </c>
      <c r="AK11" s="17" t="s">
        <v>155</v>
      </c>
      <c r="AL11" s="17" t="s">
        <v>356</v>
      </c>
      <c r="AO11" t="s">
        <v>387</v>
      </c>
      <c r="AW11" t="s">
        <v>549</v>
      </c>
      <c r="AX11" t="s">
        <v>155</v>
      </c>
      <c r="AY11" t="s">
        <v>155</v>
      </c>
      <c r="AZ11" t="s">
        <v>155</v>
      </c>
      <c r="BA11" t="s">
        <v>155</v>
      </c>
      <c r="BB11" t="s">
        <v>356</v>
      </c>
      <c r="BD11">
        <f t="shared" si="2"/>
        <v>0</v>
      </c>
      <c r="BE11">
        <f t="shared" si="3"/>
        <v>0</v>
      </c>
      <c r="BF11">
        <f t="shared" si="4"/>
        <v>0</v>
      </c>
      <c r="BG11">
        <f t="shared" si="5"/>
        <v>0</v>
      </c>
      <c r="BH11">
        <f t="shared" si="6"/>
        <v>0</v>
      </c>
      <c r="BI11">
        <f t="shared" si="7"/>
        <v>0</v>
      </c>
    </row>
    <row r="12" spans="2:61" x14ac:dyDescent="0.3">
      <c r="B12" s="15" t="s">
        <v>548</v>
      </c>
      <c r="C12" s="17" t="s">
        <v>1033</v>
      </c>
      <c r="D12" s="17" t="s">
        <v>587</v>
      </c>
      <c r="E12" s="17" t="s">
        <v>155</v>
      </c>
      <c r="F12" s="17" t="s">
        <v>155</v>
      </c>
      <c r="G12" s="17" t="s">
        <v>587</v>
      </c>
      <c r="J12" t="s">
        <v>550</v>
      </c>
      <c r="K12" s="17" t="s">
        <v>155</v>
      </c>
      <c r="L12" s="17" t="s">
        <v>155</v>
      </c>
      <c r="M12" s="17" t="s">
        <v>155</v>
      </c>
      <c r="N12" s="17" t="s">
        <v>155</v>
      </c>
      <c r="O12" s="17" t="s">
        <v>356</v>
      </c>
      <c r="S12" t="s">
        <v>968</v>
      </c>
      <c r="Y12" s="15" t="s">
        <v>548</v>
      </c>
      <c r="Z12" s="17" t="s">
        <v>155</v>
      </c>
      <c r="AA12" s="17" t="s">
        <v>155</v>
      </c>
      <c r="AB12" s="17" t="s">
        <v>587</v>
      </c>
      <c r="AC12" s="17" t="s">
        <v>155</v>
      </c>
      <c r="AD12" s="17" t="s">
        <v>587</v>
      </c>
      <c r="AG12" t="s">
        <v>550</v>
      </c>
      <c r="AH12" s="17" t="s">
        <v>155</v>
      </c>
      <c r="AI12" s="17" t="s">
        <v>155</v>
      </c>
      <c r="AJ12" s="17" t="s">
        <v>155</v>
      </c>
      <c r="AK12" s="17" t="s">
        <v>155</v>
      </c>
      <c r="AL12" s="17" t="s">
        <v>356</v>
      </c>
      <c r="AP12" t="s">
        <v>968</v>
      </c>
      <c r="AW12" t="s">
        <v>550</v>
      </c>
      <c r="AX12" t="s">
        <v>155</v>
      </c>
      <c r="AY12" t="s">
        <v>155</v>
      </c>
      <c r="AZ12" t="s">
        <v>155</v>
      </c>
      <c r="BA12" t="s">
        <v>155</v>
      </c>
      <c r="BB12" t="s">
        <v>356</v>
      </c>
      <c r="BD12">
        <f t="shared" si="2"/>
        <v>0</v>
      </c>
      <c r="BE12">
        <f t="shared" si="3"/>
        <v>0</v>
      </c>
      <c r="BF12">
        <f t="shared" si="4"/>
        <v>0</v>
      </c>
      <c r="BG12">
        <f t="shared" si="5"/>
        <v>0</v>
      </c>
      <c r="BH12">
        <f t="shared" si="6"/>
        <v>0</v>
      </c>
      <c r="BI12">
        <f t="shared" si="7"/>
        <v>0</v>
      </c>
    </row>
    <row r="13" spans="2:61" x14ac:dyDescent="0.3">
      <c r="B13" s="15" t="s">
        <v>549</v>
      </c>
      <c r="C13" s="17" t="s">
        <v>1033</v>
      </c>
      <c r="D13" s="17" t="s">
        <v>587</v>
      </c>
      <c r="E13" s="17" t="s">
        <v>155</v>
      </c>
      <c r="F13" s="17" t="s">
        <v>155</v>
      </c>
      <c r="G13" s="17" t="s">
        <v>587</v>
      </c>
      <c r="S13" t="s">
        <v>969</v>
      </c>
      <c r="Y13" s="15" t="s">
        <v>549</v>
      </c>
      <c r="Z13" s="17" t="s">
        <v>155</v>
      </c>
      <c r="AA13" s="17" t="s">
        <v>576</v>
      </c>
      <c r="AB13" s="17" t="s">
        <v>587</v>
      </c>
      <c r="AC13" s="17" t="s">
        <v>155</v>
      </c>
      <c r="AD13" s="17" t="s">
        <v>587</v>
      </c>
      <c r="AP13" t="s">
        <v>969</v>
      </c>
      <c r="BD13">
        <f t="shared" si="2"/>
        <v>0</v>
      </c>
      <c r="BE13">
        <f t="shared" si="3"/>
        <v>0</v>
      </c>
      <c r="BF13">
        <f t="shared" si="4"/>
        <v>0</v>
      </c>
      <c r="BG13">
        <f t="shared" si="5"/>
        <v>0</v>
      </c>
      <c r="BH13">
        <f t="shared" si="6"/>
        <v>0</v>
      </c>
      <c r="BI13">
        <f t="shared" si="7"/>
        <v>0</v>
      </c>
    </row>
    <row r="14" spans="2:61" x14ac:dyDescent="0.3">
      <c r="B14" s="15" t="s">
        <v>550</v>
      </c>
      <c r="C14" s="17" t="s">
        <v>1033</v>
      </c>
      <c r="D14" s="17" t="s">
        <v>587</v>
      </c>
      <c r="E14" s="17" t="s">
        <v>155</v>
      </c>
      <c r="F14" s="17" t="s">
        <v>576</v>
      </c>
      <c r="G14" s="17" t="s">
        <v>578</v>
      </c>
      <c r="H14" s="29"/>
      <c r="J14" t="s">
        <v>726</v>
      </c>
      <c r="S14" t="s">
        <v>967</v>
      </c>
      <c r="Y14" s="15" t="s">
        <v>550</v>
      </c>
      <c r="Z14" s="17" t="s">
        <v>577</v>
      </c>
      <c r="AA14" s="17" t="s">
        <v>576</v>
      </c>
      <c r="AB14" s="17" t="s">
        <v>587</v>
      </c>
      <c r="AC14" s="17" t="s">
        <v>577</v>
      </c>
      <c r="AD14" s="17" t="s">
        <v>579</v>
      </c>
      <c r="AE14" s="29"/>
      <c r="AG14" t="s">
        <v>726</v>
      </c>
      <c r="AP14" t="s">
        <v>967</v>
      </c>
      <c r="AW14" t="s">
        <v>726</v>
      </c>
      <c r="BD14">
        <f t="shared" si="2"/>
        <v>0</v>
      </c>
      <c r="BE14">
        <f t="shared" si="3"/>
        <v>0</v>
      </c>
      <c r="BF14">
        <f t="shared" si="4"/>
        <v>0</v>
      </c>
      <c r="BG14">
        <f t="shared" si="5"/>
        <v>0</v>
      </c>
      <c r="BH14">
        <f t="shared" si="6"/>
        <v>0</v>
      </c>
      <c r="BI14">
        <f t="shared" si="7"/>
        <v>0</v>
      </c>
    </row>
    <row r="15" spans="2:61" x14ac:dyDescent="0.3">
      <c r="B15" s="15" t="s">
        <v>158</v>
      </c>
      <c r="C15" s="17" t="s">
        <v>574</v>
      </c>
      <c r="D15" s="17" t="s">
        <v>585</v>
      </c>
      <c r="E15" s="17" t="s">
        <v>1033</v>
      </c>
      <c r="F15" s="17" t="s">
        <v>576</v>
      </c>
      <c r="G15" s="17" t="s">
        <v>578</v>
      </c>
      <c r="K15" s="17" t="s">
        <v>164</v>
      </c>
      <c r="L15" s="17" t="s">
        <v>165</v>
      </c>
      <c r="M15" s="17" t="s">
        <v>166</v>
      </c>
      <c r="N15" s="17" t="s">
        <v>167</v>
      </c>
      <c r="O15" s="17" t="s">
        <v>168</v>
      </c>
      <c r="R15" t="s">
        <v>505</v>
      </c>
      <c r="Y15" s="15" t="s">
        <v>158</v>
      </c>
      <c r="Z15" s="17" t="s">
        <v>577</v>
      </c>
      <c r="AA15" s="17" t="s">
        <v>574</v>
      </c>
      <c r="AB15" s="17" t="s">
        <v>579</v>
      </c>
      <c r="AC15" s="17" t="s">
        <v>577</v>
      </c>
      <c r="AD15" s="17" t="s">
        <v>579</v>
      </c>
      <c r="AH15" s="17" t="s">
        <v>164</v>
      </c>
      <c r="AI15" s="17" t="s">
        <v>165</v>
      </c>
      <c r="AJ15" s="17" t="s">
        <v>166</v>
      </c>
      <c r="AK15" s="17" t="s">
        <v>167</v>
      </c>
      <c r="AL15" s="17" t="s">
        <v>168</v>
      </c>
      <c r="AO15" t="s">
        <v>505</v>
      </c>
      <c r="AX15" t="s">
        <v>164</v>
      </c>
      <c r="AY15" t="s">
        <v>165</v>
      </c>
      <c r="AZ15" t="s">
        <v>166</v>
      </c>
      <c r="BA15" t="s">
        <v>167</v>
      </c>
      <c r="BB15" t="s">
        <v>168</v>
      </c>
      <c r="BD15">
        <f t="shared" si="2"/>
        <v>0</v>
      </c>
      <c r="BE15">
        <f t="shared" si="3"/>
        <v>0</v>
      </c>
      <c r="BF15">
        <f t="shared" si="4"/>
        <v>0</v>
      </c>
      <c r="BG15">
        <f t="shared" si="5"/>
        <v>0</v>
      </c>
      <c r="BH15">
        <f t="shared" si="6"/>
        <v>0</v>
      </c>
      <c r="BI15">
        <f t="shared" si="7"/>
        <v>0</v>
      </c>
    </row>
    <row r="16" spans="2:61" x14ac:dyDescent="0.3">
      <c r="B16" s="15" t="s">
        <v>159</v>
      </c>
      <c r="C16" s="17" t="s">
        <v>574</v>
      </c>
      <c r="D16" s="17" t="s">
        <v>585</v>
      </c>
      <c r="E16" s="17" t="s">
        <v>1033</v>
      </c>
      <c r="F16" s="17" t="s">
        <v>585</v>
      </c>
      <c r="G16" s="17" t="s">
        <v>580</v>
      </c>
      <c r="J16" t="s">
        <v>548</v>
      </c>
      <c r="K16" s="17" t="s">
        <v>511</v>
      </c>
      <c r="L16" s="17" t="s">
        <v>155</v>
      </c>
      <c r="M16" s="17" t="s">
        <v>155</v>
      </c>
      <c r="N16" s="17" t="s">
        <v>155</v>
      </c>
      <c r="O16" s="17" t="s">
        <v>155</v>
      </c>
      <c r="S16" t="s">
        <v>973</v>
      </c>
      <c r="Y16" s="15" t="s">
        <v>159</v>
      </c>
      <c r="Z16" s="17" t="s">
        <v>577</v>
      </c>
      <c r="AA16" s="17" t="s">
        <v>574</v>
      </c>
      <c r="AB16" s="17" t="s">
        <v>579</v>
      </c>
      <c r="AC16" s="17" t="s">
        <v>580</v>
      </c>
      <c r="AD16" s="17" t="s">
        <v>578</v>
      </c>
      <c r="AG16" t="s">
        <v>548</v>
      </c>
      <c r="AH16" s="17" t="s">
        <v>511</v>
      </c>
      <c r="AI16" s="17" t="s">
        <v>155</v>
      </c>
      <c r="AJ16" s="17" t="s">
        <v>155</v>
      </c>
      <c r="AK16" s="17" t="s">
        <v>155</v>
      </c>
      <c r="AL16" s="17" t="s">
        <v>155</v>
      </c>
      <c r="AP16" t="s">
        <v>972</v>
      </c>
      <c r="AW16" t="s">
        <v>548</v>
      </c>
      <c r="AX16" t="s">
        <v>511</v>
      </c>
      <c r="AY16" t="s">
        <v>155</v>
      </c>
      <c r="AZ16" t="s">
        <v>155</v>
      </c>
      <c r="BA16" t="s">
        <v>155</v>
      </c>
      <c r="BB16" t="s">
        <v>155</v>
      </c>
      <c r="BD16">
        <f t="shared" si="2"/>
        <v>0</v>
      </c>
      <c r="BE16">
        <f t="shared" si="3"/>
        <v>0</v>
      </c>
      <c r="BF16">
        <f t="shared" si="4"/>
        <v>0</v>
      </c>
      <c r="BG16">
        <f t="shared" si="5"/>
        <v>0</v>
      </c>
      <c r="BH16">
        <f t="shared" si="6"/>
        <v>0</v>
      </c>
      <c r="BI16">
        <f t="shared" si="7"/>
        <v>0</v>
      </c>
    </row>
    <row r="17" spans="2:61" x14ac:dyDescent="0.3">
      <c r="B17" s="15" t="s">
        <v>160</v>
      </c>
      <c r="C17" s="17" t="s">
        <v>574</v>
      </c>
      <c r="D17" s="17" t="s">
        <v>585</v>
      </c>
      <c r="E17" s="17" t="s">
        <v>155</v>
      </c>
      <c r="F17" s="17" t="s">
        <v>585</v>
      </c>
      <c r="G17" s="17" t="s">
        <v>580</v>
      </c>
      <c r="J17" t="s">
        <v>549</v>
      </c>
      <c r="K17" s="17" t="s">
        <v>511</v>
      </c>
      <c r="L17" s="17" t="s">
        <v>155</v>
      </c>
      <c r="M17" s="17" t="s">
        <v>155</v>
      </c>
      <c r="N17" s="17" t="s">
        <v>155</v>
      </c>
      <c r="O17" s="17" t="s">
        <v>155</v>
      </c>
      <c r="S17" t="s">
        <v>972</v>
      </c>
      <c r="Y17" s="15" t="s">
        <v>160</v>
      </c>
      <c r="Z17" s="17" t="s">
        <v>155</v>
      </c>
      <c r="AA17" s="17" t="s">
        <v>574</v>
      </c>
      <c r="AB17" s="17" t="s">
        <v>579</v>
      </c>
      <c r="AC17" s="17" t="s">
        <v>580</v>
      </c>
      <c r="AD17" s="17" t="s">
        <v>578</v>
      </c>
      <c r="AG17" t="s">
        <v>549</v>
      </c>
      <c r="AH17" s="17" t="s">
        <v>511</v>
      </c>
      <c r="AI17" s="17" t="s">
        <v>155</v>
      </c>
      <c r="AJ17" s="17" t="s">
        <v>155</v>
      </c>
      <c r="AK17" s="17" t="s">
        <v>155</v>
      </c>
      <c r="AL17" s="17" t="s">
        <v>155</v>
      </c>
      <c r="AP17" t="s">
        <v>970</v>
      </c>
      <c r="AW17" t="s">
        <v>549</v>
      </c>
      <c r="AX17" t="s">
        <v>511</v>
      </c>
      <c r="AY17" t="s">
        <v>155</v>
      </c>
      <c r="AZ17" t="s">
        <v>155</v>
      </c>
      <c r="BA17" t="s">
        <v>155</v>
      </c>
      <c r="BB17" t="s">
        <v>155</v>
      </c>
      <c r="BD17">
        <f t="shared" si="2"/>
        <v>0</v>
      </c>
      <c r="BE17">
        <f t="shared" si="3"/>
        <v>0</v>
      </c>
      <c r="BF17">
        <f t="shared" si="4"/>
        <v>0</v>
      </c>
      <c r="BG17">
        <f t="shared" si="5"/>
        <v>0</v>
      </c>
      <c r="BH17">
        <f t="shared" si="6"/>
        <v>0</v>
      </c>
      <c r="BI17">
        <f t="shared" si="7"/>
        <v>0</v>
      </c>
    </row>
    <row r="18" spans="2:61" x14ac:dyDescent="0.3">
      <c r="J18" t="s">
        <v>550</v>
      </c>
      <c r="K18" s="17" t="s">
        <v>511</v>
      </c>
      <c r="L18" s="17" t="s">
        <v>511</v>
      </c>
      <c r="M18" s="17" t="s">
        <v>155</v>
      </c>
      <c r="N18" s="17" t="s">
        <v>155</v>
      </c>
      <c r="O18" s="17" t="s">
        <v>155</v>
      </c>
      <c r="S18" t="s">
        <v>971</v>
      </c>
      <c r="AG18" t="s">
        <v>550</v>
      </c>
      <c r="AH18" s="17" t="s">
        <v>511</v>
      </c>
      <c r="AI18" s="17" t="s">
        <v>155</v>
      </c>
      <c r="AJ18" s="17" t="s">
        <v>155</v>
      </c>
      <c r="AK18" s="17" t="s">
        <v>155</v>
      </c>
      <c r="AL18" s="17" t="s">
        <v>155</v>
      </c>
      <c r="AP18" t="s">
        <v>974</v>
      </c>
      <c r="AW18" t="s">
        <v>550</v>
      </c>
      <c r="AX18" t="s">
        <v>511</v>
      </c>
      <c r="AY18" t="s">
        <v>511</v>
      </c>
      <c r="AZ18" t="s">
        <v>155</v>
      </c>
      <c r="BA18" t="s">
        <v>155</v>
      </c>
      <c r="BB18" t="s">
        <v>155</v>
      </c>
      <c r="BD18">
        <f t="shared" si="2"/>
        <v>0</v>
      </c>
      <c r="BE18">
        <f t="shared" si="3"/>
        <v>0</v>
      </c>
      <c r="BF18">
        <f t="shared" si="4"/>
        <v>0</v>
      </c>
      <c r="BG18">
        <f t="shared" si="5"/>
        <v>0</v>
      </c>
      <c r="BH18">
        <f t="shared" si="6"/>
        <v>0</v>
      </c>
      <c r="BI18">
        <f t="shared" si="7"/>
        <v>0</v>
      </c>
    </row>
    <row r="19" spans="2:61" x14ac:dyDescent="0.3">
      <c r="B19" s="15" t="s">
        <v>551</v>
      </c>
      <c r="J19" t="s">
        <v>158</v>
      </c>
      <c r="K19" s="17" t="s">
        <v>511</v>
      </c>
      <c r="L19" s="17" t="s">
        <v>511</v>
      </c>
      <c r="M19" s="17" t="s">
        <v>155</v>
      </c>
      <c r="N19" s="17" t="s">
        <v>155</v>
      </c>
      <c r="O19" s="17" t="s">
        <v>155</v>
      </c>
      <c r="S19" t="s">
        <v>1016</v>
      </c>
      <c r="Y19" s="15" t="s">
        <v>551</v>
      </c>
      <c r="AG19" t="s">
        <v>158</v>
      </c>
      <c r="AH19" s="17" t="s">
        <v>511</v>
      </c>
      <c r="AI19" s="17" t="s">
        <v>511</v>
      </c>
      <c r="AJ19" s="17" t="s">
        <v>155</v>
      </c>
      <c r="AK19" s="17" t="s">
        <v>155</v>
      </c>
      <c r="AL19" s="17" t="s">
        <v>155</v>
      </c>
      <c r="AP19" t="s">
        <v>971</v>
      </c>
      <c r="AW19" t="s">
        <v>158</v>
      </c>
      <c r="AX19" t="s">
        <v>511</v>
      </c>
      <c r="AY19" t="s">
        <v>511</v>
      </c>
      <c r="AZ19" t="s">
        <v>155</v>
      </c>
      <c r="BA19" t="s">
        <v>155</v>
      </c>
      <c r="BB19" t="s">
        <v>155</v>
      </c>
      <c r="BD19">
        <f t="shared" si="2"/>
        <v>0</v>
      </c>
      <c r="BE19">
        <f t="shared" si="3"/>
        <v>0</v>
      </c>
      <c r="BF19">
        <f t="shared" si="4"/>
        <v>0</v>
      </c>
      <c r="BG19">
        <f t="shared" si="5"/>
        <v>0</v>
      </c>
      <c r="BH19">
        <f t="shared" si="6"/>
        <v>0</v>
      </c>
      <c r="BI19">
        <f t="shared" si="7"/>
        <v>0</v>
      </c>
    </row>
    <row r="20" spans="2:61" x14ac:dyDescent="0.3">
      <c r="C20" s="17" t="s">
        <v>164</v>
      </c>
      <c r="D20" s="17" t="s">
        <v>165</v>
      </c>
      <c r="E20" s="17" t="s">
        <v>166</v>
      </c>
      <c r="F20" s="17" t="s">
        <v>167</v>
      </c>
      <c r="G20" s="17" t="s">
        <v>168</v>
      </c>
      <c r="J20" t="s">
        <v>159</v>
      </c>
      <c r="K20" s="17" t="s">
        <v>511</v>
      </c>
      <c r="L20" s="17" t="s">
        <v>511</v>
      </c>
      <c r="M20" s="17" t="s">
        <v>155</v>
      </c>
      <c r="N20" s="17" t="s">
        <v>155</v>
      </c>
      <c r="O20" s="17" t="s">
        <v>155</v>
      </c>
      <c r="S20" t="s">
        <v>974</v>
      </c>
      <c r="Z20" s="17" t="s">
        <v>164</v>
      </c>
      <c r="AA20" s="17" t="s">
        <v>165</v>
      </c>
      <c r="AB20" s="17" t="s">
        <v>166</v>
      </c>
      <c r="AC20" s="17" t="s">
        <v>167</v>
      </c>
      <c r="AD20" s="17" t="s">
        <v>168</v>
      </c>
      <c r="AG20" t="s">
        <v>159</v>
      </c>
      <c r="AH20" s="17" t="s">
        <v>511</v>
      </c>
      <c r="AI20" s="17" t="s">
        <v>511</v>
      </c>
      <c r="AJ20" s="17" t="s">
        <v>155</v>
      </c>
      <c r="AK20" s="17" t="s">
        <v>155</v>
      </c>
      <c r="AL20" s="17" t="s">
        <v>155</v>
      </c>
      <c r="AP20" t="s">
        <v>973</v>
      </c>
      <c r="AW20" t="s">
        <v>159</v>
      </c>
      <c r="AX20" t="s">
        <v>511</v>
      </c>
      <c r="AY20" t="s">
        <v>511</v>
      </c>
      <c r="AZ20" t="s">
        <v>155</v>
      </c>
      <c r="BA20" t="s">
        <v>155</v>
      </c>
      <c r="BB20" t="s">
        <v>155</v>
      </c>
      <c r="BD20">
        <f t="shared" si="2"/>
        <v>0</v>
      </c>
      <c r="BE20">
        <f t="shared" si="3"/>
        <v>0</v>
      </c>
      <c r="BF20">
        <f t="shared" si="4"/>
        <v>0</v>
      </c>
      <c r="BG20">
        <f t="shared" si="5"/>
        <v>0</v>
      </c>
      <c r="BH20">
        <f t="shared" si="6"/>
        <v>0</v>
      </c>
      <c r="BI20">
        <f t="shared" si="7"/>
        <v>0</v>
      </c>
    </row>
    <row r="21" spans="2:61" x14ac:dyDescent="0.3">
      <c r="B21" s="15" t="s">
        <v>548</v>
      </c>
      <c r="C21" s="17" t="s">
        <v>575</v>
      </c>
      <c r="D21" s="17" t="s">
        <v>155</v>
      </c>
      <c r="E21" s="17" t="s">
        <v>575</v>
      </c>
      <c r="F21" s="17" t="s">
        <v>155</v>
      </c>
      <c r="G21" s="17" t="s">
        <v>580</v>
      </c>
      <c r="J21" t="s">
        <v>160</v>
      </c>
      <c r="K21" s="17" t="s">
        <v>511</v>
      </c>
      <c r="L21" s="17" t="s">
        <v>155</v>
      </c>
      <c r="M21" s="17" t="s">
        <v>155</v>
      </c>
      <c r="N21" s="17" t="s">
        <v>155</v>
      </c>
      <c r="O21" s="17" t="s">
        <v>155</v>
      </c>
      <c r="R21" t="s">
        <v>486</v>
      </c>
      <c r="Y21" s="15" t="s">
        <v>548</v>
      </c>
      <c r="Z21" s="17" t="s">
        <v>574</v>
      </c>
      <c r="AA21" s="17" t="s">
        <v>155</v>
      </c>
      <c r="AB21" s="17" t="s">
        <v>155</v>
      </c>
      <c r="AC21" s="17" t="s">
        <v>155</v>
      </c>
      <c r="AD21" s="17" t="s">
        <v>580</v>
      </c>
      <c r="AG21" t="s">
        <v>160</v>
      </c>
      <c r="AH21" s="17" t="s">
        <v>511</v>
      </c>
      <c r="AI21" s="17" t="s">
        <v>511</v>
      </c>
      <c r="AJ21" s="17" t="s">
        <v>155</v>
      </c>
      <c r="AK21" s="17" t="s">
        <v>155</v>
      </c>
      <c r="AL21" s="17" t="s">
        <v>155</v>
      </c>
      <c r="AO21" t="s">
        <v>486</v>
      </c>
      <c r="AW21" t="s">
        <v>160</v>
      </c>
      <c r="AX21" t="s">
        <v>511</v>
      </c>
      <c r="AY21" t="s">
        <v>155</v>
      </c>
      <c r="AZ21" t="s">
        <v>155</v>
      </c>
      <c r="BA21" t="s">
        <v>155</v>
      </c>
      <c r="BB21" t="s">
        <v>155</v>
      </c>
      <c r="BD21">
        <f t="shared" si="2"/>
        <v>0</v>
      </c>
      <c r="BE21">
        <f t="shared" si="3"/>
        <v>0</v>
      </c>
      <c r="BF21">
        <f t="shared" si="4"/>
        <v>0</v>
      </c>
      <c r="BG21">
        <f t="shared" si="5"/>
        <v>0</v>
      </c>
      <c r="BH21">
        <f t="shared" si="6"/>
        <v>0</v>
      </c>
      <c r="BI21">
        <f t="shared" si="7"/>
        <v>0</v>
      </c>
    </row>
    <row r="22" spans="2:61" x14ac:dyDescent="0.3">
      <c r="B22" s="15" t="s">
        <v>549</v>
      </c>
      <c r="C22" s="17" t="s">
        <v>575</v>
      </c>
      <c r="D22" s="17" t="s">
        <v>155</v>
      </c>
      <c r="E22" s="17" t="s">
        <v>575</v>
      </c>
      <c r="F22" s="17" t="s">
        <v>155</v>
      </c>
      <c r="G22" s="17" t="s">
        <v>580</v>
      </c>
      <c r="J22" t="s">
        <v>554</v>
      </c>
      <c r="K22" s="17" t="s">
        <v>155</v>
      </c>
      <c r="L22" s="17" t="s">
        <v>511</v>
      </c>
      <c r="M22" s="17" t="s">
        <v>155</v>
      </c>
      <c r="N22" s="17" t="s">
        <v>155</v>
      </c>
      <c r="O22" s="17" t="s">
        <v>155</v>
      </c>
      <c r="S22" t="s">
        <v>996</v>
      </c>
      <c r="Y22" s="15" t="s">
        <v>549</v>
      </c>
      <c r="Z22" s="17" t="s">
        <v>574</v>
      </c>
      <c r="AA22" s="17" t="s">
        <v>155</v>
      </c>
      <c r="AB22" s="17" t="s">
        <v>576</v>
      </c>
      <c r="AC22" s="17" t="s">
        <v>155</v>
      </c>
      <c r="AD22" s="17" t="s">
        <v>580</v>
      </c>
      <c r="AG22" t="s">
        <v>554</v>
      </c>
      <c r="AH22" s="17" t="s">
        <v>511</v>
      </c>
      <c r="AI22" s="17" t="s">
        <v>155</v>
      </c>
      <c r="AJ22" s="17" t="s">
        <v>155</v>
      </c>
      <c r="AK22" s="17" t="s">
        <v>155</v>
      </c>
      <c r="AL22" s="17" t="s">
        <v>155</v>
      </c>
      <c r="AP22" t="s">
        <v>976</v>
      </c>
      <c r="AW22" t="s">
        <v>554</v>
      </c>
      <c r="AX22" t="s">
        <v>155</v>
      </c>
      <c r="AY22" t="s">
        <v>511</v>
      </c>
      <c r="AZ22" t="s">
        <v>155</v>
      </c>
      <c r="BA22" t="s">
        <v>155</v>
      </c>
      <c r="BB22" t="s">
        <v>155</v>
      </c>
      <c r="BD22">
        <f t="shared" si="2"/>
        <v>0</v>
      </c>
      <c r="BE22">
        <f t="shared" si="3"/>
        <v>0</v>
      </c>
      <c r="BF22">
        <f t="shared" si="4"/>
        <v>0</v>
      </c>
      <c r="BG22">
        <f t="shared" si="5"/>
        <v>0</v>
      </c>
      <c r="BH22">
        <f t="shared" si="6"/>
        <v>0</v>
      </c>
      <c r="BI22">
        <f t="shared" si="7"/>
        <v>0</v>
      </c>
    </row>
    <row r="23" spans="2:61" x14ac:dyDescent="0.3">
      <c r="B23" s="15" t="s">
        <v>550</v>
      </c>
      <c r="C23" s="17" t="s">
        <v>577</v>
      </c>
      <c r="D23" s="17" t="s">
        <v>574</v>
      </c>
      <c r="E23" s="17" t="s">
        <v>575</v>
      </c>
      <c r="F23" s="17" t="s">
        <v>577</v>
      </c>
      <c r="G23" s="17" t="s">
        <v>576</v>
      </c>
      <c r="J23" t="s">
        <v>555</v>
      </c>
      <c r="K23" s="17" t="s">
        <v>155</v>
      </c>
      <c r="L23" s="17" t="s">
        <v>511</v>
      </c>
      <c r="M23" s="17" t="s">
        <v>155</v>
      </c>
      <c r="N23" s="17" t="s">
        <v>155</v>
      </c>
      <c r="O23" s="17" t="s">
        <v>155</v>
      </c>
      <c r="S23" t="s">
        <v>990</v>
      </c>
      <c r="Y23" s="15" t="s">
        <v>550</v>
      </c>
      <c r="Z23" s="17" t="s">
        <v>574</v>
      </c>
      <c r="AA23" s="17" t="s">
        <v>155</v>
      </c>
      <c r="AB23" s="17" t="s">
        <v>576</v>
      </c>
      <c r="AC23" s="17" t="s">
        <v>582</v>
      </c>
      <c r="AD23" s="17" t="s">
        <v>578</v>
      </c>
      <c r="AG23" t="s">
        <v>555</v>
      </c>
      <c r="AH23" s="17" t="s">
        <v>511</v>
      </c>
      <c r="AI23" s="17" t="s">
        <v>155</v>
      </c>
      <c r="AJ23" s="17" t="s">
        <v>155</v>
      </c>
      <c r="AK23" s="17" t="s">
        <v>155</v>
      </c>
      <c r="AL23" s="17" t="s">
        <v>155</v>
      </c>
      <c r="AP23" t="s">
        <v>994</v>
      </c>
      <c r="AW23" t="s">
        <v>555</v>
      </c>
      <c r="AX23" t="s">
        <v>155</v>
      </c>
      <c r="AY23" t="s">
        <v>511</v>
      </c>
      <c r="AZ23" t="s">
        <v>155</v>
      </c>
      <c r="BA23" t="s">
        <v>155</v>
      </c>
      <c r="BB23" t="s">
        <v>155</v>
      </c>
      <c r="BD23">
        <f t="shared" si="2"/>
        <v>0</v>
      </c>
      <c r="BE23">
        <f t="shared" si="3"/>
        <v>0</v>
      </c>
      <c r="BF23">
        <f t="shared" si="4"/>
        <v>0</v>
      </c>
      <c r="BG23">
        <f t="shared" si="5"/>
        <v>0</v>
      </c>
      <c r="BH23">
        <f t="shared" si="6"/>
        <v>0</v>
      </c>
      <c r="BI23">
        <f t="shared" si="7"/>
        <v>0</v>
      </c>
    </row>
    <row r="24" spans="2:61" x14ac:dyDescent="0.3">
      <c r="B24" s="15" t="s">
        <v>158</v>
      </c>
      <c r="C24" s="17" t="s">
        <v>577</v>
      </c>
      <c r="D24" s="17" t="s">
        <v>574</v>
      </c>
      <c r="E24" s="17" t="s">
        <v>579</v>
      </c>
      <c r="F24" s="17" t="s">
        <v>577</v>
      </c>
      <c r="G24" s="17" t="s">
        <v>576</v>
      </c>
      <c r="J24" t="s">
        <v>556</v>
      </c>
      <c r="K24" s="17" t="s">
        <v>155</v>
      </c>
      <c r="L24" s="17" t="s">
        <v>511</v>
      </c>
      <c r="M24" s="17" t="s">
        <v>155</v>
      </c>
      <c r="N24" s="17" t="s">
        <v>155</v>
      </c>
      <c r="O24" s="17" t="s">
        <v>155</v>
      </c>
      <c r="S24" t="s">
        <v>1017</v>
      </c>
      <c r="Y24" s="15" t="s">
        <v>158</v>
      </c>
      <c r="Z24" s="17" t="s">
        <v>584</v>
      </c>
      <c r="AA24" s="17" t="s">
        <v>582</v>
      </c>
      <c r="AB24" s="17" t="s">
        <v>690</v>
      </c>
      <c r="AC24" s="17" t="s">
        <v>582</v>
      </c>
      <c r="AD24" s="17" t="s">
        <v>578</v>
      </c>
      <c r="AG24" t="s">
        <v>556</v>
      </c>
      <c r="AH24" s="17" t="s">
        <v>511</v>
      </c>
      <c r="AI24" s="17" t="s">
        <v>155</v>
      </c>
      <c r="AJ24" s="17" t="s">
        <v>155</v>
      </c>
      <c r="AK24" s="17" t="s">
        <v>155</v>
      </c>
      <c r="AL24" s="17" t="s">
        <v>155</v>
      </c>
      <c r="AP24" t="s">
        <v>995</v>
      </c>
      <c r="AW24" t="s">
        <v>556</v>
      </c>
      <c r="AX24" t="s">
        <v>155</v>
      </c>
      <c r="AY24" t="s">
        <v>511</v>
      </c>
      <c r="AZ24" t="s">
        <v>155</v>
      </c>
      <c r="BA24" t="s">
        <v>155</v>
      </c>
      <c r="BB24" t="s">
        <v>155</v>
      </c>
      <c r="BD24">
        <f t="shared" si="2"/>
        <v>0</v>
      </c>
      <c r="BE24">
        <f t="shared" si="3"/>
        <v>0</v>
      </c>
      <c r="BF24">
        <f t="shared" si="4"/>
        <v>0</v>
      </c>
      <c r="BG24">
        <f t="shared" si="5"/>
        <v>0</v>
      </c>
      <c r="BH24">
        <f t="shared" si="6"/>
        <v>0</v>
      </c>
      <c r="BI24">
        <f t="shared" si="7"/>
        <v>0</v>
      </c>
    </row>
    <row r="25" spans="2:61" x14ac:dyDescent="0.3">
      <c r="B25" s="15" t="s">
        <v>159</v>
      </c>
      <c r="C25" s="17" t="s">
        <v>579</v>
      </c>
      <c r="D25" s="17" t="s">
        <v>574</v>
      </c>
      <c r="E25" s="17" t="s">
        <v>579</v>
      </c>
      <c r="F25" s="17" t="s">
        <v>577</v>
      </c>
      <c r="G25" s="17" t="s">
        <v>578</v>
      </c>
      <c r="S25" t="s">
        <v>994</v>
      </c>
      <c r="Y25" s="15" t="s">
        <v>159</v>
      </c>
      <c r="Z25" s="17" t="s">
        <v>584</v>
      </c>
      <c r="AA25" s="17" t="s">
        <v>582</v>
      </c>
      <c r="AB25" s="17" t="s">
        <v>690</v>
      </c>
      <c r="AC25" s="17" t="s">
        <v>584</v>
      </c>
      <c r="AD25" s="17" t="s">
        <v>690</v>
      </c>
      <c r="AP25" t="s">
        <v>996</v>
      </c>
      <c r="BD25">
        <f t="shared" si="2"/>
        <v>0</v>
      </c>
      <c r="BE25">
        <f t="shared" si="3"/>
        <v>0</v>
      </c>
      <c r="BF25">
        <f t="shared" si="4"/>
        <v>0</v>
      </c>
      <c r="BG25">
        <f t="shared" si="5"/>
        <v>0</v>
      </c>
      <c r="BH25">
        <f t="shared" si="6"/>
        <v>0</v>
      </c>
      <c r="BI25">
        <f t="shared" si="7"/>
        <v>0</v>
      </c>
    </row>
    <row r="26" spans="2:61" x14ac:dyDescent="0.3">
      <c r="B26" s="15" t="s">
        <v>160</v>
      </c>
      <c r="C26" s="17" t="s">
        <v>579</v>
      </c>
      <c r="D26" s="17" t="s">
        <v>155</v>
      </c>
      <c r="E26" s="17" t="s">
        <v>579</v>
      </c>
      <c r="F26" s="17" t="s">
        <v>155</v>
      </c>
      <c r="G26" s="17" t="s">
        <v>578</v>
      </c>
      <c r="J26" t="s">
        <v>948</v>
      </c>
      <c r="S26" t="s">
        <v>995</v>
      </c>
      <c r="Y26" s="15" t="s">
        <v>160</v>
      </c>
      <c r="Z26" s="17" t="s">
        <v>584</v>
      </c>
      <c r="AA26" s="17" t="s">
        <v>582</v>
      </c>
      <c r="AB26" s="17" t="s">
        <v>690</v>
      </c>
      <c r="AC26" s="17" t="s">
        <v>584</v>
      </c>
      <c r="AD26" s="17" t="s">
        <v>690</v>
      </c>
      <c r="AG26" t="s">
        <v>948</v>
      </c>
      <c r="AP26" t="s">
        <v>990</v>
      </c>
      <c r="AW26" t="s">
        <v>948</v>
      </c>
      <c r="BD26">
        <f t="shared" si="2"/>
        <v>0</v>
      </c>
      <c r="BE26">
        <f t="shared" si="3"/>
        <v>0</v>
      </c>
      <c r="BF26">
        <f t="shared" si="4"/>
        <v>0</v>
      </c>
      <c r="BG26">
        <f t="shared" si="5"/>
        <v>0</v>
      </c>
      <c r="BH26">
        <f t="shared" si="6"/>
        <v>0</v>
      </c>
      <c r="BI26">
        <f t="shared" si="7"/>
        <v>0</v>
      </c>
    </row>
    <row r="27" spans="2:61" x14ac:dyDescent="0.3">
      <c r="K27" s="17" t="s">
        <v>164</v>
      </c>
      <c r="L27" s="17" t="s">
        <v>165</v>
      </c>
      <c r="M27" s="17" t="s">
        <v>166</v>
      </c>
      <c r="N27" s="17" t="s">
        <v>167</v>
      </c>
      <c r="O27" s="17" t="s">
        <v>168</v>
      </c>
      <c r="S27" t="s">
        <v>975</v>
      </c>
      <c r="AH27" s="17" t="s">
        <v>164</v>
      </c>
      <c r="AI27" s="17" t="s">
        <v>165</v>
      </c>
      <c r="AJ27" s="17" t="s">
        <v>166</v>
      </c>
      <c r="AK27" s="17" t="s">
        <v>167</v>
      </c>
      <c r="AL27" s="17" t="s">
        <v>168</v>
      </c>
      <c r="AP27" t="s">
        <v>997</v>
      </c>
      <c r="AX27" t="s">
        <v>164</v>
      </c>
      <c r="AY27" t="s">
        <v>165</v>
      </c>
      <c r="AZ27" t="s">
        <v>166</v>
      </c>
      <c r="BA27" t="s">
        <v>167</v>
      </c>
      <c r="BB27" t="s">
        <v>168</v>
      </c>
      <c r="BD27">
        <f t="shared" si="2"/>
        <v>0</v>
      </c>
      <c r="BE27">
        <f t="shared" si="3"/>
        <v>0</v>
      </c>
      <c r="BF27">
        <f t="shared" si="4"/>
        <v>0</v>
      </c>
      <c r="BG27">
        <f t="shared" si="5"/>
        <v>0</v>
      </c>
      <c r="BH27">
        <f t="shared" si="6"/>
        <v>0</v>
      </c>
      <c r="BI27">
        <f t="shared" si="7"/>
        <v>0</v>
      </c>
    </row>
    <row r="28" spans="2:61" x14ac:dyDescent="0.3">
      <c r="B28" s="15" t="s">
        <v>552</v>
      </c>
      <c r="J28" t="s">
        <v>543</v>
      </c>
      <c r="K28" s="17" t="s">
        <v>155</v>
      </c>
      <c r="L28" s="17" t="s">
        <v>655</v>
      </c>
      <c r="M28" s="17" t="s">
        <v>155</v>
      </c>
      <c r="N28" s="17" t="s">
        <v>155</v>
      </c>
      <c r="O28" s="17" t="s">
        <v>155</v>
      </c>
      <c r="R28" t="s">
        <v>487</v>
      </c>
      <c r="Y28" s="15" t="s">
        <v>552</v>
      </c>
      <c r="AG28" t="s">
        <v>543</v>
      </c>
      <c r="AH28" s="17" t="s">
        <v>155</v>
      </c>
      <c r="AI28" s="17" t="s">
        <v>655</v>
      </c>
      <c r="AJ28" s="17" t="s">
        <v>155</v>
      </c>
      <c r="AK28" s="17" t="s">
        <v>155</v>
      </c>
      <c r="AL28" s="17" t="s">
        <v>155</v>
      </c>
      <c r="AO28" t="s">
        <v>487</v>
      </c>
      <c r="AW28" t="s">
        <v>543</v>
      </c>
      <c r="AX28" t="s">
        <v>155</v>
      </c>
      <c r="AY28" t="s">
        <v>655</v>
      </c>
      <c r="AZ28" t="s">
        <v>155</v>
      </c>
      <c r="BA28" t="s">
        <v>155</v>
      </c>
      <c r="BB28" t="s">
        <v>155</v>
      </c>
      <c r="BD28">
        <f t="shared" si="2"/>
        <v>0</v>
      </c>
      <c r="BE28">
        <f t="shared" si="3"/>
        <v>0</v>
      </c>
      <c r="BF28">
        <f t="shared" si="4"/>
        <v>0</v>
      </c>
      <c r="BG28">
        <f t="shared" si="5"/>
        <v>0</v>
      </c>
      <c r="BH28">
        <f t="shared" si="6"/>
        <v>0</v>
      </c>
      <c r="BI28">
        <f t="shared" si="7"/>
        <v>0</v>
      </c>
    </row>
    <row r="29" spans="2:61" x14ac:dyDescent="0.3">
      <c r="C29" s="17" t="s">
        <v>164</v>
      </c>
      <c r="D29" s="17" t="s">
        <v>165</v>
      </c>
      <c r="E29" s="17" t="s">
        <v>166</v>
      </c>
      <c r="F29" s="17" t="s">
        <v>167</v>
      </c>
      <c r="G29" s="17" t="s">
        <v>168</v>
      </c>
      <c r="J29" t="s">
        <v>544</v>
      </c>
      <c r="K29" s="17" t="s">
        <v>155</v>
      </c>
      <c r="L29" s="17" t="s">
        <v>655</v>
      </c>
      <c r="M29" s="17" t="s">
        <v>155</v>
      </c>
      <c r="N29" s="17" t="s">
        <v>155</v>
      </c>
      <c r="O29" s="17" t="s">
        <v>155</v>
      </c>
      <c r="S29" t="s">
        <v>1018</v>
      </c>
      <c r="Z29" s="17" t="s">
        <v>164</v>
      </c>
      <c r="AA29" s="17" t="s">
        <v>165</v>
      </c>
      <c r="AB29" s="17" t="s">
        <v>166</v>
      </c>
      <c r="AC29" s="17" t="s">
        <v>167</v>
      </c>
      <c r="AD29" s="17" t="s">
        <v>168</v>
      </c>
      <c r="AG29" t="s">
        <v>544</v>
      </c>
      <c r="AH29" s="17" t="s">
        <v>155</v>
      </c>
      <c r="AI29" s="17" t="s">
        <v>655</v>
      </c>
      <c r="AJ29" s="17" t="s">
        <v>155</v>
      </c>
      <c r="AK29" s="17" t="s">
        <v>155</v>
      </c>
      <c r="AL29" s="17" t="s">
        <v>155</v>
      </c>
      <c r="AP29" t="s">
        <v>998</v>
      </c>
      <c r="AW29" t="s">
        <v>544</v>
      </c>
      <c r="AX29" t="s">
        <v>155</v>
      </c>
      <c r="AY29" t="s">
        <v>655</v>
      </c>
      <c r="AZ29" t="s">
        <v>155</v>
      </c>
      <c r="BA29" t="s">
        <v>155</v>
      </c>
      <c r="BB29" t="s">
        <v>155</v>
      </c>
      <c r="BD29">
        <f t="shared" si="2"/>
        <v>0</v>
      </c>
      <c r="BE29">
        <f t="shared" si="3"/>
        <v>0</v>
      </c>
      <c r="BF29">
        <f t="shared" si="4"/>
        <v>0</v>
      </c>
      <c r="BG29">
        <f t="shared" si="5"/>
        <v>0</v>
      </c>
      <c r="BH29">
        <f t="shared" si="6"/>
        <v>0</v>
      </c>
      <c r="BI29">
        <f t="shared" si="7"/>
        <v>0</v>
      </c>
    </row>
    <row r="30" spans="2:61" x14ac:dyDescent="0.3">
      <c r="B30" s="15" t="s">
        <v>548</v>
      </c>
      <c r="C30" s="17" t="s">
        <v>574</v>
      </c>
      <c r="D30" s="17" t="s">
        <v>155</v>
      </c>
      <c r="E30" s="17" t="s">
        <v>155</v>
      </c>
      <c r="F30" s="17" t="s">
        <v>155</v>
      </c>
      <c r="G30" s="17" t="s">
        <v>578</v>
      </c>
      <c r="J30" t="s">
        <v>545</v>
      </c>
      <c r="K30" s="17" t="s">
        <v>155</v>
      </c>
      <c r="L30" s="17" t="s">
        <v>655</v>
      </c>
      <c r="M30" s="17" t="s">
        <v>155</v>
      </c>
      <c r="N30" s="17" t="s">
        <v>155</v>
      </c>
      <c r="O30" s="17" t="s">
        <v>155</v>
      </c>
      <c r="S30" t="s">
        <v>1019</v>
      </c>
      <c r="Y30" s="15" t="s">
        <v>548</v>
      </c>
      <c r="Z30" s="17" t="s">
        <v>575</v>
      </c>
      <c r="AA30" s="17" t="s">
        <v>155</v>
      </c>
      <c r="AB30" s="17" t="s">
        <v>155</v>
      </c>
      <c r="AC30" s="17" t="s">
        <v>575</v>
      </c>
      <c r="AD30" s="17" t="s">
        <v>578</v>
      </c>
      <c r="AG30" t="s">
        <v>545</v>
      </c>
      <c r="AH30" s="17" t="s">
        <v>155</v>
      </c>
      <c r="AI30" s="17" t="s">
        <v>655</v>
      </c>
      <c r="AJ30" s="17" t="s">
        <v>155</v>
      </c>
      <c r="AK30" s="17" t="s">
        <v>155</v>
      </c>
      <c r="AL30" s="17" t="s">
        <v>155</v>
      </c>
      <c r="AP30" t="s">
        <v>978</v>
      </c>
      <c r="AW30" t="s">
        <v>545</v>
      </c>
      <c r="AX30" t="s">
        <v>155</v>
      </c>
      <c r="AY30" t="s">
        <v>655</v>
      </c>
      <c r="AZ30" t="s">
        <v>155</v>
      </c>
      <c r="BA30" t="s">
        <v>155</v>
      </c>
      <c r="BB30" t="s">
        <v>155</v>
      </c>
      <c r="BD30">
        <f t="shared" si="2"/>
        <v>0</v>
      </c>
      <c r="BE30">
        <f t="shared" si="3"/>
        <v>0</v>
      </c>
      <c r="BF30">
        <f t="shared" si="4"/>
        <v>0</v>
      </c>
      <c r="BG30">
        <f t="shared" si="5"/>
        <v>0</v>
      </c>
      <c r="BH30">
        <f t="shared" si="6"/>
        <v>0</v>
      </c>
      <c r="BI30">
        <f t="shared" si="7"/>
        <v>0</v>
      </c>
    </row>
    <row r="31" spans="2:61" x14ac:dyDescent="0.3">
      <c r="B31" s="15" t="s">
        <v>549</v>
      </c>
      <c r="C31" s="17" t="s">
        <v>574</v>
      </c>
      <c r="D31" s="17" t="s">
        <v>576</v>
      </c>
      <c r="E31" s="17" t="s">
        <v>155</v>
      </c>
      <c r="F31" s="17" t="s">
        <v>155</v>
      </c>
      <c r="G31" s="17" t="s">
        <v>578</v>
      </c>
      <c r="S31" t="s">
        <v>1020</v>
      </c>
      <c r="Y31" s="15" t="s">
        <v>549</v>
      </c>
      <c r="Z31" s="17" t="s">
        <v>575</v>
      </c>
      <c r="AA31" s="17" t="s">
        <v>155</v>
      </c>
      <c r="AB31" s="17" t="s">
        <v>155</v>
      </c>
      <c r="AC31" s="17" t="s">
        <v>575</v>
      </c>
      <c r="AD31" s="17" t="s">
        <v>578</v>
      </c>
      <c r="AP31" t="s">
        <v>999</v>
      </c>
      <c r="BD31">
        <f t="shared" si="2"/>
        <v>0</v>
      </c>
      <c r="BE31">
        <f t="shared" si="3"/>
        <v>0</v>
      </c>
      <c r="BF31">
        <f t="shared" si="4"/>
        <v>0</v>
      </c>
      <c r="BG31">
        <f t="shared" si="5"/>
        <v>0</v>
      </c>
      <c r="BH31">
        <f t="shared" si="6"/>
        <v>0</v>
      </c>
      <c r="BI31">
        <f t="shared" si="7"/>
        <v>0</v>
      </c>
    </row>
    <row r="32" spans="2:61" x14ac:dyDescent="0.3">
      <c r="B32" s="15" t="s">
        <v>550</v>
      </c>
      <c r="C32" s="17" t="s">
        <v>574</v>
      </c>
      <c r="D32" s="17" t="s">
        <v>576</v>
      </c>
      <c r="E32" s="17" t="s">
        <v>155</v>
      </c>
      <c r="F32" s="17" t="s">
        <v>582</v>
      </c>
      <c r="G32" s="17" t="s">
        <v>581</v>
      </c>
      <c r="J32" t="s">
        <v>819</v>
      </c>
      <c r="S32" t="s">
        <v>1021</v>
      </c>
      <c r="Y32" s="15" t="s">
        <v>550</v>
      </c>
      <c r="Z32" s="17" t="s">
        <v>575</v>
      </c>
      <c r="AA32" s="17" t="s">
        <v>155</v>
      </c>
      <c r="AB32" s="17" t="s">
        <v>155</v>
      </c>
      <c r="AC32" s="17" t="s">
        <v>576</v>
      </c>
      <c r="AD32" s="17" t="s">
        <v>581</v>
      </c>
      <c r="AG32" t="s">
        <v>819</v>
      </c>
      <c r="AP32" t="s">
        <v>1000</v>
      </c>
      <c r="AW32" t="s">
        <v>819</v>
      </c>
      <c r="BD32">
        <f t="shared" si="2"/>
        <v>0</v>
      </c>
      <c r="BE32">
        <f t="shared" si="3"/>
        <v>0</v>
      </c>
      <c r="BF32">
        <f t="shared" si="4"/>
        <v>0</v>
      </c>
      <c r="BG32">
        <f t="shared" si="5"/>
        <v>0</v>
      </c>
      <c r="BH32">
        <f t="shared" si="6"/>
        <v>0</v>
      </c>
      <c r="BI32">
        <f t="shared" si="7"/>
        <v>0</v>
      </c>
    </row>
    <row r="33" spans="2:61" x14ac:dyDescent="0.3">
      <c r="B33" s="15" t="s">
        <v>158</v>
      </c>
      <c r="C33" s="17" t="s">
        <v>690</v>
      </c>
      <c r="D33" s="17" t="s">
        <v>582</v>
      </c>
      <c r="E33" s="17" t="s">
        <v>581</v>
      </c>
      <c r="F33" s="17" t="s">
        <v>582</v>
      </c>
      <c r="G33" s="17" t="s">
        <v>581</v>
      </c>
      <c r="K33" s="17" t="s">
        <v>164</v>
      </c>
      <c r="L33" s="17" t="s">
        <v>165</v>
      </c>
      <c r="M33" s="17" t="s">
        <v>166</v>
      </c>
      <c r="N33" s="17" t="s">
        <v>167</v>
      </c>
      <c r="O33" s="17" t="s">
        <v>168</v>
      </c>
      <c r="S33" t="s">
        <v>977</v>
      </c>
      <c r="Y33" s="15" t="s">
        <v>158</v>
      </c>
      <c r="Z33" s="17" t="s">
        <v>574</v>
      </c>
      <c r="AA33" s="17" t="s">
        <v>585</v>
      </c>
      <c r="AB33" s="17" t="s">
        <v>581</v>
      </c>
      <c r="AC33" s="17" t="s">
        <v>576</v>
      </c>
      <c r="AD33" s="17" t="s">
        <v>581</v>
      </c>
      <c r="AH33" s="17" t="s">
        <v>164</v>
      </c>
      <c r="AI33" s="17" t="s">
        <v>165</v>
      </c>
      <c r="AJ33" s="17" t="s">
        <v>166</v>
      </c>
      <c r="AK33" s="17" t="s">
        <v>167</v>
      </c>
      <c r="AL33" s="17" t="s">
        <v>168</v>
      </c>
      <c r="AP33" t="s">
        <v>1001</v>
      </c>
      <c r="AX33" t="s">
        <v>164</v>
      </c>
      <c r="AY33" t="s">
        <v>165</v>
      </c>
      <c r="AZ33" t="s">
        <v>166</v>
      </c>
      <c r="BA33" t="s">
        <v>167</v>
      </c>
      <c r="BB33" t="s">
        <v>168</v>
      </c>
      <c r="BD33">
        <f t="shared" si="2"/>
        <v>0</v>
      </c>
      <c r="BE33">
        <f t="shared" si="3"/>
        <v>0</v>
      </c>
      <c r="BF33">
        <f t="shared" si="4"/>
        <v>0</v>
      </c>
      <c r="BG33">
        <f t="shared" si="5"/>
        <v>0</v>
      </c>
      <c r="BH33">
        <f t="shared" si="6"/>
        <v>0</v>
      </c>
      <c r="BI33">
        <f t="shared" si="7"/>
        <v>0</v>
      </c>
    </row>
    <row r="34" spans="2:61" x14ac:dyDescent="0.3">
      <c r="B34" s="15" t="s">
        <v>159</v>
      </c>
      <c r="C34" s="17" t="s">
        <v>690</v>
      </c>
      <c r="D34" s="17" t="s">
        <v>582</v>
      </c>
      <c r="E34" s="17" t="s">
        <v>581</v>
      </c>
      <c r="F34" s="17" t="s">
        <v>580</v>
      </c>
      <c r="G34" s="17" t="s">
        <v>690</v>
      </c>
      <c r="J34" t="s">
        <v>542</v>
      </c>
      <c r="K34" s="17" t="s">
        <v>155</v>
      </c>
      <c r="L34" s="17" t="s">
        <v>269</v>
      </c>
      <c r="M34" s="17" t="s">
        <v>155</v>
      </c>
      <c r="N34" s="17" t="s">
        <v>269</v>
      </c>
      <c r="O34" s="17" t="s">
        <v>155</v>
      </c>
      <c r="R34" t="s">
        <v>488</v>
      </c>
      <c r="Y34" s="15" t="s">
        <v>159</v>
      </c>
      <c r="Z34" s="17" t="s">
        <v>574</v>
      </c>
      <c r="AA34" s="17" t="s">
        <v>585</v>
      </c>
      <c r="AB34" s="17" t="s">
        <v>581</v>
      </c>
      <c r="AC34" s="17" t="s">
        <v>585</v>
      </c>
      <c r="AD34" s="17" t="s">
        <v>580</v>
      </c>
      <c r="AG34" t="s">
        <v>542</v>
      </c>
      <c r="AH34" s="17" t="s">
        <v>155</v>
      </c>
      <c r="AI34" s="17" t="s">
        <v>269</v>
      </c>
      <c r="AJ34" s="17" t="s">
        <v>155</v>
      </c>
      <c r="AK34" s="17" t="s">
        <v>269</v>
      </c>
      <c r="AL34" s="17" t="s">
        <v>155</v>
      </c>
      <c r="AO34" t="s">
        <v>488</v>
      </c>
      <c r="AW34" t="s">
        <v>542</v>
      </c>
      <c r="AX34" t="s">
        <v>155</v>
      </c>
      <c r="AY34" t="s">
        <v>269</v>
      </c>
      <c r="AZ34" t="s">
        <v>155</v>
      </c>
      <c r="BA34" t="s">
        <v>269</v>
      </c>
      <c r="BB34" t="s">
        <v>155</v>
      </c>
      <c r="BD34">
        <f t="shared" si="2"/>
        <v>0</v>
      </c>
      <c r="BE34">
        <f t="shared" si="3"/>
        <v>0</v>
      </c>
      <c r="BF34">
        <f t="shared" si="4"/>
        <v>0</v>
      </c>
      <c r="BG34">
        <f t="shared" si="5"/>
        <v>0</v>
      </c>
      <c r="BH34">
        <f t="shared" si="6"/>
        <v>0</v>
      </c>
      <c r="BI34">
        <f t="shared" si="7"/>
        <v>0</v>
      </c>
    </row>
    <row r="35" spans="2:61" x14ac:dyDescent="0.3">
      <c r="B35" s="15" t="s">
        <v>160</v>
      </c>
      <c r="C35" s="17" t="s">
        <v>690</v>
      </c>
      <c r="D35" s="17" t="s">
        <v>582</v>
      </c>
      <c r="E35" s="17" t="s">
        <v>581</v>
      </c>
      <c r="F35" s="17" t="s">
        <v>580</v>
      </c>
      <c r="G35" s="17" t="s">
        <v>690</v>
      </c>
      <c r="J35" t="s">
        <v>543</v>
      </c>
      <c r="K35" s="17" t="s">
        <v>155</v>
      </c>
      <c r="L35" s="17" t="s">
        <v>269</v>
      </c>
      <c r="M35" s="17" t="s">
        <v>155</v>
      </c>
      <c r="N35" s="17" t="s">
        <v>269</v>
      </c>
      <c r="O35" s="17" t="s">
        <v>155</v>
      </c>
      <c r="S35" t="s">
        <v>1022</v>
      </c>
      <c r="T35" s="30"/>
      <c r="Y35" s="15" t="s">
        <v>160</v>
      </c>
      <c r="Z35" s="17" t="s">
        <v>574</v>
      </c>
      <c r="AA35" s="17" t="s">
        <v>585</v>
      </c>
      <c r="AB35" s="17" t="s">
        <v>581</v>
      </c>
      <c r="AC35" s="17" t="s">
        <v>585</v>
      </c>
      <c r="AD35" s="17" t="s">
        <v>580</v>
      </c>
      <c r="AG35" t="s">
        <v>543</v>
      </c>
      <c r="AH35" s="17" t="s">
        <v>155</v>
      </c>
      <c r="AI35" s="17" t="s">
        <v>269</v>
      </c>
      <c r="AJ35" s="17" t="s">
        <v>155</v>
      </c>
      <c r="AK35" s="17" t="s">
        <v>269</v>
      </c>
      <c r="AL35" s="17" t="s">
        <v>155</v>
      </c>
      <c r="AP35" t="s">
        <v>1002</v>
      </c>
      <c r="AQ35" s="30"/>
      <c r="AW35" t="s">
        <v>543</v>
      </c>
      <c r="AX35" t="s">
        <v>155</v>
      </c>
      <c r="AY35" t="s">
        <v>269</v>
      </c>
      <c r="AZ35" t="s">
        <v>155</v>
      </c>
      <c r="BA35" t="s">
        <v>269</v>
      </c>
      <c r="BB35" t="s">
        <v>155</v>
      </c>
      <c r="BD35">
        <f t="shared" si="2"/>
        <v>0</v>
      </c>
      <c r="BE35">
        <f t="shared" si="3"/>
        <v>0</v>
      </c>
      <c r="BF35">
        <f t="shared" si="4"/>
        <v>0</v>
      </c>
      <c r="BG35">
        <f t="shared" si="5"/>
        <v>0</v>
      </c>
      <c r="BH35">
        <f t="shared" si="6"/>
        <v>0</v>
      </c>
      <c r="BI35">
        <f t="shared" si="7"/>
        <v>0</v>
      </c>
    </row>
    <row r="36" spans="2:61" x14ac:dyDescent="0.3">
      <c r="S36" t="s">
        <v>1023</v>
      </c>
      <c r="T36" s="30"/>
      <c r="AP36" t="s">
        <v>1003</v>
      </c>
      <c r="AQ36" s="30"/>
      <c r="BD36">
        <f t="shared" si="2"/>
        <v>0</v>
      </c>
      <c r="BE36">
        <f t="shared" si="3"/>
        <v>0</v>
      </c>
      <c r="BF36">
        <f t="shared" si="4"/>
        <v>0</v>
      </c>
      <c r="BG36">
        <f t="shared" si="5"/>
        <v>0</v>
      </c>
      <c r="BH36">
        <f t="shared" si="6"/>
        <v>0</v>
      </c>
      <c r="BI36">
        <f t="shared" si="7"/>
        <v>0</v>
      </c>
    </row>
    <row r="37" spans="2:61" x14ac:dyDescent="0.3">
      <c r="B37" s="15" t="s">
        <v>553</v>
      </c>
      <c r="J37" t="s">
        <v>715</v>
      </c>
      <c r="S37" t="s">
        <v>1024</v>
      </c>
      <c r="T37" s="30"/>
      <c r="Y37" s="15" t="s">
        <v>553</v>
      </c>
      <c r="AG37" t="s">
        <v>715</v>
      </c>
      <c r="AP37" t="s">
        <v>1004</v>
      </c>
      <c r="AQ37" s="30"/>
      <c r="AW37" t="s">
        <v>715</v>
      </c>
      <c r="BD37">
        <f t="shared" si="2"/>
        <v>0</v>
      </c>
      <c r="BE37">
        <f t="shared" si="3"/>
        <v>0</v>
      </c>
      <c r="BF37">
        <f t="shared" si="4"/>
        <v>0</v>
      </c>
      <c r="BG37">
        <f t="shared" si="5"/>
        <v>0</v>
      </c>
      <c r="BH37">
        <f t="shared" si="6"/>
        <v>0</v>
      </c>
      <c r="BI37">
        <f t="shared" si="7"/>
        <v>0</v>
      </c>
    </row>
    <row r="38" spans="2:61" x14ac:dyDescent="0.3">
      <c r="C38" s="17" t="s">
        <v>164</v>
      </c>
      <c r="D38" s="17" t="s">
        <v>165</v>
      </c>
      <c r="E38" s="17" t="s">
        <v>166</v>
      </c>
      <c r="F38" s="17" t="s">
        <v>167</v>
      </c>
      <c r="G38" s="17" t="s">
        <v>168</v>
      </c>
      <c r="K38" s="17" t="s">
        <v>164</v>
      </c>
      <c r="L38" s="17" t="s">
        <v>165</v>
      </c>
      <c r="M38" s="17" t="s">
        <v>166</v>
      </c>
      <c r="N38" s="17" t="s">
        <v>167</v>
      </c>
      <c r="O38" s="17" t="s">
        <v>168</v>
      </c>
      <c r="S38" t="s">
        <v>1025</v>
      </c>
      <c r="Z38" s="17" t="s">
        <v>164</v>
      </c>
      <c r="AA38" s="17" t="s">
        <v>165</v>
      </c>
      <c r="AB38" s="17" t="s">
        <v>166</v>
      </c>
      <c r="AC38" s="17" t="s">
        <v>167</v>
      </c>
      <c r="AD38" s="17" t="s">
        <v>168</v>
      </c>
      <c r="AH38" s="17" t="s">
        <v>164</v>
      </c>
      <c r="AI38" s="17" t="s">
        <v>165</v>
      </c>
      <c r="AJ38" s="17" t="s">
        <v>166</v>
      </c>
      <c r="AK38" s="17" t="s">
        <v>167</v>
      </c>
      <c r="AL38" s="17" t="s">
        <v>168</v>
      </c>
      <c r="AP38" t="s">
        <v>1005</v>
      </c>
      <c r="AX38" t="s">
        <v>164</v>
      </c>
      <c r="AY38" t="s">
        <v>165</v>
      </c>
      <c r="AZ38" t="s">
        <v>166</v>
      </c>
      <c r="BA38" t="s">
        <v>167</v>
      </c>
      <c r="BB38" t="s">
        <v>168</v>
      </c>
      <c r="BD38">
        <f t="shared" si="2"/>
        <v>0</v>
      </c>
      <c r="BE38">
        <f t="shared" si="3"/>
        <v>0</v>
      </c>
      <c r="BF38">
        <f t="shared" si="4"/>
        <v>0</v>
      </c>
      <c r="BG38">
        <f t="shared" si="5"/>
        <v>0</v>
      </c>
      <c r="BH38">
        <f t="shared" si="6"/>
        <v>0</v>
      </c>
      <c r="BI38">
        <f t="shared" si="7"/>
        <v>0</v>
      </c>
    </row>
    <row r="39" spans="2:61" x14ac:dyDescent="0.3">
      <c r="B39" s="15" t="s">
        <v>554</v>
      </c>
      <c r="C39" s="17" t="s">
        <v>586</v>
      </c>
      <c r="D39" s="17" t="s">
        <v>574</v>
      </c>
      <c r="E39" s="17" t="s">
        <v>583</v>
      </c>
      <c r="F39" s="17" t="s">
        <v>586</v>
      </c>
      <c r="G39" s="17" t="s">
        <v>578</v>
      </c>
      <c r="J39" t="s">
        <v>158</v>
      </c>
      <c r="K39" s="17" t="s">
        <v>155</v>
      </c>
      <c r="L39" s="17" t="s">
        <v>8</v>
      </c>
      <c r="M39" s="17" t="s">
        <v>155</v>
      </c>
      <c r="N39" s="17" t="s">
        <v>155</v>
      </c>
      <c r="O39" s="17" t="s">
        <v>155</v>
      </c>
      <c r="S39" t="s">
        <v>1026</v>
      </c>
      <c r="T39" s="30"/>
      <c r="Y39" s="15" t="s">
        <v>554</v>
      </c>
      <c r="Z39" s="17" t="s">
        <v>574</v>
      </c>
      <c r="AA39" s="17" t="s">
        <v>586</v>
      </c>
      <c r="AB39" s="17" t="s">
        <v>583</v>
      </c>
      <c r="AC39" s="17" t="s">
        <v>586</v>
      </c>
      <c r="AD39" s="17" t="s">
        <v>578</v>
      </c>
      <c r="AG39" t="s">
        <v>158</v>
      </c>
      <c r="AH39" s="17" t="s">
        <v>155</v>
      </c>
      <c r="AI39" s="17" t="s">
        <v>8</v>
      </c>
      <c r="AJ39" s="17" t="s">
        <v>155</v>
      </c>
      <c r="AK39" s="17" t="s">
        <v>155</v>
      </c>
      <c r="AL39" s="17" t="s">
        <v>155</v>
      </c>
      <c r="AP39" t="s">
        <v>1006</v>
      </c>
      <c r="AQ39" s="30"/>
      <c r="AW39" t="s">
        <v>158</v>
      </c>
      <c r="AX39" t="s">
        <v>155</v>
      </c>
      <c r="AY39" t="s">
        <v>8</v>
      </c>
      <c r="AZ39" t="s">
        <v>155</v>
      </c>
      <c r="BA39" t="s">
        <v>155</v>
      </c>
      <c r="BB39" t="s">
        <v>155</v>
      </c>
      <c r="BD39">
        <f t="shared" si="2"/>
        <v>0</v>
      </c>
      <c r="BE39">
        <f t="shared" si="3"/>
        <v>0</v>
      </c>
      <c r="BF39">
        <f t="shared" si="4"/>
        <v>0</v>
      </c>
      <c r="BG39">
        <f t="shared" si="5"/>
        <v>0</v>
      </c>
      <c r="BH39">
        <f t="shared" si="6"/>
        <v>0</v>
      </c>
      <c r="BI39">
        <f t="shared" si="7"/>
        <v>0</v>
      </c>
    </row>
    <row r="40" spans="2:61" x14ac:dyDescent="0.3">
      <c r="B40" s="15" t="s">
        <v>555</v>
      </c>
      <c r="C40" s="17" t="s">
        <v>586</v>
      </c>
      <c r="D40" s="17" t="s">
        <v>574</v>
      </c>
      <c r="E40" s="17" t="s">
        <v>583</v>
      </c>
      <c r="F40" s="17" t="s">
        <v>586</v>
      </c>
      <c r="G40" s="17" t="s">
        <v>578</v>
      </c>
      <c r="J40" t="s">
        <v>159</v>
      </c>
      <c r="K40" s="17" t="s">
        <v>155</v>
      </c>
      <c r="L40" s="17" t="s">
        <v>8</v>
      </c>
      <c r="M40" s="17" t="s">
        <v>155</v>
      </c>
      <c r="N40" s="17" t="s">
        <v>8</v>
      </c>
      <c r="O40" s="17" t="s">
        <v>155</v>
      </c>
      <c r="S40" t="s">
        <v>1027</v>
      </c>
      <c r="T40" s="30"/>
      <c r="Y40" s="15" t="s">
        <v>555</v>
      </c>
      <c r="Z40" s="17" t="s">
        <v>574</v>
      </c>
      <c r="AA40" s="17" t="s">
        <v>586</v>
      </c>
      <c r="AB40" s="17" t="s">
        <v>583</v>
      </c>
      <c r="AC40" s="17" t="s">
        <v>586</v>
      </c>
      <c r="AD40" s="17" t="s">
        <v>578</v>
      </c>
      <c r="AG40" t="s">
        <v>159</v>
      </c>
      <c r="AH40" s="17" t="s">
        <v>155</v>
      </c>
      <c r="AI40" s="17" t="s">
        <v>8</v>
      </c>
      <c r="AJ40" s="17" t="s">
        <v>155</v>
      </c>
      <c r="AK40" s="17" t="s">
        <v>8</v>
      </c>
      <c r="AL40" s="17" t="s">
        <v>155</v>
      </c>
      <c r="AP40" t="s">
        <v>1007</v>
      </c>
      <c r="AQ40" s="30"/>
      <c r="AW40" t="s">
        <v>159</v>
      </c>
      <c r="AX40" t="s">
        <v>155</v>
      </c>
      <c r="AY40" t="s">
        <v>8</v>
      </c>
      <c r="AZ40" t="s">
        <v>155</v>
      </c>
      <c r="BA40" t="s">
        <v>8</v>
      </c>
      <c r="BB40" t="s">
        <v>155</v>
      </c>
      <c r="BD40">
        <f t="shared" si="2"/>
        <v>0</v>
      </c>
      <c r="BE40">
        <f t="shared" si="3"/>
        <v>0</v>
      </c>
      <c r="BF40">
        <f t="shared" si="4"/>
        <v>0</v>
      </c>
      <c r="BG40">
        <f t="shared" si="5"/>
        <v>0</v>
      </c>
      <c r="BH40">
        <f t="shared" si="6"/>
        <v>0</v>
      </c>
      <c r="BI40">
        <f t="shared" si="7"/>
        <v>0</v>
      </c>
    </row>
    <row r="41" spans="2:61" x14ac:dyDescent="0.3">
      <c r="B41" s="15" t="s">
        <v>556</v>
      </c>
      <c r="C41" s="17" t="s">
        <v>583</v>
      </c>
      <c r="D41" s="17" t="s">
        <v>574</v>
      </c>
      <c r="E41" s="17" t="s">
        <v>583</v>
      </c>
      <c r="F41" s="17" t="s">
        <v>586</v>
      </c>
      <c r="G41" s="17" t="s">
        <v>580</v>
      </c>
      <c r="J41" t="s">
        <v>160</v>
      </c>
      <c r="K41" s="17" t="s">
        <v>155</v>
      </c>
      <c r="L41" s="17" t="s">
        <v>8</v>
      </c>
      <c r="M41" s="17" t="s">
        <v>155</v>
      </c>
      <c r="N41" s="17" t="s">
        <v>8</v>
      </c>
      <c r="O41" s="17" t="s">
        <v>155</v>
      </c>
      <c r="S41" t="s">
        <v>1028</v>
      </c>
      <c r="T41" s="30"/>
      <c r="Y41" s="15" t="s">
        <v>556</v>
      </c>
      <c r="Z41" s="17" t="s">
        <v>574</v>
      </c>
      <c r="AA41" s="17" t="s">
        <v>586</v>
      </c>
      <c r="AB41" s="17" t="s">
        <v>583</v>
      </c>
      <c r="AC41" s="17" t="s">
        <v>576</v>
      </c>
      <c r="AD41" s="17" t="s">
        <v>580</v>
      </c>
      <c r="AG41" t="s">
        <v>160</v>
      </c>
      <c r="AH41" s="17" t="s">
        <v>155</v>
      </c>
      <c r="AI41" s="17" t="s">
        <v>8</v>
      </c>
      <c r="AJ41" s="17" t="s">
        <v>155</v>
      </c>
      <c r="AK41" s="17" t="s">
        <v>8</v>
      </c>
      <c r="AL41" s="17" t="s">
        <v>155</v>
      </c>
      <c r="AP41" t="s">
        <v>1008</v>
      </c>
      <c r="AQ41" s="30"/>
      <c r="AW41" t="s">
        <v>160</v>
      </c>
      <c r="AX41" t="s">
        <v>155</v>
      </c>
      <c r="AY41" t="s">
        <v>8</v>
      </c>
      <c r="AZ41" t="s">
        <v>155</v>
      </c>
      <c r="BA41" t="s">
        <v>8</v>
      </c>
      <c r="BB41" t="s">
        <v>155</v>
      </c>
      <c r="BD41">
        <f t="shared" si="2"/>
        <v>0</v>
      </c>
      <c r="BE41">
        <f t="shared" si="3"/>
        <v>0</v>
      </c>
      <c r="BF41">
        <f t="shared" si="4"/>
        <v>0</v>
      </c>
      <c r="BG41">
        <f t="shared" si="5"/>
        <v>0</v>
      </c>
      <c r="BH41">
        <f t="shared" si="6"/>
        <v>0</v>
      </c>
      <c r="BI41">
        <f t="shared" si="7"/>
        <v>0</v>
      </c>
    </row>
    <row r="42" spans="2:61" x14ac:dyDescent="0.3">
      <c r="B42" s="15" t="s">
        <v>557</v>
      </c>
      <c r="C42" s="17" t="s">
        <v>583</v>
      </c>
      <c r="D42" s="17" t="s">
        <v>576</v>
      </c>
      <c r="E42" s="17" t="s">
        <v>588</v>
      </c>
      <c r="F42" s="17" t="s">
        <v>155</v>
      </c>
      <c r="G42" s="17" t="s">
        <v>580</v>
      </c>
      <c r="J42" t="s">
        <v>554</v>
      </c>
      <c r="K42" s="17" t="s">
        <v>155</v>
      </c>
      <c r="L42" s="17" t="s">
        <v>22</v>
      </c>
      <c r="M42" s="17" t="s">
        <v>155</v>
      </c>
      <c r="N42" s="17" t="s">
        <v>22</v>
      </c>
      <c r="O42" s="17" t="s">
        <v>155</v>
      </c>
      <c r="S42" t="s">
        <v>1029</v>
      </c>
      <c r="T42" s="30"/>
      <c r="Y42" s="15" t="s">
        <v>557</v>
      </c>
      <c r="Z42" s="17" t="s">
        <v>583</v>
      </c>
      <c r="AA42" s="17" t="s">
        <v>588</v>
      </c>
      <c r="AB42" s="17" t="s">
        <v>155</v>
      </c>
      <c r="AC42" s="17" t="s">
        <v>576</v>
      </c>
      <c r="AD42" s="17" t="s">
        <v>580</v>
      </c>
      <c r="AG42" t="s">
        <v>554</v>
      </c>
      <c r="AH42" s="17" t="s">
        <v>155</v>
      </c>
      <c r="AI42" s="17" t="s">
        <v>22</v>
      </c>
      <c r="AJ42" s="17" t="s">
        <v>155</v>
      </c>
      <c r="AK42" s="17" t="s">
        <v>22</v>
      </c>
      <c r="AL42" s="17" t="s">
        <v>155</v>
      </c>
      <c r="AP42" t="s">
        <v>1009</v>
      </c>
      <c r="AQ42" s="30"/>
      <c r="AW42" t="s">
        <v>554</v>
      </c>
      <c r="AX42" t="s">
        <v>155</v>
      </c>
      <c r="AY42" t="s">
        <v>22</v>
      </c>
      <c r="AZ42" t="s">
        <v>155</v>
      </c>
      <c r="BA42" t="s">
        <v>22</v>
      </c>
      <c r="BB42" t="s">
        <v>155</v>
      </c>
      <c r="BD42">
        <f t="shared" si="2"/>
        <v>0</v>
      </c>
      <c r="BE42">
        <f t="shared" si="3"/>
        <v>0</v>
      </c>
      <c r="BF42">
        <f t="shared" si="4"/>
        <v>0</v>
      </c>
      <c r="BG42">
        <f t="shared" si="5"/>
        <v>0</v>
      </c>
      <c r="BH42">
        <f t="shared" si="6"/>
        <v>0</v>
      </c>
      <c r="BI42">
        <f t="shared" si="7"/>
        <v>0</v>
      </c>
    </row>
    <row r="43" spans="2:61" x14ac:dyDescent="0.3">
      <c r="B43" s="15" t="s">
        <v>542</v>
      </c>
      <c r="C43" s="17" t="s">
        <v>588</v>
      </c>
      <c r="D43" s="17" t="s">
        <v>576</v>
      </c>
      <c r="E43" s="17" t="s">
        <v>588</v>
      </c>
      <c r="F43" s="17" t="s">
        <v>155</v>
      </c>
      <c r="G43" s="17" t="s">
        <v>155</v>
      </c>
      <c r="J43" t="s">
        <v>555</v>
      </c>
      <c r="K43" s="17" t="s">
        <v>155</v>
      </c>
      <c r="L43" s="17" t="s">
        <v>22</v>
      </c>
      <c r="M43" s="17" t="s">
        <v>155</v>
      </c>
      <c r="N43" s="17" t="s">
        <v>22</v>
      </c>
      <c r="O43" s="17" t="s">
        <v>155</v>
      </c>
      <c r="S43" t="s">
        <v>1030</v>
      </c>
      <c r="Y43" s="15" t="s">
        <v>542</v>
      </c>
      <c r="Z43" s="17" t="s">
        <v>583</v>
      </c>
      <c r="AA43" s="17" t="s">
        <v>588</v>
      </c>
      <c r="AB43" s="17" t="s">
        <v>155</v>
      </c>
      <c r="AC43" s="17" t="s">
        <v>155</v>
      </c>
      <c r="AD43" s="17" t="s">
        <v>588</v>
      </c>
      <c r="AG43" t="s">
        <v>555</v>
      </c>
      <c r="AH43" s="17" t="s">
        <v>155</v>
      </c>
      <c r="AI43" s="17" t="s">
        <v>22</v>
      </c>
      <c r="AJ43" s="17" t="s">
        <v>155</v>
      </c>
      <c r="AK43" s="17" t="s">
        <v>22</v>
      </c>
      <c r="AL43" s="17" t="s">
        <v>155</v>
      </c>
      <c r="AP43" t="s">
        <v>1010</v>
      </c>
      <c r="AW43" t="s">
        <v>555</v>
      </c>
      <c r="AX43" t="s">
        <v>155</v>
      </c>
      <c r="AY43" t="s">
        <v>22</v>
      </c>
      <c r="AZ43" t="s">
        <v>155</v>
      </c>
      <c r="BA43" t="s">
        <v>22</v>
      </c>
      <c r="BB43" t="s">
        <v>155</v>
      </c>
      <c r="BD43">
        <f t="shared" si="2"/>
        <v>0</v>
      </c>
      <c r="BE43">
        <f t="shared" si="3"/>
        <v>0</v>
      </c>
      <c r="BF43">
        <f t="shared" si="4"/>
        <v>0</v>
      </c>
      <c r="BG43">
        <f t="shared" si="5"/>
        <v>0</v>
      </c>
      <c r="BH43">
        <f t="shared" si="6"/>
        <v>0</v>
      </c>
      <c r="BI43">
        <f t="shared" si="7"/>
        <v>0</v>
      </c>
    </row>
    <row r="44" spans="2:61" x14ac:dyDescent="0.3">
      <c r="B44" s="15" t="s">
        <v>543</v>
      </c>
      <c r="C44" s="17" t="s">
        <v>588</v>
      </c>
      <c r="D44" s="17" t="s">
        <v>155</v>
      </c>
      <c r="E44" s="17" t="s">
        <v>588</v>
      </c>
      <c r="F44" s="17" t="s">
        <v>155</v>
      </c>
      <c r="G44" s="17" t="s">
        <v>155</v>
      </c>
      <c r="J44" t="s">
        <v>556</v>
      </c>
      <c r="K44" s="17" t="s">
        <v>155</v>
      </c>
      <c r="L44" s="17" t="s">
        <v>23</v>
      </c>
      <c r="M44" s="17" t="s">
        <v>155</v>
      </c>
      <c r="N44" s="17" t="s">
        <v>22</v>
      </c>
      <c r="O44" s="17" t="s">
        <v>155</v>
      </c>
      <c r="S44" t="s">
        <v>1031</v>
      </c>
      <c r="T44" s="30"/>
      <c r="Y44" s="15" t="s">
        <v>543</v>
      </c>
      <c r="Z44" s="17" t="s">
        <v>155</v>
      </c>
      <c r="AA44" s="17" t="s">
        <v>588</v>
      </c>
      <c r="AB44" s="17" t="s">
        <v>155</v>
      </c>
      <c r="AC44" s="17" t="s">
        <v>155</v>
      </c>
      <c r="AD44" s="17" t="s">
        <v>588</v>
      </c>
      <c r="AG44" t="s">
        <v>556</v>
      </c>
      <c r="AH44" s="17" t="s">
        <v>155</v>
      </c>
      <c r="AI44" s="17" t="s">
        <v>23</v>
      </c>
      <c r="AJ44" s="17" t="s">
        <v>155</v>
      </c>
      <c r="AK44" s="17" t="s">
        <v>22</v>
      </c>
      <c r="AL44" s="17" t="s">
        <v>155</v>
      </c>
      <c r="AP44" t="s">
        <v>1011</v>
      </c>
      <c r="AQ44" s="30"/>
      <c r="AW44" t="s">
        <v>556</v>
      </c>
      <c r="AX44" t="s">
        <v>155</v>
      </c>
      <c r="AY44" t="s">
        <v>23</v>
      </c>
      <c r="AZ44" t="s">
        <v>155</v>
      </c>
      <c r="BA44" t="s">
        <v>22</v>
      </c>
      <c r="BB44" t="s">
        <v>155</v>
      </c>
      <c r="BD44">
        <f t="shared" si="2"/>
        <v>0</v>
      </c>
      <c r="BE44">
        <f t="shared" si="3"/>
        <v>0</v>
      </c>
      <c r="BF44">
        <f t="shared" si="4"/>
        <v>0</v>
      </c>
      <c r="BG44">
        <f t="shared" si="5"/>
        <v>0</v>
      </c>
      <c r="BH44">
        <f t="shared" si="6"/>
        <v>0</v>
      </c>
      <c r="BI44">
        <f t="shared" si="7"/>
        <v>0</v>
      </c>
    </row>
    <row r="45" spans="2:61" x14ac:dyDescent="0.3">
      <c r="J45" t="s">
        <v>557</v>
      </c>
      <c r="K45" s="17" t="s">
        <v>155</v>
      </c>
      <c r="L45" s="17" t="s">
        <v>23</v>
      </c>
      <c r="M45" s="17" t="s">
        <v>155</v>
      </c>
      <c r="N45" s="17" t="s">
        <v>155</v>
      </c>
      <c r="O45" s="17" t="s">
        <v>155</v>
      </c>
      <c r="S45" t="s">
        <v>1032</v>
      </c>
      <c r="T45" s="30"/>
      <c r="AG45" t="s">
        <v>557</v>
      </c>
      <c r="AH45" s="17" t="s">
        <v>155</v>
      </c>
      <c r="AI45" s="17" t="s">
        <v>23</v>
      </c>
      <c r="AJ45" s="17" t="s">
        <v>155</v>
      </c>
      <c r="AK45" s="17" t="s">
        <v>155</v>
      </c>
      <c r="AL45" s="17" t="s">
        <v>155</v>
      </c>
      <c r="AP45" t="s">
        <v>1012</v>
      </c>
      <c r="AQ45" s="30"/>
      <c r="AW45" t="s">
        <v>557</v>
      </c>
      <c r="AX45" t="s">
        <v>155</v>
      </c>
      <c r="AY45" t="s">
        <v>23</v>
      </c>
      <c r="AZ45" t="s">
        <v>155</v>
      </c>
      <c r="BA45" t="s">
        <v>155</v>
      </c>
      <c r="BB45" t="s">
        <v>155</v>
      </c>
      <c r="BD45">
        <f t="shared" si="2"/>
        <v>0</v>
      </c>
      <c r="BE45">
        <f t="shared" si="3"/>
        <v>0</v>
      </c>
      <c r="BF45">
        <f t="shared" si="4"/>
        <v>0</v>
      </c>
      <c r="BG45">
        <f t="shared" si="5"/>
        <v>0</v>
      </c>
      <c r="BH45">
        <f t="shared" si="6"/>
        <v>0</v>
      </c>
      <c r="BI45">
        <f t="shared" si="7"/>
        <v>0</v>
      </c>
    </row>
    <row r="46" spans="2:61" x14ac:dyDescent="0.3">
      <c r="B46" s="15" t="s">
        <v>541</v>
      </c>
      <c r="R46" t="s">
        <v>489</v>
      </c>
      <c r="T46" s="30"/>
      <c r="Y46" s="15" t="s">
        <v>541</v>
      </c>
      <c r="AO46" t="s">
        <v>489</v>
      </c>
      <c r="AQ46" s="30"/>
      <c r="BD46">
        <f t="shared" si="2"/>
        <v>0</v>
      </c>
      <c r="BE46">
        <f t="shared" si="3"/>
        <v>0</v>
      </c>
      <c r="BF46">
        <f t="shared" si="4"/>
        <v>0</v>
      </c>
      <c r="BG46">
        <f t="shared" si="5"/>
        <v>0</v>
      </c>
      <c r="BH46">
        <f t="shared" si="6"/>
        <v>0</v>
      </c>
      <c r="BI46">
        <f t="shared" si="7"/>
        <v>0</v>
      </c>
    </row>
    <row r="47" spans="2:61" x14ac:dyDescent="0.3">
      <c r="C47" s="17" t="s">
        <v>164</v>
      </c>
      <c r="D47" s="17" t="s">
        <v>165</v>
      </c>
      <c r="E47" s="17" t="s">
        <v>166</v>
      </c>
      <c r="F47" s="17" t="s">
        <v>167</v>
      </c>
      <c r="G47" s="17" t="s">
        <v>168</v>
      </c>
      <c r="J47" t="s">
        <v>737</v>
      </c>
      <c r="S47" t="s">
        <v>1022</v>
      </c>
      <c r="T47" s="30"/>
      <c r="Z47" s="17" t="s">
        <v>164</v>
      </c>
      <c r="AA47" s="17" t="s">
        <v>165</v>
      </c>
      <c r="AB47" s="17" t="s">
        <v>166</v>
      </c>
      <c r="AC47" s="17" t="s">
        <v>167</v>
      </c>
      <c r="AD47" s="17" t="s">
        <v>168</v>
      </c>
      <c r="AG47" t="s">
        <v>737</v>
      </c>
      <c r="AP47" t="s">
        <v>1002</v>
      </c>
      <c r="AQ47" s="30"/>
      <c r="AW47" t="s">
        <v>737</v>
      </c>
      <c r="BD47">
        <f t="shared" si="2"/>
        <v>0</v>
      </c>
      <c r="BE47">
        <f t="shared" si="3"/>
        <v>0</v>
      </c>
      <c r="BF47">
        <f t="shared" si="4"/>
        <v>0</v>
      </c>
      <c r="BG47">
        <f t="shared" si="5"/>
        <v>0</v>
      </c>
      <c r="BH47">
        <f t="shared" si="6"/>
        <v>0</v>
      </c>
      <c r="BI47">
        <f t="shared" si="7"/>
        <v>0</v>
      </c>
    </row>
    <row r="48" spans="2:61" x14ac:dyDescent="0.3">
      <c r="B48" s="15" t="s">
        <v>542</v>
      </c>
      <c r="C48" s="17" t="s">
        <v>569</v>
      </c>
      <c r="D48" s="17" t="s">
        <v>570</v>
      </c>
      <c r="E48" s="17" t="s">
        <v>571</v>
      </c>
      <c r="F48" s="17" t="s">
        <v>569</v>
      </c>
      <c r="G48" s="17" t="s">
        <v>571</v>
      </c>
      <c r="K48" s="17" t="s">
        <v>164</v>
      </c>
      <c r="L48" s="17" t="s">
        <v>165</v>
      </c>
      <c r="M48" s="17" t="s">
        <v>166</v>
      </c>
      <c r="N48" s="17" t="s">
        <v>167</v>
      </c>
      <c r="O48" s="17" t="s">
        <v>168</v>
      </c>
      <c r="S48" t="s">
        <v>1023</v>
      </c>
      <c r="Y48" s="15" t="s">
        <v>542</v>
      </c>
      <c r="Z48" s="17" t="s">
        <v>569</v>
      </c>
      <c r="AA48" s="17" t="s">
        <v>570</v>
      </c>
      <c r="AB48" s="17" t="s">
        <v>571</v>
      </c>
      <c r="AC48" s="17" t="s">
        <v>573</v>
      </c>
      <c r="AD48" s="17" t="s">
        <v>571</v>
      </c>
      <c r="AH48" s="17" t="s">
        <v>164</v>
      </c>
      <c r="AI48" s="17" t="s">
        <v>165</v>
      </c>
      <c r="AJ48" s="17" t="s">
        <v>166</v>
      </c>
      <c r="AK48" s="17" t="s">
        <v>167</v>
      </c>
      <c r="AL48" s="17" t="s">
        <v>168</v>
      </c>
      <c r="AP48" t="s">
        <v>1003</v>
      </c>
      <c r="AX48" t="s">
        <v>164</v>
      </c>
      <c r="AY48" t="s">
        <v>165</v>
      </c>
      <c r="AZ48" t="s">
        <v>166</v>
      </c>
      <c r="BA48" t="s">
        <v>167</v>
      </c>
      <c r="BB48" t="s">
        <v>168</v>
      </c>
      <c r="BD48">
        <f t="shared" si="2"/>
        <v>0</v>
      </c>
      <c r="BE48">
        <f t="shared" si="3"/>
        <v>0</v>
      </c>
      <c r="BF48">
        <f t="shared" si="4"/>
        <v>0</v>
      </c>
      <c r="BG48">
        <f t="shared" si="5"/>
        <v>0</v>
      </c>
      <c r="BH48">
        <f t="shared" si="6"/>
        <v>0</v>
      </c>
      <c r="BI48">
        <f t="shared" si="7"/>
        <v>0</v>
      </c>
    </row>
    <row r="49" spans="2:61" x14ac:dyDescent="0.3">
      <c r="B49" s="15" t="s">
        <v>543</v>
      </c>
      <c r="C49" s="17" t="s">
        <v>569</v>
      </c>
      <c r="D49" s="17" t="s">
        <v>570</v>
      </c>
      <c r="E49" s="17" t="s">
        <v>571</v>
      </c>
      <c r="F49" s="17" t="s">
        <v>569</v>
      </c>
      <c r="G49" s="17" t="s">
        <v>571</v>
      </c>
      <c r="J49" t="s">
        <v>548</v>
      </c>
      <c r="K49" s="17" t="s">
        <v>350</v>
      </c>
      <c r="L49" s="17" t="s">
        <v>155</v>
      </c>
      <c r="M49" s="17" t="s">
        <v>155</v>
      </c>
      <c r="N49" s="17" t="s">
        <v>155</v>
      </c>
      <c r="O49" s="17" t="s">
        <v>155</v>
      </c>
      <c r="S49" t="s">
        <v>1024</v>
      </c>
      <c r="T49" s="30"/>
      <c r="Y49" s="15" t="s">
        <v>543</v>
      </c>
      <c r="Z49" s="17" t="s">
        <v>569</v>
      </c>
      <c r="AA49" s="17" t="s">
        <v>570</v>
      </c>
      <c r="AB49" s="17" t="s">
        <v>571</v>
      </c>
      <c r="AC49" s="17" t="s">
        <v>573</v>
      </c>
      <c r="AD49" s="17" t="s">
        <v>571</v>
      </c>
      <c r="AG49" t="s">
        <v>548</v>
      </c>
      <c r="AH49" s="17" t="s">
        <v>350</v>
      </c>
      <c r="AI49" s="17" t="s">
        <v>155</v>
      </c>
      <c r="AJ49" s="17" t="s">
        <v>155</v>
      </c>
      <c r="AK49" s="17" t="s">
        <v>155</v>
      </c>
      <c r="AL49" s="17" t="s">
        <v>155</v>
      </c>
      <c r="AP49" t="s">
        <v>1004</v>
      </c>
      <c r="AQ49" s="30"/>
      <c r="AW49" t="s">
        <v>548</v>
      </c>
      <c r="AX49" t="s">
        <v>350</v>
      </c>
      <c r="AY49" t="s">
        <v>155</v>
      </c>
      <c r="AZ49" t="s">
        <v>155</v>
      </c>
      <c r="BA49" t="s">
        <v>155</v>
      </c>
      <c r="BB49" t="s">
        <v>155</v>
      </c>
      <c r="BD49">
        <f t="shared" si="2"/>
        <v>0</v>
      </c>
      <c r="BE49">
        <f t="shared" si="3"/>
        <v>0</v>
      </c>
      <c r="BF49">
        <f t="shared" si="4"/>
        <v>0</v>
      </c>
      <c r="BG49">
        <f t="shared" si="5"/>
        <v>0</v>
      </c>
      <c r="BH49">
        <f t="shared" si="6"/>
        <v>0</v>
      </c>
      <c r="BI49">
        <f t="shared" si="7"/>
        <v>0</v>
      </c>
    </row>
    <row r="50" spans="2:61" x14ac:dyDescent="0.3">
      <c r="B50" s="15" t="s">
        <v>544</v>
      </c>
      <c r="C50" s="17" t="s">
        <v>569</v>
      </c>
      <c r="D50" s="17" t="s">
        <v>572</v>
      </c>
      <c r="E50" s="17" t="s">
        <v>571</v>
      </c>
      <c r="F50" s="17" t="s">
        <v>570</v>
      </c>
      <c r="G50" s="17" t="s">
        <v>571</v>
      </c>
      <c r="J50" t="s">
        <v>549</v>
      </c>
      <c r="K50" s="17" t="s">
        <v>350</v>
      </c>
      <c r="L50" s="17" t="s">
        <v>155</v>
      </c>
      <c r="M50" s="17" t="s">
        <v>155</v>
      </c>
      <c r="N50" s="17" t="s">
        <v>155</v>
      </c>
      <c r="O50" s="17" t="s">
        <v>155</v>
      </c>
      <c r="S50" t="s">
        <v>1025</v>
      </c>
      <c r="T50" s="30"/>
      <c r="Y50" s="15" t="s">
        <v>544</v>
      </c>
      <c r="Z50" s="17" t="s">
        <v>569</v>
      </c>
      <c r="AA50" s="17" t="s">
        <v>572</v>
      </c>
      <c r="AB50" s="17" t="s">
        <v>571</v>
      </c>
      <c r="AC50" s="17" t="s">
        <v>570</v>
      </c>
      <c r="AD50" s="17" t="s">
        <v>571</v>
      </c>
      <c r="AG50" t="s">
        <v>549</v>
      </c>
      <c r="AH50" s="17" t="s">
        <v>350</v>
      </c>
      <c r="AI50" s="17" t="s">
        <v>155</v>
      </c>
      <c r="AJ50" s="17" t="s">
        <v>155</v>
      </c>
      <c r="AK50" s="17" t="s">
        <v>155</v>
      </c>
      <c r="AL50" s="17" t="s">
        <v>155</v>
      </c>
      <c r="AP50" t="s">
        <v>1005</v>
      </c>
      <c r="AQ50" s="30"/>
      <c r="AW50" t="s">
        <v>549</v>
      </c>
      <c r="AX50" t="s">
        <v>350</v>
      </c>
      <c r="AY50" t="s">
        <v>155</v>
      </c>
      <c r="AZ50" t="s">
        <v>155</v>
      </c>
      <c r="BA50" t="s">
        <v>155</v>
      </c>
      <c r="BB50" t="s">
        <v>155</v>
      </c>
      <c r="BD50">
        <f t="shared" si="2"/>
        <v>0</v>
      </c>
      <c r="BE50">
        <f t="shared" si="3"/>
        <v>0</v>
      </c>
      <c r="BF50">
        <f t="shared" si="4"/>
        <v>0</v>
      </c>
      <c r="BG50">
        <f t="shared" si="5"/>
        <v>0</v>
      </c>
      <c r="BH50">
        <f t="shared" si="6"/>
        <v>0</v>
      </c>
      <c r="BI50">
        <f t="shared" si="7"/>
        <v>0</v>
      </c>
    </row>
    <row r="51" spans="2:61" x14ac:dyDescent="0.3">
      <c r="B51" s="15" t="s">
        <v>545</v>
      </c>
      <c r="C51" s="17" t="s">
        <v>573</v>
      </c>
      <c r="D51" s="17" t="s">
        <v>572</v>
      </c>
      <c r="E51" s="17" t="s">
        <v>573</v>
      </c>
      <c r="F51" s="17" t="s">
        <v>570</v>
      </c>
      <c r="G51" s="17" t="s">
        <v>155</v>
      </c>
      <c r="J51" t="s">
        <v>550</v>
      </c>
      <c r="K51" s="17" t="s">
        <v>350</v>
      </c>
      <c r="L51" s="17" t="s">
        <v>155</v>
      </c>
      <c r="M51" s="17" t="s">
        <v>350</v>
      </c>
      <c r="N51" s="17" t="s">
        <v>155</v>
      </c>
      <c r="O51" s="17" t="s">
        <v>155</v>
      </c>
      <c r="S51" t="s">
        <v>1026</v>
      </c>
      <c r="T51" s="30"/>
      <c r="Y51" s="15" t="s">
        <v>545</v>
      </c>
      <c r="Z51" s="17" t="s">
        <v>573</v>
      </c>
      <c r="AA51" s="17" t="s">
        <v>572</v>
      </c>
      <c r="AB51" s="17" t="s">
        <v>569</v>
      </c>
      <c r="AC51" s="17" t="s">
        <v>570</v>
      </c>
      <c r="AD51" s="17" t="s">
        <v>155</v>
      </c>
      <c r="AG51" t="s">
        <v>550</v>
      </c>
      <c r="AH51" s="17" t="s">
        <v>350</v>
      </c>
      <c r="AI51" s="17" t="s">
        <v>155</v>
      </c>
      <c r="AJ51" s="17" t="s">
        <v>350</v>
      </c>
      <c r="AK51" s="17" t="s">
        <v>155</v>
      </c>
      <c r="AL51" s="17" t="s">
        <v>155</v>
      </c>
      <c r="AP51" t="s">
        <v>1006</v>
      </c>
      <c r="AQ51" s="30"/>
      <c r="AW51" t="s">
        <v>550</v>
      </c>
      <c r="AX51" t="s">
        <v>350</v>
      </c>
      <c r="AY51" t="s">
        <v>155</v>
      </c>
      <c r="AZ51" t="s">
        <v>350</v>
      </c>
      <c r="BA51" t="s">
        <v>155</v>
      </c>
      <c r="BB51" t="s">
        <v>155</v>
      </c>
      <c r="BD51">
        <f t="shared" si="2"/>
        <v>0</v>
      </c>
      <c r="BE51">
        <f t="shared" si="3"/>
        <v>0</v>
      </c>
      <c r="BF51">
        <f t="shared" si="4"/>
        <v>0</v>
      </c>
      <c r="BG51">
        <f t="shared" si="5"/>
        <v>0</v>
      </c>
      <c r="BH51">
        <f t="shared" si="6"/>
        <v>0</v>
      </c>
      <c r="BI51">
        <f t="shared" si="7"/>
        <v>0</v>
      </c>
    </row>
    <row r="52" spans="2:61" x14ac:dyDescent="0.3">
      <c r="B52" s="15" t="s">
        <v>546</v>
      </c>
      <c r="C52" s="17" t="s">
        <v>573</v>
      </c>
      <c r="D52" s="17" t="s">
        <v>155</v>
      </c>
      <c r="E52" s="17" t="s">
        <v>573</v>
      </c>
      <c r="F52" s="17" t="s">
        <v>155</v>
      </c>
      <c r="G52" s="17" t="s">
        <v>155</v>
      </c>
      <c r="J52" t="s">
        <v>158</v>
      </c>
      <c r="K52" s="17" t="s">
        <v>155</v>
      </c>
      <c r="L52" s="17" t="s">
        <v>155</v>
      </c>
      <c r="M52" s="17" t="s">
        <v>350</v>
      </c>
      <c r="N52" s="17" t="s">
        <v>155</v>
      </c>
      <c r="O52" s="17" t="s">
        <v>155</v>
      </c>
      <c r="S52" t="s">
        <v>1027</v>
      </c>
      <c r="T52" s="30"/>
      <c r="Y52" s="15" t="s">
        <v>546</v>
      </c>
      <c r="Z52" s="17" t="s">
        <v>573</v>
      </c>
      <c r="AA52" s="17" t="s">
        <v>155</v>
      </c>
      <c r="AB52" s="17" t="s">
        <v>569</v>
      </c>
      <c r="AC52" s="17" t="s">
        <v>155</v>
      </c>
      <c r="AD52" s="17" t="s">
        <v>155</v>
      </c>
      <c r="AG52" t="s">
        <v>158</v>
      </c>
      <c r="AH52" s="17" t="s">
        <v>155</v>
      </c>
      <c r="AI52" s="17" t="s">
        <v>155</v>
      </c>
      <c r="AJ52" s="17" t="s">
        <v>350</v>
      </c>
      <c r="AK52" s="17" t="s">
        <v>155</v>
      </c>
      <c r="AL52" s="17" t="s">
        <v>155</v>
      </c>
      <c r="AP52" t="s">
        <v>1007</v>
      </c>
      <c r="AQ52" s="30"/>
      <c r="AW52" t="s">
        <v>158</v>
      </c>
      <c r="AX52" t="s">
        <v>155</v>
      </c>
      <c r="AY52" t="s">
        <v>155</v>
      </c>
      <c r="AZ52" t="s">
        <v>350</v>
      </c>
      <c r="BA52" t="s">
        <v>155</v>
      </c>
      <c r="BB52" t="s">
        <v>155</v>
      </c>
      <c r="BD52">
        <f t="shared" si="2"/>
        <v>0</v>
      </c>
      <c r="BE52">
        <f t="shared" si="3"/>
        <v>0</v>
      </c>
      <c r="BF52">
        <f t="shared" si="4"/>
        <v>0</v>
      </c>
      <c r="BG52">
        <f t="shared" si="5"/>
        <v>0</v>
      </c>
      <c r="BH52">
        <f t="shared" si="6"/>
        <v>0</v>
      </c>
      <c r="BI52">
        <f t="shared" si="7"/>
        <v>0</v>
      </c>
    </row>
    <row r="53" spans="2:61" x14ac:dyDescent="0.3">
      <c r="J53" t="s">
        <v>159</v>
      </c>
      <c r="K53" s="17" t="s">
        <v>155</v>
      </c>
      <c r="L53" s="17" t="s">
        <v>155</v>
      </c>
      <c r="M53" s="17" t="s">
        <v>350</v>
      </c>
      <c r="N53" s="17" t="s">
        <v>155</v>
      </c>
      <c r="O53" s="17" t="s">
        <v>155</v>
      </c>
      <c r="S53" t="s">
        <v>1028</v>
      </c>
      <c r="AG53" t="s">
        <v>159</v>
      </c>
      <c r="AH53" s="17" t="s">
        <v>155</v>
      </c>
      <c r="AI53" s="17" t="s">
        <v>155</v>
      </c>
      <c r="AJ53" s="17" t="s">
        <v>350</v>
      </c>
      <c r="AK53" s="17" t="s">
        <v>155</v>
      </c>
      <c r="AL53" s="17" t="s">
        <v>155</v>
      </c>
      <c r="AP53" t="s">
        <v>1008</v>
      </c>
      <c r="AW53" t="s">
        <v>159</v>
      </c>
      <c r="AX53" t="s">
        <v>155</v>
      </c>
      <c r="AY53" t="s">
        <v>155</v>
      </c>
      <c r="AZ53" t="s">
        <v>350</v>
      </c>
      <c r="BA53" t="s">
        <v>155</v>
      </c>
      <c r="BB53" t="s">
        <v>155</v>
      </c>
      <c r="BD53">
        <f t="shared" si="2"/>
        <v>0</v>
      </c>
      <c r="BE53">
        <f t="shared" si="3"/>
        <v>0</v>
      </c>
      <c r="BF53">
        <f t="shared" si="4"/>
        <v>0</v>
      </c>
      <c r="BG53">
        <f t="shared" si="5"/>
        <v>0</v>
      </c>
      <c r="BH53">
        <f t="shared" si="6"/>
        <v>0</v>
      </c>
      <c r="BI53">
        <f t="shared" si="7"/>
        <v>0</v>
      </c>
    </row>
    <row r="54" spans="2:61" x14ac:dyDescent="0.3">
      <c r="B54" s="15" t="s">
        <v>558</v>
      </c>
      <c r="S54" t="s">
        <v>1029</v>
      </c>
      <c r="Y54" s="15" t="s">
        <v>558</v>
      </c>
      <c r="AP54" t="s">
        <v>1009</v>
      </c>
      <c r="BD54">
        <f t="shared" si="2"/>
        <v>0</v>
      </c>
      <c r="BE54">
        <f t="shared" si="3"/>
        <v>0</v>
      </c>
      <c r="BF54">
        <f t="shared" si="4"/>
        <v>0</v>
      </c>
      <c r="BG54">
        <f t="shared" si="5"/>
        <v>0</v>
      </c>
      <c r="BH54">
        <f t="shared" si="6"/>
        <v>0</v>
      </c>
      <c r="BI54">
        <f t="shared" si="7"/>
        <v>0</v>
      </c>
    </row>
    <row r="55" spans="2:61" x14ac:dyDescent="0.3">
      <c r="C55" s="17" t="s">
        <v>164</v>
      </c>
      <c r="D55" s="17" t="s">
        <v>165</v>
      </c>
      <c r="E55" s="17" t="s">
        <v>166</v>
      </c>
      <c r="F55" s="17" t="s">
        <v>167</v>
      </c>
      <c r="G55" s="17" t="s">
        <v>168</v>
      </c>
      <c r="J55" t="s">
        <v>820</v>
      </c>
      <c r="S55" t="s">
        <v>1030</v>
      </c>
      <c r="Z55" s="17" t="s">
        <v>164</v>
      </c>
      <c r="AA55" s="17" t="s">
        <v>165</v>
      </c>
      <c r="AB55" s="17" t="s">
        <v>166</v>
      </c>
      <c r="AC55" s="17" t="s">
        <v>167</v>
      </c>
      <c r="AD55" s="17" t="s">
        <v>168</v>
      </c>
      <c r="AG55" t="s">
        <v>820</v>
      </c>
      <c r="AP55" t="s">
        <v>1010</v>
      </c>
      <c r="AW55" t="s">
        <v>820</v>
      </c>
      <c r="BD55">
        <f t="shared" si="2"/>
        <v>0</v>
      </c>
      <c r="BE55">
        <f t="shared" si="3"/>
        <v>0</v>
      </c>
      <c r="BF55">
        <f t="shared" si="4"/>
        <v>0</v>
      </c>
      <c r="BG55">
        <f t="shared" si="5"/>
        <v>0</v>
      </c>
      <c r="BH55">
        <f t="shared" si="6"/>
        <v>0</v>
      </c>
      <c r="BI55">
        <f t="shared" si="7"/>
        <v>0</v>
      </c>
    </row>
    <row r="56" spans="2:61" x14ac:dyDescent="0.3">
      <c r="B56" s="15" t="s">
        <v>554</v>
      </c>
      <c r="C56" s="17" t="s">
        <v>591</v>
      </c>
      <c r="D56" s="17" t="s">
        <v>590</v>
      </c>
      <c r="E56" s="17" t="s">
        <v>591</v>
      </c>
      <c r="F56" s="17" t="s">
        <v>590</v>
      </c>
      <c r="G56" s="17" t="s">
        <v>592</v>
      </c>
      <c r="K56" s="17" t="s">
        <v>164</v>
      </c>
      <c r="L56" s="17" t="s">
        <v>165</v>
      </c>
      <c r="M56" s="17" t="s">
        <v>166</v>
      </c>
      <c r="N56" s="17" t="s">
        <v>167</v>
      </c>
      <c r="O56" s="17" t="s">
        <v>168</v>
      </c>
      <c r="S56" t="s">
        <v>1031</v>
      </c>
      <c r="Y56" s="15" t="s">
        <v>554</v>
      </c>
      <c r="Z56" s="17" t="s">
        <v>591</v>
      </c>
      <c r="AA56" s="17" t="s">
        <v>590</v>
      </c>
      <c r="AB56" s="17" t="s">
        <v>591</v>
      </c>
      <c r="AC56" s="17" t="s">
        <v>590</v>
      </c>
      <c r="AD56" s="17" t="s">
        <v>592</v>
      </c>
      <c r="AH56" s="17" t="s">
        <v>164</v>
      </c>
      <c r="AI56" s="17" t="s">
        <v>165</v>
      </c>
      <c r="AJ56" s="17" t="s">
        <v>166</v>
      </c>
      <c r="AK56" s="17" t="s">
        <v>167</v>
      </c>
      <c r="AL56" s="17" t="s">
        <v>168</v>
      </c>
      <c r="AP56" t="s">
        <v>1011</v>
      </c>
      <c r="AX56" t="s">
        <v>164</v>
      </c>
      <c r="AY56" t="s">
        <v>165</v>
      </c>
      <c r="AZ56" t="s">
        <v>166</v>
      </c>
      <c r="BA56" t="s">
        <v>167</v>
      </c>
      <c r="BB56" t="s">
        <v>168</v>
      </c>
      <c r="BD56">
        <f t="shared" si="2"/>
        <v>0</v>
      </c>
      <c r="BE56">
        <f t="shared" si="3"/>
        <v>0</v>
      </c>
      <c r="BF56">
        <f t="shared" si="4"/>
        <v>0</v>
      </c>
      <c r="BG56">
        <f t="shared" si="5"/>
        <v>0</v>
      </c>
      <c r="BH56">
        <f t="shared" si="6"/>
        <v>0</v>
      </c>
      <c r="BI56">
        <f t="shared" si="7"/>
        <v>0</v>
      </c>
    </row>
    <row r="57" spans="2:61" x14ac:dyDescent="0.3">
      <c r="B57" s="15" t="s">
        <v>555</v>
      </c>
      <c r="C57" s="17" t="s">
        <v>591</v>
      </c>
      <c r="D57" s="17" t="s">
        <v>590</v>
      </c>
      <c r="E57" s="17" t="s">
        <v>591</v>
      </c>
      <c r="F57" s="17" t="s">
        <v>590</v>
      </c>
      <c r="G57" s="17" t="s">
        <v>592</v>
      </c>
      <c r="J57" t="s">
        <v>542</v>
      </c>
      <c r="K57" s="17" t="s">
        <v>155</v>
      </c>
      <c r="L57" s="17" t="s">
        <v>155</v>
      </c>
      <c r="M57" s="17" t="s">
        <v>457</v>
      </c>
      <c r="N57" s="17" t="s">
        <v>155</v>
      </c>
      <c r="O57" s="17" t="s">
        <v>155</v>
      </c>
      <c r="S57" t="s">
        <v>1032</v>
      </c>
      <c r="Y57" s="15" t="s">
        <v>555</v>
      </c>
      <c r="Z57" s="17" t="s">
        <v>591</v>
      </c>
      <c r="AA57" s="17" t="s">
        <v>590</v>
      </c>
      <c r="AB57" s="17" t="s">
        <v>591</v>
      </c>
      <c r="AC57" s="17" t="s">
        <v>590</v>
      </c>
      <c r="AD57" s="17" t="s">
        <v>592</v>
      </c>
      <c r="AG57" t="s">
        <v>542</v>
      </c>
      <c r="AH57" s="17" t="s">
        <v>155</v>
      </c>
      <c r="AI57" s="17" t="s">
        <v>155</v>
      </c>
      <c r="AJ57" s="17" t="s">
        <v>457</v>
      </c>
      <c r="AK57" s="17" t="s">
        <v>155</v>
      </c>
      <c r="AL57" s="17" t="s">
        <v>155</v>
      </c>
      <c r="AP57" t="s">
        <v>1012</v>
      </c>
      <c r="AW57" t="s">
        <v>542</v>
      </c>
      <c r="AX57" t="s">
        <v>155</v>
      </c>
      <c r="AY57" t="s">
        <v>155</v>
      </c>
      <c r="AZ57" t="s">
        <v>457</v>
      </c>
      <c r="BA57" t="s">
        <v>155</v>
      </c>
      <c r="BB57" t="s">
        <v>155</v>
      </c>
      <c r="BD57">
        <f t="shared" si="2"/>
        <v>0</v>
      </c>
      <c r="BE57">
        <f t="shared" si="3"/>
        <v>0</v>
      </c>
      <c r="BF57">
        <f t="shared" si="4"/>
        <v>0</v>
      </c>
      <c r="BG57">
        <f t="shared" si="5"/>
        <v>0</v>
      </c>
      <c r="BH57">
        <f t="shared" si="6"/>
        <v>0</v>
      </c>
      <c r="BI57">
        <f t="shared" si="7"/>
        <v>0</v>
      </c>
    </row>
    <row r="58" spans="2:61" x14ac:dyDescent="0.3">
      <c r="B58" s="15" t="s">
        <v>556</v>
      </c>
      <c r="C58" s="17" t="s">
        <v>591</v>
      </c>
      <c r="D58" s="17" t="s">
        <v>595</v>
      </c>
      <c r="E58" s="17" t="s">
        <v>589</v>
      </c>
      <c r="F58" s="17" t="s">
        <v>590</v>
      </c>
      <c r="G58" s="17" t="s">
        <v>589</v>
      </c>
      <c r="J58" t="s">
        <v>543</v>
      </c>
      <c r="K58" s="17" t="s">
        <v>155</v>
      </c>
      <c r="L58" s="17" t="s">
        <v>457</v>
      </c>
      <c r="M58" s="17" t="s">
        <v>457</v>
      </c>
      <c r="N58" s="17" t="s">
        <v>155</v>
      </c>
      <c r="O58" s="17" t="s">
        <v>155</v>
      </c>
      <c r="Y58" s="15" t="s">
        <v>556</v>
      </c>
      <c r="Z58" s="17" t="s">
        <v>589</v>
      </c>
      <c r="AA58" s="17" t="s">
        <v>595</v>
      </c>
      <c r="AB58" s="17" t="s">
        <v>591</v>
      </c>
      <c r="AC58" s="17" t="s">
        <v>590</v>
      </c>
      <c r="AD58" s="17" t="s">
        <v>589</v>
      </c>
      <c r="AG58" t="s">
        <v>543</v>
      </c>
      <c r="AH58" s="17" t="s">
        <v>155</v>
      </c>
      <c r="AI58" s="17" t="s">
        <v>457</v>
      </c>
      <c r="AJ58" s="17" t="s">
        <v>457</v>
      </c>
      <c r="AK58" s="17" t="s">
        <v>155</v>
      </c>
      <c r="AL58" s="17" t="s">
        <v>155</v>
      </c>
      <c r="AW58" t="s">
        <v>543</v>
      </c>
      <c r="AX58" t="s">
        <v>155</v>
      </c>
      <c r="AY58" t="s">
        <v>457</v>
      </c>
      <c r="AZ58" t="s">
        <v>457</v>
      </c>
      <c r="BA58" t="s">
        <v>155</v>
      </c>
      <c r="BB58" t="s">
        <v>155</v>
      </c>
      <c r="BD58">
        <f t="shared" si="2"/>
        <v>0</v>
      </c>
      <c r="BE58">
        <f t="shared" si="3"/>
        <v>0</v>
      </c>
      <c r="BF58">
        <f t="shared" si="4"/>
        <v>0</v>
      </c>
      <c r="BG58">
        <f t="shared" si="5"/>
        <v>0</v>
      </c>
      <c r="BH58">
        <f t="shared" si="6"/>
        <v>0</v>
      </c>
      <c r="BI58">
        <f t="shared" si="7"/>
        <v>0</v>
      </c>
    </row>
    <row r="59" spans="2:61" x14ac:dyDescent="0.3">
      <c r="B59" s="15" t="s">
        <v>557</v>
      </c>
      <c r="C59" s="17" t="s">
        <v>155</v>
      </c>
      <c r="D59" s="17" t="s">
        <v>595</v>
      </c>
      <c r="E59" s="17" t="s">
        <v>589</v>
      </c>
      <c r="F59" s="17" t="s">
        <v>155</v>
      </c>
      <c r="G59" s="17" t="s">
        <v>589</v>
      </c>
      <c r="J59" t="s">
        <v>544</v>
      </c>
      <c r="K59" s="17" t="s">
        <v>155</v>
      </c>
      <c r="L59" s="17" t="s">
        <v>457</v>
      </c>
      <c r="M59" s="17" t="s">
        <v>155</v>
      </c>
      <c r="N59" s="17" t="s">
        <v>155</v>
      </c>
      <c r="O59" s="17" t="s">
        <v>155</v>
      </c>
      <c r="Y59" s="15" t="s">
        <v>557</v>
      </c>
      <c r="Z59" s="17" t="s">
        <v>589</v>
      </c>
      <c r="AA59" s="17" t="s">
        <v>595</v>
      </c>
      <c r="AB59" s="17" t="s">
        <v>155</v>
      </c>
      <c r="AC59" s="17" t="s">
        <v>155</v>
      </c>
      <c r="AD59" s="17" t="s">
        <v>589</v>
      </c>
      <c r="AG59" t="s">
        <v>544</v>
      </c>
      <c r="AH59" s="17" t="s">
        <v>155</v>
      </c>
      <c r="AI59" s="17" t="s">
        <v>457</v>
      </c>
      <c r="AJ59" s="17" t="s">
        <v>155</v>
      </c>
      <c r="AK59" s="17" t="s">
        <v>155</v>
      </c>
      <c r="AL59" s="17" t="s">
        <v>155</v>
      </c>
      <c r="AW59" t="s">
        <v>544</v>
      </c>
      <c r="AX59" t="s">
        <v>155</v>
      </c>
      <c r="AY59" t="s">
        <v>457</v>
      </c>
      <c r="AZ59" t="s">
        <v>155</v>
      </c>
      <c r="BA59" t="s">
        <v>155</v>
      </c>
      <c r="BB59" t="s">
        <v>155</v>
      </c>
      <c r="BD59">
        <f t="shared" si="2"/>
        <v>0</v>
      </c>
      <c r="BE59">
        <f t="shared" si="3"/>
        <v>0</v>
      </c>
      <c r="BF59">
        <f t="shared" si="4"/>
        <v>0</v>
      </c>
      <c r="BG59">
        <f t="shared" si="5"/>
        <v>0</v>
      </c>
      <c r="BH59">
        <f t="shared" si="6"/>
        <v>0</v>
      </c>
      <c r="BI59">
        <f t="shared" si="7"/>
        <v>0</v>
      </c>
    </row>
    <row r="60" spans="2:61" x14ac:dyDescent="0.3">
      <c r="B60" s="15" t="s">
        <v>542</v>
      </c>
      <c r="C60" s="17" t="s">
        <v>155</v>
      </c>
      <c r="D60" s="17" t="s">
        <v>155</v>
      </c>
      <c r="E60" s="17" t="s">
        <v>589</v>
      </c>
      <c r="F60" s="17" t="s">
        <v>155</v>
      </c>
      <c r="G60" s="17" t="s">
        <v>155</v>
      </c>
      <c r="Y60" s="15" t="s">
        <v>542</v>
      </c>
      <c r="Z60" s="17" t="s">
        <v>155</v>
      </c>
      <c r="AA60" s="17" t="s">
        <v>155</v>
      </c>
      <c r="AB60" s="17" t="s">
        <v>155</v>
      </c>
      <c r="AC60" s="17" t="s">
        <v>155</v>
      </c>
      <c r="AD60" s="17" t="s">
        <v>589</v>
      </c>
      <c r="BD60">
        <f t="shared" si="2"/>
        <v>0</v>
      </c>
      <c r="BE60">
        <f t="shared" si="3"/>
        <v>0</v>
      </c>
      <c r="BF60">
        <f t="shared" si="4"/>
        <v>0</v>
      </c>
      <c r="BG60">
        <f t="shared" si="5"/>
        <v>0</v>
      </c>
      <c r="BH60">
        <f t="shared" si="6"/>
        <v>0</v>
      </c>
      <c r="BI60">
        <f t="shared" si="7"/>
        <v>0</v>
      </c>
    </row>
    <row r="61" spans="2:61" x14ac:dyDescent="0.3">
      <c r="B61" s="15" t="s">
        <v>543</v>
      </c>
      <c r="C61" s="17" t="s">
        <v>155</v>
      </c>
      <c r="D61" s="17" t="s">
        <v>155</v>
      </c>
      <c r="E61" s="17" t="s">
        <v>155</v>
      </c>
      <c r="F61" s="17" t="s">
        <v>155</v>
      </c>
      <c r="G61" s="17" t="s">
        <v>155</v>
      </c>
      <c r="J61" t="s">
        <v>949</v>
      </c>
      <c r="Y61" s="15" t="s">
        <v>543</v>
      </c>
      <c r="Z61" s="17" t="s">
        <v>155</v>
      </c>
      <c r="AA61" s="17" t="s">
        <v>155</v>
      </c>
      <c r="AB61" s="17" t="s">
        <v>155</v>
      </c>
      <c r="AC61" s="17" t="s">
        <v>155</v>
      </c>
      <c r="AD61" s="17" t="s">
        <v>155</v>
      </c>
      <c r="AG61" t="s">
        <v>949</v>
      </c>
      <c r="AW61" t="s">
        <v>949</v>
      </c>
      <c r="BD61">
        <f t="shared" si="2"/>
        <v>0</v>
      </c>
      <c r="BE61">
        <f t="shared" si="3"/>
        <v>0</v>
      </c>
      <c r="BF61">
        <f t="shared" si="4"/>
        <v>0</v>
      </c>
      <c r="BG61">
        <f t="shared" si="5"/>
        <v>0</v>
      </c>
      <c r="BH61">
        <f t="shared" si="6"/>
        <v>0</v>
      </c>
      <c r="BI61">
        <f t="shared" si="7"/>
        <v>0</v>
      </c>
    </row>
    <row r="62" spans="2:61" x14ac:dyDescent="0.3">
      <c r="K62" s="17" t="s">
        <v>164</v>
      </c>
      <c r="L62" s="17" t="s">
        <v>165</v>
      </c>
      <c r="M62" s="17" t="s">
        <v>166</v>
      </c>
      <c r="N62" s="17" t="s">
        <v>167</v>
      </c>
      <c r="O62" s="17" t="s">
        <v>168</v>
      </c>
      <c r="AH62" s="17" t="s">
        <v>164</v>
      </c>
      <c r="AI62" s="17" t="s">
        <v>165</v>
      </c>
      <c r="AJ62" s="17" t="s">
        <v>166</v>
      </c>
      <c r="AK62" s="17" t="s">
        <v>167</v>
      </c>
      <c r="AL62" s="17" t="s">
        <v>168</v>
      </c>
      <c r="AX62" t="s">
        <v>164</v>
      </c>
      <c r="AY62" t="s">
        <v>165</v>
      </c>
      <c r="AZ62" t="s">
        <v>166</v>
      </c>
      <c r="BA62" t="s">
        <v>167</v>
      </c>
      <c r="BB62" t="s">
        <v>168</v>
      </c>
      <c r="BD62">
        <f t="shared" si="2"/>
        <v>0</v>
      </c>
      <c r="BE62">
        <f t="shared" si="3"/>
        <v>0</v>
      </c>
      <c r="BF62">
        <f t="shared" si="4"/>
        <v>0</v>
      </c>
      <c r="BG62">
        <f t="shared" si="5"/>
        <v>0</v>
      </c>
      <c r="BH62">
        <f t="shared" si="6"/>
        <v>0</v>
      </c>
      <c r="BI62">
        <f t="shared" si="7"/>
        <v>0</v>
      </c>
    </row>
    <row r="63" spans="2:61" x14ac:dyDescent="0.3">
      <c r="B63" s="15" t="s">
        <v>559</v>
      </c>
      <c r="J63" t="s">
        <v>557</v>
      </c>
      <c r="K63" s="17" t="s">
        <v>155</v>
      </c>
      <c r="L63" s="17" t="s">
        <v>155</v>
      </c>
      <c r="M63" s="17" t="s">
        <v>675</v>
      </c>
      <c r="N63" s="17" t="s">
        <v>155</v>
      </c>
      <c r="O63" s="17" t="s">
        <v>155</v>
      </c>
      <c r="Y63" s="15" t="s">
        <v>559</v>
      </c>
      <c r="AG63" t="s">
        <v>557</v>
      </c>
      <c r="AH63" s="17" t="s">
        <v>155</v>
      </c>
      <c r="AI63" s="17" t="s">
        <v>155</v>
      </c>
      <c r="AJ63" s="17" t="s">
        <v>675</v>
      </c>
      <c r="AK63" s="17" t="s">
        <v>155</v>
      </c>
      <c r="AL63" s="17" t="s">
        <v>155</v>
      </c>
      <c r="AW63" t="s">
        <v>557</v>
      </c>
      <c r="AX63" t="s">
        <v>155</v>
      </c>
      <c r="AY63" t="s">
        <v>155</v>
      </c>
      <c r="AZ63" t="s">
        <v>675</v>
      </c>
      <c r="BA63" t="s">
        <v>155</v>
      </c>
      <c r="BB63" t="s">
        <v>155</v>
      </c>
      <c r="BD63">
        <f t="shared" si="2"/>
        <v>0</v>
      </c>
      <c r="BE63">
        <f t="shared" si="3"/>
        <v>0</v>
      </c>
      <c r="BF63">
        <f t="shared" si="4"/>
        <v>0</v>
      </c>
      <c r="BG63">
        <f t="shared" si="5"/>
        <v>0</v>
      </c>
      <c r="BH63">
        <f t="shared" si="6"/>
        <v>0</v>
      </c>
      <c r="BI63">
        <f t="shared" si="7"/>
        <v>0</v>
      </c>
    </row>
    <row r="64" spans="2:61" x14ac:dyDescent="0.3">
      <c r="C64" s="17" t="s">
        <v>164</v>
      </c>
      <c r="D64" s="17" t="s">
        <v>165</v>
      </c>
      <c r="E64" s="17" t="s">
        <v>166</v>
      </c>
      <c r="F64" s="17" t="s">
        <v>167</v>
      </c>
      <c r="G64" s="17" t="s">
        <v>168</v>
      </c>
      <c r="J64" t="s">
        <v>542</v>
      </c>
      <c r="K64" s="17" t="s">
        <v>155</v>
      </c>
      <c r="L64" s="17" t="s">
        <v>155</v>
      </c>
      <c r="M64" s="17" t="s">
        <v>675</v>
      </c>
      <c r="N64" s="17" t="s">
        <v>155</v>
      </c>
      <c r="O64" s="17" t="s">
        <v>155</v>
      </c>
      <c r="Z64" s="17" t="s">
        <v>164</v>
      </c>
      <c r="AA64" s="17" t="s">
        <v>165</v>
      </c>
      <c r="AB64" s="17" t="s">
        <v>166</v>
      </c>
      <c r="AC64" s="17" t="s">
        <v>167</v>
      </c>
      <c r="AD64" s="17" t="s">
        <v>168</v>
      </c>
      <c r="AG64" t="s">
        <v>542</v>
      </c>
      <c r="AH64" s="17" t="s">
        <v>155</v>
      </c>
      <c r="AI64" s="17" t="s">
        <v>155</v>
      </c>
      <c r="AJ64" s="17" t="s">
        <v>675</v>
      </c>
      <c r="AK64" s="17" t="s">
        <v>155</v>
      </c>
      <c r="AL64" s="17" t="s">
        <v>155</v>
      </c>
      <c r="AW64" t="s">
        <v>542</v>
      </c>
      <c r="AX64" t="s">
        <v>155</v>
      </c>
      <c r="AY64" t="s">
        <v>155</v>
      </c>
      <c r="AZ64" t="s">
        <v>675</v>
      </c>
      <c r="BA64" t="s">
        <v>155</v>
      </c>
      <c r="BB64" t="s">
        <v>155</v>
      </c>
      <c r="BD64">
        <f t="shared" si="2"/>
        <v>0</v>
      </c>
      <c r="BE64">
        <f t="shared" si="3"/>
        <v>0</v>
      </c>
      <c r="BF64">
        <f t="shared" si="4"/>
        <v>0</v>
      </c>
      <c r="BG64">
        <f t="shared" si="5"/>
        <v>0</v>
      </c>
      <c r="BH64">
        <f t="shared" si="6"/>
        <v>0</v>
      </c>
      <c r="BI64">
        <f t="shared" si="7"/>
        <v>0</v>
      </c>
    </row>
    <row r="65" spans="2:61" x14ac:dyDescent="0.3">
      <c r="B65" s="15" t="s">
        <v>554</v>
      </c>
      <c r="C65" s="17" t="s">
        <v>591</v>
      </c>
      <c r="D65" s="17" t="s">
        <v>594</v>
      </c>
      <c r="E65" s="17" t="s">
        <v>591</v>
      </c>
      <c r="F65" s="17" t="s">
        <v>594</v>
      </c>
      <c r="G65" s="17" t="s">
        <v>592</v>
      </c>
      <c r="J65" t="s">
        <v>543</v>
      </c>
      <c r="K65" s="17" t="s">
        <v>155</v>
      </c>
      <c r="L65" s="17" t="s">
        <v>155</v>
      </c>
      <c r="M65" s="17" t="s">
        <v>675</v>
      </c>
      <c r="N65" s="17" t="s">
        <v>155</v>
      </c>
      <c r="O65" s="17" t="s">
        <v>155</v>
      </c>
      <c r="Y65" s="15" t="s">
        <v>554</v>
      </c>
      <c r="Z65" s="17" t="s">
        <v>591</v>
      </c>
      <c r="AA65" s="17" t="s">
        <v>594</v>
      </c>
      <c r="AB65" s="17" t="s">
        <v>591</v>
      </c>
      <c r="AC65" s="17" t="s">
        <v>594</v>
      </c>
      <c r="AD65" s="17" t="s">
        <v>592</v>
      </c>
      <c r="AG65" t="s">
        <v>543</v>
      </c>
      <c r="AH65" s="17" t="s">
        <v>155</v>
      </c>
      <c r="AI65" s="17" t="s">
        <v>155</v>
      </c>
      <c r="AJ65" s="17" t="s">
        <v>675</v>
      </c>
      <c r="AK65" s="17" t="s">
        <v>155</v>
      </c>
      <c r="AL65" s="17" t="s">
        <v>155</v>
      </c>
      <c r="AW65" t="s">
        <v>543</v>
      </c>
      <c r="AX65" t="s">
        <v>155</v>
      </c>
      <c r="AY65" t="s">
        <v>155</v>
      </c>
      <c r="AZ65" t="s">
        <v>675</v>
      </c>
      <c r="BA65" t="s">
        <v>155</v>
      </c>
      <c r="BB65" t="s">
        <v>155</v>
      </c>
      <c r="BD65">
        <f t="shared" si="2"/>
        <v>0</v>
      </c>
      <c r="BE65">
        <f t="shared" si="3"/>
        <v>0</v>
      </c>
      <c r="BF65">
        <f t="shared" si="4"/>
        <v>0</v>
      </c>
      <c r="BG65">
        <f t="shared" si="5"/>
        <v>0</v>
      </c>
      <c r="BH65">
        <f t="shared" si="6"/>
        <v>0</v>
      </c>
      <c r="BI65">
        <f t="shared" si="7"/>
        <v>0</v>
      </c>
    </row>
    <row r="66" spans="2:61" x14ac:dyDescent="0.3">
      <c r="B66" s="15" t="s">
        <v>555</v>
      </c>
      <c r="C66" s="17" t="s">
        <v>591</v>
      </c>
      <c r="D66" s="17" t="s">
        <v>594</v>
      </c>
      <c r="E66" s="17" t="s">
        <v>591</v>
      </c>
      <c r="F66" s="17" t="s">
        <v>594</v>
      </c>
      <c r="G66" s="17" t="s">
        <v>592</v>
      </c>
      <c r="Y66" s="15" t="s">
        <v>555</v>
      </c>
      <c r="Z66" s="17" t="s">
        <v>591</v>
      </c>
      <c r="AA66" s="17" t="s">
        <v>594</v>
      </c>
      <c r="AB66" s="17" t="s">
        <v>591</v>
      </c>
      <c r="AC66" s="17" t="s">
        <v>594</v>
      </c>
      <c r="AD66" s="17" t="s">
        <v>592</v>
      </c>
      <c r="BD66">
        <f t="shared" si="2"/>
        <v>0</v>
      </c>
      <c r="BE66">
        <f t="shared" si="3"/>
        <v>0</v>
      </c>
      <c r="BF66">
        <f t="shared" si="4"/>
        <v>0</v>
      </c>
      <c r="BG66">
        <f t="shared" si="5"/>
        <v>0</v>
      </c>
      <c r="BH66">
        <f t="shared" si="6"/>
        <v>0</v>
      </c>
      <c r="BI66">
        <f t="shared" si="7"/>
        <v>0</v>
      </c>
    </row>
    <row r="67" spans="2:61" x14ac:dyDescent="0.3">
      <c r="B67" s="15" t="s">
        <v>556</v>
      </c>
      <c r="C67" s="17" t="s">
        <v>591</v>
      </c>
      <c r="D67" s="17" t="s">
        <v>593</v>
      </c>
      <c r="E67" s="17" t="s">
        <v>589</v>
      </c>
      <c r="F67" s="17" t="s">
        <v>594</v>
      </c>
      <c r="G67" s="17" t="s">
        <v>589</v>
      </c>
      <c r="J67" t="s">
        <v>719</v>
      </c>
      <c r="Y67" s="15" t="s">
        <v>556</v>
      </c>
      <c r="Z67" s="17" t="s">
        <v>589</v>
      </c>
      <c r="AA67" s="17" t="s">
        <v>593</v>
      </c>
      <c r="AB67" s="17" t="s">
        <v>591</v>
      </c>
      <c r="AC67" s="17" t="s">
        <v>594</v>
      </c>
      <c r="AD67" s="17" t="s">
        <v>589</v>
      </c>
      <c r="AG67" t="s">
        <v>719</v>
      </c>
      <c r="AW67" t="s">
        <v>719</v>
      </c>
      <c r="BD67">
        <f t="shared" si="2"/>
        <v>0</v>
      </c>
      <c r="BE67">
        <f t="shared" si="3"/>
        <v>0</v>
      </c>
      <c r="BF67">
        <f t="shared" si="4"/>
        <v>0</v>
      </c>
      <c r="BG67">
        <f t="shared" si="5"/>
        <v>0</v>
      </c>
      <c r="BH67">
        <f t="shared" si="6"/>
        <v>0</v>
      </c>
      <c r="BI67">
        <f t="shared" si="7"/>
        <v>0</v>
      </c>
    </row>
    <row r="68" spans="2:61" x14ac:dyDescent="0.3">
      <c r="B68" s="15" t="s">
        <v>557</v>
      </c>
      <c r="C68" s="17" t="s">
        <v>155</v>
      </c>
      <c r="D68" s="17" t="s">
        <v>593</v>
      </c>
      <c r="E68" s="17" t="s">
        <v>589</v>
      </c>
      <c r="F68" s="17" t="s">
        <v>155</v>
      </c>
      <c r="G68" s="17" t="s">
        <v>589</v>
      </c>
      <c r="K68" s="17" t="s">
        <v>164</v>
      </c>
      <c r="L68" s="17" t="s">
        <v>165</v>
      </c>
      <c r="M68" s="17" t="s">
        <v>166</v>
      </c>
      <c r="N68" s="17" t="s">
        <v>167</v>
      </c>
      <c r="O68" s="17" t="s">
        <v>168</v>
      </c>
      <c r="Y68" s="15" t="s">
        <v>557</v>
      </c>
      <c r="Z68" s="17" t="s">
        <v>589</v>
      </c>
      <c r="AA68" s="17" t="s">
        <v>593</v>
      </c>
      <c r="AB68" s="17" t="s">
        <v>155</v>
      </c>
      <c r="AC68" s="17" t="s">
        <v>155</v>
      </c>
      <c r="AD68" s="17" t="s">
        <v>589</v>
      </c>
      <c r="AH68" s="17" t="s">
        <v>164</v>
      </c>
      <c r="AI68" s="17" t="s">
        <v>165</v>
      </c>
      <c r="AJ68" s="17" t="s">
        <v>166</v>
      </c>
      <c r="AK68" s="17" t="s">
        <v>167</v>
      </c>
      <c r="AL68" s="17" t="s">
        <v>168</v>
      </c>
      <c r="AX68" t="s">
        <v>164</v>
      </c>
      <c r="AY68" t="s">
        <v>165</v>
      </c>
      <c r="AZ68" t="s">
        <v>166</v>
      </c>
      <c r="BA68" t="s">
        <v>167</v>
      </c>
      <c r="BB68" t="s">
        <v>168</v>
      </c>
      <c r="BD68">
        <f t="shared" si="2"/>
        <v>0</v>
      </c>
      <c r="BE68">
        <f t="shared" si="3"/>
        <v>0</v>
      </c>
      <c r="BF68">
        <f t="shared" si="4"/>
        <v>0</v>
      </c>
      <c r="BG68">
        <f t="shared" si="5"/>
        <v>0</v>
      </c>
      <c r="BH68">
        <f t="shared" si="6"/>
        <v>0</v>
      </c>
      <c r="BI68">
        <f t="shared" si="7"/>
        <v>0</v>
      </c>
    </row>
    <row r="69" spans="2:61" x14ac:dyDescent="0.3">
      <c r="B69" s="15" t="s">
        <v>542</v>
      </c>
      <c r="C69" s="17" t="s">
        <v>155</v>
      </c>
      <c r="D69" s="17" t="s">
        <v>155</v>
      </c>
      <c r="E69" s="17" t="s">
        <v>589</v>
      </c>
      <c r="F69" s="17" t="s">
        <v>155</v>
      </c>
      <c r="G69" s="17" t="s">
        <v>155</v>
      </c>
      <c r="J69" t="s">
        <v>557</v>
      </c>
      <c r="K69" s="17" t="s">
        <v>155</v>
      </c>
      <c r="L69" s="17" t="s">
        <v>155</v>
      </c>
      <c r="M69" s="17" t="s">
        <v>6</v>
      </c>
      <c r="N69" s="17" t="s">
        <v>155</v>
      </c>
      <c r="O69" s="17" t="s">
        <v>155</v>
      </c>
      <c r="Y69" s="15" t="s">
        <v>542</v>
      </c>
      <c r="Z69" s="17" t="s">
        <v>155</v>
      </c>
      <c r="AA69" s="17" t="s">
        <v>155</v>
      </c>
      <c r="AB69" s="17" t="s">
        <v>155</v>
      </c>
      <c r="AC69" s="17" t="s">
        <v>155</v>
      </c>
      <c r="AD69" s="17" t="s">
        <v>589</v>
      </c>
      <c r="AG69" t="s">
        <v>557</v>
      </c>
      <c r="AH69" s="17" t="s">
        <v>155</v>
      </c>
      <c r="AI69" s="17" t="s">
        <v>6</v>
      </c>
      <c r="AJ69" s="17" t="s">
        <v>155</v>
      </c>
      <c r="AK69" s="17" t="s">
        <v>155</v>
      </c>
      <c r="AL69" s="17" t="s">
        <v>155</v>
      </c>
      <c r="AW69" t="s">
        <v>557</v>
      </c>
      <c r="AX69" t="s">
        <v>155</v>
      </c>
      <c r="AY69" t="s">
        <v>155</v>
      </c>
      <c r="AZ69" t="s">
        <v>6</v>
      </c>
      <c r="BA69" t="s">
        <v>155</v>
      </c>
      <c r="BB69" t="s">
        <v>155</v>
      </c>
      <c r="BD69">
        <f t="shared" si="2"/>
        <v>0</v>
      </c>
      <c r="BE69">
        <f t="shared" si="3"/>
        <v>0</v>
      </c>
      <c r="BF69">
        <f t="shared" si="4"/>
        <v>0</v>
      </c>
      <c r="BG69">
        <f t="shared" si="5"/>
        <v>0</v>
      </c>
      <c r="BH69">
        <f t="shared" si="6"/>
        <v>0</v>
      </c>
      <c r="BI69">
        <f t="shared" si="7"/>
        <v>0</v>
      </c>
    </row>
    <row r="70" spans="2:61" x14ac:dyDescent="0.3">
      <c r="B70" s="15" t="s">
        <v>543</v>
      </c>
      <c r="C70" s="17" t="s">
        <v>155</v>
      </c>
      <c r="D70" s="17" t="s">
        <v>155</v>
      </c>
      <c r="E70" s="17" t="s">
        <v>155</v>
      </c>
      <c r="F70" s="17" t="s">
        <v>155</v>
      </c>
      <c r="G70" s="17" t="s">
        <v>155</v>
      </c>
      <c r="J70" t="s">
        <v>542</v>
      </c>
      <c r="K70" s="17" t="s">
        <v>6</v>
      </c>
      <c r="L70" s="17" t="s">
        <v>155</v>
      </c>
      <c r="M70" s="17" t="s">
        <v>6</v>
      </c>
      <c r="N70" s="17" t="s">
        <v>155</v>
      </c>
      <c r="O70" s="17" t="s">
        <v>155</v>
      </c>
      <c r="Y70" s="15" t="s">
        <v>543</v>
      </c>
      <c r="Z70" s="17" t="s">
        <v>155</v>
      </c>
      <c r="AA70" s="17" t="s">
        <v>155</v>
      </c>
      <c r="AB70" s="17" t="s">
        <v>155</v>
      </c>
      <c r="AC70" s="17" t="s">
        <v>155</v>
      </c>
      <c r="AD70" s="17" t="s">
        <v>155</v>
      </c>
      <c r="AG70" t="s">
        <v>542</v>
      </c>
      <c r="AH70" s="17" t="s">
        <v>155</v>
      </c>
      <c r="AI70" s="17" t="s">
        <v>6</v>
      </c>
      <c r="AJ70" s="17" t="s">
        <v>155</v>
      </c>
      <c r="AK70" s="17" t="s">
        <v>155</v>
      </c>
      <c r="AL70" s="17" t="s">
        <v>6</v>
      </c>
      <c r="AW70" t="s">
        <v>542</v>
      </c>
      <c r="AX70" t="s">
        <v>6</v>
      </c>
      <c r="AY70" t="s">
        <v>155</v>
      </c>
      <c r="AZ70" t="s">
        <v>6</v>
      </c>
      <c r="BA70" t="s">
        <v>155</v>
      </c>
      <c r="BB70" t="s">
        <v>155</v>
      </c>
      <c r="BD70">
        <f t="shared" si="2"/>
        <v>0</v>
      </c>
      <c r="BE70">
        <f t="shared" si="3"/>
        <v>0</v>
      </c>
      <c r="BF70">
        <f t="shared" si="4"/>
        <v>0</v>
      </c>
      <c r="BG70">
        <f t="shared" si="5"/>
        <v>0</v>
      </c>
      <c r="BH70">
        <f t="shared" si="6"/>
        <v>0</v>
      </c>
      <c r="BI70">
        <f t="shared" si="7"/>
        <v>0</v>
      </c>
    </row>
    <row r="71" spans="2:61" x14ac:dyDescent="0.3">
      <c r="J71" t="s">
        <v>543</v>
      </c>
      <c r="K71" s="17" t="s">
        <v>6</v>
      </c>
      <c r="L71" s="17" t="s">
        <v>155</v>
      </c>
      <c r="M71" s="17" t="s">
        <v>6</v>
      </c>
      <c r="N71" s="17" t="s">
        <v>155</v>
      </c>
      <c r="O71" s="17" t="s">
        <v>155</v>
      </c>
      <c r="AG71" t="s">
        <v>543</v>
      </c>
      <c r="AH71" s="17" t="s">
        <v>155</v>
      </c>
      <c r="AI71" s="17" t="s">
        <v>6</v>
      </c>
      <c r="AJ71" s="17" t="s">
        <v>155</v>
      </c>
      <c r="AK71" s="17" t="s">
        <v>155</v>
      </c>
      <c r="AL71" s="17" t="s">
        <v>6</v>
      </c>
      <c r="AW71" t="s">
        <v>543</v>
      </c>
      <c r="AX71" t="s">
        <v>6</v>
      </c>
      <c r="AY71" t="s">
        <v>155</v>
      </c>
      <c r="AZ71" t="s">
        <v>6</v>
      </c>
      <c r="BA71" t="s">
        <v>155</v>
      </c>
      <c r="BB71" t="s">
        <v>155</v>
      </c>
      <c r="BD71">
        <f t="shared" si="2"/>
        <v>0</v>
      </c>
      <c r="BE71">
        <f t="shared" si="3"/>
        <v>0</v>
      </c>
      <c r="BF71">
        <f t="shared" si="4"/>
        <v>0</v>
      </c>
      <c r="BG71">
        <f t="shared" si="5"/>
        <v>0</v>
      </c>
      <c r="BH71">
        <f t="shared" si="6"/>
        <v>0</v>
      </c>
      <c r="BI71">
        <f t="shared" si="7"/>
        <v>0</v>
      </c>
    </row>
    <row r="72" spans="2:61" x14ac:dyDescent="0.3">
      <c r="B72" s="29" t="s">
        <v>596</v>
      </c>
      <c r="Y72" s="29" t="s">
        <v>596</v>
      </c>
      <c r="BD72">
        <f t="shared" si="2"/>
        <v>0</v>
      </c>
      <c r="BE72">
        <f t="shared" si="3"/>
        <v>0</v>
      </c>
      <c r="BF72">
        <f t="shared" si="4"/>
        <v>0</v>
      </c>
      <c r="BG72">
        <f t="shared" si="5"/>
        <v>0</v>
      </c>
      <c r="BH72">
        <f t="shared" si="6"/>
        <v>0</v>
      </c>
      <c r="BI72">
        <f t="shared" si="7"/>
        <v>0</v>
      </c>
    </row>
    <row r="73" spans="2:61" x14ac:dyDescent="0.3">
      <c r="B73" s="71" t="s">
        <v>597</v>
      </c>
      <c r="J73" t="s">
        <v>708</v>
      </c>
      <c r="Y73" s="71" t="s">
        <v>597</v>
      </c>
      <c r="AG73" t="s">
        <v>708</v>
      </c>
      <c r="AW73" t="s">
        <v>708</v>
      </c>
      <c r="BD73">
        <f t="shared" ref="BD73:BD136" si="8">IF(J73=AW73,0,1)</f>
        <v>0</v>
      </c>
      <c r="BE73">
        <f t="shared" ref="BE73:BE136" si="9">IF(K73=AX73,0,1)</f>
        <v>0</v>
      </c>
      <c r="BF73">
        <f t="shared" ref="BF73:BF136" si="10">IF(L73=AY73,0,1)</f>
        <v>0</v>
      </c>
      <c r="BG73">
        <f t="shared" ref="BG73:BG136" si="11">IF(M73=AZ73,0,1)</f>
        <v>0</v>
      </c>
      <c r="BH73">
        <f t="shared" ref="BH73:BH136" si="12">IF(N73=BA73,0,1)</f>
        <v>0</v>
      </c>
      <c r="BI73">
        <f t="shared" ref="BI73:BI136" si="13">IF(O73=BB73,0,1)</f>
        <v>0</v>
      </c>
    </row>
    <row r="74" spans="2:61" x14ac:dyDescent="0.3">
      <c r="K74" s="17" t="s">
        <v>164</v>
      </c>
      <c r="L74" s="17" t="s">
        <v>165</v>
      </c>
      <c r="M74" s="17" t="s">
        <v>166</v>
      </c>
      <c r="N74" s="17" t="s">
        <v>167</v>
      </c>
      <c r="O74" s="17" t="s">
        <v>168</v>
      </c>
      <c r="AH74" s="17" t="s">
        <v>164</v>
      </c>
      <c r="AI74" s="17" t="s">
        <v>165</v>
      </c>
      <c r="AJ74" s="17" t="s">
        <v>166</v>
      </c>
      <c r="AK74" s="17" t="s">
        <v>167</v>
      </c>
      <c r="AL74" s="17" t="s">
        <v>168</v>
      </c>
      <c r="AX74" t="s">
        <v>164</v>
      </c>
      <c r="AY74" t="s">
        <v>165</v>
      </c>
      <c r="AZ74" t="s">
        <v>166</v>
      </c>
      <c r="BA74" t="s">
        <v>167</v>
      </c>
      <c r="BB74" t="s">
        <v>168</v>
      </c>
      <c r="BD74">
        <f t="shared" si="8"/>
        <v>0</v>
      </c>
      <c r="BE74">
        <f t="shared" si="9"/>
        <v>0</v>
      </c>
      <c r="BF74">
        <f t="shared" si="10"/>
        <v>0</v>
      </c>
      <c r="BG74">
        <f t="shared" si="11"/>
        <v>0</v>
      </c>
      <c r="BH74">
        <f t="shared" si="12"/>
        <v>0</v>
      </c>
      <c r="BI74">
        <f t="shared" si="13"/>
        <v>0</v>
      </c>
    </row>
    <row r="75" spans="2:61" x14ac:dyDescent="0.3">
      <c r="B75" s="15" t="s">
        <v>604</v>
      </c>
      <c r="J75" t="s">
        <v>542</v>
      </c>
      <c r="K75" s="17" t="s">
        <v>155</v>
      </c>
      <c r="L75" s="17" t="s">
        <v>155</v>
      </c>
      <c r="M75" s="17" t="s">
        <v>155</v>
      </c>
      <c r="N75" s="17" t="s">
        <v>155</v>
      </c>
      <c r="O75" s="17" t="s">
        <v>95</v>
      </c>
      <c r="Y75" s="15" t="s">
        <v>604</v>
      </c>
      <c r="AG75" t="s">
        <v>542</v>
      </c>
      <c r="AH75" s="17" t="s">
        <v>155</v>
      </c>
      <c r="AI75" s="17" t="s">
        <v>155</v>
      </c>
      <c r="AJ75" s="17" t="s">
        <v>155</v>
      </c>
      <c r="AK75" s="17" t="s">
        <v>155</v>
      </c>
      <c r="AL75" s="17" t="s">
        <v>95</v>
      </c>
      <c r="AW75" t="s">
        <v>542</v>
      </c>
      <c r="AX75" t="s">
        <v>155</v>
      </c>
      <c r="AY75" t="s">
        <v>155</v>
      </c>
      <c r="AZ75" t="s">
        <v>155</v>
      </c>
      <c r="BA75" t="s">
        <v>155</v>
      </c>
      <c r="BB75" t="s">
        <v>95</v>
      </c>
      <c r="BD75">
        <f t="shared" si="8"/>
        <v>0</v>
      </c>
      <c r="BE75">
        <f t="shared" si="9"/>
        <v>0</v>
      </c>
      <c r="BF75">
        <f t="shared" si="10"/>
        <v>0</v>
      </c>
      <c r="BG75">
        <f t="shared" si="11"/>
        <v>0</v>
      </c>
      <c r="BH75">
        <f t="shared" si="12"/>
        <v>0</v>
      </c>
      <c r="BI75">
        <f t="shared" si="13"/>
        <v>0</v>
      </c>
    </row>
    <row r="76" spans="2:61" x14ac:dyDescent="0.3">
      <c r="C76" s="17" t="s">
        <v>164</v>
      </c>
      <c r="D76" s="17" t="s">
        <v>165</v>
      </c>
      <c r="E76" s="17" t="s">
        <v>166</v>
      </c>
      <c r="F76" s="17" t="s">
        <v>167</v>
      </c>
      <c r="G76" s="17" t="s">
        <v>168</v>
      </c>
      <c r="J76" t="s">
        <v>543</v>
      </c>
      <c r="K76" s="17" t="s">
        <v>155</v>
      </c>
      <c r="L76" s="17" t="s">
        <v>95</v>
      </c>
      <c r="M76" s="17" t="s">
        <v>155</v>
      </c>
      <c r="N76" s="17" t="s">
        <v>155</v>
      </c>
      <c r="O76" s="17" t="s">
        <v>95</v>
      </c>
      <c r="Z76" s="17" t="s">
        <v>164</v>
      </c>
      <c r="AA76" s="17" t="s">
        <v>165</v>
      </c>
      <c r="AB76" s="17" t="s">
        <v>166</v>
      </c>
      <c r="AC76" s="17" t="s">
        <v>167</v>
      </c>
      <c r="AD76" s="17" t="s">
        <v>168</v>
      </c>
      <c r="AG76" t="s">
        <v>543</v>
      </c>
      <c r="AH76" s="17" t="s">
        <v>155</v>
      </c>
      <c r="AI76" s="17" t="s">
        <v>95</v>
      </c>
      <c r="AJ76" s="17" t="s">
        <v>155</v>
      </c>
      <c r="AK76" s="17" t="s">
        <v>155</v>
      </c>
      <c r="AL76" s="17" t="s">
        <v>95</v>
      </c>
      <c r="AW76" t="s">
        <v>543</v>
      </c>
      <c r="AX76" t="s">
        <v>155</v>
      </c>
      <c r="AY76" t="s">
        <v>95</v>
      </c>
      <c r="AZ76" t="s">
        <v>155</v>
      </c>
      <c r="BA76" t="s">
        <v>155</v>
      </c>
      <c r="BB76" t="s">
        <v>95</v>
      </c>
      <c r="BD76">
        <f t="shared" si="8"/>
        <v>0</v>
      </c>
      <c r="BE76">
        <f t="shared" si="9"/>
        <v>0</v>
      </c>
      <c r="BF76">
        <f t="shared" si="10"/>
        <v>0</v>
      </c>
      <c r="BG76">
        <f t="shared" si="11"/>
        <v>0</v>
      </c>
      <c r="BH76">
        <f t="shared" si="12"/>
        <v>0</v>
      </c>
      <c r="BI76">
        <f t="shared" si="13"/>
        <v>0</v>
      </c>
    </row>
    <row r="77" spans="2:61" x14ac:dyDescent="0.3">
      <c r="B77" s="15" t="s">
        <v>548</v>
      </c>
      <c r="C77" s="17" t="s">
        <v>155</v>
      </c>
      <c r="D77" s="17" t="s">
        <v>607</v>
      </c>
      <c r="E77" s="17" t="s">
        <v>609</v>
      </c>
      <c r="F77" s="17" t="s">
        <v>606</v>
      </c>
      <c r="G77" s="17" t="s">
        <v>607</v>
      </c>
      <c r="J77" t="s">
        <v>544</v>
      </c>
      <c r="K77" s="17" t="s">
        <v>155</v>
      </c>
      <c r="L77" s="17" t="s">
        <v>95</v>
      </c>
      <c r="M77" s="17" t="s">
        <v>155</v>
      </c>
      <c r="N77" s="17" t="s">
        <v>155</v>
      </c>
      <c r="O77" s="17" t="s">
        <v>155</v>
      </c>
      <c r="Y77" s="15" t="s">
        <v>548</v>
      </c>
      <c r="Z77" s="17" t="s">
        <v>155</v>
      </c>
      <c r="AA77" s="17" t="s">
        <v>607</v>
      </c>
      <c r="AB77" s="17" t="s">
        <v>609</v>
      </c>
      <c r="AC77" s="17" t="s">
        <v>606</v>
      </c>
      <c r="AD77" s="17" t="s">
        <v>607</v>
      </c>
      <c r="AG77" t="s">
        <v>544</v>
      </c>
      <c r="AH77" s="17" t="s">
        <v>155</v>
      </c>
      <c r="AI77" s="17" t="s">
        <v>95</v>
      </c>
      <c r="AJ77" s="17" t="s">
        <v>155</v>
      </c>
      <c r="AK77" s="17" t="s">
        <v>155</v>
      </c>
      <c r="AL77" s="17" t="s">
        <v>155</v>
      </c>
      <c r="AW77" t="s">
        <v>544</v>
      </c>
      <c r="AX77" t="s">
        <v>155</v>
      </c>
      <c r="AY77" t="s">
        <v>95</v>
      </c>
      <c r="AZ77" t="s">
        <v>155</v>
      </c>
      <c r="BA77" t="s">
        <v>155</v>
      </c>
      <c r="BB77" t="s">
        <v>155</v>
      </c>
      <c r="BD77">
        <f t="shared" si="8"/>
        <v>0</v>
      </c>
      <c r="BE77">
        <f t="shared" si="9"/>
        <v>0</v>
      </c>
      <c r="BF77">
        <f t="shared" si="10"/>
        <v>0</v>
      </c>
      <c r="BG77">
        <f t="shared" si="11"/>
        <v>0</v>
      </c>
      <c r="BH77">
        <f t="shared" si="12"/>
        <v>0</v>
      </c>
      <c r="BI77">
        <f t="shared" si="13"/>
        <v>0</v>
      </c>
    </row>
    <row r="78" spans="2:61" x14ac:dyDescent="0.3">
      <c r="B78" s="15" t="s">
        <v>549</v>
      </c>
      <c r="C78" s="17" t="s">
        <v>611</v>
      </c>
      <c r="D78" s="17" t="s">
        <v>607</v>
      </c>
      <c r="E78" s="17" t="s">
        <v>609</v>
      </c>
      <c r="F78" s="17" t="s">
        <v>606</v>
      </c>
      <c r="G78" s="17" t="s">
        <v>607</v>
      </c>
      <c r="Y78" s="15" t="s">
        <v>549</v>
      </c>
      <c r="Z78" s="17" t="s">
        <v>611</v>
      </c>
      <c r="AA78" s="17" t="s">
        <v>607</v>
      </c>
      <c r="AB78" s="17" t="s">
        <v>609</v>
      </c>
      <c r="AC78" s="17" t="s">
        <v>606</v>
      </c>
      <c r="AD78" s="17" t="s">
        <v>607</v>
      </c>
      <c r="BD78">
        <f t="shared" si="8"/>
        <v>0</v>
      </c>
      <c r="BE78">
        <f t="shared" si="9"/>
        <v>0</v>
      </c>
      <c r="BF78">
        <f t="shared" si="10"/>
        <v>0</v>
      </c>
      <c r="BG78">
        <f t="shared" si="11"/>
        <v>0</v>
      </c>
      <c r="BH78">
        <f t="shared" si="12"/>
        <v>0</v>
      </c>
      <c r="BI78">
        <f t="shared" si="13"/>
        <v>0</v>
      </c>
    </row>
    <row r="79" spans="2:61" x14ac:dyDescent="0.3">
      <c r="B79" s="15" t="s">
        <v>550</v>
      </c>
      <c r="C79" s="17" t="s">
        <v>611</v>
      </c>
      <c r="D79" s="17" t="s">
        <v>610</v>
      </c>
      <c r="E79" s="17" t="s">
        <v>611</v>
      </c>
      <c r="F79" s="17" t="s">
        <v>606</v>
      </c>
      <c r="G79" s="17" t="s">
        <v>607</v>
      </c>
      <c r="J79" t="s">
        <v>821</v>
      </c>
      <c r="Y79" s="15" t="s">
        <v>550</v>
      </c>
      <c r="Z79" s="17" t="s">
        <v>611</v>
      </c>
      <c r="AA79" s="17" t="s">
        <v>610</v>
      </c>
      <c r="AB79" s="17" t="s">
        <v>611</v>
      </c>
      <c r="AC79" s="17" t="s">
        <v>606</v>
      </c>
      <c r="AD79" s="17" t="s">
        <v>607</v>
      </c>
      <c r="AG79" t="s">
        <v>821</v>
      </c>
      <c r="AW79" t="s">
        <v>821</v>
      </c>
      <c r="BD79">
        <f t="shared" si="8"/>
        <v>0</v>
      </c>
      <c r="BE79">
        <f t="shared" si="9"/>
        <v>0</v>
      </c>
      <c r="BF79">
        <f t="shared" si="10"/>
        <v>0</v>
      </c>
      <c r="BG79">
        <f t="shared" si="11"/>
        <v>0</v>
      </c>
      <c r="BH79">
        <f t="shared" si="12"/>
        <v>0</v>
      </c>
      <c r="BI79">
        <f t="shared" si="13"/>
        <v>0</v>
      </c>
    </row>
    <row r="80" spans="2:61" x14ac:dyDescent="0.3">
      <c r="B80" s="15" t="s">
        <v>158</v>
      </c>
      <c r="C80" s="17" t="s">
        <v>611</v>
      </c>
      <c r="D80" s="17" t="s">
        <v>610</v>
      </c>
      <c r="E80" s="17" t="s">
        <v>611</v>
      </c>
      <c r="F80" s="17" t="s">
        <v>610</v>
      </c>
      <c r="G80" s="17" t="s">
        <v>608</v>
      </c>
      <c r="K80" s="17" t="s">
        <v>164</v>
      </c>
      <c r="L80" s="17" t="s">
        <v>165</v>
      </c>
      <c r="M80" s="17" t="s">
        <v>166</v>
      </c>
      <c r="N80" s="17" t="s">
        <v>167</v>
      </c>
      <c r="O80" s="17" t="s">
        <v>168</v>
      </c>
      <c r="Y80" s="15" t="s">
        <v>158</v>
      </c>
      <c r="Z80" s="17" t="s">
        <v>611</v>
      </c>
      <c r="AA80" s="17" t="s">
        <v>610</v>
      </c>
      <c r="AB80" s="17" t="s">
        <v>611</v>
      </c>
      <c r="AC80" s="17" t="s">
        <v>610</v>
      </c>
      <c r="AD80" s="17" t="s">
        <v>608</v>
      </c>
      <c r="AH80" s="17" t="s">
        <v>164</v>
      </c>
      <c r="AI80" s="17" t="s">
        <v>165</v>
      </c>
      <c r="AJ80" s="17" t="s">
        <v>166</v>
      </c>
      <c r="AK80" s="17" t="s">
        <v>167</v>
      </c>
      <c r="AL80" s="17" t="s">
        <v>168</v>
      </c>
      <c r="AX80" t="s">
        <v>164</v>
      </c>
      <c r="AY80" t="s">
        <v>165</v>
      </c>
      <c r="AZ80" t="s">
        <v>166</v>
      </c>
      <c r="BA80" t="s">
        <v>167</v>
      </c>
      <c r="BB80" t="s">
        <v>168</v>
      </c>
      <c r="BD80">
        <f t="shared" si="8"/>
        <v>0</v>
      </c>
      <c r="BE80">
        <f t="shared" si="9"/>
        <v>0</v>
      </c>
      <c r="BF80">
        <f t="shared" si="10"/>
        <v>0</v>
      </c>
      <c r="BG80">
        <f t="shared" si="11"/>
        <v>0</v>
      </c>
      <c r="BH80">
        <f t="shared" si="12"/>
        <v>0</v>
      </c>
      <c r="BI80">
        <f t="shared" si="13"/>
        <v>0</v>
      </c>
    </row>
    <row r="81" spans="2:61" x14ac:dyDescent="0.3">
      <c r="B81" s="15" t="s">
        <v>159</v>
      </c>
      <c r="C81" s="17" t="s">
        <v>605</v>
      </c>
      <c r="D81" s="17" t="s">
        <v>608</v>
      </c>
      <c r="E81" s="17" t="s">
        <v>605</v>
      </c>
      <c r="F81" s="17" t="s">
        <v>610</v>
      </c>
      <c r="G81" s="17" t="s">
        <v>608</v>
      </c>
      <c r="J81" t="s">
        <v>543</v>
      </c>
      <c r="K81" s="17" t="s">
        <v>398</v>
      </c>
      <c r="L81" s="17" t="s">
        <v>155</v>
      </c>
      <c r="M81" s="17" t="s">
        <v>155</v>
      </c>
      <c r="N81" s="17" t="s">
        <v>155</v>
      </c>
      <c r="O81" s="17" t="s">
        <v>155</v>
      </c>
      <c r="Y81" s="15" t="s">
        <v>159</v>
      </c>
      <c r="Z81" s="17" t="s">
        <v>605</v>
      </c>
      <c r="AA81" s="17" t="s">
        <v>608</v>
      </c>
      <c r="AB81" s="17" t="s">
        <v>605</v>
      </c>
      <c r="AC81" s="17" t="s">
        <v>610</v>
      </c>
      <c r="AD81" s="17" t="s">
        <v>608</v>
      </c>
      <c r="AG81" t="s">
        <v>543</v>
      </c>
      <c r="AH81" s="17" t="s">
        <v>398</v>
      </c>
      <c r="AI81" s="17" t="s">
        <v>155</v>
      </c>
      <c r="AJ81" s="17" t="s">
        <v>155</v>
      </c>
      <c r="AK81" s="17" t="s">
        <v>155</v>
      </c>
      <c r="AL81" s="17" t="s">
        <v>155</v>
      </c>
      <c r="AW81" t="s">
        <v>543</v>
      </c>
      <c r="AX81" t="s">
        <v>398</v>
      </c>
      <c r="AY81" t="s">
        <v>155</v>
      </c>
      <c r="AZ81" t="s">
        <v>155</v>
      </c>
      <c r="BA81" t="s">
        <v>155</v>
      </c>
      <c r="BB81" t="s">
        <v>155</v>
      </c>
      <c r="BD81">
        <f t="shared" si="8"/>
        <v>0</v>
      </c>
      <c r="BE81">
        <f t="shared" si="9"/>
        <v>0</v>
      </c>
      <c r="BF81">
        <f t="shared" si="10"/>
        <v>0</v>
      </c>
      <c r="BG81">
        <f t="shared" si="11"/>
        <v>0</v>
      </c>
      <c r="BH81">
        <f t="shared" si="12"/>
        <v>0</v>
      </c>
      <c r="BI81">
        <f t="shared" si="13"/>
        <v>0</v>
      </c>
    </row>
    <row r="82" spans="2:61" x14ac:dyDescent="0.3">
      <c r="B82" s="15" t="s">
        <v>160</v>
      </c>
      <c r="C82" s="17" t="s">
        <v>605</v>
      </c>
      <c r="D82" s="17" t="s">
        <v>608</v>
      </c>
      <c r="E82" s="17" t="s">
        <v>605</v>
      </c>
      <c r="F82" s="17" t="s">
        <v>610</v>
      </c>
      <c r="G82" s="17" t="s">
        <v>608</v>
      </c>
      <c r="J82" t="s">
        <v>544</v>
      </c>
      <c r="K82" s="17" t="s">
        <v>398</v>
      </c>
      <c r="L82" s="17" t="s">
        <v>155</v>
      </c>
      <c r="M82" s="17" t="s">
        <v>155</v>
      </c>
      <c r="N82" s="17" t="s">
        <v>398</v>
      </c>
      <c r="O82" s="17" t="s">
        <v>155</v>
      </c>
      <c r="Y82" s="15" t="s">
        <v>160</v>
      </c>
      <c r="Z82" s="17" t="s">
        <v>605</v>
      </c>
      <c r="AA82" s="17" t="s">
        <v>608</v>
      </c>
      <c r="AB82" s="17" t="s">
        <v>605</v>
      </c>
      <c r="AC82" s="17" t="s">
        <v>610</v>
      </c>
      <c r="AD82" s="17" t="s">
        <v>608</v>
      </c>
      <c r="AG82" t="s">
        <v>544</v>
      </c>
      <c r="AH82" s="17" t="s">
        <v>398</v>
      </c>
      <c r="AI82" s="17" t="s">
        <v>155</v>
      </c>
      <c r="AJ82" s="17" t="s">
        <v>155</v>
      </c>
      <c r="AK82" s="17" t="s">
        <v>398</v>
      </c>
      <c r="AL82" s="17" t="s">
        <v>155</v>
      </c>
      <c r="AW82" t="s">
        <v>544</v>
      </c>
      <c r="AX82" t="s">
        <v>398</v>
      </c>
      <c r="AY82" t="s">
        <v>155</v>
      </c>
      <c r="AZ82" t="s">
        <v>155</v>
      </c>
      <c r="BA82" t="s">
        <v>398</v>
      </c>
      <c r="BB82" t="s">
        <v>155</v>
      </c>
      <c r="BD82">
        <f t="shared" si="8"/>
        <v>0</v>
      </c>
      <c r="BE82">
        <f t="shared" si="9"/>
        <v>0</v>
      </c>
      <c r="BF82">
        <f t="shared" si="10"/>
        <v>0</v>
      </c>
      <c r="BG82">
        <f t="shared" si="11"/>
        <v>0</v>
      </c>
      <c r="BH82">
        <f t="shared" si="12"/>
        <v>0</v>
      </c>
      <c r="BI82">
        <f t="shared" si="13"/>
        <v>0</v>
      </c>
    </row>
    <row r="83" spans="2:61" x14ac:dyDescent="0.3">
      <c r="J83" t="s">
        <v>545</v>
      </c>
      <c r="K83" s="17" t="s">
        <v>398</v>
      </c>
      <c r="L83" s="17" t="s">
        <v>155</v>
      </c>
      <c r="M83" s="17" t="s">
        <v>155</v>
      </c>
      <c r="N83" s="17" t="s">
        <v>398</v>
      </c>
      <c r="O83" s="17" t="s">
        <v>155</v>
      </c>
      <c r="AG83" t="s">
        <v>545</v>
      </c>
      <c r="AH83" s="17" t="s">
        <v>398</v>
      </c>
      <c r="AI83" s="17" t="s">
        <v>155</v>
      </c>
      <c r="AJ83" s="17" t="s">
        <v>155</v>
      </c>
      <c r="AK83" s="17" t="s">
        <v>398</v>
      </c>
      <c r="AL83" s="17" t="s">
        <v>155</v>
      </c>
      <c r="AW83" t="s">
        <v>545</v>
      </c>
      <c r="AX83" t="s">
        <v>398</v>
      </c>
      <c r="AY83" t="s">
        <v>155</v>
      </c>
      <c r="AZ83" t="s">
        <v>155</v>
      </c>
      <c r="BA83" t="s">
        <v>398</v>
      </c>
      <c r="BB83" t="s">
        <v>155</v>
      </c>
      <c r="BD83">
        <f t="shared" si="8"/>
        <v>0</v>
      </c>
      <c r="BE83">
        <f t="shared" si="9"/>
        <v>0</v>
      </c>
      <c r="BF83">
        <f t="shared" si="10"/>
        <v>0</v>
      </c>
      <c r="BG83">
        <f t="shared" si="11"/>
        <v>0</v>
      </c>
      <c r="BH83">
        <f t="shared" si="12"/>
        <v>0</v>
      </c>
      <c r="BI83">
        <f t="shared" si="13"/>
        <v>0</v>
      </c>
    </row>
    <row r="84" spans="2:61" x14ac:dyDescent="0.3">
      <c r="B84" s="15" t="s">
        <v>617</v>
      </c>
      <c r="Y84" s="15" t="s">
        <v>617</v>
      </c>
      <c r="BD84">
        <f t="shared" si="8"/>
        <v>0</v>
      </c>
      <c r="BE84">
        <f t="shared" si="9"/>
        <v>0</v>
      </c>
      <c r="BF84">
        <f t="shared" si="10"/>
        <v>0</v>
      </c>
      <c r="BG84">
        <f t="shared" si="11"/>
        <v>0</v>
      </c>
      <c r="BH84">
        <f t="shared" si="12"/>
        <v>0</v>
      </c>
      <c r="BI84">
        <f t="shared" si="13"/>
        <v>0</v>
      </c>
    </row>
    <row r="85" spans="2:61" x14ac:dyDescent="0.3">
      <c r="C85" s="17" t="s">
        <v>164</v>
      </c>
      <c r="D85" s="17" t="s">
        <v>165</v>
      </c>
      <c r="E85" s="17" t="s">
        <v>166</v>
      </c>
      <c r="F85" s="17" t="s">
        <v>167</v>
      </c>
      <c r="G85" s="17" t="s">
        <v>168</v>
      </c>
      <c r="J85" t="s">
        <v>745</v>
      </c>
      <c r="Z85" s="17" t="s">
        <v>164</v>
      </c>
      <c r="AA85" s="17" t="s">
        <v>165</v>
      </c>
      <c r="AB85" s="17" t="s">
        <v>166</v>
      </c>
      <c r="AC85" s="17" t="s">
        <v>167</v>
      </c>
      <c r="AD85" s="17" t="s">
        <v>168</v>
      </c>
      <c r="AG85" t="s">
        <v>745</v>
      </c>
      <c r="AW85" t="s">
        <v>745</v>
      </c>
      <c r="BD85">
        <f t="shared" si="8"/>
        <v>0</v>
      </c>
      <c r="BE85">
        <f t="shared" si="9"/>
        <v>0</v>
      </c>
      <c r="BF85">
        <f t="shared" si="10"/>
        <v>0</v>
      </c>
      <c r="BG85">
        <f t="shared" si="11"/>
        <v>0</v>
      </c>
      <c r="BH85">
        <f t="shared" si="12"/>
        <v>0</v>
      </c>
      <c r="BI85">
        <f t="shared" si="13"/>
        <v>0</v>
      </c>
    </row>
    <row r="86" spans="2:61" x14ac:dyDescent="0.3">
      <c r="B86" s="15" t="s">
        <v>548</v>
      </c>
      <c r="C86" s="17" t="s">
        <v>155</v>
      </c>
      <c r="D86" s="17" t="s">
        <v>619</v>
      </c>
      <c r="E86" s="17" t="s">
        <v>607</v>
      </c>
      <c r="F86" s="17" t="s">
        <v>618</v>
      </c>
      <c r="G86" s="17" t="s">
        <v>619</v>
      </c>
      <c r="K86" s="17" t="s">
        <v>164</v>
      </c>
      <c r="L86" s="17" t="s">
        <v>165</v>
      </c>
      <c r="M86" s="17" t="s">
        <v>166</v>
      </c>
      <c r="N86" s="17" t="s">
        <v>167</v>
      </c>
      <c r="O86" s="17" t="s">
        <v>168</v>
      </c>
      <c r="Y86" s="15" t="s">
        <v>548</v>
      </c>
      <c r="Z86" s="17" t="s">
        <v>155</v>
      </c>
      <c r="AA86" s="17" t="s">
        <v>619</v>
      </c>
      <c r="AB86" s="17" t="s">
        <v>607</v>
      </c>
      <c r="AC86" s="17" t="s">
        <v>619</v>
      </c>
      <c r="AD86" s="17" t="s">
        <v>618</v>
      </c>
      <c r="AH86" s="17" t="s">
        <v>164</v>
      </c>
      <c r="AI86" s="17" t="s">
        <v>165</v>
      </c>
      <c r="AJ86" s="17" t="s">
        <v>166</v>
      </c>
      <c r="AK86" s="17" t="s">
        <v>167</v>
      </c>
      <c r="AL86" s="17" t="s">
        <v>168</v>
      </c>
      <c r="AX86" t="s">
        <v>164</v>
      </c>
      <c r="AY86" t="s">
        <v>165</v>
      </c>
      <c r="AZ86" t="s">
        <v>166</v>
      </c>
      <c r="BA86" t="s">
        <v>167</v>
      </c>
      <c r="BB86" t="s">
        <v>168</v>
      </c>
      <c r="BD86">
        <f t="shared" si="8"/>
        <v>0</v>
      </c>
      <c r="BE86">
        <f t="shared" si="9"/>
        <v>0</v>
      </c>
      <c r="BF86">
        <f t="shared" si="10"/>
        <v>0</v>
      </c>
      <c r="BG86">
        <f t="shared" si="11"/>
        <v>0</v>
      </c>
      <c r="BH86">
        <f t="shared" si="12"/>
        <v>0</v>
      </c>
      <c r="BI86">
        <f t="shared" si="13"/>
        <v>0</v>
      </c>
    </row>
    <row r="87" spans="2:61" x14ac:dyDescent="0.3">
      <c r="B87" s="15" t="s">
        <v>549</v>
      </c>
      <c r="C87" s="17" t="s">
        <v>611</v>
      </c>
      <c r="D87" s="17" t="s">
        <v>619</v>
      </c>
      <c r="E87" s="17" t="s">
        <v>607</v>
      </c>
      <c r="F87" s="17" t="s">
        <v>618</v>
      </c>
      <c r="G87" s="17" t="s">
        <v>619</v>
      </c>
      <c r="J87" t="s">
        <v>549</v>
      </c>
      <c r="K87" s="17" t="s">
        <v>155</v>
      </c>
      <c r="L87" s="17" t="s">
        <v>155</v>
      </c>
      <c r="M87" s="17" t="s">
        <v>370</v>
      </c>
      <c r="N87" s="17" t="s">
        <v>155</v>
      </c>
      <c r="O87" s="17" t="s">
        <v>155</v>
      </c>
      <c r="Y87" s="15" t="s">
        <v>549</v>
      </c>
      <c r="Z87" s="17" t="s">
        <v>611</v>
      </c>
      <c r="AA87" s="17" t="s">
        <v>619</v>
      </c>
      <c r="AB87" s="17" t="s">
        <v>607</v>
      </c>
      <c r="AC87" s="17" t="s">
        <v>619</v>
      </c>
      <c r="AD87" s="17" t="s">
        <v>618</v>
      </c>
      <c r="AG87" t="s">
        <v>549</v>
      </c>
      <c r="AH87" s="17" t="s">
        <v>155</v>
      </c>
      <c r="AI87" s="17" t="s">
        <v>155</v>
      </c>
      <c r="AJ87" s="17" t="s">
        <v>370</v>
      </c>
      <c r="AK87" s="17" t="s">
        <v>155</v>
      </c>
      <c r="AL87" s="17" t="s">
        <v>155</v>
      </c>
      <c r="AW87" t="s">
        <v>549</v>
      </c>
      <c r="AX87" t="s">
        <v>155</v>
      </c>
      <c r="AY87" t="s">
        <v>155</v>
      </c>
      <c r="AZ87" t="s">
        <v>370</v>
      </c>
      <c r="BA87" t="s">
        <v>155</v>
      </c>
      <c r="BB87" t="s">
        <v>155</v>
      </c>
      <c r="BD87">
        <f t="shared" si="8"/>
        <v>0</v>
      </c>
      <c r="BE87">
        <f t="shared" si="9"/>
        <v>0</v>
      </c>
      <c r="BF87">
        <f t="shared" si="10"/>
        <v>0</v>
      </c>
      <c r="BG87">
        <f t="shared" si="11"/>
        <v>0</v>
      </c>
      <c r="BH87">
        <f t="shared" si="12"/>
        <v>0</v>
      </c>
      <c r="BI87">
        <f t="shared" si="13"/>
        <v>0</v>
      </c>
    </row>
    <row r="88" spans="2:61" x14ac:dyDescent="0.3">
      <c r="B88" s="15" t="s">
        <v>550</v>
      </c>
      <c r="C88" s="17" t="s">
        <v>611</v>
      </c>
      <c r="D88" s="17" t="s">
        <v>610</v>
      </c>
      <c r="E88" s="17" t="s">
        <v>611</v>
      </c>
      <c r="F88" s="17" t="s">
        <v>618</v>
      </c>
      <c r="G88" s="17" t="s">
        <v>619</v>
      </c>
      <c r="J88" t="s">
        <v>550</v>
      </c>
      <c r="K88" s="17" t="s">
        <v>155</v>
      </c>
      <c r="L88" s="17" t="s">
        <v>155</v>
      </c>
      <c r="M88" s="17" t="s">
        <v>370</v>
      </c>
      <c r="N88" s="17" t="s">
        <v>155</v>
      </c>
      <c r="O88" s="17" t="s">
        <v>155</v>
      </c>
      <c r="Y88" s="15" t="s">
        <v>550</v>
      </c>
      <c r="Z88" s="17" t="s">
        <v>611</v>
      </c>
      <c r="AA88" s="17" t="s">
        <v>610</v>
      </c>
      <c r="AB88" s="17" t="s">
        <v>611</v>
      </c>
      <c r="AC88" s="17" t="s">
        <v>619</v>
      </c>
      <c r="AD88" s="17" t="s">
        <v>618</v>
      </c>
      <c r="AG88" t="s">
        <v>550</v>
      </c>
      <c r="AH88" s="17" t="s">
        <v>155</v>
      </c>
      <c r="AI88" s="17" t="s">
        <v>155</v>
      </c>
      <c r="AJ88" s="17" t="s">
        <v>370</v>
      </c>
      <c r="AK88" s="17" t="s">
        <v>155</v>
      </c>
      <c r="AL88" s="17" t="s">
        <v>155</v>
      </c>
      <c r="AW88" t="s">
        <v>550</v>
      </c>
      <c r="AX88" t="s">
        <v>155</v>
      </c>
      <c r="AY88" t="s">
        <v>155</v>
      </c>
      <c r="AZ88" t="s">
        <v>370</v>
      </c>
      <c r="BA88" t="s">
        <v>155</v>
      </c>
      <c r="BB88" t="s">
        <v>155</v>
      </c>
      <c r="BD88">
        <f t="shared" si="8"/>
        <v>0</v>
      </c>
      <c r="BE88">
        <f t="shared" si="9"/>
        <v>0</v>
      </c>
      <c r="BF88">
        <f t="shared" si="10"/>
        <v>0</v>
      </c>
      <c r="BG88">
        <f t="shared" si="11"/>
        <v>0</v>
      </c>
      <c r="BH88">
        <f t="shared" si="12"/>
        <v>0</v>
      </c>
      <c r="BI88">
        <f t="shared" si="13"/>
        <v>0</v>
      </c>
    </row>
    <row r="89" spans="2:61" x14ac:dyDescent="0.3">
      <c r="B89" s="15" t="s">
        <v>158</v>
      </c>
      <c r="C89" s="17" t="s">
        <v>611</v>
      </c>
      <c r="D89" s="17" t="s">
        <v>610</v>
      </c>
      <c r="E89" s="17" t="s">
        <v>611</v>
      </c>
      <c r="F89" s="17" t="s">
        <v>610</v>
      </c>
      <c r="G89" s="17" t="s">
        <v>607</v>
      </c>
      <c r="J89" t="s">
        <v>158</v>
      </c>
      <c r="K89" s="17" t="s">
        <v>155</v>
      </c>
      <c r="L89" s="17" t="s">
        <v>155</v>
      </c>
      <c r="M89" s="17" t="s">
        <v>370</v>
      </c>
      <c r="N89" s="17" t="s">
        <v>155</v>
      </c>
      <c r="O89" s="17" t="s">
        <v>155</v>
      </c>
      <c r="Y89" s="15" t="s">
        <v>158</v>
      </c>
      <c r="Z89" s="17" t="s">
        <v>611</v>
      </c>
      <c r="AA89" s="17" t="s">
        <v>610</v>
      </c>
      <c r="AB89" s="17" t="s">
        <v>611</v>
      </c>
      <c r="AC89" s="17" t="s">
        <v>610</v>
      </c>
      <c r="AD89" s="17" t="s">
        <v>607</v>
      </c>
      <c r="AG89" t="s">
        <v>158</v>
      </c>
      <c r="AH89" s="17" t="s">
        <v>155</v>
      </c>
      <c r="AI89" s="17" t="s">
        <v>155</v>
      </c>
      <c r="AJ89" s="17" t="s">
        <v>370</v>
      </c>
      <c r="AK89" s="17" t="s">
        <v>155</v>
      </c>
      <c r="AL89" s="17" t="s">
        <v>155</v>
      </c>
      <c r="AW89" t="s">
        <v>158</v>
      </c>
      <c r="AX89" t="s">
        <v>155</v>
      </c>
      <c r="AY89" t="s">
        <v>155</v>
      </c>
      <c r="AZ89" t="s">
        <v>370</v>
      </c>
      <c r="BA89" t="s">
        <v>155</v>
      </c>
      <c r="BB89" t="s">
        <v>155</v>
      </c>
      <c r="BD89">
        <f t="shared" si="8"/>
        <v>0</v>
      </c>
      <c r="BE89">
        <f t="shared" si="9"/>
        <v>0</v>
      </c>
      <c r="BF89">
        <f t="shared" si="10"/>
        <v>0</v>
      </c>
      <c r="BG89">
        <f t="shared" si="11"/>
        <v>0</v>
      </c>
      <c r="BH89">
        <f t="shared" si="12"/>
        <v>0</v>
      </c>
      <c r="BI89">
        <f t="shared" si="13"/>
        <v>0</v>
      </c>
    </row>
    <row r="90" spans="2:61" x14ac:dyDescent="0.3">
      <c r="B90" s="15" t="s">
        <v>159</v>
      </c>
      <c r="C90" s="17" t="s">
        <v>605</v>
      </c>
      <c r="D90" s="17" t="s">
        <v>609</v>
      </c>
      <c r="E90" s="17" t="s">
        <v>605</v>
      </c>
      <c r="F90" s="17" t="s">
        <v>610</v>
      </c>
      <c r="G90" s="17" t="s">
        <v>607</v>
      </c>
      <c r="J90" t="s">
        <v>556</v>
      </c>
      <c r="K90" s="17" t="s">
        <v>155</v>
      </c>
      <c r="L90" s="17" t="s">
        <v>531</v>
      </c>
      <c r="M90" s="17" t="s">
        <v>155</v>
      </c>
      <c r="N90" s="17" t="s">
        <v>155</v>
      </c>
      <c r="O90" s="17" t="s">
        <v>155</v>
      </c>
      <c r="Y90" s="15" t="s">
        <v>159</v>
      </c>
      <c r="Z90" s="17" t="s">
        <v>605</v>
      </c>
      <c r="AA90" s="17" t="s">
        <v>609</v>
      </c>
      <c r="AB90" s="17" t="s">
        <v>605</v>
      </c>
      <c r="AC90" s="17" t="s">
        <v>610</v>
      </c>
      <c r="AD90" s="17" t="s">
        <v>607</v>
      </c>
      <c r="AG90" t="s">
        <v>556</v>
      </c>
      <c r="AH90" s="17" t="s">
        <v>155</v>
      </c>
      <c r="AI90" s="17" t="s">
        <v>531</v>
      </c>
      <c r="AJ90" s="17" t="s">
        <v>155</v>
      </c>
      <c r="AK90" s="17" t="s">
        <v>155</v>
      </c>
      <c r="AL90" s="17" t="s">
        <v>155</v>
      </c>
      <c r="AW90" t="s">
        <v>556</v>
      </c>
      <c r="AX90" t="s">
        <v>155</v>
      </c>
      <c r="AY90" t="s">
        <v>531</v>
      </c>
      <c r="AZ90" t="s">
        <v>155</v>
      </c>
      <c r="BA90" t="s">
        <v>155</v>
      </c>
      <c r="BB90" t="s">
        <v>155</v>
      </c>
      <c r="BD90">
        <f t="shared" si="8"/>
        <v>0</v>
      </c>
      <c r="BE90">
        <f t="shared" si="9"/>
        <v>0</v>
      </c>
      <c r="BF90">
        <f t="shared" si="10"/>
        <v>0</v>
      </c>
      <c r="BG90">
        <f t="shared" si="11"/>
        <v>0</v>
      </c>
      <c r="BH90">
        <f t="shared" si="12"/>
        <v>0</v>
      </c>
      <c r="BI90">
        <f t="shared" si="13"/>
        <v>0</v>
      </c>
    </row>
    <row r="91" spans="2:61" x14ac:dyDescent="0.3">
      <c r="B91" s="15" t="s">
        <v>160</v>
      </c>
      <c r="C91" s="17" t="s">
        <v>605</v>
      </c>
      <c r="D91" s="17" t="s">
        <v>609</v>
      </c>
      <c r="E91" s="17" t="s">
        <v>605</v>
      </c>
      <c r="F91" s="17" t="s">
        <v>610</v>
      </c>
      <c r="G91" s="17" t="s">
        <v>607</v>
      </c>
      <c r="J91" t="s">
        <v>557</v>
      </c>
      <c r="K91" s="17" t="s">
        <v>155</v>
      </c>
      <c r="L91" s="17" t="s">
        <v>531</v>
      </c>
      <c r="M91" s="17" t="s">
        <v>155</v>
      </c>
      <c r="N91" s="17" t="s">
        <v>155</v>
      </c>
      <c r="O91" s="17" t="s">
        <v>531</v>
      </c>
      <c r="Y91" s="15" t="s">
        <v>160</v>
      </c>
      <c r="Z91" s="17" t="s">
        <v>605</v>
      </c>
      <c r="AA91" s="17" t="s">
        <v>609</v>
      </c>
      <c r="AB91" s="17" t="s">
        <v>605</v>
      </c>
      <c r="AC91" s="17" t="s">
        <v>610</v>
      </c>
      <c r="AD91" s="17" t="s">
        <v>607</v>
      </c>
      <c r="AG91" t="s">
        <v>557</v>
      </c>
      <c r="AH91" s="17" t="s">
        <v>155</v>
      </c>
      <c r="AI91" s="17" t="s">
        <v>531</v>
      </c>
      <c r="AJ91" s="17" t="s">
        <v>155</v>
      </c>
      <c r="AK91" s="17" t="s">
        <v>155</v>
      </c>
      <c r="AL91" s="17" t="s">
        <v>531</v>
      </c>
      <c r="AW91" t="s">
        <v>557</v>
      </c>
      <c r="AX91" t="s">
        <v>155</v>
      </c>
      <c r="AY91" t="s">
        <v>531</v>
      </c>
      <c r="AZ91" t="s">
        <v>155</v>
      </c>
      <c r="BA91" t="s">
        <v>155</v>
      </c>
      <c r="BB91" t="s">
        <v>531</v>
      </c>
      <c r="BD91">
        <f t="shared" si="8"/>
        <v>0</v>
      </c>
      <c r="BE91">
        <f t="shared" si="9"/>
        <v>0</v>
      </c>
      <c r="BF91">
        <f t="shared" si="10"/>
        <v>0</v>
      </c>
      <c r="BG91">
        <f t="shared" si="11"/>
        <v>0</v>
      </c>
      <c r="BH91">
        <f t="shared" si="12"/>
        <v>0</v>
      </c>
      <c r="BI91">
        <f t="shared" si="13"/>
        <v>0</v>
      </c>
    </row>
    <row r="92" spans="2:61" x14ac:dyDescent="0.3">
      <c r="J92" t="s">
        <v>542</v>
      </c>
      <c r="K92" s="17" t="s">
        <v>155</v>
      </c>
      <c r="L92" s="17" t="s">
        <v>155</v>
      </c>
      <c r="M92" s="17" t="s">
        <v>155</v>
      </c>
      <c r="N92" s="17" t="s">
        <v>155</v>
      </c>
      <c r="O92" s="17" t="s">
        <v>531</v>
      </c>
      <c r="AG92" t="s">
        <v>542</v>
      </c>
      <c r="AH92" s="17" t="s">
        <v>155</v>
      </c>
      <c r="AI92" s="17" t="s">
        <v>155</v>
      </c>
      <c r="AJ92" s="17" t="s">
        <v>155</v>
      </c>
      <c r="AK92" s="17" t="s">
        <v>155</v>
      </c>
      <c r="AL92" s="17" t="s">
        <v>531</v>
      </c>
      <c r="AW92" t="s">
        <v>542</v>
      </c>
      <c r="AX92" t="s">
        <v>155</v>
      </c>
      <c r="AY92" t="s">
        <v>155</v>
      </c>
      <c r="AZ92" t="s">
        <v>155</v>
      </c>
      <c r="BA92" t="s">
        <v>155</v>
      </c>
      <c r="BB92" t="s">
        <v>531</v>
      </c>
      <c r="BD92">
        <f t="shared" si="8"/>
        <v>0</v>
      </c>
      <c r="BE92">
        <f t="shared" si="9"/>
        <v>0</v>
      </c>
      <c r="BF92">
        <f t="shared" si="10"/>
        <v>0</v>
      </c>
      <c r="BG92">
        <f t="shared" si="11"/>
        <v>0</v>
      </c>
      <c r="BH92">
        <f t="shared" si="12"/>
        <v>0</v>
      </c>
      <c r="BI92">
        <f t="shared" si="13"/>
        <v>0</v>
      </c>
    </row>
    <row r="93" spans="2:61" x14ac:dyDescent="0.3">
      <c r="B93" s="15" t="s">
        <v>624</v>
      </c>
      <c r="Y93" s="15" t="s">
        <v>624</v>
      </c>
      <c r="BD93">
        <f t="shared" si="8"/>
        <v>0</v>
      </c>
      <c r="BE93">
        <f t="shared" si="9"/>
        <v>0</v>
      </c>
      <c r="BF93">
        <f t="shared" si="10"/>
        <v>0</v>
      </c>
      <c r="BG93">
        <f t="shared" si="11"/>
        <v>0</v>
      </c>
      <c r="BH93">
        <f t="shared" si="12"/>
        <v>0</v>
      </c>
      <c r="BI93">
        <f t="shared" si="13"/>
        <v>0</v>
      </c>
    </row>
    <row r="94" spans="2:61" x14ac:dyDescent="0.3">
      <c r="C94" s="17" t="s">
        <v>164</v>
      </c>
      <c r="D94" s="17" t="s">
        <v>165</v>
      </c>
      <c r="E94" s="17" t="s">
        <v>166</v>
      </c>
      <c r="F94" s="17" t="s">
        <v>167</v>
      </c>
      <c r="G94" s="17" t="s">
        <v>168</v>
      </c>
      <c r="J94" t="s">
        <v>753</v>
      </c>
      <c r="Z94" s="17" t="s">
        <v>164</v>
      </c>
      <c r="AA94" s="17" t="s">
        <v>165</v>
      </c>
      <c r="AB94" s="17" t="s">
        <v>166</v>
      </c>
      <c r="AC94" s="17" t="s">
        <v>167</v>
      </c>
      <c r="AD94" s="17" t="s">
        <v>168</v>
      </c>
      <c r="AG94" t="s">
        <v>753</v>
      </c>
      <c r="AW94" t="s">
        <v>753</v>
      </c>
      <c r="BD94">
        <f t="shared" si="8"/>
        <v>0</v>
      </c>
      <c r="BE94">
        <f t="shared" si="9"/>
        <v>0</v>
      </c>
      <c r="BF94">
        <f t="shared" si="10"/>
        <v>0</v>
      </c>
      <c r="BG94">
        <f t="shared" si="11"/>
        <v>0</v>
      </c>
      <c r="BH94">
        <f t="shared" si="12"/>
        <v>0</v>
      </c>
      <c r="BI94">
        <f t="shared" si="13"/>
        <v>0</v>
      </c>
    </row>
    <row r="95" spans="2:61" x14ac:dyDescent="0.3">
      <c r="B95" s="15" t="s">
        <v>548</v>
      </c>
      <c r="C95" s="17" t="s">
        <v>689</v>
      </c>
      <c r="D95" s="17" t="s">
        <v>613</v>
      </c>
      <c r="E95" s="17" t="s">
        <v>622</v>
      </c>
      <c r="F95" s="17" t="s">
        <v>613</v>
      </c>
      <c r="G95" s="17" t="s">
        <v>621</v>
      </c>
      <c r="K95" s="17" t="s">
        <v>164</v>
      </c>
      <c r="L95" s="17" t="s">
        <v>165</v>
      </c>
      <c r="M95" s="17" t="s">
        <v>166</v>
      </c>
      <c r="N95" s="17" t="s">
        <v>167</v>
      </c>
      <c r="O95" s="17" t="s">
        <v>168</v>
      </c>
      <c r="Y95" s="15" t="s">
        <v>548</v>
      </c>
      <c r="Z95" s="17" t="s">
        <v>689</v>
      </c>
      <c r="AA95" s="17" t="s">
        <v>622</v>
      </c>
      <c r="AB95" s="17" t="s">
        <v>626</v>
      </c>
      <c r="AC95" s="17" t="s">
        <v>622</v>
      </c>
      <c r="AD95" s="17" t="s">
        <v>626</v>
      </c>
      <c r="AH95" s="17" t="s">
        <v>164</v>
      </c>
      <c r="AI95" s="17" t="s">
        <v>165</v>
      </c>
      <c r="AJ95" s="17" t="s">
        <v>166</v>
      </c>
      <c r="AK95" s="17" t="s">
        <v>167</v>
      </c>
      <c r="AL95" s="17" t="s">
        <v>168</v>
      </c>
      <c r="AX95" t="s">
        <v>164</v>
      </c>
      <c r="AY95" t="s">
        <v>165</v>
      </c>
      <c r="AZ95" t="s">
        <v>166</v>
      </c>
      <c r="BA95" t="s">
        <v>167</v>
      </c>
      <c r="BB95" t="s">
        <v>168</v>
      </c>
      <c r="BD95">
        <f t="shared" si="8"/>
        <v>0</v>
      </c>
      <c r="BE95">
        <f t="shared" si="9"/>
        <v>0</v>
      </c>
      <c r="BF95">
        <f t="shared" si="10"/>
        <v>0</v>
      </c>
      <c r="BG95">
        <f t="shared" si="11"/>
        <v>0</v>
      </c>
      <c r="BH95">
        <f t="shared" si="12"/>
        <v>0</v>
      </c>
      <c r="BI95">
        <f t="shared" si="13"/>
        <v>0</v>
      </c>
    </row>
    <row r="96" spans="2:61" x14ac:dyDescent="0.3">
      <c r="B96" s="15" t="s">
        <v>549</v>
      </c>
      <c r="C96" s="17" t="s">
        <v>689</v>
      </c>
      <c r="D96" s="17" t="s">
        <v>613</v>
      </c>
      <c r="E96" s="17" t="s">
        <v>622</v>
      </c>
      <c r="F96" s="17" t="s">
        <v>613</v>
      </c>
      <c r="G96" s="17" t="s">
        <v>621</v>
      </c>
      <c r="J96" t="s">
        <v>550</v>
      </c>
      <c r="K96" s="17" t="s">
        <v>155</v>
      </c>
      <c r="L96" s="17" t="s">
        <v>272</v>
      </c>
      <c r="M96" s="17" t="s">
        <v>155</v>
      </c>
      <c r="N96" s="17" t="s">
        <v>272</v>
      </c>
      <c r="O96" s="17" t="s">
        <v>155</v>
      </c>
      <c r="Y96" s="15" t="s">
        <v>549</v>
      </c>
      <c r="Z96" s="17" t="s">
        <v>689</v>
      </c>
      <c r="AA96" s="17" t="s">
        <v>622</v>
      </c>
      <c r="AB96" s="17" t="s">
        <v>626</v>
      </c>
      <c r="AC96" s="17" t="s">
        <v>622</v>
      </c>
      <c r="AD96" s="17" t="s">
        <v>626</v>
      </c>
      <c r="AG96" t="s">
        <v>548</v>
      </c>
      <c r="AH96" s="17" t="s">
        <v>155</v>
      </c>
      <c r="AI96" s="17" t="s">
        <v>272</v>
      </c>
      <c r="AJ96" s="17" t="s">
        <v>155</v>
      </c>
      <c r="AK96" s="17" t="s">
        <v>155</v>
      </c>
      <c r="AL96" s="17" t="s">
        <v>155</v>
      </c>
      <c r="AW96" t="s">
        <v>550</v>
      </c>
      <c r="AX96" t="s">
        <v>155</v>
      </c>
      <c r="AY96" t="s">
        <v>272</v>
      </c>
      <c r="AZ96" t="s">
        <v>155</v>
      </c>
      <c r="BA96" t="s">
        <v>272</v>
      </c>
      <c r="BB96" t="s">
        <v>155</v>
      </c>
      <c r="BD96">
        <f t="shared" si="8"/>
        <v>0</v>
      </c>
      <c r="BE96">
        <f t="shared" si="9"/>
        <v>0</v>
      </c>
      <c r="BF96">
        <f t="shared" si="10"/>
        <v>0</v>
      </c>
      <c r="BG96">
        <f t="shared" si="11"/>
        <v>0</v>
      </c>
      <c r="BH96">
        <f t="shared" si="12"/>
        <v>0</v>
      </c>
      <c r="BI96">
        <f t="shared" si="13"/>
        <v>0</v>
      </c>
    </row>
    <row r="97" spans="2:61" x14ac:dyDescent="0.3">
      <c r="B97" s="15" t="s">
        <v>550</v>
      </c>
      <c r="C97" s="17" t="s">
        <v>689</v>
      </c>
      <c r="D97" s="17" t="s">
        <v>626</v>
      </c>
      <c r="E97" s="17" t="s">
        <v>689</v>
      </c>
      <c r="F97" s="17" t="s">
        <v>613</v>
      </c>
      <c r="G97" s="17" t="s">
        <v>626</v>
      </c>
      <c r="J97" t="s">
        <v>158</v>
      </c>
      <c r="K97" s="17" t="s">
        <v>155</v>
      </c>
      <c r="L97" s="17" t="s">
        <v>272</v>
      </c>
      <c r="M97" s="17" t="s">
        <v>155</v>
      </c>
      <c r="N97" s="17" t="s">
        <v>272</v>
      </c>
      <c r="O97" s="17" t="s">
        <v>155</v>
      </c>
      <c r="Y97" s="15" t="s">
        <v>550</v>
      </c>
      <c r="Z97" s="17" t="s">
        <v>689</v>
      </c>
      <c r="AA97" s="17" t="s">
        <v>627</v>
      </c>
      <c r="AB97" s="17" t="s">
        <v>689</v>
      </c>
      <c r="AC97" s="17" t="s">
        <v>605</v>
      </c>
      <c r="AD97" s="17" t="s">
        <v>626</v>
      </c>
      <c r="AG97" t="s">
        <v>549</v>
      </c>
      <c r="AH97" s="17" t="s">
        <v>155</v>
      </c>
      <c r="AI97" s="17" t="s">
        <v>272</v>
      </c>
      <c r="AJ97" s="17" t="s">
        <v>155</v>
      </c>
      <c r="AK97" s="17" t="s">
        <v>155</v>
      </c>
      <c r="AL97" s="17" t="s">
        <v>155</v>
      </c>
      <c r="AW97" t="s">
        <v>158</v>
      </c>
      <c r="AX97" t="s">
        <v>155</v>
      </c>
      <c r="AY97" t="s">
        <v>272</v>
      </c>
      <c r="AZ97" t="s">
        <v>155</v>
      </c>
      <c r="BA97" t="s">
        <v>272</v>
      </c>
      <c r="BB97" t="s">
        <v>155</v>
      </c>
      <c r="BD97">
        <f t="shared" si="8"/>
        <v>0</v>
      </c>
      <c r="BE97">
        <f t="shared" si="9"/>
        <v>0</v>
      </c>
      <c r="BF97">
        <f t="shared" si="10"/>
        <v>0</v>
      </c>
      <c r="BG97">
        <f t="shared" si="11"/>
        <v>0</v>
      </c>
      <c r="BH97">
        <f t="shared" si="12"/>
        <v>0</v>
      </c>
      <c r="BI97">
        <f t="shared" si="13"/>
        <v>0</v>
      </c>
    </row>
    <row r="98" spans="2:61" x14ac:dyDescent="0.3">
      <c r="B98" s="15" t="s">
        <v>158</v>
      </c>
      <c r="C98" s="17" t="s">
        <v>621</v>
      </c>
      <c r="D98" s="17" t="s">
        <v>626</v>
      </c>
      <c r="E98" s="17" t="s">
        <v>689</v>
      </c>
      <c r="F98" s="17" t="s">
        <v>605</v>
      </c>
      <c r="G98" s="17" t="s">
        <v>626</v>
      </c>
      <c r="J98" t="s">
        <v>159</v>
      </c>
      <c r="K98" s="17" t="s">
        <v>155</v>
      </c>
      <c r="L98" s="17" t="s">
        <v>272</v>
      </c>
      <c r="M98" s="17" t="s">
        <v>155</v>
      </c>
      <c r="N98" s="17" t="s">
        <v>155</v>
      </c>
      <c r="O98" s="17" t="s">
        <v>155</v>
      </c>
      <c r="Y98" s="15" t="s">
        <v>158</v>
      </c>
      <c r="Z98" s="17" t="s">
        <v>621</v>
      </c>
      <c r="AA98" s="17" t="s">
        <v>627</v>
      </c>
      <c r="AB98" s="17" t="s">
        <v>689</v>
      </c>
      <c r="AC98" s="17" t="s">
        <v>605</v>
      </c>
      <c r="AD98" s="17" t="s">
        <v>621</v>
      </c>
      <c r="AG98" t="s">
        <v>550</v>
      </c>
      <c r="AH98" s="17" t="s">
        <v>155</v>
      </c>
      <c r="AI98" s="17" t="s">
        <v>155</v>
      </c>
      <c r="AJ98" s="17" t="s">
        <v>155</v>
      </c>
      <c r="AK98" s="17" t="s">
        <v>272</v>
      </c>
      <c r="AL98" s="17" t="s">
        <v>155</v>
      </c>
      <c r="AW98" t="s">
        <v>159</v>
      </c>
      <c r="AX98" t="s">
        <v>155</v>
      </c>
      <c r="AY98" t="s">
        <v>272</v>
      </c>
      <c r="AZ98" t="s">
        <v>155</v>
      </c>
      <c r="BA98" t="s">
        <v>155</v>
      </c>
      <c r="BB98" t="s">
        <v>155</v>
      </c>
      <c r="BD98">
        <f t="shared" si="8"/>
        <v>0</v>
      </c>
      <c r="BE98">
        <f t="shared" si="9"/>
        <v>0</v>
      </c>
      <c r="BF98">
        <f t="shared" si="10"/>
        <v>0</v>
      </c>
      <c r="BG98">
        <f t="shared" si="11"/>
        <v>0</v>
      </c>
      <c r="BH98">
        <f t="shared" si="12"/>
        <v>0</v>
      </c>
      <c r="BI98">
        <f t="shared" si="13"/>
        <v>0</v>
      </c>
    </row>
    <row r="99" spans="2:61" x14ac:dyDescent="0.3">
      <c r="B99" s="15" t="s">
        <v>159</v>
      </c>
      <c r="C99" s="17" t="s">
        <v>621</v>
      </c>
      <c r="D99" s="17" t="s">
        <v>626</v>
      </c>
      <c r="E99" s="17" t="s">
        <v>689</v>
      </c>
      <c r="F99" s="17" t="s">
        <v>605</v>
      </c>
      <c r="G99" s="17" t="s">
        <v>622</v>
      </c>
      <c r="Y99" s="15" t="s">
        <v>159</v>
      </c>
      <c r="Z99" s="17" t="s">
        <v>621</v>
      </c>
      <c r="AA99" s="17" t="s">
        <v>627</v>
      </c>
      <c r="AB99" s="17" t="s">
        <v>689</v>
      </c>
      <c r="AC99" s="17" t="s">
        <v>627</v>
      </c>
      <c r="AD99" s="17" t="s">
        <v>621</v>
      </c>
      <c r="AG99" t="s">
        <v>158</v>
      </c>
      <c r="AH99" s="17" t="s">
        <v>155</v>
      </c>
      <c r="AI99" s="17" t="s">
        <v>155</v>
      </c>
      <c r="AJ99" s="17" t="s">
        <v>155</v>
      </c>
      <c r="AK99" s="17" t="s">
        <v>272</v>
      </c>
      <c r="AL99" s="17" t="s">
        <v>155</v>
      </c>
      <c r="BD99">
        <f t="shared" si="8"/>
        <v>0</v>
      </c>
      <c r="BE99">
        <f t="shared" si="9"/>
        <v>0</v>
      </c>
      <c r="BF99">
        <f t="shared" si="10"/>
        <v>0</v>
      </c>
      <c r="BG99">
        <f t="shared" si="11"/>
        <v>0</v>
      </c>
      <c r="BH99">
        <f t="shared" si="12"/>
        <v>0</v>
      </c>
      <c r="BI99">
        <f t="shared" si="13"/>
        <v>0</v>
      </c>
    </row>
    <row r="100" spans="2:61" x14ac:dyDescent="0.3">
      <c r="B100" s="15" t="s">
        <v>160</v>
      </c>
      <c r="C100" s="17" t="s">
        <v>621</v>
      </c>
      <c r="D100" s="17" t="s">
        <v>605</v>
      </c>
      <c r="E100" s="17" t="s">
        <v>623</v>
      </c>
      <c r="F100" s="17" t="s">
        <v>155</v>
      </c>
      <c r="G100" s="17" t="s">
        <v>622</v>
      </c>
      <c r="J100" t="s">
        <v>725</v>
      </c>
      <c r="Y100" s="15" t="s">
        <v>160</v>
      </c>
      <c r="Z100" s="17" t="s">
        <v>621</v>
      </c>
      <c r="AA100" s="17" t="s">
        <v>605</v>
      </c>
      <c r="AB100" s="17" t="s">
        <v>155</v>
      </c>
      <c r="AC100" s="17" t="s">
        <v>627</v>
      </c>
      <c r="AD100" s="17" t="s">
        <v>623</v>
      </c>
      <c r="AG100" t="s">
        <v>159</v>
      </c>
      <c r="AH100" s="17" t="s">
        <v>155</v>
      </c>
      <c r="AI100" s="17" t="s">
        <v>155</v>
      </c>
      <c r="AJ100" s="17" t="s">
        <v>155</v>
      </c>
      <c r="AK100" s="17" t="s">
        <v>272</v>
      </c>
      <c r="AL100" s="17" t="s">
        <v>155</v>
      </c>
      <c r="AW100" t="s">
        <v>725</v>
      </c>
      <c r="BD100">
        <f t="shared" si="8"/>
        <v>0</v>
      </c>
      <c r="BE100">
        <f t="shared" si="9"/>
        <v>0</v>
      </c>
      <c r="BF100">
        <f t="shared" si="10"/>
        <v>0</v>
      </c>
      <c r="BG100">
        <f t="shared" si="11"/>
        <v>0</v>
      </c>
      <c r="BH100">
        <f t="shared" si="12"/>
        <v>0</v>
      </c>
      <c r="BI100">
        <f t="shared" si="13"/>
        <v>0</v>
      </c>
    </row>
    <row r="101" spans="2:61" x14ac:dyDescent="0.3">
      <c r="K101" s="17" t="s">
        <v>164</v>
      </c>
      <c r="L101" s="17" t="s">
        <v>165</v>
      </c>
      <c r="M101" s="17" t="s">
        <v>166</v>
      </c>
      <c r="N101" s="17" t="s">
        <v>167</v>
      </c>
      <c r="O101" s="17" t="s">
        <v>168</v>
      </c>
      <c r="AX101" t="s">
        <v>164</v>
      </c>
      <c r="AY101" t="s">
        <v>165</v>
      </c>
      <c r="AZ101" t="s">
        <v>166</v>
      </c>
      <c r="BA101" t="s">
        <v>167</v>
      </c>
      <c r="BB101" t="s">
        <v>168</v>
      </c>
      <c r="BD101">
        <f t="shared" si="8"/>
        <v>0</v>
      </c>
      <c r="BE101">
        <f t="shared" si="9"/>
        <v>0</v>
      </c>
      <c r="BF101">
        <f t="shared" si="10"/>
        <v>0</v>
      </c>
      <c r="BG101">
        <f t="shared" si="11"/>
        <v>0</v>
      </c>
      <c r="BH101">
        <f t="shared" si="12"/>
        <v>0</v>
      </c>
      <c r="BI101">
        <f t="shared" si="13"/>
        <v>0</v>
      </c>
    </row>
    <row r="102" spans="2:61" x14ac:dyDescent="0.3">
      <c r="B102" s="15" t="s">
        <v>620</v>
      </c>
      <c r="J102" t="s">
        <v>549</v>
      </c>
      <c r="K102" s="17" t="s">
        <v>155</v>
      </c>
      <c r="L102" s="17" t="s">
        <v>510</v>
      </c>
      <c r="M102" s="17" t="s">
        <v>155</v>
      </c>
      <c r="N102" s="17" t="s">
        <v>155</v>
      </c>
      <c r="O102" s="17" t="s">
        <v>155</v>
      </c>
      <c r="Y102" s="15" t="s">
        <v>620</v>
      </c>
      <c r="AG102" t="s">
        <v>725</v>
      </c>
      <c r="AW102" t="s">
        <v>549</v>
      </c>
      <c r="AX102" t="s">
        <v>155</v>
      </c>
      <c r="AY102" t="s">
        <v>510</v>
      </c>
      <c r="AZ102" t="s">
        <v>155</v>
      </c>
      <c r="BA102" t="s">
        <v>155</v>
      </c>
      <c r="BB102" t="s">
        <v>155</v>
      </c>
      <c r="BD102">
        <f t="shared" si="8"/>
        <v>0</v>
      </c>
      <c r="BE102">
        <f t="shared" si="9"/>
        <v>0</v>
      </c>
      <c r="BF102">
        <f t="shared" si="10"/>
        <v>0</v>
      </c>
      <c r="BG102">
        <f t="shared" si="11"/>
        <v>0</v>
      </c>
      <c r="BH102">
        <f t="shared" si="12"/>
        <v>0</v>
      </c>
      <c r="BI102">
        <f t="shared" si="13"/>
        <v>0</v>
      </c>
    </row>
    <row r="103" spans="2:61" x14ac:dyDescent="0.3">
      <c r="C103" s="17" t="s">
        <v>164</v>
      </c>
      <c r="D103" s="17" t="s">
        <v>165</v>
      </c>
      <c r="E103" s="17" t="s">
        <v>166</v>
      </c>
      <c r="F103" s="17" t="s">
        <v>167</v>
      </c>
      <c r="G103" s="17" t="s">
        <v>168</v>
      </c>
      <c r="J103" t="s">
        <v>550</v>
      </c>
      <c r="K103" s="17" t="s">
        <v>155</v>
      </c>
      <c r="L103" s="17" t="s">
        <v>510</v>
      </c>
      <c r="M103" s="17" t="s">
        <v>155</v>
      </c>
      <c r="N103" s="17" t="s">
        <v>510</v>
      </c>
      <c r="O103" s="17" t="s">
        <v>510</v>
      </c>
      <c r="Z103" s="17" t="s">
        <v>164</v>
      </c>
      <c r="AA103" s="17" t="s">
        <v>165</v>
      </c>
      <c r="AB103" s="17" t="s">
        <v>166</v>
      </c>
      <c r="AC103" s="17" t="s">
        <v>167</v>
      </c>
      <c r="AD103" s="17" t="s">
        <v>168</v>
      </c>
      <c r="AH103" s="17" t="s">
        <v>164</v>
      </c>
      <c r="AI103" s="17" t="s">
        <v>165</v>
      </c>
      <c r="AJ103" s="17" t="s">
        <v>166</v>
      </c>
      <c r="AK103" s="17" t="s">
        <v>167</v>
      </c>
      <c r="AL103" s="17" t="s">
        <v>168</v>
      </c>
      <c r="AW103" t="s">
        <v>550</v>
      </c>
      <c r="AX103" t="s">
        <v>155</v>
      </c>
      <c r="AY103" t="s">
        <v>510</v>
      </c>
      <c r="AZ103" t="s">
        <v>155</v>
      </c>
      <c r="BA103" t="s">
        <v>510</v>
      </c>
      <c r="BB103" t="s">
        <v>510</v>
      </c>
      <c r="BD103">
        <f t="shared" si="8"/>
        <v>0</v>
      </c>
      <c r="BE103">
        <f t="shared" si="9"/>
        <v>0</v>
      </c>
      <c r="BF103">
        <f t="shared" si="10"/>
        <v>0</v>
      </c>
      <c r="BG103">
        <f t="shared" si="11"/>
        <v>0</v>
      </c>
      <c r="BH103">
        <f t="shared" si="12"/>
        <v>0</v>
      </c>
      <c r="BI103">
        <f t="shared" si="13"/>
        <v>0</v>
      </c>
    </row>
    <row r="104" spans="2:61" x14ac:dyDescent="0.3">
      <c r="B104" s="15" t="s">
        <v>548</v>
      </c>
      <c r="C104" s="17" t="s">
        <v>614</v>
      </c>
      <c r="D104" s="17" t="s">
        <v>615</v>
      </c>
      <c r="E104" s="17" t="s">
        <v>625</v>
      </c>
      <c r="F104" s="17" t="s">
        <v>615</v>
      </c>
      <c r="G104" s="17" t="s">
        <v>622</v>
      </c>
      <c r="J104" t="s">
        <v>158</v>
      </c>
      <c r="K104" s="17" t="s">
        <v>155</v>
      </c>
      <c r="L104" s="17" t="s">
        <v>155</v>
      </c>
      <c r="M104" s="17" t="s">
        <v>155</v>
      </c>
      <c r="N104" s="17" t="s">
        <v>510</v>
      </c>
      <c r="O104" s="17" t="s">
        <v>510</v>
      </c>
      <c r="Y104" s="15" t="s">
        <v>548</v>
      </c>
      <c r="Z104" s="17" t="s">
        <v>614</v>
      </c>
      <c r="AA104" s="17" t="s">
        <v>613</v>
      </c>
      <c r="AB104" s="17" t="s">
        <v>625</v>
      </c>
      <c r="AC104" s="17" t="s">
        <v>613</v>
      </c>
      <c r="AD104" s="17" t="s">
        <v>155</v>
      </c>
      <c r="AG104" t="s">
        <v>549</v>
      </c>
      <c r="AH104" s="17" t="s">
        <v>155</v>
      </c>
      <c r="AI104" s="17" t="s">
        <v>510</v>
      </c>
      <c r="AJ104" s="17" t="s">
        <v>510</v>
      </c>
      <c r="AK104" s="17" t="s">
        <v>155</v>
      </c>
      <c r="AL104" s="17" t="s">
        <v>155</v>
      </c>
      <c r="AW104" t="s">
        <v>158</v>
      </c>
      <c r="AX104" t="s">
        <v>155</v>
      </c>
      <c r="AY104" t="s">
        <v>155</v>
      </c>
      <c r="AZ104" t="s">
        <v>155</v>
      </c>
      <c r="BA104" t="s">
        <v>510</v>
      </c>
      <c r="BB104" t="s">
        <v>510</v>
      </c>
      <c r="BD104">
        <f t="shared" si="8"/>
        <v>0</v>
      </c>
      <c r="BE104">
        <f t="shared" si="9"/>
        <v>0</v>
      </c>
      <c r="BF104">
        <f t="shared" si="10"/>
        <v>0</v>
      </c>
      <c r="BG104">
        <f t="shared" si="11"/>
        <v>0</v>
      </c>
      <c r="BH104">
        <f t="shared" si="12"/>
        <v>0</v>
      </c>
      <c r="BI104">
        <f t="shared" si="13"/>
        <v>0</v>
      </c>
    </row>
    <row r="105" spans="2:61" x14ac:dyDescent="0.3">
      <c r="B105" s="15" t="s">
        <v>549</v>
      </c>
      <c r="C105" s="17" t="s">
        <v>614</v>
      </c>
      <c r="D105" s="17" t="s">
        <v>615</v>
      </c>
      <c r="E105" s="17" t="s">
        <v>625</v>
      </c>
      <c r="F105" s="17" t="s">
        <v>615</v>
      </c>
      <c r="G105" s="17" t="s">
        <v>622</v>
      </c>
      <c r="J105" t="s">
        <v>557</v>
      </c>
      <c r="K105" s="17" t="s">
        <v>155</v>
      </c>
      <c r="L105" s="17" t="s">
        <v>510</v>
      </c>
      <c r="M105" s="17" t="s">
        <v>155</v>
      </c>
      <c r="N105" s="17" t="s">
        <v>155</v>
      </c>
      <c r="O105" s="17" t="s">
        <v>155</v>
      </c>
      <c r="Y105" s="15" t="s">
        <v>549</v>
      </c>
      <c r="Z105" s="17" t="s">
        <v>614</v>
      </c>
      <c r="AA105" s="17" t="s">
        <v>613</v>
      </c>
      <c r="AB105" s="17" t="s">
        <v>625</v>
      </c>
      <c r="AC105" s="17" t="s">
        <v>613</v>
      </c>
      <c r="AD105" s="17" t="s">
        <v>625</v>
      </c>
      <c r="AG105" t="s">
        <v>550</v>
      </c>
      <c r="AH105" s="17" t="s">
        <v>155</v>
      </c>
      <c r="AI105" s="17" t="s">
        <v>510</v>
      </c>
      <c r="AJ105" s="17" t="s">
        <v>510</v>
      </c>
      <c r="AK105" s="17" t="s">
        <v>510</v>
      </c>
      <c r="AL105" s="17" t="s">
        <v>155</v>
      </c>
      <c r="AW105" t="s">
        <v>557</v>
      </c>
      <c r="AX105" t="s">
        <v>155</v>
      </c>
      <c r="AY105" t="s">
        <v>510</v>
      </c>
      <c r="AZ105" t="s">
        <v>155</v>
      </c>
      <c r="BA105" t="s">
        <v>155</v>
      </c>
      <c r="BB105" t="s">
        <v>155</v>
      </c>
      <c r="BD105">
        <f t="shared" si="8"/>
        <v>0</v>
      </c>
      <c r="BE105">
        <f t="shared" si="9"/>
        <v>0</v>
      </c>
      <c r="BF105">
        <f t="shared" si="10"/>
        <v>0</v>
      </c>
      <c r="BG105">
        <f t="shared" si="11"/>
        <v>0</v>
      </c>
      <c r="BH105">
        <f t="shared" si="12"/>
        <v>0</v>
      </c>
      <c r="BI105">
        <f t="shared" si="13"/>
        <v>0</v>
      </c>
    </row>
    <row r="106" spans="2:61" x14ac:dyDescent="0.3">
      <c r="B106" s="15" t="s">
        <v>550</v>
      </c>
      <c r="C106" s="17" t="s">
        <v>614</v>
      </c>
      <c r="D106" s="17" t="s">
        <v>605</v>
      </c>
      <c r="E106" s="17" t="s">
        <v>614</v>
      </c>
      <c r="F106" s="17" t="s">
        <v>615</v>
      </c>
      <c r="G106" s="17" t="s">
        <v>625</v>
      </c>
      <c r="J106" t="s">
        <v>542</v>
      </c>
      <c r="K106" s="17" t="s">
        <v>155</v>
      </c>
      <c r="L106" s="17" t="s">
        <v>510</v>
      </c>
      <c r="M106" s="17" t="s">
        <v>155</v>
      </c>
      <c r="N106" s="17" t="s">
        <v>155</v>
      </c>
      <c r="O106" s="17" t="s">
        <v>155</v>
      </c>
      <c r="Y106" s="15" t="s">
        <v>550</v>
      </c>
      <c r="Z106" s="17" t="s">
        <v>614</v>
      </c>
      <c r="AA106" s="17" t="s">
        <v>605</v>
      </c>
      <c r="AB106" s="17" t="s">
        <v>614</v>
      </c>
      <c r="AC106" s="17" t="s">
        <v>613</v>
      </c>
      <c r="AD106" s="17" t="s">
        <v>625</v>
      </c>
      <c r="AG106" t="s">
        <v>158</v>
      </c>
      <c r="AH106" s="17" t="s">
        <v>155</v>
      </c>
      <c r="AI106" s="17" t="s">
        <v>155</v>
      </c>
      <c r="AJ106" s="17" t="s">
        <v>155</v>
      </c>
      <c r="AK106" s="17" t="s">
        <v>510</v>
      </c>
      <c r="AL106" s="17" t="s">
        <v>155</v>
      </c>
      <c r="AW106" t="s">
        <v>542</v>
      </c>
      <c r="AX106" t="s">
        <v>155</v>
      </c>
      <c r="AY106" t="s">
        <v>510</v>
      </c>
      <c r="AZ106" t="s">
        <v>155</v>
      </c>
      <c r="BA106" t="s">
        <v>155</v>
      </c>
      <c r="BB106" t="s">
        <v>155</v>
      </c>
      <c r="BD106">
        <f t="shared" si="8"/>
        <v>0</v>
      </c>
      <c r="BE106">
        <f t="shared" si="9"/>
        <v>0</v>
      </c>
      <c r="BF106">
        <f t="shared" si="10"/>
        <v>0</v>
      </c>
      <c r="BG106">
        <f t="shared" si="11"/>
        <v>0</v>
      </c>
      <c r="BH106">
        <f t="shared" si="12"/>
        <v>0</v>
      </c>
      <c r="BI106">
        <f t="shared" si="13"/>
        <v>0</v>
      </c>
    </row>
    <row r="107" spans="2:61" x14ac:dyDescent="0.3">
      <c r="B107" s="15" t="s">
        <v>158</v>
      </c>
      <c r="C107" s="17" t="s">
        <v>627</v>
      </c>
      <c r="D107" s="17" t="s">
        <v>605</v>
      </c>
      <c r="E107" s="17" t="s">
        <v>614</v>
      </c>
      <c r="F107" s="17" t="s">
        <v>627</v>
      </c>
      <c r="G107" s="17" t="s">
        <v>625</v>
      </c>
      <c r="Y107" s="15" t="s">
        <v>158</v>
      </c>
      <c r="Z107" s="17" t="s">
        <v>615</v>
      </c>
      <c r="AA107" s="17" t="s">
        <v>605</v>
      </c>
      <c r="AB107" s="17" t="s">
        <v>614</v>
      </c>
      <c r="AC107" s="17" t="s">
        <v>615</v>
      </c>
      <c r="AD107" s="17" t="s">
        <v>625</v>
      </c>
      <c r="AG107" t="s">
        <v>556</v>
      </c>
      <c r="AH107" s="17" t="s">
        <v>155</v>
      </c>
      <c r="AI107" s="17" t="s">
        <v>155</v>
      </c>
      <c r="AJ107" s="17" t="s">
        <v>155</v>
      </c>
      <c r="AK107" s="17" t="s">
        <v>510</v>
      </c>
      <c r="AL107" s="17" t="s">
        <v>155</v>
      </c>
      <c r="BD107">
        <f t="shared" si="8"/>
        <v>0</v>
      </c>
      <c r="BE107">
        <f t="shared" si="9"/>
        <v>0</v>
      </c>
      <c r="BF107">
        <f t="shared" si="10"/>
        <v>0</v>
      </c>
      <c r="BG107">
        <f t="shared" si="11"/>
        <v>0</v>
      </c>
      <c r="BH107">
        <f t="shared" si="12"/>
        <v>0</v>
      </c>
      <c r="BI107">
        <f t="shared" si="13"/>
        <v>0</v>
      </c>
    </row>
    <row r="108" spans="2:61" x14ac:dyDescent="0.3">
      <c r="B108" s="15" t="s">
        <v>159</v>
      </c>
      <c r="C108" s="17" t="s">
        <v>627</v>
      </c>
      <c r="D108" s="17" t="s">
        <v>622</v>
      </c>
      <c r="E108" s="17" t="s">
        <v>614</v>
      </c>
      <c r="F108" s="17" t="s">
        <v>627</v>
      </c>
      <c r="G108" s="17" t="s">
        <v>625</v>
      </c>
      <c r="J108" t="s">
        <v>822</v>
      </c>
      <c r="Y108" s="15" t="s">
        <v>159</v>
      </c>
      <c r="Z108" s="17" t="s">
        <v>615</v>
      </c>
      <c r="AA108" s="17" t="s">
        <v>622</v>
      </c>
      <c r="AB108" s="17" t="s">
        <v>614</v>
      </c>
      <c r="AC108" s="17" t="s">
        <v>615</v>
      </c>
      <c r="AD108" s="17" t="s">
        <v>622</v>
      </c>
      <c r="AG108" t="s">
        <v>557</v>
      </c>
      <c r="AH108" s="17" t="s">
        <v>155</v>
      </c>
      <c r="AI108" s="17" t="s">
        <v>155</v>
      </c>
      <c r="AJ108" s="17" t="s">
        <v>155</v>
      </c>
      <c r="AK108" s="17" t="s">
        <v>510</v>
      </c>
      <c r="AL108" s="17" t="s">
        <v>155</v>
      </c>
      <c r="AW108" t="s">
        <v>822</v>
      </c>
      <c r="BD108">
        <f t="shared" si="8"/>
        <v>0</v>
      </c>
      <c r="BE108">
        <f t="shared" si="9"/>
        <v>0</v>
      </c>
      <c r="BF108">
        <f t="shared" si="10"/>
        <v>0</v>
      </c>
      <c r="BG108">
        <f t="shared" si="11"/>
        <v>0</v>
      </c>
      <c r="BH108">
        <f t="shared" si="12"/>
        <v>0</v>
      </c>
      <c r="BI108">
        <f t="shared" si="13"/>
        <v>0</v>
      </c>
    </row>
    <row r="109" spans="2:61" x14ac:dyDescent="0.3">
      <c r="B109" s="15" t="s">
        <v>160</v>
      </c>
      <c r="C109" s="17" t="s">
        <v>627</v>
      </c>
      <c r="D109" s="17" t="s">
        <v>622</v>
      </c>
      <c r="E109" s="17" t="s">
        <v>155</v>
      </c>
      <c r="F109" s="17" t="s">
        <v>605</v>
      </c>
      <c r="G109" s="17" t="s">
        <v>623</v>
      </c>
      <c r="K109" s="17" t="s">
        <v>164</v>
      </c>
      <c r="L109" s="17" t="s">
        <v>165</v>
      </c>
      <c r="M109" s="17" t="s">
        <v>166</v>
      </c>
      <c r="N109" s="17" t="s">
        <v>167</v>
      </c>
      <c r="O109" s="17" t="s">
        <v>168</v>
      </c>
      <c r="Y109" s="15" t="s">
        <v>160</v>
      </c>
      <c r="Z109" s="17" t="s">
        <v>615</v>
      </c>
      <c r="AA109" s="17" t="s">
        <v>622</v>
      </c>
      <c r="AB109" s="17" t="s">
        <v>623</v>
      </c>
      <c r="AC109" s="17" t="s">
        <v>605</v>
      </c>
      <c r="AD109" s="17" t="s">
        <v>622</v>
      </c>
      <c r="AX109" t="s">
        <v>164</v>
      </c>
      <c r="AY109" t="s">
        <v>165</v>
      </c>
      <c r="AZ109" t="s">
        <v>166</v>
      </c>
      <c r="BA109" t="s">
        <v>167</v>
      </c>
      <c r="BB109" t="s">
        <v>168</v>
      </c>
      <c r="BD109">
        <f t="shared" si="8"/>
        <v>0</v>
      </c>
      <c r="BE109">
        <f t="shared" si="9"/>
        <v>0</v>
      </c>
      <c r="BF109">
        <f t="shared" si="10"/>
        <v>0</v>
      </c>
      <c r="BG109">
        <f t="shared" si="11"/>
        <v>0</v>
      </c>
      <c r="BH109">
        <f t="shared" si="12"/>
        <v>0</v>
      </c>
      <c r="BI109">
        <f t="shared" si="13"/>
        <v>0</v>
      </c>
    </row>
    <row r="110" spans="2:61" x14ac:dyDescent="0.3">
      <c r="J110" t="s">
        <v>557</v>
      </c>
      <c r="K110" s="17" t="s">
        <v>155</v>
      </c>
      <c r="L110" s="17" t="s">
        <v>155</v>
      </c>
      <c r="M110" s="17" t="s">
        <v>155</v>
      </c>
      <c r="N110" s="17" t="s">
        <v>155</v>
      </c>
      <c r="O110" s="17" t="s">
        <v>407</v>
      </c>
      <c r="AG110" t="s">
        <v>822</v>
      </c>
      <c r="AW110" t="s">
        <v>557</v>
      </c>
      <c r="AX110" t="s">
        <v>155</v>
      </c>
      <c r="AY110" t="s">
        <v>155</v>
      </c>
      <c r="AZ110" t="s">
        <v>155</v>
      </c>
      <c r="BA110" t="s">
        <v>155</v>
      </c>
      <c r="BB110" t="s">
        <v>407</v>
      </c>
      <c r="BD110">
        <f t="shared" si="8"/>
        <v>0</v>
      </c>
      <c r="BE110">
        <f t="shared" si="9"/>
        <v>0</v>
      </c>
      <c r="BF110">
        <f t="shared" si="10"/>
        <v>0</v>
      </c>
      <c r="BG110">
        <f t="shared" si="11"/>
        <v>0</v>
      </c>
      <c r="BH110">
        <f t="shared" si="12"/>
        <v>0</v>
      </c>
      <c r="BI110">
        <f t="shared" si="13"/>
        <v>0</v>
      </c>
    </row>
    <row r="111" spans="2:61" x14ac:dyDescent="0.3">
      <c r="B111" s="15" t="s">
        <v>612</v>
      </c>
      <c r="J111" t="s">
        <v>542</v>
      </c>
      <c r="K111" s="17" t="s">
        <v>155</v>
      </c>
      <c r="L111" s="17" t="s">
        <v>155</v>
      </c>
      <c r="M111" s="17" t="s">
        <v>155</v>
      </c>
      <c r="N111" s="17" t="s">
        <v>155</v>
      </c>
      <c r="O111" s="17" t="s">
        <v>407</v>
      </c>
      <c r="Y111" s="15" t="s">
        <v>612</v>
      </c>
      <c r="AH111" s="17" t="s">
        <v>164</v>
      </c>
      <c r="AI111" s="17" t="s">
        <v>165</v>
      </c>
      <c r="AJ111" s="17" t="s">
        <v>166</v>
      </c>
      <c r="AK111" s="17" t="s">
        <v>167</v>
      </c>
      <c r="AL111" s="17" t="s">
        <v>168</v>
      </c>
      <c r="AW111" t="s">
        <v>542</v>
      </c>
      <c r="AX111" t="s">
        <v>155</v>
      </c>
      <c r="AY111" t="s">
        <v>155</v>
      </c>
      <c r="AZ111" t="s">
        <v>155</v>
      </c>
      <c r="BA111" t="s">
        <v>155</v>
      </c>
      <c r="BB111" t="s">
        <v>407</v>
      </c>
      <c r="BD111">
        <f t="shared" si="8"/>
        <v>0</v>
      </c>
      <c r="BE111">
        <f t="shared" si="9"/>
        <v>0</v>
      </c>
      <c r="BF111">
        <f t="shared" si="10"/>
        <v>0</v>
      </c>
      <c r="BG111">
        <f t="shared" si="11"/>
        <v>0</v>
      </c>
      <c r="BH111">
        <f t="shared" si="12"/>
        <v>0</v>
      </c>
      <c r="BI111">
        <f t="shared" si="13"/>
        <v>0</v>
      </c>
    </row>
    <row r="112" spans="2:61" x14ac:dyDescent="0.3">
      <c r="C112" s="17" t="s">
        <v>164</v>
      </c>
      <c r="D112" s="17" t="s">
        <v>165</v>
      </c>
      <c r="E112" s="17" t="s">
        <v>166</v>
      </c>
      <c r="F112" s="17" t="s">
        <v>167</v>
      </c>
      <c r="G112" s="17" t="s">
        <v>168</v>
      </c>
      <c r="J112" t="s">
        <v>543</v>
      </c>
      <c r="K112" s="17" t="s">
        <v>155</v>
      </c>
      <c r="L112" s="17" t="s">
        <v>407</v>
      </c>
      <c r="M112" s="17" t="s">
        <v>155</v>
      </c>
      <c r="N112" s="17" t="s">
        <v>155</v>
      </c>
      <c r="O112" s="17" t="s">
        <v>679</v>
      </c>
      <c r="Z112" s="17" t="s">
        <v>164</v>
      </c>
      <c r="AA112" s="17" t="s">
        <v>165</v>
      </c>
      <c r="AB112" s="17" t="s">
        <v>166</v>
      </c>
      <c r="AC112" s="17" t="s">
        <v>167</v>
      </c>
      <c r="AD112" s="17" t="s">
        <v>168</v>
      </c>
      <c r="AG112" t="s">
        <v>557</v>
      </c>
      <c r="AH112" s="17" t="s">
        <v>155</v>
      </c>
      <c r="AI112" s="17" t="s">
        <v>155</v>
      </c>
      <c r="AJ112" s="17" t="s">
        <v>155</v>
      </c>
      <c r="AK112" s="17" t="s">
        <v>155</v>
      </c>
      <c r="AL112" s="17" t="s">
        <v>407</v>
      </c>
      <c r="AW112" t="s">
        <v>543</v>
      </c>
      <c r="AX112" t="s">
        <v>155</v>
      </c>
      <c r="AY112" t="s">
        <v>407</v>
      </c>
      <c r="AZ112" t="s">
        <v>155</v>
      </c>
      <c r="BA112" t="s">
        <v>155</v>
      </c>
      <c r="BB112" t="s">
        <v>679</v>
      </c>
      <c r="BD112">
        <f t="shared" si="8"/>
        <v>0</v>
      </c>
      <c r="BE112">
        <f t="shared" si="9"/>
        <v>0</v>
      </c>
      <c r="BF112">
        <f t="shared" si="10"/>
        <v>0</v>
      </c>
      <c r="BG112">
        <f t="shared" si="11"/>
        <v>0</v>
      </c>
      <c r="BH112">
        <f t="shared" si="12"/>
        <v>0</v>
      </c>
      <c r="BI112">
        <f t="shared" si="13"/>
        <v>0</v>
      </c>
    </row>
    <row r="113" spans="2:61" x14ac:dyDescent="0.3">
      <c r="B113" s="15" t="s">
        <v>548</v>
      </c>
      <c r="C113" s="17" t="s">
        <v>614</v>
      </c>
      <c r="D113" s="17" t="s">
        <v>615</v>
      </c>
      <c r="E113" s="17" t="s">
        <v>609</v>
      </c>
      <c r="F113" s="17" t="s">
        <v>615</v>
      </c>
      <c r="G113" s="17" t="s">
        <v>616</v>
      </c>
      <c r="J113" t="s">
        <v>544</v>
      </c>
      <c r="K113" s="17" t="s">
        <v>155</v>
      </c>
      <c r="L113" s="17" t="s">
        <v>407</v>
      </c>
      <c r="M113" s="17" t="s">
        <v>155</v>
      </c>
      <c r="N113" s="17" t="s">
        <v>155</v>
      </c>
      <c r="O113" s="17" t="s">
        <v>679</v>
      </c>
      <c r="Y113" s="15" t="s">
        <v>548</v>
      </c>
      <c r="Z113" s="17" t="s">
        <v>614</v>
      </c>
      <c r="AA113" s="17" t="s">
        <v>613</v>
      </c>
      <c r="AB113" s="17" t="s">
        <v>609</v>
      </c>
      <c r="AC113" s="17" t="s">
        <v>613</v>
      </c>
      <c r="AD113" s="17" t="s">
        <v>616</v>
      </c>
      <c r="AG113" t="s">
        <v>542</v>
      </c>
      <c r="AH113" s="17" t="s">
        <v>155</v>
      </c>
      <c r="AI113" s="17" t="s">
        <v>155</v>
      </c>
      <c r="AJ113" s="17" t="s">
        <v>155</v>
      </c>
      <c r="AK113" s="17" t="s">
        <v>155</v>
      </c>
      <c r="AL113" s="17" t="s">
        <v>407</v>
      </c>
      <c r="AW113" t="s">
        <v>544</v>
      </c>
      <c r="AX113" t="s">
        <v>155</v>
      </c>
      <c r="AY113" t="s">
        <v>407</v>
      </c>
      <c r="AZ113" t="s">
        <v>155</v>
      </c>
      <c r="BA113" t="s">
        <v>155</v>
      </c>
      <c r="BB113" t="s">
        <v>679</v>
      </c>
      <c r="BD113">
        <f t="shared" si="8"/>
        <v>0</v>
      </c>
      <c r="BE113">
        <f t="shared" si="9"/>
        <v>0</v>
      </c>
      <c r="BF113">
        <f t="shared" si="10"/>
        <v>0</v>
      </c>
      <c r="BG113">
        <f t="shared" si="11"/>
        <v>0</v>
      </c>
      <c r="BH113">
        <f t="shared" si="12"/>
        <v>0</v>
      </c>
      <c r="BI113">
        <f t="shared" si="13"/>
        <v>0</v>
      </c>
    </row>
    <row r="114" spans="2:61" x14ac:dyDescent="0.3">
      <c r="B114" s="15" t="s">
        <v>549</v>
      </c>
      <c r="C114" s="17" t="s">
        <v>614</v>
      </c>
      <c r="D114" s="17" t="s">
        <v>615</v>
      </c>
      <c r="E114" s="17" t="s">
        <v>609</v>
      </c>
      <c r="F114" s="17" t="s">
        <v>615</v>
      </c>
      <c r="G114" s="17" t="s">
        <v>616</v>
      </c>
      <c r="J114" t="s">
        <v>545</v>
      </c>
      <c r="K114" s="17" t="s">
        <v>155</v>
      </c>
      <c r="L114" s="17" t="s">
        <v>155</v>
      </c>
      <c r="M114" s="17" t="s">
        <v>155</v>
      </c>
      <c r="N114" s="17" t="s">
        <v>155</v>
      </c>
      <c r="O114" s="17" t="s">
        <v>679</v>
      </c>
      <c r="Y114" s="15" t="s">
        <v>549</v>
      </c>
      <c r="Z114" s="17" t="s">
        <v>614</v>
      </c>
      <c r="AA114" s="17" t="s">
        <v>613</v>
      </c>
      <c r="AB114" s="17" t="s">
        <v>609</v>
      </c>
      <c r="AC114" s="17" t="s">
        <v>613</v>
      </c>
      <c r="AD114" s="17" t="s">
        <v>616</v>
      </c>
      <c r="AG114" t="s">
        <v>543</v>
      </c>
      <c r="AH114" s="17" t="s">
        <v>155</v>
      </c>
      <c r="AI114" s="17" t="s">
        <v>407</v>
      </c>
      <c r="AJ114" s="17" t="s">
        <v>155</v>
      </c>
      <c r="AK114" s="17" t="s">
        <v>155</v>
      </c>
      <c r="AL114" s="17" t="s">
        <v>679</v>
      </c>
      <c r="AW114" t="s">
        <v>545</v>
      </c>
      <c r="AX114" t="s">
        <v>155</v>
      </c>
      <c r="AY114" t="s">
        <v>155</v>
      </c>
      <c r="AZ114" t="s">
        <v>155</v>
      </c>
      <c r="BA114" t="s">
        <v>155</v>
      </c>
      <c r="BB114" t="s">
        <v>679</v>
      </c>
      <c r="BD114">
        <f t="shared" si="8"/>
        <v>0</v>
      </c>
      <c r="BE114">
        <f t="shared" si="9"/>
        <v>0</v>
      </c>
      <c r="BF114">
        <f t="shared" si="10"/>
        <v>0</v>
      </c>
      <c r="BG114">
        <f t="shared" si="11"/>
        <v>0</v>
      </c>
      <c r="BH114">
        <f t="shared" si="12"/>
        <v>0</v>
      </c>
      <c r="BI114">
        <f t="shared" si="13"/>
        <v>0</v>
      </c>
    </row>
    <row r="115" spans="2:61" x14ac:dyDescent="0.3">
      <c r="B115" s="15" t="s">
        <v>550</v>
      </c>
      <c r="C115" s="17" t="s">
        <v>614</v>
      </c>
      <c r="D115" s="17" t="s">
        <v>605</v>
      </c>
      <c r="E115" s="17" t="s">
        <v>614</v>
      </c>
      <c r="F115" s="17" t="s">
        <v>615</v>
      </c>
      <c r="G115" s="17" t="s">
        <v>616</v>
      </c>
      <c r="Y115" s="15" t="s">
        <v>550</v>
      </c>
      <c r="Z115" s="17" t="s">
        <v>614</v>
      </c>
      <c r="AA115" s="17" t="s">
        <v>605</v>
      </c>
      <c r="AB115" s="17" t="s">
        <v>614</v>
      </c>
      <c r="AC115" s="17" t="s">
        <v>613</v>
      </c>
      <c r="AD115" s="17" t="s">
        <v>616</v>
      </c>
      <c r="AG115" t="s">
        <v>544</v>
      </c>
      <c r="AH115" s="17" t="s">
        <v>155</v>
      </c>
      <c r="AI115" s="17" t="s">
        <v>407</v>
      </c>
      <c r="AJ115" s="17" t="s">
        <v>155</v>
      </c>
      <c r="AK115" s="17" t="s">
        <v>155</v>
      </c>
      <c r="AL115" s="17" t="s">
        <v>679</v>
      </c>
      <c r="BD115">
        <f t="shared" si="8"/>
        <v>0</v>
      </c>
      <c r="BE115">
        <f t="shared" si="9"/>
        <v>0</v>
      </c>
      <c r="BF115">
        <f t="shared" si="10"/>
        <v>0</v>
      </c>
      <c r="BG115">
        <f t="shared" si="11"/>
        <v>0</v>
      </c>
      <c r="BH115">
        <f t="shared" si="12"/>
        <v>0</v>
      </c>
      <c r="BI115">
        <f t="shared" si="13"/>
        <v>0</v>
      </c>
    </row>
    <row r="116" spans="2:61" x14ac:dyDescent="0.3">
      <c r="B116" s="15" t="s">
        <v>158</v>
      </c>
      <c r="C116" s="17" t="s">
        <v>627</v>
      </c>
      <c r="D116" s="17" t="s">
        <v>605</v>
      </c>
      <c r="E116" s="17" t="s">
        <v>614</v>
      </c>
      <c r="F116" s="17" t="s">
        <v>627</v>
      </c>
      <c r="G116" s="17" t="s">
        <v>608</v>
      </c>
      <c r="J116" t="s">
        <v>696</v>
      </c>
      <c r="Y116" s="15" t="s">
        <v>158</v>
      </c>
      <c r="Z116" s="17" t="s">
        <v>615</v>
      </c>
      <c r="AA116" s="17" t="s">
        <v>605</v>
      </c>
      <c r="AB116" s="17" t="s">
        <v>614</v>
      </c>
      <c r="AC116" s="17" t="s">
        <v>615</v>
      </c>
      <c r="AD116" s="17" t="s">
        <v>608</v>
      </c>
      <c r="AG116" t="s">
        <v>545</v>
      </c>
      <c r="AH116" s="17" t="s">
        <v>155</v>
      </c>
      <c r="AI116" s="17" t="s">
        <v>155</v>
      </c>
      <c r="AJ116" s="17" t="s">
        <v>155</v>
      </c>
      <c r="AK116" s="17" t="s">
        <v>155</v>
      </c>
      <c r="AL116" s="17" t="s">
        <v>679</v>
      </c>
      <c r="AW116" t="s">
        <v>696</v>
      </c>
      <c r="BD116">
        <f t="shared" si="8"/>
        <v>0</v>
      </c>
      <c r="BE116">
        <f t="shared" si="9"/>
        <v>0</v>
      </c>
      <c r="BF116">
        <f t="shared" si="10"/>
        <v>0</v>
      </c>
      <c r="BG116">
        <f t="shared" si="11"/>
        <v>0</v>
      </c>
      <c r="BH116">
        <f t="shared" si="12"/>
        <v>0</v>
      </c>
      <c r="BI116">
        <f t="shared" si="13"/>
        <v>0</v>
      </c>
    </row>
    <row r="117" spans="2:61" x14ac:dyDescent="0.3">
      <c r="B117" s="15" t="s">
        <v>159</v>
      </c>
      <c r="C117" s="17" t="s">
        <v>627</v>
      </c>
      <c r="D117" s="17" t="s">
        <v>608</v>
      </c>
      <c r="E117" s="17" t="s">
        <v>614</v>
      </c>
      <c r="F117" s="17" t="s">
        <v>627</v>
      </c>
      <c r="G117" s="17" t="s">
        <v>608</v>
      </c>
      <c r="K117" s="17" t="s">
        <v>164</v>
      </c>
      <c r="L117" s="17" t="s">
        <v>165</v>
      </c>
      <c r="M117" s="17" t="s">
        <v>166</v>
      </c>
      <c r="N117" s="17" t="s">
        <v>167</v>
      </c>
      <c r="O117" s="17" t="s">
        <v>168</v>
      </c>
      <c r="Y117" s="15" t="s">
        <v>159</v>
      </c>
      <c r="Z117" s="17" t="s">
        <v>615</v>
      </c>
      <c r="AA117" s="17" t="s">
        <v>608</v>
      </c>
      <c r="AB117" s="17" t="s">
        <v>614</v>
      </c>
      <c r="AC117" s="17" t="s">
        <v>615</v>
      </c>
      <c r="AD117" s="17" t="s">
        <v>608</v>
      </c>
      <c r="AX117" t="s">
        <v>164</v>
      </c>
      <c r="AY117" t="s">
        <v>165</v>
      </c>
      <c r="AZ117" t="s">
        <v>166</v>
      </c>
      <c r="BA117" t="s">
        <v>167</v>
      </c>
      <c r="BB117" t="s">
        <v>168</v>
      </c>
      <c r="BD117">
        <f t="shared" si="8"/>
        <v>0</v>
      </c>
      <c r="BE117">
        <f t="shared" si="9"/>
        <v>0</v>
      </c>
      <c r="BF117">
        <f t="shared" si="10"/>
        <v>0</v>
      </c>
      <c r="BG117">
        <f t="shared" si="11"/>
        <v>0</v>
      </c>
      <c r="BH117">
        <f t="shared" si="12"/>
        <v>0</v>
      </c>
      <c r="BI117">
        <f t="shared" si="13"/>
        <v>0</v>
      </c>
    </row>
    <row r="118" spans="2:61" x14ac:dyDescent="0.3">
      <c r="B118" s="15" t="s">
        <v>160</v>
      </c>
      <c r="C118" s="17" t="s">
        <v>627</v>
      </c>
      <c r="D118" s="17" t="s">
        <v>608</v>
      </c>
      <c r="E118" s="17" t="s">
        <v>155</v>
      </c>
      <c r="F118" s="17" t="s">
        <v>605</v>
      </c>
      <c r="G118" s="17" t="s">
        <v>608</v>
      </c>
      <c r="J118" t="s">
        <v>542</v>
      </c>
      <c r="K118" s="17" t="s">
        <v>242</v>
      </c>
      <c r="L118" s="17" t="s">
        <v>155</v>
      </c>
      <c r="M118" s="17" t="s">
        <v>155</v>
      </c>
      <c r="N118" s="17" t="s">
        <v>242</v>
      </c>
      <c r="O118" s="17" t="s">
        <v>155</v>
      </c>
      <c r="Y118" s="15" t="s">
        <v>160</v>
      </c>
      <c r="Z118" s="17" t="s">
        <v>615</v>
      </c>
      <c r="AA118" s="17" t="s">
        <v>608</v>
      </c>
      <c r="AB118" s="17" t="s">
        <v>155</v>
      </c>
      <c r="AC118" s="17" t="s">
        <v>605</v>
      </c>
      <c r="AD118" s="17" t="s">
        <v>608</v>
      </c>
      <c r="AG118" t="s">
        <v>696</v>
      </c>
      <c r="AW118" t="s">
        <v>542</v>
      </c>
      <c r="AX118" t="s">
        <v>242</v>
      </c>
      <c r="AY118" t="s">
        <v>155</v>
      </c>
      <c r="AZ118" t="s">
        <v>155</v>
      </c>
      <c r="BA118" t="s">
        <v>155</v>
      </c>
      <c r="BB118" t="s">
        <v>155</v>
      </c>
      <c r="BD118">
        <f t="shared" si="8"/>
        <v>0</v>
      </c>
      <c r="BE118">
        <f t="shared" si="9"/>
        <v>0</v>
      </c>
      <c r="BF118">
        <f t="shared" si="10"/>
        <v>0</v>
      </c>
      <c r="BG118">
        <f t="shared" si="11"/>
        <v>0</v>
      </c>
      <c r="BH118">
        <f t="shared" si="12"/>
        <v>1</v>
      </c>
      <c r="BI118">
        <f t="shared" si="13"/>
        <v>0</v>
      </c>
    </row>
    <row r="119" spans="2:61" x14ac:dyDescent="0.3">
      <c r="J119" t="s">
        <v>543</v>
      </c>
      <c r="K119" s="17" t="s">
        <v>242</v>
      </c>
      <c r="L119" s="17" t="s">
        <v>155</v>
      </c>
      <c r="M119" s="17" t="s">
        <v>155</v>
      </c>
      <c r="N119" s="17" t="s">
        <v>242</v>
      </c>
      <c r="O119" s="17" t="s">
        <v>155</v>
      </c>
      <c r="AH119" s="17" t="s">
        <v>164</v>
      </c>
      <c r="AI119" s="17" t="s">
        <v>165</v>
      </c>
      <c r="AJ119" s="17" t="s">
        <v>166</v>
      </c>
      <c r="AK119" s="17" t="s">
        <v>167</v>
      </c>
      <c r="AL119" s="17" t="s">
        <v>168</v>
      </c>
      <c r="AW119" t="s">
        <v>543</v>
      </c>
      <c r="AX119" t="s">
        <v>242</v>
      </c>
      <c r="AY119" t="s">
        <v>155</v>
      </c>
      <c r="AZ119" t="s">
        <v>155</v>
      </c>
      <c r="BA119" t="s">
        <v>155</v>
      </c>
      <c r="BB119" t="s">
        <v>155</v>
      </c>
      <c r="BD119">
        <f t="shared" si="8"/>
        <v>0</v>
      </c>
      <c r="BE119">
        <f t="shared" si="9"/>
        <v>0</v>
      </c>
      <c r="BF119">
        <f t="shared" si="10"/>
        <v>0</v>
      </c>
      <c r="BG119">
        <f t="shared" si="11"/>
        <v>0</v>
      </c>
      <c r="BH119">
        <f t="shared" si="12"/>
        <v>1</v>
      </c>
      <c r="BI119">
        <f t="shared" si="13"/>
        <v>0</v>
      </c>
    </row>
    <row r="120" spans="2:61" x14ac:dyDescent="0.3">
      <c r="B120" s="15" t="s">
        <v>598</v>
      </c>
      <c r="J120" t="s">
        <v>544</v>
      </c>
      <c r="K120" s="17" t="s">
        <v>242</v>
      </c>
      <c r="L120" s="17" t="s">
        <v>155</v>
      </c>
      <c r="M120" s="17" t="s">
        <v>155</v>
      </c>
      <c r="N120" s="17" t="s">
        <v>255</v>
      </c>
      <c r="O120" s="17" t="s">
        <v>155</v>
      </c>
      <c r="Y120" s="15" t="s">
        <v>598</v>
      </c>
      <c r="AG120" t="s">
        <v>542</v>
      </c>
      <c r="AH120" s="17" t="s">
        <v>242</v>
      </c>
      <c r="AI120" s="17" t="s">
        <v>155</v>
      </c>
      <c r="AJ120" s="17" t="s">
        <v>255</v>
      </c>
      <c r="AK120" s="17" t="s">
        <v>155</v>
      </c>
      <c r="AL120" s="17" t="s">
        <v>155</v>
      </c>
      <c r="AW120" t="s">
        <v>544</v>
      </c>
      <c r="AX120" t="s">
        <v>242</v>
      </c>
      <c r="AY120" t="s">
        <v>155</v>
      </c>
      <c r="AZ120" t="s">
        <v>155</v>
      </c>
      <c r="BA120" t="s">
        <v>255</v>
      </c>
      <c r="BB120" t="s">
        <v>155</v>
      </c>
      <c r="BD120">
        <f t="shared" si="8"/>
        <v>0</v>
      </c>
      <c r="BE120">
        <f t="shared" si="9"/>
        <v>0</v>
      </c>
      <c r="BF120">
        <f t="shared" si="10"/>
        <v>0</v>
      </c>
      <c r="BG120">
        <f t="shared" si="11"/>
        <v>0</v>
      </c>
      <c r="BH120">
        <f t="shared" si="12"/>
        <v>0</v>
      </c>
      <c r="BI120">
        <f t="shared" si="13"/>
        <v>0</v>
      </c>
    </row>
    <row r="121" spans="2:61" x14ac:dyDescent="0.3">
      <c r="C121" s="17" t="s">
        <v>164</v>
      </c>
      <c r="D121" s="17" t="s">
        <v>165</v>
      </c>
      <c r="E121" s="17" t="s">
        <v>166</v>
      </c>
      <c r="F121" s="17" t="s">
        <v>167</v>
      </c>
      <c r="G121" s="17" t="s">
        <v>168</v>
      </c>
      <c r="J121" t="s">
        <v>545</v>
      </c>
      <c r="K121" s="17" t="s">
        <v>255</v>
      </c>
      <c r="L121" s="17" t="s">
        <v>155</v>
      </c>
      <c r="M121" s="17" t="s">
        <v>155</v>
      </c>
      <c r="N121" s="17" t="s">
        <v>255</v>
      </c>
      <c r="O121" s="17" t="s">
        <v>155</v>
      </c>
      <c r="Z121" s="17" t="s">
        <v>164</v>
      </c>
      <c r="AA121" s="17" t="s">
        <v>165</v>
      </c>
      <c r="AB121" s="17" t="s">
        <v>166</v>
      </c>
      <c r="AC121" s="17" t="s">
        <v>167</v>
      </c>
      <c r="AD121" s="17" t="s">
        <v>168</v>
      </c>
      <c r="AG121" t="s">
        <v>543</v>
      </c>
      <c r="AH121" s="17" t="s">
        <v>242</v>
      </c>
      <c r="AI121" s="17" t="s">
        <v>155</v>
      </c>
      <c r="AJ121" s="17" t="s">
        <v>255</v>
      </c>
      <c r="AK121" s="17" t="s">
        <v>155</v>
      </c>
      <c r="AL121" s="17" t="s">
        <v>155</v>
      </c>
      <c r="AW121" t="s">
        <v>545</v>
      </c>
      <c r="AX121" t="s">
        <v>255</v>
      </c>
      <c r="AY121" t="s">
        <v>155</v>
      </c>
      <c r="AZ121" t="s">
        <v>242</v>
      </c>
      <c r="BA121" t="s">
        <v>255</v>
      </c>
      <c r="BB121" t="s">
        <v>155</v>
      </c>
      <c r="BD121">
        <f t="shared" si="8"/>
        <v>0</v>
      </c>
      <c r="BE121">
        <f t="shared" si="9"/>
        <v>0</v>
      </c>
      <c r="BF121">
        <f t="shared" si="10"/>
        <v>0</v>
      </c>
      <c r="BG121">
        <f t="shared" si="11"/>
        <v>1</v>
      </c>
      <c r="BH121">
        <f t="shared" si="12"/>
        <v>0</v>
      </c>
      <c r="BI121">
        <f t="shared" si="13"/>
        <v>0</v>
      </c>
    </row>
    <row r="122" spans="2:61" x14ac:dyDescent="0.3">
      <c r="B122" s="15" t="s">
        <v>542</v>
      </c>
      <c r="C122" s="17" t="s">
        <v>599</v>
      </c>
      <c r="D122" s="17" t="s">
        <v>600</v>
      </c>
      <c r="E122" s="17" t="s">
        <v>155</v>
      </c>
      <c r="F122" s="17" t="s">
        <v>600</v>
      </c>
      <c r="G122" s="17" t="s">
        <v>599</v>
      </c>
      <c r="J122" t="s">
        <v>546</v>
      </c>
      <c r="K122" s="17" t="s">
        <v>255</v>
      </c>
      <c r="L122" s="17" t="s">
        <v>155</v>
      </c>
      <c r="M122" s="17" t="s">
        <v>155</v>
      </c>
      <c r="N122" s="17" t="s">
        <v>255</v>
      </c>
      <c r="O122" s="17" t="s">
        <v>155</v>
      </c>
      <c r="Y122" s="15" t="s">
        <v>542</v>
      </c>
      <c r="Z122" s="17" t="s">
        <v>602</v>
      </c>
      <c r="AA122" s="17" t="s">
        <v>600</v>
      </c>
      <c r="AB122" s="17" t="s">
        <v>601</v>
      </c>
      <c r="AC122" s="17" t="s">
        <v>600</v>
      </c>
      <c r="AD122" s="17" t="s">
        <v>599</v>
      </c>
      <c r="AG122" t="s">
        <v>544</v>
      </c>
      <c r="AH122" s="17" t="s">
        <v>242</v>
      </c>
      <c r="AI122" s="17" t="s">
        <v>155</v>
      </c>
      <c r="AJ122" s="17" t="s">
        <v>255</v>
      </c>
      <c r="AK122" s="17" t="s">
        <v>155</v>
      </c>
      <c r="AL122" s="17" t="s">
        <v>155</v>
      </c>
      <c r="AW122" t="s">
        <v>546</v>
      </c>
      <c r="AX122" t="s">
        <v>255</v>
      </c>
      <c r="AY122" t="s">
        <v>155</v>
      </c>
      <c r="AZ122" t="s">
        <v>242</v>
      </c>
      <c r="BA122" t="s">
        <v>255</v>
      </c>
      <c r="BB122" t="s">
        <v>155</v>
      </c>
      <c r="BD122">
        <f t="shared" si="8"/>
        <v>0</v>
      </c>
      <c r="BE122">
        <f t="shared" si="9"/>
        <v>0</v>
      </c>
      <c r="BF122">
        <f t="shared" si="10"/>
        <v>0</v>
      </c>
      <c r="BG122">
        <f t="shared" si="11"/>
        <v>1</v>
      </c>
      <c r="BH122">
        <f t="shared" si="12"/>
        <v>0</v>
      </c>
      <c r="BI122">
        <f t="shared" si="13"/>
        <v>0</v>
      </c>
    </row>
    <row r="123" spans="2:61" x14ac:dyDescent="0.3">
      <c r="B123" s="15" t="s">
        <v>543</v>
      </c>
      <c r="C123" s="17" t="s">
        <v>599</v>
      </c>
      <c r="D123" s="17" t="s">
        <v>600</v>
      </c>
      <c r="E123" s="17" t="s">
        <v>603</v>
      </c>
      <c r="F123" s="17" t="s">
        <v>600</v>
      </c>
      <c r="G123" s="17" t="s">
        <v>599</v>
      </c>
      <c r="Y123" s="15" t="s">
        <v>543</v>
      </c>
      <c r="Z123" s="17" t="s">
        <v>599</v>
      </c>
      <c r="AA123" s="17" t="s">
        <v>600</v>
      </c>
      <c r="AB123" s="17" t="s">
        <v>601</v>
      </c>
      <c r="AC123" s="17" t="s">
        <v>600</v>
      </c>
      <c r="AD123" s="17" t="s">
        <v>599</v>
      </c>
      <c r="AG123" t="s">
        <v>545</v>
      </c>
      <c r="AH123" s="17" t="s">
        <v>255</v>
      </c>
      <c r="AI123" s="17" t="s">
        <v>155</v>
      </c>
      <c r="AJ123" s="17" t="s">
        <v>242</v>
      </c>
      <c r="AK123" s="17" t="s">
        <v>155</v>
      </c>
      <c r="AL123" s="17" t="s">
        <v>155</v>
      </c>
      <c r="BD123">
        <f t="shared" si="8"/>
        <v>0</v>
      </c>
      <c r="BE123">
        <f t="shared" si="9"/>
        <v>0</v>
      </c>
      <c r="BF123">
        <f t="shared" si="10"/>
        <v>0</v>
      </c>
      <c r="BG123">
        <f t="shared" si="11"/>
        <v>0</v>
      </c>
      <c r="BH123">
        <f t="shared" si="12"/>
        <v>0</v>
      </c>
      <c r="BI123">
        <f t="shared" si="13"/>
        <v>0</v>
      </c>
    </row>
    <row r="124" spans="2:61" x14ac:dyDescent="0.3">
      <c r="B124" s="15" t="s">
        <v>544</v>
      </c>
      <c r="C124" s="17" t="s">
        <v>599</v>
      </c>
      <c r="D124" s="17" t="s">
        <v>600</v>
      </c>
      <c r="E124" s="17" t="s">
        <v>603</v>
      </c>
      <c r="F124" s="17" t="s">
        <v>601</v>
      </c>
      <c r="G124" s="17" t="s">
        <v>603</v>
      </c>
      <c r="J124" t="s">
        <v>742</v>
      </c>
      <c r="Y124" s="15" t="s">
        <v>544</v>
      </c>
      <c r="Z124" s="17" t="s">
        <v>599</v>
      </c>
      <c r="AA124" s="17" t="s">
        <v>603</v>
      </c>
      <c r="AB124" s="17" t="s">
        <v>601</v>
      </c>
      <c r="AC124" s="17" t="s">
        <v>600</v>
      </c>
      <c r="AD124" s="17" t="s">
        <v>599</v>
      </c>
      <c r="AG124" t="s">
        <v>546</v>
      </c>
      <c r="AH124" s="17" t="s">
        <v>255</v>
      </c>
      <c r="AI124" s="17" t="s">
        <v>155</v>
      </c>
      <c r="AJ124" s="17" t="s">
        <v>242</v>
      </c>
      <c r="AK124" s="17" t="s">
        <v>155</v>
      </c>
      <c r="AL124" s="17" t="s">
        <v>155</v>
      </c>
      <c r="AW124" t="s">
        <v>742</v>
      </c>
      <c r="BD124">
        <f t="shared" si="8"/>
        <v>0</v>
      </c>
      <c r="BE124">
        <f t="shared" si="9"/>
        <v>0</v>
      </c>
      <c r="BF124">
        <f t="shared" si="10"/>
        <v>0</v>
      </c>
      <c r="BG124">
        <f t="shared" si="11"/>
        <v>0</v>
      </c>
      <c r="BH124">
        <f t="shared" si="12"/>
        <v>0</v>
      </c>
      <c r="BI124">
        <f t="shared" si="13"/>
        <v>0</v>
      </c>
    </row>
    <row r="125" spans="2:61" x14ac:dyDescent="0.3">
      <c r="B125" s="15" t="s">
        <v>545</v>
      </c>
      <c r="C125" s="17" t="s">
        <v>601</v>
      </c>
      <c r="D125" s="17" t="s">
        <v>1034</v>
      </c>
      <c r="E125" s="17" t="s">
        <v>603</v>
      </c>
      <c r="F125" s="17" t="s">
        <v>601</v>
      </c>
      <c r="G125" s="17" t="s">
        <v>603</v>
      </c>
      <c r="K125" s="17" t="s">
        <v>164</v>
      </c>
      <c r="L125" s="17" t="s">
        <v>165</v>
      </c>
      <c r="M125" s="17" t="s">
        <v>166</v>
      </c>
      <c r="N125" s="17" t="s">
        <v>167</v>
      </c>
      <c r="O125" s="17" t="s">
        <v>168</v>
      </c>
      <c r="Y125" s="15" t="s">
        <v>545</v>
      </c>
      <c r="Z125" s="17" t="s">
        <v>601</v>
      </c>
      <c r="AA125" s="17" t="s">
        <v>603</v>
      </c>
      <c r="AB125" s="17" t="s">
        <v>602</v>
      </c>
      <c r="AC125" s="17" t="s">
        <v>155</v>
      </c>
      <c r="AD125" s="17" t="s">
        <v>603</v>
      </c>
      <c r="AX125" t="s">
        <v>164</v>
      </c>
      <c r="AY125" t="s">
        <v>165</v>
      </c>
      <c r="AZ125" t="s">
        <v>166</v>
      </c>
      <c r="BA125" t="s">
        <v>167</v>
      </c>
      <c r="BB125" t="s">
        <v>168</v>
      </c>
      <c r="BD125">
        <f t="shared" si="8"/>
        <v>0</v>
      </c>
      <c r="BE125">
        <f t="shared" si="9"/>
        <v>0</v>
      </c>
      <c r="BF125">
        <f t="shared" si="10"/>
        <v>0</v>
      </c>
      <c r="BG125">
        <f t="shared" si="11"/>
        <v>0</v>
      </c>
      <c r="BH125">
        <f t="shared" si="12"/>
        <v>0</v>
      </c>
      <c r="BI125">
        <f t="shared" si="13"/>
        <v>0</v>
      </c>
    </row>
    <row r="126" spans="2:61" x14ac:dyDescent="0.3">
      <c r="B126" s="15" t="s">
        <v>546</v>
      </c>
      <c r="C126" s="17" t="s">
        <v>601</v>
      </c>
      <c r="D126" s="17" t="s">
        <v>1034</v>
      </c>
      <c r="E126" s="17" t="s">
        <v>155</v>
      </c>
      <c r="F126" s="17" t="s">
        <v>601</v>
      </c>
      <c r="G126" s="17" t="s">
        <v>1034</v>
      </c>
      <c r="J126" t="s">
        <v>550</v>
      </c>
      <c r="K126" s="17" t="s">
        <v>155</v>
      </c>
      <c r="L126" s="17" t="s">
        <v>359</v>
      </c>
      <c r="M126" s="17" t="s">
        <v>155</v>
      </c>
      <c r="N126" s="17" t="s">
        <v>359</v>
      </c>
      <c r="O126" s="17" t="s">
        <v>155</v>
      </c>
      <c r="Y126" s="15" t="s">
        <v>546</v>
      </c>
      <c r="Z126" s="17" t="s">
        <v>601</v>
      </c>
      <c r="AA126" s="17" t="s">
        <v>603</v>
      </c>
      <c r="AB126" s="17" t="s">
        <v>602</v>
      </c>
      <c r="AC126" s="17" t="s">
        <v>155</v>
      </c>
      <c r="AD126" s="17" t="s">
        <v>603</v>
      </c>
      <c r="AG126" t="s">
        <v>742</v>
      </c>
      <c r="AW126" t="s">
        <v>550</v>
      </c>
      <c r="AX126" t="s">
        <v>155</v>
      </c>
      <c r="AY126" t="s">
        <v>359</v>
      </c>
      <c r="AZ126" t="s">
        <v>155</v>
      </c>
      <c r="BA126" t="s">
        <v>359</v>
      </c>
      <c r="BB126" t="s">
        <v>155</v>
      </c>
      <c r="BD126">
        <f t="shared" si="8"/>
        <v>0</v>
      </c>
      <c r="BE126">
        <f t="shared" si="9"/>
        <v>0</v>
      </c>
      <c r="BF126">
        <f t="shared" si="10"/>
        <v>0</v>
      </c>
      <c r="BG126">
        <f t="shared" si="11"/>
        <v>0</v>
      </c>
      <c r="BH126">
        <f t="shared" si="12"/>
        <v>0</v>
      </c>
      <c r="BI126">
        <f t="shared" si="13"/>
        <v>0</v>
      </c>
    </row>
    <row r="127" spans="2:61" x14ac:dyDescent="0.3">
      <c r="J127" t="s">
        <v>158</v>
      </c>
      <c r="K127" s="17" t="s">
        <v>155</v>
      </c>
      <c r="L127" s="17" t="s">
        <v>359</v>
      </c>
      <c r="M127" s="17" t="s">
        <v>155</v>
      </c>
      <c r="N127" s="17" t="s">
        <v>359</v>
      </c>
      <c r="O127" s="17" t="s">
        <v>155</v>
      </c>
      <c r="AH127" s="17" t="s">
        <v>164</v>
      </c>
      <c r="AI127" s="17" t="s">
        <v>165</v>
      </c>
      <c r="AJ127" s="17" t="s">
        <v>166</v>
      </c>
      <c r="AK127" s="17" t="s">
        <v>167</v>
      </c>
      <c r="AL127" s="17" t="s">
        <v>168</v>
      </c>
      <c r="AW127" t="s">
        <v>158</v>
      </c>
      <c r="AX127" t="s">
        <v>155</v>
      </c>
      <c r="AY127" t="s">
        <v>359</v>
      </c>
      <c r="AZ127" t="s">
        <v>155</v>
      </c>
      <c r="BA127" t="s">
        <v>359</v>
      </c>
      <c r="BB127" t="s">
        <v>155</v>
      </c>
      <c r="BD127">
        <f t="shared" si="8"/>
        <v>0</v>
      </c>
      <c r="BE127">
        <f t="shared" si="9"/>
        <v>0</v>
      </c>
      <c r="BF127">
        <f t="shared" si="10"/>
        <v>0</v>
      </c>
      <c r="BG127">
        <f t="shared" si="11"/>
        <v>0</v>
      </c>
      <c r="BH127">
        <f t="shared" si="12"/>
        <v>0</v>
      </c>
      <c r="BI127">
        <f t="shared" si="13"/>
        <v>0</v>
      </c>
    </row>
    <row r="128" spans="2:61" x14ac:dyDescent="0.3">
      <c r="B128" s="29" t="s">
        <v>596</v>
      </c>
      <c r="Y128" s="29" t="s">
        <v>596</v>
      </c>
      <c r="AG128" t="s">
        <v>158</v>
      </c>
      <c r="AH128" s="17" t="s">
        <v>155</v>
      </c>
      <c r="AI128" s="17" t="s">
        <v>155</v>
      </c>
      <c r="AJ128" s="17" t="s">
        <v>155</v>
      </c>
      <c r="AK128" s="17" t="s">
        <v>359</v>
      </c>
      <c r="AL128" s="17" t="s">
        <v>155</v>
      </c>
      <c r="BD128">
        <f t="shared" si="8"/>
        <v>0</v>
      </c>
      <c r="BE128">
        <f t="shared" si="9"/>
        <v>0</v>
      </c>
      <c r="BF128">
        <f t="shared" si="10"/>
        <v>0</v>
      </c>
      <c r="BG128">
        <f t="shared" si="11"/>
        <v>0</v>
      </c>
      <c r="BH128">
        <f t="shared" si="12"/>
        <v>0</v>
      </c>
      <c r="BI128">
        <f t="shared" si="13"/>
        <v>0</v>
      </c>
    </row>
    <row r="129" spans="2:61" x14ac:dyDescent="0.3">
      <c r="B129" s="71" t="s">
        <v>628</v>
      </c>
      <c r="J129" t="s">
        <v>731</v>
      </c>
      <c r="Y129" s="71" t="s">
        <v>628</v>
      </c>
      <c r="AG129" t="s">
        <v>159</v>
      </c>
      <c r="AH129" s="17" t="s">
        <v>155</v>
      </c>
      <c r="AI129" s="17" t="s">
        <v>359</v>
      </c>
      <c r="AJ129" s="17" t="s">
        <v>155</v>
      </c>
      <c r="AK129" s="17" t="s">
        <v>359</v>
      </c>
      <c r="AL129" s="17" t="s">
        <v>155</v>
      </c>
      <c r="AW129" t="s">
        <v>731</v>
      </c>
      <c r="BD129">
        <f t="shared" si="8"/>
        <v>0</v>
      </c>
      <c r="BE129">
        <f t="shared" si="9"/>
        <v>0</v>
      </c>
      <c r="BF129">
        <f t="shared" si="10"/>
        <v>0</v>
      </c>
      <c r="BG129">
        <f t="shared" si="11"/>
        <v>0</v>
      </c>
      <c r="BH129">
        <f t="shared" si="12"/>
        <v>0</v>
      </c>
      <c r="BI129">
        <f t="shared" si="13"/>
        <v>0</v>
      </c>
    </row>
    <row r="130" spans="2:61" x14ac:dyDescent="0.3">
      <c r="K130" s="17" t="s">
        <v>164</v>
      </c>
      <c r="L130" s="17" t="s">
        <v>165</v>
      </c>
      <c r="M130" s="17" t="s">
        <v>166</v>
      </c>
      <c r="N130" s="17" t="s">
        <v>167</v>
      </c>
      <c r="O130" s="17" t="s">
        <v>168</v>
      </c>
      <c r="AG130" t="s">
        <v>160</v>
      </c>
      <c r="AH130" s="17" t="s">
        <v>155</v>
      </c>
      <c r="AI130" s="17" t="s">
        <v>359</v>
      </c>
      <c r="AJ130" s="17" t="s">
        <v>155</v>
      </c>
      <c r="AK130" s="17" t="s">
        <v>155</v>
      </c>
      <c r="AL130" s="17" t="s">
        <v>155</v>
      </c>
      <c r="AX130" t="s">
        <v>164</v>
      </c>
      <c r="AY130" t="s">
        <v>165</v>
      </c>
      <c r="AZ130" t="s">
        <v>166</v>
      </c>
      <c r="BA130" t="s">
        <v>167</v>
      </c>
      <c r="BB130" t="s">
        <v>168</v>
      </c>
      <c r="BD130">
        <f t="shared" si="8"/>
        <v>0</v>
      </c>
      <c r="BE130">
        <f t="shared" si="9"/>
        <v>0</v>
      </c>
      <c r="BF130">
        <f t="shared" si="10"/>
        <v>0</v>
      </c>
      <c r="BG130">
        <f t="shared" si="11"/>
        <v>0</v>
      </c>
      <c r="BH130">
        <f t="shared" si="12"/>
        <v>0</v>
      </c>
      <c r="BI130">
        <f t="shared" si="13"/>
        <v>0</v>
      </c>
    </row>
    <row r="131" spans="2:61" x14ac:dyDescent="0.3">
      <c r="B131" s="15" t="s">
        <v>560</v>
      </c>
      <c r="J131" t="s">
        <v>548</v>
      </c>
      <c r="K131" s="17" t="s">
        <v>155</v>
      </c>
      <c r="L131" s="17" t="s">
        <v>333</v>
      </c>
      <c r="M131" s="17" t="s">
        <v>333</v>
      </c>
      <c r="N131" s="17" t="s">
        <v>155</v>
      </c>
      <c r="O131" s="17" t="s">
        <v>333</v>
      </c>
      <c r="Y131" s="15" t="s">
        <v>560</v>
      </c>
      <c r="AW131" t="s">
        <v>548</v>
      </c>
      <c r="AX131" t="s">
        <v>155</v>
      </c>
      <c r="AY131" t="s">
        <v>333</v>
      </c>
      <c r="AZ131" t="s">
        <v>333</v>
      </c>
      <c r="BA131" t="s">
        <v>155</v>
      </c>
      <c r="BB131" t="s">
        <v>333</v>
      </c>
      <c r="BD131">
        <f t="shared" si="8"/>
        <v>0</v>
      </c>
      <c r="BE131">
        <f t="shared" si="9"/>
        <v>0</v>
      </c>
      <c r="BF131">
        <f t="shared" si="10"/>
        <v>0</v>
      </c>
      <c r="BG131">
        <f t="shared" si="11"/>
        <v>0</v>
      </c>
      <c r="BH131">
        <f t="shared" si="12"/>
        <v>0</v>
      </c>
      <c r="BI131">
        <f t="shared" si="13"/>
        <v>0</v>
      </c>
    </row>
    <row r="132" spans="2:61" x14ac:dyDescent="0.3">
      <c r="C132" s="17" t="s">
        <v>164</v>
      </c>
      <c r="D132" s="17" t="s">
        <v>165</v>
      </c>
      <c r="E132" s="17" t="s">
        <v>166</v>
      </c>
      <c r="F132" s="17" t="s">
        <v>167</v>
      </c>
      <c r="G132" s="17" t="s">
        <v>168</v>
      </c>
      <c r="J132" t="s">
        <v>549</v>
      </c>
      <c r="K132" s="17" t="s">
        <v>155</v>
      </c>
      <c r="L132" s="17" t="s">
        <v>333</v>
      </c>
      <c r="M132" s="17" t="s">
        <v>333</v>
      </c>
      <c r="N132" s="17" t="s">
        <v>155</v>
      </c>
      <c r="O132" s="17" t="s">
        <v>333</v>
      </c>
      <c r="Z132" s="17" t="s">
        <v>164</v>
      </c>
      <c r="AA132" s="17" t="s">
        <v>165</v>
      </c>
      <c r="AB132" s="17" t="s">
        <v>166</v>
      </c>
      <c r="AC132" s="17" t="s">
        <v>167</v>
      </c>
      <c r="AD132" s="17" t="s">
        <v>168</v>
      </c>
      <c r="AG132" t="s">
        <v>731</v>
      </c>
      <c r="AW132" t="s">
        <v>549</v>
      </c>
      <c r="AX132" t="s">
        <v>155</v>
      </c>
      <c r="AY132" t="s">
        <v>333</v>
      </c>
      <c r="AZ132" t="s">
        <v>333</v>
      </c>
      <c r="BA132" t="s">
        <v>155</v>
      </c>
      <c r="BB132" t="s">
        <v>333</v>
      </c>
      <c r="BD132">
        <f t="shared" si="8"/>
        <v>0</v>
      </c>
      <c r="BE132">
        <f t="shared" si="9"/>
        <v>0</v>
      </c>
      <c r="BF132">
        <f t="shared" si="10"/>
        <v>0</v>
      </c>
      <c r="BG132">
        <f t="shared" si="11"/>
        <v>0</v>
      </c>
      <c r="BH132">
        <f t="shared" si="12"/>
        <v>0</v>
      </c>
      <c r="BI132">
        <f t="shared" si="13"/>
        <v>0</v>
      </c>
    </row>
    <row r="133" spans="2:61" x14ac:dyDescent="0.3">
      <c r="B133" s="15" t="s">
        <v>548</v>
      </c>
      <c r="C133" s="17" t="s">
        <v>636</v>
      </c>
      <c r="D133" s="17" t="s">
        <v>562</v>
      </c>
      <c r="E133" s="17" t="s">
        <v>155</v>
      </c>
      <c r="F133" s="17" t="s">
        <v>562</v>
      </c>
      <c r="G133" s="17" t="s">
        <v>691</v>
      </c>
      <c r="J133" t="s">
        <v>550</v>
      </c>
      <c r="K133" s="17" t="s">
        <v>155</v>
      </c>
      <c r="L133" s="17" t="s">
        <v>155</v>
      </c>
      <c r="M133" s="17" t="s">
        <v>155</v>
      </c>
      <c r="N133" s="17" t="s">
        <v>155</v>
      </c>
      <c r="O133" s="17" t="s">
        <v>333</v>
      </c>
      <c r="Y133" s="15" t="s">
        <v>548</v>
      </c>
      <c r="Z133" s="17" t="s">
        <v>636</v>
      </c>
      <c r="AA133" s="17" t="s">
        <v>562</v>
      </c>
      <c r="AB133" s="17" t="s">
        <v>155</v>
      </c>
      <c r="AC133" s="17" t="s">
        <v>562</v>
      </c>
      <c r="AD133" s="17" t="s">
        <v>691</v>
      </c>
      <c r="AH133" s="17" t="s">
        <v>164</v>
      </c>
      <c r="AI133" s="17" t="s">
        <v>165</v>
      </c>
      <c r="AJ133" s="17" t="s">
        <v>166</v>
      </c>
      <c r="AK133" s="17" t="s">
        <v>167</v>
      </c>
      <c r="AL133" s="17" t="s">
        <v>168</v>
      </c>
      <c r="AW133" t="s">
        <v>550</v>
      </c>
      <c r="AX133" t="s">
        <v>155</v>
      </c>
      <c r="AY133" t="s">
        <v>155</v>
      </c>
      <c r="AZ133" t="s">
        <v>155</v>
      </c>
      <c r="BA133" t="s">
        <v>155</v>
      </c>
      <c r="BB133" t="s">
        <v>333</v>
      </c>
      <c r="BD133">
        <f t="shared" si="8"/>
        <v>0</v>
      </c>
      <c r="BE133">
        <f t="shared" si="9"/>
        <v>0</v>
      </c>
      <c r="BF133">
        <f t="shared" si="10"/>
        <v>0</v>
      </c>
      <c r="BG133">
        <f t="shared" si="11"/>
        <v>0</v>
      </c>
      <c r="BH133">
        <f t="shared" si="12"/>
        <v>0</v>
      </c>
      <c r="BI133">
        <f t="shared" si="13"/>
        <v>0</v>
      </c>
    </row>
    <row r="134" spans="2:61" x14ac:dyDescent="0.3">
      <c r="B134" s="15" t="s">
        <v>549</v>
      </c>
      <c r="C134" s="17" t="s">
        <v>636</v>
      </c>
      <c r="D134" s="17" t="s">
        <v>562</v>
      </c>
      <c r="E134" s="17" t="s">
        <v>565</v>
      </c>
      <c r="F134" s="17" t="s">
        <v>562</v>
      </c>
      <c r="G134" s="17" t="s">
        <v>691</v>
      </c>
      <c r="J134" t="s">
        <v>158</v>
      </c>
      <c r="K134" s="17" t="s">
        <v>155</v>
      </c>
      <c r="L134" s="17" t="s">
        <v>155</v>
      </c>
      <c r="M134" s="17" t="s">
        <v>155</v>
      </c>
      <c r="N134" s="17" t="s">
        <v>155</v>
      </c>
      <c r="O134" s="17" t="s">
        <v>333</v>
      </c>
      <c r="Y134" s="15" t="s">
        <v>549</v>
      </c>
      <c r="Z134" s="17" t="s">
        <v>636</v>
      </c>
      <c r="AA134" s="17" t="s">
        <v>562</v>
      </c>
      <c r="AB134" s="17" t="s">
        <v>565</v>
      </c>
      <c r="AC134" s="17" t="s">
        <v>562</v>
      </c>
      <c r="AD134" s="17" t="s">
        <v>691</v>
      </c>
      <c r="AG134" t="s">
        <v>548</v>
      </c>
      <c r="AH134" s="17" t="s">
        <v>155</v>
      </c>
      <c r="AI134" s="17" t="s">
        <v>333</v>
      </c>
      <c r="AJ134" s="17" t="s">
        <v>333</v>
      </c>
      <c r="AK134" s="17" t="s">
        <v>155</v>
      </c>
      <c r="AL134" s="17" t="s">
        <v>333</v>
      </c>
      <c r="AW134" t="s">
        <v>158</v>
      </c>
      <c r="AX134" t="s">
        <v>155</v>
      </c>
      <c r="AY134" t="s">
        <v>155</v>
      </c>
      <c r="AZ134" t="s">
        <v>155</v>
      </c>
      <c r="BA134" t="s">
        <v>155</v>
      </c>
      <c r="BB134" t="s">
        <v>333</v>
      </c>
      <c r="BD134">
        <f t="shared" si="8"/>
        <v>0</v>
      </c>
      <c r="BE134">
        <f t="shared" si="9"/>
        <v>0</v>
      </c>
      <c r="BF134">
        <f t="shared" si="10"/>
        <v>0</v>
      </c>
      <c r="BG134">
        <f t="shared" si="11"/>
        <v>0</v>
      </c>
      <c r="BH134">
        <f t="shared" si="12"/>
        <v>0</v>
      </c>
      <c r="BI134">
        <f t="shared" si="13"/>
        <v>0</v>
      </c>
    </row>
    <row r="135" spans="2:61" x14ac:dyDescent="0.3">
      <c r="B135" s="15" t="s">
        <v>550</v>
      </c>
      <c r="C135" s="17" t="s">
        <v>636</v>
      </c>
      <c r="D135" s="17" t="s">
        <v>641</v>
      </c>
      <c r="E135" s="17" t="s">
        <v>565</v>
      </c>
      <c r="F135" s="17" t="s">
        <v>641</v>
      </c>
      <c r="G135" s="17" t="s">
        <v>564</v>
      </c>
      <c r="J135" t="s">
        <v>159</v>
      </c>
      <c r="K135" s="17" t="s">
        <v>155</v>
      </c>
      <c r="L135" s="17" t="s">
        <v>155</v>
      </c>
      <c r="M135" s="17" t="s">
        <v>155</v>
      </c>
      <c r="N135" s="17" t="s">
        <v>155</v>
      </c>
      <c r="O135" s="17" t="s">
        <v>333</v>
      </c>
      <c r="Y135" s="15" t="s">
        <v>550</v>
      </c>
      <c r="Z135" s="17" t="s">
        <v>636</v>
      </c>
      <c r="AA135" s="17" t="s">
        <v>563</v>
      </c>
      <c r="AB135" s="17" t="s">
        <v>565</v>
      </c>
      <c r="AC135" s="17" t="s">
        <v>563</v>
      </c>
      <c r="AD135" s="17" t="s">
        <v>564</v>
      </c>
      <c r="AG135" t="s">
        <v>549</v>
      </c>
      <c r="AH135" s="17" t="s">
        <v>155</v>
      </c>
      <c r="AI135" s="17" t="s">
        <v>333</v>
      </c>
      <c r="AJ135" s="17" t="s">
        <v>333</v>
      </c>
      <c r="AK135" s="17" t="s">
        <v>155</v>
      </c>
      <c r="AL135" s="17" t="s">
        <v>333</v>
      </c>
      <c r="AW135" t="s">
        <v>159</v>
      </c>
      <c r="AX135" t="s">
        <v>155</v>
      </c>
      <c r="AY135" t="s">
        <v>155</v>
      </c>
      <c r="AZ135" t="s">
        <v>155</v>
      </c>
      <c r="BA135" t="s">
        <v>155</v>
      </c>
      <c r="BB135" t="s">
        <v>333</v>
      </c>
      <c r="BD135">
        <f t="shared" si="8"/>
        <v>0</v>
      </c>
      <c r="BE135">
        <f t="shared" si="9"/>
        <v>0</v>
      </c>
      <c r="BF135">
        <f t="shared" si="10"/>
        <v>0</v>
      </c>
      <c r="BG135">
        <f t="shared" si="11"/>
        <v>0</v>
      </c>
      <c r="BH135">
        <f t="shared" si="12"/>
        <v>0</v>
      </c>
      <c r="BI135">
        <f t="shared" si="13"/>
        <v>0</v>
      </c>
    </row>
    <row r="136" spans="2:61" x14ac:dyDescent="0.3">
      <c r="B136" s="15" t="s">
        <v>158</v>
      </c>
      <c r="C136" s="17" t="s">
        <v>636</v>
      </c>
      <c r="D136" s="17" t="s">
        <v>641</v>
      </c>
      <c r="E136" s="17" t="s">
        <v>565</v>
      </c>
      <c r="F136" s="17" t="s">
        <v>641</v>
      </c>
      <c r="G136" s="17" t="s">
        <v>564</v>
      </c>
      <c r="J136" t="s">
        <v>160</v>
      </c>
      <c r="K136" s="17" t="s">
        <v>155</v>
      </c>
      <c r="L136" s="17" t="s">
        <v>155</v>
      </c>
      <c r="M136" s="17" t="s">
        <v>155</v>
      </c>
      <c r="N136" s="17" t="s">
        <v>155</v>
      </c>
      <c r="O136" s="17" t="s">
        <v>333</v>
      </c>
      <c r="Y136" s="15" t="s">
        <v>158</v>
      </c>
      <c r="Z136" s="17" t="s">
        <v>636</v>
      </c>
      <c r="AA136" s="17" t="s">
        <v>563</v>
      </c>
      <c r="AB136" s="17" t="s">
        <v>565</v>
      </c>
      <c r="AC136" s="17" t="s">
        <v>641</v>
      </c>
      <c r="AD136" s="17" t="s">
        <v>564</v>
      </c>
      <c r="AG136" t="s">
        <v>550</v>
      </c>
      <c r="AH136" s="17" t="s">
        <v>155</v>
      </c>
      <c r="AI136" s="17" t="s">
        <v>155</v>
      </c>
      <c r="AJ136" s="17" t="s">
        <v>155</v>
      </c>
      <c r="AK136" s="17" t="s">
        <v>155</v>
      </c>
      <c r="AL136" s="17" t="s">
        <v>333</v>
      </c>
      <c r="AW136" t="s">
        <v>160</v>
      </c>
      <c r="AX136" t="s">
        <v>155</v>
      </c>
      <c r="AY136" t="s">
        <v>155</v>
      </c>
      <c r="AZ136" t="s">
        <v>155</v>
      </c>
      <c r="BA136" t="s">
        <v>155</v>
      </c>
      <c r="BB136" t="s">
        <v>333</v>
      </c>
      <c r="BD136">
        <f t="shared" si="8"/>
        <v>0</v>
      </c>
      <c r="BE136">
        <f t="shared" si="9"/>
        <v>0</v>
      </c>
      <c r="BF136">
        <f t="shared" si="10"/>
        <v>0</v>
      </c>
      <c r="BG136">
        <f t="shared" si="11"/>
        <v>0</v>
      </c>
      <c r="BH136">
        <f t="shared" si="12"/>
        <v>0</v>
      </c>
      <c r="BI136">
        <f t="shared" si="13"/>
        <v>0</v>
      </c>
    </row>
    <row r="137" spans="2:61" x14ac:dyDescent="0.3">
      <c r="B137" s="15" t="s">
        <v>159</v>
      </c>
      <c r="C137" s="17" t="s">
        <v>636</v>
      </c>
      <c r="D137" s="17" t="s">
        <v>563</v>
      </c>
      <c r="E137" s="17" t="s">
        <v>564</v>
      </c>
      <c r="F137" s="17" t="s">
        <v>563</v>
      </c>
      <c r="G137" s="17" t="s">
        <v>564</v>
      </c>
      <c r="Y137" s="15" t="s">
        <v>159</v>
      </c>
      <c r="Z137" s="17" t="s">
        <v>636</v>
      </c>
      <c r="AA137" s="17" t="s">
        <v>641</v>
      </c>
      <c r="AB137" s="17" t="s">
        <v>564</v>
      </c>
      <c r="AC137" s="17" t="s">
        <v>641</v>
      </c>
      <c r="AD137" s="17" t="s">
        <v>564</v>
      </c>
      <c r="AG137" t="s">
        <v>158</v>
      </c>
      <c r="AH137" s="17" t="s">
        <v>155</v>
      </c>
      <c r="AI137" s="17" t="s">
        <v>155</v>
      </c>
      <c r="AJ137" s="17" t="s">
        <v>155</v>
      </c>
      <c r="AK137" s="17" t="s">
        <v>155</v>
      </c>
      <c r="AL137" s="17" t="s">
        <v>333</v>
      </c>
      <c r="BD137">
        <f t="shared" ref="BD137:BD200" si="14">IF(J137=AW137,0,1)</f>
        <v>0</v>
      </c>
      <c r="BE137">
        <f t="shared" ref="BE137:BE200" si="15">IF(K137=AX137,0,1)</f>
        <v>0</v>
      </c>
      <c r="BF137">
        <f t="shared" ref="BF137:BF200" si="16">IF(L137=AY137,0,1)</f>
        <v>0</v>
      </c>
      <c r="BG137">
        <f t="shared" ref="BG137:BG200" si="17">IF(M137=AZ137,0,1)</f>
        <v>0</v>
      </c>
      <c r="BH137">
        <f t="shared" ref="BH137:BH200" si="18">IF(N137=BA137,0,1)</f>
        <v>0</v>
      </c>
      <c r="BI137">
        <f t="shared" ref="BI137:BI200" si="19">IF(O137=BB137,0,1)</f>
        <v>0</v>
      </c>
    </row>
    <row r="138" spans="2:61" x14ac:dyDescent="0.3">
      <c r="B138" s="15" t="s">
        <v>160</v>
      </c>
      <c r="C138" s="17" t="s">
        <v>636</v>
      </c>
      <c r="D138" s="17" t="s">
        <v>563</v>
      </c>
      <c r="E138" s="17" t="s">
        <v>564</v>
      </c>
      <c r="F138" s="17" t="s">
        <v>155</v>
      </c>
      <c r="G138" s="17" t="s">
        <v>155</v>
      </c>
      <c r="J138" t="s">
        <v>709</v>
      </c>
      <c r="Y138" s="15" t="s">
        <v>160</v>
      </c>
      <c r="Z138" s="17" t="s">
        <v>636</v>
      </c>
      <c r="AA138" s="17" t="s">
        <v>641</v>
      </c>
      <c r="AB138" s="17" t="s">
        <v>564</v>
      </c>
      <c r="AC138" s="17" t="s">
        <v>155</v>
      </c>
      <c r="AD138" s="17" t="s">
        <v>155</v>
      </c>
      <c r="AG138" t="s">
        <v>159</v>
      </c>
      <c r="AH138" s="17" t="s">
        <v>155</v>
      </c>
      <c r="AI138" s="17" t="s">
        <v>155</v>
      </c>
      <c r="AJ138" s="17" t="s">
        <v>155</v>
      </c>
      <c r="AK138" s="17" t="s">
        <v>155</v>
      </c>
      <c r="AL138" s="17" t="s">
        <v>333</v>
      </c>
      <c r="AW138" t="s">
        <v>709</v>
      </c>
      <c r="BD138">
        <f t="shared" si="14"/>
        <v>0</v>
      </c>
      <c r="BE138">
        <f t="shared" si="15"/>
        <v>0</v>
      </c>
      <c r="BF138">
        <f t="shared" si="16"/>
        <v>0</v>
      </c>
      <c r="BG138">
        <f t="shared" si="17"/>
        <v>0</v>
      </c>
      <c r="BH138">
        <f t="shared" si="18"/>
        <v>0</v>
      </c>
      <c r="BI138">
        <f t="shared" si="19"/>
        <v>0</v>
      </c>
    </row>
    <row r="139" spans="2:61" x14ac:dyDescent="0.3">
      <c r="K139" s="17" t="s">
        <v>164</v>
      </c>
      <c r="L139" s="17" t="s">
        <v>165</v>
      </c>
      <c r="M139" s="17" t="s">
        <v>166</v>
      </c>
      <c r="N139" s="17" t="s">
        <v>167</v>
      </c>
      <c r="O139" s="17" t="s">
        <v>168</v>
      </c>
      <c r="AG139" t="s">
        <v>160</v>
      </c>
      <c r="AH139" s="17" t="s">
        <v>155</v>
      </c>
      <c r="AI139" s="17" t="s">
        <v>155</v>
      </c>
      <c r="AJ139" s="17" t="s">
        <v>155</v>
      </c>
      <c r="AK139" s="17" t="s">
        <v>155</v>
      </c>
      <c r="AL139" s="17" t="s">
        <v>333</v>
      </c>
      <c r="AX139" t="s">
        <v>164</v>
      </c>
      <c r="AY139" t="s">
        <v>165</v>
      </c>
      <c r="AZ139" t="s">
        <v>166</v>
      </c>
      <c r="BA139" t="s">
        <v>167</v>
      </c>
      <c r="BB139" t="s">
        <v>168</v>
      </c>
      <c r="BD139">
        <f t="shared" si="14"/>
        <v>0</v>
      </c>
      <c r="BE139">
        <f t="shared" si="15"/>
        <v>0</v>
      </c>
      <c r="BF139">
        <f t="shared" si="16"/>
        <v>0</v>
      </c>
      <c r="BG139">
        <f t="shared" si="17"/>
        <v>0</v>
      </c>
      <c r="BH139">
        <f t="shared" si="18"/>
        <v>0</v>
      </c>
      <c r="BI139">
        <f t="shared" si="19"/>
        <v>0</v>
      </c>
    </row>
    <row r="140" spans="2:61" x14ac:dyDescent="0.3">
      <c r="B140" s="15" t="s">
        <v>561</v>
      </c>
      <c r="J140" t="s">
        <v>556</v>
      </c>
      <c r="K140" s="17" t="s">
        <v>155</v>
      </c>
      <c r="L140" s="17" t="s">
        <v>155</v>
      </c>
      <c r="M140" s="17" t="s">
        <v>408</v>
      </c>
      <c r="N140" s="17" t="s">
        <v>155</v>
      </c>
      <c r="O140" s="17" t="s">
        <v>155</v>
      </c>
      <c r="Y140" s="15" t="s">
        <v>561</v>
      </c>
      <c r="AW140" t="s">
        <v>556</v>
      </c>
      <c r="AX140" t="s">
        <v>155</v>
      </c>
      <c r="AY140" t="s">
        <v>155</v>
      </c>
      <c r="AZ140" t="s">
        <v>408</v>
      </c>
      <c r="BA140" t="s">
        <v>155</v>
      </c>
      <c r="BB140" t="s">
        <v>155</v>
      </c>
      <c r="BD140">
        <f t="shared" si="14"/>
        <v>0</v>
      </c>
      <c r="BE140">
        <f t="shared" si="15"/>
        <v>0</v>
      </c>
      <c r="BF140">
        <f t="shared" si="16"/>
        <v>0</v>
      </c>
      <c r="BG140">
        <f t="shared" si="17"/>
        <v>0</v>
      </c>
      <c r="BH140">
        <f t="shared" si="18"/>
        <v>0</v>
      </c>
      <c r="BI140">
        <f t="shared" si="19"/>
        <v>0</v>
      </c>
    </row>
    <row r="141" spans="2:61" x14ac:dyDescent="0.3">
      <c r="C141" s="17" t="s">
        <v>164</v>
      </c>
      <c r="D141" s="17" t="s">
        <v>165</v>
      </c>
      <c r="E141" s="17" t="s">
        <v>166</v>
      </c>
      <c r="F141" s="17" t="s">
        <v>167</v>
      </c>
      <c r="G141" s="17" t="s">
        <v>168</v>
      </c>
      <c r="J141" t="s">
        <v>557</v>
      </c>
      <c r="K141" s="17" t="s">
        <v>155</v>
      </c>
      <c r="L141" s="17" t="s">
        <v>155</v>
      </c>
      <c r="M141" s="17" t="s">
        <v>408</v>
      </c>
      <c r="N141" s="17" t="s">
        <v>155</v>
      </c>
      <c r="O141" s="17" t="s">
        <v>155</v>
      </c>
      <c r="Z141" s="17" t="s">
        <v>164</v>
      </c>
      <c r="AA141" s="17" t="s">
        <v>165</v>
      </c>
      <c r="AB141" s="17" t="s">
        <v>166</v>
      </c>
      <c r="AC141" s="17" t="s">
        <v>167</v>
      </c>
      <c r="AD141" s="17" t="s">
        <v>168</v>
      </c>
      <c r="AG141" t="s">
        <v>709</v>
      </c>
      <c r="AW141" t="s">
        <v>557</v>
      </c>
      <c r="AX141" t="s">
        <v>155</v>
      </c>
      <c r="AY141" t="s">
        <v>155</v>
      </c>
      <c r="AZ141" t="s">
        <v>408</v>
      </c>
      <c r="BA141" t="s">
        <v>155</v>
      </c>
      <c r="BB141" t="s">
        <v>155</v>
      </c>
      <c r="BD141">
        <f t="shared" si="14"/>
        <v>0</v>
      </c>
      <c r="BE141">
        <f t="shared" si="15"/>
        <v>0</v>
      </c>
      <c r="BF141">
        <f t="shared" si="16"/>
        <v>0</v>
      </c>
      <c r="BG141">
        <f t="shared" si="17"/>
        <v>0</v>
      </c>
      <c r="BH141">
        <f t="shared" si="18"/>
        <v>0</v>
      </c>
      <c r="BI141">
        <f t="shared" si="19"/>
        <v>0</v>
      </c>
    </row>
    <row r="142" spans="2:61" x14ac:dyDescent="0.3">
      <c r="B142" s="15" t="s">
        <v>548</v>
      </c>
      <c r="C142" s="17" t="s">
        <v>155</v>
      </c>
      <c r="D142" s="17" t="s">
        <v>562</v>
      </c>
      <c r="E142" s="17" t="s">
        <v>566</v>
      </c>
      <c r="F142" s="17" t="s">
        <v>562</v>
      </c>
      <c r="G142" s="17" t="s">
        <v>566</v>
      </c>
      <c r="J142" t="s">
        <v>543</v>
      </c>
      <c r="K142" s="17" t="s">
        <v>408</v>
      </c>
      <c r="L142" s="17" t="s">
        <v>155</v>
      </c>
      <c r="M142" s="17" t="s">
        <v>155</v>
      </c>
      <c r="N142" s="17" t="s">
        <v>155</v>
      </c>
      <c r="O142" s="17" t="s">
        <v>155</v>
      </c>
      <c r="Y142" s="15" t="s">
        <v>548</v>
      </c>
      <c r="Z142" s="17" t="s">
        <v>155</v>
      </c>
      <c r="AA142" s="17" t="s">
        <v>562</v>
      </c>
      <c r="AB142" s="17" t="s">
        <v>566</v>
      </c>
      <c r="AC142" s="17" t="s">
        <v>562</v>
      </c>
      <c r="AD142" s="17" t="s">
        <v>566</v>
      </c>
      <c r="AH142" s="17" t="s">
        <v>164</v>
      </c>
      <c r="AI142" s="17" t="s">
        <v>165</v>
      </c>
      <c r="AJ142" s="17" t="s">
        <v>166</v>
      </c>
      <c r="AK142" s="17" t="s">
        <v>167</v>
      </c>
      <c r="AL142" s="17" t="s">
        <v>168</v>
      </c>
      <c r="AW142" t="s">
        <v>543</v>
      </c>
      <c r="AX142" t="s">
        <v>408</v>
      </c>
      <c r="AY142" t="s">
        <v>155</v>
      </c>
      <c r="AZ142" t="s">
        <v>155</v>
      </c>
      <c r="BA142" t="s">
        <v>155</v>
      </c>
      <c r="BB142" t="s">
        <v>155</v>
      </c>
      <c r="BD142">
        <f t="shared" si="14"/>
        <v>0</v>
      </c>
      <c r="BE142">
        <f t="shared" si="15"/>
        <v>0</v>
      </c>
      <c r="BF142">
        <f t="shared" si="16"/>
        <v>0</v>
      </c>
      <c r="BG142">
        <f t="shared" si="17"/>
        <v>0</v>
      </c>
      <c r="BH142">
        <f t="shared" si="18"/>
        <v>0</v>
      </c>
      <c r="BI142">
        <f t="shared" si="19"/>
        <v>0</v>
      </c>
    </row>
    <row r="143" spans="2:61" x14ac:dyDescent="0.3">
      <c r="B143" s="15" t="s">
        <v>549</v>
      </c>
      <c r="C143" s="17" t="s">
        <v>692</v>
      </c>
      <c r="D143" s="17" t="s">
        <v>562</v>
      </c>
      <c r="E143" s="17" t="s">
        <v>566</v>
      </c>
      <c r="F143" s="17" t="s">
        <v>562</v>
      </c>
      <c r="G143" s="17" t="s">
        <v>566</v>
      </c>
      <c r="J143" t="s">
        <v>544</v>
      </c>
      <c r="K143" s="17" t="s">
        <v>408</v>
      </c>
      <c r="L143" s="17" t="s">
        <v>155</v>
      </c>
      <c r="M143" s="17" t="s">
        <v>90</v>
      </c>
      <c r="N143" s="17" t="s">
        <v>155</v>
      </c>
      <c r="O143" s="17" t="s">
        <v>155</v>
      </c>
      <c r="Y143" s="15" t="s">
        <v>549</v>
      </c>
      <c r="Z143" s="17" t="s">
        <v>692</v>
      </c>
      <c r="AA143" s="17" t="s">
        <v>562</v>
      </c>
      <c r="AB143" s="17" t="s">
        <v>566</v>
      </c>
      <c r="AC143" s="17" t="s">
        <v>562</v>
      </c>
      <c r="AD143" s="17" t="s">
        <v>566</v>
      </c>
      <c r="AG143" t="s">
        <v>556</v>
      </c>
      <c r="AH143" s="17" t="s">
        <v>155</v>
      </c>
      <c r="AI143" s="17" t="s">
        <v>155</v>
      </c>
      <c r="AJ143" s="17" t="s">
        <v>408</v>
      </c>
      <c r="AK143" s="17" t="s">
        <v>155</v>
      </c>
      <c r="AL143" s="17" t="s">
        <v>155</v>
      </c>
      <c r="AW143" t="s">
        <v>544</v>
      </c>
      <c r="AX143" t="s">
        <v>408</v>
      </c>
      <c r="AY143" t="s">
        <v>155</v>
      </c>
      <c r="AZ143" t="s">
        <v>90</v>
      </c>
      <c r="BA143" t="s">
        <v>155</v>
      </c>
      <c r="BB143" t="s">
        <v>155</v>
      </c>
      <c r="BD143">
        <f t="shared" si="14"/>
        <v>0</v>
      </c>
      <c r="BE143">
        <f t="shared" si="15"/>
        <v>0</v>
      </c>
      <c r="BF143">
        <f t="shared" si="16"/>
        <v>0</v>
      </c>
      <c r="BG143">
        <f t="shared" si="17"/>
        <v>0</v>
      </c>
      <c r="BH143">
        <f t="shared" si="18"/>
        <v>0</v>
      </c>
      <c r="BI143">
        <f t="shared" si="19"/>
        <v>0</v>
      </c>
    </row>
    <row r="144" spans="2:61" x14ac:dyDescent="0.3">
      <c r="B144" s="15" t="s">
        <v>550</v>
      </c>
      <c r="C144" s="17" t="s">
        <v>692</v>
      </c>
      <c r="D144" s="17" t="s">
        <v>641</v>
      </c>
      <c r="E144" s="17" t="s">
        <v>566</v>
      </c>
      <c r="F144" s="17" t="s">
        <v>641</v>
      </c>
      <c r="G144" s="17" t="s">
        <v>566</v>
      </c>
      <c r="J144" t="s">
        <v>545</v>
      </c>
      <c r="K144" s="17" t="s">
        <v>155</v>
      </c>
      <c r="L144" s="17" t="s">
        <v>155</v>
      </c>
      <c r="M144" s="17" t="s">
        <v>90</v>
      </c>
      <c r="N144" s="17" t="s">
        <v>155</v>
      </c>
      <c r="O144" s="17" t="s">
        <v>155</v>
      </c>
      <c r="Y144" s="15" t="s">
        <v>550</v>
      </c>
      <c r="Z144" s="17" t="s">
        <v>692</v>
      </c>
      <c r="AA144" s="17" t="s">
        <v>563</v>
      </c>
      <c r="AB144" s="17" t="s">
        <v>566</v>
      </c>
      <c r="AC144" s="17" t="s">
        <v>563</v>
      </c>
      <c r="AD144" s="17" t="s">
        <v>566</v>
      </c>
      <c r="AG144" t="s">
        <v>557</v>
      </c>
      <c r="AH144" s="17" t="s">
        <v>155</v>
      </c>
      <c r="AI144" s="17" t="s">
        <v>155</v>
      </c>
      <c r="AJ144" s="17" t="s">
        <v>408</v>
      </c>
      <c r="AK144" s="17" t="s">
        <v>155</v>
      </c>
      <c r="AL144" s="17" t="s">
        <v>155</v>
      </c>
      <c r="AW144" t="s">
        <v>545</v>
      </c>
      <c r="AX144" t="s">
        <v>155</v>
      </c>
      <c r="AY144" t="s">
        <v>155</v>
      </c>
      <c r="AZ144" t="s">
        <v>90</v>
      </c>
      <c r="BA144" t="s">
        <v>155</v>
      </c>
      <c r="BB144" t="s">
        <v>155</v>
      </c>
      <c r="BD144">
        <f t="shared" si="14"/>
        <v>0</v>
      </c>
      <c r="BE144">
        <f t="shared" si="15"/>
        <v>0</v>
      </c>
      <c r="BF144">
        <f t="shared" si="16"/>
        <v>0</v>
      </c>
      <c r="BG144">
        <f t="shared" si="17"/>
        <v>0</v>
      </c>
      <c r="BH144">
        <f t="shared" si="18"/>
        <v>0</v>
      </c>
      <c r="BI144">
        <f t="shared" si="19"/>
        <v>0</v>
      </c>
    </row>
    <row r="145" spans="2:61" x14ac:dyDescent="0.3">
      <c r="B145" s="15" t="s">
        <v>158</v>
      </c>
      <c r="C145" s="17" t="s">
        <v>567</v>
      </c>
      <c r="D145" s="17" t="s">
        <v>641</v>
      </c>
      <c r="E145" s="17" t="s">
        <v>692</v>
      </c>
      <c r="F145" s="17" t="s">
        <v>641</v>
      </c>
      <c r="G145" s="17" t="s">
        <v>567</v>
      </c>
      <c r="J145" t="s">
        <v>546</v>
      </c>
      <c r="K145" s="17" t="s">
        <v>155</v>
      </c>
      <c r="L145" s="17" t="s">
        <v>155</v>
      </c>
      <c r="M145" s="17" t="s">
        <v>90</v>
      </c>
      <c r="N145" s="17" t="s">
        <v>155</v>
      </c>
      <c r="O145" s="17" t="s">
        <v>155</v>
      </c>
      <c r="Y145" s="15" t="s">
        <v>158</v>
      </c>
      <c r="Z145" s="17" t="s">
        <v>567</v>
      </c>
      <c r="AA145" s="17" t="s">
        <v>563</v>
      </c>
      <c r="AB145" s="17" t="s">
        <v>692</v>
      </c>
      <c r="AC145" s="17" t="s">
        <v>641</v>
      </c>
      <c r="AD145" s="17" t="s">
        <v>567</v>
      </c>
      <c r="AG145" t="s">
        <v>543</v>
      </c>
      <c r="AH145" s="17" t="s">
        <v>408</v>
      </c>
      <c r="AI145" s="17" t="s">
        <v>155</v>
      </c>
      <c r="AJ145" s="17" t="s">
        <v>155</v>
      </c>
      <c r="AK145" s="17" t="s">
        <v>155</v>
      </c>
      <c r="AL145" s="17" t="s">
        <v>155</v>
      </c>
      <c r="AW145" t="s">
        <v>546</v>
      </c>
      <c r="AX145" t="s">
        <v>155</v>
      </c>
      <c r="AY145" t="s">
        <v>155</v>
      </c>
      <c r="AZ145" t="s">
        <v>90</v>
      </c>
      <c r="BA145" t="s">
        <v>155</v>
      </c>
      <c r="BB145" t="s">
        <v>155</v>
      </c>
      <c r="BD145">
        <f t="shared" si="14"/>
        <v>0</v>
      </c>
      <c r="BE145">
        <f t="shared" si="15"/>
        <v>0</v>
      </c>
      <c r="BF145">
        <f t="shared" si="16"/>
        <v>0</v>
      </c>
      <c r="BG145">
        <f t="shared" si="17"/>
        <v>0</v>
      </c>
      <c r="BH145">
        <f t="shared" si="18"/>
        <v>0</v>
      </c>
      <c r="BI145">
        <f t="shared" si="19"/>
        <v>0</v>
      </c>
    </row>
    <row r="146" spans="2:61" x14ac:dyDescent="0.3">
      <c r="B146" s="15" t="s">
        <v>159</v>
      </c>
      <c r="C146" s="17" t="s">
        <v>567</v>
      </c>
      <c r="D146" s="17" t="s">
        <v>563</v>
      </c>
      <c r="E146" s="17" t="s">
        <v>692</v>
      </c>
      <c r="F146" s="17" t="s">
        <v>563</v>
      </c>
      <c r="G146" s="17" t="s">
        <v>567</v>
      </c>
      <c r="Y146" s="15" t="s">
        <v>159</v>
      </c>
      <c r="Z146" s="17" t="s">
        <v>567</v>
      </c>
      <c r="AA146" s="17" t="s">
        <v>641</v>
      </c>
      <c r="AB146" s="17" t="s">
        <v>692</v>
      </c>
      <c r="AC146" s="17" t="s">
        <v>641</v>
      </c>
      <c r="AD146" s="17" t="s">
        <v>567</v>
      </c>
      <c r="AG146" t="s">
        <v>544</v>
      </c>
      <c r="AH146" s="17" t="s">
        <v>408</v>
      </c>
      <c r="AI146" s="17" t="s">
        <v>155</v>
      </c>
      <c r="AJ146" s="17" t="s">
        <v>90</v>
      </c>
      <c r="AK146" s="17" t="s">
        <v>155</v>
      </c>
      <c r="AL146" s="17" t="s">
        <v>155</v>
      </c>
      <c r="BD146">
        <f t="shared" si="14"/>
        <v>0</v>
      </c>
      <c r="BE146">
        <f t="shared" si="15"/>
        <v>0</v>
      </c>
      <c r="BF146">
        <f t="shared" si="16"/>
        <v>0</v>
      </c>
      <c r="BG146">
        <f t="shared" si="17"/>
        <v>0</v>
      </c>
      <c r="BH146">
        <f t="shared" si="18"/>
        <v>0</v>
      </c>
      <c r="BI146">
        <f t="shared" si="19"/>
        <v>0</v>
      </c>
    </row>
    <row r="147" spans="2:61" x14ac:dyDescent="0.3">
      <c r="B147" s="15" t="s">
        <v>160</v>
      </c>
      <c r="C147" s="17" t="s">
        <v>567</v>
      </c>
      <c r="D147" s="17" t="s">
        <v>563</v>
      </c>
      <c r="E147" s="17" t="s">
        <v>155</v>
      </c>
      <c r="F147" s="17" t="s">
        <v>155</v>
      </c>
      <c r="G147" s="17" t="s">
        <v>567</v>
      </c>
      <c r="J147" t="s">
        <v>823</v>
      </c>
      <c r="Y147" s="15" t="s">
        <v>160</v>
      </c>
      <c r="Z147" s="17" t="s">
        <v>567</v>
      </c>
      <c r="AA147" s="17" t="s">
        <v>641</v>
      </c>
      <c r="AB147" s="17" t="s">
        <v>155</v>
      </c>
      <c r="AC147" s="17" t="s">
        <v>155</v>
      </c>
      <c r="AD147" s="17" t="s">
        <v>567</v>
      </c>
      <c r="AG147" t="s">
        <v>545</v>
      </c>
      <c r="AH147" s="17" t="s">
        <v>155</v>
      </c>
      <c r="AI147" s="17" t="s">
        <v>155</v>
      </c>
      <c r="AJ147" s="17" t="s">
        <v>90</v>
      </c>
      <c r="AK147" s="17" t="s">
        <v>155</v>
      </c>
      <c r="AL147" s="17" t="s">
        <v>155</v>
      </c>
      <c r="AW147" t="s">
        <v>823</v>
      </c>
      <c r="BD147">
        <f t="shared" si="14"/>
        <v>0</v>
      </c>
      <c r="BE147">
        <f t="shared" si="15"/>
        <v>0</v>
      </c>
      <c r="BF147">
        <f t="shared" si="16"/>
        <v>0</v>
      </c>
      <c r="BG147">
        <f t="shared" si="17"/>
        <v>0</v>
      </c>
      <c r="BH147">
        <f t="shared" si="18"/>
        <v>0</v>
      </c>
      <c r="BI147">
        <f t="shared" si="19"/>
        <v>0</v>
      </c>
    </row>
    <row r="148" spans="2:61" x14ac:dyDescent="0.3">
      <c r="K148" s="17" t="s">
        <v>164</v>
      </c>
      <c r="L148" s="17" t="s">
        <v>165</v>
      </c>
      <c r="M148" s="17" t="s">
        <v>166</v>
      </c>
      <c r="N148" s="17" t="s">
        <v>167</v>
      </c>
      <c r="O148" s="17" t="s">
        <v>168</v>
      </c>
      <c r="AG148" t="s">
        <v>546</v>
      </c>
      <c r="AH148" s="17" t="s">
        <v>155</v>
      </c>
      <c r="AI148" s="17" t="s">
        <v>155</v>
      </c>
      <c r="AJ148" s="17" t="s">
        <v>90</v>
      </c>
      <c r="AK148" s="17" t="s">
        <v>155</v>
      </c>
      <c r="AL148" s="17" t="s">
        <v>155</v>
      </c>
      <c r="AX148" t="s">
        <v>164</v>
      </c>
      <c r="AY148" t="s">
        <v>165</v>
      </c>
      <c r="AZ148" t="s">
        <v>166</v>
      </c>
      <c r="BA148" t="s">
        <v>167</v>
      </c>
      <c r="BB148" t="s">
        <v>168</v>
      </c>
      <c r="BD148">
        <f t="shared" si="14"/>
        <v>0</v>
      </c>
      <c r="BE148">
        <f t="shared" si="15"/>
        <v>0</v>
      </c>
      <c r="BF148">
        <f t="shared" si="16"/>
        <v>0</v>
      </c>
      <c r="BG148">
        <f t="shared" si="17"/>
        <v>0</v>
      </c>
      <c r="BH148">
        <f t="shared" si="18"/>
        <v>0</v>
      </c>
      <c r="BI148">
        <f t="shared" si="19"/>
        <v>0</v>
      </c>
    </row>
    <row r="149" spans="2:61" x14ac:dyDescent="0.3">
      <c r="B149" s="15" t="s">
        <v>637</v>
      </c>
      <c r="J149" t="s">
        <v>555</v>
      </c>
      <c r="K149" s="17" t="s">
        <v>155</v>
      </c>
      <c r="L149" s="17" t="s">
        <v>410</v>
      </c>
      <c r="M149" s="17" t="s">
        <v>155</v>
      </c>
      <c r="N149" s="17" t="s">
        <v>465</v>
      </c>
      <c r="O149" s="17" t="s">
        <v>155</v>
      </c>
      <c r="Y149" s="15" t="s">
        <v>637</v>
      </c>
      <c r="AW149" t="s">
        <v>555</v>
      </c>
      <c r="AX149" t="s">
        <v>155</v>
      </c>
      <c r="AY149" t="s">
        <v>410</v>
      </c>
      <c r="AZ149" t="s">
        <v>155</v>
      </c>
      <c r="BA149" t="s">
        <v>465</v>
      </c>
      <c r="BB149" t="s">
        <v>155</v>
      </c>
      <c r="BD149">
        <f t="shared" si="14"/>
        <v>0</v>
      </c>
      <c r="BE149">
        <f t="shared" si="15"/>
        <v>0</v>
      </c>
      <c r="BF149">
        <f t="shared" si="16"/>
        <v>0</v>
      </c>
      <c r="BG149">
        <f t="shared" si="17"/>
        <v>0</v>
      </c>
      <c r="BH149">
        <f t="shared" si="18"/>
        <v>0</v>
      </c>
      <c r="BI149">
        <f t="shared" si="19"/>
        <v>0</v>
      </c>
    </row>
    <row r="150" spans="2:61" x14ac:dyDescent="0.3">
      <c r="C150" s="17" t="s">
        <v>164</v>
      </c>
      <c r="D150" s="17" t="s">
        <v>165</v>
      </c>
      <c r="E150" s="17" t="s">
        <v>166</v>
      </c>
      <c r="F150" s="17" t="s">
        <v>167</v>
      </c>
      <c r="G150" s="17" t="s">
        <v>168</v>
      </c>
      <c r="J150" t="s">
        <v>556</v>
      </c>
      <c r="K150" s="17" t="s">
        <v>155</v>
      </c>
      <c r="L150" s="17" t="s">
        <v>410</v>
      </c>
      <c r="M150" s="17" t="s">
        <v>155</v>
      </c>
      <c r="N150" s="17" t="s">
        <v>465</v>
      </c>
      <c r="O150" s="17" t="s">
        <v>155</v>
      </c>
      <c r="Z150" s="17" t="s">
        <v>164</v>
      </c>
      <c r="AA150" s="17" t="s">
        <v>165</v>
      </c>
      <c r="AB150" s="17" t="s">
        <v>166</v>
      </c>
      <c r="AC150" s="17" t="s">
        <v>167</v>
      </c>
      <c r="AD150" s="17" t="s">
        <v>168</v>
      </c>
      <c r="AG150" t="s">
        <v>823</v>
      </c>
      <c r="AW150" t="s">
        <v>556</v>
      </c>
      <c r="AX150" t="s">
        <v>155</v>
      </c>
      <c r="AY150" t="s">
        <v>410</v>
      </c>
      <c r="AZ150" t="s">
        <v>155</v>
      </c>
      <c r="BA150" t="s">
        <v>465</v>
      </c>
      <c r="BB150" t="s">
        <v>155</v>
      </c>
      <c r="BD150">
        <f t="shared" si="14"/>
        <v>0</v>
      </c>
      <c r="BE150">
        <f t="shared" si="15"/>
        <v>0</v>
      </c>
      <c r="BF150">
        <f t="shared" si="16"/>
        <v>0</v>
      </c>
      <c r="BG150">
        <f t="shared" si="17"/>
        <v>0</v>
      </c>
      <c r="BH150">
        <f t="shared" si="18"/>
        <v>0</v>
      </c>
      <c r="BI150">
        <f t="shared" si="19"/>
        <v>0</v>
      </c>
    </row>
    <row r="151" spans="2:61" x14ac:dyDescent="0.3">
      <c r="B151" s="15" t="s">
        <v>548</v>
      </c>
      <c r="C151" s="17" t="s">
        <v>563</v>
      </c>
      <c r="D151" s="17" t="s">
        <v>639</v>
      </c>
      <c r="E151" s="17" t="s">
        <v>646</v>
      </c>
      <c r="F151" s="17" t="s">
        <v>640</v>
      </c>
      <c r="G151" s="17" t="s">
        <v>639</v>
      </c>
      <c r="J151" t="s">
        <v>557</v>
      </c>
      <c r="K151" s="17" t="s">
        <v>155</v>
      </c>
      <c r="L151" s="17" t="s">
        <v>410</v>
      </c>
      <c r="M151" s="17" t="s">
        <v>155</v>
      </c>
      <c r="N151" s="17" t="s">
        <v>465</v>
      </c>
      <c r="O151" s="17" t="s">
        <v>155</v>
      </c>
      <c r="Y151" s="15" t="s">
        <v>548</v>
      </c>
      <c r="Z151" s="17" t="s">
        <v>640</v>
      </c>
      <c r="AA151" s="17" t="s">
        <v>639</v>
      </c>
      <c r="AB151" s="17" t="s">
        <v>646</v>
      </c>
      <c r="AC151" s="17" t="s">
        <v>639</v>
      </c>
      <c r="AD151" s="17" t="s">
        <v>155</v>
      </c>
      <c r="AH151" s="17" t="s">
        <v>164</v>
      </c>
      <c r="AI151" s="17" t="s">
        <v>165</v>
      </c>
      <c r="AJ151" s="17" t="s">
        <v>166</v>
      </c>
      <c r="AK151" s="17" t="s">
        <v>167</v>
      </c>
      <c r="AL151" s="17" t="s">
        <v>168</v>
      </c>
      <c r="AW151" t="s">
        <v>557</v>
      </c>
      <c r="AX151" t="s">
        <v>155</v>
      </c>
      <c r="AY151" t="s">
        <v>410</v>
      </c>
      <c r="AZ151" t="s">
        <v>155</v>
      </c>
      <c r="BA151" t="s">
        <v>465</v>
      </c>
      <c r="BB151" t="s">
        <v>155</v>
      </c>
      <c r="BD151">
        <f t="shared" si="14"/>
        <v>0</v>
      </c>
      <c r="BE151">
        <f t="shared" si="15"/>
        <v>0</v>
      </c>
      <c r="BF151">
        <f t="shared" si="16"/>
        <v>0</v>
      </c>
      <c r="BG151">
        <f t="shared" si="17"/>
        <v>0</v>
      </c>
      <c r="BH151">
        <f t="shared" si="18"/>
        <v>0</v>
      </c>
      <c r="BI151">
        <f t="shared" si="19"/>
        <v>0</v>
      </c>
    </row>
    <row r="152" spans="2:61" x14ac:dyDescent="0.3">
      <c r="B152" s="15" t="s">
        <v>549</v>
      </c>
      <c r="C152" s="17" t="s">
        <v>646</v>
      </c>
      <c r="D152" s="17" t="s">
        <v>639</v>
      </c>
      <c r="E152" s="17" t="s">
        <v>646</v>
      </c>
      <c r="F152" s="17" t="s">
        <v>640</v>
      </c>
      <c r="G152" s="17" t="s">
        <v>639</v>
      </c>
      <c r="J152" t="s">
        <v>542</v>
      </c>
      <c r="K152" s="17" t="s">
        <v>155</v>
      </c>
      <c r="L152" s="17" t="s">
        <v>410</v>
      </c>
      <c r="M152" s="17" t="s">
        <v>155</v>
      </c>
      <c r="N152" s="17" t="s">
        <v>465</v>
      </c>
      <c r="O152" s="17" t="s">
        <v>155</v>
      </c>
      <c r="Y152" s="15" t="s">
        <v>549</v>
      </c>
      <c r="Z152" s="17" t="s">
        <v>640</v>
      </c>
      <c r="AA152" s="17" t="s">
        <v>639</v>
      </c>
      <c r="AB152" s="17" t="s">
        <v>646</v>
      </c>
      <c r="AC152" s="17" t="s">
        <v>639</v>
      </c>
      <c r="AD152" s="17" t="s">
        <v>646</v>
      </c>
      <c r="AG152" t="s">
        <v>555</v>
      </c>
      <c r="AH152" s="17" t="s">
        <v>155</v>
      </c>
      <c r="AI152" s="17" t="s">
        <v>410</v>
      </c>
      <c r="AJ152" s="17" t="s">
        <v>155</v>
      </c>
      <c r="AK152" s="17" t="s">
        <v>465</v>
      </c>
      <c r="AL152" s="17" t="s">
        <v>155</v>
      </c>
      <c r="AW152" t="s">
        <v>542</v>
      </c>
      <c r="AX152" t="s">
        <v>155</v>
      </c>
      <c r="AY152" t="s">
        <v>410</v>
      </c>
      <c r="AZ152" t="s">
        <v>155</v>
      </c>
      <c r="BA152" t="s">
        <v>465</v>
      </c>
      <c r="BB152" t="s">
        <v>155</v>
      </c>
      <c r="BD152">
        <f t="shared" si="14"/>
        <v>0</v>
      </c>
      <c r="BE152">
        <f t="shared" si="15"/>
        <v>0</v>
      </c>
      <c r="BF152">
        <f t="shared" si="16"/>
        <v>0</v>
      </c>
      <c r="BG152">
        <f t="shared" si="17"/>
        <v>0</v>
      </c>
      <c r="BH152">
        <f t="shared" si="18"/>
        <v>0</v>
      </c>
      <c r="BI152">
        <f t="shared" si="19"/>
        <v>0</v>
      </c>
    </row>
    <row r="153" spans="2:61" x14ac:dyDescent="0.3">
      <c r="B153" s="15" t="s">
        <v>550</v>
      </c>
      <c r="C153" s="17" t="s">
        <v>646</v>
      </c>
      <c r="D153" s="17" t="s">
        <v>649</v>
      </c>
      <c r="E153" s="17" t="s">
        <v>563</v>
      </c>
      <c r="F153" s="17" t="s">
        <v>640</v>
      </c>
      <c r="G153" s="17" t="s">
        <v>639</v>
      </c>
      <c r="Y153" s="15" t="s">
        <v>550</v>
      </c>
      <c r="Z153" s="17" t="s">
        <v>640</v>
      </c>
      <c r="AA153" s="17" t="s">
        <v>649</v>
      </c>
      <c r="AB153" s="17" t="s">
        <v>640</v>
      </c>
      <c r="AC153" s="17" t="s">
        <v>639</v>
      </c>
      <c r="AD153" s="17" t="s">
        <v>646</v>
      </c>
      <c r="AG153" t="s">
        <v>556</v>
      </c>
      <c r="AH153" s="17" t="s">
        <v>155</v>
      </c>
      <c r="AI153" s="17" t="s">
        <v>410</v>
      </c>
      <c r="AJ153" s="17" t="s">
        <v>155</v>
      </c>
      <c r="AK153" s="17" t="s">
        <v>465</v>
      </c>
      <c r="AL153" s="17" t="s">
        <v>155</v>
      </c>
      <c r="BD153">
        <f t="shared" si="14"/>
        <v>0</v>
      </c>
      <c r="BE153">
        <f t="shared" si="15"/>
        <v>0</v>
      </c>
      <c r="BF153">
        <f t="shared" si="16"/>
        <v>0</v>
      </c>
      <c r="BG153">
        <f t="shared" si="17"/>
        <v>0</v>
      </c>
      <c r="BH153">
        <f t="shared" si="18"/>
        <v>0</v>
      </c>
      <c r="BI153">
        <f t="shared" si="19"/>
        <v>0</v>
      </c>
    </row>
    <row r="154" spans="2:61" x14ac:dyDescent="0.3">
      <c r="B154" s="15" t="s">
        <v>158</v>
      </c>
      <c r="C154" s="17" t="s">
        <v>567</v>
      </c>
      <c r="D154" s="17" t="s">
        <v>649</v>
      </c>
      <c r="E154" s="17" t="s">
        <v>563</v>
      </c>
      <c r="F154" s="17" t="s">
        <v>649</v>
      </c>
      <c r="G154" s="17" t="s">
        <v>567</v>
      </c>
      <c r="J154" t="s">
        <v>950</v>
      </c>
      <c r="Y154" s="15" t="s">
        <v>158</v>
      </c>
      <c r="Z154" s="17" t="s">
        <v>567</v>
      </c>
      <c r="AA154" s="17" t="s">
        <v>649</v>
      </c>
      <c r="AB154" s="17" t="s">
        <v>640</v>
      </c>
      <c r="AC154" s="17" t="s">
        <v>649</v>
      </c>
      <c r="AD154" s="17" t="s">
        <v>567</v>
      </c>
      <c r="AG154" t="s">
        <v>557</v>
      </c>
      <c r="AH154" s="17" t="s">
        <v>155</v>
      </c>
      <c r="AI154" s="17" t="s">
        <v>410</v>
      </c>
      <c r="AJ154" s="17" t="s">
        <v>155</v>
      </c>
      <c r="AK154" s="17" t="s">
        <v>465</v>
      </c>
      <c r="AL154" s="17" t="s">
        <v>155</v>
      </c>
      <c r="AW154" t="s">
        <v>950</v>
      </c>
      <c r="BD154">
        <f t="shared" si="14"/>
        <v>0</v>
      </c>
      <c r="BE154">
        <f t="shared" si="15"/>
        <v>0</v>
      </c>
      <c r="BF154">
        <f t="shared" si="16"/>
        <v>0</v>
      </c>
      <c r="BG154">
        <f t="shared" si="17"/>
        <v>0</v>
      </c>
      <c r="BH154">
        <f t="shared" si="18"/>
        <v>0</v>
      </c>
      <c r="BI154">
        <f t="shared" si="19"/>
        <v>0</v>
      </c>
    </row>
    <row r="155" spans="2:61" x14ac:dyDescent="0.3">
      <c r="B155" s="15" t="s">
        <v>159</v>
      </c>
      <c r="C155" s="17" t="s">
        <v>567</v>
      </c>
      <c r="D155" s="17" t="s">
        <v>640</v>
      </c>
      <c r="E155" s="17" t="s">
        <v>155</v>
      </c>
      <c r="F155" s="17" t="s">
        <v>649</v>
      </c>
      <c r="G155" s="17" t="s">
        <v>567</v>
      </c>
      <c r="K155" s="17" t="s">
        <v>164</v>
      </c>
      <c r="L155" s="17" t="s">
        <v>165</v>
      </c>
      <c r="M155" s="17" t="s">
        <v>166</v>
      </c>
      <c r="N155" s="17" t="s">
        <v>167</v>
      </c>
      <c r="O155" s="17" t="s">
        <v>168</v>
      </c>
      <c r="Y155" s="15" t="s">
        <v>159</v>
      </c>
      <c r="Z155" s="17" t="s">
        <v>567</v>
      </c>
      <c r="AA155" s="17" t="s">
        <v>563</v>
      </c>
      <c r="AB155" s="17" t="s">
        <v>155</v>
      </c>
      <c r="AC155" s="17" t="s">
        <v>649</v>
      </c>
      <c r="AD155" s="17" t="s">
        <v>567</v>
      </c>
      <c r="AG155" t="s">
        <v>542</v>
      </c>
      <c r="AH155" s="17" t="s">
        <v>155</v>
      </c>
      <c r="AI155" s="17" t="s">
        <v>410</v>
      </c>
      <c r="AJ155" s="17" t="s">
        <v>155</v>
      </c>
      <c r="AK155" s="17" t="s">
        <v>465</v>
      </c>
      <c r="AL155" s="17" t="s">
        <v>155</v>
      </c>
      <c r="AX155" t="s">
        <v>164</v>
      </c>
      <c r="AY155" t="s">
        <v>165</v>
      </c>
      <c r="AZ155" t="s">
        <v>166</v>
      </c>
      <c r="BA155" t="s">
        <v>167</v>
      </c>
      <c r="BB155" t="s">
        <v>168</v>
      </c>
      <c r="BD155">
        <f t="shared" si="14"/>
        <v>0</v>
      </c>
      <c r="BE155">
        <f t="shared" si="15"/>
        <v>0</v>
      </c>
      <c r="BF155">
        <f t="shared" si="16"/>
        <v>0</v>
      </c>
      <c r="BG155">
        <f t="shared" si="17"/>
        <v>0</v>
      </c>
      <c r="BH155">
        <f t="shared" si="18"/>
        <v>0</v>
      </c>
      <c r="BI155">
        <f t="shared" si="19"/>
        <v>0</v>
      </c>
    </row>
    <row r="156" spans="2:61" x14ac:dyDescent="0.3">
      <c r="B156" s="15" t="s">
        <v>160</v>
      </c>
      <c r="C156" s="17" t="s">
        <v>567</v>
      </c>
      <c r="D156" s="17" t="s">
        <v>640</v>
      </c>
      <c r="E156" s="17" t="s">
        <v>155</v>
      </c>
      <c r="F156" s="17" t="s">
        <v>155</v>
      </c>
      <c r="G156" s="17" t="s">
        <v>567</v>
      </c>
      <c r="J156" t="s">
        <v>557</v>
      </c>
      <c r="K156" s="17" t="s">
        <v>155</v>
      </c>
      <c r="L156" s="17" t="s">
        <v>155</v>
      </c>
      <c r="M156" s="17" t="s">
        <v>155</v>
      </c>
      <c r="N156" s="17" t="s">
        <v>155</v>
      </c>
      <c r="O156" s="17" t="s">
        <v>530</v>
      </c>
      <c r="Y156" s="15" t="s">
        <v>160</v>
      </c>
      <c r="Z156" s="17" t="s">
        <v>567</v>
      </c>
      <c r="AA156" s="17" t="s">
        <v>563</v>
      </c>
      <c r="AB156" s="17" t="s">
        <v>155</v>
      </c>
      <c r="AC156" s="17" t="s">
        <v>563</v>
      </c>
      <c r="AD156" s="17" t="s">
        <v>567</v>
      </c>
      <c r="AW156" t="s">
        <v>557</v>
      </c>
      <c r="AX156" t="s">
        <v>155</v>
      </c>
      <c r="AY156" t="s">
        <v>155</v>
      </c>
      <c r="AZ156" t="s">
        <v>155</v>
      </c>
      <c r="BA156" t="s">
        <v>155</v>
      </c>
      <c r="BB156" t="s">
        <v>530</v>
      </c>
      <c r="BD156">
        <f t="shared" si="14"/>
        <v>0</v>
      </c>
      <c r="BE156">
        <f t="shared" si="15"/>
        <v>0</v>
      </c>
      <c r="BF156">
        <f t="shared" si="16"/>
        <v>0</v>
      </c>
      <c r="BG156">
        <f t="shared" si="17"/>
        <v>0</v>
      </c>
      <c r="BH156">
        <f t="shared" si="18"/>
        <v>0</v>
      </c>
      <c r="BI156">
        <f t="shared" si="19"/>
        <v>0</v>
      </c>
    </row>
    <row r="157" spans="2:61" x14ac:dyDescent="0.3">
      <c r="J157" t="s">
        <v>542</v>
      </c>
      <c r="K157" s="17" t="s">
        <v>155</v>
      </c>
      <c r="L157" s="17" t="s">
        <v>155</v>
      </c>
      <c r="M157" s="17" t="s">
        <v>155</v>
      </c>
      <c r="N157" s="17" t="s">
        <v>155</v>
      </c>
      <c r="O157" s="17" t="s">
        <v>530</v>
      </c>
      <c r="AG157" t="s">
        <v>950</v>
      </c>
      <c r="AW157" t="s">
        <v>542</v>
      </c>
      <c r="AX157" t="s">
        <v>155</v>
      </c>
      <c r="AY157" t="s">
        <v>155</v>
      </c>
      <c r="AZ157" t="s">
        <v>155</v>
      </c>
      <c r="BA157" t="s">
        <v>155</v>
      </c>
      <c r="BB157" t="s">
        <v>530</v>
      </c>
      <c r="BD157">
        <f t="shared" si="14"/>
        <v>0</v>
      </c>
      <c r="BE157">
        <f t="shared" si="15"/>
        <v>0</v>
      </c>
      <c r="BF157">
        <f t="shared" si="16"/>
        <v>0</v>
      </c>
      <c r="BG157">
        <f t="shared" si="17"/>
        <v>0</v>
      </c>
      <c r="BH157">
        <f t="shared" si="18"/>
        <v>0</v>
      </c>
      <c r="BI157">
        <f t="shared" si="19"/>
        <v>0</v>
      </c>
    </row>
    <row r="158" spans="2:61" x14ac:dyDescent="0.3">
      <c r="B158" s="15" t="s">
        <v>645</v>
      </c>
      <c r="J158" t="s">
        <v>543</v>
      </c>
      <c r="K158" s="17" t="s">
        <v>530</v>
      </c>
      <c r="L158" s="17" t="s">
        <v>155</v>
      </c>
      <c r="M158" s="17" t="s">
        <v>155</v>
      </c>
      <c r="N158" s="17" t="s">
        <v>155</v>
      </c>
      <c r="O158" s="17" t="s">
        <v>155</v>
      </c>
      <c r="Y158" s="15" t="s">
        <v>645</v>
      </c>
      <c r="AH158" s="17" t="s">
        <v>164</v>
      </c>
      <c r="AI158" s="17" t="s">
        <v>165</v>
      </c>
      <c r="AJ158" s="17" t="s">
        <v>166</v>
      </c>
      <c r="AK158" s="17" t="s">
        <v>167</v>
      </c>
      <c r="AL158" s="17" t="s">
        <v>168</v>
      </c>
      <c r="AW158" t="s">
        <v>543</v>
      </c>
      <c r="AX158" t="s">
        <v>530</v>
      </c>
      <c r="AY158" t="s">
        <v>155</v>
      </c>
      <c r="AZ158" t="s">
        <v>155</v>
      </c>
      <c r="BA158" t="s">
        <v>155</v>
      </c>
      <c r="BB158" t="s">
        <v>155</v>
      </c>
      <c r="BD158">
        <f t="shared" si="14"/>
        <v>0</v>
      </c>
      <c r="BE158">
        <f t="shared" si="15"/>
        <v>0</v>
      </c>
      <c r="BF158">
        <f t="shared" si="16"/>
        <v>0</v>
      </c>
      <c r="BG158">
        <f t="shared" si="17"/>
        <v>0</v>
      </c>
      <c r="BH158">
        <f t="shared" si="18"/>
        <v>0</v>
      </c>
      <c r="BI158">
        <f t="shared" si="19"/>
        <v>0</v>
      </c>
    </row>
    <row r="159" spans="2:61" x14ac:dyDescent="0.3">
      <c r="C159" s="17" t="s">
        <v>164</v>
      </c>
      <c r="D159" s="17" t="s">
        <v>165</v>
      </c>
      <c r="E159" s="17" t="s">
        <v>166</v>
      </c>
      <c r="F159" s="17" t="s">
        <v>167</v>
      </c>
      <c r="G159" s="17" t="s">
        <v>168</v>
      </c>
      <c r="J159" t="s">
        <v>544</v>
      </c>
      <c r="K159" s="17" t="s">
        <v>530</v>
      </c>
      <c r="L159" s="17" t="s">
        <v>155</v>
      </c>
      <c r="M159" s="17" t="s">
        <v>155</v>
      </c>
      <c r="N159" s="17" t="s">
        <v>155</v>
      </c>
      <c r="O159" s="17" t="s">
        <v>155</v>
      </c>
      <c r="Z159" s="17" t="s">
        <v>164</v>
      </c>
      <c r="AA159" s="17" t="s">
        <v>165</v>
      </c>
      <c r="AB159" s="17" t="s">
        <v>166</v>
      </c>
      <c r="AC159" s="17" t="s">
        <v>167</v>
      </c>
      <c r="AD159" s="17" t="s">
        <v>168</v>
      </c>
      <c r="AG159" t="s">
        <v>557</v>
      </c>
      <c r="AH159" s="17" t="s">
        <v>155</v>
      </c>
      <c r="AI159" s="17" t="s">
        <v>155</v>
      </c>
      <c r="AJ159" s="17" t="s">
        <v>155</v>
      </c>
      <c r="AK159" s="17" t="s">
        <v>155</v>
      </c>
      <c r="AL159" s="17" t="s">
        <v>530</v>
      </c>
      <c r="AW159" t="s">
        <v>544</v>
      </c>
      <c r="AX159" t="s">
        <v>530</v>
      </c>
      <c r="AY159" t="s">
        <v>155</v>
      </c>
      <c r="AZ159" t="s">
        <v>155</v>
      </c>
      <c r="BA159" t="s">
        <v>155</v>
      </c>
      <c r="BB159" t="s">
        <v>155</v>
      </c>
      <c r="BD159">
        <f t="shared" si="14"/>
        <v>0</v>
      </c>
      <c r="BE159">
        <f t="shared" si="15"/>
        <v>0</v>
      </c>
      <c r="BF159">
        <f t="shared" si="16"/>
        <v>0</v>
      </c>
      <c r="BG159">
        <f t="shared" si="17"/>
        <v>0</v>
      </c>
      <c r="BH159">
        <f t="shared" si="18"/>
        <v>0</v>
      </c>
      <c r="BI159">
        <f t="shared" si="19"/>
        <v>0</v>
      </c>
    </row>
    <row r="160" spans="2:61" x14ac:dyDescent="0.3">
      <c r="B160" s="15" t="s">
        <v>548</v>
      </c>
      <c r="C160" s="17" t="s">
        <v>643</v>
      </c>
      <c r="D160" s="17" t="s">
        <v>563</v>
      </c>
      <c r="E160" s="17" t="s">
        <v>155</v>
      </c>
      <c r="F160" s="17" t="s">
        <v>643</v>
      </c>
      <c r="G160" s="17" t="s">
        <v>638</v>
      </c>
      <c r="Y160" s="15" t="s">
        <v>548</v>
      </c>
      <c r="Z160" s="17" t="s">
        <v>643</v>
      </c>
      <c r="AA160" s="17" t="s">
        <v>644</v>
      </c>
      <c r="AB160" s="17" t="s">
        <v>563</v>
      </c>
      <c r="AC160" s="17" t="s">
        <v>643</v>
      </c>
      <c r="AD160" s="17" t="s">
        <v>638</v>
      </c>
      <c r="AG160" t="s">
        <v>542</v>
      </c>
      <c r="AH160" s="17" t="s">
        <v>155</v>
      </c>
      <c r="AI160" s="17" t="s">
        <v>155</v>
      </c>
      <c r="AJ160" s="17" t="s">
        <v>155</v>
      </c>
      <c r="AK160" s="17" t="s">
        <v>155</v>
      </c>
      <c r="AL160" s="17" t="s">
        <v>530</v>
      </c>
      <c r="BD160">
        <f t="shared" si="14"/>
        <v>0</v>
      </c>
      <c r="BE160">
        <f t="shared" si="15"/>
        <v>0</v>
      </c>
      <c r="BF160">
        <f t="shared" si="16"/>
        <v>0</v>
      </c>
      <c r="BG160">
        <f t="shared" si="17"/>
        <v>0</v>
      </c>
      <c r="BH160">
        <f t="shared" si="18"/>
        <v>0</v>
      </c>
      <c r="BI160">
        <f t="shared" si="19"/>
        <v>0</v>
      </c>
    </row>
    <row r="161" spans="2:61" x14ac:dyDescent="0.3">
      <c r="B161" s="15" t="s">
        <v>549</v>
      </c>
      <c r="C161" s="17" t="s">
        <v>643</v>
      </c>
      <c r="D161" s="17" t="s">
        <v>563</v>
      </c>
      <c r="E161" s="17" t="s">
        <v>155</v>
      </c>
      <c r="F161" s="17" t="s">
        <v>643</v>
      </c>
      <c r="G161" s="17" t="s">
        <v>638</v>
      </c>
      <c r="J161" t="s">
        <v>743</v>
      </c>
      <c r="Y161" s="15" t="s">
        <v>549</v>
      </c>
      <c r="Z161" s="17" t="s">
        <v>643</v>
      </c>
      <c r="AA161" s="17" t="s">
        <v>644</v>
      </c>
      <c r="AB161" s="17" t="s">
        <v>563</v>
      </c>
      <c r="AC161" s="17" t="s">
        <v>643</v>
      </c>
      <c r="AD161" s="17" t="s">
        <v>638</v>
      </c>
      <c r="AG161" t="s">
        <v>543</v>
      </c>
      <c r="AH161" s="17" t="s">
        <v>530</v>
      </c>
      <c r="AI161" s="17" t="s">
        <v>155</v>
      </c>
      <c r="AJ161" s="17" t="s">
        <v>155</v>
      </c>
      <c r="AK161" s="17" t="s">
        <v>155</v>
      </c>
      <c r="AL161" s="17" t="s">
        <v>155</v>
      </c>
      <c r="AW161" t="s">
        <v>743</v>
      </c>
      <c r="BD161">
        <f t="shared" si="14"/>
        <v>0</v>
      </c>
      <c r="BE161">
        <f t="shared" si="15"/>
        <v>0</v>
      </c>
      <c r="BF161">
        <f t="shared" si="16"/>
        <v>0</v>
      </c>
      <c r="BG161">
        <f t="shared" si="17"/>
        <v>0</v>
      </c>
      <c r="BH161">
        <f t="shared" si="18"/>
        <v>0</v>
      </c>
      <c r="BI161">
        <f t="shared" si="19"/>
        <v>0</v>
      </c>
    </row>
    <row r="162" spans="2:61" x14ac:dyDescent="0.3">
      <c r="B162" s="15" t="s">
        <v>550</v>
      </c>
      <c r="C162" s="17" t="s">
        <v>638</v>
      </c>
      <c r="D162" s="17" t="s">
        <v>644</v>
      </c>
      <c r="E162" s="17" t="s">
        <v>648</v>
      </c>
      <c r="F162" s="17" t="s">
        <v>644</v>
      </c>
      <c r="G162" s="17" t="s">
        <v>563</v>
      </c>
      <c r="K162" s="17" t="s">
        <v>164</v>
      </c>
      <c r="L162" s="17" t="s">
        <v>165</v>
      </c>
      <c r="M162" s="17" t="s">
        <v>166</v>
      </c>
      <c r="N162" s="17" t="s">
        <v>167</v>
      </c>
      <c r="O162" s="17" t="s">
        <v>168</v>
      </c>
      <c r="Y162" s="15" t="s">
        <v>550</v>
      </c>
      <c r="Z162" s="17" t="s">
        <v>694</v>
      </c>
      <c r="AA162" s="17" t="s">
        <v>648</v>
      </c>
      <c r="AB162" s="17" t="s">
        <v>694</v>
      </c>
      <c r="AC162" s="17" t="s">
        <v>644</v>
      </c>
      <c r="AD162" s="17" t="s">
        <v>563</v>
      </c>
      <c r="AG162" t="s">
        <v>544</v>
      </c>
      <c r="AH162" s="17" t="s">
        <v>530</v>
      </c>
      <c r="AI162" s="17" t="s">
        <v>155</v>
      </c>
      <c r="AJ162" s="17" t="s">
        <v>155</v>
      </c>
      <c r="AK162" s="17" t="s">
        <v>155</v>
      </c>
      <c r="AL162" s="17" t="s">
        <v>155</v>
      </c>
      <c r="AX162" t="s">
        <v>164</v>
      </c>
      <c r="AY162" t="s">
        <v>165</v>
      </c>
      <c r="AZ162" t="s">
        <v>166</v>
      </c>
      <c r="BA162" t="s">
        <v>167</v>
      </c>
      <c r="BB162" t="s">
        <v>168</v>
      </c>
      <c r="BD162">
        <f t="shared" si="14"/>
        <v>0</v>
      </c>
      <c r="BE162">
        <f t="shared" si="15"/>
        <v>0</v>
      </c>
      <c r="BF162">
        <f t="shared" si="16"/>
        <v>0</v>
      </c>
      <c r="BG162">
        <f t="shared" si="17"/>
        <v>0</v>
      </c>
      <c r="BH162">
        <f t="shared" si="18"/>
        <v>0</v>
      </c>
      <c r="BI162">
        <f t="shared" si="19"/>
        <v>0</v>
      </c>
    </row>
    <row r="163" spans="2:61" x14ac:dyDescent="0.3">
      <c r="B163" s="15" t="s">
        <v>158</v>
      </c>
      <c r="C163" s="17" t="s">
        <v>638</v>
      </c>
      <c r="D163" s="17" t="s">
        <v>644</v>
      </c>
      <c r="E163" s="17" t="s">
        <v>648</v>
      </c>
      <c r="F163" s="17" t="s">
        <v>644</v>
      </c>
      <c r="G163" s="17" t="s">
        <v>648</v>
      </c>
      <c r="J163" t="s">
        <v>550</v>
      </c>
      <c r="K163" s="17" t="s">
        <v>155</v>
      </c>
      <c r="L163" s="17" t="s">
        <v>359</v>
      </c>
      <c r="M163" s="17" t="s">
        <v>155</v>
      </c>
      <c r="N163" s="17" t="s">
        <v>155</v>
      </c>
      <c r="O163" s="17" t="s">
        <v>155</v>
      </c>
      <c r="Y163" s="15" t="s">
        <v>158</v>
      </c>
      <c r="Z163" s="17" t="s">
        <v>694</v>
      </c>
      <c r="AA163" s="17" t="s">
        <v>648</v>
      </c>
      <c r="AB163" s="17" t="s">
        <v>694</v>
      </c>
      <c r="AC163" s="17" t="s">
        <v>644</v>
      </c>
      <c r="AD163" s="17" t="s">
        <v>648</v>
      </c>
      <c r="AW163" t="s">
        <v>550</v>
      </c>
      <c r="AX163" t="s">
        <v>155</v>
      </c>
      <c r="AY163" t="s">
        <v>359</v>
      </c>
      <c r="AZ163" t="s">
        <v>155</v>
      </c>
      <c r="BA163" t="s">
        <v>155</v>
      </c>
      <c r="BB163" t="s">
        <v>155</v>
      </c>
      <c r="BD163">
        <f t="shared" si="14"/>
        <v>0</v>
      </c>
      <c r="BE163">
        <f t="shared" si="15"/>
        <v>0</v>
      </c>
      <c r="BF163">
        <f t="shared" si="16"/>
        <v>0</v>
      </c>
      <c r="BG163">
        <f t="shared" si="17"/>
        <v>0</v>
      </c>
      <c r="BH163">
        <f t="shared" si="18"/>
        <v>0</v>
      </c>
      <c r="BI163">
        <f t="shared" si="19"/>
        <v>0</v>
      </c>
    </row>
    <row r="164" spans="2:61" x14ac:dyDescent="0.3">
      <c r="B164" s="15" t="s">
        <v>159</v>
      </c>
      <c r="C164" s="17" t="s">
        <v>694</v>
      </c>
      <c r="D164" s="17" t="s">
        <v>644</v>
      </c>
      <c r="E164" s="17" t="s">
        <v>648</v>
      </c>
      <c r="F164" s="17" t="s">
        <v>694</v>
      </c>
      <c r="G164" s="17" t="s">
        <v>648</v>
      </c>
      <c r="J164" t="s">
        <v>158</v>
      </c>
      <c r="K164" s="17" t="s">
        <v>155</v>
      </c>
      <c r="L164" s="17" t="s">
        <v>359</v>
      </c>
      <c r="M164" s="17" t="s">
        <v>155</v>
      </c>
      <c r="N164" s="17" t="s">
        <v>359</v>
      </c>
      <c r="O164" s="17" t="s">
        <v>155</v>
      </c>
      <c r="Y164" s="15" t="s">
        <v>159</v>
      </c>
      <c r="Z164" s="17" t="s">
        <v>638</v>
      </c>
      <c r="AA164" s="17" t="s">
        <v>648</v>
      </c>
      <c r="AB164" s="17" t="s">
        <v>155</v>
      </c>
      <c r="AC164" s="17" t="s">
        <v>644</v>
      </c>
      <c r="AD164" s="17" t="s">
        <v>648</v>
      </c>
      <c r="AG164" t="s">
        <v>743</v>
      </c>
      <c r="AW164" t="s">
        <v>158</v>
      </c>
      <c r="AX164" t="s">
        <v>155</v>
      </c>
      <c r="AY164" t="s">
        <v>359</v>
      </c>
      <c r="AZ164" t="s">
        <v>155</v>
      </c>
      <c r="BA164" t="s">
        <v>359</v>
      </c>
      <c r="BB164" t="s">
        <v>155</v>
      </c>
      <c r="BD164">
        <f t="shared" si="14"/>
        <v>0</v>
      </c>
      <c r="BE164">
        <f t="shared" si="15"/>
        <v>0</v>
      </c>
      <c r="BF164">
        <f t="shared" si="16"/>
        <v>0</v>
      </c>
      <c r="BG164">
        <f t="shared" si="17"/>
        <v>0</v>
      </c>
      <c r="BH164">
        <f t="shared" si="18"/>
        <v>0</v>
      </c>
      <c r="BI164">
        <f t="shared" si="19"/>
        <v>0</v>
      </c>
    </row>
    <row r="165" spans="2:61" x14ac:dyDescent="0.3">
      <c r="B165" s="15" t="s">
        <v>160</v>
      </c>
      <c r="C165" s="17" t="s">
        <v>694</v>
      </c>
      <c r="D165" s="17" t="s">
        <v>155</v>
      </c>
      <c r="E165" s="17" t="s">
        <v>155</v>
      </c>
      <c r="F165" s="17" t="s">
        <v>694</v>
      </c>
      <c r="G165" s="17" t="s">
        <v>155</v>
      </c>
      <c r="J165" t="s">
        <v>159</v>
      </c>
      <c r="K165" s="17" t="s">
        <v>155</v>
      </c>
      <c r="L165" s="17" t="s">
        <v>155</v>
      </c>
      <c r="M165" s="17" t="s">
        <v>155</v>
      </c>
      <c r="N165" s="17" t="s">
        <v>359</v>
      </c>
      <c r="O165" s="17" t="s">
        <v>155</v>
      </c>
      <c r="Y165" s="15" t="s">
        <v>160</v>
      </c>
      <c r="Z165" s="17" t="s">
        <v>638</v>
      </c>
      <c r="AA165" s="17" t="s">
        <v>155</v>
      </c>
      <c r="AB165" s="17" t="s">
        <v>155</v>
      </c>
      <c r="AC165" s="17" t="s">
        <v>155</v>
      </c>
      <c r="AD165" s="17" t="s">
        <v>155</v>
      </c>
      <c r="AH165" s="17" t="s">
        <v>164</v>
      </c>
      <c r="AI165" s="17" t="s">
        <v>165</v>
      </c>
      <c r="AJ165" s="17" t="s">
        <v>166</v>
      </c>
      <c r="AK165" s="17" t="s">
        <v>167</v>
      </c>
      <c r="AL165" s="17" t="s">
        <v>168</v>
      </c>
      <c r="AW165" t="s">
        <v>159</v>
      </c>
      <c r="AX165" t="s">
        <v>155</v>
      </c>
      <c r="AY165" t="s">
        <v>155</v>
      </c>
      <c r="AZ165" t="s">
        <v>155</v>
      </c>
      <c r="BA165" t="s">
        <v>359</v>
      </c>
      <c r="BB165" t="s">
        <v>155</v>
      </c>
      <c r="BD165">
        <f t="shared" si="14"/>
        <v>0</v>
      </c>
      <c r="BE165">
        <f t="shared" si="15"/>
        <v>0</v>
      </c>
      <c r="BF165">
        <f t="shared" si="16"/>
        <v>0</v>
      </c>
      <c r="BG165">
        <f t="shared" si="17"/>
        <v>0</v>
      </c>
      <c r="BH165">
        <f t="shared" si="18"/>
        <v>0</v>
      </c>
      <c r="BI165">
        <f t="shared" si="19"/>
        <v>0</v>
      </c>
    </row>
    <row r="166" spans="2:61" x14ac:dyDescent="0.3">
      <c r="J166" t="s">
        <v>555</v>
      </c>
      <c r="K166" s="17" t="s">
        <v>155</v>
      </c>
      <c r="L166" s="17" t="s">
        <v>527</v>
      </c>
      <c r="M166" s="17" t="s">
        <v>155</v>
      </c>
      <c r="N166" s="17" t="s">
        <v>527</v>
      </c>
      <c r="O166" s="17" t="s">
        <v>155</v>
      </c>
      <c r="AG166" t="s">
        <v>550</v>
      </c>
      <c r="AH166" s="17" t="s">
        <v>155</v>
      </c>
      <c r="AI166" s="17" t="s">
        <v>359</v>
      </c>
      <c r="AJ166" s="17" t="s">
        <v>155</v>
      </c>
      <c r="AK166" s="17" t="s">
        <v>155</v>
      </c>
      <c r="AL166" s="17" t="s">
        <v>155</v>
      </c>
      <c r="AW166" t="s">
        <v>555</v>
      </c>
      <c r="AX166" t="s">
        <v>155</v>
      </c>
      <c r="AY166" t="s">
        <v>527</v>
      </c>
      <c r="AZ166" t="s">
        <v>155</v>
      </c>
      <c r="BA166" t="s">
        <v>527</v>
      </c>
      <c r="BB166" t="s">
        <v>155</v>
      </c>
      <c r="BD166">
        <f t="shared" si="14"/>
        <v>0</v>
      </c>
      <c r="BE166">
        <f t="shared" si="15"/>
        <v>0</v>
      </c>
      <c r="BF166">
        <f t="shared" si="16"/>
        <v>0</v>
      </c>
      <c r="BG166">
        <f t="shared" si="17"/>
        <v>0</v>
      </c>
      <c r="BH166">
        <f t="shared" si="18"/>
        <v>0</v>
      </c>
      <c r="BI166">
        <f t="shared" si="19"/>
        <v>0</v>
      </c>
    </row>
    <row r="167" spans="2:61" x14ac:dyDescent="0.3">
      <c r="B167" s="15" t="s">
        <v>642</v>
      </c>
      <c r="J167" t="s">
        <v>556</v>
      </c>
      <c r="K167" s="17" t="s">
        <v>155</v>
      </c>
      <c r="L167" s="17" t="s">
        <v>527</v>
      </c>
      <c r="M167" s="17" t="s">
        <v>155</v>
      </c>
      <c r="N167" s="17" t="s">
        <v>527</v>
      </c>
      <c r="O167" s="17" t="s">
        <v>155</v>
      </c>
      <c r="Y167" s="15" t="s">
        <v>642</v>
      </c>
      <c r="AG167" t="s">
        <v>158</v>
      </c>
      <c r="AH167" s="17" t="s">
        <v>155</v>
      </c>
      <c r="AI167" s="17" t="s">
        <v>359</v>
      </c>
      <c r="AJ167" s="17" t="s">
        <v>155</v>
      </c>
      <c r="AK167" s="17" t="s">
        <v>359</v>
      </c>
      <c r="AL167" s="17" t="s">
        <v>155</v>
      </c>
      <c r="AW167" t="s">
        <v>556</v>
      </c>
      <c r="AX167" t="s">
        <v>155</v>
      </c>
      <c r="AY167" t="s">
        <v>527</v>
      </c>
      <c r="AZ167" t="s">
        <v>155</v>
      </c>
      <c r="BA167" t="s">
        <v>527</v>
      </c>
      <c r="BB167" t="s">
        <v>155</v>
      </c>
      <c r="BD167">
        <f t="shared" si="14"/>
        <v>0</v>
      </c>
      <c r="BE167">
        <f t="shared" si="15"/>
        <v>0</v>
      </c>
      <c r="BF167">
        <f t="shared" si="16"/>
        <v>0</v>
      </c>
      <c r="BG167">
        <f t="shared" si="17"/>
        <v>0</v>
      </c>
      <c r="BH167">
        <f t="shared" si="18"/>
        <v>0</v>
      </c>
      <c r="BI167">
        <f t="shared" si="19"/>
        <v>0</v>
      </c>
    </row>
    <row r="168" spans="2:61" x14ac:dyDescent="0.3">
      <c r="C168" s="17" t="s">
        <v>164</v>
      </c>
      <c r="D168" s="17" t="s">
        <v>165</v>
      </c>
      <c r="E168" s="17" t="s">
        <v>166</v>
      </c>
      <c r="F168" s="17" t="s">
        <v>167</v>
      </c>
      <c r="G168" s="17" t="s">
        <v>168</v>
      </c>
      <c r="Z168" s="17" t="s">
        <v>164</v>
      </c>
      <c r="AA168" s="17" t="s">
        <v>165</v>
      </c>
      <c r="AB168" s="17" t="s">
        <v>166</v>
      </c>
      <c r="AC168" s="17" t="s">
        <v>167</v>
      </c>
      <c r="AD168" s="17" t="s">
        <v>168</v>
      </c>
      <c r="AG168" t="s">
        <v>159</v>
      </c>
      <c r="AH168" s="17" t="s">
        <v>155</v>
      </c>
      <c r="AI168" s="17" t="s">
        <v>155</v>
      </c>
      <c r="AJ168" s="17" t="s">
        <v>155</v>
      </c>
      <c r="AK168" s="17" t="s">
        <v>359</v>
      </c>
      <c r="AL168" s="17" t="s">
        <v>155</v>
      </c>
      <c r="BD168">
        <f t="shared" si="14"/>
        <v>0</v>
      </c>
      <c r="BE168">
        <f t="shared" si="15"/>
        <v>0</v>
      </c>
      <c r="BF168">
        <f t="shared" si="16"/>
        <v>0</v>
      </c>
      <c r="BG168">
        <f t="shared" si="17"/>
        <v>0</v>
      </c>
      <c r="BH168">
        <f t="shared" si="18"/>
        <v>0</v>
      </c>
      <c r="BI168">
        <f t="shared" si="19"/>
        <v>0</v>
      </c>
    </row>
    <row r="169" spans="2:61" x14ac:dyDescent="0.3">
      <c r="B169" s="15" t="s">
        <v>548</v>
      </c>
      <c r="C169" s="17" t="s">
        <v>563</v>
      </c>
      <c r="D169" s="17" t="s">
        <v>647</v>
      </c>
      <c r="E169" s="17" t="s">
        <v>646</v>
      </c>
      <c r="F169" s="17" t="s">
        <v>640</v>
      </c>
      <c r="G169" s="17" t="s">
        <v>647</v>
      </c>
      <c r="J169" t="s">
        <v>704</v>
      </c>
      <c r="Y169" s="15" t="s">
        <v>548</v>
      </c>
      <c r="Z169" s="17" t="s">
        <v>640</v>
      </c>
      <c r="AA169" s="17" t="s">
        <v>647</v>
      </c>
      <c r="AB169" s="17" t="s">
        <v>646</v>
      </c>
      <c r="AC169" s="17" t="s">
        <v>647</v>
      </c>
      <c r="AD169" s="17" t="s">
        <v>155</v>
      </c>
      <c r="AG169" t="s">
        <v>555</v>
      </c>
      <c r="AH169" s="17" t="s">
        <v>155</v>
      </c>
      <c r="AI169" s="17" t="s">
        <v>527</v>
      </c>
      <c r="AJ169" s="17" t="s">
        <v>155</v>
      </c>
      <c r="AK169" s="17" t="s">
        <v>527</v>
      </c>
      <c r="AL169" s="17" t="s">
        <v>155</v>
      </c>
      <c r="AW169" t="s">
        <v>704</v>
      </c>
      <c r="BD169">
        <f t="shared" si="14"/>
        <v>0</v>
      </c>
      <c r="BE169">
        <f t="shared" si="15"/>
        <v>0</v>
      </c>
      <c r="BF169">
        <f t="shared" si="16"/>
        <v>0</v>
      </c>
      <c r="BG169">
        <f t="shared" si="17"/>
        <v>0</v>
      </c>
      <c r="BH169">
        <f t="shared" si="18"/>
        <v>0</v>
      </c>
      <c r="BI169">
        <f t="shared" si="19"/>
        <v>0</v>
      </c>
    </row>
    <row r="170" spans="2:61" x14ac:dyDescent="0.3">
      <c r="B170" s="15" t="s">
        <v>549</v>
      </c>
      <c r="C170" s="17" t="s">
        <v>646</v>
      </c>
      <c r="D170" s="17" t="s">
        <v>647</v>
      </c>
      <c r="E170" s="17" t="s">
        <v>646</v>
      </c>
      <c r="F170" s="17" t="s">
        <v>640</v>
      </c>
      <c r="G170" s="17" t="s">
        <v>647</v>
      </c>
      <c r="K170" s="17" t="s">
        <v>164</v>
      </c>
      <c r="L170" s="17" t="s">
        <v>165</v>
      </c>
      <c r="M170" s="17" t="s">
        <v>166</v>
      </c>
      <c r="N170" s="17" t="s">
        <v>167</v>
      </c>
      <c r="O170" s="17" t="s">
        <v>168</v>
      </c>
      <c r="Y170" s="15" t="s">
        <v>549</v>
      </c>
      <c r="Z170" s="17" t="s">
        <v>640</v>
      </c>
      <c r="AA170" s="17" t="s">
        <v>647</v>
      </c>
      <c r="AB170" s="17" t="s">
        <v>646</v>
      </c>
      <c r="AC170" s="17" t="s">
        <v>647</v>
      </c>
      <c r="AD170" s="17" t="s">
        <v>646</v>
      </c>
      <c r="AG170" t="s">
        <v>556</v>
      </c>
      <c r="AH170" s="17" t="s">
        <v>155</v>
      </c>
      <c r="AI170" s="17" t="s">
        <v>527</v>
      </c>
      <c r="AJ170" s="17" t="s">
        <v>155</v>
      </c>
      <c r="AK170" s="17" t="s">
        <v>527</v>
      </c>
      <c r="AL170" s="17" t="s">
        <v>155</v>
      </c>
      <c r="AX170" t="s">
        <v>164</v>
      </c>
      <c r="AY170" t="s">
        <v>165</v>
      </c>
      <c r="AZ170" t="s">
        <v>166</v>
      </c>
      <c r="BA170" t="s">
        <v>167</v>
      </c>
      <c r="BB170" t="s">
        <v>168</v>
      </c>
      <c r="BD170">
        <f t="shared" si="14"/>
        <v>0</v>
      </c>
      <c r="BE170">
        <f t="shared" si="15"/>
        <v>0</v>
      </c>
      <c r="BF170">
        <f t="shared" si="16"/>
        <v>0</v>
      </c>
      <c r="BG170">
        <f t="shared" si="17"/>
        <v>0</v>
      </c>
      <c r="BH170">
        <f t="shared" si="18"/>
        <v>0</v>
      </c>
      <c r="BI170">
        <f t="shared" si="19"/>
        <v>0</v>
      </c>
    </row>
    <row r="171" spans="2:61" x14ac:dyDescent="0.3">
      <c r="B171" s="15" t="s">
        <v>550</v>
      </c>
      <c r="C171" s="17" t="s">
        <v>646</v>
      </c>
      <c r="D171" s="17" t="s">
        <v>649</v>
      </c>
      <c r="E171" s="17" t="s">
        <v>563</v>
      </c>
      <c r="F171" s="17" t="s">
        <v>640</v>
      </c>
      <c r="G171" s="17" t="s">
        <v>647</v>
      </c>
      <c r="J171" t="s">
        <v>158</v>
      </c>
      <c r="K171" s="17" t="s">
        <v>353</v>
      </c>
      <c r="L171" s="17" t="s">
        <v>155</v>
      </c>
      <c r="M171" s="17" t="s">
        <v>155</v>
      </c>
      <c r="N171" s="17" t="s">
        <v>353</v>
      </c>
      <c r="O171" s="17" t="s">
        <v>155</v>
      </c>
      <c r="Y171" s="15" t="s">
        <v>550</v>
      </c>
      <c r="Z171" s="17" t="s">
        <v>640</v>
      </c>
      <c r="AA171" s="17" t="s">
        <v>649</v>
      </c>
      <c r="AB171" s="17" t="s">
        <v>640</v>
      </c>
      <c r="AC171" s="17" t="s">
        <v>647</v>
      </c>
      <c r="AD171" s="17" t="s">
        <v>646</v>
      </c>
      <c r="AW171" t="s">
        <v>158</v>
      </c>
      <c r="AX171" t="s">
        <v>353</v>
      </c>
      <c r="AY171" t="s">
        <v>155</v>
      </c>
      <c r="AZ171" t="s">
        <v>155</v>
      </c>
      <c r="BA171" t="s">
        <v>353</v>
      </c>
      <c r="BB171" t="s">
        <v>155</v>
      </c>
      <c r="BD171">
        <f t="shared" si="14"/>
        <v>0</v>
      </c>
      <c r="BE171">
        <f t="shared" si="15"/>
        <v>0</v>
      </c>
      <c r="BF171">
        <f t="shared" si="16"/>
        <v>0</v>
      </c>
      <c r="BG171">
        <f t="shared" si="17"/>
        <v>0</v>
      </c>
      <c r="BH171">
        <f t="shared" si="18"/>
        <v>0</v>
      </c>
      <c r="BI171">
        <f t="shared" si="19"/>
        <v>0</v>
      </c>
    </row>
    <row r="172" spans="2:61" x14ac:dyDescent="0.3">
      <c r="B172" s="15" t="s">
        <v>158</v>
      </c>
      <c r="C172" s="17" t="s">
        <v>155</v>
      </c>
      <c r="D172" s="17" t="s">
        <v>649</v>
      </c>
      <c r="E172" s="17" t="s">
        <v>563</v>
      </c>
      <c r="F172" s="17" t="s">
        <v>649</v>
      </c>
      <c r="G172" s="17" t="s">
        <v>693</v>
      </c>
      <c r="J172" t="s">
        <v>159</v>
      </c>
      <c r="K172" s="17" t="s">
        <v>353</v>
      </c>
      <c r="L172" s="17" t="s">
        <v>155</v>
      </c>
      <c r="M172" s="17" t="s">
        <v>155</v>
      </c>
      <c r="N172" s="17" t="s">
        <v>353</v>
      </c>
      <c r="O172" s="17" t="s">
        <v>155</v>
      </c>
      <c r="Y172" s="15" t="s">
        <v>158</v>
      </c>
      <c r="Z172" s="17" t="s">
        <v>693</v>
      </c>
      <c r="AA172" s="17" t="s">
        <v>649</v>
      </c>
      <c r="AB172" s="17" t="s">
        <v>640</v>
      </c>
      <c r="AC172" s="17" t="s">
        <v>649</v>
      </c>
      <c r="AD172" s="17" t="s">
        <v>693</v>
      </c>
      <c r="AG172" t="s">
        <v>704</v>
      </c>
      <c r="AW172" t="s">
        <v>159</v>
      </c>
      <c r="AX172" t="s">
        <v>353</v>
      </c>
      <c r="AY172" t="s">
        <v>155</v>
      </c>
      <c r="AZ172" t="s">
        <v>155</v>
      </c>
      <c r="BA172" t="s">
        <v>353</v>
      </c>
      <c r="BB172" t="s">
        <v>155</v>
      </c>
      <c r="BD172">
        <f t="shared" si="14"/>
        <v>0</v>
      </c>
      <c r="BE172">
        <f t="shared" si="15"/>
        <v>0</v>
      </c>
      <c r="BF172">
        <f t="shared" si="16"/>
        <v>0</v>
      </c>
      <c r="BG172">
        <f t="shared" si="17"/>
        <v>0</v>
      </c>
      <c r="BH172">
        <f t="shared" si="18"/>
        <v>0</v>
      </c>
      <c r="BI172">
        <f t="shared" si="19"/>
        <v>0</v>
      </c>
    </row>
    <row r="173" spans="2:61" x14ac:dyDescent="0.3">
      <c r="B173" s="15" t="s">
        <v>159</v>
      </c>
      <c r="C173" s="17" t="s">
        <v>155</v>
      </c>
      <c r="D173" s="17" t="s">
        <v>640</v>
      </c>
      <c r="E173" s="17" t="s">
        <v>693</v>
      </c>
      <c r="F173" s="17" t="s">
        <v>649</v>
      </c>
      <c r="G173" s="17" t="s">
        <v>693</v>
      </c>
      <c r="J173" t="s">
        <v>160</v>
      </c>
      <c r="K173" s="17" t="s">
        <v>353</v>
      </c>
      <c r="L173" s="17" t="s">
        <v>155</v>
      </c>
      <c r="M173" s="17" t="s">
        <v>155</v>
      </c>
      <c r="N173" s="17" t="s">
        <v>155</v>
      </c>
      <c r="O173" s="17" t="s">
        <v>155</v>
      </c>
      <c r="Y173" s="15" t="s">
        <v>159</v>
      </c>
      <c r="Z173" s="17" t="s">
        <v>693</v>
      </c>
      <c r="AA173" s="17" t="s">
        <v>563</v>
      </c>
      <c r="AB173" s="17" t="s">
        <v>155</v>
      </c>
      <c r="AC173" s="17" t="s">
        <v>649</v>
      </c>
      <c r="AD173" s="17" t="s">
        <v>693</v>
      </c>
      <c r="AH173" s="17" t="s">
        <v>164</v>
      </c>
      <c r="AI173" s="17" t="s">
        <v>165</v>
      </c>
      <c r="AJ173" s="17" t="s">
        <v>166</v>
      </c>
      <c r="AK173" s="17" t="s">
        <v>167</v>
      </c>
      <c r="AL173" s="17" t="s">
        <v>168</v>
      </c>
      <c r="AW173" t="s">
        <v>160</v>
      </c>
      <c r="AX173" t="s">
        <v>353</v>
      </c>
      <c r="AY173" t="s">
        <v>155</v>
      </c>
      <c r="AZ173" t="s">
        <v>155</v>
      </c>
      <c r="BA173" t="s">
        <v>155</v>
      </c>
      <c r="BB173" t="s">
        <v>155</v>
      </c>
      <c r="BD173">
        <f t="shared" si="14"/>
        <v>0</v>
      </c>
      <c r="BE173">
        <f t="shared" si="15"/>
        <v>0</v>
      </c>
      <c r="BF173">
        <f t="shared" si="16"/>
        <v>0</v>
      </c>
      <c r="BG173">
        <f t="shared" si="17"/>
        <v>0</v>
      </c>
      <c r="BH173">
        <f t="shared" si="18"/>
        <v>0</v>
      </c>
      <c r="BI173">
        <f t="shared" si="19"/>
        <v>0</v>
      </c>
    </row>
    <row r="174" spans="2:61" x14ac:dyDescent="0.3">
      <c r="B174" s="15" t="s">
        <v>160</v>
      </c>
      <c r="C174" s="17" t="s">
        <v>155</v>
      </c>
      <c r="D174" s="17" t="s">
        <v>640</v>
      </c>
      <c r="E174" s="17" t="s">
        <v>693</v>
      </c>
      <c r="F174" s="17" t="s">
        <v>155</v>
      </c>
      <c r="G174" s="17" t="s">
        <v>155</v>
      </c>
      <c r="J174" t="s">
        <v>542</v>
      </c>
      <c r="K174" s="17" t="s">
        <v>155</v>
      </c>
      <c r="L174" s="17" t="s">
        <v>102</v>
      </c>
      <c r="M174" s="17" t="s">
        <v>281</v>
      </c>
      <c r="N174" s="17" t="s">
        <v>102</v>
      </c>
      <c r="O174" s="17" t="s">
        <v>155</v>
      </c>
      <c r="Y174" s="15" t="s">
        <v>160</v>
      </c>
      <c r="Z174" s="17" t="s">
        <v>155</v>
      </c>
      <c r="AA174" s="17" t="s">
        <v>563</v>
      </c>
      <c r="AB174" s="17" t="s">
        <v>155</v>
      </c>
      <c r="AC174" s="17" t="s">
        <v>563</v>
      </c>
      <c r="AD174" s="17" t="s">
        <v>155</v>
      </c>
      <c r="AG174" t="s">
        <v>550</v>
      </c>
      <c r="AH174" s="17" t="s">
        <v>155</v>
      </c>
      <c r="AI174" s="17" t="s">
        <v>353</v>
      </c>
      <c r="AJ174" s="17" t="s">
        <v>155</v>
      </c>
      <c r="AK174" s="17" t="s">
        <v>155</v>
      </c>
      <c r="AL174" s="17" t="s">
        <v>155</v>
      </c>
      <c r="AW174" t="s">
        <v>542</v>
      </c>
      <c r="AX174" t="s">
        <v>155</v>
      </c>
      <c r="AY174" t="s">
        <v>102</v>
      </c>
      <c r="AZ174" t="s">
        <v>281</v>
      </c>
      <c r="BA174" t="s">
        <v>102</v>
      </c>
      <c r="BB174" t="s">
        <v>155</v>
      </c>
      <c r="BD174">
        <f t="shared" si="14"/>
        <v>0</v>
      </c>
      <c r="BE174">
        <f t="shared" si="15"/>
        <v>0</v>
      </c>
      <c r="BF174">
        <f t="shared" si="16"/>
        <v>0</v>
      </c>
      <c r="BG174">
        <f t="shared" si="17"/>
        <v>0</v>
      </c>
      <c r="BH174">
        <f t="shared" si="18"/>
        <v>0</v>
      </c>
      <c r="BI174">
        <f t="shared" si="19"/>
        <v>0</v>
      </c>
    </row>
    <row r="175" spans="2:61" x14ac:dyDescent="0.3">
      <c r="J175" t="s">
        <v>543</v>
      </c>
      <c r="K175" s="17" t="s">
        <v>155</v>
      </c>
      <c r="L175" s="17" t="s">
        <v>102</v>
      </c>
      <c r="M175" s="17" t="s">
        <v>281</v>
      </c>
      <c r="N175" s="17" t="s">
        <v>102</v>
      </c>
      <c r="O175" s="17" t="s">
        <v>281</v>
      </c>
      <c r="AG175" t="s">
        <v>158</v>
      </c>
      <c r="AH175" s="17" t="s">
        <v>155</v>
      </c>
      <c r="AI175" s="17" t="s">
        <v>353</v>
      </c>
      <c r="AJ175" s="17" t="s">
        <v>155</v>
      </c>
      <c r="AK175" s="17" t="s">
        <v>155</v>
      </c>
      <c r="AL175" s="17" t="s">
        <v>155</v>
      </c>
      <c r="AW175" t="s">
        <v>543</v>
      </c>
      <c r="AX175" t="s">
        <v>155</v>
      </c>
      <c r="AY175" t="s">
        <v>102</v>
      </c>
      <c r="AZ175" t="s">
        <v>281</v>
      </c>
      <c r="BA175" t="s">
        <v>102</v>
      </c>
      <c r="BB175" t="s">
        <v>281</v>
      </c>
      <c r="BD175">
        <f t="shared" si="14"/>
        <v>0</v>
      </c>
      <c r="BE175">
        <f t="shared" si="15"/>
        <v>0</v>
      </c>
      <c r="BF175">
        <f t="shared" si="16"/>
        <v>0</v>
      </c>
      <c r="BG175">
        <f t="shared" si="17"/>
        <v>0</v>
      </c>
      <c r="BH175">
        <f t="shared" si="18"/>
        <v>0</v>
      </c>
      <c r="BI175">
        <f t="shared" si="19"/>
        <v>0</v>
      </c>
    </row>
    <row r="176" spans="2:61" x14ac:dyDescent="0.3">
      <c r="B176" s="15" t="s">
        <v>629</v>
      </c>
      <c r="J176" t="s">
        <v>544</v>
      </c>
      <c r="K176" s="17" t="s">
        <v>155</v>
      </c>
      <c r="L176" s="17" t="s">
        <v>102</v>
      </c>
      <c r="M176" s="17" t="s">
        <v>281</v>
      </c>
      <c r="N176" s="17" t="s">
        <v>155</v>
      </c>
      <c r="O176" s="17" t="s">
        <v>281</v>
      </c>
      <c r="Y176" s="15" t="s">
        <v>629</v>
      </c>
      <c r="AG176" t="s">
        <v>159</v>
      </c>
      <c r="AH176" s="17" t="s">
        <v>155</v>
      </c>
      <c r="AI176" s="17" t="s">
        <v>353</v>
      </c>
      <c r="AJ176" s="17" t="s">
        <v>155</v>
      </c>
      <c r="AK176" s="17" t="s">
        <v>353</v>
      </c>
      <c r="AL176" s="17" t="s">
        <v>155</v>
      </c>
      <c r="AW176" t="s">
        <v>544</v>
      </c>
      <c r="AX176" t="s">
        <v>155</v>
      </c>
      <c r="AY176" t="s">
        <v>102</v>
      </c>
      <c r="AZ176" t="s">
        <v>281</v>
      </c>
      <c r="BA176" t="s">
        <v>155</v>
      </c>
      <c r="BB176" t="s">
        <v>281</v>
      </c>
      <c r="BD176">
        <f t="shared" si="14"/>
        <v>0</v>
      </c>
      <c r="BE176">
        <f t="shared" si="15"/>
        <v>0</v>
      </c>
      <c r="BF176">
        <f t="shared" si="16"/>
        <v>0</v>
      </c>
      <c r="BG176">
        <f t="shared" si="17"/>
        <v>0</v>
      </c>
      <c r="BH176">
        <f t="shared" si="18"/>
        <v>0</v>
      </c>
      <c r="BI176">
        <f t="shared" si="19"/>
        <v>0</v>
      </c>
    </row>
    <row r="177" spans="2:61" x14ac:dyDescent="0.3">
      <c r="C177" s="17" t="s">
        <v>164</v>
      </c>
      <c r="D177" s="17" t="s">
        <v>165</v>
      </c>
      <c r="E177" s="17" t="s">
        <v>166</v>
      </c>
      <c r="F177" s="17" t="s">
        <v>167</v>
      </c>
      <c r="G177" s="17" t="s">
        <v>168</v>
      </c>
      <c r="Z177" s="17" t="s">
        <v>164</v>
      </c>
      <c r="AA177" s="17" t="s">
        <v>165</v>
      </c>
      <c r="AB177" s="17" t="s">
        <v>166</v>
      </c>
      <c r="AC177" s="17" t="s">
        <v>167</v>
      </c>
      <c r="AD177" s="17" t="s">
        <v>168</v>
      </c>
      <c r="AG177" t="s">
        <v>160</v>
      </c>
      <c r="AH177" s="17" t="s">
        <v>155</v>
      </c>
      <c r="AI177" s="17" t="s">
        <v>155</v>
      </c>
      <c r="AJ177" s="17" t="s">
        <v>155</v>
      </c>
      <c r="AK177" s="17" t="s">
        <v>353</v>
      </c>
      <c r="AL177" s="17" t="s">
        <v>155</v>
      </c>
      <c r="BD177">
        <f t="shared" si="14"/>
        <v>0</v>
      </c>
      <c r="BE177">
        <f t="shared" si="15"/>
        <v>0</v>
      </c>
      <c r="BF177">
        <f t="shared" si="16"/>
        <v>0</v>
      </c>
      <c r="BG177">
        <f t="shared" si="17"/>
        <v>0</v>
      </c>
      <c r="BH177">
        <f t="shared" si="18"/>
        <v>0</v>
      </c>
      <c r="BI177">
        <f t="shared" si="19"/>
        <v>0</v>
      </c>
    </row>
    <row r="178" spans="2:61" x14ac:dyDescent="0.3">
      <c r="B178" s="15" t="s">
        <v>542</v>
      </c>
      <c r="C178" s="17" t="s">
        <v>631</v>
      </c>
      <c r="D178" s="17" t="s">
        <v>784</v>
      </c>
      <c r="E178" s="17" t="s">
        <v>784</v>
      </c>
      <c r="F178" s="17" t="s">
        <v>632</v>
      </c>
      <c r="G178" s="17" t="s">
        <v>630</v>
      </c>
      <c r="J178" t="s">
        <v>824</v>
      </c>
      <c r="Y178" s="15" t="s">
        <v>542</v>
      </c>
      <c r="Z178" s="17" t="s">
        <v>631</v>
      </c>
      <c r="AA178" s="17" t="s">
        <v>784</v>
      </c>
      <c r="AB178" s="17" t="s">
        <v>784</v>
      </c>
      <c r="AC178" s="17" t="s">
        <v>632</v>
      </c>
      <c r="AD178" s="17" t="s">
        <v>630</v>
      </c>
      <c r="AG178" t="s">
        <v>542</v>
      </c>
      <c r="AH178" s="17" t="s">
        <v>155</v>
      </c>
      <c r="AI178" s="17" t="s">
        <v>102</v>
      </c>
      <c r="AJ178" s="17" t="s">
        <v>281</v>
      </c>
      <c r="AK178" s="17" t="s">
        <v>102</v>
      </c>
      <c r="AL178" s="17" t="s">
        <v>155</v>
      </c>
      <c r="AW178" t="s">
        <v>824</v>
      </c>
      <c r="BD178">
        <f t="shared" si="14"/>
        <v>0</v>
      </c>
      <c r="BE178">
        <f t="shared" si="15"/>
        <v>0</v>
      </c>
      <c r="BF178">
        <f t="shared" si="16"/>
        <v>0</v>
      </c>
      <c r="BG178">
        <f t="shared" si="17"/>
        <v>0</v>
      </c>
      <c r="BH178">
        <f t="shared" si="18"/>
        <v>0</v>
      </c>
      <c r="BI178">
        <f t="shared" si="19"/>
        <v>0</v>
      </c>
    </row>
    <row r="179" spans="2:61" x14ac:dyDescent="0.3">
      <c r="B179" s="15" t="s">
        <v>543</v>
      </c>
      <c r="C179" s="17" t="s">
        <v>631</v>
      </c>
      <c r="D179" s="17" t="s">
        <v>630</v>
      </c>
      <c r="E179" s="17" t="s">
        <v>784</v>
      </c>
      <c r="F179" s="17" t="s">
        <v>632</v>
      </c>
      <c r="G179" s="17" t="s">
        <v>630</v>
      </c>
      <c r="K179" s="17" t="s">
        <v>164</v>
      </c>
      <c r="L179" s="17" t="s">
        <v>165</v>
      </c>
      <c r="M179" s="17" t="s">
        <v>166</v>
      </c>
      <c r="N179" s="17" t="s">
        <v>167</v>
      </c>
      <c r="O179" s="17" t="s">
        <v>168</v>
      </c>
      <c r="Y179" s="15" t="s">
        <v>543</v>
      </c>
      <c r="Z179" s="17" t="s">
        <v>631</v>
      </c>
      <c r="AA179" s="17" t="s">
        <v>630</v>
      </c>
      <c r="AB179" s="17" t="s">
        <v>784</v>
      </c>
      <c r="AC179" s="17" t="s">
        <v>632</v>
      </c>
      <c r="AD179" s="17" t="s">
        <v>630</v>
      </c>
      <c r="AG179" t="s">
        <v>543</v>
      </c>
      <c r="AH179" s="17" t="s">
        <v>155</v>
      </c>
      <c r="AI179" s="17" t="s">
        <v>102</v>
      </c>
      <c r="AJ179" s="17" t="s">
        <v>281</v>
      </c>
      <c r="AK179" s="17" t="s">
        <v>102</v>
      </c>
      <c r="AL179" s="17" t="s">
        <v>281</v>
      </c>
      <c r="AX179" t="s">
        <v>164</v>
      </c>
      <c r="AY179" t="s">
        <v>165</v>
      </c>
      <c r="AZ179" t="s">
        <v>166</v>
      </c>
      <c r="BA179" t="s">
        <v>167</v>
      </c>
      <c r="BB179" t="s">
        <v>168</v>
      </c>
      <c r="BD179">
        <f t="shared" si="14"/>
        <v>0</v>
      </c>
      <c r="BE179">
        <f t="shared" si="15"/>
        <v>0</v>
      </c>
      <c r="BF179">
        <f t="shared" si="16"/>
        <v>0</v>
      </c>
      <c r="BG179">
        <f t="shared" si="17"/>
        <v>0</v>
      </c>
      <c r="BH179">
        <f t="shared" si="18"/>
        <v>0</v>
      </c>
      <c r="BI179">
        <f t="shared" si="19"/>
        <v>0</v>
      </c>
    </row>
    <row r="180" spans="2:61" x14ac:dyDescent="0.3">
      <c r="B180" s="15" t="s">
        <v>544</v>
      </c>
      <c r="C180" s="17" t="s">
        <v>634</v>
      </c>
      <c r="D180" s="17" t="s">
        <v>630</v>
      </c>
      <c r="E180" s="17" t="s">
        <v>775</v>
      </c>
      <c r="F180" s="17" t="s">
        <v>634</v>
      </c>
      <c r="G180" s="17" t="s">
        <v>776</v>
      </c>
      <c r="J180" t="s">
        <v>557</v>
      </c>
      <c r="K180" s="17" t="s">
        <v>155</v>
      </c>
      <c r="L180" s="17" t="s">
        <v>658</v>
      </c>
      <c r="M180" s="17" t="s">
        <v>155</v>
      </c>
      <c r="N180" s="17" t="s">
        <v>155</v>
      </c>
      <c r="O180" s="17" t="s">
        <v>155</v>
      </c>
      <c r="Y180" s="15" t="s">
        <v>544</v>
      </c>
      <c r="Z180" s="17" t="s">
        <v>634</v>
      </c>
      <c r="AA180" s="17" t="s">
        <v>630</v>
      </c>
      <c r="AB180" s="17" t="s">
        <v>775</v>
      </c>
      <c r="AC180" s="17" t="s">
        <v>634</v>
      </c>
      <c r="AD180" s="17" t="s">
        <v>776</v>
      </c>
      <c r="AG180" t="s">
        <v>544</v>
      </c>
      <c r="AH180" s="17" t="s">
        <v>155</v>
      </c>
      <c r="AI180" s="17" t="s">
        <v>155</v>
      </c>
      <c r="AJ180" s="17" t="s">
        <v>281</v>
      </c>
      <c r="AK180" s="17" t="s">
        <v>102</v>
      </c>
      <c r="AL180" s="17" t="s">
        <v>281</v>
      </c>
      <c r="AW180" t="s">
        <v>557</v>
      </c>
      <c r="AX180" t="s">
        <v>155</v>
      </c>
      <c r="AY180" t="s">
        <v>658</v>
      </c>
      <c r="AZ180" t="s">
        <v>155</v>
      </c>
      <c r="BA180" t="s">
        <v>155</v>
      </c>
      <c r="BB180" t="s">
        <v>155</v>
      </c>
      <c r="BD180">
        <f t="shared" si="14"/>
        <v>0</v>
      </c>
      <c r="BE180">
        <f t="shared" si="15"/>
        <v>0</v>
      </c>
      <c r="BF180">
        <f t="shared" si="16"/>
        <v>0</v>
      </c>
      <c r="BG180">
        <f t="shared" si="17"/>
        <v>0</v>
      </c>
      <c r="BH180">
        <f t="shared" si="18"/>
        <v>0</v>
      </c>
      <c r="BI180">
        <f t="shared" si="19"/>
        <v>0</v>
      </c>
    </row>
    <row r="181" spans="2:61" x14ac:dyDescent="0.3">
      <c r="B181" s="15" t="s">
        <v>545</v>
      </c>
      <c r="C181" s="17" t="s">
        <v>634</v>
      </c>
      <c r="D181" s="17" t="s">
        <v>633</v>
      </c>
      <c r="E181" s="17" t="s">
        <v>775</v>
      </c>
      <c r="F181" s="17" t="s">
        <v>634</v>
      </c>
      <c r="G181" s="17" t="s">
        <v>776</v>
      </c>
      <c r="J181" t="s">
        <v>542</v>
      </c>
      <c r="K181" s="17" t="s">
        <v>155</v>
      </c>
      <c r="L181" s="17" t="s">
        <v>658</v>
      </c>
      <c r="M181" s="17" t="s">
        <v>155</v>
      </c>
      <c r="N181" s="17" t="s">
        <v>155</v>
      </c>
      <c r="O181" s="17" t="s">
        <v>155</v>
      </c>
      <c r="Y181" s="15" t="s">
        <v>545</v>
      </c>
      <c r="Z181" s="17" t="s">
        <v>634</v>
      </c>
      <c r="AA181" s="17" t="s">
        <v>633</v>
      </c>
      <c r="AB181" s="17" t="s">
        <v>775</v>
      </c>
      <c r="AC181" s="17" t="s">
        <v>634</v>
      </c>
      <c r="AD181" s="17" t="s">
        <v>776</v>
      </c>
      <c r="AW181" t="s">
        <v>542</v>
      </c>
      <c r="AX181" t="s">
        <v>155</v>
      </c>
      <c r="AY181" t="s">
        <v>658</v>
      </c>
      <c r="AZ181" t="s">
        <v>155</v>
      </c>
      <c r="BA181" t="s">
        <v>155</v>
      </c>
      <c r="BB181" t="s">
        <v>155</v>
      </c>
      <c r="BD181">
        <f t="shared" si="14"/>
        <v>0</v>
      </c>
      <c r="BE181">
        <f t="shared" si="15"/>
        <v>0</v>
      </c>
      <c r="BF181">
        <f t="shared" si="16"/>
        <v>0</v>
      </c>
      <c r="BG181">
        <f t="shared" si="17"/>
        <v>0</v>
      </c>
      <c r="BH181">
        <f t="shared" si="18"/>
        <v>0</v>
      </c>
      <c r="BI181">
        <f t="shared" si="19"/>
        <v>0</v>
      </c>
    </row>
    <row r="182" spans="2:61" x14ac:dyDescent="0.3">
      <c r="B182" s="15" t="s">
        <v>546</v>
      </c>
      <c r="C182" s="17" t="s">
        <v>155</v>
      </c>
      <c r="D182" s="17" t="s">
        <v>633</v>
      </c>
      <c r="E182" s="17" t="s">
        <v>775</v>
      </c>
      <c r="F182" s="17" t="s">
        <v>155</v>
      </c>
      <c r="G182" s="17" t="s">
        <v>155</v>
      </c>
      <c r="J182" t="s">
        <v>543</v>
      </c>
      <c r="K182" s="17" t="s">
        <v>155</v>
      </c>
      <c r="L182" s="17" t="s">
        <v>658</v>
      </c>
      <c r="M182" s="17" t="s">
        <v>155</v>
      </c>
      <c r="N182" s="17" t="s">
        <v>155</v>
      </c>
      <c r="O182" s="17" t="s">
        <v>155</v>
      </c>
      <c r="Y182" s="15" t="s">
        <v>546</v>
      </c>
      <c r="Z182" s="17" t="s">
        <v>155</v>
      </c>
      <c r="AA182" s="17" t="s">
        <v>633</v>
      </c>
      <c r="AB182" s="17" t="s">
        <v>775</v>
      </c>
      <c r="AC182" s="17" t="s">
        <v>155</v>
      </c>
      <c r="AD182" s="17" t="s">
        <v>155</v>
      </c>
      <c r="AG182" t="s">
        <v>824</v>
      </c>
      <c r="AW182" t="s">
        <v>543</v>
      </c>
      <c r="AX182" t="s">
        <v>155</v>
      </c>
      <c r="AY182" t="s">
        <v>658</v>
      </c>
      <c r="AZ182" t="s">
        <v>155</v>
      </c>
      <c r="BA182" t="s">
        <v>155</v>
      </c>
      <c r="BB182" t="s">
        <v>155</v>
      </c>
      <c r="BD182">
        <f t="shared" si="14"/>
        <v>0</v>
      </c>
      <c r="BE182">
        <f t="shared" si="15"/>
        <v>0</v>
      </c>
      <c r="BF182">
        <f t="shared" si="16"/>
        <v>0</v>
      </c>
      <c r="BG182">
        <f t="shared" si="17"/>
        <v>0</v>
      </c>
      <c r="BH182">
        <f t="shared" si="18"/>
        <v>0</v>
      </c>
      <c r="BI182">
        <f t="shared" si="19"/>
        <v>0</v>
      </c>
    </row>
    <row r="183" spans="2:61" x14ac:dyDescent="0.3">
      <c r="J183" t="s">
        <v>544</v>
      </c>
      <c r="K183" s="17" t="s">
        <v>155</v>
      </c>
      <c r="L183" s="17" t="s">
        <v>658</v>
      </c>
      <c r="M183" s="17" t="s">
        <v>155</v>
      </c>
      <c r="N183" s="17" t="s">
        <v>155</v>
      </c>
      <c r="O183" s="17" t="s">
        <v>155</v>
      </c>
      <c r="AH183" s="17" t="s">
        <v>164</v>
      </c>
      <c r="AI183" s="17" t="s">
        <v>165</v>
      </c>
      <c r="AJ183" s="17" t="s">
        <v>166</v>
      </c>
      <c r="AK183" s="17" t="s">
        <v>167</v>
      </c>
      <c r="AL183" s="17" t="s">
        <v>168</v>
      </c>
      <c r="AW183" t="s">
        <v>544</v>
      </c>
      <c r="AX183" t="s">
        <v>155</v>
      </c>
      <c r="AY183" t="s">
        <v>658</v>
      </c>
      <c r="AZ183" t="s">
        <v>155</v>
      </c>
      <c r="BA183" t="s">
        <v>155</v>
      </c>
      <c r="BB183" t="s">
        <v>155</v>
      </c>
      <c r="BD183">
        <f t="shared" si="14"/>
        <v>0</v>
      </c>
      <c r="BE183">
        <f t="shared" si="15"/>
        <v>0</v>
      </c>
      <c r="BF183">
        <f t="shared" si="16"/>
        <v>0</v>
      </c>
      <c r="BG183">
        <f t="shared" si="17"/>
        <v>0</v>
      </c>
      <c r="BH183">
        <f t="shared" si="18"/>
        <v>0</v>
      </c>
      <c r="BI183">
        <f t="shared" si="19"/>
        <v>0</v>
      </c>
    </row>
    <row r="184" spans="2:61" x14ac:dyDescent="0.3">
      <c r="B184" s="29" t="s">
        <v>596</v>
      </c>
      <c r="Y184" s="29" t="s">
        <v>596</v>
      </c>
      <c r="AG184" t="s">
        <v>557</v>
      </c>
      <c r="AH184" s="17" t="s">
        <v>155</v>
      </c>
      <c r="AI184" s="17" t="s">
        <v>658</v>
      </c>
      <c r="AJ184" s="17" t="s">
        <v>155</v>
      </c>
      <c r="AK184" s="17" t="s">
        <v>155</v>
      </c>
      <c r="AL184" s="17" t="s">
        <v>155</v>
      </c>
      <c r="BD184">
        <f t="shared" si="14"/>
        <v>0</v>
      </c>
      <c r="BE184">
        <f t="shared" si="15"/>
        <v>0</v>
      </c>
      <c r="BF184">
        <f t="shared" si="16"/>
        <v>0</v>
      </c>
      <c r="BG184">
        <f t="shared" si="17"/>
        <v>0</v>
      </c>
      <c r="BH184">
        <f t="shared" si="18"/>
        <v>0</v>
      </c>
      <c r="BI184">
        <f t="shared" si="19"/>
        <v>0</v>
      </c>
    </row>
    <row r="185" spans="2:61" x14ac:dyDescent="0.3">
      <c r="B185" s="71" t="s">
        <v>777</v>
      </c>
      <c r="J185" t="s">
        <v>695</v>
      </c>
      <c r="Y185" s="71" t="s">
        <v>777</v>
      </c>
      <c r="AG185" t="s">
        <v>542</v>
      </c>
      <c r="AH185" s="17" t="s">
        <v>155</v>
      </c>
      <c r="AI185" s="17" t="s">
        <v>658</v>
      </c>
      <c r="AJ185" s="17" t="s">
        <v>155</v>
      </c>
      <c r="AK185" s="17" t="s">
        <v>155</v>
      </c>
      <c r="AL185" s="17" t="s">
        <v>155</v>
      </c>
      <c r="AW185" t="s">
        <v>695</v>
      </c>
      <c r="BD185">
        <f t="shared" si="14"/>
        <v>0</v>
      </c>
      <c r="BE185">
        <f t="shared" si="15"/>
        <v>0</v>
      </c>
      <c r="BF185">
        <f t="shared" si="16"/>
        <v>0</v>
      </c>
      <c r="BG185">
        <f t="shared" si="17"/>
        <v>0</v>
      </c>
      <c r="BH185">
        <f t="shared" si="18"/>
        <v>0</v>
      </c>
      <c r="BI185">
        <f t="shared" si="19"/>
        <v>0</v>
      </c>
    </row>
    <row r="186" spans="2:61" x14ac:dyDescent="0.3">
      <c r="K186" s="17" t="s">
        <v>164</v>
      </c>
      <c r="L186" s="17" t="s">
        <v>165</v>
      </c>
      <c r="M186" s="17" t="s">
        <v>166</v>
      </c>
      <c r="N186" s="17" t="s">
        <v>167</v>
      </c>
      <c r="O186" s="17" t="s">
        <v>168</v>
      </c>
      <c r="AG186" t="s">
        <v>543</v>
      </c>
      <c r="AH186" s="17" t="s">
        <v>155</v>
      </c>
      <c r="AI186" s="17" t="s">
        <v>658</v>
      </c>
      <c r="AJ186" s="17" t="s">
        <v>155</v>
      </c>
      <c r="AK186" s="17" t="s">
        <v>155</v>
      </c>
      <c r="AL186" s="17" t="s">
        <v>155</v>
      </c>
      <c r="AX186" t="s">
        <v>164</v>
      </c>
      <c r="AY186" t="s">
        <v>165</v>
      </c>
      <c r="AZ186" t="s">
        <v>166</v>
      </c>
      <c r="BA186" t="s">
        <v>167</v>
      </c>
      <c r="BB186" t="s">
        <v>168</v>
      </c>
      <c r="BD186">
        <f t="shared" si="14"/>
        <v>0</v>
      </c>
      <c r="BE186">
        <f t="shared" si="15"/>
        <v>0</v>
      </c>
      <c r="BF186">
        <f t="shared" si="16"/>
        <v>0</v>
      </c>
      <c r="BG186">
        <f t="shared" si="17"/>
        <v>0</v>
      </c>
      <c r="BH186">
        <f t="shared" si="18"/>
        <v>0</v>
      </c>
      <c r="BI186">
        <f t="shared" si="19"/>
        <v>0</v>
      </c>
    </row>
    <row r="187" spans="2:61" x14ac:dyDescent="0.3">
      <c r="B187" s="15" t="s">
        <v>783</v>
      </c>
      <c r="J187" t="s">
        <v>550</v>
      </c>
      <c r="K187" s="17" t="s">
        <v>155</v>
      </c>
      <c r="L187" s="17" t="s">
        <v>155</v>
      </c>
      <c r="M187" s="17" t="s">
        <v>155</v>
      </c>
      <c r="N187" s="17" t="s">
        <v>155</v>
      </c>
      <c r="O187" s="17" t="s">
        <v>6</v>
      </c>
      <c r="Y187" s="15" t="s">
        <v>783</v>
      </c>
      <c r="AG187" t="s">
        <v>544</v>
      </c>
      <c r="AH187" s="17" t="s">
        <v>155</v>
      </c>
      <c r="AI187" s="17" t="s">
        <v>658</v>
      </c>
      <c r="AJ187" s="17" t="s">
        <v>155</v>
      </c>
      <c r="AK187" s="17" t="s">
        <v>155</v>
      </c>
      <c r="AL187" s="17" t="s">
        <v>155</v>
      </c>
      <c r="AW187" t="s">
        <v>550</v>
      </c>
      <c r="AX187" t="s">
        <v>155</v>
      </c>
      <c r="AY187" t="s">
        <v>155</v>
      </c>
      <c r="AZ187" t="s">
        <v>155</v>
      </c>
      <c r="BA187" t="s">
        <v>155</v>
      </c>
      <c r="BB187" t="s">
        <v>6</v>
      </c>
      <c r="BD187">
        <f t="shared" si="14"/>
        <v>0</v>
      </c>
      <c r="BE187">
        <f t="shared" si="15"/>
        <v>0</v>
      </c>
      <c r="BF187">
        <f t="shared" si="16"/>
        <v>0</v>
      </c>
      <c r="BG187">
        <f t="shared" si="17"/>
        <v>0</v>
      </c>
      <c r="BH187">
        <f t="shared" si="18"/>
        <v>0</v>
      </c>
      <c r="BI187">
        <f t="shared" si="19"/>
        <v>0</v>
      </c>
    </row>
    <row r="188" spans="2:61" x14ac:dyDescent="0.3">
      <c r="C188" s="17" t="s">
        <v>164</v>
      </c>
      <c r="D188" s="17" t="s">
        <v>165</v>
      </c>
      <c r="E188" s="17" t="s">
        <v>166</v>
      </c>
      <c r="F188" s="17" t="s">
        <v>167</v>
      </c>
      <c r="G188" s="17" t="s">
        <v>168</v>
      </c>
      <c r="J188" t="s">
        <v>158</v>
      </c>
      <c r="K188" s="17" t="s">
        <v>155</v>
      </c>
      <c r="L188" s="17" t="s">
        <v>155</v>
      </c>
      <c r="M188" s="17" t="s">
        <v>6</v>
      </c>
      <c r="N188" s="17" t="s">
        <v>155</v>
      </c>
      <c r="O188" s="17" t="s">
        <v>6</v>
      </c>
      <c r="Z188" s="17" t="s">
        <v>164</v>
      </c>
      <c r="AA188" s="17" t="s">
        <v>165</v>
      </c>
      <c r="AB188" s="17" t="s">
        <v>166</v>
      </c>
      <c r="AC188" s="17" t="s">
        <v>167</v>
      </c>
      <c r="AD188" s="17" t="s">
        <v>168</v>
      </c>
      <c r="AW188" t="s">
        <v>158</v>
      </c>
      <c r="AX188" t="s">
        <v>155</v>
      </c>
      <c r="AY188" t="s">
        <v>155</v>
      </c>
      <c r="AZ188" t="s">
        <v>6</v>
      </c>
      <c r="BA188" t="s">
        <v>155</v>
      </c>
      <c r="BB188" t="s">
        <v>6</v>
      </c>
      <c r="BD188">
        <f t="shared" si="14"/>
        <v>0</v>
      </c>
      <c r="BE188">
        <f t="shared" si="15"/>
        <v>0</v>
      </c>
      <c r="BF188">
        <f t="shared" si="16"/>
        <v>0</v>
      </c>
      <c r="BG188">
        <f t="shared" si="17"/>
        <v>0</v>
      </c>
      <c r="BH188">
        <f t="shared" si="18"/>
        <v>0</v>
      </c>
      <c r="BI188">
        <f t="shared" si="19"/>
        <v>0</v>
      </c>
    </row>
    <row r="189" spans="2:61" x14ac:dyDescent="0.3">
      <c r="B189" s="15" t="s">
        <v>555</v>
      </c>
      <c r="C189" s="17" t="s">
        <v>920</v>
      </c>
      <c r="D189" s="17" t="s">
        <v>155</v>
      </c>
      <c r="E189" s="17" t="s">
        <v>635</v>
      </c>
      <c r="F189" s="17" t="s">
        <v>920</v>
      </c>
      <c r="G189" s="17" t="s">
        <v>155</v>
      </c>
      <c r="J189" t="s">
        <v>159</v>
      </c>
      <c r="K189" s="17" t="s">
        <v>155</v>
      </c>
      <c r="L189" s="17" t="s">
        <v>155</v>
      </c>
      <c r="M189" s="17" t="s">
        <v>6</v>
      </c>
      <c r="N189" s="17" t="s">
        <v>155</v>
      </c>
      <c r="O189" s="17" t="s">
        <v>155</v>
      </c>
      <c r="Y189" s="15" t="s">
        <v>555</v>
      </c>
      <c r="Z189" s="17" t="s">
        <v>155</v>
      </c>
      <c r="AA189" s="17" t="s">
        <v>155</v>
      </c>
      <c r="AB189" s="17" t="s">
        <v>635</v>
      </c>
      <c r="AC189" s="17" t="s">
        <v>920</v>
      </c>
      <c r="AD189" s="17" t="s">
        <v>920</v>
      </c>
      <c r="AG189" t="s">
        <v>695</v>
      </c>
      <c r="AW189" t="s">
        <v>159</v>
      </c>
      <c r="AX189" t="s">
        <v>155</v>
      </c>
      <c r="AY189" t="s">
        <v>155</v>
      </c>
      <c r="AZ189" t="s">
        <v>6</v>
      </c>
      <c r="BA189" t="s">
        <v>155</v>
      </c>
      <c r="BB189" t="s">
        <v>155</v>
      </c>
      <c r="BD189">
        <f t="shared" si="14"/>
        <v>0</v>
      </c>
      <c r="BE189">
        <f t="shared" si="15"/>
        <v>0</v>
      </c>
      <c r="BF189">
        <f t="shared" si="16"/>
        <v>0</v>
      </c>
      <c r="BG189">
        <f t="shared" si="17"/>
        <v>0</v>
      </c>
      <c r="BH189">
        <f t="shared" si="18"/>
        <v>0</v>
      </c>
      <c r="BI189">
        <f t="shared" si="19"/>
        <v>0</v>
      </c>
    </row>
    <row r="190" spans="2:61" x14ac:dyDescent="0.3">
      <c r="B190" s="15" t="s">
        <v>556</v>
      </c>
      <c r="C190" s="17" t="s">
        <v>920</v>
      </c>
      <c r="D190" s="17" t="s">
        <v>921</v>
      </c>
      <c r="E190" s="17" t="s">
        <v>635</v>
      </c>
      <c r="F190" s="17" t="s">
        <v>920</v>
      </c>
      <c r="G190" s="17" t="s">
        <v>155</v>
      </c>
      <c r="J190" t="s">
        <v>160</v>
      </c>
      <c r="K190" s="17" t="s">
        <v>155</v>
      </c>
      <c r="L190" s="17" t="s">
        <v>155</v>
      </c>
      <c r="M190" s="17" t="s">
        <v>6</v>
      </c>
      <c r="N190" s="17" t="s">
        <v>155</v>
      </c>
      <c r="O190" s="17" t="s">
        <v>155</v>
      </c>
      <c r="Y190" s="15" t="s">
        <v>556</v>
      </c>
      <c r="Z190" s="17" t="s">
        <v>155</v>
      </c>
      <c r="AA190" s="17" t="s">
        <v>921</v>
      </c>
      <c r="AB190" s="17" t="s">
        <v>635</v>
      </c>
      <c r="AC190" s="17" t="s">
        <v>920</v>
      </c>
      <c r="AD190" s="17" t="s">
        <v>920</v>
      </c>
      <c r="AH190" s="17" t="s">
        <v>164</v>
      </c>
      <c r="AI190" s="17" t="s">
        <v>165</v>
      </c>
      <c r="AJ190" s="17" t="s">
        <v>166</v>
      </c>
      <c r="AK190" s="17" t="s">
        <v>167</v>
      </c>
      <c r="AL190" s="17" t="s">
        <v>168</v>
      </c>
      <c r="AW190" t="s">
        <v>160</v>
      </c>
      <c r="AX190" t="s">
        <v>155</v>
      </c>
      <c r="AY190" t="s">
        <v>155</v>
      </c>
      <c r="AZ190" t="s">
        <v>6</v>
      </c>
      <c r="BA190" t="s">
        <v>155</v>
      </c>
      <c r="BB190" t="s">
        <v>155</v>
      </c>
      <c r="BD190">
        <f t="shared" si="14"/>
        <v>0</v>
      </c>
      <c r="BE190">
        <f t="shared" si="15"/>
        <v>0</v>
      </c>
      <c r="BF190">
        <f t="shared" si="16"/>
        <v>0</v>
      </c>
      <c r="BG190">
        <f t="shared" si="17"/>
        <v>0</v>
      </c>
      <c r="BH190">
        <f t="shared" si="18"/>
        <v>0</v>
      </c>
      <c r="BI190">
        <f t="shared" si="19"/>
        <v>0</v>
      </c>
    </row>
    <row r="191" spans="2:61" x14ac:dyDescent="0.3">
      <c r="B191" s="15" t="s">
        <v>557</v>
      </c>
      <c r="C191" s="17" t="s">
        <v>1038</v>
      </c>
      <c r="D191" s="17" t="s">
        <v>921</v>
      </c>
      <c r="E191" s="17" t="s">
        <v>1038</v>
      </c>
      <c r="F191" s="17" t="s">
        <v>787</v>
      </c>
      <c r="G191" s="17" t="s">
        <v>1039</v>
      </c>
      <c r="J191" t="s">
        <v>542</v>
      </c>
      <c r="K191" s="17" t="s">
        <v>155</v>
      </c>
      <c r="L191" s="17" t="s">
        <v>155</v>
      </c>
      <c r="M191" s="17" t="s">
        <v>241</v>
      </c>
      <c r="N191" s="17" t="s">
        <v>155</v>
      </c>
      <c r="O191" s="17" t="s">
        <v>241</v>
      </c>
      <c r="Y191" s="15" t="s">
        <v>557</v>
      </c>
      <c r="Z191" s="17" t="s">
        <v>785</v>
      </c>
      <c r="AA191" s="17" t="s">
        <v>921</v>
      </c>
      <c r="AB191" s="17" t="s">
        <v>785</v>
      </c>
      <c r="AC191" s="17" t="s">
        <v>787</v>
      </c>
      <c r="AD191" s="17" t="s">
        <v>922</v>
      </c>
      <c r="AG191" t="s">
        <v>550</v>
      </c>
      <c r="AH191" s="17" t="s">
        <v>155</v>
      </c>
      <c r="AI191" s="17" t="s">
        <v>155</v>
      </c>
      <c r="AJ191" s="17" t="s">
        <v>155</v>
      </c>
      <c r="AK191" s="17" t="s">
        <v>155</v>
      </c>
      <c r="AL191" s="17" t="s">
        <v>6</v>
      </c>
      <c r="AW191" t="s">
        <v>542</v>
      </c>
      <c r="AX191" t="s">
        <v>155</v>
      </c>
      <c r="AY191" t="s">
        <v>155</v>
      </c>
      <c r="AZ191" t="s">
        <v>241</v>
      </c>
      <c r="BA191" t="s">
        <v>155</v>
      </c>
      <c r="BB191" t="s">
        <v>241</v>
      </c>
      <c r="BD191">
        <f t="shared" si="14"/>
        <v>0</v>
      </c>
      <c r="BE191">
        <f t="shared" si="15"/>
        <v>0</v>
      </c>
      <c r="BF191">
        <f t="shared" si="16"/>
        <v>0</v>
      </c>
      <c r="BG191">
        <f t="shared" si="17"/>
        <v>0</v>
      </c>
      <c r="BH191">
        <f t="shared" si="18"/>
        <v>0</v>
      </c>
      <c r="BI191">
        <f t="shared" si="19"/>
        <v>0</v>
      </c>
    </row>
    <row r="192" spans="2:61" x14ac:dyDescent="0.3">
      <c r="B192" s="15" t="s">
        <v>542</v>
      </c>
      <c r="C192" s="17" t="s">
        <v>1038</v>
      </c>
      <c r="D192" s="17" t="s">
        <v>786</v>
      </c>
      <c r="E192" s="17" t="s">
        <v>1038</v>
      </c>
      <c r="F192" s="17" t="s">
        <v>787</v>
      </c>
      <c r="G192" s="17" t="s">
        <v>1039</v>
      </c>
      <c r="J192" t="s">
        <v>543</v>
      </c>
      <c r="K192" s="17" t="s">
        <v>155</v>
      </c>
      <c r="L192" s="17" t="s">
        <v>155</v>
      </c>
      <c r="M192" s="17" t="s">
        <v>241</v>
      </c>
      <c r="N192" s="17" t="s">
        <v>155</v>
      </c>
      <c r="O192" s="17" t="s">
        <v>241</v>
      </c>
      <c r="Y192" s="15" t="s">
        <v>542</v>
      </c>
      <c r="Z192" s="17" t="s">
        <v>785</v>
      </c>
      <c r="AA192" s="17" t="s">
        <v>786</v>
      </c>
      <c r="AB192" s="17" t="s">
        <v>785</v>
      </c>
      <c r="AC192" s="17" t="s">
        <v>787</v>
      </c>
      <c r="AD192" s="17" t="s">
        <v>922</v>
      </c>
      <c r="AG192" t="s">
        <v>158</v>
      </c>
      <c r="AH192" s="17" t="s">
        <v>155</v>
      </c>
      <c r="AI192" s="17" t="s">
        <v>155</v>
      </c>
      <c r="AJ192" s="17" t="s">
        <v>6</v>
      </c>
      <c r="AK192" s="17" t="s">
        <v>155</v>
      </c>
      <c r="AL192" s="17" t="s">
        <v>6</v>
      </c>
      <c r="AW192" t="s">
        <v>543</v>
      </c>
      <c r="AX192" t="s">
        <v>155</v>
      </c>
      <c r="AY192" t="s">
        <v>155</v>
      </c>
      <c r="AZ192" t="s">
        <v>241</v>
      </c>
      <c r="BA192" t="s">
        <v>155</v>
      </c>
      <c r="BB192" t="s">
        <v>241</v>
      </c>
      <c r="BD192">
        <f t="shared" si="14"/>
        <v>0</v>
      </c>
      <c r="BE192">
        <f t="shared" si="15"/>
        <v>0</v>
      </c>
      <c r="BF192">
        <f t="shared" si="16"/>
        <v>0</v>
      </c>
      <c r="BG192">
        <f t="shared" si="17"/>
        <v>0</v>
      </c>
      <c r="BH192">
        <f t="shared" si="18"/>
        <v>0</v>
      </c>
      <c r="BI192">
        <f t="shared" si="19"/>
        <v>0</v>
      </c>
    </row>
    <row r="193" spans="2:61" x14ac:dyDescent="0.3">
      <c r="B193" s="15" t="s">
        <v>543</v>
      </c>
      <c r="C193" s="17" t="s">
        <v>923</v>
      </c>
      <c r="D193" s="17" t="s">
        <v>786</v>
      </c>
      <c r="E193" s="17" t="s">
        <v>788</v>
      </c>
      <c r="F193" s="17" t="s">
        <v>787</v>
      </c>
      <c r="G193" s="17" t="s">
        <v>788</v>
      </c>
      <c r="J193" t="s">
        <v>544</v>
      </c>
      <c r="K193" s="17" t="s">
        <v>155</v>
      </c>
      <c r="L193" s="17" t="s">
        <v>155</v>
      </c>
      <c r="M193" s="17" t="s">
        <v>241</v>
      </c>
      <c r="N193" s="17" t="s">
        <v>155</v>
      </c>
      <c r="O193" s="17" t="s">
        <v>241</v>
      </c>
      <c r="Y193" s="15" t="s">
        <v>543</v>
      </c>
      <c r="Z193" s="17" t="s">
        <v>923</v>
      </c>
      <c r="AA193" s="17" t="s">
        <v>786</v>
      </c>
      <c r="AB193" s="17" t="s">
        <v>788</v>
      </c>
      <c r="AC193" s="17" t="s">
        <v>787</v>
      </c>
      <c r="AD193" s="17" t="s">
        <v>788</v>
      </c>
      <c r="AG193" t="s">
        <v>159</v>
      </c>
      <c r="AH193" s="17" t="s">
        <v>155</v>
      </c>
      <c r="AI193" s="17" t="s">
        <v>155</v>
      </c>
      <c r="AJ193" s="17" t="s">
        <v>6</v>
      </c>
      <c r="AK193" s="17" t="s">
        <v>155</v>
      </c>
      <c r="AL193" s="17" t="s">
        <v>155</v>
      </c>
      <c r="AW193" t="s">
        <v>544</v>
      </c>
      <c r="AX193" t="s">
        <v>155</v>
      </c>
      <c r="AY193" t="s">
        <v>155</v>
      </c>
      <c r="AZ193" t="s">
        <v>241</v>
      </c>
      <c r="BA193" t="s">
        <v>155</v>
      </c>
      <c r="BB193" t="s">
        <v>241</v>
      </c>
      <c r="BD193">
        <f t="shared" si="14"/>
        <v>0</v>
      </c>
      <c r="BE193">
        <f t="shared" si="15"/>
        <v>0</v>
      </c>
      <c r="BF193">
        <f t="shared" si="16"/>
        <v>0</v>
      </c>
      <c r="BG193">
        <f t="shared" si="17"/>
        <v>0</v>
      </c>
      <c r="BH193">
        <f t="shared" si="18"/>
        <v>0</v>
      </c>
      <c r="BI193">
        <f t="shared" si="19"/>
        <v>0</v>
      </c>
    </row>
    <row r="194" spans="2:61" x14ac:dyDescent="0.3">
      <c r="B194" s="15" t="s">
        <v>544</v>
      </c>
      <c r="C194" s="17" t="s">
        <v>924</v>
      </c>
      <c r="D194" s="17" t="s">
        <v>786</v>
      </c>
      <c r="E194" s="17" t="s">
        <v>788</v>
      </c>
      <c r="F194" s="17" t="s">
        <v>925</v>
      </c>
      <c r="G194" s="17" t="s">
        <v>788</v>
      </c>
      <c r="Y194" s="15" t="s">
        <v>544</v>
      </c>
      <c r="Z194" s="17" t="s">
        <v>924</v>
      </c>
      <c r="AA194" s="17" t="s">
        <v>786</v>
      </c>
      <c r="AB194" s="17" t="s">
        <v>788</v>
      </c>
      <c r="AC194" s="17" t="s">
        <v>925</v>
      </c>
      <c r="AD194" s="17" t="s">
        <v>788</v>
      </c>
      <c r="AG194" t="s">
        <v>160</v>
      </c>
      <c r="AH194" s="17" t="s">
        <v>155</v>
      </c>
      <c r="AI194" s="17" t="s">
        <v>155</v>
      </c>
      <c r="AJ194" s="17" t="s">
        <v>6</v>
      </c>
      <c r="AK194" s="17" t="s">
        <v>155</v>
      </c>
      <c r="AL194" s="17" t="s">
        <v>155</v>
      </c>
      <c r="BD194">
        <f t="shared" si="14"/>
        <v>0</v>
      </c>
      <c r="BE194">
        <f t="shared" si="15"/>
        <v>0</v>
      </c>
      <c r="BF194">
        <f t="shared" si="16"/>
        <v>0</v>
      </c>
      <c r="BG194">
        <f t="shared" si="17"/>
        <v>0</v>
      </c>
      <c r="BH194">
        <f t="shared" si="18"/>
        <v>0</v>
      </c>
      <c r="BI194">
        <f t="shared" si="19"/>
        <v>0</v>
      </c>
    </row>
    <row r="195" spans="2:61" x14ac:dyDescent="0.3">
      <c r="B195" s="15" t="s">
        <v>545</v>
      </c>
      <c r="C195" s="17" t="s">
        <v>925</v>
      </c>
      <c r="D195" s="17" t="s">
        <v>926</v>
      </c>
      <c r="E195" s="17" t="s">
        <v>789</v>
      </c>
      <c r="F195" s="17" t="s">
        <v>925</v>
      </c>
      <c r="G195" s="17" t="s">
        <v>155</v>
      </c>
      <c r="J195" t="s">
        <v>951</v>
      </c>
      <c r="Y195" s="15" t="s">
        <v>545</v>
      </c>
      <c r="Z195" s="17" t="s">
        <v>925</v>
      </c>
      <c r="AA195" s="17" t="s">
        <v>926</v>
      </c>
      <c r="AB195" s="17" t="s">
        <v>789</v>
      </c>
      <c r="AC195" s="17" t="s">
        <v>925</v>
      </c>
      <c r="AD195" s="17" t="s">
        <v>155</v>
      </c>
      <c r="AG195" t="s">
        <v>542</v>
      </c>
      <c r="AH195" s="17" t="s">
        <v>155</v>
      </c>
      <c r="AI195" s="17" t="s">
        <v>155</v>
      </c>
      <c r="AJ195" s="17" t="s">
        <v>241</v>
      </c>
      <c r="AK195" s="17" t="s">
        <v>155</v>
      </c>
      <c r="AL195" s="17" t="s">
        <v>241</v>
      </c>
      <c r="AW195" t="s">
        <v>951</v>
      </c>
      <c r="BD195">
        <f t="shared" si="14"/>
        <v>0</v>
      </c>
      <c r="BE195">
        <f t="shared" si="15"/>
        <v>0</v>
      </c>
      <c r="BF195">
        <f t="shared" si="16"/>
        <v>0</v>
      </c>
      <c r="BG195">
        <f t="shared" si="17"/>
        <v>0</v>
      </c>
      <c r="BH195">
        <f t="shared" si="18"/>
        <v>0</v>
      </c>
      <c r="BI195">
        <f t="shared" si="19"/>
        <v>0</v>
      </c>
    </row>
    <row r="196" spans="2:61" x14ac:dyDescent="0.3">
      <c r="K196" s="17" t="s">
        <v>164</v>
      </c>
      <c r="L196" s="17" t="s">
        <v>165</v>
      </c>
      <c r="M196" s="17" t="s">
        <v>166</v>
      </c>
      <c r="N196" s="17" t="s">
        <v>167</v>
      </c>
      <c r="O196" s="17" t="s">
        <v>168</v>
      </c>
      <c r="AG196" t="s">
        <v>543</v>
      </c>
      <c r="AH196" s="17" t="s">
        <v>155</v>
      </c>
      <c r="AI196" s="17" t="s">
        <v>155</v>
      </c>
      <c r="AJ196" s="17" t="s">
        <v>241</v>
      </c>
      <c r="AK196" s="17" t="s">
        <v>155</v>
      </c>
      <c r="AL196" s="17" t="s">
        <v>241</v>
      </c>
      <c r="AX196" t="s">
        <v>164</v>
      </c>
      <c r="AY196" t="s">
        <v>165</v>
      </c>
      <c r="AZ196" t="s">
        <v>166</v>
      </c>
      <c r="BA196" t="s">
        <v>167</v>
      </c>
      <c r="BB196" t="s">
        <v>168</v>
      </c>
      <c r="BD196">
        <f t="shared" si="14"/>
        <v>0</v>
      </c>
      <c r="BE196">
        <f t="shared" si="15"/>
        <v>0</v>
      </c>
      <c r="BF196">
        <f t="shared" si="16"/>
        <v>0</v>
      </c>
      <c r="BG196">
        <f t="shared" si="17"/>
        <v>0</v>
      </c>
      <c r="BH196">
        <f t="shared" si="18"/>
        <v>0</v>
      </c>
      <c r="BI196">
        <f t="shared" si="19"/>
        <v>0</v>
      </c>
    </row>
    <row r="197" spans="2:61" x14ac:dyDescent="0.3">
      <c r="B197" s="15" t="s">
        <v>790</v>
      </c>
      <c r="J197" t="s">
        <v>555</v>
      </c>
      <c r="K197" s="17" t="s">
        <v>529</v>
      </c>
      <c r="L197" s="17" t="s">
        <v>155</v>
      </c>
      <c r="M197" s="17" t="s">
        <v>155</v>
      </c>
      <c r="N197" s="17" t="s">
        <v>529</v>
      </c>
      <c r="O197" s="17" t="s">
        <v>656</v>
      </c>
      <c r="Y197" s="15" t="s">
        <v>790</v>
      </c>
      <c r="AG197" t="s">
        <v>544</v>
      </c>
      <c r="AH197" s="17" t="s">
        <v>155</v>
      </c>
      <c r="AI197" s="17" t="s">
        <v>155</v>
      </c>
      <c r="AJ197" s="17" t="s">
        <v>241</v>
      </c>
      <c r="AK197" s="17" t="s">
        <v>155</v>
      </c>
      <c r="AL197" s="17" t="s">
        <v>241</v>
      </c>
      <c r="AW197" t="s">
        <v>555</v>
      </c>
      <c r="AX197" t="s">
        <v>529</v>
      </c>
      <c r="AY197" t="s">
        <v>155</v>
      </c>
      <c r="AZ197" t="s">
        <v>155</v>
      </c>
      <c r="BA197" t="s">
        <v>529</v>
      </c>
      <c r="BB197" t="s">
        <v>656</v>
      </c>
      <c r="BD197">
        <f t="shared" si="14"/>
        <v>0</v>
      </c>
      <c r="BE197">
        <f t="shared" si="15"/>
        <v>0</v>
      </c>
      <c r="BF197">
        <f t="shared" si="16"/>
        <v>0</v>
      </c>
      <c r="BG197">
        <f t="shared" si="17"/>
        <v>0</v>
      </c>
      <c r="BH197">
        <f t="shared" si="18"/>
        <v>0</v>
      </c>
      <c r="BI197">
        <f t="shared" si="19"/>
        <v>0</v>
      </c>
    </row>
    <row r="198" spans="2:61" x14ac:dyDescent="0.3">
      <c r="C198" s="17" t="s">
        <v>164</v>
      </c>
      <c r="D198" s="17" t="s">
        <v>165</v>
      </c>
      <c r="E198" s="17" t="s">
        <v>166</v>
      </c>
      <c r="F198" s="17" t="s">
        <v>167</v>
      </c>
      <c r="G198" s="17" t="s">
        <v>168</v>
      </c>
      <c r="J198" t="s">
        <v>556</v>
      </c>
      <c r="K198" s="17" t="s">
        <v>529</v>
      </c>
      <c r="L198" s="17" t="s">
        <v>155</v>
      </c>
      <c r="M198" s="17" t="s">
        <v>656</v>
      </c>
      <c r="N198" s="17" t="s">
        <v>529</v>
      </c>
      <c r="O198" s="17" t="s">
        <v>656</v>
      </c>
      <c r="Z198" s="17" t="s">
        <v>164</v>
      </c>
      <c r="AA198" s="17" t="s">
        <v>165</v>
      </c>
      <c r="AB198" s="17" t="s">
        <v>166</v>
      </c>
      <c r="AC198" s="17" t="s">
        <v>167</v>
      </c>
      <c r="AD198" s="17" t="s">
        <v>168</v>
      </c>
      <c r="AW198" t="s">
        <v>556</v>
      </c>
      <c r="AX198" t="s">
        <v>529</v>
      </c>
      <c r="AY198" t="s">
        <v>155</v>
      </c>
      <c r="AZ198" t="s">
        <v>656</v>
      </c>
      <c r="BA198" t="s">
        <v>529</v>
      </c>
      <c r="BB198" t="s">
        <v>656</v>
      </c>
      <c r="BD198">
        <f t="shared" si="14"/>
        <v>0</v>
      </c>
      <c r="BE198">
        <f t="shared" si="15"/>
        <v>0</v>
      </c>
      <c r="BF198">
        <f t="shared" si="16"/>
        <v>0</v>
      </c>
      <c r="BG198">
        <f t="shared" si="17"/>
        <v>0</v>
      </c>
      <c r="BH198">
        <f t="shared" si="18"/>
        <v>0</v>
      </c>
      <c r="BI198">
        <f t="shared" si="19"/>
        <v>0</v>
      </c>
    </row>
    <row r="199" spans="2:61" x14ac:dyDescent="0.3">
      <c r="B199" s="15" t="s">
        <v>555</v>
      </c>
      <c r="C199" s="17" t="s">
        <v>791</v>
      </c>
      <c r="D199" s="17" t="s">
        <v>927</v>
      </c>
      <c r="E199" s="17" t="s">
        <v>635</v>
      </c>
      <c r="F199" s="17" t="s">
        <v>927</v>
      </c>
      <c r="G199" s="17" t="s">
        <v>791</v>
      </c>
      <c r="J199" t="s">
        <v>557</v>
      </c>
      <c r="K199" s="17" t="s">
        <v>155</v>
      </c>
      <c r="L199" s="17" t="s">
        <v>155</v>
      </c>
      <c r="M199" s="17" t="s">
        <v>656</v>
      </c>
      <c r="N199" s="17" t="s">
        <v>155</v>
      </c>
      <c r="O199" s="17" t="s">
        <v>155</v>
      </c>
      <c r="Y199" s="15" t="s">
        <v>555</v>
      </c>
      <c r="Z199" s="17" t="s">
        <v>791</v>
      </c>
      <c r="AA199" s="17" t="s">
        <v>927</v>
      </c>
      <c r="AB199" s="17" t="s">
        <v>635</v>
      </c>
      <c r="AC199" s="17" t="s">
        <v>927</v>
      </c>
      <c r="AD199" s="17" t="s">
        <v>791</v>
      </c>
      <c r="AG199" t="s">
        <v>951</v>
      </c>
      <c r="AW199" t="s">
        <v>557</v>
      </c>
      <c r="AX199" t="s">
        <v>155</v>
      </c>
      <c r="AY199" t="s">
        <v>155</v>
      </c>
      <c r="AZ199" t="s">
        <v>656</v>
      </c>
      <c r="BA199" t="s">
        <v>155</v>
      </c>
      <c r="BB199" t="s">
        <v>155</v>
      </c>
      <c r="BD199">
        <f t="shared" si="14"/>
        <v>0</v>
      </c>
      <c r="BE199">
        <f t="shared" si="15"/>
        <v>0</v>
      </c>
      <c r="BF199">
        <f t="shared" si="16"/>
        <v>0</v>
      </c>
      <c r="BG199">
        <f t="shared" si="17"/>
        <v>0</v>
      </c>
      <c r="BH199">
        <f t="shared" si="18"/>
        <v>0</v>
      </c>
      <c r="BI199">
        <f t="shared" si="19"/>
        <v>0</v>
      </c>
    </row>
    <row r="200" spans="2:61" x14ac:dyDescent="0.3">
      <c r="B200" s="15" t="s">
        <v>556</v>
      </c>
      <c r="C200" s="17" t="s">
        <v>791</v>
      </c>
      <c r="D200" s="17" t="s">
        <v>927</v>
      </c>
      <c r="E200" s="17" t="s">
        <v>635</v>
      </c>
      <c r="F200" s="17" t="s">
        <v>927</v>
      </c>
      <c r="G200" s="17" t="s">
        <v>791</v>
      </c>
      <c r="Y200" s="15" t="s">
        <v>556</v>
      </c>
      <c r="Z200" s="17" t="s">
        <v>791</v>
      </c>
      <c r="AA200" s="17" t="s">
        <v>927</v>
      </c>
      <c r="AB200" s="17" t="s">
        <v>635</v>
      </c>
      <c r="AC200" s="17" t="s">
        <v>927</v>
      </c>
      <c r="AD200" s="17" t="s">
        <v>791</v>
      </c>
      <c r="AH200" s="17" t="s">
        <v>164</v>
      </c>
      <c r="AI200" s="17" t="s">
        <v>165</v>
      </c>
      <c r="AJ200" s="17" t="s">
        <v>166</v>
      </c>
      <c r="AK200" s="17" t="s">
        <v>167</v>
      </c>
      <c r="AL200" s="17" t="s">
        <v>168</v>
      </c>
      <c r="BD200">
        <f t="shared" si="14"/>
        <v>0</v>
      </c>
      <c r="BE200">
        <f t="shared" si="15"/>
        <v>0</v>
      </c>
      <c r="BF200">
        <f t="shared" si="16"/>
        <v>0</v>
      </c>
      <c r="BG200">
        <f t="shared" si="17"/>
        <v>0</v>
      </c>
      <c r="BH200">
        <f t="shared" si="18"/>
        <v>0</v>
      </c>
      <c r="BI200">
        <f t="shared" si="19"/>
        <v>0</v>
      </c>
    </row>
    <row r="201" spans="2:61" x14ac:dyDescent="0.3">
      <c r="B201" s="15" t="s">
        <v>557</v>
      </c>
      <c r="C201" s="17" t="s">
        <v>1038</v>
      </c>
      <c r="D201" s="17" t="s">
        <v>792</v>
      </c>
      <c r="E201" s="17" t="s">
        <v>1038</v>
      </c>
      <c r="F201" s="17" t="s">
        <v>155</v>
      </c>
      <c r="G201" s="17" t="s">
        <v>791</v>
      </c>
      <c r="J201" t="s">
        <v>748</v>
      </c>
      <c r="Y201" s="15" t="s">
        <v>557</v>
      </c>
      <c r="Z201" s="17" t="s">
        <v>785</v>
      </c>
      <c r="AA201" s="17" t="s">
        <v>792</v>
      </c>
      <c r="AB201" s="17" t="s">
        <v>785</v>
      </c>
      <c r="AC201" s="17" t="s">
        <v>155</v>
      </c>
      <c r="AD201" s="17" t="s">
        <v>791</v>
      </c>
      <c r="AG201" t="s">
        <v>555</v>
      </c>
      <c r="AH201" s="17" t="s">
        <v>656</v>
      </c>
      <c r="AI201" s="17" t="s">
        <v>155</v>
      </c>
      <c r="AJ201" s="17" t="s">
        <v>656</v>
      </c>
      <c r="AK201" s="17" t="s">
        <v>529</v>
      </c>
      <c r="AL201" s="17" t="s">
        <v>529</v>
      </c>
      <c r="AW201" t="s">
        <v>748</v>
      </c>
      <c r="BD201">
        <f t="shared" ref="BD201:BD264" si="20">IF(J201=AW201,0,1)</f>
        <v>0</v>
      </c>
      <c r="BE201">
        <f t="shared" ref="BE201:BE264" si="21">IF(K201=AX201,0,1)</f>
        <v>0</v>
      </c>
      <c r="BF201">
        <f t="shared" ref="BF201:BF264" si="22">IF(L201=AY201,0,1)</f>
        <v>0</v>
      </c>
      <c r="BG201">
        <f t="shared" ref="BG201:BG264" si="23">IF(M201=AZ201,0,1)</f>
        <v>0</v>
      </c>
      <c r="BH201">
        <f t="shared" ref="BH201:BH264" si="24">IF(N201=BA201,0,1)</f>
        <v>0</v>
      </c>
      <c r="BI201">
        <f t="shared" ref="BI201:BI264" si="25">IF(O201=BB201,0,1)</f>
        <v>0</v>
      </c>
    </row>
    <row r="202" spans="2:61" x14ac:dyDescent="0.3">
      <c r="B202" s="15" t="s">
        <v>542</v>
      </c>
      <c r="C202" s="17" t="s">
        <v>1038</v>
      </c>
      <c r="D202" s="17" t="s">
        <v>792</v>
      </c>
      <c r="E202" s="17" t="s">
        <v>1038</v>
      </c>
      <c r="F202" s="17" t="s">
        <v>928</v>
      </c>
      <c r="G202" s="17" t="s">
        <v>155</v>
      </c>
      <c r="K202" s="17" t="s">
        <v>164</v>
      </c>
      <c r="L202" s="17" t="s">
        <v>165</v>
      </c>
      <c r="M202" s="17" t="s">
        <v>166</v>
      </c>
      <c r="N202" s="17" t="s">
        <v>167</v>
      </c>
      <c r="O202" s="17" t="s">
        <v>168</v>
      </c>
      <c r="Y202" s="15" t="s">
        <v>542</v>
      </c>
      <c r="Z202" s="17" t="s">
        <v>785</v>
      </c>
      <c r="AA202" s="17" t="s">
        <v>792</v>
      </c>
      <c r="AB202" s="17" t="s">
        <v>785</v>
      </c>
      <c r="AC202" s="17" t="s">
        <v>928</v>
      </c>
      <c r="AD202" s="17" t="s">
        <v>155</v>
      </c>
      <c r="AG202" t="s">
        <v>556</v>
      </c>
      <c r="AH202" s="17" t="s">
        <v>656</v>
      </c>
      <c r="AI202" s="17" t="s">
        <v>155</v>
      </c>
      <c r="AJ202" s="17" t="s">
        <v>656</v>
      </c>
      <c r="AK202" s="17" t="s">
        <v>529</v>
      </c>
      <c r="AL202" s="17" t="s">
        <v>529</v>
      </c>
      <c r="AX202" t="s">
        <v>164</v>
      </c>
      <c r="AY202" t="s">
        <v>165</v>
      </c>
      <c r="AZ202" t="s">
        <v>166</v>
      </c>
      <c r="BA202" t="s">
        <v>167</v>
      </c>
      <c r="BB202" t="s">
        <v>168</v>
      </c>
      <c r="BD202">
        <f t="shared" si="20"/>
        <v>0</v>
      </c>
      <c r="BE202">
        <f t="shared" si="21"/>
        <v>0</v>
      </c>
      <c r="BF202">
        <f t="shared" si="22"/>
        <v>0</v>
      </c>
      <c r="BG202">
        <f t="shared" si="23"/>
        <v>0</v>
      </c>
      <c r="BH202">
        <f t="shared" si="24"/>
        <v>0</v>
      </c>
      <c r="BI202">
        <f t="shared" si="25"/>
        <v>0</v>
      </c>
    </row>
    <row r="203" spans="2:61" x14ac:dyDescent="0.3">
      <c r="B203" s="15" t="s">
        <v>543</v>
      </c>
      <c r="C203" s="17" t="s">
        <v>793</v>
      </c>
      <c r="D203" s="17" t="s">
        <v>792</v>
      </c>
      <c r="E203" s="17" t="s">
        <v>928</v>
      </c>
      <c r="F203" s="17" t="s">
        <v>928</v>
      </c>
      <c r="G203" s="17" t="s">
        <v>930</v>
      </c>
      <c r="J203" t="s">
        <v>548</v>
      </c>
      <c r="K203" s="17" t="s">
        <v>372</v>
      </c>
      <c r="L203" s="17" t="s">
        <v>155</v>
      </c>
      <c r="M203" s="17" t="s">
        <v>155</v>
      </c>
      <c r="N203" s="17" t="s">
        <v>155</v>
      </c>
      <c r="O203" s="17" t="s">
        <v>155</v>
      </c>
      <c r="Y203" s="15" t="s">
        <v>543</v>
      </c>
      <c r="Z203" s="17" t="s">
        <v>793</v>
      </c>
      <c r="AA203" s="17" t="s">
        <v>792</v>
      </c>
      <c r="AB203" s="17" t="s">
        <v>928</v>
      </c>
      <c r="AC203" s="17" t="s">
        <v>928</v>
      </c>
      <c r="AD203" s="17" t="s">
        <v>930</v>
      </c>
      <c r="AW203" t="s">
        <v>548</v>
      </c>
      <c r="AX203" t="s">
        <v>372</v>
      </c>
      <c r="AY203" t="s">
        <v>155</v>
      </c>
      <c r="AZ203" t="s">
        <v>155</v>
      </c>
      <c r="BA203" t="s">
        <v>155</v>
      </c>
      <c r="BB203" t="s">
        <v>155</v>
      </c>
      <c r="BD203">
        <f t="shared" si="20"/>
        <v>0</v>
      </c>
      <c r="BE203">
        <f t="shared" si="21"/>
        <v>0</v>
      </c>
      <c r="BF203">
        <f t="shared" si="22"/>
        <v>0</v>
      </c>
      <c r="BG203">
        <f t="shared" si="23"/>
        <v>0</v>
      </c>
      <c r="BH203">
        <f t="shared" si="24"/>
        <v>0</v>
      </c>
      <c r="BI203">
        <f t="shared" si="25"/>
        <v>0</v>
      </c>
    </row>
    <row r="204" spans="2:61" x14ac:dyDescent="0.3">
      <c r="B204" s="15" t="s">
        <v>544</v>
      </c>
      <c r="C204" s="17" t="s">
        <v>793</v>
      </c>
      <c r="D204" s="17" t="s">
        <v>792</v>
      </c>
      <c r="E204" s="17" t="s">
        <v>929</v>
      </c>
      <c r="F204" s="17" t="s">
        <v>793</v>
      </c>
      <c r="G204" s="17" t="s">
        <v>930</v>
      </c>
      <c r="J204" t="s">
        <v>549</v>
      </c>
      <c r="K204" s="17" t="s">
        <v>372</v>
      </c>
      <c r="L204" s="17" t="s">
        <v>155</v>
      </c>
      <c r="M204" s="17" t="s">
        <v>155</v>
      </c>
      <c r="N204" s="17" t="s">
        <v>155</v>
      </c>
      <c r="O204" s="17" t="s">
        <v>155</v>
      </c>
      <c r="Y204" s="15" t="s">
        <v>544</v>
      </c>
      <c r="Z204" s="17" t="s">
        <v>793</v>
      </c>
      <c r="AA204" s="17" t="s">
        <v>792</v>
      </c>
      <c r="AB204" s="17" t="s">
        <v>929</v>
      </c>
      <c r="AC204" s="17" t="s">
        <v>793</v>
      </c>
      <c r="AD204" s="17" t="s">
        <v>930</v>
      </c>
      <c r="AG204" t="s">
        <v>748</v>
      </c>
      <c r="AW204" t="s">
        <v>549</v>
      </c>
      <c r="AX204" t="s">
        <v>372</v>
      </c>
      <c r="AY204" t="s">
        <v>155</v>
      </c>
      <c r="AZ204" t="s">
        <v>155</v>
      </c>
      <c r="BA204" t="s">
        <v>155</v>
      </c>
      <c r="BB204" t="s">
        <v>155</v>
      </c>
      <c r="BD204">
        <f t="shared" si="20"/>
        <v>0</v>
      </c>
      <c r="BE204">
        <f t="shared" si="21"/>
        <v>0</v>
      </c>
      <c r="BF204">
        <f t="shared" si="22"/>
        <v>0</v>
      </c>
      <c r="BG204">
        <f t="shared" si="23"/>
        <v>0</v>
      </c>
      <c r="BH204">
        <f t="shared" si="24"/>
        <v>0</v>
      </c>
      <c r="BI204">
        <f t="shared" si="25"/>
        <v>0</v>
      </c>
    </row>
    <row r="205" spans="2:61" x14ac:dyDescent="0.3">
      <c r="B205" s="15" t="s">
        <v>545</v>
      </c>
      <c r="C205" s="17" t="s">
        <v>793</v>
      </c>
      <c r="D205" s="17" t="s">
        <v>926</v>
      </c>
      <c r="E205" s="17" t="s">
        <v>930</v>
      </c>
      <c r="F205" s="17" t="s">
        <v>793</v>
      </c>
      <c r="G205" s="17" t="s">
        <v>930</v>
      </c>
      <c r="J205" t="s">
        <v>550</v>
      </c>
      <c r="K205" s="17" t="s">
        <v>372</v>
      </c>
      <c r="L205" s="17" t="s">
        <v>155</v>
      </c>
      <c r="M205" s="17" t="s">
        <v>155</v>
      </c>
      <c r="N205" s="17" t="s">
        <v>155</v>
      </c>
      <c r="O205" s="17" t="s">
        <v>155</v>
      </c>
      <c r="Y205" s="15" t="s">
        <v>545</v>
      </c>
      <c r="Z205" s="17" t="s">
        <v>793</v>
      </c>
      <c r="AA205" s="17" t="s">
        <v>926</v>
      </c>
      <c r="AB205" s="17" t="s">
        <v>930</v>
      </c>
      <c r="AC205" s="17" t="s">
        <v>793</v>
      </c>
      <c r="AD205" s="17" t="s">
        <v>930</v>
      </c>
      <c r="AH205" s="17" t="s">
        <v>164</v>
      </c>
      <c r="AI205" s="17" t="s">
        <v>165</v>
      </c>
      <c r="AJ205" s="17" t="s">
        <v>166</v>
      </c>
      <c r="AK205" s="17" t="s">
        <v>167</v>
      </c>
      <c r="AL205" s="17" t="s">
        <v>168</v>
      </c>
      <c r="AW205" t="s">
        <v>550</v>
      </c>
      <c r="AX205" t="s">
        <v>372</v>
      </c>
      <c r="AY205" t="s">
        <v>155</v>
      </c>
      <c r="AZ205" t="s">
        <v>155</v>
      </c>
      <c r="BA205" t="s">
        <v>155</v>
      </c>
      <c r="BB205" t="s">
        <v>155</v>
      </c>
      <c r="BD205">
        <f t="shared" si="20"/>
        <v>0</v>
      </c>
      <c r="BE205">
        <f t="shared" si="21"/>
        <v>0</v>
      </c>
      <c r="BF205">
        <f t="shared" si="22"/>
        <v>0</v>
      </c>
      <c r="BG205">
        <f t="shared" si="23"/>
        <v>0</v>
      </c>
      <c r="BH205">
        <f t="shared" si="24"/>
        <v>0</v>
      </c>
      <c r="BI205">
        <f t="shared" si="25"/>
        <v>0</v>
      </c>
    </row>
    <row r="206" spans="2:61" x14ac:dyDescent="0.3">
      <c r="J206" t="s">
        <v>158</v>
      </c>
      <c r="K206" s="17" t="s">
        <v>372</v>
      </c>
      <c r="L206" s="17" t="s">
        <v>155</v>
      </c>
      <c r="M206" s="17" t="s">
        <v>155</v>
      </c>
      <c r="N206" s="17" t="s">
        <v>155</v>
      </c>
      <c r="O206" s="17" t="s">
        <v>155</v>
      </c>
      <c r="AG206" t="s">
        <v>548</v>
      </c>
      <c r="AH206" s="17" t="s">
        <v>372</v>
      </c>
      <c r="AI206" s="17" t="s">
        <v>155</v>
      </c>
      <c r="AJ206" s="17" t="s">
        <v>155</v>
      </c>
      <c r="AK206" s="17" t="s">
        <v>155</v>
      </c>
      <c r="AL206" s="17" t="s">
        <v>155</v>
      </c>
      <c r="AW206" t="s">
        <v>158</v>
      </c>
      <c r="AX206" t="s">
        <v>372</v>
      </c>
      <c r="AY206" t="s">
        <v>155</v>
      </c>
      <c r="AZ206" t="s">
        <v>155</v>
      </c>
      <c r="BA206" t="s">
        <v>155</v>
      </c>
      <c r="BB206" t="s">
        <v>155</v>
      </c>
      <c r="BD206">
        <f t="shared" si="20"/>
        <v>0</v>
      </c>
      <c r="BE206">
        <f t="shared" si="21"/>
        <v>0</v>
      </c>
      <c r="BF206">
        <f t="shared" si="22"/>
        <v>0</v>
      </c>
      <c r="BG206">
        <f t="shared" si="23"/>
        <v>0</v>
      </c>
      <c r="BH206">
        <f t="shared" si="24"/>
        <v>0</v>
      </c>
      <c r="BI206">
        <f t="shared" si="25"/>
        <v>0</v>
      </c>
    </row>
    <row r="207" spans="2:61" x14ac:dyDescent="0.3">
      <c r="B207" s="15" t="s">
        <v>794</v>
      </c>
      <c r="J207" t="s">
        <v>159</v>
      </c>
      <c r="K207" s="17" t="s">
        <v>372</v>
      </c>
      <c r="L207" s="17" t="s">
        <v>155</v>
      </c>
      <c r="M207" s="17" t="s">
        <v>155</v>
      </c>
      <c r="N207" s="17" t="s">
        <v>155</v>
      </c>
      <c r="O207" s="17" t="s">
        <v>155</v>
      </c>
      <c r="Y207" s="15" t="s">
        <v>794</v>
      </c>
      <c r="AG207" t="s">
        <v>549</v>
      </c>
      <c r="AH207" s="17" t="s">
        <v>372</v>
      </c>
      <c r="AI207" s="17" t="s">
        <v>155</v>
      </c>
      <c r="AJ207" s="17" t="s">
        <v>155</v>
      </c>
      <c r="AK207" s="17" t="s">
        <v>155</v>
      </c>
      <c r="AL207" s="17" t="s">
        <v>155</v>
      </c>
      <c r="AW207" t="s">
        <v>159</v>
      </c>
      <c r="AX207" t="s">
        <v>372</v>
      </c>
      <c r="AY207" t="s">
        <v>155</v>
      </c>
      <c r="AZ207" t="s">
        <v>155</v>
      </c>
      <c r="BA207" t="s">
        <v>155</v>
      </c>
      <c r="BB207" t="s">
        <v>155</v>
      </c>
      <c r="BD207">
        <f t="shared" si="20"/>
        <v>0</v>
      </c>
      <c r="BE207">
        <f t="shared" si="21"/>
        <v>0</v>
      </c>
      <c r="BF207">
        <f t="shared" si="22"/>
        <v>0</v>
      </c>
      <c r="BG207">
        <f t="shared" si="23"/>
        <v>0</v>
      </c>
      <c r="BH207">
        <f t="shared" si="24"/>
        <v>0</v>
      </c>
      <c r="BI207">
        <f t="shared" si="25"/>
        <v>0</v>
      </c>
    </row>
    <row r="208" spans="2:61" x14ac:dyDescent="0.3">
      <c r="C208" s="17" t="s">
        <v>164</v>
      </c>
      <c r="D208" s="17" t="s">
        <v>165</v>
      </c>
      <c r="E208" s="17" t="s">
        <v>166</v>
      </c>
      <c r="F208" s="17" t="s">
        <v>167</v>
      </c>
      <c r="G208" s="17" t="s">
        <v>168</v>
      </c>
      <c r="J208" t="s">
        <v>160</v>
      </c>
      <c r="K208" s="17" t="s">
        <v>372</v>
      </c>
      <c r="L208" s="17" t="s">
        <v>155</v>
      </c>
      <c r="M208" s="17" t="s">
        <v>155</v>
      </c>
      <c r="N208" s="17" t="s">
        <v>155</v>
      </c>
      <c r="O208" s="17" t="s">
        <v>155</v>
      </c>
      <c r="Z208" s="17" t="s">
        <v>164</v>
      </c>
      <c r="AA208" s="17" t="s">
        <v>165</v>
      </c>
      <c r="AB208" s="17" t="s">
        <v>166</v>
      </c>
      <c r="AC208" s="17" t="s">
        <v>167</v>
      </c>
      <c r="AD208" s="17" t="s">
        <v>168</v>
      </c>
      <c r="AG208" t="s">
        <v>550</v>
      </c>
      <c r="AH208" s="17" t="s">
        <v>372</v>
      </c>
      <c r="AI208" s="17" t="s">
        <v>155</v>
      </c>
      <c r="AJ208" s="17" t="s">
        <v>155</v>
      </c>
      <c r="AK208" s="17" t="s">
        <v>155</v>
      </c>
      <c r="AL208" s="17" t="s">
        <v>155</v>
      </c>
      <c r="AW208" t="s">
        <v>160</v>
      </c>
      <c r="AX208" t="s">
        <v>372</v>
      </c>
      <c r="AY208" t="s">
        <v>155</v>
      </c>
      <c r="AZ208" t="s">
        <v>155</v>
      </c>
      <c r="BA208" t="s">
        <v>155</v>
      </c>
      <c r="BB208" t="s">
        <v>155</v>
      </c>
      <c r="BD208">
        <f t="shared" si="20"/>
        <v>0</v>
      </c>
      <c r="BE208">
        <f t="shared" si="21"/>
        <v>0</v>
      </c>
      <c r="BF208">
        <f t="shared" si="22"/>
        <v>0</v>
      </c>
      <c r="BG208">
        <f t="shared" si="23"/>
        <v>0</v>
      </c>
      <c r="BH208">
        <f t="shared" si="24"/>
        <v>0</v>
      </c>
      <c r="BI208">
        <f t="shared" si="25"/>
        <v>0</v>
      </c>
    </row>
    <row r="209" spans="2:61" x14ac:dyDescent="0.3">
      <c r="B209" s="15" t="s">
        <v>555</v>
      </c>
      <c r="C209" s="17" t="s">
        <v>155</v>
      </c>
      <c r="D209" s="17" t="s">
        <v>795</v>
      </c>
      <c r="E209" s="17" t="s">
        <v>155</v>
      </c>
      <c r="F209" s="17" t="s">
        <v>155</v>
      </c>
      <c r="G209" s="17" t="s">
        <v>926</v>
      </c>
      <c r="Y209" s="15" t="s">
        <v>555</v>
      </c>
      <c r="Z209" s="17" t="s">
        <v>155</v>
      </c>
      <c r="AA209" s="17" t="s">
        <v>795</v>
      </c>
      <c r="AB209" s="17" t="s">
        <v>155</v>
      </c>
      <c r="AC209" s="17" t="s">
        <v>155</v>
      </c>
      <c r="AD209" s="17" t="s">
        <v>926</v>
      </c>
      <c r="AG209" t="s">
        <v>158</v>
      </c>
      <c r="AH209" s="17" t="s">
        <v>372</v>
      </c>
      <c r="AI209" s="17" t="s">
        <v>155</v>
      </c>
      <c r="AJ209" s="17" t="s">
        <v>155</v>
      </c>
      <c r="AK209" s="17" t="s">
        <v>155</v>
      </c>
      <c r="AL209" s="17" t="s">
        <v>155</v>
      </c>
      <c r="BD209">
        <f t="shared" si="20"/>
        <v>0</v>
      </c>
      <c r="BE209">
        <f t="shared" si="21"/>
        <v>0</v>
      </c>
      <c r="BF209">
        <f t="shared" si="22"/>
        <v>0</v>
      </c>
      <c r="BG209">
        <f t="shared" si="23"/>
        <v>0</v>
      </c>
      <c r="BH209">
        <f t="shared" si="24"/>
        <v>0</v>
      </c>
      <c r="BI209">
        <f t="shared" si="25"/>
        <v>0</v>
      </c>
    </row>
    <row r="210" spans="2:61" x14ac:dyDescent="0.3">
      <c r="B210" s="15" t="s">
        <v>556</v>
      </c>
      <c r="C210" s="17" t="s">
        <v>155</v>
      </c>
      <c r="D210" s="17" t="s">
        <v>795</v>
      </c>
      <c r="E210" s="17" t="s">
        <v>155</v>
      </c>
      <c r="F210" s="17" t="s">
        <v>155</v>
      </c>
      <c r="G210" s="17" t="s">
        <v>926</v>
      </c>
      <c r="J210" t="s">
        <v>825</v>
      </c>
      <c r="Y210" s="15" t="s">
        <v>556</v>
      </c>
      <c r="Z210" s="17" t="s">
        <v>155</v>
      </c>
      <c r="AA210" s="17" t="s">
        <v>795</v>
      </c>
      <c r="AB210" s="17" t="s">
        <v>155</v>
      </c>
      <c r="AC210" s="17" t="s">
        <v>155</v>
      </c>
      <c r="AD210" s="17" t="s">
        <v>926</v>
      </c>
      <c r="AG210" t="s">
        <v>159</v>
      </c>
      <c r="AH210" s="17" t="s">
        <v>372</v>
      </c>
      <c r="AI210" s="17" t="s">
        <v>155</v>
      </c>
      <c r="AJ210" s="17" t="s">
        <v>155</v>
      </c>
      <c r="AK210" s="17" t="s">
        <v>155</v>
      </c>
      <c r="AL210" s="17" t="s">
        <v>155</v>
      </c>
      <c r="AW210" t="s">
        <v>825</v>
      </c>
      <c r="BD210">
        <f t="shared" si="20"/>
        <v>0</v>
      </c>
      <c r="BE210">
        <f t="shared" si="21"/>
        <v>0</v>
      </c>
      <c r="BF210">
        <f t="shared" si="22"/>
        <v>0</v>
      </c>
      <c r="BG210">
        <f t="shared" si="23"/>
        <v>0</v>
      </c>
      <c r="BH210">
        <f t="shared" si="24"/>
        <v>0</v>
      </c>
      <c r="BI210">
        <f t="shared" si="25"/>
        <v>0</v>
      </c>
    </row>
    <row r="211" spans="2:61" x14ac:dyDescent="0.3">
      <c r="B211" s="15" t="s">
        <v>557</v>
      </c>
      <c r="C211" s="17" t="s">
        <v>1038</v>
      </c>
      <c r="D211" s="17" t="s">
        <v>795</v>
      </c>
      <c r="E211" s="17" t="s">
        <v>1038</v>
      </c>
      <c r="F211" s="17" t="s">
        <v>155</v>
      </c>
      <c r="G211" s="17" t="s">
        <v>796</v>
      </c>
      <c r="K211" s="17" t="s">
        <v>164</v>
      </c>
      <c r="L211" s="17" t="s">
        <v>165</v>
      </c>
      <c r="M211" s="17" t="s">
        <v>166</v>
      </c>
      <c r="N211" s="17" t="s">
        <v>167</v>
      </c>
      <c r="O211" s="17" t="s">
        <v>168</v>
      </c>
      <c r="Y211" s="15" t="s">
        <v>557</v>
      </c>
      <c r="Z211" s="17" t="s">
        <v>785</v>
      </c>
      <c r="AA211" s="17" t="s">
        <v>795</v>
      </c>
      <c r="AB211" s="17" t="s">
        <v>785</v>
      </c>
      <c r="AC211" s="17" t="s">
        <v>155</v>
      </c>
      <c r="AD211" s="17" t="s">
        <v>796</v>
      </c>
      <c r="AG211" t="s">
        <v>160</v>
      </c>
      <c r="AH211" s="17" t="s">
        <v>372</v>
      </c>
      <c r="AI211" s="17" t="s">
        <v>155</v>
      </c>
      <c r="AJ211" s="17" t="s">
        <v>155</v>
      </c>
      <c r="AK211" s="17" t="s">
        <v>155</v>
      </c>
      <c r="AL211" s="17" t="s">
        <v>155</v>
      </c>
      <c r="AX211" t="s">
        <v>164</v>
      </c>
      <c r="AY211" t="s">
        <v>165</v>
      </c>
      <c r="AZ211" t="s">
        <v>166</v>
      </c>
      <c r="BA211" t="s">
        <v>167</v>
      </c>
      <c r="BB211" t="s">
        <v>168</v>
      </c>
      <c r="BD211">
        <f t="shared" si="20"/>
        <v>0</v>
      </c>
      <c r="BE211">
        <f t="shared" si="21"/>
        <v>0</v>
      </c>
      <c r="BF211">
        <f t="shared" si="22"/>
        <v>0</v>
      </c>
      <c r="BG211">
        <f t="shared" si="23"/>
        <v>0</v>
      </c>
      <c r="BH211">
        <f t="shared" si="24"/>
        <v>0</v>
      </c>
      <c r="BI211">
        <f t="shared" si="25"/>
        <v>0</v>
      </c>
    </row>
    <row r="212" spans="2:61" x14ac:dyDescent="0.3">
      <c r="B212" s="15" t="s">
        <v>542</v>
      </c>
      <c r="C212" s="17" t="s">
        <v>1038</v>
      </c>
      <c r="D212" s="17" t="s">
        <v>795</v>
      </c>
      <c r="E212" s="17" t="s">
        <v>1038</v>
      </c>
      <c r="F212" s="17" t="s">
        <v>155</v>
      </c>
      <c r="G212" s="17" t="s">
        <v>796</v>
      </c>
      <c r="J212" t="s">
        <v>557</v>
      </c>
      <c r="K212" s="17" t="s">
        <v>761</v>
      </c>
      <c r="L212" s="17" t="s">
        <v>155</v>
      </c>
      <c r="M212" s="17" t="s">
        <v>761</v>
      </c>
      <c r="N212" s="17" t="s">
        <v>761</v>
      </c>
      <c r="O212" s="17" t="s">
        <v>155</v>
      </c>
      <c r="Y212" s="15" t="s">
        <v>542</v>
      </c>
      <c r="Z212" s="17" t="s">
        <v>785</v>
      </c>
      <c r="AA212" s="17" t="s">
        <v>795</v>
      </c>
      <c r="AB212" s="17" t="s">
        <v>785</v>
      </c>
      <c r="AC212" s="17" t="s">
        <v>155</v>
      </c>
      <c r="AD212" s="17" t="s">
        <v>796</v>
      </c>
      <c r="AW212" t="s">
        <v>557</v>
      </c>
      <c r="AX212" t="s">
        <v>761</v>
      </c>
      <c r="AY212" t="s">
        <v>155</v>
      </c>
      <c r="AZ212" t="s">
        <v>761</v>
      </c>
      <c r="BA212" t="s">
        <v>761</v>
      </c>
      <c r="BB212" t="s">
        <v>155</v>
      </c>
      <c r="BD212">
        <f t="shared" si="20"/>
        <v>0</v>
      </c>
      <c r="BE212">
        <f t="shared" si="21"/>
        <v>0</v>
      </c>
      <c r="BF212">
        <f t="shared" si="22"/>
        <v>0</v>
      </c>
      <c r="BG212">
        <f t="shared" si="23"/>
        <v>0</v>
      </c>
      <c r="BH212">
        <f t="shared" si="24"/>
        <v>0</v>
      </c>
      <c r="BI212">
        <f t="shared" si="25"/>
        <v>0</v>
      </c>
    </row>
    <row r="213" spans="2:61" x14ac:dyDescent="0.3">
      <c r="B213" s="15" t="s">
        <v>543</v>
      </c>
      <c r="C213" s="17" t="s">
        <v>797</v>
      </c>
      <c r="D213" s="17" t="s">
        <v>796</v>
      </c>
      <c r="E213" s="17" t="s">
        <v>798</v>
      </c>
      <c r="F213" s="17" t="s">
        <v>926</v>
      </c>
      <c r="G213" s="17" t="s">
        <v>798</v>
      </c>
      <c r="J213" t="s">
        <v>542</v>
      </c>
      <c r="K213" s="17" t="s">
        <v>761</v>
      </c>
      <c r="L213" s="17" t="s">
        <v>155</v>
      </c>
      <c r="M213" s="17" t="s">
        <v>761</v>
      </c>
      <c r="N213" s="17" t="s">
        <v>761</v>
      </c>
      <c r="O213" s="17" t="s">
        <v>155</v>
      </c>
      <c r="Y213" s="15" t="s">
        <v>543</v>
      </c>
      <c r="Z213" s="17" t="s">
        <v>797</v>
      </c>
      <c r="AA213" s="17" t="s">
        <v>796</v>
      </c>
      <c r="AB213" s="17" t="s">
        <v>798</v>
      </c>
      <c r="AC213" s="17" t="s">
        <v>926</v>
      </c>
      <c r="AD213" s="17" t="s">
        <v>798</v>
      </c>
      <c r="AG213" t="s">
        <v>825</v>
      </c>
      <c r="AW213" t="s">
        <v>542</v>
      </c>
      <c r="AX213" t="s">
        <v>761</v>
      </c>
      <c r="AY213" t="s">
        <v>155</v>
      </c>
      <c r="AZ213" t="s">
        <v>761</v>
      </c>
      <c r="BA213" t="s">
        <v>761</v>
      </c>
      <c r="BB213" t="s">
        <v>155</v>
      </c>
      <c r="BD213">
        <f t="shared" si="20"/>
        <v>0</v>
      </c>
      <c r="BE213">
        <f t="shared" si="21"/>
        <v>0</v>
      </c>
      <c r="BF213">
        <f t="shared" si="22"/>
        <v>0</v>
      </c>
      <c r="BG213">
        <f t="shared" si="23"/>
        <v>0</v>
      </c>
      <c r="BH213">
        <f t="shared" si="24"/>
        <v>0</v>
      </c>
      <c r="BI213">
        <f t="shared" si="25"/>
        <v>0</v>
      </c>
    </row>
    <row r="214" spans="2:61" x14ac:dyDescent="0.3">
      <c r="B214" s="15" t="s">
        <v>544</v>
      </c>
      <c r="C214" s="17" t="s">
        <v>797</v>
      </c>
      <c r="D214" s="17" t="s">
        <v>796</v>
      </c>
      <c r="E214" s="17" t="s">
        <v>798</v>
      </c>
      <c r="F214" s="17" t="s">
        <v>797</v>
      </c>
      <c r="G214" s="17" t="s">
        <v>798</v>
      </c>
      <c r="Y214" s="15" t="s">
        <v>544</v>
      </c>
      <c r="Z214" s="17" t="s">
        <v>797</v>
      </c>
      <c r="AA214" s="17" t="s">
        <v>796</v>
      </c>
      <c r="AB214" s="17" t="s">
        <v>798</v>
      </c>
      <c r="AC214" s="17" t="s">
        <v>797</v>
      </c>
      <c r="AD214" s="17" t="s">
        <v>798</v>
      </c>
      <c r="AH214" s="17" t="s">
        <v>164</v>
      </c>
      <c r="AI214" s="17" t="s">
        <v>165</v>
      </c>
      <c r="AJ214" s="17" t="s">
        <v>166</v>
      </c>
      <c r="AK214" s="17" t="s">
        <v>167</v>
      </c>
      <c r="AL214" s="17" t="s">
        <v>168</v>
      </c>
      <c r="BD214">
        <f t="shared" si="20"/>
        <v>0</v>
      </c>
      <c r="BE214">
        <f t="shared" si="21"/>
        <v>0</v>
      </c>
      <c r="BF214">
        <f t="shared" si="22"/>
        <v>0</v>
      </c>
      <c r="BG214">
        <f t="shared" si="23"/>
        <v>0</v>
      </c>
      <c r="BH214">
        <f t="shared" si="24"/>
        <v>0</v>
      </c>
      <c r="BI214">
        <f t="shared" si="25"/>
        <v>0</v>
      </c>
    </row>
    <row r="215" spans="2:61" x14ac:dyDescent="0.3">
      <c r="B215" s="15" t="s">
        <v>545</v>
      </c>
      <c r="C215" s="17" t="s">
        <v>797</v>
      </c>
      <c r="D215" s="17" t="s">
        <v>155</v>
      </c>
      <c r="E215" s="17" t="s">
        <v>155</v>
      </c>
      <c r="F215" s="17" t="s">
        <v>797</v>
      </c>
      <c r="G215" s="17" t="s">
        <v>798</v>
      </c>
      <c r="J215" t="s">
        <v>732</v>
      </c>
      <c r="Y215" s="15" t="s">
        <v>545</v>
      </c>
      <c r="Z215" s="17" t="s">
        <v>797</v>
      </c>
      <c r="AA215" s="17" t="s">
        <v>155</v>
      </c>
      <c r="AB215" s="17" t="s">
        <v>798</v>
      </c>
      <c r="AC215" s="17" t="s">
        <v>797</v>
      </c>
      <c r="AD215" s="17" t="s">
        <v>155</v>
      </c>
      <c r="AG215" t="s">
        <v>557</v>
      </c>
      <c r="AH215" s="17" t="s">
        <v>761</v>
      </c>
      <c r="AI215" s="17" t="s">
        <v>155</v>
      </c>
      <c r="AJ215" s="17" t="s">
        <v>761</v>
      </c>
      <c r="AK215" s="17" t="s">
        <v>761</v>
      </c>
      <c r="AL215" s="17" t="s">
        <v>155</v>
      </c>
      <c r="AW215" t="s">
        <v>732</v>
      </c>
      <c r="BD215">
        <f t="shared" si="20"/>
        <v>0</v>
      </c>
      <c r="BE215">
        <f t="shared" si="21"/>
        <v>0</v>
      </c>
      <c r="BF215">
        <f t="shared" si="22"/>
        <v>0</v>
      </c>
      <c r="BG215">
        <f t="shared" si="23"/>
        <v>0</v>
      </c>
      <c r="BH215">
        <f t="shared" si="24"/>
        <v>0</v>
      </c>
      <c r="BI215">
        <f t="shared" si="25"/>
        <v>0</v>
      </c>
    </row>
    <row r="216" spans="2:61" x14ac:dyDescent="0.3">
      <c r="K216" s="17" t="s">
        <v>164</v>
      </c>
      <c r="L216" s="17" t="s">
        <v>165</v>
      </c>
      <c r="M216" s="17" t="s">
        <v>166</v>
      </c>
      <c r="N216" s="17" t="s">
        <v>167</v>
      </c>
      <c r="O216" s="17" t="s">
        <v>168</v>
      </c>
      <c r="AG216" t="s">
        <v>542</v>
      </c>
      <c r="AH216" s="17" t="s">
        <v>761</v>
      </c>
      <c r="AI216" s="17" t="s">
        <v>155</v>
      </c>
      <c r="AJ216" s="17" t="s">
        <v>761</v>
      </c>
      <c r="AK216" s="17" t="s">
        <v>761</v>
      </c>
      <c r="AL216" s="17" t="s">
        <v>155</v>
      </c>
      <c r="AX216" t="s">
        <v>164</v>
      </c>
      <c r="AY216" t="s">
        <v>165</v>
      </c>
      <c r="AZ216" t="s">
        <v>166</v>
      </c>
      <c r="BA216" t="s">
        <v>167</v>
      </c>
      <c r="BB216" t="s">
        <v>168</v>
      </c>
      <c r="BD216">
        <f t="shared" si="20"/>
        <v>0</v>
      </c>
      <c r="BE216">
        <f t="shared" si="21"/>
        <v>0</v>
      </c>
      <c r="BF216">
        <f t="shared" si="22"/>
        <v>0</v>
      </c>
      <c r="BG216">
        <f t="shared" si="23"/>
        <v>0</v>
      </c>
      <c r="BH216">
        <f t="shared" si="24"/>
        <v>0</v>
      </c>
      <c r="BI216">
        <f t="shared" si="25"/>
        <v>0</v>
      </c>
    </row>
    <row r="217" spans="2:61" x14ac:dyDescent="0.3">
      <c r="B217" s="15" t="s">
        <v>799</v>
      </c>
      <c r="J217" t="s">
        <v>548</v>
      </c>
      <c r="K217" s="17" t="s">
        <v>155</v>
      </c>
      <c r="L217" s="17" t="s">
        <v>155</v>
      </c>
      <c r="M217" s="17" t="s">
        <v>155</v>
      </c>
      <c r="N217" s="17" t="s">
        <v>336</v>
      </c>
      <c r="O217" s="17" t="s">
        <v>155</v>
      </c>
      <c r="Y217" s="15" t="s">
        <v>799</v>
      </c>
      <c r="AW217" t="s">
        <v>548</v>
      </c>
      <c r="AX217" t="s">
        <v>155</v>
      </c>
      <c r="AY217" t="s">
        <v>155</v>
      </c>
      <c r="AZ217" t="s">
        <v>155</v>
      </c>
      <c r="BA217" t="s">
        <v>336</v>
      </c>
      <c r="BB217" t="s">
        <v>155</v>
      </c>
      <c r="BD217">
        <f t="shared" si="20"/>
        <v>0</v>
      </c>
      <c r="BE217">
        <f t="shared" si="21"/>
        <v>0</v>
      </c>
      <c r="BF217">
        <f t="shared" si="22"/>
        <v>0</v>
      </c>
      <c r="BG217">
        <f t="shared" si="23"/>
        <v>0</v>
      </c>
      <c r="BH217">
        <f t="shared" si="24"/>
        <v>0</v>
      </c>
      <c r="BI217">
        <f t="shared" si="25"/>
        <v>0</v>
      </c>
    </row>
    <row r="218" spans="2:61" x14ac:dyDescent="0.3">
      <c r="C218" s="17" t="s">
        <v>164</v>
      </c>
      <c r="D218" s="17" t="s">
        <v>165</v>
      </c>
      <c r="E218" s="17" t="s">
        <v>166</v>
      </c>
      <c r="F218" s="17" t="s">
        <v>167</v>
      </c>
      <c r="G218" s="17" t="s">
        <v>168</v>
      </c>
      <c r="J218" t="s">
        <v>549</v>
      </c>
      <c r="K218" s="17" t="s">
        <v>155</v>
      </c>
      <c r="L218" s="17" t="s">
        <v>155</v>
      </c>
      <c r="M218" s="17" t="s">
        <v>155</v>
      </c>
      <c r="N218" s="17" t="s">
        <v>336</v>
      </c>
      <c r="O218" s="17" t="s">
        <v>155</v>
      </c>
      <c r="Z218" s="17" t="s">
        <v>164</v>
      </c>
      <c r="AA218" s="17" t="s">
        <v>165</v>
      </c>
      <c r="AB218" s="17" t="s">
        <v>166</v>
      </c>
      <c r="AC218" s="17" t="s">
        <v>167</v>
      </c>
      <c r="AD218" s="17" t="s">
        <v>168</v>
      </c>
      <c r="AG218" t="s">
        <v>732</v>
      </c>
      <c r="AW218" t="s">
        <v>549</v>
      </c>
      <c r="AX218" t="s">
        <v>155</v>
      </c>
      <c r="AY218" t="s">
        <v>155</v>
      </c>
      <c r="AZ218" t="s">
        <v>155</v>
      </c>
      <c r="BA218" t="s">
        <v>336</v>
      </c>
      <c r="BB218" t="s">
        <v>155</v>
      </c>
      <c r="BD218">
        <f t="shared" si="20"/>
        <v>0</v>
      </c>
      <c r="BE218">
        <f t="shared" si="21"/>
        <v>0</v>
      </c>
      <c r="BF218">
        <f t="shared" si="22"/>
        <v>0</v>
      </c>
      <c r="BG218">
        <f t="shared" si="23"/>
        <v>0</v>
      </c>
      <c r="BH218">
        <f t="shared" si="24"/>
        <v>0</v>
      </c>
      <c r="BI218">
        <f t="shared" si="25"/>
        <v>0</v>
      </c>
    </row>
    <row r="219" spans="2:61" x14ac:dyDescent="0.3">
      <c r="B219" s="15" t="s">
        <v>555</v>
      </c>
      <c r="C219" s="17" t="s">
        <v>800</v>
      </c>
      <c r="D219" s="17" t="s">
        <v>795</v>
      </c>
      <c r="E219" s="17" t="s">
        <v>155</v>
      </c>
      <c r="F219" s="17" t="s">
        <v>155</v>
      </c>
      <c r="G219" s="17" t="s">
        <v>926</v>
      </c>
      <c r="J219" t="s">
        <v>550</v>
      </c>
      <c r="K219" s="17" t="s">
        <v>155</v>
      </c>
      <c r="L219" s="17" t="s">
        <v>155</v>
      </c>
      <c r="M219" s="17" t="s">
        <v>155</v>
      </c>
      <c r="N219" s="17" t="s">
        <v>336</v>
      </c>
      <c r="O219" s="17" t="s">
        <v>155</v>
      </c>
      <c r="Y219" s="15" t="s">
        <v>555</v>
      </c>
      <c r="Z219" s="17" t="s">
        <v>800</v>
      </c>
      <c r="AA219" s="17" t="s">
        <v>795</v>
      </c>
      <c r="AB219" s="17" t="s">
        <v>155</v>
      </c>
      <c r="AC219" s="17" t="s">
        <v>155</v>
      </c>
      <c r="AD219" s="17" t="s">
        <v>926</v>
      </c>
      <c r="AH219" s="17" t="s">
        <v>164</v>
      </c>
      <c r="AI219" s="17" t="s">
        <v>165</v>
      </c>
      <c r="AJ219" s="17" t="s">
        <v>166</v>
      </c>
      <c r="AK219" s="17" t="s">
        <v>167</v>
      </c>
      <c r="AL219" s="17" t="s">
        <v>168</v>
      </c>
      <c r="AW219" t="s">
        <v>550</v>
      </c>
      <c r="AX219" t="s">
        <v>155</v>
      </c>
      <c r="AY219" t="s">
        <v>155</v>
      </c>
      <c r="AZ219" t="s">
        <v>155</v>
      </c>
      <c r="BA219" t="s">
        <v>336</v>
      </c>
      <c r="BB219" t="s">
        <v>155</v>
      </c>
      <c r="BD219">
        <f t="shared" si="20"/>
        <v>0</v>
      </c>
      <c r="BE219">
        <f t="shared" si="21"/>
        <v>0</v>
      </c>
      <c r="BF219">
        <f t="shared" si="22"/>
        <v>0</v>
      </c>
      <c r="BG219">
        <f t="shared" si="23"/>
        <v>0</v>
      </c>
      <c r="BH219">
        <f t="shared" si="24"/>
        <v>0</v>
      </c>
      <c r="BI219">
        <f t="shared" si="25"/>
        <v>0</v>
      </c>
    </row>
    <row r="220" spans="2:61" x14ac:dyDescent="0.3">
      <c r="B220" s="15" t="s">
        <v>556</v>
      </c>
      <c r="C220" s="17" t="s">
        <v>800</v>
      </c>
      <c r="D220" s="17" t="s">
        <v>795</v>
      </c>
      <c r="E220" s="17" t="s">
        <v>802</v>
      </c>
      <c r="F220" s="17" t="s">
        <v>155</v>
      </c>
      <c r="G220" s="17" t="s">
        <v>926</v>
      </c>
      <c r="Y220" s="15" t="s">
        <v>556</v>
      </c>
      <c r="Z220" s="17" t="s">
        <v>800</v>
      </c>
      <c r="AA220" s="17" t="s">
        <v>795</v>
      </c>
      <c r="AB220" s="17" t="s">
        <v>802</v>
      </c>
      <c r="AC220" s="17" t="s">
        <v>155</v>
      </c>
      <c r="AD220" s="17" t="s">
        <v>926</v>
      </c>
      <c r="AG220" t="s">
        <v>548</v>
      </c>
      <c r="AH220" s="17" t="s">
        <v>155</v>
      </c>
      <c r="AI220" s="17" t="s">
        <v>155</v>
      </c>
      <c r="AJ220" s="17" t="s">
        <v>155</v>
      </c>
      <c r="AK220" s="17" t="s">
        <v>336</v>
      </c>
      <c r="AL220" s="17" t="s">
        <v>155</v>
      </c>
      <c r="BD220">
        <f t="shared" si="20"/>
        <v>0</v>
      </c>
      <c r="BE220">
        <f t="shared" si="21"/>
        <v>0</v>
      </c>
      <c r="BF220">
        <f t="shared" si="22"/>
        <v>0</v>
      </c>
      <c r="BG220">
        <f t="shared" si="23"/>
        <v>0</v>
      </c>
      <c r="BH220">
        <f t="shared" si="24"/>
        <v>0</v>
      </c>
      <c r="BI220">
        <f t="shared" si="25"/>
        <v>0</v>
      </c>
    </row>
    <row r="221" spans="2:61" x14ac:dyDescent="0.3">
      <c r="B221" s="15" t="s">
        <v>557</v>
      </c>
      <c r="C221" s="17" t="s">
        <v>1038</v>
      </c>
      <c r="D221" s="17" t="s">
        <v>795</v>
      </c>
      <c r="E221" s="17" t="s">
        <v>802</v>
      </c>
      <c r="F221" s="17" t="s">
        <v>1038</v>
      </c>
      <c r="G221" s="17" t="s">
        <v>801</v>
      </c>
      <c r="J221" t="s">
        <v>952</v>
      </c>
      <c r="Y221" s="15" t="s">
        <v>557</v>
      </c>
      <c r="Z221" s="17" t="s">
        <v>785</v>
      </c>
      <c r="AA221" s="17" t="s">
        <v>795</v>
      </c>
      <c r="AB221" s="17" t="s">
        <v>802</v>
      </c>
      <c r="AC221" s="17" t="s">
        <v>785</v>
      </c>
      <c r="AD221" s="17" t="s">
        <v>801</v>
      </c>
      <c r="AG221" t="s">
        <v>549</v>
      </c>
      <c r="AH221" s="17" t="s">
        <v>155</v>
      </c>
      <c r="AI221" s="17" t="s">
        <v>155</v>
      </c>
      <c r="AJ221" s="17" t="s">
        <v>155</v>
      </c>
      <c r="AK221" s="17" t="s">
        <v>336</v>
      </c>
      <c r="AL221" s="17" t="s">
        <v>155</v>
      </c>
      <c r="AW221" t="s">
        <v>952</v>
      </c>
      <c r="BD221">
        <f t="shared" si="20"/>
        <v>0</v>
      </c>
      <c r="BE221">
        <f t="shared" si="21"/>
        <v>0</v>
      </c>
      <c r="BF221">
        <f t="shared" si="22"/>
        <v>0</v>
      </c>
      <c r="BG221">
        <f t="shared" si="23"/>
        <v>0</v>
      </c>
      <c r="BH221">
        <f t="shared" si="24"/>
        <v>0</v>
      </c>
      <c r="BI221">
        <f t="shared" si="25"/>
        <v>0</v>
      </c>
    </row>
    <row r="222" spans="2:61" x14ac:dyDescent="0.3">
      <c r="B222" s="15" t="s">
        <v>542</v>
      </c>
      <c r="C222" s="17" t="s">
        <v>1038</v>
      </c>
      <c r="D222" s="17" t="s">
        <v>795</v>
      </c>
      <c r="E222" s="17" t="s">
        <v>801</v>
      </c>
      <c r="F222" s="17" t="s">
        <v>1038</v>
      </c>
      <c r="G222" s="17" t="s">
        <v>801</v>
      </c>
      <c r="K222" s="17" t="s">
        <v>164</v>
      </c>
      <c r="L222" s="17" t="s">
        <v>165</v>
      </c>
      <c r="M222" s="17" t="s">
        <v>166</v>
      </c>
      <c r="N222" s="17" t="s">
        <v>167</v>
      </c>
      <c r="O222" s="17" t="s">
        <v>168</v>
      </c>
      <c r="Y222" s="15" t="s">
        <v>542</v>
      </c>
      <c r="Z222" s="17" t="s">
        <v>785</v>
      </c>
      <c r="AA222" s="17" t="s">
        <v>795</v>
      </c>
      <c r="AB222" s="17" t="s">
        <v>801</v>
      </c>
      <c r="AC222" s="17" t="s">
        <v>785</v>
      </c>
      <c r="AD222" s="17" t="s">
        <v>801</v>
      </c>
      <c r="AG222" t="s">
        <v>550</v>
      </c>
      <c r="AH222" s="17" t="s">
        <v>155</v>
      </c>
      <c r="AI222" s="17" t="s">
        <v>155</v>
      </c>
      <c r="AJ222" s="17" t="s">
        <v>155</v>
      </c>
      <c r="AK222" s="17" t="s">
        <v>336</v>
      </c>
      <c r="AL222" s="17" t="s">
        <v>155</v>
      </c>
      <c r="AX222" t="s">
        <v>164</v>
      </c>
      <c r="AY222" t="s">
        <v>165</v>
      </c>
      <c r="AZ222" t="s">
        <v>166</v>
      </c>
      <c r="BA222" t="s">
        <v>167</v>
      </c>
      <c r="BB222" t="s">
        <v>168</v>
      </c>
      <c r="BD222">
        <f t="shared" si="20"/>
        <v>0</v>
      </c>
      <c r="BE222">
        <f t="shared" si="21"/>
        <v>0</v>
      </c>
      <c r="BF222">
        <f t="shared" si="22"/>
        <v>0</v>
      </c>
      <c r="BG222">
        <f t="shared" si="23"/>
        <v>0</v>
      </c>
      <c r="BH222">
        <f t="shared" si="24"/>
        <v>0</v>
      </c>
      <c r="BI222">
        <f t="shared" si="25"/>
        <v>0</v>
      </c>
    </row>
    <row r="223" spans="2:61" x14ac:dyDescent="0.3">
      <c r="B223" s="15" t="s">
        <v>543</v>
      </c>
      <c r="C223" s="17" t="s">
        <v>802</v>
      </c>
      <c r="D223" s="17" t="s">
        <v>633</v>
      </c>
      <c r="E223" s="17" t="s">
        <v>801</v>
      </c>
      <c r="F223" s="17" t="s">
        <v>926</v>
      </c>
      <c r="G223" s="17" t="s">
        <v>155</v>
      </c>
      <c r="J223" t="s">
        <v>543</v>
      </c>
      <c r="K223" s="17" t="s">
        <v>155</v>
      </c>
      <c r="L223" s="17" t="s">
        <v>155</v>
      </c>
      <c r="M223" s="17" t="s">
        <v>155</v>
      </c>
      <c r="N223" s="17" t="s">
        <v>155</v>
      </c>
      <c r="O223" s="17" t="s">
        <v>402</v>
      </c>
      <c r="Y223" s="15" t="s">
        <v>543</v>
      </c>
      <c r="Z223" s="17" t="s">
        <v>802</v>
      </c>
      <c r="AA223" s="17" t="s">
        <v>633</v>
      </c>
      <c r="AB223" s="17" t="s">
        <v>801</v>
      </c>
      <c r="AC223" s="17" t="s">
        <v>926</v>
      </c>
      <c r="AD223" s="17" t="s">
        <v>800</v>
      </c>
      <c r="AW223" t="s">
        <v>543</v>
      </c>
      <c r="AX223" t="s">
        <v>155</v>
      </c>
      <c r="AY223" t="s">
        <v>155</v>
      </c>
      <c r="AZ223" t="s">
        <v>155</v>
      </c>
      <c r="BA223" t="s">
        <v>155</v>
      </c>
      <c r="BB223" t="s">
        <v>402</v>
      </c>
      <c r="BD223">
        <f t="shared" si="20"/>
        <v>0</v>
      </c>
      <c r="BE223">
        <f t="shared" si="21"/>
        <v>0</v>
      </c>
      <c r="BF223">
        <f t="shared" si="22"/>
        <v>0</v>
      </c>
      <c r="BG223">
        <f t="shared" si="23"/>
        <v>0</v>
      </c>
      <c r="BH223">
        <f t="shared" si="24"/>
        <v>0</v>
      </c>
      <c r="BI223">
        <f t="shared" si="25"/>
        <v>0</v>
      </c>
    </row>
    <row r="224" spans="2:61" x14ac:dyDescent="0.3">
      <c r="B224" s="15" t="s">
        <v>544</v>
      </c>
      <c r="C224" s="17" t="s">
        <v>802</v>
      </c>
      <c r="D224" s="17" t="s">
        <v>633</v>
      </c>
      <c r="E224" s="17" t="s">
        <v>800</v>
      </c>
      <c r="F224" s="17" t="s">
        <v>155</v>
      </c>
      <c r="G224" s="17" t="s">
        <v>155</v>
      </c>
      <c r="J224" t="s">
        <v>544</v>
      </c>
      <c r="K224" s="17" t="s">
        <v>155</v>
      </c>
      <c r="L224" s="17" t="s">
        <v>155</v>
      </c>
      <c r="M224" s="17" t="s">
        <v>402</v>
      </c>
      <c r="N224" s="17" t="s">
        <v>155</v>
      </c>
      <c r="O224" s="17" t="s">
        <v>402</v>
      </c>
      <c r="Y224" s="15" t="s">
        <v>544</v>
      </c>
      <c r="Z224" s="17" t="s">
        <v>802</v>
      </c>
      <c r="AA224" s="17" t="s">
        <v>633</v>
      </c>
      <c r="AB224" s="17" t="s">
        <v>155</v>
      </c>
      <c r="AC224" s="17" t="s">
        <v>155</v>
      </c>
      <c r="AD224" s="17" t="s">
        <v>800</v>
      </c>
      <c r="AG224" t="s">
        <v>952</v>
      </c>
      <c r="AW224" t="s">
        <v>544</v>
      </c>
      <c r="AX224" t="s">
        <v>155</v>
      </c>
      <c r="AY224" t="s">
        <v>155</v>
      </c>
      <c r="AZ224" t="s">
        <v>402</v>
      </c>
      <c r="BA224" t="s">
        <v>155</v>
      </c>
      <c r="BB224" t="s">
        <v>402</v>
      </c>
      <c r="BD224">
        <f t="shared" si="20"/>
        <v>0</v>
      </c>
      <c r="BE224">
        <f t="shared" si="21"/>
        <v>0</v>
      </c>
      <c r="BF224">
        <f t="shared" si="22"/>
        <v>0</v>
      </c>
      <c r="BG224">
        <f t="shared" si="23"/>
        <v>0</v>
      </c>
      <c r="BH224">
        <f t="shared" si="24"/>
        <v>0</v>
      </c>
      <c r="BI224">
        <f t="shared" si="25"/>
        <v>0</v>
      </c>
    </row>
    <row r="225" spans="2:61" x14ac:dyDescent="0.3">
      <c r="B225" s="15" t="s">
        <v>545</v>
      </c>
      <c r="C225" s="17" t="s">
        <v>155</v>
      </c>
      <c r="D225" s="17" t="s">
        <v>155</v>
      </c>
      <c r="E225" s="17" t="s">
        <v>800</v>
      </c>
      <c r="F225" s="17" t="s">
        <v>155</v>
      </c>
      <c r="G225" s="17" t="s">
        <v>155</v>
      </c>
      <c r="J225" t="s">
        <v>545</v>
      </c>
      <c r="K225" s="17" t="s">
        <v>155</v>
      </c>
      <c r="L225" s="17" t="s">
        <v>155</v>
      </c>
      <c r="M225" s="17" t="s">
        <v>402</v>
      </c>
      <c r="N225" s="17" t="s">
        <v>155</v>
      </c>
      <c r="O225" s="17" t="s">
        <v>402</v>
      </c>
      <c r="Y225" s="15" t="s">
        <v>545</v>
      </c>
      <c r="Z225" s="17" t="s">
        <v>155</v>
      </c>
      <c r="AA225" s="17" t="s">
        <v>155</v>
      </c>
      <c r="AB225" s="17" t="s">
        <v>155</v>
      </c>
      <c r="AC225" s="17" t="s">
        <v>155</v>
      </c>
      <c r="AD225" s="17" t="s">
        <v>155</v>
      </c>
      <c r="AH225" s="17" t="s">
        <v>164</v>
      </c>
      <c r="AI225" s="17" t="s">
        <v>165</v>
      </c>
      <c r="AJ225" s="17" t="s">
        <v>166</v>
      </c>
      <c r="AK225" s="17" t="s">
        <v>167</v>
      </c>
      <c r="AL225" s="17" t="s">
        <v>168</v>
      </c>
      <c r="AW225" t="s">
        <v>545</v>
      </c>
      <c r="AX225" t="s">
        <v>155</v>
      </c>
      <c r="AY225" t="s">
        <v>155</v>
      </c>
      <c r="AZ225" t="s">
        <v>402</v>
      </c>
      <c r="BA225" t="s">
        <v>155</v>
      </c>
      <c r="BB225" t="s">
        <v>402</v>
      </c>
      <c r="BD225">
        <f t="shared" si="20"/>
        <v>0</v>
      </c>
      <c r="BE225">
        <f t="shared" si="21"/>
        <v>0</v>
      </c>
      <c r="BF225">
        <f t="shared" si="22"/>
        <v>0</v>
      </c>
      <c r="BG225">
        <f t="shared" si="23"/>
        <v>0</v>
      </c>
      <c r="BH225">
        <f t="shared" si="24"/>
        <v>0</v>
      </c>
      <c r="BI225">
        <f t="shared" si="25"/>
        <v>0</v>
      </c>
    </row>
    <row r="226" spans="2:61" x14ac:dyDescent="0.3">
      <c r="AG226" t="s">
        <v>543</v>
      </c>
      <c r="AH226" s="17" t="s">
        <v>155</v>
      </c>
      <c r="AI226" s="17" t="s">
        <v>155</v>
      </c>
      <c r="AJ226" s="17" t="s">
        <v>155</v>
      </c>
      <c r="AK226" s="17" t="s">
        <v>155</v>
      </c>
      <c r="AL226" s="17" t="s">
        <v>402</v>
      </c>
      <c r="BD226">
        <f t="shared" si="20"/>
        <v>0</v>
      </c>
      <c r="BE226">
        <f t="shared" si="21"/>
        <v>0</v>
      </c>
      <c r="BF226">
        <f t="shared" si="22"/>
        <v>0</v>
      </c>
      <c r="BG226">
        <f t="shared" si="23"/>
        <v>0</v>
      </c>
      <c r="BH226">
        <f t="shared" si="24"/>
        <v>0</v>
      </c>
      <c r="BI226">
        <f t="shared" si="25"/>
        <v>0</v>
      </c>
    </row>
    <row r="227" spans="2:61" x14ac:dyDescent="0.3">
      <c r="B227" s="15" t="s">
        <v>803</v>
      </c>
      <c r="J227" t="s">
        <v>953</v>
      </c>
      <c r="Y227" s="15" t="s">
        <v>803</v>
      </c>
      <c r="AG227" t="s">
        <v>544</v>
      </c>
      <c r="AH227" s="17" t="s">
        <v>155</v>
      </c>
      <c r="AI227" s="17" t="s">
        <v>155</v>
      </c>
      <c r="AJ227" s="17" t="s">
        <v>402</v>
      </c>
      <c r="AK227" s="17" t="s">
        <v>155</v>
      </c>
      <c r="AL227" s="17" t="s">
        <v>402</v>
      </c>
      <c r="AW227" t="s">
        <v>953</v>
      </c>
      <c r="BD227">
        <f t="shared" si="20"/>
        <v>0</v>
      </c>
      <c r="BE227">
        <f t="shared" si="21"/>
        <v>0</v>
      </c>
      <c r="BF227">
        <f t="shared" si="22"/>
        <v>0</v>
      </c>
      <c r="BG227">
        <f t="shared" si="23"/>
        <v>0</v>
      </c>
      <c r="BH227">
        <f t="shared" si="24"/>
        <v>0</v>
      </c>
      <c r="BI227">
        <f t="shared" si="25"/>
        <v>0</v>
      </c>
    </row>
    <row r="228" spans="2:61" x14ac:dyDescent="0.3">
      <c r="C228" s="17" t="s">
        <v>164</v>
      </c>
      <c r="D228" s="17" t="s">
        <v>165</v>
      </c>
      <c r="E228" s="17" t="s">
        <v>166</v>
      </c>
      <c r="F228" s="17" t="s">
        <v>167</v>
      </c>
      <c r="G228" s="17" t="s">
        <v>168</v>
      </c>
      <c r="K228" s="17" t="s">
        <v>164</v>
      </c>
      <c r="L228" s="17" t="s">
        <v>165</v>
      </c>
      <c r="M228" s="17" t="s">
        <v>166</v>
      </c>
      <c r="N228" s="17" t="s">
        <v>167</v>
      </c>
      <c r="O228" s="17" t="s">
        <v>168</v>
      </c>
      <c r="Z228" s="17" t="s">
        <v>164</v>
      </c>
      <c r="AA228" s="17" t="s">
        <v>165</v>
      </c>
      <c r="AB228" s="17" t="s">
        <v>166</v>
      </c>
      <c r="AC228" s="17" t="s">
        <v>167</v>
      </c>
      <c r="AD228" s="17" t="s">
        <v>168</v>
      </c>
      <c r="AG228" t="s">
        <v>545</v>
      </c>
      <c r="AH228" s="17" t="s">
        <v>155</v>
      </c>
      <c r="AI228" s="17" t="s">
        <v>155</v>
      </c>
      <c r="AJ228" s="17" t="s">
        <v>402</v>
      </c>
      <c r="AK228" s="17" t="s">
        <v>155</v>
      </c>
      <c r="AL228" s="17" t="s">
        <v>402</v>
      </c>
      <c r="AX228" t="s">
        <v>164</v>
      </c>
      <c r="AY228" t="s">
        <v>165</v>
      </c>
      <c r="AZ228" t="s">
        <v>166</v>
      </c>
      <c r="BA228" t="s">
        <v>167</v>
      </c>
      <c r="BB228" t="s">
        <v>168</v>
      </c>
      <c r="BD228">
        <f t="shared" si="20"/>
        <v>0</v>
      </c>
      <c r="BE228">
        <f t="shared" si="21"/>
        <v>0</v>
      </c>
      <c r="BF228">
        <f t="shared" si="22"/>
        <v>0</v>
      </c>
      <c r="BG228">
        <f t="shared" si="23"/>
        <v>0</v>
      </c>
      <c r="BH228">
        <f t="shared" si="24"/>
        <v>0</v>
      </c>
      <c r="BI228">
        <f t="shared" si="25"/>
        <v>0</v>
      </c>
    </row>
    <row r="229" spans="2:61" x14ac:dyDescent="0.3">
      <c r="B229" s="15" t="s">
        <v>555</v>
      </c>
      <c r="C229" s="17" t="s">
        <v>800</v>
      </c>
      <c r="D229" s="17" t="s">
        <v>795</v>
      </c>
      <c r="E229" s="17" t="s">
        <v>155</v>
      </c>
      <c r="F229" s="17" t="s">
        <v>155</v>
      </c>
      <c r="G229" s="17" t="s">
        <v>926</v>
      </c>
      <c r="J229" t="s">
        <v>556</v>
      </c>
      <c r="K229" s="17" t="s">
        <v>155</v>
      </c>
      <c r="L229" s="17" t="s">
        <v>657</v>
      </c>
      <c r="M229" s="17" t="s">
        <v>155</v>
      </c>
      <c r="N229" s="17" t="s">
        <v>155</v>
      </c>
      <c r="O229" s="17" t="s">
        <v>155</v>
      </c>
      <c r="Y229" s="15" t="s">
        <v>555</v>
      </c>
      <c r="Z229" s="17" t="s">
        <v>800</v>
      </c>
      <c r="AA229" s="17" t="s">
        <v>795</v>
      </c>
      <c r="AB229" s="17" t="s">
        <v>155</v>
      </c>
      <c r="AC229" s="17" t="s">
        <v>155</v>
      </c>
      <c r="AD229" s="17" t="s">
        <v>926</v>
      </c>
      <c r="AW229" t="s">
        <v>556</v>
      </c>
      <c r="AX229" t="s">
        <v>155</v>
      </c>
      <c r="AY229" t="s">
        <v>657</v>
      </c>
      <c r="AZ229" t="s">
        <v>155</v>
      </c>
      <c r="BA229" t="s">
        <v>155</v>
      </c>
      <c r="BB229" t="s">
        <v>155</v>
      </c>
      <c r="BD229">
        <f t="shared" si="20"/>
        <v>0</v>
      </c>
      <c r="BE229">
        <f t="shared" si="21"/>
        <v>0</v>
      </c>
      <c r="BF229">
        <f t="shared" si="22"/>
        <v>0</v>
      </c>
      <c r="BG229">
        <f t="shared" si="23"/>
        <v>0</v>
      </c>
      <c r="BH229">
        <f t="shared" si="24"/>
        <v>0</v>
      </c>
      <c r="BI229">
        <f t="shared" si="25"/>
        <v>0</v>
      </c>
    </row>
    <row r="230" spans="2:61" x14ac:dyDescent="0.3">
      <c r="B230" s="15" t="s">
        <v>556</v>
      </c>
      <c r="C230" s="17" t="s">
        <v>800</v>
      </c>
      <c r="D230" s="17" t="s">
        <v>795</v>
      </c>
      <c r="E230" s="17" t="s">
        <v>802</v>
      </c>
      <c r="F230" s="17" t="s">
        <v>155</v>
      </c>
      <c r="G230" s="17" t="s">
        <v>926</v>
      </c>
      <c r="J230" t="s">
        <v>557</v>
      </c>
      <c r="K230" s="17" t="s">
        <v>155</v>
      </c>
      <c r="L230" s="17" t="s">
        <v>657</v>
      </c>
      <c r="M230" s="17" t="s">
        <v>155</v>
      </c>
      <c r="N230" s="17" t="s">
        <v>155</v>
      </c>
      <c r="O230" s="17" t="s">
        <v>155</v>
      </c>
      <c r="Y230" s="15" t="s">
        <v>556</v>
      </c>
      <c r="Z230" s="17" t="s">
        <v>800</v>
      </c>
      <c r="AA230" s="17" t="s">
        <v>795</v>
      </c>
      <c r="AB230" s="17" t="s">
        <v>802</v>
      </c>
      <c r="AC230" s="17" t="s">
        <v>155</v>
      </c>
      <c r="AD230" s="17" t="s">
        <v>926</v>
      </c>
      <c r="AG230" t="s">
        <v>953</v>
      </c>
      <c r="AW230" t="s">
        <v>557</v>
      </c>
      <c r="AX230" t="s">
        <v>155</v>
      </c>
      <c r="AY230" t="s">
        <v>657</v>
      </c>
      <c r="AZ230" t="s">
        <v>155</v>
      </c>
      <c r="BA230" t="s">
        <v>155</v>
      </c>
      <c r="BB230" t="s">
        <v>155</v>
      </c>
      <c r="BD230">
        <f t="shared" si="20"/>
        <v>0</v>
      </c>
      <c r="BE230">
        <f t="shared" si="21"/>
        <v>0</v>
      </c>
      <c r="BF230">
        <f t="shared" si="22"/>
        <v>0</v>
      </c>
      <c r="BG230">
        <f t="shared" si="23"/>
        <v>0</v>
      </c>
      <c r="BH230">
        <f t="shared" si="24"/>
        <v>0</v>
      </c>
      <c r="BI230">
        <f t="shared" si="25"/>
        <v>0</v>
      </c>
    </row>
    <row r="231" spans="2:61" x14ac:dyDescent="0.3">
      <c r="B231" s="15" t="s">
        <v>557</v>
      </c>
      <c r="C231" s="17" t="s">
        <v>1038</v>
      </c>
      <c r="D231" s="17" t="s">
        <v>795</v>
      </c>
      <c r="E231" s="17" t="s">
        <v>802</v>
      </c>
      <c r="F231" s="17" t="s">
        <v>1038</v>
      </c>
      <c r="G231" s="17" t="s">
        <v>801</v>
      </c>
      <c r="J231" t="s">
        <v>542</v>
      </c>
      <c r="K231" s="17" t="s">
        <v>155</v>
      </c>
      <c r="L231" s="17" t="s">
        <v>657</v>
      </c>
      <c r="M231" s="17" t="s">
        <v>155</v>
      </c>
      <c r="N231" s="17" t="s">
        <v>155</v>
      </c>
      <c r="O231" s="17" t="s">
        <v>155</v>
      </c>
      <c r="Y231" s="15" t="s">
        <v>557</v>
      </c>
      <c r="Z231" s="17" t="s">
        <v>785</v>
      </c>
      <c r="AA231" s="17" t="s">
        <v>795</v>
      </c>
      <c r="AB231" s="17" t="s">
        <v>802</v>
      </c>
      <c r="AC231" s="17" t="s">
        <v>785</v>
      </c>
      <c r="AD231" s="17" t="s">
        <v>801</v>
      </c>
      <c r="AH231" s="17" t="s">
        <v>164</v>
      </c>
      <c r="AI231" s="17" t="s">
        <v>165</v>
      </c>
      <c r="AJ231" s="17" t="s">
        <v>166</v>
      </c>
      <c r="AK231" s="17" t="s">
        <v>167</v>
      </c>
      <c r="AL231" s="17" t="s">
        <v>168</v>
      </c>
      <c r="AW231" t="s">
        <v>542</v>
      </c>
      <c r="AX231" t="s">
        <v>155</v>
      </c>
      <c r="AY231" t="s">
        <v>657</v>
      </c>
      <c r="AZ231" t="s">
        <v>155</v>
      </c>
      <c r="BA231" t="s">
        <v>155</v>
      </c>
      <c r="BB231" t="s">
        <v>155</v>
      </c>
      <c r="BD231">
        <f t="shared" si="20"/>
        <v>0</v>
      </c>
      <c r="BE231">
        <f t="shared" si="21"/>
        <v>0</v>
      </c>
      <c r="BF231">
        <f t="shared" si="22"/>
        <v>0</v>
      </c>
      <c r="BG231">
        <f t="shared" si="23"/>
        <v>0</v>
      </c>
      <c r="BH231">
        <f t="shared" si="24"/>
        <v>0</v>
      </c>
      <c r="BI231">
        <f t="shared" si="25"/>
        <v>0</v>
      </c>
    </row>
    <row r="232" spans="2:61" x14ac:dyDescent="0.3">
      <c r="B232" s="15" t="s">
        <v>542</v>
      </c>
      <c r="C232" s="17" t="s">
        <v>1038</v>
      </c>
      <c r="D232" s="17" t="s">
        <v>795</v>
      </c>
      <c r="E232" s="17" t="s">
        <v>801</v>
      </c>
      <c r="F232" s="17" t="s">
        <v>1038</v>
      </c>
      <c r="G232" s="17" t="s">
        <v>801</v>
      </c>
      <c r="Y232" s="15" t="s">
        <v>542</v>
      </c>
      <c r="Z232" s="17" t="s">
        <v>785</v>
      </c>
      <c r="AA232" s="17" t="s">
        <v>795</v>
      </c>
      <c r="AB232" s="17" t="s">
        <v>801</v>
      </c>
      <c r="AC232" s="17" t="s">
        <v>785</v>
      </c>
      <c r="AD232" s="17" t="s">
        <v>801</v>
      </c>
      <c r="AG232" t="s">
        <v>556</v>
      </c>
      <c r="AH232" s="17" t="s">
        <v>155</v>
      </c>
      <c r="AI232" s="17" t="s">
        <v>657</v>
      </c>
      <c r="AJ232" s="17" t="s">
        <v>155</v>
      </c>
      <c r="AK232" s="17" t="s">
        <v>155</v>
      </c>
      <c r="AL232" s="17" t="s">
        <v>155</v>
      </c>
      <c r="BD232">
        <f t="shared" si="20"/>
        <v>0</v>
      </c>
      <c r="BE232">
        <f t="shared" si="21"/>
        <v>0</v>
      </c>
      <c r="BF232">
        <f t="shared" si="22"/>
        <v>0</v>
      </c>
      <c r="BG232">
        <f t="shared" si="23"/>
        <v>0</v>
      </c>
      <c r="BH232">
        <f t="shared" si="24"/>
        <v>0</v>
      </c>
      <c r="BI232">
        <f t="shared" si="25"/>
        <v>0</v>
      </c>
    </row>
    <row r="233" spans="2:61" x14ac:dyDescent="0.3">
      <c r="B233" s="15" t="s">
        <v>543</v>
      </c>
      <c r="C233" s="17" t="s">
        <v>802</v>
      </c>
      <c r="D233" s="17" t="s">
        <v>633</v>
      </c>
      <c r="E233" s="17" t="s">
        <v>801</v>
      </c>
      <c r="F233" s="17" t="s">
        <v>926</v>
      </c>
      <c r="G233" s="17" t="s">
        <v>155</v>
      </c>
      <c r="J233" t="s">
        <v>740</v>
      </c>
      <c r="Y233" s="15" t="s">
        <v>543</v>
      </c>
      <c r="Z233" s="17" t="s">
        <v>802</v>
      </c>
      <c r="AA233" s="17" t="s">
        <v>633</v>
      </c>
      <c r="AB233" s="17" t="s">
        <v>801</v>
      </c>
      <c r="AC233" s="17" t="s">
        <v>926</v>
      </c>
      <c r="AD233" s="17" t="s">
        <v>800</v>
      </c>
      <c r="AG233" t="s">
        <v>557</v>
      </c>
      <c r="AH233" s="17" t="s">
        <v>155</v>
      </c>
      <c r="AI233" s="17" t="s">
        <v>657</v>
      </c>
      <c r="AJ233" s="17" t="s">
        <v>155</v>
      </c>
      <c r="AK233" s="17" t="s">
        <v>155</v>
      </c>
      <c r="AL233" s="17" t="s">
        <v>155</v>
      </c>
      <c r="AW233" t="s">
        <v>740</v>
      </c>
      <c r="BD233">
        <f t="shared" si="20"/>
        <v>0</v>
      </c>
      <c r="BE233">
        <f t="shared" si="21"/>
        <v>0</v>
      </c>
      <c r="BF233">
        <f t="shared" si="22"/>
        <v>0</v>
      </c>
      <c r="BG233">
        <f t="shared" si="23"/>
        <v>0</v>
      </c>
      <c r="BH233">
        <f t="shared" si="24"/>
        <v>0</v>
      </c>
      <c r="BI233">
        <f t="shared" si="25"/>
        <v>0</v>
      </c>
    </row>
    <row r="234" spans="2:61" x14ac:dyDescent="0.3">
      <c r="B234" s="15" t="s">
        <v>544</v>
      </c>
      <c r="C234" s="17" t="s">
        <v>802</v>
      </c>
      <c r="D234" s="17" t="s">
        <v>633</v>
      </c>
      <c r="E234" s="17" t="s">
        <v>800</v>
      </c>
      <c r="F234" s="17" t="s">
        <v>155</v>
      </c>
      <c r="G234" s="17" t="s">
        <v>155</v>
      </c>
      <c r="K234" s="17" t="s">
        <v>164</v>
      </c>
      <c r="L234" s="17" t="s">
        <v>165</v>
      </c>
      <c r="M234" s="17" t="s">
        <v>166</v>
      </c>
      <c r="N234" s="17" t="s">
        <v>167</v>
      </c>
      <c r="O234" s="17" t="s">
        <v>168</v>
      </c>
      <c r="Y234" s="15" t="s">
        <v>544</v>
      </c>
      <c r="Z234" s="17" t="s">
        <v>802</v>
      </c>
      <c r="AA234" s="17" t="s">
        <v>633</v>
      </c>
      <c r="AB234" s="17" t="s">
        <v>155</v>
      </c>
      <c r="AC234" s="17" t="s">
        <v>155</v>
      </c>
      <c r="AD234" s="17" t="s">
        <v>800</v>
      </c>
      <c r="AG234" t="s">
        <v>542</v>
      </c>
      <c r="AH234" s="17" t="s">
        <v>155</v>
      </c>
      <c r="AI234" s="17" t="s">
        <v>657</v>
      </c>
      <c r="AJ234" s="17" t="s">
        <v>155</v>
      </c>
      <c r="AK234" s="17" t="s">
        <v>155</v>
      </c>
      <c r="AL234" s="17" t="s">
        <v>155</v>
      </c>
      <c r="AX234" t="s">
        <v>164</v>
      </c>
      <c r="AY234" t="s">
        <v>165</v>
      </c>
      <c r="AZ234" t="s">
        <v>166</v>
      </c>
      <c r="BA234" t="s">
        <v>167</v>
      </c>
      <c r="BB234" t="s">
        <v>168</v>
      </c>
      <c r="BD234">
        <f t="shared" si="20"/>
        <v>0</v>
      </c>
      <c r="BE234">
        <f t="shared" si="21"/>
        <v>0</v>
      </c>
      <c r="BF234">
        <f t="shared" si="22"/>
        <v>0</v>
      </c>
      <c r="BG234">
        <f t="shared" si="23"/>
        <v>0</v>
      </c>
      <c r="BH234">
        <f t="shared" si="24"/>
        <v>0</v>
      </c>
      <c r="BI234">
        <f t="shared" si="25"/>
        <v>0</v>
      </c>
    </row>
    <row r="235" spans="2:61" x14ac:dyDescent="0.3">
      <c r="B235" s="15" t="s">
        <v>545</v>
      </c>
      <c r="C235" s="17" t="s">
        <v>155</v>
      </c>
      <c r="D235" s="17" t="s">
        <v>155</v>
      </c>
      <c r="E235" s="17" t="s">
        <v>800</v>
      </c>
      <c r="F235" s="17" t="s">
        <v>155</v>
      </c>
      <c r="G235" s="17" t="s">
        <v>155</v>
      </c>
      <c r="J235" t="s">
        <v>548</v>
      </c>
      <c r="K235" s="17" t="s">
        <v>155</v>
      </c>
      <c r="L235" s="17" t="s">
        <v>257</v>
      </c>
      <c r="M235" s="17" t="s">
        <v>155</v>
      </c>
      <c r="N235" s="17" t="s">
        <v>257</v>
      </c>
      <c r="O235" s="17" t="s">
        <v>155</v>
      </c>
      <c r="Y235" s="15" t="s">
        <v>545</v>
      </c>
      <c r="Z235" s="17" t="s">
        <v>155</v>
      </c>
      <c r="AA235" s="17" t="s">
        <v>155</v>
      </c>
      <c r="AB235" s="17" t="s">
        <v>155</v>
      </c>
      <c r="AC235" s="17" t="s">
        <v>155</v>
      </c>
      <c r="AD235" s="17" t="s">
        <v>155</v>
      </c>
      <c r="AW235" t="s">
        <v>548</v>
      </c>
      <c r="AX235" t="s">
        <v>155</v>
      </c>
      <c r="AY235" t="s">
        <v>257</v>
      </c>
      <c r="AZ235" t="s">
        <v>155</v>
      </c>
      <c r="BA235" t="s">
        <v>257</v>
      </c>
      <c r="BB235" t="s">
        <v>155</v>
      </c>
      <c r="BD235">
        <f t="shared" si="20"/>
        <v>0</v>
      </c>
      <c r="BE235">
        <f t="shared" si="21"/>
        <v>0</v>
      </c>
      <c r="BF235">
        <f t="shared" si="22"/>
        <v>0</v>
      </c>
      <c r="BG235">
        <f t="shared" si="23"/>
        <v>0</v>
      </c>
      <c r="BH235">
        <f t="shared" si="24"/>
        <v>0</v>
      </c>
      <c r="BI235">
        <f t="shared" si="25"/>
        <v>0</v>
      </c>
    </row>
    <row r="236" spans="2:61" x14ac:dyDescent="0.3">
      <c r="J236" t="s">
        <v>549</v>
      </c>
      <c r="K236" s="17" t="s">
        <v>155</v>
      </c>
      <c r="L236" s="17" t="s">
        <v>257</v>
      </c>
      <c r="M236" s="17" t="s">
        <v>155</v>
      </c>
      <c r="N236" s="17" t="s">
        <v>257</v>
      </c>
      <c r="O236" s="17" t="s">
        <v>155</v>
      </c>
      <c r="AG236" t="s">
        <v>740</v>
      </c>
      <c r="AW236" t="s">
        <v>549</v>
      </c>
      <c r="AX236" t="s">
        <v>155</v>
      </c>
      <c r="AY236" t="s">
        <v>257</v>
      </c>
      <c r="AZ236" t="s">
        <v>155</v>
      </c>
      <c r="BA236" t="s">
        <v>257</v>
      </c>
      <c r="BB236" t="s">
        <v>155</v>
      </c>
      <c r="BD236">
        <f t="shared" si="20"/>
        <v>0</v>
      </c>
      <c r="BE236">
        <f t="shared" si="21"/>
        <v>0</v>
      </c>
      <c r="BF236">
        <f t="shared" si="22"/>
        <v>0</v>
      </c>
      <c r="BG236">
        <f t="shared" si="23"/>
        <v>0</v>
      </c>
      <c r="BH236">
        <f t="shared" si="24"/>
        <v>0</v>
      </c>
      <c r="BI236">
        <f t="shared" si="25"/>
        <v>0</v>
      </c>
    </row>
    <row r="237" spans="2:61" x14ac:dyDescent="0.3">
      <c r="B237" s="15" t="s">
        <v>778</v>
      </c>
      <c r="J237" t="s">
        <v>550</v>
      </c>
      <c r="K237" s="17" t="s">
        <v>155</v>
      </c>
      <c r="L237" s="17" t="s">
        <v>155</v>
      </c>
      <c r="M237" s="17" t="s">
        <v>155</v>
      </c>
      <c r="N237" s="17" t="s">
        <v>257</v>
      </c>
      <c r="O237" s="17" t="s">
        <v>155</v>
      </c>
      <c r="Y237" s="15" t="s">
        <v>778</v>
      </c>
      <c r="AH237" s="17" t="s">
        <v>164</v>
      </c>
      <c r="AI237" s="17" t="s">
        <v>165</v>
      </c>
      <c r="AJ237" s="17" t="s">
        <v>166</v>
      </c>
      <c r="AK237" s="17" t="s">
        <v>167</v>
      </c>
      <c r="AL237" s="17" t="s">
        <v>168</v>
      </c>
      <c r="AW237" t="s">
        <v>550</v>
      </c>
      <c r="AX237" t="s">
        <v>155</v>
      </c>
      <c r="AY237" t="s">
        <v>155</v>
      </c>
      <c r="AZ237" t="s">
        <v>155</v>
      </c>
      <c r="BA237" t="s">
        <v>257</v>
      </c>
      <c r="BB237" t="s">
        <v>155</v>
      </c>
      <c r="BD237">
        <f t="shared" si="20"/>
        <v>0</v>
      </c>
      <c r="BE237">
        <f t="shared" si="21"/>
        <v>0</v>
      </c>
      <c r="BF237">
        <f t="shared" si="22"/>
        <v>0</v>
      </c>
      <c r="BG237">
        <f t="shared" si="23"/>
        <v>0</v>
      </c>
      <c r="BH237">
        <f t="shared" si="24"/>
        <v>0</v>
      </c>
      <c r="BI237">
        <f t="shared" si="25"/>
        <v>0</v>
      </c>
    </row>
    <row r="238" spans="2:61" x14ac:dyDescent="0.3">
      <c r="C238" s="17" t="s">
        <v>164</v>
      </c>
      <c r="D238" s="17" t="s">
        <v>165</v>
      </c>
      <c r="E238" s="17" t="s">
        <v>166</v>
      </c>
      <c r="F238" s="17" t="s">
        <v>167</v>
      </c>
      <c r="G238" s="17" t="s">
        <v>168</v>
      </c>
      <c r="Z238" s="17" t="s">
        <v>164</v>
      </c>
      <c r="AA238" s="17" t="s">
        <v>165</v>
      </c>
      <c r="AB238" s="17" t="s">
        <v>166</v>
      </c>
      <c r="AC238" s="17" t="s">
        <v>167</v>
      </c>
      <c r="AD238" s="17" t="s">
        <v>168</v>
      </c>
      <c r="AG238" t="s">
        <v>158</v>
      </c>
      <c r="AH238" s="17" t="s">
        <v>257</v>
      </c>
      <c r="AI238" s="17" t="s">
        <v>155</v>
      </c>
      <c r="AJ238" s="17" t="s">
        <v>155</v>
      </c>
      <c r="AK238" s="17" t="s">
        <v>257</v>
      </c>
      <c r="AL238" s="17" t="s">
        <v>155</v>
      </c>
      <c r="BD238">
        <f t="shared" si="20"/>
        <v>0</v>
      </c>
      <c r="BE238">
        <f t="shared" si="21"/>
        <v>0</v>
      </c>
      <c r="BF238">
        <f t="shared" si="22"/>
        <v>0</v>
      </c>
      <c r="BG238">
        <f t="shared" si="23"/>
        <v>0</v>
      </c>
      <c r="BH238">
        <f t="shared" si="24"/>
        <v>0</v>
      </c>
      <c r="BI238">
        <f t="shared" si="25"/>
        <v>0</v>
      </c>
    </row>
    <row r="239" spans="2:61" x14ac:dyDescent="0.3">
      <c r="B239" s="15" t="s">
        <v>542</v>
      </c>
      <c r="C239" s="17" t="s">
        <v>155</v>
      </c>
      <c r="D239" s="17" t="s">
        <v>780</v>
      </c>
      <c r="E239" s="17" t="s">
        <v>961</v>
      </c>
      <c r="F239" s="17" t="s">
        <v>780</v>
      </c>
      <c r="G239" s="17" t="s">
        <v>155</v>
      </c>
      <c r="J239" t="s">
        <v>730</v>
      </c>
      <c r="Y239" s="15" t="s">
        <v>542</v>
      </c>
      <c r="Z239" s="17" t="s">
        <v>155</v>
      </c>
      <c r="AA239" s="17" t="s">
        <v>780</v>
      </c>
      <c r="AB239" s="17" t="s">
        <v>961</v>
      </c>
      <c r="AC239" s="17" t="s">
        <v>780</v>
      </c>
      <c r="AD239" s="17" t="s">
        <v>155</v>
      </c>
      <c r="AG239" t="s">
        <v>159</v>
      </c>
      <c r="AH239" s="17" t="s">
        <v>257</v>
      </c>
      <c r="AI239" s="17" t="s">
        <v>155</v>
      </c>
      <c r="AJ239" s="17" t="s">
        <v>155</v>
      </c>
      <c r="AK239" s="17" t="s">
        <v>257</v>
      </c>
      <c r="AL239" s="17" t="s">
        <v>155</v>
      </c>
      <c r="AW239" t="s">
        <v>730</v>
      </c>
      <c r="BD239">
        <f t="shared" si="20"/>
        <v>0</v>
      </c>
      <c r="BE239">
        <f t="shared" si="21"/>
        <v>0</v>
      </c>
      <c r="BF239">
        <f t="shared" si="22"/>
        <v>0</v>
      </c>
      <c r="BG239">
        <f t="shared" si="23"/>
        <v>0</v>
      </c>
      <c r="BH239">
        <f t="shared" si="24"/>
        <v>0</v>
      </c>
      <c r="BI239">
        <f t="shared" si="25"/>
        <v>0</v>
      </c>
    </row>
    <row r="240" spans="2:61" x14ac:dyDescent="0.3">
      <c r="B240" s="15" t="s">
        <v>543</v>
      </c>
      <c r="C240" s="17" t="s">
        <v>779</v>
      </c>
      <c r="D240" s="17" t="s">
        <v>780</v>
      </c>
      <c r="E240" s="17" t="s">
        <v>961</v>
      </c>
      <c r="F240" s="17" t="s">
        <v>780</v>
      </c>
      <c r="G240" s="17" t="s">
        <v>1040</v>
      </c>
      <c r="K240" s="17" t="s">
        <v>164</v>
      </c>
      <c r="L240" s="17" t="s">
        <v>165</v>
      </c>
      <c r="M240" s="17" t="s">
        <v>166</v>
      </c>
      <c r="N240" s="17" t="s">
        <v>167</v>
      </c>
      <c r="O240" s="17" t="s">
        <v>168</v>
      </c>
      <c r="Y240" s="15" t="s">
        <v>543</v>
      </c>
      <c r="Z240" s="17" t="s">
        <v>779</v>
      </c>
      <c r="AA240" s="17" t="s">
        <v>780</v>
      </c>
      <c r="AB240" s="17" t="s">
        <v>961</v>
      </c>
      <c r="AC240" s="17" t="s">
        <v>780</v>
      </c>
      <c r="AD240" s="17" t="s">
        <v>931</v>
      </c>
      <c r="AG240" t="s">
        <v>160</v>
      </c>
      <c r="AH240" s="17" t="s">
        <v>257</v>
      </c>
      <c r="AI240" s="17" t="s">
        <v>155</v>
      </c>
      <c r="AJ240" s="17" t="s">
        <v>155</v>
      </c>
      <c r="AK240" s="17" t="s">
        <v>155</v>
      </c>
      <c r="AL240" s="17" t="s">
        <v>155</v>
      </c>
      <c r="AX240" t="s">
        <v>164</v>
      </c>
      <c r="AY240" t="s">
        <v>165</v>
      </c>
      <c r="AZ240" t="s">
        <v>166</v>
      </c>
      <c r="BA240" t="s">
        <v>167</v>
      </c>
      <c r="BB240" t="s">
        <v>168</v>
      </c>
      <c r="BD240">
        <f t="shared" si="20"/>
        <v>0</v>
      </c>
      <c r="BE240">
        <f t="shared" si="21"/>
        <v>0</v>
      </c>
      <c r="BF240">
        <f t="shared" si="22"/>
        <v>0</v>
      </c>
      <c r="BG240">
        <f t="shared" si="23"/>
        <v>0</v>
      </c>
      <c r="BH240">
        <f t="shared" si="24"/>
        <v>0</v>
      </c>
      <c r="BI240">
        <f t="shared" si="25"/>
        <v>0</v>
      </c>
    </row>
    <row r="241" spans="2:61" x14ac:dyDescent="0.3">
      <c r="B241" s="15" t="s">
        <v>544</v>
      </c>
      <c r="C241" s="17" t="s">
        <v>779</v>
      </c>
      <c r="D241" s="17" t="s">
        <v>781</v>
      </c>
      <c r="E241" s="17" t="s">
        <v>1041</v>
      </c>
      <c r="F241" s="17" t="s">
        <v>779</v>
      </c>
      <c r="G241" s="17" t="s">
        <v>1042</v>
      </c>
      <c r="J241" t="s">
        <v>550</v>
      </c>
      <c r="K241" s="17" t="s">
        <v>155</v>
      </c>
      <c r="L241" s="17" t="s">
        <v>331</v>
      </c>
      <c r="M241" s="17" t="s">
        <v>155</v>
      </c>
      <c r="N241" s="17" t="s">
        <v>155</v>
      </c>
      <c r="O241" s="17" t="s">
        <v>155</v>
      </c>
      <c r="Y241" s="15" t="s">
        <v>544</v>
      </c>
      <c r="Z241" s="17" t="s">
        <v>779</v>
      </c>
      <c r="AA241" s="17" t="s">
        <v>781</v>
      </c>
      <c r="AB241" s="17" t="s">
        <v>946</v>
      </c>
      <c r="AC241" s="17" t="s">
        <v>779</v>
      </c>
      <c r="AD241" s="17" t="s">
        <v>932</v>
      </c>
      <c r="AW241" t="s">
        <v>550</v>
      </c>
      <c r="AX241" t="s">
        <v>155</v>
      </c>
      <c r="AY241" t="s">
        <v>331</v>
      </c>
      <c r="AZ241" t="s">
        <v>155</v>
      </c>
      <c r="BA241" t="s">
        <v>155</v>
      </c>
      <c r="BB241" t="s">
        <v>155</v>
      </c>
      <c r="BD241">
        <f t="shared" si="20"/>
        <v>0</v>
      </c>
      <c r="BE241">
        <f t="shared" si="21"/>
        <v>0</v>
      </c>
      <c r="BF241">
        <f t="shared" si="22"/>
        <v>0</v>
      </c>
      <c r="BG241">
        <f t="shared" si="23"/>
        <v>0</v>
      </c>
      <c r="BH241">
        <f t="shared" si="24"/>
        <v>0</v>
      </c>
      <c r="BI241">
        <f t="shared" si="25"/>
        <v>0</v>
      </c>
    </row>
    <row r="242" spans="2:61" x14ac:dyDescent="0.3">
      <c r="B242" s="15" t="s">
        <v>545</v>
      </c>
      <c r="C242" s="17" t="s">
        <v>782</v>
      </c>
      <c r="D242" s="17" t="s">
        <v>781</v>
      </c>
      <c r="E242" s="17" t="s">
        <v>1043</v>
      </c>
      <c r="F242" s="17" t="s">
        <v>779</v>
      </c>
      <c r="G242" s="17" t="s">
        <v>1044</v>
      </c>
      <c r="J242" t="s">
        <v>158</v>
      </c>
      <c r="K242" s="17" t="s">
        <v>373</v>
      </c>
      <c r="L242" s="17" t="s">
        <v>331</v>
      </c>
      <c r="M242" s="17" t="s">
        <v>155</v>
      </c>
      <c r="N242" s="17" t="s">
        <v>331</v>
      </c>
      <c r="O242" s="17" t="s">
        <v>373</v>
      </c>
      <c r="Y242" s="15" t="s">
        <v>545</v>
      </c>
      <c r="Z242" s="17" t="s">
        <v>782</v>
      </c>
      <c r="AA242" s="17" t="s">
        <v>781</v>
      </c>
      <c r="AB242" s="17" t="s">
        <v>947</v>
      </c>
      <c r="AC242" s="17" t="s">
        <v>779</v>
      </c>
      <c r="AD242" s="17" t="s">
        <v>933</v>
      </c>
      <c r="AG242" t="s">
        <v>730</v>
      </c>
      <c r="AW242" t="s">
        <v>158</v>
      </c>
      <c r="AX242" t="s">
        <v>373</v>
      </c>
      <c r="AY242" t="s">
        <v>331</v>
      </c>
      <c r="AZ242" t="s">
        <v>155</v>
      </c>
      <c r="BA242" t="s">
        <v>331</v>
      </c>
      <c r="BB242" t="s">
        <v>373</v>
      </c>
      <c r="BD242">
        <f t="shared" si="20"/>
        <v>0</v>
      </c>
      <c r="BE242">
        <f t="shared" si="21"/>
        <v>0</v>
      </c>
      <c r="BF242">
        <f t="shared" si="22"/>
        <v>0</v>
      </c>
      <c r="BG242">
        <f t="shared" si="23"/>
        <v>0</v>
      </c>
      <c r="BH242">
        <f t="shared" si="24"/>
        <v>0</v>
      </c>
      <c r="BI242">
        <f t="shared" si="25"/>
        <v>0</v>
      </c>
    </row>
    <row r="243" spans="2:61" x14ac:dyDescent="0.3">
      <c r="B243" s="15" t="s">
        <v>546</v>
      </c>
      <c r="C243" s="17" t="s">
        <v>782</v>
      </c>
      <c r="D243" s="17" t="s">
        <v>781</v>
      </c>
      <c r="E243" s="17" t="s">
        <v>155</v>
      </c>
      <c r="F243" s="17" t="s">
        <v>779</v>
      </c>
      <c r="G243" s="17" t="s">
        <v>782</v>
      </c>
      <c r="J243" t="s">
        <v>159</v>
      </c>
      <c r="K243" s="17" t="s">
        <v>373</v>
      </c>
      <c r="L243" s="17" t="s">
        <v>155</v>
      </c>
      <c r="M243" s="17" t="s">
        <v>155</v>
      </c>
      <c r="N243" s="17" t="s">
        <v>331</v>
      </c>
      <c r="O243" s="17" t="s">
        <v>373</v>
      </c>
      <c r="Y243" s="15" t="s">
        <v>546</v>
      </c>
      <c r="Z243" s="17" t="s">
        <v>782</v>
      </c>
      <c r="AA243" s="17" t="s">
        <v>781</v>
      </c>
      <c r="AB243" s="17" t="s">
        <v>155</v>
      </c>
      <c r="AC243" s="17" t="s">
        <v>779</v>
      </c>
      <c r="AD243" s="17" t="s">
        <v>782</v>
      </c>
      <c r="AH243" s="17" t="s">
        <v>164</v>
      </c>
      <c r="AI243" s="17" t="s">
        <v>165</v>
      </c>
      <c r="AJ243" s="17" t="s">
        <v>166</v>
      </c>
      <c r="AK243" s="17" t="s">
        <v>167</v>
      </c>
      <c r="AL243" s="17" t="s">
        <v>168</v>
      </c>
      <c r="AW243" t="s">
        <v>159</v>
      </c>
      <c r="AX243" t="s">
        <v>373</v>
      </c>
      <c r="AY243" t="s">
        <v>155</v>
      </c>
      <c r="AZ243" t="s">
        <v>155</v>
      </c>
      <c r="BA243" t="s">
        <v>331</v>
      </c>
      <c r="BB243" t="s">
        <v>373</v>
      </c>
      <c r="BD243">
        <f t="shared" si="20"/>
        <v>0</v>
      </c>
      <c r="BE243">
        <f t="shared" si="21"/>
        <v>0</v>
      </c>
      <c r="BF243">
        <f t="shared" si="22"/>
        <v>0</v>
      </c>
      <c r="BG243">
        <f t="shared" si="23"/>
        <v>0</v>
      </c>
      <c r="BH243">
        <f t="shared" si="24"/>
        <v>0</v>
      </c>
      <c r="BI243">
        <f t="shared" si="25"/>
        <v>0</v>
      </c>
    </row>
    <row r="244" spans="2:61" x14ac:dyDescent="0.3">
      <c r="J244" t="s">
        <v>160</v>
      </c>
      <c r="K244" s="17" t="s">
        <v>373</v>
      </c>
      <c r="L244" s="17" t="s">
        <v>155</v>
      </c>
      <c r="M244" s="17" t="s">
        <v>155</v>
      </c>
      <c r="N244" s="17" t="s">
        <v>331</v>
      </c>
      <c r="O244" s="17" t="s">
        <v>373</v>
      </c>
      <c r="AG244" t="s">
        <v>550</v>
      </c>
      <c r="AH244" s="17" t="s">
        <v>155</v>
      </c>
      <c r="AI244" s="17" t="s">
        <v>331</v>
      </c>
      <c r="AJ244" s="17" t="s">
        <v>155</v>
      </c>
      <c r="AK244" s="17" t="s">
        <v>155</v>
      </c>
      <c r="AL244" s="17" t="s">
        <v>155</v>
      </c>
      <c r="AW244" t="s">
        <v>160</v>
      </c>
      <c r="AX244" t="s">
        <v>373</v>
      </c>
      <c r="AY244" t="s">
        <v>155</v>
      </c>
      <c r="AZ244" t="s">
        <v>155</v>
      </c>
      <c r="BA244" t="s">
        <v>331</v>
      </c>
      <c r="BB244" t="s">
        <v>373</v>
      </c>
      <c r="BD244">
        <f t="shared" si="20"/>
        <v>0</v>
      </c>
      <c r="BE244">
        <f t="shared" si="21"/>
        <v>0</v>
      </c>
      <c r="BF244">
        <f t="shared" si="22"/>
        <v>0</v>
      </c>
      <c r="BG244">
        <f t="shared" si="23"/>
        <v>0</v>
      </c>
      <c r="BH244">
        <f t="shared" si="24"/>
        <v>0</v>
      </c>
      <c r="BI244">
        <f t="shared" si="25"/>
        <v>0</v>
      </c>
    </row>
    <row r="245" spans="2:61" x14ac:dyDescent="0.3">
      <c r="B245" s="29" t="s">
        <v>596</v>
      </c>
      <c r="Y245" s="29" t="s">
        <v>596</v>
      </c>
      <c r="AG245" t="s">
        <v>158</v>
      </c>
      <c r="AH245" s="17" t="s">
        <v>373</v>
      </c>
      <c r="AI245" s="17" t="s">
        <v>331</v>
      </c>
      <c r="AJ245" s="17" t="s">
        <v>155</v>
      </c>
      <c r="AK245" s="17" t="s">
        <v>331</v>
      </c>
      <c r="AL245" s="17" t="s">
        <v>373</v>
      </c>
      <c r="BD245">
        <f t="shared" si="20"/>
        <v>0</v>
      </c>
      <c r="BE245">
        <f t="shared" si="21"/>
        <v>0</v>
      </c>
      <c r="BF245">
        <f t="shared" si="22"/>
        <v>0</v>
      </c>
      <c r="BG245">
        <f t="shared" si="23"/>
        <v>0</v>
      </c>
      <c r="BH245">
        <f t="shared" si="24"/>
        <v>0</v>
      </c>
      <c r="BI245">
        <f t="shared" si="25"/>
        <v>0</v>
      </c>
    </row>
    <row r="246" spans="2:61" x14ac:dyDescent="0.3">
      <c r="B246" s="71" t="s">
        <v>804</v>
      </c>
      <c r="J246" t="s">
        <v>758</v>
      </c>
      <c r="Y246" s="71" t="s">
        <v>804</v>
      </c>
      <c r="AG246" t="s">
        <v>159</v>
      </c>
      <c r="AH246" s="17" t="s">
        <v>373</v>
      </c>
      <c r="AI246" s="17" t="s">
        <v>155</v>
      </c>
      <c r="AJ246" s="17" t="s">
        <v>155</v>
      </c>
      <c r="AK246" s="17" t="s">
        <v>331</v>
      </c>
      <c r="AL246" s="17" t="s">
        <v>373</v>
      </c>
      <c r="AW246" t="s">
        <v>758</v>
      </c>
      <c r="BD246">
        <f t="shared" si="20"/>
        <v>0</v>
      </c>
      <c r="BE246">
        <f t="shared" si="21"/>
        <v>0</v>
      </c>
      <c r="BF246">
        <f t="shared" si="22"/>
        <v>0</v>
      </c>
      <c r="BG246">
        <f t="shared" si="23"/>
        <v>0</v>
      </c>
      <c r="BH246">
        <f t="shared" si="24"/>
        <v>0</v>
      </c>
      <c r="BI246">
        <f t="shared" si="25"/>
        <v>0</v>
      </c>
    </row>
    <row r="247" spans="2:61" x14ac:dyDescent="0.3">
      <c r="K247" s="17" t="s">
        <v>164</v>
      </c>
      <c r="L247" s="17" t="s">
        <v>165</v>
      </c>
      <c r="M247" s="17" t="s">
        <v>166</v>
      </c>
      <c r="N247" s="17" t="s">
        <v>167</v>
      </c>
      <c r="O247" s="17" t="s">
        <v>168</v>
      </c>
      <c r="AG247" t="s">
        <v>160</v>
      </c>
      <c r="AH247" s="17" t="s">
        <v>373</v>
      </c>
      <c r="AI247" s="17" t="s">
        <v>155</v>
      </c>
      <c r="AJ247" s="17" t="s">
        <v>155</v>
      </c>
      <c r="AK247" s="17" t="s">
        <v>331</v>
      </c>
      <c r="AL247" s="17" t="s">
        <v>373</v>
      </c>
      <c r="AX247" t="s">
        <v>164</v>
      </c>
      <c r="AY247" t="s">
        <v>165</v>
      </c>
      <c r="AZ247" t="s">
        <v>166</v>
      </c>
      <c r="BA247" t="s">
        <v>167</v>
      </c>
      <c r="BB247" t="s">
        <v>168</v>
      </c>
      <c r="BD247">
        <f t="shared" si="20"/>
        <v>0</v>
      </c>
      <c r="BE247">
        <f t="shared" si="21"/>
        <v>0</v>
      </c>
      <c r="BF247">
        <f t="shared" si="22"/>
        <v>0</v>
      </c>
      <c r="BG247">
        <f t="shared" si="23"/>
        <v>0</v>
      </c>
      <c r="BH247">
        <f t="shared" si="24"/>
        <v>0</v>
      </c>
      <c r="BI247">
        <f t="shared" si="25"/>
        <v>0</v>
      </c>
    </row>
    <row r="248" spans="2:61" x14ac:dyDescent="0.3">
      <c r="B248" s="15" t="s">
        <v>805</v>
      </c>
      <c r="J248" t="s">
        <v>548</v>
      </c>
      <c r="K248" s="17" t="s">
        <v>155</v>
      </c>
      <c r="L248" s="17" t="s">
        <v>155</v>
      </c>
      <c r="M248" s="17" t="s">
        <v>383</v>
      </c>
      <c r="N248" s="17" t="s">
        <v>155</v>
      </c>
      <c r="O248" s="17" t="s">
        <v>155</v>
      </c>
      <c r="Y248" s="15" t="s">
        <v>805</v>
      </c>
      <c r="AW248" t="s">
        <v>548</v>
      </c>
      <c r="AX248" t="s">
        <v>155</v>
      </c>
      <c r="AY248" t="s">
        <v>155</v>
      </c>
      <c r="AZ248" t="s">
        <v>383</v>
      </c>
      <c r="BA248" t="s">
        <v>155</v>
      </c>
      <c r="BB248" t="s">
        <v>155</v>
      </c>
      <c r="BD248">
        <f t="shared" si="20"/>
        <v>0</v>
      </c>
      <c r="BE248">
        <f t="shared" si="21"/>
        <v>0</v>
      </c>
      <c r="BF248">
        <f t="shared" si="22"/>
        <v>0</v>
      </c>
      <c r="BG248">
        <f t="shared" si="23"/>
        <v>0</v>
      </c>
      <c r="BH248">
        <f t="shared" si="24"/>
        <v>0</v>
      </c>
      <c r="BI248">
        <f t="shared" si="25"/>
        <v>0</v>
      </c>
    </row>
    <row r="249" spans="2:61" x14ac:dyDescent="0.3">
      <c r="C249" s="17" t="s">
        <v>164</v>
      </c>
      <c r="D249" s="17" t="s">
        <v>165</v>
      </c>
      <c r="E249" s="17" t="s">
        <v>166</v>
      </c>
      <c r="F249" s="17" t="s">
        <v>167</v>
      </c>
      <c r="G249" s="17" t="s">
        <v>168</v>
      </c>
      <c r="J249" t="s">
        <v>549</v>
      </c>
      <c r="K249" s="17" t="s">
        <v>383</v>
      </c>
      <c r="L249" s="17" t="s">
        <v>155</v>
      </c>
      <c r="M249" s="17" t="s">
        <v>383</v>
      </c>
      <c r="N249" s="17" t="s">
        <v>155</v>
      </c>
      <c r="O249" s="17" t="s">
        <v>155</v>
      </c>
      <c r="Z249" s="17" t="s">
        <v>164</v>
      </c>
      <c r="AA249" s="17" t="s">
        <v>165</v>
      </c>
      <c r="AB249" s="17" t="s">
        <v>166</v>
      </c>
      <c r="AC249" s="17" t="s">
        <v>167</v>
      </c>
      <c r="AD249" s="17" t="s">
        <v>168</v>
      </c>
      <c r="AG249" t="s">
        <v>758</v>
      </c>
      <c r="AW249" t="s">
        <v>549</v>
      </c>
      <c r="AX249" t="s">
        <v>383</v>
      </c>
      <c r="AY249" t="s">
        <v>155</v>
      </c>
      <c r="AZ249" t="s">
        <v>383</v>
      </c>
      <c r="BA249" t="s">
        <v>155</v>
      </c>
      <c r="BB249" t="s">
        <v>155</v>
      </c>
      <c r="BD249">
        <f t="shared" si="20"/>
        <v>0</v>
      </c>
      <c r="BE249">
        <f t="shared" si="21"/>
        <v>0</v>
      </c>
      <c r="BF249">
        <f t="shared" si="22"/>
        <v>0</v>
      </c>
      <c r="BG249">
        <f t="shared" si="23"/>
        <v>0</v>
      </c>
      <c r="BH249">
        <f t="shared" si="24"/>
        <v>0</v>
      </c>
      <c r="BI249">
        <f t="shared" si="25"/>
        <v>0</v>
      </c>
    </row>
    <row r="250" spans="2:61" x14ac:dyDescent="0.3">
      <c r="B250" s="15" t="s">
        <v>555</v>
      </c>
      <c r="C250" s="17" t="s">
        <v>155</v>
      </c>
      <c r="D250" s="17" t="s">
        <v>155</v>
      </c>
      <c r="E250" s="17" t="s">
        <v>935</v>
      </c>
      <c r="F250" s="17" t="s">
        <v>815</v>
      </c>
      <c r="G250" s="17" t="s">
        <v>934</v>
      </c>
      <c r="J250" t="s">
        <v>550</v>
      </c>
      <c r="K250" s="17" t="s">
        <v>383</v>
      </c>
      <c r="L250" s="17" t="s">
        <v>155</v>
      </c>
      <c r="M250" s="17" t="s">
        <v>155</v>
      </c>
      <c r="N250" s="17" t="s">
        <v>155</v>
      </c>
      <c r="O250" s="17" t="s">
        <v>155</v>
      </c>
      <c r="Y250" s="15" t="s">
        <v>555</v>
      </c>
      <c r="Z250" s="17" t="s">
        <v>934</v>
      </c>
      <c r="AA250" s="17" t="s">
        <v>155</v>
      </c>
      <c r="AB250" s="17" t="s">
        <v>937</v>
      </c>
      <c r="AC250" s="17" t="s">
        <v>815</v>
      </c>
      <c r="AD250" s="17" t="s">
        <v>155</v>
      </c>
      <c r="AH250" s="17" t="s">
        <v>164</v>
      </c>
      <c r="AI250" s="17" t="s">
        <v>165</v>
      </c>
      <c r="AJ250" s="17" t="s">
        <v>166</v>
      </c>
      <c r="AK250" s="17" t="s">
        <v>167</v>
      </c>
      <c r="AL250" s="17" t="s">
        <v>168</v>
      </c>
      <c r="AW250" t="s">
        <v>550</v>
      </c>
      <c r="AX250" t="s">
        <v>383</v>
      </c>
      <c r="AY250" t="s">
        <v>155</v>
      </c>
      <c r="AZ250" t="s">
        <v>155</v>
      </c>
      <c r="BA250" t="s">
        <v>155</v>
      </c>
      <c r="BB250" t="s">
        <v>155</v>
      </c>
      <c r="BD250">
        <f t="shared" si="20"/>
        <v>0</v>
      </c>
      <c r="BE250">
        <f t="shared" si="21"/>
        <v>0</v>
      </c>
      <c r="BF250">
        <f t="shared" si="22"/>
        <v>0</v>
      </c>
      <c r="BG250">
        <f t="shared" si="23"/>
        <v>0</v>
      </c>
      <c r="BH250">
        <f t="shared" si="24"/>
        <v>0</v>
      </c>
      <c r="BI250">
        <f t="shared" si="25"/>
        <v>0</v>
      </c>
    </row>
    <row r="251" spans="2:61" x14ac:dyDescent="0.3">
      <c r="B251" s="15" t="s">
        <v>556</v>
      </c>
      <c r="C251" s="17" t="s">
        <v>155</v>
      </c>
      <c r="D251" s="17" t="s">
        <v>936</v>
      </c>
      <c r="E251" s="17" t="s">
        <v>1045</v>
      </c>
      <c r="F251" s="17" t="s">
        <v>815</v>
      </c>
      <c r="G251" s="17" t="s">
        <v>934</v>
      </c>
      <c r="Y251" s="15" t="s">
        <v>556</v>
      </c>
      <c r="Z251" s="17" t="s">
        <v>934</v>
      </c>
      <c r="AA251" s="17" t="s">
        <v>936</v>
      </c>
      <c r="AB251" s="17" t="s">
        <v>937</v>
      </c>
      <c r="AC251" s="17" t="s">
        <v>815</v>
      </c>
      <c r="AD251" s="17" t="s">
        <v>155</v>
      </c>
      <c r="AG251" t="s">
        <v>548</v>
      </c>
      <c r="AH251" s="17" t="s">
        <v>155</v>
      </c>
      <c r="AI251" s="17" t="s">
        <v>155</v>
      </c>
      <c r="AJ251" s="17" t="s">
        <v>383</v>
      </c>
      <c r="AK251" s="17" t="s">
        <v>155</v>
      </c>
      <c r="AL251" s="17" t="s">
        <v>155</v>
      </c>
      <c r="BD251">
        <f t="shared" si="20"/>
        <v>0</v>
      </c>
      <c r="BE251">
        <f t="shared" si="21"/>
        <v>0</v>
      </c>
      <c r="BF251">
        <f t="shared" si="22"/>
        <v>0</v>
      </c>
      <c r="BG251">
        <f t="shared" si="23"/>
        <v>0</v>
      </c>
      <c r="BH251">
        <f t="shared" si="24"/>
        <v>0</v>
      </c>
      <c r="BI251">
        <f t="shared" si="25"/>
        <v>0</v>
      </c>
    </row>
    <row r="252" spans="2:61" x14ac:dyDescent="0.3">
      <c r="B252" s="15" t="s">
        <v>557</v>
      </c>
      <c r="C252" s="17" t="s">
        <v>806</v>
      </c>
      <c r="D252" s="17" t="s">
        <v>1046</v>
      </c>
      <c r="E252" s="17" t="s">
        <v>1045</v>
      </c>
      <c r="F252" s="17" t="s">
        <v>815</v>
      </c>
      <c r="G252" s="17" t="s">
        <v>1039</v>
      </c>
      <c r="J252" t="s">
        <v>713</v>
      </c>
      <c r="Y252" s="15" t="s">
        <v>557</v>
      </c>
      <c r="Z252" s="17" t="s">
        <v>806</v>
      </c>
      <c r="AA252" s="17" t="s">
        <v>938</v>
      </c>
      <c r="AB252" s="17" t="s">
        <v>935</v>
      </c>
      <c r="AC252" s="17" t="s">
        <v>815</v>
      </c>
      <c r="AD252" s="17" t="s">
        <v>922</v>
      </c>
      <c r="AG252" t="s">
        <v>549</v>
      </c>
      <c r="AH252" s="17" t="s">
        <v>155</v>
      </c>
      <c r="AI252" s="17" t="s">
        <v>155</v>
      </c>
      <c r="AJ252" s="17" t="s">
        <v>383</v>
      </c>
      <c r="AK252" s="17" t="s">
        <v>155</v>
      </c>
      <c r="AL252" s="17" t="s">
        <v>383</v>
      </c>
      <c r="AW252" t="s">
        <v>713</v>
      </c>
      <c r="BD252">
        <f t="shared" si="20"/>
        <v>0</v>
      </c>
      <c r="BE252">
        <f t="shared" si="21"/>
        <v>0</v>
      </c>
      <c r="BF252">
        <f t="shared" si="22"/>
        <v>0</v>
      </c>
      <c r="BG252">
        <f t="shared" si="23"/>
        <v>0</v>
      </c>
      <c r="BH252">
        <f t="shared" si="24"/>
        <v>0</v>
      </c>
      <c r="BI252">
        <f t="shared" si="25"/>
        <v>0</v>
      </c>
    </row>
    <row r="253" spans="2:61" x14ac:dyDescent="0.3">
      <c r="B253" s="15" t="s">
        <v>542</v>
      </c>
      <c r="C253" s="17" t="s">
        <v>806</v>
      </c>
      <c r="D253" s="17" t="s">
        <v>1047</v>
      </c>
      <c r="E253" s="17" t="s">
        <v>807</v>
      </c>
      <c r="F253" s="17" t="s">
        <v>806</v>
      </c>
      <c r="G253" s="17" t="s">
        <v>1039</v>
      </c>
      <c r="K253" s="17" t="s">
        <v>164</v>
      </c>
      <c r="L253" s="17" t="s">
        <v>165</v>
      </c>
      <c r="M253" s="17" t="s">
        <v>166</v>
      </c>
      <c r="N253" s="17" t="s">
        <v>167</v>
      </c>
      <c r="O253" s="17" t="s">
        <v>168</v>
      </c>
      <c r="Y253" s="15" t="s">
        <v>542</v>
      </c>
      <c r="Z253" s="17" t="s">
        <v>806</v>
      </c>
      <c r="AA253" s="17" t="s">
        <v>939</v>
      </c>
      <c r="AB253" s="17" t="s">
        <v>807</v>
      </c>
      <c r="AC253" s="17" t="s">
        <v>806</v>
      </c>
      <c r="AD253" s="17" t="s">
        <v>922</v>
      </c>
      <c r="AG253" t="s">
        <v>550</v>
      </c>
      <c r="AH253" s="17" t="s">
        <v>155</v>
      </c>
      <c r="AI253" s="17" t="s">
        <v>155</v>
      </c>
      <c r="AJ253" s="17" t="s">
        <v>155</v>
      </c>
      <c r="AK253" s="17" t="s">
        <v>155</v>
      </c>
      <c r="AL253" s="17" t="s">
        <v>383</v>
      </c>
      <c r="AX253" t="s">
        <v>164</v>
      </c>
      <c r="AY253" t="s">
        <v>165</v>
      </c>
      <c r="AZ253" t="s">
        <v>166</v>
      </c>
      <c r="BA253" t="s">
        <v>167</v>
      </c>
      <c r="BB253" t="s">
        <v>168</v>
      </c>
      <c r="BD253">
        <f t="shared" si="20"/>
        <v>0</v>
      </c>
      <c r="BE253">
        <f t="shared" si="21"/>
        <v>0</v>
      </c>
      <c r="BF253">
        <f t="shared" si="22"/>
        <v>0</v>
      </c>
      <c r="BG253">
        <f t="shared" si="23"/>
        <v>0</v>
      </c>
      <c r="BH253">
        <f t="shared" si="24"/>
        <v>0</v>
      </c>
      <c r="BI253">
        <f t="shared" si="25"/>
        <v>0</v>
      </c>
    </row>
    <row r="254" spans="2:61" x14ac:dyDescent="0.3">
      <c r="B254" s="15" t="s">
        <v>543</v>
      </c>
      <c r="C254" s="17" t="s">
        <v>923</v>
      </c>
      <c r="D254" s="17" t="s">
        <v>807</v>
      </c>
      <c r="E254" s="17" t="s">
        <v>807</v>
      </c>
      <c r="F254" s="17" t="s">
        <v>806</v>
      </c>
      <c r="G254" s="17" t="s">
        <v>809</v>
      </c>
      <c r="J254" t="s">
        <v>550</v>
      </c>
      <c r="K254" s="17" t="s">
        <v>155</v>
      </c>
      <c r="L254" s="17" t="s">
        <v>155</v>
      </c>
      <c r="M254" s="17" t="s">
        <v>155</v>
      </c>
      <c r="N254" s="17" t="s">
        <v>8</v>
      </c>
      <c r="O254" s="17" t="s">
        <v>155</v>
      </c>
      <c r="Y254" s="15" t="s">
        <v>543</v>
      </c>
      <c r="Z254" s="17" t="s">
        <v>923</v>
      </c>
      <c r="AA254" s="17" t="s">
        <v>807</v>
      </c>
      <c r="AB254" s="17" t="s">
        <v>807</v>
      </c>
      <c r="AC254" s="17" t="s">
        <v>806</v>
      </c>
      <c r="AD254" s="17" t="s">
        <v>809</v>
      </c>
      <c r="AW254" t="s">
        <v>550</v>
      </c>
      <c r="AX254" t="s">
        <v>155</v>
      </c>
      <c r="AY254" t="s">
        <v>155</v>
      </c>
      <c r="AZ254" t="s">
        <v>155</v>
      </c>
      <c r="BA254" t="s">
        <v>8</v>
      </c>
      <c r="BB254" t="s">
        <v>155</v>
      </c>
      <c r="BD254">
        <f t="shared" si="20"/>
        <v>0</v>
      </c>
      <c r="BE254">
        <f t="shared" si="21"/>
        <v>0</v>
      </c>
      <c r="BF254">
        <f t="shared" si="22"/>
        <v>0</v>
      </c>
      <c r="BG254">
        <f t="shared" si="23"/>
        <v>0</v>
      </c>
      <c r="BH254">
        <f t="shared" si="24"/>
        <v>0</v>
      </c>
      <c r="BI254">
        <f t="shared" si="25"/>
        <v>0</v>
      </c>
    </row>
    <row r="255" spans="2:61" x14ac:dyDescent="0.3">
      <c r="B255" s="15" t="s">
        <v>544</v>
      </c>
      <c r="C255" s="17" t="s">
        <v>924</v>
      </c>
      <c r="D255" s="17" t="s">
        <v>807</v>
      </c>
      <c r="E255" s="17" t="s">
        <v>809</v>
      </c>
      <c r="F255" s="17" t="s">
        <v>925</v>
      </c>
      <c r="G255" s="17" t="s">
        <v>809</v>
      </c>
      <c r="J255" t="s">
        <v>158</v>
      </c>
      <c r="K255" s="17" t="s">
        <v>155</v>
      </c>
      <c r="L255" s="17" t="s">
        <v>8</v>
      </c>
      <c r="M255" s="17" t="s">
        <v>155</v>
      </c>
      <c r="N255" s="17" t="s">
        <v>8</v>
      </c>
      <c r="O255" s="17" t="s">
        <v>155</v>
      </c>
      <c r="Y255" s="15" t="s">
        <v>544</v>
      </c>
      <c r="Z255" s="17" t="s">
        <v>924</v>
      </c>
      <c r="AA255" s="17" t="s">
        <v>807</v>
      </c>
      <c r="AB255" s="17" t="s">
        <v>809</v>
      </c>
      <c r="AC255" s="17" t="s">
        <v>925</v>
      </c>
      <c r="AD255" s="17" t="s">
        <v>809</v>
      </c>
      <c r="AG255" t="s">
        <v>713</v>
      </c>
      <c r="AW255" t="s">
        <v>158</v>
      </c>
      <c r="AX255" t="s">
        <v>155</v>
      </c>
      <c r="AY255" t="s">
        <v>8</v>
      </c>
      <c r="AZ255" t="s">
        <v>155</v>
      </c>
      <c r="BA255" t="s">
        <v>8</v>
      </c>
      <c r="BB255" t="s">
        <v>155</v>
      </c>
      <c r="BD255">
        <f t="shared" si="20"/>
        <v>0</v>
      </c>
      <c r="BE255">
        <f t="shared" si="21"/>
        <v>0</v>
      </c>
      <c r="BF255">
        <f t="shared" si="22"/>
        <v>0</v>
      </c>
      <c r="BG255">
        <f t="shared" si="23"/>
        <v>0</v>
      </c>
      <c r="BH255">
        <f t="shared" si="24"/>
        <v>0</v>
      </c>
      <c r="BI255">
        <f t="shared" si="25"/>
        <v>0</v>
      </c>
    </row>
    <row r="256" spans="2:61" x14ac:dyDescent="0.3">
      <c r="B256" s="15" t="s">
        <v>545</v>
      </c>
      <c r="C256" s="17" t="s">
        <v>925</v>
      </c>
      <c r="D256" s="17" t="s">
        <v>155</v>
      </c>
      <c r="E256" s="17" t="s">
        <v>809</v>
      </c>
      <c r="F256" s="17" t="s">
        <v>925</v>
      </c>
      <c r="G256" s="17" t="s">
        <v>809</v>
      </c>
      <c r="J256" t="s">
        <v>159</v>
      </c>
      <c r="K256" s="17" t="s">
        <v>155</v>
      </c>
      <c r="L256" s="17" t="s">
        <v>8</v>
      </c>
      <c r="M256" s="17" t="s">
        <v>155</v>
      </c>
      <c r="N256" s="17" t="s">
        <v>155</v>
      </c>
      <c r="O256" s="17" t="s">
        <v>155</v>
      </c>
      <c r="Y256" s="15" t="s">
        <v>545</v>
      </c>
      <c r="Z256" s="17" t="s">
        <v>925</v>
      </c>
      <c r="AA256" s="17" t="s">
        <v>155</v>
      </c>
      <c r="AB256" s="17" t="s">
        <v>809</v>
      </c>
      <c r="AC256" s="17" t="s">
        <v>925</v>
      </c>
      <c r="AD256" s="17" t="s">
        <v>809</v>
      </c>
      <c r="AH256" s="17" t="s">
        <v>164</v>
      </c>
      <c r="AI256" s="17" t="s">
        <v>165</v>
      </c>
      <c r="AJ256" s="17" t="s">
        <v>166</v>
      </c>
      <c r="AK256" s="17" t="s">
        <v>167</v>
      </c>
      <c r="AL256" s="17" t="s">
        <v>168</v>
      </c>
      <c r="AW256" t="s">
        <v>159</v>
      </c>
      <c r="AX256" t="s">
        <v>155</v>
      </c>
      <c r="AY256" t="s">
        <v>8</v>
      </c>
      <c r="AZ256" t="s">
        <v>155</v>
      </c>
      <c r="BA256" t="s">
        <v>155</v>
      </c>
      <c r="BB256" t="s">
        <v>155</v>
      </c>
      <c r="BD256">
        <f t="shared" si="20"/>
        <v>0</v>
      </c>
      <c r="BE256">
        <f t="shared" si="21"/>
        <v>0</v>
      </c>
      <c r="BF256">
        <f t="shared" si="22"/>
        <v>0</v>
      </c>
      <c r="BG256">
        <f t="shared" si="23"/>
        <v>0</v>
      </c>
      <c r="BH256">
        <f t="shared" si="24"/>
        <v>0</v>
      </c>
      <c r="BI256">
        <f t="shared" si="25"/>
        <v>0</v>
      </c>
    </row>
    <row r="257" spans="2:61" x14ac:dyDescent="0.3">
      <c r="J257" t="s">
        <v>160</v>
      </c>
      <c r="K257" s="17" t="s">
        <v>155</v>
      </c>
      <c r="L257" s="17" t="s">
        <v>8</v>
      </c>
      <c r="M257" s="17" t="s">
        <v>155</v>
      </c>
      <c r="N257" s="17" t="s">
        <v>155</v>
      </c>
      <c r="O257" s="17" t="s">
        <v>155</v>
      </c>
      <c r="AG257" t="s">
        <v>550</v>
      </c>
      <c r="AH257" s="17" t="s">
        <v>155</v>
      </c>
      <c r="AI257" s="17" t="s">
        <v>155</v>
      </c>
      <c r="AJ257" s="17" t="s">
        <v>155</v>
      </c>
      <c r="AK257" s="17" t="s">
        <v>8</v>
      </c>
      <c r="AL257" s="17" t="s">
        <v>155</v>
      </c>
      <c r="AW257" t="s">
        <v>160</v>
      </c>
      <c r="AX257" t="s">
        <v>155</v>
      </c>
      <c r="AY257" t="s">
        <v>8</v>
      </c>
      <c r="AZ257" t="s">
        <v>155</v>
      </c>
      <c r="BA257" t="s">
        <v>155</v>
      </c>
      <c r="BB257" t="s">
        <v>155</v>
      </c>
      <c r="BD257">
        <f t="shared" si="20"/>
        <v>0</v>
      </c>
      <c r="BE257">
        <f t="shared" si="21"/>
        <v>0</v>
      </c>
      <c r="BF257">
        <f t="shared" si="22"/>
        <v>0</v>
      </c>
      <c r="BG257">
        <f t="shared" si="23"/>
        <v>0</v>
      </c>
      <c r="BH257">
        <f t="shared" si="24"/>
        <v>0</v>
      </c>
      <c r="BI257">
        <f t="shared" si="25"/>
        <v>0</v>
      </c>
    </row>
    <row r="258" spans="2:61" x14ac:dyDescent="0.3">
      <c r="B258" s="15" t="s">
        <v>810</v>
      </c>
      <c r="J258" t="s">
        <v>554</v>
      </c>
      <c r="K258" s="17" t="s">
        <v>155</v>
      </c>
      <c r="L258" s="17" t="s">
        <v>22</v>
      </c>
      <c r="M258" s="17" t="s">
        <v>155</v>
      </c>
      <c r="N258" s="17" t="s">
        <v>22</v>
      </c>
      <c r="O258" s="17" t="s">
        <v>155</v>
      </c>
      <c r="Y258" s="15" t="s">
        <v>810</v>
      </c>
      <c r="AG258" t="s">
        <v>158</v>
      </c>
      <c r="AH258" s="17" t="s">
        <v>155</v>
      </c>
      <c r="AI258" s="17" t="s">
        <v>8</v>
      </c>
      <c r="AJ258" s="17" t="s">
        <v>155</v>
      </c>
      <c r="AK258" s="17" t="s">
        <v>8</v>
      </c>
      <c r="AL258" s="17" t="s">
        <v>155</v>
      </c>
      <c r="AW258" t="s">
        <v>554</v>
      </c>
      <c r="AX258" t="s">
        <v>155</v>
      </c>
      <c r="AY258" t="s">
        <v>22</v>
      </c>
      <c r="AZ258" t="s">
        <v>155</v>
      </c>
      <c r="BA258" t="s">
        <v>22</v>
      </c>
      <c r="BB258" t="s">
        <v>155</v>
      </c>
      <c r="BD258">
        <f t="shared" si="20"/>
        <v>0</v>
      </c>
      <c r="BE258">
        <f t="shared" si="21"/>
        <v>0</v>
      </c>
      <c r="BF258">
        <f t="shared" si="22"/>
        <v>0</v>
      </c>
      <c r="BG258">
        <f t="shared" si="23"/>
        <v>0</v>
      </c>
      <c r="BH258">
        <f t="shared" si="24"/>
        <v>0</v>
      </c>
      <c r="BI258">
        <f t="shared" si="25"/>
        <v>0</v>
      </c>
    </row>
    <row r="259" spans="2:61" x14ac:dyDescent="0.3">
      <c r="C259" s="17" t="s">
        <v>164</v>
      </c>
      <c r="D259" s="17" t="s">
        <v>165</v>
      </c>
      <c r="E259" s="17" t="s">
        <v>166</v>
      </c>
      <c r="F259" s="17" t="s">
        <v>167</v>
      </c>
      <c r="G259" s="17" t="s">
        <v>168</v>
      </c>
      <c r="J259" t="s">
        <v>555</v>
      </c>
      <c r="K259" s="17" t="s">
        <v>155</v>
      </c>
      <c r="L259" s="17" t="s">
        <v>22</v>
      </c>
      <c r="M259" s="17" t="s">
        <v>155</v>
      </c>
      <c r="N259" s="17" t="s">
        <v>22</v>
      </c>
      <c r="O259" s="17" t="s">
        <v>155</v>
      </c>
      <c r="Z259" s="17" t="s">
        <v>164</v>
      </c>
      <c r="AA259" s="17" t="s">
        <v>165</v>
      </c>
      <c r="AB259" s="17" t="s">
        <v>166</v>
      </c>
      <c r="AC259" s="17" t="s">
        <v>167</v>
      </c>
      <c r="AD259" s="17" t="s">
        <v>168</v>
      </c>
      <c r="AG259" t="s">
        <v>159</v>
      </c>
      <c r="AH259" s="17" t="s">
        <v>155</v>
      </c>
      <c r="AI259" s="17" t="s">
        <v>8</v>
      </c>
      <c r="AJ259" s="17" t="s">
        <v>155</v>
      </c>
      <c r="AK259" s="17" t="s">
        <v>155</v>
      </c>
      <c r="AL259" s="17" t="s">
        <v>155</v>
      </c>
      <c r="AW259" t="s">
        <v>555</v>
      </c>
      <c r="AX259" t="s">
        <v>155</v>
      </c>
      <c r="AY259" t="s">
        <v>22</v>
      </c>
      <c r="AZ259" t="s">
        <v>155</v>
      </c>
      <c r="BA259" t="s">
        <v>22</v>
      </c>
      <c r="BB259" t="s">
        <v>155</v>
      </c>
      <c r="BD259">
        <f t="shared" si="20"/>
        <v>0</v>
      </c>
      <c r="BE259">
        <f t="shared" si="21"/>
        <v>0</v>
      </c>
      <c r="BF259">
        <f t="shared" si="22"/>
        <v>0</v>
      </c>
      <c r="BG259">
        <f t="shared" si="23"/>
        <v>0</v>
      </c>
      <c r="BH259">
        <f t="shared" si="24"/>
        <v>0</v>
      </c>
      <c r="BI259">
        <f t="shared" si="25"/>
        <v>0</v>
      </c>
    </row>
    <row r="260" spans="2:61" x14ac:dyDescent="0.3">
      <c r="B260" s="15" t="s">
        <v>555</v>
      </c>
      <c r="C260" s="17" t="s">
        <v>811</v>
      </c>
      <c r="D260" s="17" t="s">
        <v>940</v>
      </c>
      <c r="E260" s="17" t="s">
        <v>1048</v>
      </c>
      <c r="F260" s="17" t="s">
        <v>815</v>
      </c>
      <c r="G260" s="17" t="s">
        <v>811</v>
      </c>
      <c r="J260" t="s">
        <v>556</v>
      </c>
      <c r="K260" s="17" t="s">
        <v>155</v>
      </c>
      <c r="L260" s="17" t="s">
        <v>23</v>
      </c>
      <c r="M260" s="17" t="s">
        <v>155</v>
      </c>
      <c r="N260" s="17" t="s">
        <v>22</v>
      </c>
      <c r="O260" s="17" t="s">
        <v>155</v>
      </c>
      <c r="Y260" s="15" t="s">
        <v>555</v>
      </c>
      <c r="Z260" s="17" t="s">
        <v>811</v>
      </c>
      <c r="AA260" s="17" t="s">
        <v>940</v>
      </c>
      <c r="AB260" s="17" t="s">
        <v>935</v>
      </c>
      <c r="AC260" s="17" t="s">
        <v>815</v>
      </c>
      <c r="AD260" s="17" t="s">
        <v>811</v>
      </c>
      <c r="AG260" t="s">
        <v>160</v>
      </c>
      <c r="AH260" s="17" t="s">
        <v>155</v>
      </c>
      <c r="AI260" s="17" t="s">
        <v>8</v>
      </c>
      <c r="AJ260" s="17" t="s">
        <v>155</v>
      </c>
      <c r="AK260" s="17" t="s">
        <v>155</v>
      </c>
      <c r="AL260" s="17" t="s">
        <v>155</v>
      </c>
      <c r="AW260" t="s">
        <v>556</v>
      </c>
      <c r="AX260" t="s">
        <v>155</v>
      </c>
      <c r="AY260" t="s">
        <v>23</v>
      </c>
      <c r="AZ260" t="s">
        <v>155</v>
      </c>
      <c r="BA260" t="s">
        <v>22</v>
      </c>
      <c r="BB260" t="s">
        <v>155</v>
      </c>
      <c r="BD260">
        <f t="shared" si="20"/>
        <v>0</v>
      </c>
      <c r="BE260">
        <f t="shared" si="21"/>
        <v>0</v>
      </c>
      <c r="BF260">
        <f t="shared" si="22"/>
        <v>0</v>
      </c>
      <c r="BG260">
        <f t="shared" si="23"/>
        <v>0</v>
      </c>
      <c r="BH260">
        <f t="shared" si="24"/>
        <v>0</v>
      </c>
      <c r="BI260">
        <f t="shared" si="25"/>
        <v>0</v>
      </c>
    </row>
    <row r="261" spans="2:61" x14ac:dyDescent="0.3">
      <c r="B261" s="15" t="s">
        <v>556</v>
      </c>
      <c r="C261" s="17" t="s">
        <v>811</v>
      </c>
      <c r="D261" s="17" t="s">
        <v>941</v>
      </c>
      <c r="E261" s="17" t="s">
        <v>1048</v>
      </c>
      <c r="F261" s="17" t="s">
        <v>815</v>
      </c>
      <c r="G261" s="17" t="s">
        <v>811</v>
      </c>
      <c r="J261" t="s">
        <v>557</v>
      </c>
      <c r="K261" s="17" t="s">
        <v>155</v>
      </c>
      <c r="L261" s="17" t="s">
        <v>23</v>
      </c>
      <c r="M261" s="17" t="s">
        <v>155</v>
      </c>
      <c r="N261" s="17" t="s">
        <v>155</v>
      </c>
      <c r="O261" s="17" t="s">
        <v>155</v>
      </c>
      <c r="Y261" s="15" t="s">
        <v>556</v>
      </c>
      <c r="Z261" s="17" t="s">
        <v>811</v>
      </c>
      <c r="AA261" s="17" t="s">
        <v>941</v>
      </c>
      <c r="AB261" s="17" t="s">
        <v>935</v>
      </c>
      <c r="AC261" s="17" t="s">
        <v>815</v>
      </c>
      <c r="AD261" s="17" t="s">
        <v>811</v>
      </c>
      <c r="AG261" t="s">
        <v>554</v>
      </c>
      <c r="AH261" s="17" t="s">
        <v>155</v>
      </c>
      <c r="AI261" s="17" t="s">
        <v>22</v>
      </c>
      <c r="AJ261" s="17" t="s">
        <v>155</v>
      </c>
      <c r="AK261" s="17" t="s">
        <v>22</v>
      </c>
      <c r="AL261" s="17" t="s">
        <v>155</v>
      </c>
      <c r="AW261" t="s">
        <v>557</v>
      </c>
      <c r="AX261" t="s">
        <v>155</v>
      </c>
      <c r="AY261" t="s">
        <v>23</v>
      </c>
      <c r="AZ261" t="s">
        <v>155</v>
      </c>
      <c r="BA261" t="s">
        <v>155</v>
      </c>
      <c r="BB261" t="s">
        <v>155</v>
      </c>
      <c r="BD261">
        <f t="shared" si="20"/>
        <v>0</v>
      </c>
      <c r="BE261">
        <f t="shared" si="21"/>
        <v>0</v>
      </c>
      <c r="BF261">
        <f t="shared" si="22"/>
        <v>0</v>
      </c>
      <c r="BG261">
        <f t="shared" si="23"/>
        <v>0</v>
      </c>
      <c r="BH261">
        <f t="shared" si="24"/>
        <v>0</v>
      </c>
      <c r="BI261">
        <f t="shared" si="25"/>
        <v>0</v>
      </c>
    </row>
    <row r="262" spans="2:61" x14ac:dyDescent="0.3">
      <c r="B262" s="15" t="s">
        <v>557</v>
      </c>
      <c r="C262" s="17" t="s">
        <v>811</v>
      </c>
      <c r="D262" s="17" t="s">
        <v>1047</v>
      </c>
      <c r="E262" s="17" t="s">
        <v>935</v>
      </c>
      <c r="F262" s="17" t="s">
        <v>815</v>
      </c>
      <c r="G262" s="17" t="s">
        <v>813</v>
      </c>
      <c r="Y262" s="15" t="s">
        <v>557</v>
      </c>
      <c r="Z262" s="17" t="s">
        <v>811</v>
      </c>
      <c r="AA262" s="17" t="s">
        <v>939</v>
      </c>
      <c r="AB262" s="17" t="s">
        <v>935</v>
      </c>
      <c r="AC262" s="17" t="s">
        <v>815</v>
      </c>
      <c r="AD262" s="17" t="s">
        <v>813</v>
      </c>
      <c r="AG262" t="s">
        <v>555</v>
      </c>
      <c r="AH262" s="17" t="s">
        <v>155</v>
      </c>
      <c r="AI262" s="17" t="s">
        <v>22</v>
      </c>
      <c r="AJ262" s="17" t="s">
        <v>155</v>
      </c>
      <c r="AK262" s="17" t="s">
        <v>22</v>
      </c>
      <c r="AL262" s="17" t="s">
        <v>155</v>
      </c>
      <c r="BD262">
        <f t="shared" si="20"/>
        <v>0</v>
      </c>
      <c r="BE262">
        <f t="shared" si="21"/>
        <v>0</v>
      </c>
      <c r="BF262">
        <f t="shared" si="22"/>
        <v>0</v>
      </c>
      <c r="BG262">
        <f t="shared" si="23"/>
        <v>0</v>
      </c>
      <c r="BH262">
        <f t="shared" si="24"/>
        <v>0</v>
      </c>
      <c r="BI262">
        <f t="shared" si="25"/>
        <v>0</v>
      </c>
    </row>
    <row r="263" spans="2:61" x14ac:dyDescent="0.3">
      <c r="B263" s="15" t="s">
        <v>542</v>
      </c>
      <c r="C263" s="17" t="s">
        <v>812</v>
      </c>
      <c r="D263" s="17" t="s">
        <v>1047</v>
      </c>
      <c r="E263" s="17" t="s">
        <v>813</v>
      </c>
      <c r="F263" s="17" t="s">
        <v>812</v>
      </c>
      <c r="G263" s="17" t="s">
        <v>813</v>
      </c>
      <c r="J263" t="s">
        <v>826</v>
      </c>
      <c r="Y263" s="15" t="s">
        <v>542</v>
      </c>
      <c r="Z263" s="17" t="s">
        <v>812</v>
      </c>
      <c r="AA263" s="17" t="s">
        <v>939</v>
      </c>
      <c r="AB263" s="17" t="s">
        <v>813</v>
      </c>
      <c r="AC263" s="17" t="s">
        <v>812</v>
      </c>
      <c r="AD263" s="17" t="s">
        <v>813</v>
      </c>
      <c r="AG263" t="s">
        <v>556</v>
      </c>
      <c r="AH263" s="17" t="s">
        <v>155</v>
      </c>
      <c r="AI263" s="17" t="s">
        <v>23</v>
      </c>
      <c r="AJ263" s="17" t="s">
        <v>155</v>
      </c>
      <c r="AK263" s="17" t="s">
        <v>22</v>
      </c>
      <c r="AL263" s="17" t="s">
        <v>155</v>
      </c>
      <c r="AW263" t="s">
        <v>826</v>
      </c>
      <c r="BD263">
        <f t="shared" si="20"/>
        <v>0</v>
      </c>
      <c r="BE263">
        <f t="shared" si="21"/>
        <v>0</v>
      </c>
      <c r="BF263">
        <f t="shared" si="22"/>
        <v>0</v>
      </c>
      <c r="BG263">
        <f t="shared" si="23"/>
        <v>0</v>
      </c>
      <c r="BH263">
        <f t="shared" si="24"/>
        <v>0</v>
      </c>
      <c r="BI263">
        <f t="shared" si="25"/>
        <v>0</v>
      </c>
    </row>
    <row r="264" spans="2:61" x14ac:dyDescent="0.3">
      <c r="B264" s="15" t="s">
        <v>543</v>
      </c>
      <c r="C264" s="17" t="s">
        <v>812</v>
      </c>
      <c r="D264" s="17" t="s">
        <v>942</v>
      </c>
      <c r="E264" s="17" t="s">
        <v>813</v>
      </c>
      <c r="F264" s="17" t="s">
        <v>812</v>
      </c>
      <c r="G264" s="17" t="s">
        <v>930</v>
      </c>
      <c r="K264" s="17" t="s">
        <v>164</v>
      </c>
      <c r="L264" s="17" t="s">
        <v>165</v>
      </c>
      <c r="M264" s="17" t="s">
        <v>166</v>
      </c>
      <c r="N264" s="17" t="s">
        <v>167</v>
      </c>
      <c r="O264" s="17" t="s">
        <v>168</v>
      </c>
      <c r="Y264" s="15" t="s">
        <v>543</v>
      </c>
      <c r="Z264" s="17" t="s">
        <v>812</v>
      </c>
      <c r="AA264" s="17" t="s">
        <v>942</v>
      </c>
      <c r="AB264" s="17" t="s">
        <v>813</v>
      </c>
      <c r="AC264" s="17" t="s">
        <v>812</v>
      </c>
      <c r="AD264" s="17" t="s">
        <v>930</v>
      </c>
      <c r="AG264" t="s">
        <v>557</v>
      </c>
      <c r="AH264" s="17" t="s">
        <v>155</v>
      </c>
      <c r="AI264" s="17" t="s">
        <v>23</v>
      </c>
      <c r="AJ264" s="17" t="s">
        <v>155</v>
      </c>
      <c r="AK264" s="17" t="s">
        <v>155</v>
      </c>
      <c r="AL264" s="17" t="s">
        <v>155</v>
      </c>
      <c r="AX264" t="s">
        <v>164</v>
      </c>
      <c r="AY264" t="s">
        <v>165</v>
      </c>
      <c r="AZ264" t="s">
        <v>166</v>
      </c>
      <c r="BA264" t="s">
        <v>167</v>
      </c>
      <c r="BB264" t="s">
        <v>168</v>
      </c>
      <c r="BD264">
        <f t="shared" si="20"/>
        <v>0</v>
      </c>
      <c r="BE264">
        <f t="shared" si="21"/>
        <v>0</v>
      </c>
      <c r="BF264">
        <f t="shared" si="22"/>
        <v>0</v>
      </c>
      <c r="BG264">
        <f t="shared" si="23"/>
        <v>0</v>
      </c>
      <c r="BH264">
        <f t="shared" si="24"/>
        <v>0</v>
      </c>
      <c r="BI264">
        <f t="shared" si="25"/>
        <v>0</v>
      </c>
    </row>
    <row r="265" spans="2:61" x14ac:dyDescent="0.3">
      <c r="B265" s="15" t="s">
        <v>544</v>
      </c>
      <c r="C265" s="17" t="s">
        <v>155</v>
      </c>
      <c r="D265" s="17" t="s">
        <v>942</v>
      </c>
      <c r="E265" s="17" t="s">
        <v>930</v>
      </c>
      <c r="F265" s="17" t="s">
        <v>812</v>
      </c>
      <c r="G265" s="17" t="s">
        <v>930</v>
      </c>
      <c r="J265" t="s">
        <v>557</v>
      </c>
      <c r="K265" s="17" t="s">
        <v>458</v>
      </c>
      <c r="L265" s="17" t="s">
        <v>155</v>
      </c>
      <c r="M265" s="17" t="s">
        <v>155</v>
      </c>
      <c r="N265" s="17" t="s">
        <v>155</v>
      </c>
      <c r="O265" s="17" t="s">
        <v>155</v>
      </c>
      <c r="Y265" s="15" t="s">
        <v>544</v>
      </c>
      <c r="Z265" s="17" t="s">
        <v>940</v>
      </c>
      <c r="AA265" s="17" t="s">
        <v>942</v>
      </c>
      <c r="AB265" s="17" t="s">
        <v>930</v>
      </c>
      <c r="AC265" s="17" t="s">
        <v>812</v>
      </c>
      <c r="AD265" s="17" t="s">
        <v>930</v>
      </c>
      <c r="AW265" t="s">
        <v>557</v>
      </c>
      <c r="AX265" t="s">
        <v>458</v>
      </c>
      <c r="AY265" t="s">
        <v>155</v>
      </c>
      <c r="AZ265" t="s">
        <v>155</v>
      </c>
      <c r="BA265" t="s">
        <v>155</v>
      </c>
      <c r="BB265" t="s">
        <v>155</v>
      </c>
      <c r="BD265">
        <f t="shared" ref="BD265:BD328" si="26">IF(J265=AW265,0,1)</f>
        <v>0</v>
      </c>
      <c r="BE265">
        <f t="shared" ref="BE265:BE328" si="27">IF(K265=AX265,0,1)</f>
        <v>0</v>
      </c>
      <c r="BF265">
        <f t="shared" ref="BF265:BF328" si="28">IF(L265=AY265,0,1)</f>
        <v>0</v>
      </c>
      <c r="BG265">
        <f t="shared" ref="BG265:BG328" si="29">IF(M265=AZ265,0,1)</f>
        <v>0</v>
      </c>
      <c r="BH265">
        <f t="shared" ref="BH265:BH328" si="30">IF(N265=BA265,0,1)</f>
        <v>0</v>
      </c>
      <c r="BI265">
        <f t="shared" ref="BI265:BI328" si="31">IF(O265=BB265,0,1)</f>
        <v>0</v>
      </c>
    </row>
    <row r="266" spans="2:61" x14ac:dyDescent="0.3">
      <c r="B266" s="15" t="s">
        <v>545</v>
      </c>
      <c r="C266" s="17" t="s">
        <v>155</v>
      </c>
      <c r="D266" s="17" t="s">
        <v>942</v>
      </c>
      <c r="E266" s="17" t="s">
        <v>930</v>
      </c>
      <c r="F266" s="17" t="s">
        <v>155</v>
      </c>
      <c r="G266" s="17" t="s">
        <v>930</v>
      </c>
      <c r="J266" t="s">
        <v>542</v>
      </c>
      <c r="K266" s="17" t="s">
        <v>458</v>
      </c>
      <c r="L266" s="17" t="s">
        <v>155</v>
      </c>
      <c r="M266" s="17" t="s">
        <v>155</v>
      </c>
      <c r="N266" s="17" t="s">
        <v>458</v>
      </c>
      <c r="O266" s="17" t="s">
        <v>155</v>
      </c>
      <c r="Y266" s="15" t="s">
        <v>545</v>
      </c>
      <c r="Z266" s="17" t="s">
        <v>940</v>
      </c>
      <c r="AA266" s="17" t="s">
        <v>942</v>
      </c>
      <c r="AB266" s="17" t="s">
        <v>930</v>
      </c>
      <c r="AC266" s="17" t="s">
        <v>155</v>
      </c>
      <c r="AD266" s="17" t="s">
        <v>930</v>
      </c>
      <c r="AG266" t="s">
        <v>826</v>
      </c>
      <c r="AW266" t="s">
        <v>542</v>
      </c>
      <c r="AX266" t="s">
        <v>458</v>
      </c>
      <c r="AY266" t="s">
        <v>155</v>
      </c>
      <c r="AZ266" t="s">
        <v>155</v>
      </c>
      <c r="BA266" t="s">
        <v>458</v>
      </c>
      <c r="BB266" t="s">
        <v>155</v>
      </c>
      <c r="BD266">
        <f t="shared" si="26"/>
        <v>0</v>
      </c>
      <c r="BE266">
        <f t="shared" si="27"/>
        <v>0</v>
      </c>
      <c r="BF266">
        <f t="shared" si="28"/>
        <v>0</v>
      </c>
      <c r="BG266">
        <f t="shared" si="29"/>
        <v>0</v>
      </c>
      <c r="BH266">
        <f t="shared" si="30"/>
        <v>0</v>
      </c>
      <c r="BI266">
        <f t="shared" si="31"/>
        <v>0</v>
      </c>
    </row>
    <row r="267" spans="2:61" x14ac:dyDescent="0.3">
      <c r="J267" t="s">
        <v>543</v>
      </c>
      <c r="K267" s="17" t="s">
        <v>155</v>
      </c>
      <c r="L267" s="17" t="s">
        <v>155</v>
      </c>
      <c r="M267" s="17" t="s">
        <v>155</v>
      </c>
      <c r="N267" s="17" t="s">
        <v>458</v>
      </c>
      <c r="O267" s="17" t="s">
        <v>155</v>
      </c>
      <c r="AH267" s="17" t="s">
        <v>164</v>
      </c>
      <c r="AI267" s="17" t="s">
        <v>165</v>
      </c>
      <c r="AJ267" s="17" t="s">
        <v>166</v>
      </c>
      <c r="AK267" s="17" t="s">
        <v>167</v>
      </c>
      <c r="AL267" s="17" t="s">
        <v>168</v>
      </c>
      <c r="AW267" t="s">
        <v>543</v>
      </c>
      <c r="AX267" t="s">
        <v>155</v>
      </c>
      <c r="AY267" t="s">
        <v>155</v>
      </c>
      <c r="AZ267" t="s">
        <v>155</v>
      </c>
      <c r="BA267" t="s">
        <v>458</v>
      </c>
      <c r="BB267" t="s">
        <v>155</v>
      </c>
      <c r="BD267">
        <f t="shared" si="26"/>
        <v>0</v>
      </c>
      <c r="BE267">
        <f t="shared" si="27"/>
        <v>0</v>
      </c>
      <c r="BF267">
        <f t="shared" si="28"/>
        <v>0</v>
      </c>
      <c r="BG267">
        <f t="shared" si="29"/>
        <v>0</v>
      </c>
      <c r="BH267">
        <f t="shared" si="30"/>
        <v>0</v>
      </c>
      <c r="BI267">
        <f t="shared" si="31"/>
        <v>0</v>
      </c>
    </row>
    <row r="268" spans="2:61" x14ac:dyDescent="0.3">
      <c r="B268" s="15" t="s">
        <v>814</v>
      </c>
      <c r="Y268" s="15" t="s">
        <v>814</v>
      </c>
      <c r="AG268" t="s">
        <v>557</v>
      </c>
      <c r="AH268" s="17" t="s">
        <v>458</v>
      </c>
      <c r="AI268" s="17" t="s">
        <v>155</v>
      </c>
      <c r="AJ268" s="17" t="s">
        <v>155</v>
      </c>
      <c r="AK268" s="17" t="s">
        <v>155</v>
      </c>
      <c r="AL268" s="17" t="s">
        <v>155</v>
      </c>
      <c r="BD268">
        <f t="shared" si="26"/>
        <v>0</v>
      </c>
      <c r="BE268">
        <f t="shared" si="27"/>
        <v>0</v>
      </c>
      <c r="BF268">
        <f t="shared" si="28"/>
        <v>0</v>
      </c>
      <c r="BG268">
        <f t="shared" si="29"/>
        <v>0</v>
      </c>
      <c r="BH268">
        <f t="shared" si="30"/>
        <v>0</v>
      </c>
      <c r="BI268">
        <f t="shared" si="31"/>
        <v>0</v>
      </c>
    </row>
    <row r="269" spans="2:61" x14ac:dyDescent="0.3">
      <c r="C269" s="17" t="s">
        <v>164</v>
      </c>
      <c r="D269" s="17" t="s">
        <v>165</v>
      </c>
      <c r="E269" s="17" t="s">
        <v>166</v>
      </c>
      <c r="F269" s="17" t="s">
        <v>167</v>
      </c>
      <c r="G269" s="17" t="s">
        <v>168</v>
      </c>
      <c r="J269" t="s">
        <v>744</v>
      </c>
      <c r="Z269" s="17" t="s">
        <v>164</v>
      </c>
      <c r="AA269" s="17" t="s">
        <v>165</v>
      </c>
      <c r="AB269" s="17" t="s">
        <v>166</v>
      </c>
      <c r="AC269" s="17" t="s">
        <v>167</v>
      </c>
      <c r="AD269" s="17" t="s">
        <v>168</v>
      </c>
      <c r="AG269" t="s">
        <v>542</v>
      </c>
      <c r="AH269" s="17" t="s">
        <v>458</v>
      </c>
      <c r="AI269" s="17" t="s">
        <v>155</v>
      </c>
      <c r="AJ269" s="17" t="s">
        <v>155</v>
      </c>
      <c r="AK269" s="17" t="s">
        <v>458</v>
      </c>
      <c r="AL269" s="17" t="s">
        <v>155</v>
      </c>
      <c r="AW269" t="s">
        <v>744</v>
      </c>
      <c r="BD269">
        <f t="shared" si="26"/>
        <v>0</v>
      </c>
      <c r="BE269">
        <f t="shared" si="27"/>
        <v>0</v>
      </c>
      <c r="BF269">
        <f t="shared" si="28"/>
        <v>0</v>
      </c>
      <c r="BG269">
        <f t="shared" si="29"/>
        <v>0</v>
      </c>
      <c r="BH269">
        <f t="shared" si="30"/>
        <v>0</v>
      </c>
      <c r="BI269">
        <f t="shared" si="31"/>
        <v>0</v>
      </c>
    </row>
    <row r="270" spans="2:61" x14ac:dyDescent="0.3">
      <c r="B270" s="15" t="s">
        <v>555</v>
      </c>
      <c r="C270" s="17" t="s">
        <v>800</v>
      </c>
      <c r="D270" s="17" t="s">
        <v>155</v>
      </c>
      <c r="E270" s="17" t="s">
        <v>1049</v>
      </c>
      <c r="F270" s="17" t="s">
        <v>816</v>
      </c>
      <c r="G270" s="17" t="s">
        <v>943</v>
      </c>
      <c r="K270" s="17" t="s">
        <v>164</v>
      </c>
      <c r="L270" s="17" t="s">
        <v>165</v>
      </c>
      <c r="M270" s="17" t="s">
        <v>166</v>
      </c>
      <c r="N270" s="17" t="s">
        <v>167</v>
      </c>
      <c r="O270" s="17" t="s">
        <v>168</v>
      </c>
      <c r="Y270" s="15" t="s">
        <v>555</v>
      </c>
      <c r="Z270" s="17" t="s">
        <v>800</v>
      </c>
      <c r="AA270" s="17" t="s">
        <v>800</v>
      </c>
      <c r="AB270" s="17" t="s">
        <v>962</v>
      </c>
      <c r="AC270" s="17" t="s">
        <v>816</v>
      </c>
      <c r="AD270" s="17" t="s">
        <v>943</v>
      </c>
      <c r="AG270" t="s">
        <v>543</v>
      </c>
      <c r="AH270" s="17" t="s">
        <v>155</v>
      </c>
      <c r="AI270" s="17" t="s">
        <v>155</v>
      </c>
      <c r="AJ270" s="17" t="s">
        <v>155</v>
      </c>
      <c r="AK270" s="17" t="s">
        <v>458</v>
      </c>
      <c r="AL270" s="17" t="s">
        <v>155</v>
      </c>
      <c r="AX270" t="s">
        <v>164</v>
      </c>
      <c r="AY270" t="s">
        <v>165</v>
      </c>
      <c r="AZ270" t="s">
        <v>166</v>
      </c>
      <c r="BA270" t="s">
        <v>167</v>
      </c>
      <c r="BB270" t="s">
        <v>168</v>
      </c>
      <c r="BD270">
        <f t="shared" si="26"/>
        <v>0</v>
      </c>
      <c r="BE270">
        <f t="shared" si="27"/>
        <v>0</v>
      </c>
      <c r="BF270">
        <f t="shared" si="28"/>
        <v>0</v>
      </c>
      <c r="BG270">
        <f t="shared" si="29"/>
        <v>0</v>
      </c>
      <c r="BH270">
        <f t="shared" si="30"/>
        <v>0</v>
      </c>
      <c r="BI270">
        <f t="shared" si="31"/>
        <v>0</v>
      </c>
    </row>
    <row r="271" spans="2:61" x14ac:dyDescent="0.3">
      <c r="B271" s="15" t="s">
        <v>556</v>
      </c>
      <c r="C271" s="17" t="s">
        <v>800</v>
      </c>
      <c r="D271" s="17" t="s">
        <v>1050</v>
      </c>
      <c r="E271" s="17" t="s">
        <v>1049</v>
      </c>
      <c r="F271" s="17" t="s">
        <v>816</v>
      </c>
      <c r="G271" s="17" t="s">
        <v>943</v>
      </c>
      <c r="J271" t="s">
        <v>548</v>
      </c>
      <c r="K271" s="17" t="s">
        <v>155</v>
      </c>
      <c r="L271" s="17" t="s">
        <v>367</v>
      </c>
      <c r="M271" s="17" t="s">
        <v>155</v>
      </c>
      <c r="N271" s="17" t="s">
        <v>367</v>
      </c>
      <c r="O271" s="17" t="s">
        <v>155</v>
      </c>
      <c r="Y271" s="15" t="s">
        <v>556</v>
      </c>
      <c r="Z271" s="17" t="s">
        <v>800</v>
      </c>
      <c r="AA271" s="17" t="s">
        <v>963</v>
      </c>
      <c r="AB271" s="17" t="s">
        <v>962</v>
      </c>
      <c r="AC271" s="17" t="s">
        <v>816</v>
      </c>
      <c r="AD271" s="17" t="s">
        <v>943</v>
      </c>
      <c r="AW271" t="s">
        <v>548</v>
      </c>
      <c r="AX271" t="s">
        <v>155</v>
      </c>
      <c r="AY271" t="s">
        <v>367</v>
      </c>
      <c r="AZ271" t="s">
        <v>155</v>
      </c>
      <c r="BA271" t="s">
        <v>367</v>
      </c>
      <c r="BB271" t="s">
        <v>155</v>
      </c>
      <c r="BD271">
        <f t="shared" si="26"/>
        <v>0</v>
      </c>
      <c r="BE271">
        <f t="shared" si="27"/>
        <v>0</v>
      </c>
      <c r="BF271">
        <f t="shared" si="28"/>
        <v>0</v>
      </c>
      <c r="BG271">
        <f t="shared" si="29"/>
        <v>0</v>
      </c>
      <c r="BH271">
        <f t="shared" si="30"/>
        <v>0</v>
      </c>
      <c r="BI271">
        <f t="shared" si="31"/>
        <v>0</v>
      </c>
    </row>
    <row r="272" spans="2:61" x14ac:dyDescent="0.3">
      <c r="B272" s="15" t="s">
        <v>557</v>
      </c>
      <c r="C272" s="17" t="s">
        <v>817</v>
      </c>
      <c r="D272" s="17" t="s">
        <v>1051</v>
      </c>
      <c r="E272" s="17" t="s">
        <v>1052</v>
      </c>
      <c r="F272" s="17" t="s">
        <v>816</v>
      </c>
      <c r="G272" s="17" t="s">
        <v>155</v>
      </c>
      <c r="J272" t="s">
        <v>549</v>
      </c>
      <c r="K272" s="17" t="s">
        <v>155</v>
      </c>
      <c r="L272" s="17" t="s">
        <v>367</v>
      </c>
      <c r="M272" s="17" t="s">
        <v>155</v>
      </c>
      <c r="N272" s="17" t="s">
        <v>367</v>
      </c>
      <c r="O272" s="17" t="s">
        <v>155</v>
      </c>
      <c r="Y272" s="15" t="s">
        <v>557</v>
      </c>
      <c r="Z272" s="17" t="s">
        <v>817</v>
      </c>
      <c r="AA272" s="17" t="s">
        <v>939</v>
      </c>
      <c r="AB272" s="17" t="s">
        <v>944</v>
      </c>
      <c r="AC272" s="17" t="s">
        <v>816</v>
      </c>
      <c r="AD272" s="17" t="s">
        <v>155</v>
      </c>
      <c r="AG272" t="s">
        <v>744</v>
      </c>
      <c r="AW272" t="s">
        <v>549</v>
      </c>
      <c r="AX272" t="s">
        <v>155</v>
      </c>
      <c r="AY272" t="s">
        <v>367</v>
      </c>
      <c r="AZ272" t="s">
        <v>155</v>
      </c>
      <c r="BA272" t="s">
        <v>367</v>
      </c>
      <c r="BB272" t="s">
        <v>155</v>
      </c>
      <c r="BD272">
        <f t="shared" si="26"/>
        <v>0</v>
      </c>
      <c r="BE272">
        <f t="shared" si="27"/>
        <v>0</v>
      </c>
      <c r="BF272">
        <f t="shared" si="28"/>
        <v>0</v>
      </c>
      <c r="BG272">
        <f t="shared" si="29"/>
        <v>0</v>
      </c>
      <c r="BH272">
        <f t="shared" si="30"/>
        <v>0</v>
      </c>
      <c r="BI272">
        <f t="shared" si="31"/>
        <v>0</v>
      </c>
    </row>
    <row r="273" spans="2:61" x14ac:dyDescent="0.3">
      <c r="B273" s="15" t="s">
        <v>542</v>
      </c>
      <c r="C273" s="17" t="s">
        <v>817</v>
      </c>
      <c r="D273" s="17" t="s">
        <v>1051</v>
      </c>
      <c r="E273" s="17" t="s">
        <v>1053</v>
      </c>
      <c r="F273" s="17" t="s">
        <v>816</v>
      </c>
      <c r="G273" s="17" t="s">
        <v>155</v>
      </c>
      <c r="Y273" s="15" t="s">
        <v>542</v>
      </c>
      <c r="Z273" s="17" t="s">
        <v>817</v>
      </c>
      <c r="AA273" s="17" t="s">
        <v>939</v>
      </c>
      <c r="AB273" s="17" t="s">
        <v>945</v>
      </c>
      <c r="AC273" s="17" t="s">
        <v>816</v>
      </c>
      <c r="AD273" s="17" t="s">
        <v>155</v>
      </c>
      <c r="AH273" s="17" t="s">
        <v>164</v>
      </c>
      <c r="AI273" s="17" t="s">
        <v>165</v>
      </c>
      <c r="AJ273" s="17" t="s">
        <v>166</v>
      </c>
      <c r="AK273" s="17" t="s">
        <v>167</v>
      </c>
      <c r="AL273" s="17" t="s">
        <v>168</v>
      </c>
      <c r="BD273">
        <f t="shared" si="26"/>
        <v>0</v>
      </c>
      <c r="BE273">
        <f t="shared" si="27"/>
        <v>0</v>
      </c>
      <c r="BF273">
        <f t="shared" si="28"/>
        <v>0</v>
      </c>
      <c r="BG273">
        <f t="shared" si="29"/>
        <v>0</v>
      </c>
      <c r="BH273">
        <f t="shared" si="30"/>
        <v>0</v>
      </c>
      <c r="BI273">
        <f t="shared" si="31"/>
        <v>0</v>
      </c>
    </row>
    <row r="274" spans="2:61" x14ac:dyDescent="0.3">
      <c r="B274" s="15" t="s">
        <v>543</v>
      </c>
      <c r="C274" s="17" t="s">
        <v>808</v>
      </c>
      <c r="D274" s="17" t="s">
        <v>155</v>
      </c>
      <c r="E274" s="17" t="s">
        <v>1053</v>
      </c>
      <c r="F274" s="17" t="s">
        <v>817</v>
      </c>
      <c r="G274" s="17" t="s">
        <v>1040</v>
      </c>
      <c r="J274" t="s">
        <v>827</v>
      </c>
      <c r="Y274" s="15" t="s">
        <v>543</v>
      </c>
      <c r="Z274" s="17" t="s">
        <v>808</v>
      </c>
      <c r="AA274" s="17" t="s">
        <v>155</v>
      </c>
      <c r="AB274" s="17" t="s">
        <v>945</v>
      </c>
      <c r="AC274" s="17" t="s">
        <v>817</v>
      </c>
      <c r="AD274" s="17" t="s">
        <v>931</v>
      </c>
      <c r="AG274" t="s">
        <v>548</v>
      </c>
      <c r="AH274" s="17" t="s">
        <v>155</v>
      </c>
      <c r="AI274" s="17" t="s">
        <v>367</v>
      </c>
      <c r="AJ274" s="17" t="s">
        <v>155</v>
      </c>
      <c r="AK274" s="17" t="s">
        <v>367</v>
      </c>
      <c r="AL274" s="17" t="s">
        <v>155</v>
      </c>
      <c r="AW274" t="s">
        <v>827</v>
      </c>
      <c r="BD274">
        <f t="shared" si="26"/>
        <v>0</v>
      </c>
      <c r="BE274">
        <f t="shared" si="27"/>
        <v>0</v>
      </c>
      <c r="BF274">
        <f t="shared" si="28"/>
        <v>0</v>
      </c>
      <c r="BG274">
        <f t="shared" si="29"/>
        <v>0</v>
      </c>
      <c r="BH274">
        <f t="shared" si="30"/>
        <v>0</v>
      </c>
      <c r="BI274">
        <f t="shared" si="31"/>
        <v>0</v>
      </c>
    </row>
    <row r="275" spans="2:61" x14ac:dyDescent="0.3">
      <c r="B275" s="15" t="s">
        <v>544</v>
      </c>
      <c r="C275" s="17" t="s">
        <v>808</v>
      </c>
      <c r="D275" s="17" t="s">
        <v>155</v>
      </c>
      <c r="E275" s="17" t="s">
        <v>1041</v>
      </c>
      <c r="F275" s="17" t="s">
        <v>817</v>
      </c>
      <c r="G275" s="17" t="s">
        <v>1042</v>
      </c>
      <c r="K275" s="17" t="s">
        <v>164</v>
      </c>
      <c r="L275" s="17" t="s">
        <v>165</v>
      </c>
      <c r="M275" s="17" t="s">
        <v>166</v>
      </c>
      <c r="N275" s="17" t="s">
        <v>167</v>
      </c>
      <c r="O275" s="17" t="s">
        <v>168</v>
      </c>
      <c r="Y275" s="15" t="s">
        <v>544</v>
      </c>
      <c r="Z275" s="17" t="s">
        <v>808</v>
      </c>
      <c r="AA275" s="17" t="s">
        <v>155</v>
      </c>
      <c r="AB275" s="17" t="s">
        <v>946</v>
      </c>
      <c r="AC275" s="17" t="s">
        <v>817</v>
      </c>
      <c r="AD275" s="17" t="s">
        <v>932</v>
      </c>
      <c r="AG275" t="s">
        <v>549</v>
      </c>
      <c r="AH275" s="17" t="s">
        <v>155</v>
      </c>
      <c r="AI275" s="17" t="s">
        <v>367</v>
      </c>
      <c r="AJ275" s="17" t="s">
        <v>155</v>
      </c>
      <c r="AK275" s="17" t="s">
        <v>367</v>
      </c>
      <c r="AL275" s="17" t="s">
        <v>155</v>
      </c>
      <c r="AX275" t="s">
        <v>164</v>
      </c>
      <c r="AY275" t="s">
        <v>165</v>
      </c>
      <c r="AZ275" t="s">
        <v>166</v>
      </c>
      <c r="BA275" t="s">
        <v>167</v>
      </c>
      <c r="BB275" t="s">
        <v>168</v>
      </c>
      <c r="BD275">
        <f t="shared" si="26"/>
        <v>0</v>
      </c>
      <c r="BE275">
        <f t="shared" si="27"/>
        <v>0</v>
      </c>
      <c r="BF275">
        <f t="shared" si="28"/>
        <v>0</v>
      </c>
      <c r="BG275">
        <f t="shared" si="29"/>
        <v>0</v>
      </c>
      <c r="BH275">
        <f t="shared" si="30"/>
        <v>0</v>
      </c>
      <c r="BI275">
        <f t="shared" si="31"/>
        <v>0</v>
      </c>
    </row>
    <row r="276" spans="2:61" x14ac:dyDescent="0.3">
      <c r="B276" s="15" t="s">
        <v>545</v>
      </c>
      <c r="C276" s="17" t="s">
        <v>808</v>
      </c>
      <c r="D276" s="17" t="s">
        <v>633</v>
      </c>
      <c r="E276" s="17" t="s">
        <v>1043</v>
      </c>
      <c r="F276" s="17" t="s">
        <v>155</v>
      </c>
      <c r="G276" s="17" t="s">
        <v>1044</v>
      </c>
      <c r="J276" t="s">
        <v>557</v>
      </c>
      <c r="K276" s="17" t="s">
        <v>155</v>
      </c>
      <c r="L276" s="17" t="s">
        <v>155</v>
      </c>
      <c r="M276" s="17" t="s">
        <v>155</v>
      </c>
      <c r="N276" s="17" t="s">
        <v>155</v>
      </c>
      <c r="O276" s="17" t="s">
        <v>407</v>
      </c>
      <c r="Y276" s="15" t="s">
        <v>545</v>
      </c>
      <c r="Z276" s="17" t="s">
        <v>808</v>
      </c>
      <c r="AA276" s="17" t="s">
        <v>633</v>
      </c>
      <c r="AB276" s="17" t="s">
        <v>947</v>
      </c>
      <c r="AC276" s="17" t="s">
        <v>155</v>
      </c>
      <c r="AD276" s="17" t="s">
        <v>933</v>
      </c>
      <c r="AW276" t="s">
        <v>557</v>
      </c>
      <c r="AX276" t="s">
        <v>155</v>
      </c>
      <c r="AY276" t="s">
        <v>155</v>
      </c>
      <c r="AZ276" t="s">
        <v>155</v>
      </c>
      <c r="BA276" t="s">
        <v>155</v>
      </c>
      <c r="BB276" t="s">
        <v>407</v>
      </c>
      <c r="BD276">
        <f t="shared" si="26"/>
        <v>0</v>
      </c>
      <c r="BE276">
        <f t="shared" si="27"/>
        <v>0</v>
      </c>
      <c r="BF276">
        <f t="shared" si="28"/>
        <v>0</v>
      </c>
      <c r="BG276">
        <f t="shared" si="29"/>
        <v>0</v>
      </c>
      <c r="BH276">
        <f t="shared" si="30"/>
        <v>0</v>
      </c>
      <c r="BI276">
        <f t="shared" si="31"/>
        <v>0</v>
      </c>
    </row>
    <row r="277" spans="2:61" x14ac:dyDescent="0.3">
      <c r="J277" t="s">
        <v>542</v>
      </c>
      <c r="K277" s="17" t="s">
        <v>155</v>
      </c>
      <c r="L277" s="17" t="s">
        <v>155</v>
      </c>
      <c r="M277" s="17" t="s">
        <v>407</v>
      </c>
      <c r="N277" s="17" t="s">
        <v>155</v>
      </c>
      <c r="O277" s="17" t="s">
        <v>407</v>
      </c>
      <c r="AG277" t="s">
        <v>827</v>
      </c>
      <c r="AW277" t="s">
        <v>542</v>
      </c>
      <c r="AX277" t="s">
        <v>155</v>
      </c>
      <c r="AY277" t="s">
        <v>155</v>
      </c>
      <c r="AZ277" t="s">
        <v>407</v>
      </c>
      <c r="BA277" t="s">
        <v>155</v>
      </c>
      <c r="BB277" t="s">
        <v>407</v>
      </c>
      <c r="BD277">
        <f t="shared" si="26"/>
        <v>0</v>
      </c>
      <c r="BE277">
        <f t="shared" si="27"/>
        <v>0</v>
      </c>
      <c r="BF277">
        <f t="shared" si="28"/>
        <v>0</v>
      </c>
      <c r="BG277">
        <f t="shared" si="29"/>
        <v>0</v>
      </c>
      <c r="BH277">
        <f t="shared" si="30"/>
        <v>0</v>
      </c>
      <c r="BI277">
        <f t="shared" si="31"/>
        <v>0</v>
      </c>
    </row>
    <row r="278" spans="2:61" x14ac:dyDescent="0.3">
      <c r="B278" s="15" t="s">
        <v>818</v>
      </c>
      <c r="J278" t="s">
        <v>543</v>
      </c>
      <c r="K278" s="17" t="s">
        <v>155</v>
      </c>
      <c r="L278" s="17" t="s">
        <v>155</v>
      </c>
      <c r="M278" s="17" t="s">
        <v>407</v>
      </c>
      <c r="N278" s="17" t="s">
        <v>155</v>
      </c>
      <c r="O278" s="17" t="s">
        <v>155</v>
      </c>
      <c r="Y278" s="15" t="s">
        <v>818</v>
      </c>
      <c r="AH278" s="17" t="s">
        <v>164</v>
      </c>
      <c r="AI278" s="17" t="s">
        <v>165</v>
      </c>
      <c r="AJ278" s="17" t="s">
        <v>166</v>
      </c>
      <c r="AK278" s="17" t="s">
        <v>167</v>
      </c>
      <c r="AL278" s="17" t="s">
        <v>168</v>
      </c>
      <c r="AW278" t="s">
        <v>543</v>
      </c>
      <c r="AX278" t="s">
        <v>155</v>
      </c>
      <c r="AY278" t="s">
        <v>155</v>
      </c>
      <c r="AZ278" t="s">
        <v>407</v>
      </c>
      <c r="BA278" t="s">
        <v>155</v>
      </c>
      <c r="BB278" t="s">
        <v>155</v>
      </c>
      <c r="BD278">
        <f t="shared" si="26"/>
        <v>0</v>
      </c>
      <c r="BE278">
        <f t="shared" si="27"/>
        <v>0</v>
      </c>
      <c r="BF278">
        <f t="shared" si="28"/>
        <v>0</v>
      </c>
      <c r="BG278">
        <f t="shared" si="29"/>
        <v>0</v>
      </c>
      <c r="BH278">
        <f t="shared" si="30"/>
        <v>0</v>
      </c>
      <c r="BI278">
        <f t="shared" si="31"/>
        <v>0</v>
      </c>
    </row>
    <row r="279" spans="2:61" x14ac:dyDescent="0.3">
      <c r="C279" s="17" t="s">
        <v>164</v>
      </c>
      <c r="D279" s="17" t="s">
        <v>165</v>
      </c>
      <c r="E279" s="17" t="s">
        <v>166</v>
      </c>
      <c r="F279" s="17" t="s">
        <v>167</v>
      </c>
      <c r="G279" s="17" t="s">
        <v>168</v>
      </c>
      <c r="Z279" s="17" t="s">
        <v>164</v>
      </c>
      <c r="AA279" s="17" t="s">
        <v>165</v>
      </c>
      <c r="AB279" s="17" t="s">
        <v>166</v>
      </c>
      <c r="AC279" s="17" t="s">
        <v>167</v>
      </c>
      <c r="AD279" s="17" t="s">
        <v>168</v>
      </c>
      <c r="AG279" t="s">
        <v>557</v>
      </c>
      <c r="AH279" s="17" t="s">
        <v>155</v>
      </c>
      <c r="AI279" s="17" t="s">
        <v>155</v>
      </c>
      <c r="AJ279" s="17" t="s">
        <v>155</v>
      </c>
      <c r="AK279" s="17" t="s">
        <v>155</v>
      </c>
      <c r="AL279" s="17" t="s">
        <v>407</v>
      </c>
      <c r="BD279">
        <f t="shared" si="26"/>
        <v>0</v>
      </c>
      <c r="BE279">
        <f t="shared" si="27"/>
        <v>0</v>
      </c>
      <c r="BF279">
        <f t="shared" si="28"/>
        <v>0</v>
      </c>
      <c r="BG279">
        <f t="shared" si="29"/>
        <v>0</v>
      </c>
      <c r="BH279">
        <f t="shared" si="30"/>
        <v>0</v>
      </c>
      <c r="BI279">
        <f t="shared" si="31"/>
        <v>0</v>
      </c>
    </row>
    <row r="280" spans="2:61" x14ac:dyDescent="0.3">
      <c r="B280" s="15" t="s">
        <v>555</v>
      </c>
      <c r="C280" s="17" t="s">
        <v>800</v>
      </c>
      <c r="D280" s="17" t="s">
        <v>155</v>
      </c>
      <c r="E280" s="17" t="s">
        <v>1049</v>
      </c>
      <c r="F280" s="17" t="s">
        <v>816</v>
      </c>
      <c r="G280" s="17" t="s">
        <v>943</v>
      </c>
      <c r="J280" t="s">
        <v>954</v>
      </c>
      <c r="Y280" s="15" t="s">
        <v>555</v>
      </c>
      <c r="Z280" s="17" t="s">
        <v>800</v>
      </c>
      <c r="AA280" s="17" t="s">
        <v>800</v>
      </c>
      <c r="AB280" s="17" t="s">
        <v>962</v>
      </c>
      <c r="AC280" s="17" t="s">
        <v>816</v>
      </c>
      <c r="AD280" s="17" t="s">
        <v>943</v>
      </c>
      <c r="AG280" t="s">
        <v>542</v>
      </c>
      <c r="AH280" s="17" t="s">
        <v>155</v>
      </c>
      <c r="AI280" s="17" t="s">
        <v>155</v>
      </c>
      <c r="AJ280" s="17" t="s">
        <v>407</v>
      </c>
      <c r="AK280" s="17" t="s">
        <v>155</v>
      </c>
      <c r="AL280" s="17" t="s">
        <v>407</v>
      </c>
      <c r="AW280" t="s">
        <v>954</v>
      </c>
      <c r="BD280">
        <f t="shared" si="26"/>
        <v>0</v>
      </c>
      <c r="BE280">
        <f t="shared" si="27"/>
        <v>0</v>
      </c>
      <c r="BF280">
        <f t="shared" si="28"/>
        <v>0</v>
      </c>
      <c r="BG280">
        <f t="shared" si="29"/>
        <v>0</v>
      </c>
      <c r="BH280">
        <f t="shared" si="30"/>
        <v>0</v>
      </c>
      <c r="BI280">
        <f t="shared" si="31"/>
        <v>0</v>
      </c>
    </row>
    <row r="281" spans="2:61" x14ac:dyDescent="0.3">
      <c r="B281" s="15" t="s">
        <v>556</v>
      </c>
      <c r="C281" s="17" t="s">
        <v>800</v>
      </c>
      <c r="D281" s="17" t="s">
        <v>1050</v>
      </c>
      <c r="E281" s="17" t="s">
        <v>1049</v>
      </c>
      <c r="F281" s="17" t="s">
        <v>816</v>
      </c>
      <c r="G281" s="17" t="s">
        <v>943</v>
      </c>
      <c r="K281" s="17" t="s">
        <v>164</v>
      </c>
      <c r="L281" s="17" t="s">
        <v>165</v>
      </c>
      <c r="M281" s="17" t="s">
        <v>166</v>
      </c>
      <c r="N281" s="17" t="s">
        <v>167</v>
      </c>
      <c r="O281" s="17" t="s">
        <v>168</v>
      </c>
      <c r="Y281" s="15" t="s">
        <v>556</v>
      </c>
      <c r="Z281" s="17" t="s">
        <v>800</v>
      </c>
      <c r="AA281" s="17" t="s">
        <v>963</v>
      </c>
      <c r="AB281" s="17" t="s">
        <v>962</v>
      </c>
      <c r="AC281" s="17" t="s">
        <v>816</v>
      </c>
      <c r="AD281" s="17" t="s">
        <v>943</v>
      </c>
      <c r="AG281" t="s">
        <v>543</v>
      </c>
      <c r="AH281" s="17" t="s">
        <v>155</v>
      </c>
      <c r="AI281" s="17" t="s">
        <v>155</v>
      </c>
      <c r="AJ281" s="17" t="s">
        <v>407</v>
      </c>
      <c r="AK281" s="17" t="s">
        <v>155</v>
      </c>
      <c r="AL281" s="17" t="s">
        <v>155</v>
      </c>
      <c r="AX281" t="s">
        <v>164</v>
      </c>
      <c r="AY281" t="s">
        <v>165</v>
      </c>
      <c r="AZ281" t="s">
        <v>166</v>
      </c>
      <c r="BA281" t="s">
        <v>167</v>
      </c>
      <c r="BB281" t="s">
        <v>168</v>
      </c>
      <c r="BD281">
        <f t="shared" si="26"/>
        <v>0</v>
      </c>
      <c r="BE281">
        <f t="shared" si="27"/>
        <v>0</v>
      </c>
      <c r="BF281">
        <f t="shared" si="28"/>
        <v>0</v>
      </c>
      <c r="BG281">
        <f t="shared" si="29"/>
        <v>0</v>
      </c>
      <c r="BH281">
        <f t="shared" si="30"/>
        <v>0</v>
      </c>
      <c r="BI281">
        <f t="shared" si="31"/>
        <v>0</v>
      </c>
    </row>
    <row r="282" spans="2:61" x14ac:dyDescent="0.3">
      <c r="B282" s="15" t="s">
        <v>557</v>
      </c>
      <c r="C282" s="17" t="s">
        <v>155</v>
      </c>
      <c r="D282" s="17" t="s">
        <v>1051</v>
      </c>
      <c r="E282" s="17" t="s">
        <v>1052</v>
      </c>
      <c r="F282" s="17" t="s">
        <v>816</v>
      </c>
      <c r="G282" s="17" t="s">
        <v>796</v>
      </c>
      <c r="J282" t="s">
        <v>542</v>
      </c>
      <c r="K282" s="17" t="s">
        <v>155</v>
      </c>
      <c r="L282" s="17" t="s">
        <v>155</v>
      </c>
      <c r="M282" s="17" t="s">
        <v>661</v>
      </c>
      <c r="N282" s="17" t="s">
        <v>155</v>
      </c>
      <c r="O282" s="17" t="s">
        <v>155</v>
      </c>
      <c r="Y282" s="15" t="s">
        <v>557</v>
      </c>
      <c r="Z282" s="17" t="s">
        <v>155</v>
      </c>
      <c r="AA282" s="17" t="s">
        <v>939</v>
      </c>
      <c r="AB282" s="17" t="s">
        <v>944</v>
      </c>
      <c r="AC282" s="17" t="s">
        <v>816</v>
      </c>
      <c r="AD282" s="17" t="s">
        <v>796</v>
      </c>
      <c r="AW282" t="s">
        <v>542</v>
      </c>
      <c r="AX282" t="s">
        <v>155</v>
      </c>
      <c r="AY282" t="s">
        <v>155</v>
      </c>
      <c r="AZ282" t="s">
        <v>661</v>
      </c>
      <c r="BA282" t="s">
        <v>155</v>
      </c>
      <c r="BB282" t="s">
        <v>155</v>
      </c>
      <c r="BD282">
        <f t="shared" si="26"/>
        <v>0</v>
      </c>
      <c r="BE282">
        <f t="shared" si="27"/>
        <v>0</v>
      </c>
      <c r="BF282">
        <f t="shared" si="28"/>
        <v>0</v>
      </c>
      <c r="BG282">
        <f t="shared" si="29"/>
        <v>0</v>
      </c>
      <c r="BH282">
        <f t="shared" si="30"/>
        <v>0</v>
      </c>
      <c r="BI282">
        <f t="shared" si="31"/>
        <v>0</v>
      </c>
    </row>
    <row r="283" spans="2:61" x14ac:dyDescent="0.3">
      <c r="B283" s="15" t="s">
        <v>542</v>
      </c>
      <c r="C283" s="17" t="s">
        <v>155</v>
      </c>
      <c r="D283" s="17" t="s">
        <v>1051</v>
      </c>
      <c r="E283" s="17" t="s">
        <v>1053</v>
      </c>
      <c r="F283" s="17" t="s">
        <v>816</v>
      </c>
      <c r="G283" s="17" t="s">
        <v>796</v>
      </c>
      <c r="J283" t="s">
        <v>543</v>
      </c>
      <c r="K283" s="17" t="s">
        <v>155</v>
      </c>
      <c r="L283" s="17" t="s">
        <v>155</v>
      </c>
      <c r="M283" s="17" t="s">
        <v>661</v>
      </c>
      <c r="N283" s="17" t="s">
        <v>155</v>
      </c>
      <c r="O283" s="17" t="s">
        <v>155</v>
      </c>
      <c r="Y283" s="15" t="s">
        <v>542</v>
      </c>
      <c r="Z283" s="17" t="s">
        <v>155</v>
      </c>
      <c r="AA283" s="17" t="s">
        <v>939</v>
      </c>
      <c r="AB283" s="17" t="s">
        <v>945</v>
      </c>
      <c r="AC283" s="17" t="s">
        <v>816</v>
      </c>
      <c r="AD283" s="17" t="s">
        <v>796</v>
      </c>
      <c r="AG283" t="s">
        <v>954</v>
      </c>
      <c r="AW283" t="s">
        <v>543</v>
      </c>
      <c r="AX283" t="s">
        <v>155</v>
      </c>
      <c r="AY283" t="s">
        <v>155</v>
      </c>
      <c r="AZ283" t="s">
        <v>661</v>
      </c>
      <c r="BA283" t="s">
        <v>155</v>
      </c>
      <c r="BB283" t="s">
        <v>155</v>
      </c>
      <c r="BD283">
        <f t="shared" si="26"/>
        <v>0</v>
      </c>
      <c r="BE283">
        <f t="shared" si="27"/>
        <v>0</v>
      </c>
      <c r="BF283">
        <f t="shared" si="28"/>
        <v>0</v>
      </c>
      <c r="BG283">
        <f t="shared" si="29"/>
        <v>0</v>
      </c>
      <c r="BH283">
        <f t="shared" si="30"/>
        <v>0</v>
      </c>
      <c r="BI283">
        <f t="shared" si="31"/>
        <v>0</v>
      </c>
    </row>
    <row r="284" spans="2:61" x14ac:dyDescent="0.3">
      <c r="B284" s="15" t="s">
        <v>543</v>
      </c>
      <c r="C284" s="17" t="s">
        <v>808</v>
      </c>
      <c r="D284" s="17" t="s">
        <v>796</v>
      </c>
      <c r="E284" s="17" t="s">
        <v>1053</v>
      </c>
      <c r="F284" s="17" t="s">
        <v>155</v>
      </c>
      <c r="G284" s="17" t="s">
        <v>1040</v>
      </c>
      <c r="J284" t="s">
        <v>544</v>
      </c>
      <c r="K284" s="17" t="s">
        <v>155</v>
      </c>
      <c r="L284" s="17" t="s">
        <v>155</v>
      </c>
      <c r="M284" s="17" t="s">
        <v>661</v>
      </c>
      <c r="N284" s="17" t="s">
        <v>155</v>
      </c>
      <c r="O284" s="17" t="s">
        <v>155</v>
      </c>
      <c r="Y284" s="15" t="s">
        <v>543</v>
      </c>
      <c r="Z284" s="17" t="s">
        <v>808</v>
      </c>
      <c r="AA284" s="17" t="s">
        <v>796</v>
      </c>
      <c r="AB284" s="17" t="s">
        <v>945</v>
      </c>
      <c r="AC284" s="17" t="s">
        <v>155</v>
      </c>
      <c r="AD284" s="17" t="s">
        <v>931</v>
      </c>
      <c r="AH284" s="17" t="s">
        <v>164</v>
      </c>
      <c r="AI284" s="17" t="s">
        <v>165</v>
      </c>
      <c r="AJ284" s="17" t="s">
        <v>166</v>
      </c>
      <c r="AK284" s="17" t="s">
        <v>167</v>
      </c>
      <c r="AL284" s="17" t="s">
        <v>168</v>
      </c>
      <c r="AW284" t="s">
        <v>544</v>
      </c>
      <c r="AX284" t="s">
        <v>155</v>
      </c>
      <c r="AY284" t="s">
        <v>155</v>
      </c>
      <c r="AZ284" t="s">
        <v>661</v>
      </c>
      <c r="BA284" t="s">
        <v>155</v>
      </c>
      <c r="BB284" t="s">
        <v>155</v>
      </c>
      <c r="BD284">
        <f t="shared" si="26"/>
        <v>0</v>
      </c>
      <c r="BE284">
        <f t="shared" si="27"/>
        <v>0</v>
      </c>
      <c r="BF284">
        <f t="shared" si="28"/>
        <v>0</v>
      </c>
      <c r="BG284">
        <f t="shared" si="29"/>
        <v>0</v>
      </c>
      <c r="BH284">
        <f t="shared" si="30"/>
        <v>0</v>
      </c>
      <c r="BI284">
        <f t="shared" si="31"/>
        <v>0</v>
      </c>
    </row>
    <row r="285" spans="2:61" x14ac:dyDescent="0.3">
      <c r="B285" s="15" t="s">
        <v>544</v>
      </c>
      <c r="C285" s="17" t="s">
        <v>808</v>
      </c>
      <c r="D285" s="17" t="s">
        <v>796</v>
      </c>
      <c r="E285" s="17" t="s">
        <v>1041</v>
      </c>
      <c r="F285" s="17" t="s">
        <v>155</v>
      </c>
      <c r="G285" s="17" t="s">
        <v>1042</v>
      </c>
      <c r="J285" t="s">
        <v>545</v>
      </c>
      <c r="K285" s="17" t="s">
        <v>155</v>
      </c>
      <c r="L285" s="17" t="s">
        <v>155</v>
      </c>
      <c r="M285" s="17" t="s">
        <v>661</v>
      </c>
      <c r="N285" s="17" t="s">
        <v>155</v>
      </c>
      <c r="O285" s="17" t="s">
        <v>155</v>
      </c>
      <c r="Y285" s="15" t="s">
        <v>544</v>
      </c>
      <c r="Z285" s="17" t="s">
        <v>808</v>
      </c>
      <c r="AA285" s="17" t="s">
        <v>796</v>
      </c>
      <c r="AB285" s="17" t="s">
        <v>946</v>
      </c>
      <c r="AC285" s="17" t="s">
        <v>155</v>
      </c>
      <c r="AD285" s="17" t="s">
        <v>932</v>
      </c>
      <c r="AG285" t="s">
        <v>542</v>
      </c>
      <c r="AH285" s="17" t="s">
        <v>155</v>
      </c>
      <c r="AI285" s="17" t="s">
        <v>155</v>
      </c>
      <c r="AJ285" s="17" t="s">
        <v>661</v>
      </c>
      <c r="AK285" s="17" t="s">
        <v>155</v>
      </c>
      <c r="AL285" s="17" t="s">
        <v>155</v>
      </c>
      <c r="AW285" t="s">
        <v>545</v>
      </c>
      <c r="AX285" t="s">
        <v>155</v>
      </c>
      <c r="AY285" t="s">
        <v>155</v>
      </c>
      <c r="AZ285" t="s">
        <v>661</v>
      </c>
      <c r="BA285" t="s">
        <v>155</v>
      </c>
      <c r="BB285" t="s">
        <v>155</v>
      </c>
      <c r="BD285">
        <f t="shared" si="26"/>
        <v>0</v>
      </c>
      <c r="BE285">
        <f t="shared" si="27"/>
        <v>0</v>
      </c>
      <c r="BF285">
        <f t="shared" si="28"/>
        <v>0</v>
      </c>
      <c r="BG285">
        <f t="shared" si="29"/>
        <v>0</v>
      </c>
      <c r="BH285">
        <f t="shared" si="30"/>
        <v>0</v>
      </c>
      <c r="BI285">
        <f t="shared" si="31"/>
        <v>0</v>
      </c>
    </row>
    <row r="286" spans="2:61" x14ac:dyDescent="0.3">
      <c r="B286" s="15" t="s">
        <v>545</v>
      </c>
      <c r="C286" s="17" t="s">
        <v>808</v>
      </c>
      <c r="D286" s="17" t="s">
        <v>633</v>
      </c>
      <c r="E286" s="17" t="s">
        <v>1043</v>
      </c>
      <c r="F286" s="17" t="s">
        <v>155</v>
      </c>
      <c r="G286" s="17" t="s">
        <v>1044</v>
      </c>
      <c r="Y286" s="15" t="s">
        <v>545</v>
      </c>
      <c r="Z286" s="17" t="s">
        <v>808</v>
      </c>
      <c r="AA286" s="17" t="s">
        <v>633</v>
      </c>
      <c r="AB286" s="17" t="s">
        <v>947</v>
      </c>
      <c r="AC286" s="17" t="s">
        <v>155</v>
      </c>
      <c r="AD286" s="17" t="s">
        <v>933</v>
      </c>
      <c r="AG286" t="s">
        <v>543</v>
      </c>
      <c r="AH286" s="17" t="s">
        <v>155</v>
      </c>
      <c r="AI286" s="17" t="s">
        <v>155</v>
      </c>
      <c r="AJ286" s="17" t="s">
        <v>661</v>
      </c>
      <c r="AK286" s="17" t="s">
        <v>155</v>
      </c>
      <c r="AL286" s="17" t="s">
        <v>155</v>
      </c>
      <c r="BD286">
        <f t="shared" si="26"/>
        <v>0</v>
      </c>
      <c r="BE286">
        <f t="shared" si="27"/>
        <v>0</v>
      </c>
      <c r="BF286">
        <f t="shared" si="28"/>
        <v>0</v>
      </c>
      <c r="BG286">
        <f t="shared" si="29"/>
        <v>0</v>
      </c>
      <c r="BH286">
        <f t="shared" si="30"/>
        <v>0</v>
      </c>
      <c r="BI286">
        <f t="shared" si="31"/>
        <v>0</v>
      </c>
    </row>
    <row r="287" spans="2:61" x14ac:dyDescent="0.3">
      <c r="J287" t="s">
        <v>828</v>
      </c>
      <c r="AG287" t="s">
        <v>544</v>
      </c>
      <c r="AH287" s="17" t="s">
        <v>155</v>
      </c>
      <c r="AI287" s="17" t="s">
        <v>155</v>
      </c>
      <c r="AJ287" s="17" t="s">
        <v>661</v>
      </c>
      <c r="AK287" s="17" t="s">
        <v>155</v>
      </c>
      <c r="AL287" s="17" t="s">
        <v>155</v>
      </c>
      <c r="AW287" t="s">
        <v>828</v>
      </c>
      <c r="BD287">
        <f t="shared" si="26"/>
        <v>0</v>
      </c>
      <c r="BE287">
        <f t="shared" si="27"/>
        <v>0</v>
      </c>
      <c r="BF287">
        <f t="shared" si="28"/>
        <v>0</v>
      </c>
      <c r="BG287">
        <f t="shared" si="29"/>
        <v>0</v>
      </c>
      <c r="BH287">
        <f t="shared" si="30"/>
        <v>0</v>
      </c>
      <c r="BI287">
        <f t="shared" si="31"/>
        <v>0</v>
      </c>
    </row>
    <row r="288" spans="2:61" x14ac:dyDescent="0.3">
      <c r="K288" s="17" t="s">
        <v>164</v>
      </c>
      <c r="L288" s="17" t="s">
        <v>165</v>
      </c>
      <c r="M288" s="17" t="s">
        <v>166</v>
      </c>
      <c r="N288" s="17" t="s">
        <v>167</v>
      </c>
      <c r="O288" s="17" t="s">
        <v>168</v>
      </c>
      <c r="AG288" t="s">
        <v>545</v>
      </c>
      <c r="AH288" s="17" t="s">
        <v>155</v>
      </c>
      <c r="AI288" s="17" t="s">
        <v>155</v>
      </c>
      <c r="AJ288" s="17" t="s">
        <v>661</v>
      </c>
      <c r="AK288" s="17" t="s">
        <v>155</v>
      </c>
      <c r="AL288" s="17" t="s">
        <v>155</v>
      </c>
      <c r="AX288" t="s">
        <v>164</v>
      </c>
      <c r="AY288" t="s">
        <v>165</v>
      </c>
      <c r="AZ288" t="s">
        <v>166</v>
      </c>
      <c r="BA288" t="s">
        <v>167</v>
      </c>
      <c r="BB288" t="s">
        <v>168</v>
      </c>
      <c r="BD288">
        <f t="shared" si="26"/>
        <v>0</v>
      </c>
      <c r="BE288">
        <f t="shared" si="27"/>
        <v>0</v>
      </c>
      <c r="BF288">
        <f t="shared" si="28"/>
        <v>0</v>
      </c>
      <c r="BG288">
        <f t="shared" si="29"/>
        <v>0</v>
      </c>
      <c r="BH288">
        <f t="shared" si="30"/>
        <v>0</v>
      </c>
      <c r="BI288">
        <f t="shared" si="31"/>
        <v>0</v>
      </c>
    </row>
    <row r="289" spans="10:61" x14ac:dyDescent="0.3">
      <c r="J289" t="s">
        <v>543</v>
      </c>
      <c r="K289" s="17" t="s">
        <v>155</v>
      </c>
      <c r="L289" s="17" t="s">
        <v>155</v>
      </c>
      <c r="M289" s="17" t="s">
        <v>155</v>
      </c>
      <c r="N289" s="17" t="s">
        <v>155</v>
      </c>
      <c r="O289" s="17" t="s">
        <v>460</v>
      </c>
      <c r="AW289" t="s">
        <v>543</v>
      </c>
      <c r="AX289" t="s">
        <v>155</v>
      </c>
      <c r="AY289" t="s">
        <v>155</v>
      </c>
      <c r="AZ289" t="s">
        <v>155</v>
      </c>
      <c r="BA289" t="s">
        <v>155</v>
      </c>
      <c r="BB289" t="s">
        <v>460</v>
      </c>
      <c r="BD289">
        <f t="shared" si="26"/>
        <v>0</v>
      </c>
      <c r="BE289">
        <f t="shared" si="27"/>
        <v>0</v>
      </c>
      <c r="BF289">
        <f t="shared" si="28"/>
        <v>0</v>
      </c>
      <c r="BG289">
        <f t="shared" si="29"/>
        <v>0</v>
      </c>
      <c r="BH289">
        <f t="shared" si="30"/>
        <v>0</v>
      </c>
      <c r="BI289">
        <f t="shared" si="31"/>
        <v>0</v>
      </c>
    </row>
    <row r="290" spans="10:61" x14ac:dyDescent="0.3">
      <c r="J290" t="s">
        <v>544</v>
      </c>
      <c r="K290" s="17" t="s">
        <v>155</v>
      </c>
      <c r="L290" s="17" t="s">
        <v>155</v>
      </c>
      <c r="M290" s="17" t="s">
        <v>460</v>
      </c>
      <c r="N290" s="17" t="s">
        <v>155</v>
      </c>
      <c r="O290" s="17" t="s">
        <v>460</v>
      </c>
      <c r="AG290" t="s">
        <v>828</v>
      </c>
      <c r="AW290" t="s">
        <v>544</v>
      </c>
      <c r="AX290" t="s">
        <v>155</v>
      </c>
      <c r="AY290" t="s">
        <v>155</v>
      </c>
      <c r="AZ290" t="s">
        <v>460</v>
      </c>
      <c r="BA290" t="s">
        <v>155</v>
      </c>
      <c r="BB290" t="s">
        <v>460</v>
      </c>
      <c r="BD290">
        <f t="shared" si="26"/>
        <v>0</v>
      </c>
      <c r="BE290">
        <f t="shared" si="27"/>
        <v>0</v>
      </c>
      <c r="BF290">
        <f t="shared" si="28"/>
        <v>0</v>
      </c>
      <c r="BG290">
        <f t="shared" si="29"/>
        <v>0</v>
      </c>
      <c r="BH290">
        <f t="shared" si="30"/>
        <v>0</v>
      </c>
      <c r="BI290">
        <f t="shared" si="31"/>
        <v>0</v>
      </c>
    </row>
    <row r="291" spans="10:61" x14ac:dyDescent="0.3">
      <c r="J291" t="s">
        <v>545</v>
      </c>
      <c r="K291" s="17" t="s">
        <v>155</v>
      </c>
      <c r="L291" s="17" t="s">
        <v>155</v>
      </c>
      <c r="M291" s="17" t="s">
        <v>460</v>
      </c>
      <c r="N291" s="17" t="s">
        <v>155</v>
      </c>
      <c r="O291" s="17" t="s">
        <v>460</v>
      </c>
      <c r="AH291" s="17" t="s">
        <v>164</v>
      </c>
      <c r="AI291" s="17" t="s">
        <v>165</v>
      </c>
      <c r="AJ291" s="17" t="s">
        <v>166</v>
      </c>
      <c r="AK291" s="17" t="s">
        <v>167</v>
      </c>
      <c r="AL291" s="17" t="s">
        <v>168</v>
      </c>
      <c r="AW291" t="s">
        <v>545</v>
      </c>
      <c r="AX291" t="s">
        <v>155</v>
      </c>
      <c r="AY291" t="s">
        <v>155</v>
      </c>
      <c r="AZ291" t="s">
        <v>460</v>
      </c>
      <c r="BA291" t="s">
        <v>155</v>
      </c>
      <c r="BB291" t="s">
        <v>460</v>
      </c>
      <c r="BD291">
        <f t="shared" si="26"/>
        <v>0</v>
      </c>
      <c r="BE291">
        <f t="shared" si="27"/>
        <v>0</v>
      </c>
      <c r="BF291">
        <f t="shared" si="28"/>
        <v>0</v>
      </c>
      <c r="BG291">
        <f t="shared" si="29"/>
        <v>0</v>
      </c>
      <c r="BH291">
        <f t="shared" si="30"/>
        <v>0</v>
      </c>
      <c r="BI291">
        <f t="shared" si="31"/>
        <v>0</v>
      </c>
    </row>
    <row r="292" spans="10:61" x14ac:dyDescent="0.3">
      <c r="AG292" t="s">
        <v>543</v>
      </c>
      <c r="AH292" s="17" t="s">
        <v>155</v>
      </c>
      <c r="AI292" s="17" t="s">
        <v>155</v>
      </c>
      <c r="AJ292" s="17" t="s">
        <v>155</v>
      </c>
      <c r="AK292" s="17" t="s">
        <v>155</v>
      </c>
      <c r="AL292" s="17" t="s">
        <v>460</v>
      </c>
      <c r="BD292">
        <f t="shared" si="26"/>
        <v>0</v>
      </c>
      <c r="BE292">
        <f t="shared" si="27"/>
        <v>0</v>
      </c>
      <c r="BF292">
        <f t="shared" si="28"/>
        <v>0</v>
      </c>
      <c r="BG292">
        <f t="shared" si="29"/>
        <v>0</v>
      </c>
      <c r="BH292">
        <f t="shared" si="30"/>
        <v>0</v>
      </c>
      <c r="BI292">
        <f t="shared" si="31"/>
        <v>0</v>
      </c>
    </row>
    <row r="293" spans="10:61" x14ac:dyDescent="0.3">
      <c r="J293" t="s">
        <v>754</v>
      </c>
      <c r="AG293" t="s">
        <v>544</v>
      </c>
      <c r="AH293" s="17" t="s">
        <v>155</v>
      </c>
      <c r="AI293" s="17" t="s">
        <v>155</v>
      </c>
      <c r="AJ293" s="17" t="s">
        <v>460</v>
      </c>
      <c r="AK293" s="17" t="s">
        <v>155</v>
      </c>
      <c r="AL293" s="17" t="s">
        <v>460</v>
      </c>
      <c r="AW293" t="s">
        <v>754</v>
      </c>
      <c r="BD293">
        <f t="shared" si="26"/>
        <v>0</v>
      </c>
      <c r="BE293">
        <f t="shared" si="27"/>
        <v>0</v>
      </c>
      <c r="BF293">
        <f t="shared" si="28"/>
        <v>0</v>
      </c>
      <c r="BG293">
        <f t="shared" si="29"/>
        <v>0</v>
      </c>
      <c r="BH293">
        <f t="shared" si="30"/>
        <v>0</v>
      </c>
      <c r="BI293">
        <f t="shared" si="31"/>
        <v>0</v>
      </c>
    </row>
    <row r="294" spans="10:61" x14ac:dyDescent="0.3">
      <c r="K294" s="17" t="s">
        <v>164</v>
      </c>
      <c r="L294" s="17" t="s">
        <v>165</v>
      </c>
      <c r="M294" s="17" t="s">
        <v>166</v>
      </c>
      <c r="N294" s="17" t="s">
        <v>167</v>
      </c>
      <c r="O294" s="17" t="s">
        <v>168</v>
      </c>
      <c r="AG294" t="s">
        <v>545</v>
      </c>
      <c r="AH294" s="17" t="s">
        <v>155</v>
      </c>
      <c r="AI294" s="17" t="s">
        <v>155</v>
      </c>
      <c r="AJ294" s="17" t="s">
        <v>460</v>
      </c>
      <c r="AK294" s="17" t="s">
        <v>155</v>
      </c>
      <c r="AL294" s="17" t="s">
        <v>460</v>
      </c>
      <c r="AX294" t="s">
        <v>164</v>
      </c>
      <c r="AY294" t="s">
        <v>165</v>
      </c>
      <c r="AZ294" t="s">
        <v>166</v>
      </c>
      <c r="BA294" t="s">
        <v>167</v>
      </c>
      <c r="BB294" t="s">
        <v>168</v>
      </c>
      <c r="BD294">
        <f t="shared" si="26"/>
        <v>0</v>
      </c>
      <c r="BE294">
        <f t="shared" si="27"/>
        <v>0</v>
      </c>
      <c r="BF294">
        <f t="shared" si="28"/>
        <v>0</v>
      </c>
      <c r="BG294">
        <f t="shared" si="29"/>
        <v>0</v>
      </c>
      <c r="BH294">
        <f t="shared" si="30"/>
        <v>0</v>
      </c>
      <c r="BI294">
        <f t="shared" si="31"/>
        <v>0</v>
      </c>
    </row>
    <row r="295" spans="10:61" x14ac:dyDescent="0.3">
      <c r="J295" t="s">
        <v>550</v>
      </c>
      <c r="K295" s="17" t="s">
        <v>155</v>
      </c>
      <c r="L295" s="17" t="s">
        <v>155</v>
      </c>
      <c r="M295" s="17" t="s">
        <v>377</v>
      </c>
      <c r="N295" s="17" t="s">
        <v>155</v>
      </c>
      <c r="O295" s="17" t="s">
        <v>155</v>
      </c>
      <c r="AW295" t="s">
        <v>550</v>
      </c>
      <c r="AX295" t="s">
        <v>155</v>
      </c>
      <c r="AY295" t="s">
        <v>155</v>
      </c>
      <c r="AZ295" t="s">
        <v>377</v>
      </c>
      <c r="BA295" t="s">
        <v>155</v>
      </c>
      <c r="BB295" t="s">
        <v>155</v>
      </c>
      <c r="BD295">
        <f t="shared" si="26"/>
        <v>0</v>
      </c>
      <c r="BE295">
        <f t="shared" si="27"/>
        <v>0</v>
      </c>
      <c r="BF295">
        <f t="shared" si="28"/>
        <v>0</v>
      </c>
      <c r="BG295">
        <f t="shared" si="29"/>
        <v>0</v>
      </c>
      <c r="BH295">
        <f t="shared" si="30"/>
        <v>0</v>
      </c>
      <c r="BI295">
        <f t="shared" si="31"/>
        <v>0</v>
      </c>
    </row>
    <row r="296" spans="10:61" x14ac:dyDescent="0.3">
      <c r="J296" t="s">
        <v>158</v>
      </c>
      <c r="K296" s="17" t="s">
        <v>155</v>
      </c>
      <c r="L296" s="17" t="s">
        <v>155</v>
      </c>
      <c r="M296" s="17" t="s">
        <v>377</v>
      </c>
      <c r="N296" s="17" t="s">
        <v>155</v>
      </c>
      <c r="O296" s="17" t="s">
        <v>377</v>
      </c>
      <c r="AG296" t="s">
        <v>754</v>
      </c>
      <c r="AW296" t="s">
        <v>158</v>
      </c>
      <c r="AX296" t="s">
        <v>155</v>
      </c>
      <c r="AY296" t="s">
        <v>155</v>
      </c>
      <c r="AZ296" t="s">
        <v>377</v>
      </c>
      <c r="BA296" t="s">
        <v>155</v>
      </c>
      <c r="BB296" t="s">
        <v>377</v>
      </c>
      <c r="BD296">
        <f t="shared" si="26"/>
        <v>0</v>
      </c>
      <c r="BE296">
        <f t="shared" si="27"/>
        <v>0</v>
      </c>
      <c r="BF296">
        <f t="shared" si="28"/>
        <v>0</v>
      </c>
      <c r="BG296">
        <f t="shared" si="29"/>
        <v>0</v>
      </c>
      <c r="BH296">
        <f t="shared" si="30"/>
        <v>0</v>
      </c>
      <c r="BI296">
        <f t="shared" si="31"/>
        <v>0</v>
      </c>
    </row>
    <row r="297" spans="10:61" x14ac:dyDescent="0.3">
      <c r="J297" t="s">
        <v>159</v>
      </c>
      <c r="K297" s="17" t="s">
        <v>155</v>
      </c>
      <c r="L297" s="17" t="s">
        <v>155</v>
      </c>
      <c r="M297" s="17" t="s">
        <v>377</v>
      </c>
      <c r="N297" s="17" t="s">
        <v>155</v>
      </c>
      <c r="O297" s="17" t="s">
        <v>377</v>
      </c>
      <c r="AH297" s="17" t="s">
        <v>164</v>
      </c>
      <c r="AI297" s="17" t="s">
        <v>165</v>
      </c>
      <c r="AJ297" s="17" t="s">
        <v>166</v>
      </c>
      <c r="AK297" s="17" t="s">
        <v>167</v>
      </c>
      <c r="AL297" s="17" t="s">
        <v>168</v>
      </c>
      <c r="AW297" t="s">
        <v>159</v>
      </c>
      <c r="AX297" t="s">
        <v>155</v>
      </c>
      <c r="AY297" t="s">
        <v>155</v>
      </c>
      <c r="AZ297" t="s">
        <v>377</v>
      </c>
      <c r="BA297" t="s">
        <v>155</v>
      </c>
      <c r="BB297" t="s">
        <v>377</v>
      </c>
      <c r="BD297">
        <f t="shared" si="26"/>
        <v>0</v>
      </c>
      <c r="BE297">
        <f t="shared" si="27"/>
        <v>0</v>
      </c>
      <c r="BF297">
        <f t="shared" si="28"/>
        <v>0</v>
      </c>
      <c r="BG297">
        <f t="shared" si="29"/>
        <v>0</v>
      </c>
      <c r="BH297">
        <f t="shared" si="30"/>
        <v>0</v>
      </c>
      <c r="BI297">
        <f t="shared" si="31"/>
        <v>0</v>
      </c>
    </row>
    <row r="298" spans="10:61" x14ac:dyDescent="0.3">
      <c r="AG298" t="s">
        <v>550</v>
      </c>
      <c r="AH298" s="17" t="s">
        <v>155</v>
      </c>
      <c r="AI298" s="17" t="s">
        <v>377</v>
      </c>
      <c r="AJ298" s="17" t="s">
        <v>155</v>
      </c>
      <c r="AK298" s="17" t="s">
        <v>155</v>
      </c>
      <c r="AL298" s="17" t="s">
        <v>155</v>
      </c>
      <c r="BD298">
        <f t="shared" si="26"/>
        <v>0</v>
      </c>
      <c r="BE298">
        <f t="shared" si="27"/>
        <v>0</v>
      </c>
      <c r="BF298">
        <f t="shared" si="28"/>
        <v>0</v>
      </c>
      <c r="BG298">
        <f t="shared" si="29"/>
        <v>0</v>
      </c>
      <c r="BH298">
        <f t="shared" si="30"/>
        <v>0</v>
      </c>
      <c r="BI298">
        <f t="shared" si="31"/>
        <v>0</v>
      </c>
    </row>
    <row r="299" spans="10:61" x14ac:dyDescent="0.3">
      <c r="J299" t="s">
        <v>700</v>
      </c>
      <c r="AG299" t="s">
        <v>158</v>
      </c>
      <c r="AH299" s="17" t="s">
        <v>155</v>
      </c>
      <c r="AI299" s="17" t="s">
        <v>377</v>
      </c>
      <c r="AJ299" s="17" t="s">
        <v>155</v>
      </c>
      <c r="AK299" s="17" t="s">
        <v>155</v>
      </c>
      <c r="AL299" s="17" t="s">
        <v>377</v>
      </c>
      <c r="AW299" t="s">
        <v>700</v>
      </c>
      <c r="BD299">
        <f t="shared" si="26"/>
        <v>0</v>
      </c>
      <c r="BE299">
        <f t="shared" si="27"/>
        <v>0</v>
      </c>
      <c r="BF299">
        <f t="shared" si="28"/>
        <v>0</v>
      </c>
      <c r="BG299">
        <f t="shared" si="29"/>
        <v>0</v>
      </c>
      <c r="BH299">
        <f t="shared" si="30"/>
        <v>0</v>
      </c>
      <c r="BI299">
        <f t="shared" si="31"/>
        <v>0</v>
      </c>
    </row>
    <row r="300" spans="10:61" x14ac:dyDescent="0.3">
      <c r="K300" s="17" t="s">
        <v>164</v>
      </c>
      <c r="L300" s="17" t="s">
        <v>165</v>
      </c>
      <c r="M300" s="17" t="s">
        <v>166</v>
      </c>
      <c r="N300" s="17" t="s">
        <v>167</v>
      </c>
      <c r="O300" s="17" t="s">
        <v>168</v>
      </c>
      <c r="AG300" t="s">
        <v>159</v>
      </c>
      <c r="AH300" s="17" t="s">
        <v>155</v>
      </c>
      <c r="AI300" s="17" t="s">
        <v>377</v>
      </c>
      <c r="AJ300" s="17" t="s">
        <v>155</v>
      </c>
      <c r="AK300" s="17" t="s">
        <v>155</v>
      </c>
      <c r="AL300" s="17" t="s">
        <v>377</v>
      </c>
      <c r="AX300" t="s">
        <v>164</v>
      </c>
      <c r="AY300" t="s">
        <v>165</v>
      </c>
      <c r="AZ300" t="s">
        <v>166</v>
      </c>
      <c r="BA300" t="s">
        <v>167</v>
      </c>
      <c r="BB300" t="s">
        <v>168</v>
      </c>
      <c r="BD300">
        <f t="shared" si="26"/>
        <v>0</v>
      </c>
      <c r="BE300">
        <f t="shared" si="27"/>
        <v>0</v>
      </c>
      <c r="BF300">
        <f t="shared" si="28"/>
        <v>0</v>
      </c>
      <c r="BG300">
        <f t="shared" si="29"/>
        <v>0</v>
      </c>
      <c r="BH300">
        <f t="shared" si="30"/>
        <v>0</v>
      </c>
      <c r="BI300">
        <f t="shared" si="31"/>
        <v>0</v>
      </c>
    </row>
    <row r="301" spans="10:61" x14ac:dyDescent="0.3">
      <c r="J301" t="s">
        <v>548</v>
      </c>
      <c r="K301" s="17" t="s">
        <v>155</v>
      </c>
      <c r="L301" s="17" t="s">
        <v>382</v>
      </c>
      <c r="M301" s="17" t="s">
        <v>155</v>
      </c>
      <c r="N301" s="17" t="s">
        <v>155</v>
      </c>
      <c r="O301" s="17" t="s">
        <v>382</v>
      </c>
      <c r="AW301" t="s">
        <v>548</v>
      </c>
      <c r="AX301" t="s">
        <v>155</v>
      </c>
      <c r="AY301" t="s">
        <v>382</v>
      </c>
      <c r="AZ301" t="s">
        <v>155</v>
      </c>
      <c r="BA301" t="s">
        <v>155</v>
      </c>
      <c r="BB301" t="s">
        <v>382</v>
      </c>
      <c r="BD301">
        <f t="shared" si="26"/>
        <v>0</v>
      </c>
      <c r="BE301">
        <f t="shared" si="27"/>
        <v>0</v>
      </c>
      <c r="BF301">
        <f t="shared" si="28"/>
        <v>0</v>
      </c>
      <c r="BG301">
        <f t="shared" si="29"/>
        <v>0</v>
      </c>
      <c r="BH301">
        <f t="shared" si="30"/>
        <v>0</v>
      </c>
      <c r="BI301">
        <f t="shared" si="31"/>
        <v>0</v>
      </c>
    </row>
    <row r="302" spans="10:61" x14ac:dyDescent="0.3">
      <c r="J302" t="s">
        <v>549</v>
      </c>
      <c r="K302" s="17" t="s">
        <v>155</v>
      </c>
      <c r="L302" s="17" t="s">
        <v>382</v>
      </c>
      <c r="M302" s="17" t="s">
        <v>155</v>
      </c>
      <c r="N302" s="17" t="s">
        <v>155</v>
      </c>
      <c r="O302" s="17" t="s">
        <v>382</v>
      </c>
      <c r="AG302" t="s">
        <v>700</v>
      </c>
      <c r="AW302" t="s">
        <v>549</v>
      </c>
      <c r="AX302" t="s">
        <v>155</v>
      </c>
      <c r="AY302" t="s">
        <v>382</v>
      </c>
      <c r="AZ302" t="s">
        <v>155</v>
      </c>
      <c r="BA302" t="s">
        <v>155</v>
      </c>
      <c r="BB302" t="s">
        <v>382</v>
      </c>
      <c r="BD302">
        <f t="shared" si="26"/>
        <v>0</v>
      </c>
      <c r="BE302">
        <f t="shared" si="27"/>
        <v>0</v>
      </c>
      <c r="BF302">
        <f t="shared" si="28"/>
        <v>0</v>
      </c>
      <c r="BG302">
        <f t="shared" si="29"/>
        <v>0</v>
      </c>
      <c r="BH302">
        <f t="shared" si="30"/>
        <v>0</v>
      </c>
      <c r="BI302">
        <f t="shared" si="31"/>
        <v>0</v>
      </c>
    </row>
    <row r="303" spans="10:61" x14ac:dyDescent="0.3">
      <c r="J303" t="s">
        <v>550</v>
      </c>
      <c r="K303" s="17" t="s">
        <v>155</v>
      </c>
      <c r="L303" s="17" t="s">
        <v>155</v>
      </c>
      <c r="M303" s="17" t="s">
        <v>155</v>
      </c>
      <c r="N303" s="17" t="s">
        <v>155</v>
      </c>
      <c r="O303" s="17" t="s">
        <v>382</v>
      </c>
      <c r="AH303" s="17" t="s">
        <v>164</v>
      </c>
      <c r="AI303" s="17" t="s">
        <v>165</v>
      </c>
      <c r="AJ303" s="17" t="s">
        <v>166</v>
      </c>
      <c r="AK303" s="17" t="s">
        <v>167</v>
      </c>
      <c r="AL303" s="17" t="s">
        <v>168</v>
      </c>
      <c r="AW303" t="s">
        <v>550</v>
      </c>
      <c r="AX303" t="s">
        <v>155</v>
      </c>
      <c r="AY303" t="s">
        <v>155</v>
      </c>
      <c r="AZ303" t="s">
        <v>155</v>
      </c>
      <c r="BA303" t="s">
        <v>155</v>
      </c>
      <c r="BB303" t="s">
        <v>382</v>
      </c>
      <c r="BD303">
        <f t="shared" si="26"/>
        <v>0</v>
      </c>
      <c r="BE303">
        <f t="shared" si="27"/>
        <v>0</v>
      </c>
      <c r="BF303">
        <f t="shared" si="28"/>
        <v>0</v>
      </c>
      <c r="BG303">
        <f t="shared" si="29"/>
        <v>0</v>
      </c>
      <c r="BH303">
        <f t="shared" si="30"/>
        <v>0</v>
      </c>
      <c r="BI303">
        <f t="shared" si="31"/>
        <v>0</v>
      </c>
    </row>
    <row r="304" spans="10:61" x14ac:dyDescent="0.3">
      <c r="J304" t="s">
        <v>543</v>
      </c>
      <c r="K304" s="17" t="s">
        <v>155</v>
      </c>
      <c r="L304" s="17" t="s">
        <v>155</v>
      </c>
      <c r="M304" s="17" t="s">
        <v>79</v>
      </c>
      <c r="N304" s="17" t="s">
        <v>155</v>
      </c>
      <c r="O304" s="17" t="s">
        <v>155</v>
      </c>
      <c r="AG304" t="s">
        <v>548</v>
      </c>
      <c r="AH304" s="17" t="s">
        <v>155</v>
      </c>
      <c r="AI304" s="17" t="s">
        <v>382</v>
      </c>
      <c r="AJ304" s="17" t="s">
        <v>155</v>
      </c>
      <c r="AK304" s="17" t="s">
        <v>382</v>
      </c>
      <c r="AL304" s="17" t="s">
        <v>155</v>
      </c>
      <c r="AW304" t="s">
        <v>543</v>
      </c>
      <c r="AX304" t="s">
        <v>155</v>
      </c>
      <c r="AY304" t="s">
        <v>155</v>
      </c>
      <c r="AZ304" t="s">
        <v>79</v>
      </c>
      <c r="BA304" t="s">
        <v>155</v>
      </c>
      <c r="BB304" t="s">
        <v>155</v>
      </c>
      <c r="BD304">
        <f t="shared" si="26"/>
        <v>0</v>
      </c>
      <c r="BE304">
        <f t="shared" si="27"/>
        <v>0</v>
      </c>
      <c r="BF304">
        <f t="shared" si="28"/>
        <v>0</v>
      </c>
      <c r="BG304">
        <f t="shared" si="29"/>
        <v>0</v>
      </c>
      <c r="BH304">
        <f t="shared" si="30"/>
        <v>0</v>
      </c>
      <c r="BI304">
        <f t="shared" si="31"/>
        <v>0</v>
      </c>
    </row>
    <row r="305" spans="10:61" x14ac:dyDescent="0.3">
      <c r="J305" t="s">
        <v>544</v>
      </c>
      <c r="K305" s="17" t="s">
        <v>155</v>
      </c>
      <c r="L305" s="17" t="s">
        <v>155</v>
      </c>
      <c r="M305" s="17" t="s">
        <v>79</v>
      </c>
      <c r="N305" s="17" t="s">
        <v>155</v>
      </c>
      <c r="O305" s="17" t="s">
        <v>79</v>
      </c>
      <c r="AG305" t="s">
        <v>549</v>
      </c>
      <c r="AH305" s="17" t="s">
        <v>155</v>
      </c>
      <c r="AI305" s="17" t="s">
        <v>382</v>
      </c>
      <c r="AJ305" s="17" t="s">
        <v>155</v>
      </c>
      <c r="AK305" s="17" t="s">
        <v>382</v>
      </c>
      <c r="AL305" s="17" t="s">
        <v>155</v>
      </c>
      <c r="AW305" t="s">
        <v>544</v>
      </c>
      <c r="AX305" t="s">
        <v>155</v>
      </c>
      <c r="AY305" t="s">
        <v>155</v>
      </c>
      <c r="AZ305" t="s">
        <v>79</v>
      </c>
      <c r="BA305" t="s">
        <v>155</v>
      </c>
      <c r="BB305" t="s">
        <v>79</v>
      </c>
      <c r="BD305">
        <f t="shared" si="26"/>
        <v>0</v>
      </c>
      <c r="BE305">
        <f t="shared" si="27"/>
        <v>0</v>
      </c>
      <c r="BF305">
        <f t="shared" si="28"/>
        <v>0</v>
      </c>
      <c r="BG305">
        <f t="shared" si="29"/>
        <v>0</v>
      </c>
      <c r="BH305">
        <f t="shared" si="30"/>
        <v>0</v>
      </c>
      <c r="BI305">
        <f t="shared" si="31"/>
        <v>0</v>
      </c>
    </row>
    <row r="306" spans="10:61" x14ac:dyDescent="0.3">
      <c r="J306" t="s">
        <v>545</v>
      </c>
      <c r="K306" s="17" t="s">
        <v>155</v>
      </c>
      <c r="L306" s="17" t="s">
        <v>155</v>
      </c>
      <c r="M306" s="17" t="s">
        <v>79</v>
      </c>
      <c r="N306" s="17" t="s">
        <v>155</v>
      </c>
      <c r="O306" s="17" t="s">
        <v>79</v>
      </c>
      <c r="AG306" t="s">
        <v>550</v>
      </c>
      <c r="AH306" s="17" t="s">
        <v>155</v>
      </c>
      <c r="AI306" s="17" t="s">
        <v>155</v>
      </c>
      <c r="AJ306" s="17" t="s">
        <v>155</v>
      </c>
      <c r="AK306" s="17" t="s">
        <v>382</v>
      </c>
      <c r="AL306" s="17" t="s">
        <v>155</v>
      </c>
      <c r="AW306" t="s">
        <v>545</v>
      </c>
      <c r="AX306" t="s">
        <v>155</v>
      </c>
      <c r="AY306" t="s">
        <v>155</v>
      </c>
      <c r="AZ306" t="s">
        <v>79</v>
      </c>
      <c r="BA306" t="s">
        <v>155</v>
      </c>
      <c r="BB306" t="s">
        <v>79</v>
      </c>
      <c r="BD306">
        <f t="shared" si="26"/>
        <v>0</v>
      </c>
      <c r="BE306">
        <f t="shared" si="27"/>
        <v>0</v>
      </c>
      <c r="BF306">
        <f t="shared" si="28"/>
        <v>0</v>
      </c>
      <c r="BG306">
        <f t="shared" si="29"/>
        <v>0</v>
      </c>
      <c r="BH306">
        <f t="shared" si="30"/>
        <v>0</v>
      </c>
      <c r="BI306">
        <f t="shared" si="31"/>
        <v>0</v>
      </c>
    </row>
    <row r="307" spans="10:61" x14ac:dyDescent="0.3">
      <c r="AG307" t="s">
        <v>544</v>
      </c>
      <c r="AH307" s="17" t="s">
        <v>155</v>
      </c>
      <c r="AI307" s="17" t="s">
        <v>79</v>
      </c>
      <c r="AJ307" s="17" t="s">
        <v>155</v>
      </c>
      <c r="AK307" s="17" t="s">
        <v>155</v>
      </c>
      <c r="AL307" s="17" t="s">
        <v>155</v>
      </c>
      <c r="BD307">
        <f t="shared" si="26"/>
        <v>0</v>
      </c>
      <c r="BE307">
        <f t="shared" si="27"/>
        <v>0</v>
      </c>
      <c r="BF307">
        <f t="shared" si="28"/>
        <v>0</v>
      </c>
      <c r="BG307">
        <f t="shared" si="29"/>
        <v>0</v>
      </c>
      <c r="BH307">
        <f t="shared" si="30"/>
        <v>0</v>
      </c>
      <c r="BI307">
        <f t="shared" si="31"/>
        <v>0</v>
      </c>
    </row>
    <row r="308" spans="10:61" x14ac:dyDescent="0.3">
      <c r="J308" t="s">
        <v>733</v>
      </c>
      <c r="AG308" t="s">
        <v>545</v>
      </c>
      <c r="AH308" s="17" t="s">
        <v>155</v>
      </c>
      <c r="AI308" s="17" t="s">
        <v>79</v>
      </c>
      <c r="AJ308" s="17" t="s">
        <v>155</v>
      </c>
      <c r="AK308" s="17" t="s">
        <v>155</v>
      </c>
      <c r="AL308" s="17" t="s">
        <v>79</v>
      </c>
      <c r="AW308" t="s">
        <v>733</v>
      </c>
      <c r="BD308">
        <f t="shared" si="26"/>
        <v>0</v>
      </c>
      <c r="BE308">
        <f t="shared" si="27"/>
        <v>0</v>
      </c>
      <c r="BF308">
        <f t="shared" si="28"/>
        <v>0</v>
      </c>
      <c r="BG308">
        <f t="shared" si="29"/>
        <v>0</v>
      </c>
      <c r="BH308">
        <f t="shared" si="30"/>
        <v>0</v>
      </c>
      <c r="BI308">
        <f t="shared" si="31"/>
        <v>0</v>
      </c>
    </row>
    <row r="309" spans="10:61" x14ac:dyDescent="0.3">
      <c r="K309" s="17" t="s">
        <v>164</v>
      </c>
      <c r="L309" s="17" t="s">
        <v>165</v>
      </c>
      <c r="M309" s="17" t="s">
        <v>166</v>
      </c>
      <c r="N309" s="17" t="s">
        <v>167</v>
      </c>
      <c r="O309" s="17" t="s">
        <v>168</v>
      </c>
      <c r="AG309" t="s">
        <v>546</v>
      </c>
      <c r="AH309" s="17" t="s">
        <v>155</v>
      </c>
      <c r="AI309" s="17" t="s">
        <v>79</v>
      </c>
      <c r="AJ309" s="17" t="s">
        <v>155</v>
      </c>
      <c r="AK309" s="17" t="s">
        <v>155</v>
      </c>
      <c r="AL309" s="17" t="s">
        <v>79</v>
      </c>
      <c r="AX309" t="s">
        <v>164</v>
      </c>
      <c r="AY309" t="s">
        <v>165</v>
      </c>
      <c r="AZ309" t="s">
        <v>166</v>
      </c>
      <c r="BA309" t="s">
        <v>167</v>
      </c>
      <c r="BB309" t="s">
        <v>168</v>
      </c>
      <c r="BD309">
        <f t="shared" si="26"/>
        <v>0</v>
      </c>
      <c r="BE309">
        <f t="shared" si="27"/>
        <v>0</v>
      </c>
      <c r="BF309">
        <f t="shared" si="28"/>
        <v>0</v>
      </c>
      <c r="BG309">
        <f t="shared" si="29"/>
        <v>0</v>
      </c>
      <c r="BH309">
        <f t="shared" si="30"/>
        <v>0</v>
      </c>
      <c r="BI309">
        <f t="shared" si="31"/>
        <v>0</v>
      </c>
    </row>
    <row r="310" spans="10:61" x14ac:dyDescent="0.3">
      <c r="J310" t="s">
        <v>550</v>
      </c>
      <c r="K310" s="17" t="s">
        <v>155</v>
      </c>
      <c r="L310" s="17" t="s">
        <v>339</v>
      </c>
      <c r="M310" s="17" t="s">
        <v>155</v>
      </c>
      <c r="N310" s="17" t="s">
        <v>155</v>
      </c>
      <c r="O310" s="17" t="s">
        <v>155</v>
      </c>
      <c r="AW310" t="s">
        <v>550</v>
      </c>
      <c r="AX310" t="s">
        <v>155</v>
      </c>
      <c r="AY310" t="s">
        <v>339</v>
      </c>
      <c r="AZ310" t="s">
        <v>155</v>
      </c>
      <c r="BA310" t="s">
        <v>155</v>
      </c>
      <c r="BB310" t="s">
        <v>155</v>
      </c>
      <c r="BD310">
        <f t="shared" si="26"/>
        <v>0</v>
      </c>
      <c r="BE310">
        <f t="shared" si="27"/>
        <v>0</v>
      </c>
      <c r="BF310">
        <f t="shared" si="28"/>
        <v>0</v>
      </c>
      <c r="BG310">
        <f t="shared" si="29"/>
        <v>0</v>
      </c>
      <c r="BH310">
        <f t="shared" si="30"/>
        <v>0</v>
      </c>
      <c r="BI310">
        <f t="shared" si="31"/>
        <v>0</v>
      </c>
    </row>
    <row r="311" spans="10:61" x14ac:dyDescent="0.3">
      <c r="J311" t="s">
        <v>158</v>
      </c>
      <c r="K311" s="17" t="s">
        <v>155</v>
      </c>
      <c r="L311" s="17" t="s">
        <v>339</v>
      </c>
      <c r="M311" s="17" t="s">
        <v>155</v>
      </c>
      <c r="N311" s="17" t="s">
        <v>339</v>
      </c>
      <c r="O311" s="17" t="s">
        <v>155</v>
      </c>
      <c r="AG311" t="s">
        <v>733</v>
      </c>
      <c r="AW311" t="s">
        <v>158</v>
      </c>
      <c r="AX311" t="s">
        <v>155</v>
      </c>
      <c r="AY311" t="s">
        <v>339</v>
      </c>
      <c r="AZ311" t="s">
        <v>155</v>
      </c>
      <c r="BA311" t="s">
        <v>339</v>
      </c>
      <c r="BB311" t="s">
        <v>155</v>
      </c>
      <c r="BD311">
        <f t="shared" si="26"/>
        <v>0</v>
      </c>
      <c r="BE311">
        <f t="shared" si="27"/>
        <v>0</v>
      </c>
      <c r="BF311">
        <f t="shared" si="28"/>
        <v>0</v>
      </c>
      <c r="BG311">
        <f t="shared" si="29"/>
        <v>0</v>
      </c>
      <c r="BH311">
        <f t="shared" si="30"/>
        <v>0</v>
      </c>
      <c r="BI311">
        <f t="shared" si="31"/>
        <v>0</v>
      </c>
    </row>
    <row r="312" spans="10:61" x14ac:dyDescent="0.3">
      <c r="J312" t="s">
        <v>159</v>
      </c>
      <c r="K312" s="17" t="s">
        <v>339</v>
      </c>
      <c r="L312" s="17" t="s">
        <v>155</v>
      </c>
      <c r="M312" s="17" t="s">
        <v>339</v>
      </c>
      <c r="N312" s="17" t="s">
        <v>339</v>
      </c>
      <c r="O312" s="17" t="s">
        <v>155</v>
      </c>
      <c r="AH312" s="17" t="s">
        <v>164</v>
      </c>
      <c r="AI312" s="17" t="s">
        <v>165</v>
      </c>
      <c r="AJ312" s="17" t="s">
        <v>166</v>
      </c>
      <c r="AK312" s="17" t="s">
        <v>167</v>
      </c>
      <c r="AL312" s="17" t="s">
        <v>168</v>
      </c>
      <c r="AW312" t="s">
        <v>159</v>
      </c>
      <c r="AX312" t="s">
        <v>339</v>
      </c>
      <c r="AY312" t="s">
        <v>155</v>
      </c>
      <c r="AZ312" t="s">
        <v>339</v>
      </c>
      <c r="BA312" t="s">
        <v>339</v>
      </c>
      <c r="BB312" t="s">
        <v>155</v>
      </c>
      <c r="BD312">
        <f t="shared" si="26"/>
        <v>0</v>
      </c>
      <c r="BE312">
        <f t="shared" si="27"/>
        <v>0</v>
      </c>
      <c r="BF312">
        <f t="shared" si="28"/>
        <v>0</v>
      </c>
      <c r="BG312">
        <f t="shared" si="29"/>
        <v>0</v>
      </c>
      <c r="BH312">
        <f t="shared" si="30"/>
        <v>0</v>
      </c>
      <c r="BI312">
        <f t="shared" si="31"/>
        <v>0</v>
      </c>
    </row>
    <row r="313" spans="10:61" x14ac:dyDescent="0.3">
      <c r="J313" t="s">
        <v>160</v>
      </c>
      <c r="K313" s="17" t="s">
        <v>339</v>
      </c>
      <c r="L313" s="17" t="s">
        <v>339</v>
      </c>
      <c r="M313" s="17" t="s">
        <v>339</v>
      </c>
      <c r="N313" s="17" t="s">
        <v>339</v>
      </c>
      <c r="O313" s="17" t="s">
        <v>155</v>
      </c>
      <c r="AG313" t="s">
        <v>550</v>
      </c>
      <c r="AH313" s="17" t="s">
        <v>155</v>
      </c>
      <c r="AI313" s="17" t="s">
        <v>339</v>
      </c>
      <c r="AJ313" s="17" t="s">
        <v>155</v>
      </c>
      <c r="AK313" s="17" t="s">
        <v>339</v>
      </c>
      <c r="AL313" s="17" t="s">
        <v>155</v>
      </c>
      <c r="AW313" t="s">
        <v>160</v>
      </c>
      <c r="AX313" t="s">
        <v>339</v>
      </c>
      <c r="AY313" t="s">
        <v>339</v>
      </c>
      <c r="AZ313" t="s">
        <v>339</v>
      </c>
      <c r="BA313" t="s">
        <v>339</v>
      </c>
      <c r="BB313" t="s">
        <v>155</v>
      </c>
      <c r="BD313">
        <f t="shared" si="26"/>
        <v>0</v>
      </c>
      <c r="BE313">
        <f t="shared" si="27"/>
        <v>0</v>
      </c>
      <c r="BF313">
        <f t="shared" si="28"/>
        <v>0</v>
      </c>
      <c r="BG313">
        <f t="shared" si="29"/>
        <v>0</v>
      </c>
      <c r="BH313">
        <f t="shared" si="30"/>
        <v>0</v>
      </c>
      <c r="BI313">
        <f t="shared" si="31"/>
        <v>0</v>
      </c>
    </row>
    <row r="314" spans="10:61" x14ac:dyDescent="0.3">
      <c r="AG314" t="s">
        <v>158</v>
      </c>
      <c r="AH314" s="17" t="s">
        <v>155</v>
      </c>
      <c r="AI314" s="17" t="s">
        <v>339</v>
      </c>
      <c r="AJ314" s="17" t="s">
        <v>155</v>
      </c>
      <c r="AK314" s="17" t="s">
        <v>339</v>
      </c>
      <c r="AL314" s="17" t="s">
        <v>155</v>
      </c>
      <c r="BD314">
        <f t="shared" si="26"/>
        <v>0</v>
      </c>
      <c r="BE314">
        <f t="shared" si="27"/>
        <v>0</v>
      </c>
      <c r="BF314">
        <f t="shared" si="28"/>
        <v>0</v>
      </c>
      <c r="BG314">
        <f t="shared" si="29"/>
        <v>0</v>
      </c>
      <c r="BH314">
        <f t="shared" si="30"/>
        <v>0</v>
      </c>
      <c r="BI314">
        <f t="shared" si="31"/>
        <v>0</v>
      </c>
    </row>
    <row r="315" spans="10:61" x14ac:dyDescent="0.3">
      <c r="J315" t="s">
        <v>755</v>
      </c>
      <c r="AG315" t="s">
        <v>159</v>
      </c>
      <c r="AH315" s="17" t="s">
        <v>339</v>
      </c>
      <c r="AI315" s="17" t="s">
        <v>155</v>
      </c>
      <c r="AJ315" s="17" t="s">
        <v>339</v>
      </c>
      <c r="AK315" s="17" t="s">
        <v>155</v>
      </c>
      <c r="AL315" s="17" t="s">
        <v>155</v>
      </c>
      <c r="AW315" t="s">
        <v>755</v>
      </c>
      <c r="BD315">
        <f t="shared" si="26"/>
        <v>0</v>
      </c>
      <c r="BE315">
        <f t="shared" si="27"/>
        <v>0</v>
      </c>
      <c r="BF315">
        <f t="shared" si="28"/>
        <v>0</v>
      </c>
      <c r="BG315">
        <f t="shared" si="29"/>
        <v>0</v>
      </c>
      <c r="BH315">
        <f t="shared" si="30"/>
        <v>0</v>
      </c>
      <c r="BI315">
        <f t="shared" si="31"/>
        <v>0</v>
      </c>
    </row>
    <row r="316" spans="10:61" x14ac:dyDescent="0.3">
      <c r="K316" s="17" t="s">
        <v>164</v>
      </c>
      <c r="L316" s="17" t="s">
        <v>165</v>
      </c>
      <c r="M316" s="17" t="s">
        <v>166</v>
      </c>
      <c r="N316" s="17" t="s">
        <v>167</v>
      </c>
      <c r="O316" s="17" t="s">
        <v>168</v>
      </c>
      <c r="AG316" t="s">
        <v>160</v>
      </c>
      <c r="AH316" s="17" t="s">
        <v>339</v>
      </c>
      <c r="AI316" s="17" t="s">
        <v>339</v>
      </c>
      <c r="AJ316" s="17" t="s">
        <v>339</v>
      </c>
      <c r="AK316" s="17" t="s">
        <v>339</v>
      </c>
      <c r="AL316" s="17" t="s">
        <v>155</v>
      </c>
      <c r="AX316" t="s">
        <v>164</v>
      </c>
      <c r="AY316" t="s">
        <v>165</v>
      </c>
      <c r="AZ316" t="s">
        <v>166</v>
      </c>
      <c r="BA316" t="s">
        <v>167</v>
      </c>
      <c r="BB316" t="s">
        <v>168</v>
      </c>
      <c r="BD316">
        <f t="shared" si="26"/>
        <v>0</v>
      </c>
      <c r="BE316">
        <f t="shared" si="27"/>
        <v>0</v>
      </c>
      <c r="BF316">
        <f t="shared" si="28"/>
        <v>0</v>
      </c>
      <c r="BG316">
        <f t="shared" si="29"/>
        <v>0</v>
      </c>
      <c r="BH316">
        <f t="shared" si="30"/>
        <v>0</v>
      </c>
      <c r="BI316">
        <f t="shared" si="31"/>
        <v>0</v>
      </c>
    </row>
    <row r="317" spans="10:61" x14ac:dyDescent="0.3">
      <c r="J317" t="s">
        <v>548</v>
      </c>
      <c r="K317" s="17" t="s">
        <v>155</v>
      </c>
      <c r="L317" s="17" t="s">
        <v>155</v>
      </c>
      <c r="M317" s="17" t="s">
        <v>155</v>
      </c>
      <c r="N317" s="17" t="s">
        <v>377</v>
      </c>
      <c r="O317" s="17" t="s">
        <v>155</v>
      </c>
      <c r="AW317" t="s">
        <v>548</v>
      </c>
      <c r="AX317" t="s">
        <v>155</v>
      </c>
      <c r="AY317" t="s">
        <v>155</v>
      </c>
      <c r="AZ317" t="s">
        <v>155</v>
      </c>
      <c r="BA317" t="s">
        <v>377</v>
      </c>
      <c r="BB317" t="s">
        <v>155</v>
      </c>
      <c r="BD317">
        <f t="shared" si="26"/>
        <v>0</v>
      </c>
      <c r="BE317">
        <f t="shared" si="27"/>
        <v>0</v>
      </c>
      <c r="BF317">
        <f t="shared" si="28"/>
        <v>0</v>
      </c>
      <c r="BG317">
        <f t="shared" si="29"/>
        <v>0</v>
      </c>
      <c r="BH317">
        <f t="shared" si="30"/>
        <v>0</v>
      </c>
      <c r="BI317">
        <f t="shared" si="31"/>
        <v>0</v>
      </c>
    </row>
    <row r="318" spans="10:61" x14ac:dyDescent="0.3">
      <c r="J318" t="s">
        <v>549</v>
      </c>
      <c r="K318" s="17" t="s">
        <v>155</v>
      </c>
      <c r="L318" s="17" t="s">
        <v>155</v>
      </c>
      <c r="M318" s="17" t="s">
        <v>155</v>
      </c>
      <c r="N318" s="17" t="s">
        <v>377</v>
      </c>
      <c r="O318" s="17" t="s">
        <v>155</v>
      </c>
      <c r="AG318" t="s">
        <v>755</v>
      </c>
      <c r="AW318" t="s">
        <v>549</v>
      </c>
      <c r="AX318" t="s">
        <v>155</v>
      </c>
      <c r="AY318" t="s">
        <v>155</v>
      </c>
      <c r="AZ318" t="s">
        <v>155</v>
      </c>
      <c r="BA318" t="s">
        <v>377</v>
      </c>
      <c r="BB318" t="s">
        <v>155</v>
      </c>
      <c r="BD318">
        <f t="shared" si="26"/>
        <v>0</v>
      </c>
      <c r="BE318">
        <f t="shared" si="27"/>
        <v>0</v>
      </c>
      <c r="BF318">
        <f t="shared" si="28"/>
        <v>0</v>
      </c>
      <c r="BG318">
        <f t="shared" si="29"/>
        <v>0</v>
      </c>
      <c r="BH318">
        <f t="shared" si="30"/>
        <v>0</v>
      </c>
      <c r="BI318">
        <f t="shared" si="31"/>
        <v>0</v>
      </c>
    </row>
    <row r="319" spans="10:61" x14ac:dyDescent="0.3">
      <c r="J319" t="s">
        <v>550</v>
      </c>
      <c r="K319" s="17" t="s">
        <v>155</v>
      </c>
      <c r="L319" s="17" t="s">
        <v>155</v>
      </c>
      <c r="M319" s="17" t="s">
        <v>155</v>
      </c>
      <c r="N319" s="17" t="s">
        <v>377</v>
      </c>
      <c r="O319" s="17" t="s">
        <v>155</v>
      </c>
      <c r="AH319" s="17" t="s">
        <v>164</v>
      </c>
      <c r="AI319" s="17" t="s">
        <v>165</v>
      </c>
      <c r="AJ319" s="17" t="s">
        <v>166</v>
      </c>
      <c r="AK319" s="17" t="s">
        <v>167</v>
      </c>
      <c r="AL319" s="17" t="s">
        <v>168</v>
      </c>
      <c r="AW319" t="s">
        <v>550</v>
      </c>
      <c r="AX319" t="s">
        <v>155</v>
      </c>
      <c r="AY319" t="s">
        <v>155</v>
      </c>
      <c r="AZ319" t="s">
        <v>155</v>
      </c>
      <c r="BA319" t="s">
        <v>377</v>
      </c>
      <c r="BB319" t="s">
        <v>155</v>
      </c>
      <c r="BD319">
        <f t="shared" si="26"/>
        <v>0</v>
      </c>
      <c r="BE319">
        <f t="shared" si="27"/>
        <v>0</v>
      </c>
      <c r="BF319">
        <f t="shared" si="28"/>
        <v>0</v>
      </c>
      <c r="BG319">
        <f t="shared" si="29"/>
        <v>0</v>
      </c>
      <c r="BH319">
        <f t="shared" si="30"/>
        <v>0</v>
      </c>
      <c r="BI319">
        <f t="shared" si="31"/>
        <v>0</v>
      </c>
    </row>
    <row r="320" spans="10:61" x14ac:dyDescent="0.3">
      <c r="J320" t="s">
        <v>159</v>
      </c>
      <c r="K320" s="17" t="s">
        <v>155</v>
      </c>
      <c r="L320" s="17" t="s">
        <v>377</v>
      </c>
      <c r="M320" s="17" t="s">
        <v>155</v>
      </c>
      <c r="N320" s="17" t="s">
        <v>155</v>
      </c>
      <c r="O320" s="17" t="s">
        <v>155</v>
      </c>
      <c r="AG320" t="s">
        <v>548</v>
      </c>
      <c r="AH320" s="17" t="s">
        <v>377</v>
      </c>
      <c r="AI320" s="17" t="s">
        <v>155</v>
      </c>
      <c r="AJ320" s="17" t="s">
        <v>155</v>
      </c>
      <c r="AK320" s="17" t="s">
        <v>155</v>
      </c>
      <c r="AL320" s="17" t="s">
        <v>155</v>
      </c>
      <c r="AW320" t="s">
        <v>159</v>
      </c>
      <c r="AX320" t="s">
        <v>155</v>
      </c>
      <c r="AY320" t="s">
        <v>377</v>
      </c>
      <c r="AZ320" t="s">
        <v>155</v>
      </c>
      <c r="BA320" t="s">
        <v>155</v>
      </c>
      <c r="BB320" t="s">
        <v>155</v>
      </c>
      <c r="BD320">
        <f t="shared" si="26"/>
        <v>0</v>
      </c>
      <c r="BE320">
        <f t="shared" si="27"/>
        <v>0</v>
      </c>
      <c r="BF320">
        <f t="shared" si="28"/>
        <v>0</v>
      </c>
      <c r="BG320">
        <f t="shared" si="29"/>
        <v>0</v>
      </c>
      <c r="BH320">
        <f t="shared" si="30"/>
        <v>0</v>
      </c>
      <c r="BI320">
        <f t="shared" si="31"/>
        <v>0</v>
      </c>
    </row>
    <row r="321" spans="10:61" x14ac:dyDescent="0.3">
      <c r="J321" t="s">
        <v>160</v>
      </c>
      <c r="K321" s="17" t="s">
        <v>155</v>
      </c>
      <c r="L321" s="17" t="s">
        <v>377</v>
      </c>
      <c r="M321" s="17" t="s">
        <v>155</v>
      </c>
      <c r="N321" s="17" t="s">
        <v>155</v>
      </c>
      <c r="O321" s="17" t="s">
        <v>155</v>
      </c>
      <c r="AG321" t="s">
        <v>549</v>
      </c>
      <c r="AH321" s="17" t="s">
        <v>377</v>
      </c>
      <c r="AI321" s="17" t="s">
        <v>155</v>
      </c>
      <c r="AJ321" s="17" t="s">
        <v>155</v>
      </c>
      <c r="AK321" s="17" t="s">
        <v>155</v>
      </c>
      <c r="AL321" s="17" t="s">
        <v>155</v>
      </c>
      <c r="AW321" t="s">
        <v>160</v>
      </c>
      <c r="AX321" t="s">
        <v>155</v>
      </c>
      <c r="AY321" t="s">
        <v>377</v>
      </c>
      <c r="AZ321" t="s">
        <v>155</v>
      </c>
      <c r="BA321" t="s">
        <v>155</v>
      </c>
      <c r="BB321" t="s">
        <v>155</v>
      </c>
      <c r="BD321">
        <f t="shared" si="26"/>
        <v>0</v>
      </c>
      <c r="BE321">
        <f t="shared" si="27"/>
        <v>0</v>
      </c>
      <c r="BF321">
        <f t="shared" si="28"/>
        <v>0</v>
      </c>
      <c r="BG321">
        <f t="shared" si="29"/>
        <v>0</v>
      </c>
      <c r="BH321">
        <f t="shared" si="30"/>
        <v>0</v>
      </c>
      <c r="BI321">
        <f t="shared" si="31"/>
        <v>0</v>
      </c>
    </row>
    <row r="322" spans="10:61" x14ac:dyDescent="0.3">
      <c r="AG322" t="s">
        <v>550</v>
      </c>
      <c r="AH322" s="17" t="s">
        <v>377</v>
      </c>
      <c r="AI322" s="17" t="s">
        <v>155</v>
      </c>
      <c r="AJ322" s="17" t="s">
        <v>377</v>
      </c>
      <c r="AK322" s="17" t="s">
        <v>155</v>
      </c>
      <c r="AL322" s="17" t="s">
        <v>155</v>
      </c>
      <c r="BD322">
        <f t="shared" si="26"/>
        <v>0</v>
      </c>
      <c r="BE322">
        <f t="shared" si="27"/>
        <v>0</v>
      </c>
      <c r="BF322">
        <f t="shared" si="28"/>
        <v>0</v>
      </c>
      <c r="BG322">
        <f t="shared" si="29"/>
        <v>0</v>
      </c>
      <c r="BH322">
        <f t="shared" si="30"/>
        <v>0</v>
      </c>
      <c r="BI322">
        <f t="shared" si="31"/>
        <v>0</v>
      </c>
    </row>
    <row r="323" spans="10:61" x14ac:dyDescent="0.3">
      <c r="J323" t="s">
        <v>829</v>
      </c>
      <c r="AG323" t="s">
        <v>158</v>
      </c>
      <c r="AH323" s="17" t="s">
        <v>155</v>
      </c>
      <c r="AI323" s="17" t="s">
        <v>155</v>
      </c>
      <c r="AJ323" s="17" t="s">
        <v>377</v>
      </c>
      <c r="AK323" s="17" t="s">
        <v>155</v>
      </c>
      <c r="AL323" s="17" t="s">
        <v>155</v>
      </c>
      <c r="AW323" t="s">
        <v>829</v>
      </c>
      <c r="BD323">
        <f t="shared" si="26"/>
        <v>0</v>
      </c>
      <c r="BE323">
        <f t="shared" si="27"/>
        <v>0</v>
      </c>
      <c r="BF323">
        <f t="shared" si="28"/>
        <v>0</v>
      </c>
      <c r="BG323">
        <f t="shared" si="29"/>
        <v>0</v>
      </c>
      <c r="BH323">
        <f t="shared" si="30"/>
        <v>0</v>
      </c>
      <c r="BI323">
        <f t="shared" si="31"/>
        <v>0</v>
      </c>
    </row>
    <row r="324" spans="10:61" x14ac:dyDescent="0.3">
      <c r="K324" s="17" t="s">
        <v>164</v>
      </c>
      <c r="L324" s="17" t="s">
        <v>165</v>
      </c>
      <c r="M324" s="17" t="s">
        <v>166</v>
      </c>
      <c r="N324" s="17" t="s">
        <v>167</v>
      </c>
      <c r="O324" s="17" t="s">
        <v>168</v>
      </c>
      <c r="AX324" t="s">
        <v>164</v>
      </c>
      <c r="AY324" t="s">
        <v>165</v>
      </c>
      <c r="AZ324" t="s">
        <v>166</v>
      </c>
      <c r="BA324" t="s">
        <v>167</v>
      </c>
      <c r="BB324" t="s">
        <v>168</v>
      </c>
      <c r="BD324">
        <f t="shared" si="26"/>
        <v>0</v>
      </c>
      <c r="BE324">
        <f t="shared" si="27"/>
        <v>0</v>
      </c>
      <c r="BF324">
        <f t="shared" si="28"/>
        <v>0</v>
      </c>
      <c r="BG324">
        <f t="shared" si="29"/>
        <v>0</v>
      </c>
      <c r="BH324">
        <f t="shared" si="30"/>
        <v>0</v>
      </c>
      <c r="BI324">
        <f t="shared" si="31"/>
        <v>0</v>
      </c>
    </row>
    <row r="325" spans="10:61" x14ac:dyDescent="0.3">
      <c r="J325" t="s">
        <v>542</v>
      </c>
      <c r="K325" s="17" t="s">
        <v>462</v>
      </c>
      <c r="L325" s="17" t="s">
        <v>155</v>
      </c>
      <c r="M325" s="17" t="s">
        <v>155</v>
      </c>
      <c r="N325" s="17" t="s">
        <v>462</v>
      </c>
      <c r="O325" s="17" t="s">
        <v>155</v>
      </c>
      <c r="AG325" t="s">
        <v>829</v>
      </c>
      <c r="AW325" t="s">
        <v>542</v>
      </c>
      <c r="AX325" t="s">
        <v>462</v>
      </c>
      <c r="AY325" t="s">
        <v>155</v>
      </c>
      <c r="AZ325" t="s">
        <v>155</v>
      </c>
      <c r="BA325" t="s">
        <v>462</v>
      </c>
      <c r="BB325" t="s">
        <v>155</v>
      </c>
      <c r="BD325">
        <f t="shared" si="26"/>
        <v>0</v>
      </c>
      <c r="BE325">
        <f t="shared" si="27"/>
        <v>0</v>
      </c>
      <c r="BF325">
        <f t="shared" si="28"/>
        <v>0</v>
      </c>
      <c r="BG325">
        <f t="shared" si="29"/>
        <v>0</v>
      </c>
      <c r="BH325">
        <f t="shared" si="30"/>
        <v>0</v>
      </c>
      <c r="BI325">
        <f t="shared" si="31"/>
        <v>0</v>
      </c>
    </row>
    <row r="326" spans="10:61" x14ac:dyDescent="0.3">
      <c r="J326" t="s">
        <v>543</v>
      </c>
      <c r="K326" s="17" t="s">
        <v>462</v>
      </c>
      <c r="L326" s="17" t="s">
        <v>155</v>
      </c>
      <c r="M326" s="17" t="s">
        <v>155</v>
      </c>
      <c r="N326" s="17" t="s">
        <v>462</v>
      </c>
      <c r="O326" s="17" t="s">
        <v>155</v>
      </c>
      <c r="AH326" s="17" t="s">
        <v>164</v>
      </c>
      <c r="AI326" s="17" t="s">
        <v>165</v>
      </c>
      <c r="AJ326" s="17" t="s">
        <v>166</v>
      </c>
      <c r="AK326" s="17" t="s">
        <v>167</v>
      </c>
      <c r="AL326" s="17" t="s">
        <v>168</v>
      </c>
      <c r="AW326" t="s">
        <v>543</v>
      </c>
      <c r="AX326" t="s">
        <v>462</v>
      </c>
      <c r="AY326" t="s">
        <v>155</v>
      </c>
      <c r="AZ326" t="s">
        <v>155</v>
      </c>
      <c r="BA326" t="s">
        <v>462</v>
      </c>
      <c r="BB326" t="s">
        <v>155</v>
      </c>
      <c r="BD326">
        <f t="shared" si="26"/>
        <v>0</v>
      </c>
      <c r="BE326">
        <f t="shared" si="27"/>
        <v>0</v>
      </c>
      <c r="BF326">
        <f t="shared" si="28"/>
        <v>0</v>
      </c>
      <c r="BG326">
        <f t="shared" si="29"/>
        <v>0</v>
      </c>
      <c r="BH326">
        <f t="shared" si="30"/>
        <v>0</v>
      </c>
      <c r="BI326">
        <f t="shared" si="31"/>
        <v>0</v>
      </c>
    </row>
    <row r="327" spans="10:61" x14ac:dyDescent="0.3">
      <c r="J327" t="s">
        <v>544</v>
      </c>
      <c r="K327" s="17" t="s">
        <v>155</v>
      </c>
      <c r="L327" s="17" t="s">
        <v>155</v>
      </c>
      <c r="M327" s="17" t="s">
        <v>155</v>
      </c>
      <c r="N327" s="17" t="s">
        <v>462</v>
      </c>
      <c r="O327" s="17" t="s">
        <v>155</v>
      </c>
      <c r="AG327" t="s">
        <v>542</v>
      </c>
      <c r="AH327" s="17" t="s">
        <v>462</v>
      </c>
      <c r="AI327" s="17" t="s">
        <v>155</v>
      </c>
      <c r="AJ327" s="17" t="s">
        <v>155</v>
      </c>
      <c r="AK327" s="17" t="s">
        <v>462</v>
      </c>
      <c r="AL327" s="17" t="s">
        <v>155</v>
      </c>
      <c r="AW327" t="s">
        <v>544</v>
      </c>
      <c r="AX327" t="s">
        <v>155</v>
      </c>
      <c r="AY327" t="s">
        <v>155</v>
      </c>
      <c r="AZ327" t="s">
        <v>155</v>
      </c>
      <c r="BA327" t="s">
        <v>462</v>
      </c>
      <c r="BB327" t="s">
        <v>155</v>
      </c>
      <c r="BD327">
        <f t="shared" si="26"/>
        <v>0</v>
      </c>
      <c r="BE327">
        <f t="shared" si="27"/>
        <v>0</v>
      </c>
      <c r="BF327">
        <f t="shared" si="28"/>
        <v>0</v>
      </c>
      <c r="BG327">
        <f t="shared" si="29"/>
        <v>0</v>
      </c>
      <c r="BH327">
        <f t="shared" si="30"/>
        <v>0</v>
      </c>
      <c r="BI327">
        <f t="shared" si="31"/>
        <v>0</v>
      </c>
    </row>
    <row r="328" spans="10:61" x14ac:dyDescent="0.3">
      <c r="AG328" t="s">
        <v>543</v>
      </c>
      <c r="AH328" s="17" t="s">
        <v>462</v>
      </c>
      <c r="AI328" s="17" t="s">
        <v>155</v>
      </c>
      <c r="AJ328" s="17" t="s">
        <v>155</v>
      </c>
      <c r="AK328" s="17" t="s">
        <v>462</v>
      </c>
      <c r="AL328" s="17" t="s">
        <v>155</v>
      </c>
      <c r="BD328">
        <f t="shared" si="26"/>
        <v>0</v>
      </c>
      <c r="BE328">
        <f t="shared" si="27"/>
        <v>0</v>
      </c>
      <c r="BF328">
        <f t="shared" si="28"/>
        <v>0</v>
      </c>
      <c r="BG328">
        <f t="shared" si="29"/>
        <v>0</v>
      </c>
      <c r="BH328">
        <f t="shared" si="30"/>
        <v>0</v>
      </c>
      <c r="BI328">
        <f t="shared" si="31"/>
        <v>0</v>
      </c>
    </row>
    <row r="329" spans="10:61" x14ac:dyDescent="0.3">
      <c r="J329" t="s">
        <v>705</v>
      </c>
      <c r="AG329" t="s">
        <v>544</v>
      </c>
      <c r="AH329" s="17" t="s">
        <v>155</v>
      </c>
      <c r="AI329" s="17" t="s">
        <v>155</v>
      </c>
      <c r="AJ329" s="17" t="s">
        <v>155</v>
      </c>
      <c r="AK329" s="17" t="s">
        <v>462</v>
      </c>
      <c r="AL329" s="17" t="s">
        <v>155</v>
      </c>
      <c r="AW329" t="s">
        <v>705</v>
      </c>
      <c r="BD329">
        <f t="shared" ref="BD329:BD392" si="32">IF(J329=AW329,0,1)</f>
        <v>0</v>
      </c>
      <c r="BE329">
        <f t="shared" ref="BE329:BE392" si="33">IF(K329=AX329,0,1)</f>
        <v>0</v>
      </c>
      <c r="BF329">
        <f t="shared" ref="BF329:BF392" si="34">IF(L329=AY329,0,1)</f>
        <v>0</v>
      </c>
      <c r="BG329">
        <f t="shared" ref="BG329:BG392" si="35">IF(M329=AZ329,0,1)</f>
        <v>0</v>
      </c>
      <c r="BH329">
        <f t="shared" ref="BH329:BH392" si="36">IF(N329=BA329,0,1)</f>
        <v>0</v>
      </c>
      <c r="BI329">
        <f t="shared" ref="BI329:BI392" si="37">IF(O329=BB329,0,1)</f>
        <v>0</v>
      </c>
    </row>
    <row r="330" spans="10:61" x14ac:dyDescent="0.3">
      <c r="K330" s="17" t="s">
        <v>164</v>
      </c>
      <c r="L330" s="17" t="s">
        <v>165</v>
      </c>
      <c r="M330" s="17" t="s">
        <v>166</v>
      </c>
      <c r="N330" s="17" t="s">
        <v>167</v>
      </c>
      <c r="O330" s="17" t="s">
        <v>168</v>
      </c>
      <c r="AX330" t="s">
        <v>164</v>
      </c>
      <c r="AY330" t="s">
        <v>165</v>
      </c>
      <c r="AZ330" t="s">
        <v>166</v>
      </c>
      <c r="BA330" t="s">
        <v>167</v>
      </c>
      <c r="BB330" t="s">
        <v>168</v>
      </c>
      <c r="BD330">
        <f t="shared" si="32"/>
        <v>0</v>
      </c>
      <c r="BE330">
        <f t="shared" si="33"/>
        <v>0</v>
      </c>
      <c r="BF330">
        <f t="shared" si="34"/>
        <v>0</v>
      </c>
      <c r="BG330">
        <f t="shared" si="35"/>
        <v>0</v>
      </c>
      <c r="BH330">
        <f t="shared" si="36"/>
        <v>0</v>
      </c>
      <c r="BI330">
        <f t="shared" si="37"/>
        <v>0</v>
      </c>
    </row>
    <row r="331" spans="10:61" x14ac:dyDescent="0.3">
      <c r="J331" t="s">
        <v>555</v>
      </c>
      <c r="K331" s="17" t="s">
        <v>155</v>
      </c>
      <c r="L331" s="17" t="s">
        <v>155</v>
      </c>
      <c r="M331" s="17" t="s">
        <v>155</v>
      </c>
      <c r="N331" s="17" t="s">
        <v>155</v>
      </c>
      <c r="O331" s="17" t="s">
        <v>260</v>
      </c>
      <c r="AG331" t="s">
        <v>705</v>
      </c>
      <c r="AW331" t="s">
        <v>555</v>
      </c>
      <c r="AX331" t="s">
        <v>155</v>
      </c>
      <c r="AY331" t="s">
        <v>155</v>
      </c>
      <c r="AZ331" t="s">
        <v>155</v>
      </c>
      <c r="BA331" t="s">
        <v>155</v>
      </c>
      <c r="BB331" t="s">
        <v>260</v>
      </c>
      <c r="BD331">
        <f t="shared" si="32"/>
        <v>0</v>
      </c>
      <c r="BE331">
        <f t="shared" si="33"/>
        <v>0</v>
      </c>
      <c r="BF331">
        <f t="shared" si="34"/>
        <v>0</v>
      </c>
      <c r="BG331">
        <f t="shared" si="35"/>
        <v>0</v>
      </c>
      <c r="BH331">
        <f t="shared" si="36"/>
        <v>0</v>
      </c>
      <c r="BI331">
        <f t="shared" si="37"/>
        <v>0</v>
      </c>
    </row>
    <row r="332" spans="10:61" x14ac:dyDescent="0.3">
      <c r="J332" t="s">
        <v>556</v>
      </c>
      <c r="K332" s="17" t="s">
        <v>155</v>
      </c>
      <c r="L332" s="17" t="s">
        <v>155</v>
      </c>
      <c r="M332" s="17" t="s">
        <v>155</v>
      </c>
      <c r="N332" s="17" t="s">
        <v>155</v>
      </c>
      <c r="O332" s="17" t="s">
        <v>260</v>
      </c>
      <c r="AH332" s="17" t="s">
        <v>164</v>
      </c>
      <c r="AI332" s="17" t="s">
        <v>165</v>
      </c>
      <c r="AJ332" s="17" t="s">
        <v>166</v>
      </c>
      <c r="AK332" s="17" t="s">
        <v>167</v>
      </c>
      <c r="AL332" s="17" t="s">
        <v>168</v>
      </c>
      <c r="AW332" t="s">
        <v>556</v>
      </c>
      <c r="AX332" t="s">
        <v>155</v>
      </c>
      <c r="AY332" t="s">
        <v>155</v>
      </c>
      <c r="AZ332" t="s">
        <v>155</v>
      </c>
      <c r="BA332" t="s">
        <v>155</v>
      </c>
      <c r="BB332" t="s">
        <v>260</v>
      </c>
      <c r="BD332">
        <f t="shared" si="32"/>
        <v>0</v>
      </c>
      <c r="BE332">
        <f t="shared" si="33"/>
        <v>0</v>
      </c>
      <c r="BF332">
        <f t="shared" si="34"/>
        <v>0</v>
      </c>
      <c r="BG332">
        <f t="shared" si="35"/>
        <v>0</v>
      </c>
      <c r="BH332">
        <f t="shared" si="36"/>
        <v>0</v>
      </c>
      <c r="BI332">
        <f t="shared" si="37"/>
        <v>0</v>
      </c>
    </row>
    <row r="333" spans="10:61" x14ac:dyDescent="0.3">
      <c r="J333" t="s">
        <v>543</v>
      </c>
      <c r="K333" s="17" t="s">
        <v>155</v>
      </c>
      <c r="L333" s="17" t="s">
        <v>155</v>
      </c>
      <c r="M333" s="17" t="s">
        <v>155</v>
      </c>
      <c r="N333" s="17" t="s">
        <v>260</v>
      </c>
      <c r="O333" s="17" t="s">
        <v>155</v>
      </c>
      <c r="AG333" t="s">
        <v>555</v>
      </c>
      <c r="AH333" s="17" t="s">
        <v>155</v>
      </c>
      <c r="AI333" s="17" t="s">
        <v>155</v>
      </c>
      <c r="AJ333" s="17" t="s">
        <v>155</v>
      </c>
      <c r="AK333" s="17" t="s">
        <v>155</v>
      </c>
      <c r="AL333" s="17" t="s">
        <v>260</v>
      </c>
      <c r="AW333" t="s">
        <v>543</v>
      </c>
      <c r="AX333" t="s">
        <v>155</v>
      </c>
      <c r="AY333" t="s">
        <v>155</v>
      </c>
      <c r="AZ333" t="s">
        <v>155</v>
      </c>
      <c r="BA333" t="s">
        <v>260</v>
      </c>
      <c r="BB333" t="s">
        <v>155</v>
      </c>
      <c r="BD333">
        <f t="shared" si="32"/>
        <v>0</v>
      </c>
      <c r="BE333">
        <f t="shared" si="33"/>
        <v>0</v>
      </c>
      <c r="BF333">
        <f t="shared" si="34"/>
        <v>0</v>
      </c>
      <c r="BG333">
        <f t="shared" si="35"/>
        <v>0</v>
      </c>
      <c r="BH333">
        <f t="shared" si="36"/>
        <v>0</v>
      </c>
      <c r="BI333">
        <f t="shared" si="37"/>
        <v>0</v>
      </c>
    </row>
    <row r="334" spans="10:61" x14ac:dyDescent="0.3">
      <c r="J334" t="s">
        <v>545</v>
      </c>
      <c r="K334" s="17" t="s">
        <v>274</v>
      </c>
      <c r="L334" s="17" t="s">
        <v>260</v>
      </c>
      <c r="M334" s="17" t="s">
        <v>155</v>
      </c>
      <c r="N334" s="17" t="s">
        <v>155</v>
      </c>
      <c r="O334" s="17" t="s">
        <v>155</v>
      </c>
      <c r="AG334" t="s">
        <v>556</v>
      </c>
      <c r="AH334" s="17" t="s">
        <v>155</v>
      </c>
      <c r="AI334" s="17" t="s">
        <v>155</v>
      </c>
      <c r="AJ334" s="17" t="s">
        <v>155</v>
      </c>
      <c r="AK334" s="17" t="s">
        <v>155</v>
      </c>
      <c r="AL334" s="17" t="s">
        <v>260</v>
      </c>
      <c r="AW334" t="s">
        <v>545</v>
      </c>
      <c r="AX334" t="s">
        <v>274</v>
      </c>
      <c r="AY334" t="s">
        <v>260</v>
      </c>
      <c r="AZ334" t="s">
        <v>155</v>
      </c>
      <c r="BA334" t="s">
        <v>155</v>
      </c>
      <c r="BB334" t="s">
        <v>155</v>
      </c>
      <c r="BD334">
        <f t="shared" si="32"/>
        <v>0</v>
      </c>
      <c r="BE334">
        <f t="shared" si="33"/>
        <v>0</v>
      </c>
      <c r="BF334">
        <f t="shared" si="34"/>
        <v>0</v>
      </c>
      <c r="BG334">
        <f t="shared" si="35"/>
        <v>0</v>
      </c>
      <c r="BH334">
        <f t="shared" si="36"/>
        <v>0</v>
      </c>
      <c r="BI334">
        <f t="shared" si="37"/>
        <v>0</v>
      </c>
    </row>
    <row r="335" spans="10:61" x14ac:dyDescent="0.3">
      <c r="J335" t="s">
        <v>546</v>
      </c>
      <c r="K335" s="17" t="s">
        <v>274</v>
      </c>
      <c r="L335" s="17" t="s">
        <v>155</v>
      </c>
      <c r="M335" s="17" t="s">
        <v>155</v>
      </c>
      <c r="N335" s="17" t="s">
        <v>155</v>
      </c>
      <c r="O335" s="17" t="s">
        <v>274</v>
      </c>
      <c r="AG335" t="s">
        <v>542</v>
      </c>
      <c r="AH335" s="17" t="s">
        <v>259</v>
      </c>
      <c r="AI335" s="17" t="s">
        <v>155</v>
      </c>
      <c r="AJ335" s="17" t="s">
        <v>155</v>
      </c>
      <c r="AK335" s="17" t="s">
        <v>155</v>
      </c>
      <c r="AL335" s="17" t="s">
        <v>155</v>
      </c>
      <c r="AW335" t="s">
        <v>546</v>
      </c>
      <c r="AX335" t="s">
        <v>274</v>
      </c>
      <c r="AY335" t="s">
        <v>155</v>
      </c>
      <c r="AZ335" t="s">
        <v>155</v>
      </c>
      <c r="BA335" t="s">
        <v>155</v>
      </c>
      <c r="BB335" t="s">
        <v>274</v>
      </c>
      <c r="BD335">
        <f t="shared" si="32"/>
        <v>0</v>
      </c>
      <c r="BE335">
        <f t="shared" si="33"/>
        <v>0</v>
      </c>
      <c r="BF335">
        <f t="shared" si="34"/>
        <v>0</v>
      </c>
      <c r="BG335">
        <f t="shared" si="35"/>
        <v>0</v>
      </c>
      <c r="BH335">
        <f t="shared" si="36"/>
        <v>0</v>
      </c>
      <c r="BI335">
        <f t="shared" si="37"/>
        <v>0</v>
      </c>
    </row>
    <row r="336" spans="10:61" x14ac:dyDescent="0.3">
      <c r="AG336" t="s">
        <v>543</v>
      </c>
      <c r="AH336" s="17" t="s">
        <v>155</v>
      </c>
      <c r="AI336" s="17" t="s">
        <v>155</v>
      </c>
      <c r="AJ336" s="17" t="s">
        <v>155</v>
      </c>
      <c r="AK336" s="17" t="s">
        <v>260</v>
      </c>
      <c r="AL336" s="17" t="s">
        <v>155</v>
      </c>
      <c r="BD336">
        <f t="shared" si="32"/>
        <v>0</v>
      </c>
      <c r="BE336">
        <f t="shared" si="33"/>
        <v>0</v>
      </c>
      <c r="BF336">
        <f t="shared" si="34"/>
        <v>0</v>
      </c>
      <c r="BG336">
        <f t="shared" si="35"/>
        <v>0</v>
      </c>
      <c r="BH336">
        <f t="shared" si="36"/>
        <v>0</v>
      </c>
      <c r="BI336">
        <f t="shared" si="37"/>
        <v>0</v>
      </c>
    </row>
    <row r="337" spans="10:61" x14ac:dyDescent="0.3">
      <c r="J337" t="s">
        <v>750</v>
      </c>
      <c r="AG337" t="s">
        <v>545</v>
      </c>
      <c r="AH337" s="17" t="s">
        <v>274</v>
      </c>
      <c r="AI337" s="17" t="s">
        <v>260</v>
      </c>
      <c r="AJ337" s="17" t="s">
        <v>259</v>
      </c>
      <c r="AK337" s="17" t="s">
        <v>155</v>
      </c>
      <c r="AL337" s="17" t="s">
        <v>155</v>
      </c>
      <c r="AW337" t="s">
        <v>750</v>
      </c>
      <c r="BD337">
        <f t="shared" si="32"/>
        <v>0</v>
      </c>
      <c r="BE337">
        <f t="shared" si="33"/>
        <v>0</v>
      </c>
      <c r="BF337">
        <f t="shared" si="34"/>
        <v>0</v>
      </c>
      <c r="BG337">
        <f t="shared" si="35"/>
        <v>0</v>
      </c>
      <c r="BH337">
        <f t="shared" si="36"/>
        <v>0</v>
      </c>
      <c r="BI337">
        <f t="shared" si="37"/>
        <v>0</v>
      </c>
    </row>
    <row r="338" spans="10:61" x14ac:dyDescent="0.3">
      <c r="K338" s="17" t="s">
        <v>164</v>
      </c>
      <c r="L338" s="17" t="s">
        <v>165</v>
      </c>
      <c r="M338" s="17" t="s">
        <v>166</v>
      </c>
      <c r="N338" s="17" t="s">
        <v>167</v>
      </c>
      <c r="O338" s="17" t="s">
        <v>168</v>
      </c>
      <c r="AG338" t="s">
        <v>546</v>
      </c>
      <c r="AH338" s="17" t="s">
        <v>274</v>
      </c>
      <c r="AI338" s="17" t="s">
        <v>155</v>
      </c>
      <c r="AJ338" s="17" t="s">
        <v>259</v>
      </c>
      <c r="AK338" s="17" t="s">
        <v>155</v>
      </c>
      <c r="AL338" s="17" t="s">
        <v>274</v>
      </c>
      <c r="AX338" t="s">
        <v>164</v>
      </c>
      <c r="AY338" t="s">
        <v>165</v>
      </c>
      <c r="AZ338" t="s">
        <v>166</v>
      </c>
      <c r="BA338" t="s">
        <v>167</v>
      </c>
      <c r="BB338" t="s">
        <v>168</v>
      </c>
      <c r="BD338">
        <f t="shared" si="32"/>
        <v>0</v>
      </c>
      <c r="BE338">
        <f t="shared" si="33"/>
        <v>0</v>
      </c>
      <c r="BF338">
        <f t="shared" si="34"/>
        <v>0</v>
      </c>
      <c r="BG338">
        <f t="shared" si="35"/>
        <v>0</v>
      </c>
      <c r="BH338">
        <f t="shared" si="36"/>
        <v>0</v>
      </c>
      <c r="BI338">
        <f t="shared" si="37"/>
        <v>0</v>
      </c>
    </row>
    <row r="339" spans="10:61" x14ac:dyDescent="0.3">
      <c r="J339" t="s">
        <v>548</v>
      </c>
      <c r="K339" s="17" t="s">
        <v>274</v>
      </c>
      <c r="L339" s="17" t="s">
        <v>274</v>
      </c>
      <c r="M339" s="17" t="s">
        <v>155</v>
      </c>
      <c r="N339" s="17" t="s">
        <v>155</v>
      </c>
      <c r="O339" s="17" t="s">
        <v>155</v>
      </c>
      <c r="AW339" t="s">
        <v>548</v>
      </c>
      <c r="AX339" t="s">
        <v>274</v>
      </c>
      <c r="AY339" t="s">
        <v>274</v>
      </c>
      <c r="AZ339" t="s">
        <v>155</v>
      </c>
      <c r="BA339" t="s">
        <v>155</v>
      </c>
      <c r="BB339" t="s">
        <v>155</v>
      </c>
      <c r="BD339">
        <f t="shared" si="32"/>
        <v>0</v>
      </c>
      <c r="BE339">
        <f t="shared" si="33"/>
        <v>0</v>
      </c>
      <c r="BF339">
        <f t="shared" si="34"/>
        <v>0</v>
      </c>
      <c r="BG339">
        <f t="shared" si="35"/>
        <v>0</v>
      </c>
      <c r="BH339">
        <f t="shared" si="36"/>
        <v>0</v>
      </c>
      <c r="BI339">
        <f t="shared" si="37"/>
        <v>0</v>
      </c>
    </row>
    <row r="340" spans="10:61" x14ac:dyDescent="0.3">
      <c r="J340" t="s">
        <v>549</v>
      </c>
      <c r="K340" s="17" t="s">
        <v>155</v>
      </c>
      <c r="L340" s="17" t="s">
        <v>274</v>
      </c>
      <c r="M340" s="17" t="s">
        <v>155</v>
      </c>
      <c r="N340" s="17" t="s">
        <v>155</v>
      </c>
      <c r="O340" s="17" t="s">
        <v>155</v>
      </c>
      <c r="AG340" t="s">
        <v>750</v>
      </c>
      <c r="AW340" t="s">
        <v>549</v>
      </c>
      <c r="AX340" t="s">
        <v>155</v>
      </c>
      <c r="AY340" t="s">
        <v>274</v>
      </c>
      <c r="AZ340" t="s">
        <v>155</v>
      </c>
      <c r="BA340" t="s">
        <v>155</v>
      </c>
      <c r="BB340" t="s">
        <v>155</v>
      </c>
      <c r="BD340">
        <f t="shared" si="32"/>
        <v>0</v>
      </c>
      <c r="BE340">
        <f t="shared" si="33"/>
        <v>0</v>
      </c>
      <c r="BF340">
        <f t="shared" si="34"/>
        <v>0</v>
      </c>
      <c r="BG340">
        <f t="shared" si="35"/>
        <v>0</v>
      </c>
      <c r="BH340">
        <f t="shared" si="36"/>
        <v>0</v>
      </c>
      <c r="BI340">
        <f t="shared" si="37"/>
        <v>0</v>
      </c>
    </row>
    <row r="341" spans="10:61" x14ac:dyDescent="0.3">
      <c r="J341" t="s">
        <v>550</v>
      </c>
      <c r="K341" s="17" t="s">
        <v>155</v>
      </c>
      <c r="L341" s="17" t="s">
        <v>155</v>
      </c>
      <c r="M341" s="17" t="s">
        <v>274</v>
      </c>
      <c r="N341" s="17" t="s">
        <v>155</v>
      </c>
      <c r="O341" s="17" t="s">
        <v>274</v>
      </c>
      <c r="AH341" s="17" t="s">
        <v>164</v>
      </c>
      <c r="AI341" s="17" t="s">
        <v>165</v>
      </c>
      <c r="AJ341" s="17" t="s">
        <v>166</v>
      </c>
      <c r="AK341" s="17" t="s">
        <v>167</v>
      </c>
      <c r="AL341" s="17" t="s">
        <v>168</v>
      </c>
      <c r="AW341" t="s">
        <v>550</v>
      </c>
      <c r="AX341" t="s">
        <v>155</v>
      </c>
      <c r="AY341" t="s">
        <v>155</v>
      </c>
      <c r="AZ341" t="s">
        <v>274</v>
      </c>
      <c r="BA341" t="s">
        <v>155</v>
      </c>
      <c r="BB341" t="s">
        <v>274</v>
      </c>
      <c r="BD341">
        <f t="shared" si="32"/>
        <v>0</v>
      </c>
      <c r="BE341">
        <f t="shared" si="33"/>
        <v>0</v>
      </c>
      <c r="BF341">
        <f t="shared" si="34"/>
        <v>0</v>
      </c>
      <c r="BG341">
        <f t="shared" si="35"/>
        <v>0</v>
      </c>
      <c r="BH341">
        <f t="shared" si="36"/>
        <v>0</v>
      </c>
      <c r="BI341">
        <f t="shared" si="37"/>
        <v>0</v>
      </c>
    </row>
    <row r="342" spans="10:61" x14ac:dyDescent="0.3">
      <c r="J342" t="s">
        <v>158</v>
      </c>
      <c r="K342" s="17" t="s">
        <v>155</v>
      </c>
      <c r="L342" s="17" t="s">
        <v>155</v>
      </c>
      <c r="M342" s="17" t="s">
        <v>274</v>
      </c>
      <c r="N342" s="17" t="s">
        <v>155</v>
      </c>
      <c r="O342" s="17" t="s">
        <v>155</v>
      </c>
      <c r="AG342" t="s">
        <v>548</v>
      </c>
      <c r="AH342" s="17" t="s">
        <v>155</v>
      </c>
      <c r="AI342" s="17" t="s">
        <v>155</v>
      </c>
      <c r="AJ342" s="17" t="s">
        <v>274</v>
      </c>
      <c r="AK342" s="17" t="s">
        <v>155</v>
      </c>
      <c r="AL342" s="17" t="s">
        <v>155</v>
      </c>
      <c r="AW342" t="s">
        <v>158</v>
      </c>
      <c r="AX342" t="s">
        <v>155</v>
      </c>
      <c r="AY342" t="s">
        <v>155</v>
      </c>
      <c r="AZ342" t="s">
        <v>274</v>
      </c>
      <c r="BA342" t="s">
        <v>155</v>
      </c>
      <c r="BB342" t="s">
        <v>155</v>
      </c>
      <c r="BD342">
        <f t="shared" si="32"/>
        <v>0</v>
      </c>
      <c r="BE342">
        <f t="shared" si="33"/>
        <v>0</v>
      </c>
      <c r="BF342">
        <f t="shared" si="34"/>
        <v>0</v>
      </c>
      <c r="BG342">
        <f t="shared" si="35"/>
        <v>0</v>
      </c>
      <c r="BH342">
        <f t="shared" si="36"/>
        <v>0</v>
      </c>
      <c r="BI342">
        <f t="shared" si="37"/>
        <v>0</v>
      </c>
    </row>
    <row r="343" spans="10:61" x14ac:dyDescent="0.3">
      <c r="J343" t="s">
        <v>159</v>
      </c>
      <c r="K343" s="17" t="s">
        <v>155</v>
      </c>
      <c r="L343" s="17" t="s">
        <v>274</v>
      </c>
      <c r="M343" s="17" t="s">
        <v>155</v>
      </c>
      <c r="N343" s="17" t="s">
        <v>274</v>
      </c>
      <c r="O343" s="17" t="s">
        <v>155</v>
      </c>
      <c r="AG343" t="s">
        <v>549</v>
      </c>
      <c r="AH343" s="17" t="s">
        <v>155</v>
      </c>
      <c r="AI343" s="17" t="s">
        <v>155</v>
      </c>
      <c r="AJ343" s="17" t="s">
        <v>274</v>
      </c>
      <c r="AK343" s="17" t="s">
        <v>155</v>
      </c>
      <c r="AL343" s="17" t="s">
        <v>155</v>
      </c>
      <c r="AW343" t="s">
        <v>159</v>
      </c>
      <c r="AX343" t="s">
        <v>155</v>
      </c>
      <c r="AY343" t="s">
        <v>274</v>
      </c>
      <c r="AZ343" t="s">
        <v>155</v>
      </c>
      <c r="BA343" t="s">
        <v>274</v>
      </c>
      <c r="BB343" t="s">
        <v>155</v>
      </c>
      <c r="BD343">
        <f t="shared" si="32"/>
        <v>0</v>
      </c>
      <c r="BE343">
        <f t="shared" si="33"/>
        <v>0</v>
      </c>
      <c r="BF343">
        <f t="shared" si="34"/>
        <v>0</v>
      </c>
      <c r="BG343">
        <f t="shared" si="35"/>
        <v>0</v>
      </c>
      <c r="BH343">
        <f t="shared" si="36"/>
        <v>0</v>
      </c>
      <c r="BI343">
        <f t="shared" si="37"/>
        <v>0</v>
      </c>
    </row>
    <row r="344" spans="10:61" x14ac:dyDescent="0.3">
      <c r="J344" t="s">
        <v>160</v>
      </c>
      <c r="K344" s="17" t="s">
        <v>155</v>
      </c>
      <c r="L344" s="17" t="s">
        <v>274</v>
      </c>
      <c r="M344" s="17" t="s">
        <v>155</v>
      </c>
      <c r="N344" s="17" t="s">
        <v>155</v>
      </c>
      <c r="O344" s="17" t="s">
        <v>155</v>
      </c>
      <c r="AG344" t="s">
        <v>550</v>
      </c>
      <c r="AH344" s="17" t="s">
        <v>155</v>
      </c>
      <c r="AI344" s="17" t="s">
        <v>274</v>
      </c>
      <c r="AJ344" s="17" t="s">
        <v>155</v>
      </c>
      <c r="AK344" s="17" t="s">
        <v>274</v>
      </c>
      <c r="AL344" s="17" t="s">
        <v>274</v>
      </c>
      <c r="AW344" t="s">
        <v>160</v>
      </c>
      <c r="AX344" t="s">
        <v>155</v>
      </c>
      <c r="AY344" t="s">
        <v>274</v>
      </c>
      <c r="AZ344" t="s">
        <v>155</v>
      </c>
      <c r="BA344" t="s">
        <v>155</v>
      </c>
      <c r="BB344" t="s">
        <v>155</v>
      </c>
      <c r="BD344">
        <f t="shared" si="32"/>
        <v>0</v>
      </c>
      <c r="BE344">
        <f t="shared" si="33"/>
        <v>0</v>
      </c>
      <c r="BF344">
        <f t="shared" si="34"/>
        <v>0</v>
      </c>
      <c r="BG344">
        <f t="shared" si="35"/>
        <v>0</v>
      </c>
      <c r="BH344">
        <f t="shared" si="36"/>
        <v>0</v>
      </c>
      <c r="BI344">
        <f t="shared" si="37"/>
        <v>0</v>
      </c>
    </row>
    <row r="345" spans="10:61" x14ac:dyDescent="0.3">
      <c r="J345" t="s">
        <v>545</v>
      </c>
      <c r="K345" s="17" t="s">
        <v>155</v>
      </c>
      <c r="L345" s="17" t="s">
        <v>259</v>
      </c>
      <c r="M345" s="17" t="s">
        <v>155</v>
      </c>
      <c r="N345" s="17" t="s">
        <v>155</v>
      </c>
      <c r="O345" s="17" t="s">
        <v>155</v>
      </c>
      <c r="AG345" t="s">
        <v>158</v>
      </c>
      <c r="AH345" s="17" t="s">
        <v>155</v>
      </c>
      <c r="AI345" s="17" t="s">
        <v>274</v>
      </c>
      <c r="AJ345" s="17" t="s">
        <v>155</v>
      </c>
      <c r="AK345" s="17" t="s">
        <v>155</v>
      </c>
      <c r="AL345" s="17" t="s">
        <v>155</v>
      </c>
      <c r="AW345" t="s">
        <v>545</v>
      </c>
      <c r="AX345" t="s">
        <v>155</v>
      </c>
      <c r="AY345" t="s">
        <v>259</v>
      </c>
      <c r="AZ345" t="s">
        <v>155</v>
      </c>
      <c r="BA345" t="s">
        <v>155</v>
      </c>
      <c r="BB345" t="s">
        <v>155</v>
      </c>
      <c r="BD345">
        <f t="shared" si="32"/>
        <v>0</v>
      </c>
      <c r="BE345">
        <f t="shared" si="33"/>
        <v>0</v>
      </c>
      <c r="BF345">
        <f t="shared" si="34"/>
        <v>0</v>
      </c>
      <c r="BG345">
        <f t="shared" si="35"/>
        <v>0</v>
      </c>
      <c r="BH345">
        <f t="shared" si="36"/>
        <v>0</v>
      </c>
      <c r="BI345">
        <f t="shared" si="37"/>
        <v>0</v>
      </c>
    </row>
    <row r="346" spans="10:61" x14ac:dyDescent="0.3">
      <c r="J346" t="s">
        <v>546</v>
      </c>
      <c r="K346" s="17" t="s">
        <v>155</v>
      </c>
      <c r="L346" s="17" t="s">
        <v>259</v>
      </c>
      <c r="M346" s="17" t="s">
        <v>155</v>
      </c>
      <c r="N346" s="17" t="s">
        <v>155</v>
      </c>
      <c r="O346" s="17" t="s">
        <v>259</v>
      </c>
      <c r="AG346" t="s">
        <v>159</v>
      </c>
      <c r="AH346" s="17" t="s">
        <v>155</v>
      </c>
      <c r="AI346" s="17" t="s">
        <v>274</v>
      </c>
      <c r="AJ346" s="17" t="s">
        <v>155</v>
      </c>
      <c r="AK346" s="17" t="s">
        <v>155</v>
      </c>
      <c r="AL346" s="17" t="s">
        <v>155</v>
      </c>
      <c r="AW346" t="s">
        <v>546</v>
      </c>
      <c r="AX346" t="s">
        <v>155</v>
      </c>
      <c r="AY346" t="s">
        <v>259</v>
      </c>
      <c r="AZ346" t="s">
        <v>155</v>
      </c>
      <c r="BA346" t="s">
        <v>155</v>
      </c>
      <c r="BB346" t="s">
        <v>259</v>
      </c>
      <c r="BD346">
        <f t="shared" si="32"/>
        <v>0</v>
      </c>
      <c r="BE346">
        <f t="shared" si="33"/>
        <v>0</v>
      </c>
      <c r="BF346">
        <f t="shared" si="34"/>
        <v>0</v>
      </c>
      <c r="BG346">
        <f t="shared" si="35"/>
        <v>0</v>
      </c>
      <c r="BH346">
        <f t="shared" si="36"/>
        <v>0</v>
      </c>
      <c r="BI346">
        <f t="shared" si="37"/>
        <v>0</v>
      </c>
    </row>
    <row r="347" spans="10:61" x14ac:dyDescent="0.3">
      <c r="AG347" t="s">
        <v>160</v>
      </c>
      <c r="AH347" s="17" t="s">
        <v>155</v>
      </c>
      <c r="AI347" s="17" t="s">
        <v>274</v>
      </c>
      <c r="AJ347" s="17" t="s">
        <v>155</v>
      </c>
      <c r="AK347" s="17" t="s">
        <v>274</v>
      </c>
      <c r="AL347" s="17" t="s">
        <v>155</v>
      </c>
      <c r="BD347">
        <f t="shared" si="32"/>
        <v>0</v>
      </c>
      <c r="BE347">
        <f t="shared" si="33"/>
        <v>0</v>
      </c>
      <c r="BF347">
        <f t="shared" si="34"/>
        <v>0</v>
      </c>
      <c r="BG347">
        <f t="shared" si="35"/>
        <v>0</v>
      </c>
      <c r="BH347">
        <f t="shared" si="36"/>
        <v>0</v>
      </c>
      <c r="BI347">
        <f t="shared" si="37"/>
        <v>0</v>
      </c>
    </row>
    <row r="348" spans="10:61" x14ac:dyDescent="0.3">
      <c r="J348" t="s">
        <v>707</v>
      </c>
      <c r="AW348" t="s">
        <v>707</v>
      </c>
      <c r="BD348">
        <f t="shared" si="32"/>
        <v>0</v>
      </c>
      <c r="BE348">
        <f t="shared" si="33"/>
        <v>0</v>
      </c>
      <c r="BF348">
        <f t="shared" si="34"/>
        <v>0</v>
      </c>
      <c r="BG348">
        <f t="shared" si="35"/>
        <v>0</v>
      </c>
      <c r="BH348">
        <f t="shared" si="36"/>
        <v>0</v>
      </c>
      <c r="BI348">
        <f t="shared" si="37"/>
        <v>0</v>
      </c>
    </row>
    <row r="349" spans="10:61" x14ac:dyDescent="0.3">
      <c r="K349" s="17" t="s">
        <v>164</v>
      </c>
      <c r="L349" s="17" t="s">
        <v>165</v>
      </c>
      <c r="M349" s="17" t="s">
        <v>166</v>
      </c>
      <c r="N349" s="17" t="s">
        <v>167</v>
      </c>
      <c r="O349" s="17" t="s">
        <v>168</v>
      </c>
      <c r="AG349" t="s">
        <v>707</v>
      </c>
      <c r="AX349" t="s">
        <v>164</v>
      </c>
      <c r="AY349" t="s">
        <v>165</v>
      </c>
      <c r="AZ349" t="s">
        <v>166</v>
      </c>
      <c r="BA349" t="s">
        <v>167</v>
      </c>
      <c r="BB349" t="s">
        <v>168</v>
      </c>
      <c r="BD349">
        <f t="shared" si="32"/>
        <v>0</v>
      </c>
      <c r="BE349">
        <f t="shared" si="33"/>
        <v>0</v>
      </c>
      <c r="BF349">
        <f t="shared" si="34"/>
        <v>0</v>
      </c>
      <c r="BG349">
        <f t="shared" si="35"/>
        <v>0</v>
      </c>
      <c r="BH349">
        <f t="shared" si="36"/>
        <v>0</v>
      </c>
      <c r="BI349">
        <f t="shared" si="37"/>
        <v>0</v>
      </c>
    </row>
    <row r="350" spans="10:61" x14ac:dyDescent="0.3">
      <c r="J350" t="s">
        <v>555</v>
      </c>
      <c r="K350" s="17" t="s">
        <v>155</v>
      </c>
      <c r="L350" s="17" t="s">
        <v>155</v>
      </c>
      <c r="M350" s="17" t="s">
        <v>260</v>
      </c>
      <c r="N350" s="17" t="s">
        <v>155</v>
      </c>
      <c r="O350" s="17" t="s">
        <v>155</v>
      </c>
      <c r="AH350" s="17" t="s">
        <v>164</v>
      </c>
      <c r="AI350" s="17" t="s">
        <v>165</v>
      </c>
      <c r="AJ350" s="17" t="s">
        <v>166</v>
      </c>
      <c r="AK350" s="17" t="s">
        <v>167</v>
      </c>
      <c r="AL350" s="17" t="s">
        <v>168</v>
      </c>
      <c r="AW350" t="s">
        <v>555</v>
      </c>
      <c r="AX350" t="s">
        <v>155</v>
      </c>
      <c r="AY350" t="s">
        <v>155</v>
      </c>
      <c r="AZ350" t="s">
        <v>260</v>
      </c>
      <c r="BA350" t="s">
        <v>155</v>
      </c>
      <c r="BB350" t="s">
        <v>155</v>
      </c>
      <c r="BD350">
        <f t="shared" si="32"/>
        <v>0</v>
      </c>
      <c r="BE350">
        <f t="shared" si="33"/>
        <v>0</v>
      </c>
      <c r="BF350">
        <f t="shared" si="34"/>
        <v>0</v>
      </c>
      <c r="BG350">
        <f t="shared" si="35"/>
        <v>0</v>
      </c>
      <c r="BH350">
        <f t="shared" si="36"/>
        <v>0</v>
      </c>
      <c r="BI350">
        <f t="shared" si="37"/>
        <v>0</v>
      </c>
    </row>
    <row r="351" spans="10:61" x14ac:dyDescent="0.3">
      <c r="J351" t="s">
        <v>556</v>
      </c>
      <c r="K351" s="17" t="s">
        <v>155</v>
      </c>
      <c r="L351" s="17" t="s">
        <v>155</v>
      </c>
      <c r="M351" s="17" t="s">
        <v>260</v>
      </c>
      <c r="N351" s="17" t="s">
        <v>155</v>
      </c>
      <c r="O351" s="17" t="s">
        <v>155</v>
      </c>
      <c r="AG351" t="s">
        <v>555</v>
      </c>
      <c r="AH351" s="17" t="s">
        <v>155</v>
      </c>
      <c r="AI351" s="17" t="s">
        <v>155</v>
      </c>
      <c r="AJ351" s="17" t="s">
        <v>260</v>
      </c>
      <c r="AK351" s="17" t="s">
        <v>155</v>
      </c>
      <c r="AL351" s="17" t="s">
        <v>155</v>
      </c>
      <c r="AW351" t="s">
        <v>556</v>
      </c>
      <c r="AX351" t="s">
        <v>155</v>
      </c>
      <c r="AY351" t="s">
        <v>155</v>
      </c>
      <c r="AZ351" t="s">
        <v>260</v>
      </c>
      <c r="BA351" t="s">
        <v>155</v>
      </c>
      <c r="BB351" t="s">
        <v>155</v>
      </c>
      <c r="BD351">
        <f t="shared" si="32"/>
        <v>0</v>
      </c>
      <c r="BE351">
        <f t="shared" si="33"/>
        <v>0</v>
      </c>
      <c r="BF351">
        <f t="shared" si="34"/>
        <v>0</v>
      </c>
      <c r="BG351">
        <f t="shared" si="35"/>
        <v>0</v>
      </c>
      <c r="BH351">
        <f t="shared" si="36"/>
        <v>0</v>
      </c>
      <c r="BI351">
        <f t="shared" si="37"/>
        <v>0</v>
      </c>
    </row>
    <row r="352" spans="10:61" x14ac:dyDescent="0.3">
      <c r="AG352" t="s">
        <v>556</v>
      </c>
      <c r="AH352" s="17" t="s">
        <v>155</v>
      </c>
      <c r="AI352" s="17" t="s">
        <v>155</v>
      </c>
      <c r="AJ352" s="17" t="s">
        <v>260</v>
      </c>
      <c r="AK352" s="17" t="s">
        <v>155</v>
      </c>
      <c r="AL352" s="17" t="s">
        <v>155</v>
      </c>
      <c r="BD352">
        <f t="shared" si="32"/>
        <v>0</v>
      </c>
      <c r="BE352">
        <f t="shared" si="33"/>
        <v>0</v>
      </c>
      <c r="BF352">
        <f t="shared" si="34"/>
        <v>0</v>
      </c>
      <c r="BG352">
        <f t="shared" si="35"/>
        <v>0</v>
      </c>
      <c r="BH352">
        <f t="shared" si="36"/>
        <v>0</v>
      </c>
      <c r="BI352">
        <f t="shared" si="37"/>
        <v>0</v>
      </c>
    </row>
    <row r="353" spans="10:61" x14ac:dyDescent="0.3">
      <c r="J353" t="s">
        <v>711</v>
      </c>
      <c r="AW353" t="s">
        <v>711</v>
      </c>
      <c r="BD353">
        <f t="shared" si="32"/>
        <v>0</v>
      </c>
      <c r="BE353">
        <f t="shared" si="33"/>
        <v>0</v>
      </c>
      <c r="BF353">
        <f t="shared" si="34"/>
        <v>0</v>
      </c>
      <c r="BG353">
        <f t="shared" si="35"/>
        <v>0</v>
      </c>
      <c r="BH353">
        <f t="shared" si="36"/>
        <v>0</v>
      </c>
      <c r="BI353">
        <f t="shared" si="37"/>
        <v>0</v>
      </c>
    </row>
    <row r="354" spans="10:61" x14ac:dyDescent="0.3">
      <c r="K354" s="17" t="s">
        <v>164</v>
      </c>
      <c r="L354" s="17" t="s">
        <v>165</v>
      </c>
      <c r="M354" s="17" t="s">
        <v>166</v>
      </c>
      <c r="N354" s="17" t="s">
        <v>167</v>
      </c>
      <c r="O354" s="17" t="s">
        <v>168</v>
      </c>
      <c r="AG354" t="s">
        <v>711</v>
      </c>
      <c r="AX354" t="s">
        <v>164</v>
      </c>
      <c r="AY354" t="s">
        <v>165</v>
      </c>
      <c r="AZ354" t="s">
        <v>166</v>
      </c>
      <c r="BA354" t="s">
        <v>167</v>
      </c>
      <c r="BB354" t="s">
        <v>168</v>
      </c>
      <c r="BD354">
        <f t="shared" si="32"/>
        <v>0</v>
      </c>
      <c r="BE354">
        <f t="shared" si="33"/>
        <v>0</v>
      </c>
      <c r="BF354">
        <f t="shared" si="34"/>
        <v>0</v>
      </c>
      <c r="BG354">
        <f t="shared" si="35"/>
        <v>0</v>
      </c>
      <c r="BH354">
        <f t="shared" si="36"/>
        <v>0</v>
      </c>
      <c r="BI354">
        <f t="shared" si="37"/>
        <v>0</v>
      </c>
    </row>
    <row r="355" spans="10:61" x14ac:dyDescent="0.3">
      <c r="J355" t="s">
        <v>542</v>
      </c>
      <c r="K355" s="17" t="s">
        <v>77</v>
      </c>
      <c r="L355" s="17" t="s">
        <v>155</v>
      </c>
      <c r="M355" s="17" t="s">
        <v>155</v>
      </c>
      <c r="N355" s="17" t="s">
        <v>155</v>
      </c>
      <c r="O355" s="17" t="s">
        <v>155</v>
      </c>
      <c r="AH355" s="17" t="s">
        <v>164</v>
      </c>
      <c r="AI355" s="17" t="s">
        <v>165</v>
      </c>
      <c r="AJ355" s="17" t="s">
        <v>166</v>
      </c>
      <c r="AK355" s="17" t="s">
        <v>167</v>
      </c>
      <c r="AL355" s="17" t="s">
        <v>168</v>
      </c>
      <c r="AW355" t="s">
        <v>542</v>
      </c>
      <c r="AX355" t="s">
        <v>77</v>
      </c>
      <c r="AY355" t="s">
        <v>155</v>
      </c>
      <c r="AZ355" t="s">
        <v>155</v>
      </c>
      <c r="BA355" t="s">
        <v>155</v>
      </c>
      <c r="BB355" t="s">
        <v>155</v>
      </c>
      <c r="BD355">
        <f t="shared" si="32"/>
        <v>0</v>
      </c>
      <c r="BE355">
        <f t="shared" si="33"/>
        <v>0</v>
      </c>
      <c r="BF355">
        <f t="shared" si="34"/>
        <v>0</v>
      </c>
      <c r="BG355">
        <f t="shared" si="35"/>
        <v>0</v>
      </c>
      <c r="BH355">
        <f t="shared" si="36"/>
        <v>0</v>
      </c>
      <c r="BI355">
        <f t="shared" si="37"/>
        <v>0</v>
      </c>
    </row>
    <row r="356" spans="10:61" x14ac:dyDescent="0.3">
      <c r="J356" t="s">
        <v>543</v>
      </c>
      <c r="K356" s="17" t="s">
        <v>77</v>
      </c>
      <c r="L356" s="17" t="s">
        <v>155</v>
      </c>
      <c r="M356" s="17" t="s">
        <v>155</v>
      </c>
      <c r="N356" s="17" t="s">
        <v>155</v>
      </c>
      <c r="O356" s="17" t="s">
        <v>155</v>
      </c>
      <c r="AG356" t="s">
        <v>542</v>
      </c>
      <c r="AH356" s="17" t="s">
        <v>77</v>
      </c>
      <c r="AI356" s="17" t="s">
        <v>155</v>
      </c>
      <c r="AJ356" s="17" t="s">
        <v>155</v>
      </c>
      <c r="AK356" s="17" t="s">
        <v>155</v>
      </c>
      <c r="AL356" s="17" t="s">
        <v>155</v>
      </c>
      <c r="AW356" t="s">
        <v>543</v>
      </c>
      <c r="AX356" t="s">
        <v>77</v>
      </c>
      <c r="AY356" t="s">
        <v>155</v>
      </c>
      <c r="AZ356" t="s">
        <v>155</v>
      </c>
      <c r="BA356" t="s">
        <v>155</v>
      </c>
      <c r="BB356" t="s">
        <v>155</v>
      </c>
      <c r="BD356">
        <f t="shared" si="32"/>
        <v>0</v>
      </c>
      <c r="BE356">
        <f t="shared" si="33"/>
        <v>0</v>
      </c>
      <c r="BF356">
        <f t="shared" si="34"/>
        <v>0</v>
      </c>
      <c r="BG356">
        <f t="shared" si="35"/>
        <v>0</v>
      </c>
      <c r="BH356">
        <f t="shared" si="36"/>
        <v>0</v>
      </c>
      <c r="BI356">
        <f t="shared" si="37"/>
        <v>0</v>
      </c>
    </row>
    <row r="357" spans="10:61" x14ac:dyDescent="0.3">
      <c r="AG357" t="s">
        <v>543</v>
      </c>
      <c r="AH357" s="17" t="s">
        <v>77</v>
      </c>
      <c r="AI357" s="17" t="s">
        <v>155</v>
      </c>
      <c r="AJ357" s="17" t="s">
        <v>155</v>
      </c>
      <c r="AK357" s="17" t="s">
        <v>155</v>
      </c>
      <c r="AL357" s="17" t="s">
        <v>155</v>
      </c>
      <c r="BD357">
        <f t="shared" si="32"/>
        <v>0</v>
      </c>
      <c r="BE357">
        <f t="shared" si="33"/>
        <v>0</v>
      </c>
      <c r="BF357">
        <f t="shared" si="34"/>
        <v>0</v>
      </c>
      <c r="BG357">
        <f t="shared" si="35"/>
        <v>0</v>
      </c>
      <c r="BH357">
        <f t="shared" si="36"/>
        <v>0</v>
      </c>
      <c r="BI357">
        <f t="shared" si="37"/>
        <v>0</v>
      </c>
    </row>
    <row r="358" spans="10:61" x14ac:dyDescent="0.3">
      <c r="J358" t="s">
        <v>716</v>
      </c>
      <c r="AW358" t="s">
        <v>716</v>
      </c>
      <c r="BD358">
        <f t="shared" si="32"/>
        <v>0</v>
      </c>
      <c r="BE358">
        <f t="shared" si="33"/>
        <v>0</v>
      </c>
      <c r="BF358">
        <f t="shared" si="34"/>
        <v>0</v>
      </c>
      <c r="BG358">
        <f t="shared" si="35"/>
        <v>0</v>
      </c>
      <c r="BH358">
        <f t="shared" si="36"/>
        <v>0</v>
      </c>
      <c r="BI358">
        <f t="shared" si="37"/>
        <v>0</v>
      </c>
    </row>
    <row r="359" spans="10:61" x14ac:dyDescent="0.3">
      <c r="K359" s="17" t="s">
        <v>164</v>
      </c>
      <c r="L359" s="17" t="s">
        <v>165</v>
      </c>
      <c r="M359" s="17" t="s">
        <v>166</v>
      </c>
      <c r="N359" s="17" t="s">
        <v>167</v>
      </c>
      <c r="O359" s="17" t="s">
        <v>168</v>
      </c>
      <c r="AG359" t="s">
        <v>716</v>
      </c>
      <c r="AX359" t="s">
        <v>164</v>
      </c>
      <c r="AY359" t="s">
        <v>165</v>
      </c>
      <c r="AZ359" t="s">
        <v>166</v>
      </c>
      <c r="BA359" t="s">
        <v>167</v>
      </c>
      <c r="BB359" t="s">
        <v>168</v>
      </c>
      <c r="BD359">
        <f t="shared" si="32"/>
        <v>0</v>
      </c>
      <c r="BE359">
        <f t="shared" si="33"/>
        <v>0</v>
      </c>
      <c r="BF359">
        <f t="shared" si="34"/>
        <v>0</v>
      </c>
      <c r="BG359">
        <f t="shared" si="35"/>
        <v>0</v>
      </c>
      <c r="BH359">
        <f t="shared" si="36"/>
        <v>0</v>
      </c>
      <c r="BI359">
        <f t="shared" si="37"/>
        <v>0</v>
      </c>
    </row>
    <row r="360" spans="10:61" x14ac:dyDescent="0.3">
      <c r="J360" t="s">
        <v>548</v>
      </c>
      <c r="K360" s="17" t="s">
        <v>155</v>
      </c>
      <c r="L360" s="17" t="s">
        <v>322</v>
      </c>
      <c r="M360" s="17" t="s">
        <v>155</v>
      </c>
      <c r="N360" s="17" t="s">
        <v>155</v>
      </c>
      <c r="O360" s="17" t="s">
        <v>322</v>
      </c>
      <c r="AH360" s="17" t="s">
        <v>164</v>
      </c>
      <c r="AI360" s="17" t="s">
        <v>165</v>
      </c>
      <c r="AJ360" s="17" t="s">
        <v>166</v>
      </c>
      <c r="AK360" s="17" t="s">
        <v>167</v>
      </c>
      <c r="AL360" s="17" t="s">
        <v>168</v>
      </c>
      <c r="AW360" t="s">
        <v>548</v>
      </c>
      <c r="AX360" t="s">
        <v>155</v>
      </c>
      <c r="AY360" t="s">
        <v>322</v>
      </c>
      <c r="AZ360" t="s">
        <v>155</v>
      </c>
      <c r="BA360" t="s">
        <v>155</v>
      </c>
      <c r="BB360" t="s">
        <v>322</v>
      </c>
      <c r="BD360">
        <f t="shared" si="32"/>
        <v>0</v>
      </c>
      <c r="BE360">
        <f t="shared" si="33"/>
        <v>0</v>
      </c>
      <c r="BF360">
        <f t="shared" si="34"/>
        <v>0</v>
      </c>
      <c r="BG360">
        <f t="shared" si="35"/>
        <v>0</v>
      </c>
      <c r="BH360">
        <f t="shared" si="36"/>
        <v>0</v>
      </c>
      <c r="BI360">
        <f t="shared" si="37"/>
        <v>0</v>
      </c>
    </row>
    <row r="361" spans="10:61" x14ac:dyDescent="0.3">
      <c r="J361" t="s">
        <v>549</v>
      </c>
      <c r="K361" s="17" t="s">
        <v>155</v>
      </c>
      <c r="L361" s="17" t="s">
        <v>322</v>
      </c>
      <c r="M361" s="17" t="s">
        <v>155</v>
      </c>
      <c r="N361" s="17" t="s">
        <v>155</v>
      </c>
      <c r="O361" s="17" t="s">
        <v>322</v>
      </c>
      <c r="AG361" t="s">
        <v>548</v>
      </c>
      <c r="AH361" s="17" t="s">
        <v>155</v>
      </c>
      <c r="AI361" s="17" t="s">
        <v>322</v>
      </c>
      <c r="AJ361" s="17" t="s">
        <v>155</v>
      </c>
      <c r="AK361" s="17" t="s">
        <v>322</v>
      </c>
      <c r="AL361" s="17" t="s">
        <v>155</v>
      </c>
      <c r="AW361" t="s">
        <v>549</v>
      </c>
      <c r="AX361" t="s">
        <v>155</v>
      </c>
      <c r="AY361" t="s">
        <v>322</v>
      </c>
      <c r="AZ361" t="s">
        <v>155</v>
      </c>
      <c r="BA361" t="s">
        <v>155</v>
      </c>
      <c r="BB361" t="s">
        <v>322</v>
      </c>
      <c r="BD361">
        <f t="shared" si="32"/>
        <v>0</v>
      </c>
      <c r="BE361">
        <f t="shared" si="33"/>
        <v>0</v>
      </c>
      <c r="BF361">
        <f t="shared" si="34"/>
        <v>0</v>
      </c>
      <c r="BG361">
        <f t="shared" si="35"/>
        <v>0</v>
      </c>
      <c r="BH361">
        <f t="shared" si="36"/>
        <v>0</v>
      </c>
      <c r="BI361">
        <f t="shared" si="37"/>
        <v>0</v>
      </c>
    </row>
    <row r="362" spans="10:61" x14ac:dyDescent="0.3">
      <c r="J362" t="s">
        <v>550</v>
      </c>
      <c r="K362" s="17" t="s">
        <v>155</v>
      </c>
      <c r="L362" s="17" t="s">
        <v>155</v>
      </c>
      <c r="M362" s="17" t="s">
        <v>155</v>
      </c>
      <c r="N362" s="17" t="s">
        <v>155</v>
      </c>
      <c r="O362" s="17" t="s">
        <v>322</v>
      </c>
      <c r="AG362" t="s">
        <v>549</v>
      </c>
      <c r="AH362" s="17" t="s">
        <v>155</v>
      </c>
      <c r="AI362" s="17" t="s">
        <v>322</v>
      </c>
      <c r="AJ362" s="17" t="s">
        <v>155</v>
      </c>
      <c r="AK362" s="17" t="s">
        <v>322</v>
      </c>
      <c r="AL362" s="17" t="s">
        <v>155</v>
      </c>
      <c r="AW362" t="s">
        <v>550</v>
      </c>
      <c r="AX362" t="s">
        <v>155</v>
      </c>
      <c r="AY362" t="s">
        <v>155</v>
      </c>
      <c r="AZ362" t="s">
        <v>155</v>
      </c>
      <c r="BA362" t="s">
        <v>155</v>
      </c>
      <c r="BB362" t="s">
        <v>322</v>
      </c>
      <c r="BD362">
        <f t="shared" si="32"/>
        <v>0</v>
      </c>
      <c r="BE362">
        <f t="shared" si="33"/>
        <v>0</v>
      </c>
      <c r="BF362">
        <f t="shared" si="34"/>
        <v>0</v>
      </c>
      <c r="BG362">
        <f t="shared" si="35"/>
        <v>0</v>
      </c>
      <c r="BH362">
        <f t="shared" si="36"/>
        <v>0</v>
      </c>
      <c r="BI362">
        <f t="shared" si="37"/>
        <v>0</v>
      </c>
    </row>
    <row r="363" spans="10:61" x14ac:dyDescent="0.3">
      <c r="J363" t="s">
        <v>554</v>
      </c>
      <c r="K363" s="17" t="s">
        <v>8</v>
      </c>
      <c r="L363" s="17" t="s">
        <v>155</v>
      </c>
      <c r="M363" s="17" t="s">
        <v>155</v>
      </c>
      <c r="N363" s="17" t="s">
        <v>8</v>
      </c>
      <c r="O363" s="17" t="s">
        <v>155</v>
      </c>
      <c r="AG363" t="s">
        <v>550</v>
      </c>
      <c r="AH363" s="17" t="s">
        <v>155</v>
      </c>
      <c r="AI363" s="17" t="s">
        <v>155</v>
      </c>
      <c r="AJ363" s="17" t="s">
        <v>155</v>
      </c>
      <c r="AK363" s="17" t="s">
        <v>322</v>
      </c>
      <c r="AL363" s="17" t="s">
        <v>155</v>
      </c>
      <c r="AW363" t="s">
        <v>554</v>
      </c>
      <c r="AX363" t="s">
        <v>8</v>
      </c>
      <c r="AY363" t="s">
        <v>155</v>
      </c>
      <c r="AZ363" t="s">
        <v>155</v>
      </c>
      <c r="BA363" t="s">
        <v>8</v>
      </c>
      <c r="BB363" t="s">
        <v>155</v>
      </c>
      <c r="BD363">
        <f t="shared" si="32"/>
        <v>0</v>
      </c>
      <c r="BE363">
        <f t="shared" si="33"/>
        <v>0</v>
      </c>
      <c r="BF363">
        <f t="shared" si="34"/>
        <v>0</v>
      </c>
      <c r="BG363">
        <f t="shared" si="35"/>
        <v>0</v>
      </c>
      <c r="BH363">
        <f t="shared" si="36"/>
        <v>0</v>
      </c>
      <c r="BI363">
        <f t="shared" si="37"/>
        <v>0</v>
      </c>
    </row>
    <row r="364" spans="10:61" x14ac:dyDescent="0.3">
      <c r="J364" t="s">
        <v>555</v>
      </c>
      <c r="K364" s="17" t="s">
        <v>8</v>
      </c>
      <c r="L364" s="17" t="s">
        <v>155</v>
      </c>
      <c r="M364" s="17" t="s">
        <v>155</v>
      </c>
      <c r="N364" s="17" t="s">
        <v>8</v>
      </c>
      <c r="O364" s="17" t="s">
        <v>155</v>
      </c>
      <c r="AG364" t="s">
        <v>554</v>
      </c>
      <c r="AH364" s="17" t="s">
        <v>155</v>
      </c>
      <c r="AI364" s="17" t="s">
        <v>8</v>
      </c>
      <c r="AJ364" s="17" t="s">
        <v>155</v>
      </c>
      <c r="AK364" s="17" t="s">
        <v>8</v>
      </c>
      <c r="AL364" s="17" t="s">
        <v>155</v>
      </c>
      <c r="AW364" t="s">
        <v>555</v>
      </c>
      <c r="AX364" t="s">
        <v>8</v>
      </c>
      <c r="AY364" t="s">
        <v>155</v>
      </c>
      <c r="AZ364" t="s">
        <v>155</v>
      </c>
      <c r="BA364" t="s">
        <v>8</v>
      </c>
      <c r="BB364" t="s">
        <v>155</v>
      </c>
      <c r="BD364">
        <f t="shared" si="32"/>
        <v>0</v>
      </c>
      <c r="BE364">
        <f t="shared" si="33"/>
        <v>0</v>
      </c>
      <c r="BF364">
        <f t="shared" si="34"/>
        <v>0</v>
      </c>
      <c r="BG364">
        <f t="shared" si="35"/>
        <v>0</v>
      </c>
      <c r="BH364">
        <f t="shared" si="36"/>
        <v>0</v>
      </c>
      <c r="BI364">
        <f t="shared" si="37"/>
        <v>0</v>
      </c>
    </row>
    <row r="365" spans="10:61" x14ac:dyDescent="0.3">
      <c r="J365" t="s">
        <v>556</v>
      </c>
      <c r="K365" s="17" t="s">
        <v>155</v>
      </c>
      <c r="L365" s="17" t="s">
        <v>155</v>
      </c>
      <c r="M365" s="17" t="s">
        <v>155</v>
      </c>
      <c r="N365" s="17" t="s">
        <v>8</v>
      </c>
      <c r="O365" s="17" t="s">
        <v>155</v>
      </c>
      <c r="AG365" t="s">
        <v>555</v>
      </c>
      <c r="AH365" s="17" t="s">
        <v>155</v>
      </c>
      <c r="AI365" s="17" t="s">
        <v>8</v>
      </c>
      <c r="AJ365" s="17" t="s">
        <v>155</v>
      </c>
      <c r="AK365" s="17" t="s">
        <v>8</v>
      </c>
      <c r="AL365" s="17" t="s">
        <v>155</v>
      </c>
      <c r="AW365" t="s">
        <v>556</v>
      </c>
      <c r="AX365" t="s">
        <v>155</v>
      </c>
      <c r="AY365" t="s">
        <v>155</v>
      </c>
      <c r="AZ365" t="s">
        <v>155</v>
      </c>
      <c r="BA365" t="s">
        <v>8</v>
      </c>
      <c r="BB365" t="s">
        <v>155</v>
      </c>
      <c r="BD365">
        <f t="shared" si="32"/>
        <v>0</v>
      </c>
      <c r="BE365">
        <f t="shared" si="33"/>
        <v>0</v>
      </c>
      <c r="BF365">
        <f t="shared" si="34"/>
        <v>0</v>
      </c>
      <c r="BG365">
        <f t="shared" si="35"/>
        <v>0</v>
      </c>
      <c r="BH365">
        <f t="shared" si="36"/>
        <v>0</v>
      </c>
      <c r="BI365">
        <f t="shared" si="37"/>
        <v>0</v>
      </c>
    </row>
    <row r="366" spans="10:61" x14ac:dyDescent="0.3">
      <c r="AG366" t="s">
        <v>556</v>
      </c>
      <c r="AH366" s="17" t="s">
        <v>155</v>
      </c>
      <c r="AI366" s="17" t="s">
        <v>8</v>
      </c>
      <c r="AJ366" s="17" t="s">
        <v>155</v>
      </c>
      <c r="AK366" s="17" t="s">
        <v>155</v>
      </c>
      <c r="AL366" s="17" t="s">
        <v>155</v>
      </c>
      <c r="BD366">
        <f t="shared" si="32"/>
        <v>0</v>
      </c>
      <c r="BE366">
        <f t="shared" si="33"/>
        <v>0</v>
      </c>
      <c r="BF366">
        <f t="shared" si="34"/>
        <v>0</v>
      </c>
      <c r="BG366">
        <f t="shared" si="35"/>
        <v>0</v>
      </c>
      <c r="BH366">
        <f t="shared" si="36"/>
        <v>0</v>
      </c>
      <c r="BI366">
        <f t="shared" si="37"/>
        <v>0</v>
      </c>
    </row>
    <row r="367" spans="10:61" x14ac:dyDescent="0.3">
      <c r="J367" t="s">
        <v>757</v>
      </c>
      <c r="AW367" t="s">
        <v>757</v>
      </c>
      <c r="BD367">
        <f t="shared" si="32"/>
        <v>0</v>
      </c>
      <c r="BE367">
        <f t="shared" si="33"/>
        <v>0</v>
      </c>
      <c r="BF367">
        <f t="shared" si="34"/>
        <v>0</v>
      </c>
      <c r="BG367">
        <f t="shared" si="35"/>
        <v>0</v>
      </c>
      <c r="BH367">
        <f t="shared" si="36"/>
        <v>0</v>
      </c>
      <c r="BI367">
        <f t="shared" si="37"/>
        <v>0</v>
      </c>
    </row>
    <row r="368" spans="10:61" x14ac:dyDescent="0.3">
      <c r="K368" s="17" t="s">
        <v>164</v>
      </c>
      <c r="L368" s="17" t="s">
        <v>165</v>
      </c>
      <c r="M368" s="17" t="s">
        <v>166</v>
      </c>
      <c r="N368" s="17" t="s">
        <v>167</v>
      </c>
      <c r="O368" s="17" t="s">
        <v>168</v>
      </c>
      <c r="AG368" t="s">
        <v>757</v>
      </c>
      <c r="AX368" t="s">
        <v>164</v>
      </c>
      <c r="AY368" t="s">
        <v>165</v>
      </c>
      <c r="AZ368" t="s">
        <v>166</v>
      </c>
      <c r="BA368" t="s">
        <v>167</v>
      </c>
      <c r="BB368" t="s">
        <v>168</v>
      </c>
      <c r="BD368">
        <f t="shared" si="32"/>
        <v>0</v>
      </c>
      <c r="BE368">
        <f t="shared" si="33"/>
        <v>0</v>
      </c>
      <c r="BF368">
        <f t="shared" si="34"/>
        <v>0</v>
      </c>
      <c r="BG368">
        <f t="shared" si="35"/>
        <v>0</v>
      </c>
      <c r="BH368">
        <f t="shared" si="36"/>
        <v>0</v>
      </c>
      <c r="BI368">
        <f t="shared" si="37"/>
        <v>0</v>
      </c>
    </row>
    <row r="369" spans="10:61" x14ac:dyDescent="0.3">
      <c r="J369" t="s">
        <v>548</v>
      </c>
      <c r="K369" s="17" t="s">
        <v>155</v>
      </c>
      <c r="L369" s="17" t="s">
        <v>155</v>
      </c>
      <c r="M369" s="17" t="s">
        <v>155</v>
      </c>
      <c r="N369" s="17" t="s">
        <v>155</v>
      </c>
      <c r="O369" s="17" t="s">
        <v>383</v>
      </c>
      <c r="AH369" s="17" t="s">
        <v>164</v>
      </c>
      <c r="AI369" s="17" t="s">
        <v>165</v>
      </c>
      <c r="AJ369" s="17" t="s">
        <v>166</v>
      </c>
      <c r="AK369" s="17" t="s">
        <v>167</v>
      </c>
      <c r="AL369" s="17" t="s">
        <v>168</v>
      </c>
      <c r="AW369" t="s">
        <v>548</v>
      </c>
      <c r="AX369" t="s">
        <v>155</v>
      </c>
      <c r="AY369" t="s">
        <v>155</v>
      </c>
      <c r="AZ369" t="s">
        <v>155</v>
      </c>
      <c r="BA369" t="s">
        <v>155</v>
      </c>
      <c r="BB369" t="s">
        <v>383</v>
      </c>
      <c r="BD369">
        <f t="shared" si="32"/>
        <v>0</v>
      </c>
      <c r="BE369">
        <f t="shared" si="33"/>
        <v>0</v>
      </c>
      <c r="BF369">
        <f t="shared" si="34"/>
        <v>0</v>
      </c>
      <c r="BG369">
        <f t="shared" si="35"/>
        <v>0</v>
      </c>
      <c r="BH369">
        <f t="shared" si="36"/>
        <v>0</v>
      </c>
      <c r="BI369">
        <f t="shared" si="37"/>
        <v>0</v>
      </c>
    </row>
    <row r="370" spans="10:61" x14ac:dyDescent="0.3">
      <c r="J370" t="s">
        <v>549</v>
      </c>
      <c r="K370" s="17" t="s">
        <v>155</v>
      </c>
      <c r="L370" s="17" t="s">
        <v>155</v>
      </c>
      <c r="M370" s="17" t="s">
        <v>155</v>
      </c>
      <c r="N370" s="17" t="s">
        <v>155</v>
      </c>
      <c r="O370" s="17" t="s">
        <v>383</v>
      </c>
      <c r="AG370" t="s">
        <v>548</v>
      </c>
      <c r="AH370" s="17" t="s">
        <v>155</v>
      </c>
      <c r="AI370" s="17" t="s">
        <v>155</v>
      </c>
      <c r="AJ370" s="17" t="s">
        <v>155</v>
      </c>
      <c r="AK370" s="17" t="s">
        <v>155</v>
      </c>
      <c r="AL370" s="17" t="s">
        <v>383</v>
      </c>
      <c r="AW370" t="s">
        <v>549</v>
      </c>
      <c r="AX370" t="s">
        <v>155</v>
      </c>
      <c r="AY370" t="s">
        <v>155</v>
      </c>
      <c r="AZ370" t="s">
        <v>155</v>
      </c>
      <c r="BA370" t="s">
        <v>155</v>
      </c>
      <c r="BB370" t="s">
        <v>383</v>
      </c>
      <c r="BD370">
        <f t="shared" si="32"/>
        <v>0</v>
      </c>
      <c r="BE370">
        <f t="shared" si="33"/>
        <v>0</v>
      </c>
      <c r="BF370">
        <f t="shared" si="34"/>
        <v>0</v>
      </c>
      <c r="BG370">
        <f t="shared" si="35"/>
        <v>0</v>
      </c>
      <c r="BH370">
        <f t="shared" si="36"/>
        <v>0</v>
      </c>
      <c r="BI370">
        <f t="shared" si="37"/>
        <v>0</v>
      </c>
    </row>
    <row r="371" spans="10:61" x14ac:dyDescent="0.3">
      <c r="J371" t="s">
        <v>550</v>
      </c>
      <c r="K371" s="17" t="s">
        <v>383</v>
      </c>
      <c r="L371" s="17" t="s">
        <v>155</v>
      </c>
      <c r="M371" s="17" t="s">
        <v>155</v>
      </c>
      <c r="N371" s="17" t="s">
        <v>155</v>
      </c>
      <c r="O371" s="17" t="s">
        <v>155</v>
      </c>
      <c r="AG371" t="s">
        <v>549</v>
      </c>
      <c r="AH371" s="17" t="s">
        <v>155</v>
      </c>
      <c r="AI371" s="17" t="s">
        <v>155</v>
      </c>
      <c r="AJ371" s="17" t="s">
        <v>155</v>
      </c>
      <c r="AK371" s="17" t="s">
        <v>155</v>
      </c>
      <c r="AL371" s="17" t="s">
        <v>383</v>
      </c>
      <c r="AW371" t="s">
        <v>550</v>
      </c>
      <c r="AX371" t="s">
        <v>383</v>
      </c>
      <c r="AY371" t="s">
        <v>155</v>
      </c>
      <c r="AZ371" t="s">
        <v>155</v>
      </c>
      <c r="BA371" t="s">
        <v>155</v>
      </c>
      <c r="BB371" t="s">
        <v>155</v>
      </c>
      <c r="BD371">
        <f t="shared" si="32"/>
        <v>0</v>
      </c>
      <c r="BE371">
        <f t="shared" si="33"/>
        <v>0</v>
      </c>
      <c r="BF371">
        <f t="shared" si="34"/>
        <v>0</v>
      </c>
      <c r="BG371">
        <f t="shared" si="35"/>
        <v>0</v>
      </c>
      <c r="BH371">
        <f t="shared" si="36"/>
        <v>0</v>
      </c>
      <c r="BI371">
        <f t="shared" si="37"/>
        <v>0</v>
      </c>
    </row>
    <row r="372" spans="10:61" x14ac:dyDescent="0.3">
      <c r="J372" t="s">
        <v>158</v>
      </c>
      <c r="K372" s="17" t="s">
        <v>383</v>
      </c>
      <c r="L372" s="17" t="s">
        <v>155</v>
      </c>
      <c r="M372" s="17" t="s">
        <v>155</v>
      </c>
      <c r="N372" s="17" t="s">
        <v>155</v>
      </c>
      <c r="O372" s="17" t="s">
        <v>155</v>
      </c>
      <c r="AG372" t="s">
        <v>159</v>
      </c>
      <c r="AH372" s="17" t="s">
        <v>383</v>
      </c>
      <c r="AI372" s="17" t="s">
        <v>155</v>
      </c>
      <c r="AJ372" s="17" t="s">
        <v>155</v>
      </c>
      <c r="AK372" s="17" t="s">
        <v>155</v>
      </c>
      <c r="AL372" s="17" t="s">
        <v>155</v>
      </c>
      <c r="AW372" t="s">
        <v>158</v>
      </c>
      <c r="AX372" t="s">
        <v>383</v>
      </c>
      <c r="AY372" t="s">
        <v>155</v>
      </c>
      <c r="AZ372" t="s">
        <v>155</v>
      </c>
      <c r="BA372" t="s">
        <v>155</v>
      </c>
      <c r="BB372" t="s">
        <v>155</v>
      </c>
      <c r="BD372">
        <f t="shared" si="32"/>
        <v>0</v>
      </c>
      <c r="BE372">
        <f t="shared" si="33"/>
        <v>0</v>
      </c>
      <c r="BF372">
        <f t="shared" si="34"/>
        <v>0</v>
      </c>
      <c r="BG372">
        <f t="shared" si="35"/>
        <v>0</v>
      </c>
      <c r="BH372">
        <f t="shared" si="36"/>
        <v>0</v>
      </c>
      <c r="BI372">
        <f t="shared" si="37"/>
        <v>0</v>
      </c>
    </row>
    <row r="373" spans="10:61" x14ac:dyDescent="0.3">
      <c r="J373" t="s">
        <v>543</v>
      </c>
      <c r="K373" s="17" t="s">
        <v>155</v>
      </c>
      <c r="L373" s="17" t="s">
        <v>155</v>
      </c>
      <c r="M373" s="17" t="s">
        <v>155</v>
      </c>
      <c r="N373" s="17" t="s">
        <v>155</v>
      </c>
      <c r="O373" s="17" t="s">
        <v>280</v>
      </c>
      <c r="AG373" t="s">
        <v>160</v>
      </c>
      <c r="AH373" s="17" t="s">
        <v>383</v>
      </c>
      <c r="AI373" s="17" t="s">
        <v>155</v>
      </c>
      <c r="AJ373" s="17" t="s">
        <v>155</v>
      </c>
      <c r="AK373" s="17" t="s">
        <v>155</v>
      </c>
      <c r="AL373" s="17" t="s">
        <v>155</v>
      </c>
      <c r="AW373" t="s">
        <v>543</v>
      </c>
      <c r="AX373" t="s">
        <v>155</v>
      </c>
      <c r="AY373" t="s">
        <v>155</v>
      </c>
      <c r="AZ373" t="s">
        <v>155</v>
      </c>
      <c r="BA373" t="s">
        <v>155</v>
      </c>
      <c r="BB373" t="s">
        <v>280</v>
      </c>
      <c r="BD373">
        <f t="shared" si="32"/>
        <v>0</v>
      </c>
      <c r="BE373">
        <f t="shared" si="33"/>
        <v>0</v>
      </c>
      <c r="BF373">
        <f t="shared" si="34"/>
        <v>0</v>
      </c>
      <c r="BG373">
        <f t="shared" si="35"/>
        <v>0</v>
      </c>
      <c r="BH373">
        <f t="shared" si="36"/>
        <v>0</v>
      </c>
      <c r="BI373">
        <f t="shared" si="37"/>
        <v>0</v>
      </c>
    </row>
    <row r="374" spans="10:61" x14ac:dyDescent="0.3">
      <c r="J374" t="s">
        <v>544</v>
      </c>
      <c r="K374" s="17" t="s">
        <v>155</v>
      </c>
      <c r="L374" s="17" t="s">
        <v>155</v>
      </c>
      <c r="M374" s="17" t="s">
        <v>155</v>
      </c>
      <c r="N374" s="17" t="s">
        <v>155</v>
      </c>
      <c r="O374" s="17" t="s">
        <v>280</v>
      </c>
      <c r="AG374" t="s">
        <v>543</v>
      </c>
      <c r="AH374" s="17" t="s">
        <v>155</v>
      </c>
      <c r="AI374" s="17" t="s">
        <v>155</v>
      </c>
      <c r="AJ374" s="17" t="s">
        <v>155</v>
      </c>
      <c r="AK374" s="17" t="s">
        <v>155</v>
      </c>
      <c r="AL374" s="17" t="s">
        <v>280</v>
      </c>
      <c r="AW374" t="s">
        <v>544</v>
      </c>
      <c r="AX374" t="s">
        <v>155</v>
      </c>
      <c r="AY374" t="s">
        <v>155</v>
      </c>
      <c r="AZ374" t="s">
        <v>155</v>
      </c>
      <c r="BA374" t="s">
        <v>155</v>
      </c>
      <c r="BB374" t="s">
        <v>280</v>
      </c>
      <c r="BD374">
        <f t="shared" si="32"/>
        <v>0</v>
      </c>
      <c r="BE374">
        <f t="shared" si="33"/>
        <v>0</v>
      </c>
      <c r="BF374">
        <f t="shared" si="34"/>
        <v>0</v>
      </c>
      <c r="BG374">
        <f t="shared" si="35"/>
        <v>0</v>
      </c>
      <c r="BH374">
        <f t="shared" si="36"/>
        <v>0</v>
      </c>
      <c r="BI374">
        <f t="shared" si="37"/>
        <v>0</v>
      </c>
    </row>
    <row r="375" spans="10:61" x14ac:dyDescent="0.3">
      <c r="J375" t="s">
        <v>545</v>
      </c>
      <c r="K375" s="17" t="s">
        <v>155</v>
      </c>
      <c r="L375" s="17" t="s">
        <v>155</v>
      </c>
      <c r="M375" s="17" t="s">
        <v>155</v>
      </c>
      <c r="N375" s="17" t="s">
        <v>155</v>
      </c>
      <c r="O375" s="17" t="s">
        <v>280</v>
      </c>
      <c r="AG375" t="s">
        <v>544</v>
      </c>
      <c r="AH375" s="17" t="s">
        <v>155</v>
      </c>
      <c r="AI375" s="17" t="s">
        <v>155</v>
      </c>
      <c r="AJ375" s="17" t="s">
        <v>155</v>
      </c>
      <c r="AK375" s="17" t="s">
        <v>155</v>
      </c>
      <c r="AL375" s="17" t="s">
        <v>280</v>
      </c>
      <c r="AW375" t="s">
        <v>545</v>
      </c>
      <c r="AX375" t="s">
        <v>155</v>
      </c>
      <c r="AY375" t="s">
        <v>155</v>
      </c>
      <c r="AZ375" t="s">
        <v>155</v>
      </c>
      <c r="BA375" t="s">
        <v>155</v>
      </c>
      <c r="BB375" t="s">
        <v>280</v>
      </c>
      <c r="BD375">
        <f t="shared" si="32"/>
        <v>0</v>
      </c>
      <c r="BE375">
        <f t="shared" si="33"/>
        <v>0</v>
      </c>
      <c r="BF375">
        <f t="shared" si="34"/>
        <v>0</v>
      </c>
      <c r="BG375">
        <f t="shared" si="35"/>
        <v>0</v>
      </c>
      <c r="BH375">
        <f t="shared" si="36"/>
        <v>0</v>
      </c>
      <c r="BI375">
        <f t="shared" si="37"/>
        <v>0</v>
      </c>
    </row>
    <row r="376" spans="10:61" x14ac:dyDescent="0.3">
      <c r="AG376" t="s">
        <v>545</v>
      </c>
      <c r="AH376" s="17" t="s">
        <v>155</v>
      </c>
      <c r="AI376" s="17" t="s">
        <v>155</v>
      </c>
      <c r="AJ376" s="17" t="s">
        <v>155</v>
      </c>
      <c r="AK376" s="17" t="s">
        <v>155</v>
      </c>
      <c r="AL376" s="17" t="s">
        <v>280</v>
      </c>
      <c r="BD376">
        <f t="shared" si="32"/>
        <v>0</v>
      </c>
      <c r="BE376">
        <f t="shared" si="33"/>
        <v>0</v>
      </c>
      <c r="BF376">
        <f t="shared" si="34"/>
        <v>0</v>
      </c>
      <c r="BG376">
        <f t="shared" si="35"/>
        <v>0</v>
      </c>
      <c r="BH376">
        <f t="shared" si="36"/>
        <v>0</v>
      </c>
      <c r="BI376">
        <f t="shared" si="37"/>
        <v>0</v>
      </c>
    </row>
    <row r="377" spans="10:61" x14ac:dyDescent="0.3">
      <c r="J377" t="s">
        <v>720</v>
      </c>
      <c r="AW377" t="s">
        <v>720</v>
      </c>
      <c r="BD377">
        <f t="shared" si="32"/>
        <v>0</v>
      </c>
      <c r="BE377">
        <f t="shared" si="33"/>
        <v>0</v>
      </c>
      <c r="BF377">
        <f t="shared" si="34"/>
        <v>0</v>
      </c>
      <c r="BG377">
        <f t="shared" si="35"/>
        <v>0</v>
      </c>
      <c r="BH377">
        <f t="shared" si="36"/>
        <v>0</v>
      </c>
      <c r="BI377">
        <f t="shared" si="37"/>
        <v>0</v>
      </c>
    </row>
    <row r="378" spans="10:61" x14ac:dyDescent="0.3">
      <c r="K378" s="17" t="s">
        <v>164</v>
      </c>
      <c r="L378" s="17" t="s">
        <v>165</v>
      </c>
      <c r="M378" s="17" t="s">
        <v>166</v>
      </c>
      <c r="N378" s="17" t="s">
        <v>167</v>
      </c>
      <c r="O378" s="17" t="s">
        <v>168</v>
      </c>
      <c r="AG378" t="s">
        <v>720</v>
      </c>
      <c r="AX378" t="s">
        <v>164</v>
      </c>
      <c r="AY378" t="s">
        <v>165</v>
      </c>
      <c r="AZ378" t="s">
        <v>166</v>
      </c>
      <c r="BA378" t="s">
        <v>167</v>
      </c>
      <c r="BB378" t="s">
        <v>168</v>
      </c>
      <c r="BD378">
        <f t="shared" si="32"/>
        <v>0</v>
      </c>
      <c r="BE378">
        <f t="shared" si="33"/>
        <v>0</v>
      </c>
      <c r="BF378">
        <f t="shared" si="34"/>
        <v>0</v>
      </c>
      <c r="BG378">
        <f t="shared" si="35"/>
        <v>0</v>
      </c>
      <c r="BH378">
        <f t="shared" si="36"/>
        <v>0</v>
      </c>
      <c r="BI378">
        <f t="shared" si="37"/>
        <v>0</v>
      </c>
    </row>
    <row r="379" spans="10:61" x14ac:dyDescent="0.3">
      <c r="J379" t="s">
        <v>548</v>
      </c>
      <c r="K379" s="17" t="s">
        <v>155</v>
      </c>
      <c r="L379" s="17" t="s">
        <v>155</v>
      </c>
      <c r="M379" s="17" t="s">
        <v>155</v>
      </c>
      <c r="N379" s="17" t="s">
        <v>155</v>
      </c>
      <c r="O379" s="17" t="s">
        <v>7</v>
      </c>
      <c r="AH379" s="17" t="s">
        <v>164</v>
      </c>
      <c r="AI379" s="17" t="s">
        <v>165</v>
      </c>
      <c r="AJ379" s="17" t="s">
        <v>166</v>
      </c>
      <c r="AK379" s="17" t="s">
        <v>167</v>
      </c>
      <c r="AL379" s="17" t="s">
        <v>168</v>
      </c>
      <c r="AW379" t="s">
        <v>548</v>
      </c>
      <c r="AX379" t="s">
        <v>155</v>
      </c>
      <c r="AY379" t="s">
        <v>155</v>
      </c>
      <c r="AZ379" t="s">
        <v>155</v>
      </c>
      <c r="BA379" t="s">
        <v>155</v>
      </c>
      <c r="BB379" t="s">
        <v>7</v>
      </c>
      <c r="BD379">
        <f t="shared" si="32"/>
        <v>0</v>
      </c>
      <c r="BE379">
        <f t="shared" si="33"/>
        <v>0</v>
      </c>
      <c r="BF379">
        <f t="shared" si="34"/>
        <v>0</v>
      </c>
      <c r="BG379">
        <f t="shared" si="35"/>
        <v>0</v>
      </c>
      <c r="BH379">
        <f t="shared" si="36"/>
        <v>0</v>
      </c>
      <c r="BI379">
        <f t="shared" si="37"/>
        <v>0</v>
      </c>
    </row>
    <row r="380" spans="10:61" x14ac:dyDescent="0.3">
      <c r="J380" t="s">
        <v>549</v>
      </c>
      <c r="K380" s="17" t="s">
        <v>155</v>
      </c>
      <c r="L380" s="17" t="s">
        <v>155</v>
      </c>
      <c r="M380" s="17" t="s">
        <v>155</v>
      </c>
      <c r="N380" s="17" t="s">
        <v>155</v>
      </c>
      <c r="O380" s="17" t="s">
        <v>7</v>
      </c>
      <c r="AG380" t="s">
        <v>548</v>
      </c>
      <c r="AH380" s="17" t="s">
        <v>155</v>
      </c>
      <c r="AI380" s="17" t="s">
        <v>155</v>
      </c>
      <c r="AJ380" s="17" t="s">
        <v>155</v>
      </c>
      <c r="AK380" s="17" t="s">
        <v>155</v>
      </c>
      <c r="AL380" s="17" t="s">
        <v>7</v>
      </c>
      <c r="AW380" t="s">
        <v>549</v>
      </c>
      <c r="AX380" t="s">
        <v>155</v>
      </c>
      <c r="AY380" t="s">
        <v>155</v>
      </c>
      <c r="AZ380" t="s">
        <v>155</v>
      </c>
      <c r="BA380" t="s">
        <v>155</v>
      </c>
      <c r="BB380" t="s">
        <v>7</v>
      </c>
      <c r="BD380">
        <f t="shared" si="32"/>
        <v>0</v>
      </c>
      <c r="BE380">
        <f t="shared" si="33"/>
        <v>0</v>
      </c>
      <c r="BF380">
        <f t="shared" si="34"/>
        <v>0</v>
      </c>
      <c r="BG380">
        <f t="shared" si="35"/>
        <v>0</v>
      </c>
      <c r="BH380">
        <f t="shared" si="36"/>
        <v>0</v>
      </c>
      <c r="BI380">
        <f t="shared" si="37"/>
        <v>0</v>
      </c>
    </row>
    <row r="381" spans="10:61" x14ac:dyDescent="0.3">
      <c r="J381" t="s">
        <v>550</v>
      </c>
      <c r="K381" s="17" t="s">
        <v>155</v>
      </c>
      <c r="L381" s="17" t="s">
        <v>155</v>
      </c>
      <c r="M381" s="17" t="s">
        <v>155</v>
      </c>
      <c r="N381" s="17" t="s">
        <v>155</v>
      </c>
      <c r="O381" s="17" t="s">
        <v>7</v>
      </c>
      <c r="AG381" t="s">
        <v>549</v>
      </c>
      <c r="AH381" s="17" t="s">
        <v>155</v>
      </c>
      <c r="AI381" s="17" t="s">
        <v>155</v>
      </c>
      <c r="AJ381" s="17" t="s">
        <v>155</v>
      </c>
      <c r="AK381" s="17" t="s">
        <v>155</v>
      </c>
      <c r="AL381" s="17" t="s">
        <v>7</v>
      </c>
      <c r="AW381" t="s">
        <v>550</v>
      </c>
      <c r="AX381" t="s">
        <v>155</v>
      </c>
      <c r="AY381" t="s">
        <v>155</v>
      </c>
      <c r="AZ381" t="s">
        <v>155</v>
      </c>
      <c r="BA381" t="s">
        <v>155</v>
      </c>
      <c r="BB381" t="s">
        <v>7</v>
      </c>
      <c r="BD381">
        <f t="shared" si="32"/>
        <v>0</v>
      </c>
      <c r="BE381">
        <f t="shared" si="33"/>
        <v>0</v>
      </c>
      <c r="BF381">
        <f t="shared" si="34"/>
        <v>0</v>
      </c>
      <c r="BG381">
        <f t="shared" si="35"/>
        <v>0</v>
      </c>
      <c r="BH381">
        <f t="shared" si="36"/>
        <v>0</v>
      </c>
      <c r="BI381">
        <f t="shared" si="37"/>
        <v>0</v>
      </c>
    </row>
    <row r="382" spans="10:61" x14ac:dyDescent="0.3">
      <c r="J382" t="s">
        <v>158</v>
      </c>
      <c r="K382" s="17" t="s">
        <v>155</v>
      </c>
      <c r="L382" s="17" t="s">
        <v>155</v>
      </c>
      <c r="M382" s="17" t="s">
        <v>155</v>
      </c>
      <c r="N382" s="17" t="s">
        <v>155</v>
      </c>
      <c r="O382" s="17" t="s">
        <v>7</v>
      </c>
      <c r="AG382" t="s">
        <v>550</v>
      </c>
      <c r="AH382" s="17" t="s">
        <v>155</v>
      </c>
      <c r="AI382" s="17" t="s">
        <v>155</v>
      </c>
      <c r="AJ382" s="17" t="s">
        <v>155</v>
      </c>
      <c r="AK382" s="17" t="s">
        <v>155</v>
      </c>
      <c r="AL382" s="17" t="s">
        <v>7</v>
      </c>
      <c r="AW382" t="s">
        <v>158</v>
      </c>
      <c r="AX382" t="s">
        <v>155</v>
      </c>
      <c r="AY382" t="s">
        <v>155</v>
      </c>
      <c r="AZ382" t="s">
        <v>155</v>
      </c>
      <c r="BA382" t="s">
        <v>155</v>
      </c>
      <c r="BB382" t="s">
        <v>7</v>
      </c>
      <c r="BD382">
        <f t="shared" si="32"/>
        <v>0</v>
      </c>
      <c r="BE382">
        <f t="shared" si="33"/>
        <v>0</v>
      </c>
      <c r="BF382">
        <f t="shared" si="34"/>
        <v>0</v>
      </c>
      <c r="BG382">
        <f t="shared" si="35"/>
        <v>0</v>
      </c>
      <c r="BH382">
        <f t="shared" si="36"/>
        <v>0</v>
      </c>
      <c r="BI382">
        <f t="shared" si="37"/>
        <v>0</v>
      </c>
    </row>
    <row r="383" spans="10:61" x14ac:dyDescent="0.3">
      <c r="J383" t="s">
        <v>159</v>
      </c>
      <c r="K383" s="17" t="s">
        <v>155</v>
      </c>
      <c r="L383" s="17" t="s">
        <v>155</v>
      </c>
      <c r="M383" s="17" t="s">
        <v>155</v>
      </c>
      <c r="N383" s="17" t="s">
        <v>155</v>
      </c>
      <c r="O383" s="17" t="s">
        <v>7</v>
      </c>
      <c r="AG383" t="s">
        <v>158</v>
      </c>
      <c r="AH383" s="17" t="s">
        <v>155</v>
      </c>
      <c r="AI383" s="17" t="s">
        <v>155</v>
      </c>
      <c r="AJ383" s="17" t="s">
        <v>155</v>
      </c>
      <c r="AK383" s="17" t="s">
        <v>155</v>
      </c>
      <c r="AL383" s="17" t="s">
        <v>7</v>
      </c>
      <c r="AW383" t="s">
        <v>159</v>
      </c>
      <c r="AX383" t="s">
        <v>155</v>
      </c>
      <c r="AY383" t="s">
        <v>155</v>
      </c>
      <c r="AZ383" t="s">
        <v>155</v>
      </c>
      <c r="BA383" t="s">
        <v>155</v>
      </c>
      <c r="BB383" t="s">
        <v>7</v>
      </c>
      <c r="BD383">
        <f t="shared" si="32"/>
        <v>0</v>
      </c>
      <c r="BE383">
        <f t="shared" si="33"/>
        <v>0</v>
      </c>
      <c r="BF383">
        <f t="shared" si="34"/>
        <v>0</v>
      </c>
      <c r="BG383">
        <f t="shared" si="35"/>
        <v>0</v>
      </c>
      <c r="BH383">
        <f t="shared" si="36"/>
        <v>0</v>
      </c>
      <c r="BI383">
        <f t="shared" si="37"/>
        <v>0</v>
      </c>
    </row>
    <row r="384" spans="10:61" x14ac:dyDescent="0.3">
      <c r="J384" t="s">
        <v>160</v>
      </c>
      <c r="K384" s="17" t="s">
        <v>155</v>
      </c>
      <c r="L384" s="17" t="s">
        <v>155</v>
      </c>
      <c r="M384" s="17" t="s">
        <v>155</v>
      </c>
      <c r="N384" s="17" t="s">
        <v>155</v>
      </c>
      <c r="O384" s="17" t="s">
        <v>7</v>
      </c>
      <c r="AG384" t="s">
        <v>159</v>
      </c>
      <c r="AH384" s="17" t="s">
        <v>155</v>
      </c>
      <c r="AI384" s="17" t="s">
        <v>155</v>
      </c>
      <c r="AJ384" s="17" t="s">
        <v>155</v>
      </c>
      <c r="AK384" s="17" t="s">
        <v>155</v>
      </c>
      <c r="AL384" s="17" t="s">
        <v>7</v>
      </c>
      <c r="AW384" t="s">
        <v>160</v>
      </c>
      <c r="AX384" t="s">
        <v>155</v>
      </c>
      <c r="AY384" t="s">
        <v>155</v>
      </c>
      <c r="AZ384" t="s">
        <v>155</v>
      </c>
      <c r="BA384" t="s">
        <v>155</v>
      </c>
      <c r="BB384" t="s">
        <v>7</v>
      </c>
      <c r="BD384">
        <f t="shared" si="32"/>
        <v>0</v>
      </c>
      <c r="BE384">
        <f t="shared" si="33"/>
        <v>0</v>
      </c>
      <c r="BF384">
        <f t="shared" si="34"/>
        <v>0</v>
      </c>
      <c r="BG384">
        <f t="shared" si="35"/>
        <v>0</v>
      </c>
      <c r="BH384">
        <f t="shared" si="36"/>
        <v>0</v>
      </c>
      <c r="BI384">
        <f t="shared" si="37"/>
        <v>0</v>
      </c>
    </row>
    <row r="385" spans="10:68" x14ac:dyDescent="0.3">
      <c r="J385" t="s">
        <v>554</v>
      </c>
      <c r="K385" s="17" t="s">
        <v>155</v>
      </c>
      <c r="L385" s="17" t="s">
        <v>155</v>
      </c>
      <c r="M385" s="17" t="s">
        <v>155</v>
      </c>
      <c r="N385" s="17" t="s">
        <v>155</v>
      </c>
      <c r="O385" s="17" t="s">
        <v>7</v>
      </c>
      <c r="AG385" t="s">
        <v>160</v>
      </c>
      <c r="AH385" s="17" t="s">
        <v>155</v>
      </c>
      <c r="AI385" s="17" t="s">
        <v>155</v>
      </c>
      <c r="AJ385" s="17" t="s">
        <v>155</v>
      </c>
      <c r="AK385" s="17" t="s">
        <v>155</v>
      </c>
      <c r="AL385" s="17" t="s">
        <v>7</v>
      </c>
      <c r="AW385" t="s">
        <v>554</v>
      </c>
      <c r="AX385" t="s">
        <v>155</v>
      </c>
      <c r="AY385" t="s">
        <v>155</v>
      </c>
      <c r="AZ385" t="s">
        <v>155</v>
      </c>
      <c r="BA385" t="s">
        <v>155</v>
      </c>
      <c r="BB385" t="s">
        <v>7</v>
      </c>
      <c r="BD385">
        <f t="shared" si="32"/>
        <v>0</v>
      </c>
      <c r="BE385">
        <f t="shared" si="33"/>
        <v>0</v>
      </c>
      <c r="BF385">
        <f t="shared" si="34"/>
        <v>0</v>
      </c>
      <c r="BG385">
        <f t="shared" si="35"/>
        <v>0</v>
      </c>
      <c r="BH385">
        <f t="shared" si="36"/>
        <v>0</v>
      </c>
      <c r="BI385">
        <f t="shared" si="37"/>
        <v>0</v>
      </c>
    </row>
    <row r="386" spans="10:68" x14ac:dyDescent="0.3">
      <c r="J386" t="s">
        <v>555</v>
      </c>
      <c r="K386" s="17" t="s">
        <v>155</v>
      </c>
      <c r="L386" s="17" t="s">
        <v>155</v>
      </c>
      <c r="M386" s="17" t="s">
        <v>155</v>
      </c>
      <c r="N386" s="17" t="s">
        <v>155</v>
      </c>
      <c r="O386" s="17" t="s">
        <v>7</v>
      </c>
      <c r="AG386" t="s">
        <v>554</v>
      </c>
      <c r="AH386" s="17" t="s">
        <v>155</v>
      </c>
      <c r="AI386" s="17" t="s">
        <v>155</v>
      </c>
      <c r="AJ386" s="17" t="s">
        <v>155</v>
      </c>
      <c r="AK386" s="17" t="s">
        <v>155</v>
      </c>
      <c r="AL386" s="17" t="s">
        <v>7</v>
      </c>
      <c r="AW386" t="s">
        <v>555</v>
      </c>
      <c r="AX386" t="s">
        <v>155</v>
      </c>
      <c r="AY386" t="s">
        <v>155</v>
      </c>
      <c r="AZ386" t="s">
        <v>155</v>
      </c>
      <c r="BA386" t="s">
        <v>155</v>
      </c>
      <c r="BB386" t="s">
        <v>7</v>
      </c>
      <c r="BD386">
        <f t="shared" si="32"/>
        <v>0</v>
      </c>
      <c r="BE386">
        <f t="shared" si="33"/>
        <v>0</v>
      </c>
      <c r="BF386">
        <f t="shared" si="34"/>
        <v>0</v>
      </c>
      <c r="BG386">
        <f t="shared" si="35"/>
        <v>0</v>
      </c>
      <c r="BH386">
        <f t="shared" si="36"/>
        <v>0</v>
      </c>
      <c r="BI386">
        <f t="shared" si="37"/>
        <v>0</v>
      </c>
    </row>
    <row r="387" spans="10:68" x14ac:dyDescent="0.3">
      <c r="AG387" t="s">
        <v>555</v>
      </c>
      <c r="AH387" s="17" t="s">
        <v>155</v>
      </c>
      <c r="AI387" s="17" t="s">
        <v>155</v>
      </c>
      <c r="AJ387" s="17" t="s">
        <v>155</v>
      </c>
      <c r="AK387" s="17" t="s">
        <v>155</v>
      </c>
      <c r="AL387" s="17" t="s">
        <v>7</v>
      </c>
      <c r="BD387">
        <f t="shared" si="32"/>
        <v>0</v>
      </c>
      <c r="BE387">
        <f t="shared" si="33"/>
        <v>0</v>
      </c>
      <c r="BF387">
        <f t="shared" si="34"/>
        <v>0</v>
      </c>
      <c r="BG387">
        <f t="shared" si="35"/>
        <v>0</v>
      </c>
      <c r="BH387">
        <f t="shared" si="36"/>
        <v>0</v>
      </c>
      <c r="BI387">
        <f t="shared" si="37"/>
        <v>0</v>
      </c>
    </row>
    <row r="388" spans="10:68" x14ac:dyDescent="0.3">
      <c r="J388" t="s">
        <v>710</v>
      </c>
      <c r="AW388" t="s">
        <v>710</v>
      </c>
      <c r="BD388">
        <f t="shared" si="32"/>
        <v>0</v>
      </c>
      <c r="BE388">
        <f t="shared" si="33"/>
        <v>0</v>
      </c>
      <c r="BF388">
        <f t="shared" si="34"/>
        <v>0</v>
      </c>
      <c r="BG388">
        <f t="shared" si="35"/>
        <v>0</v>
      </c>
      <c r="BH388">
        <f t="shared" si="36"/>
        <v>0</v>
      </c>
      <c r="BI388">
        <f t="shared" si="37"/>
        <v>0</v>
      </c>
    </row>
    <row r="389" spans="10:68" x14ac:dyDescent="0.3">
      <c r="K389" s="17" t="s">
        <v>164</v>
      </c>
      <c r="L389" s="17" t="s">
        <v>165</v>
      </c>
      <c r="M389" s="17" t="s">
        <v>166</v>
      </c>
      <c r="N389" s="17" t="s">
        <v>167</v>
      </c>
      <c r="O389" s="17" t="s">
        <v>168</v>
      </c>
      <c r="AG389" t="s">
        <v>710</v>
      </c>
      <c r="AX389" t="s">
        <v>164</v>
      </c>
      <c r="AY389" t="s">
        <v>165</v>
      </c>
      <c r="AZ389" t="s">
        <v>166</v>
      </c>
      <c r="BA389" t="s">
        <v>167</v>
      </c>
      <c r="BB389" t="s">
        <v>168</v>
      </c>
      <c r="BD389">
        <f t="shared" si="32"/>
        <v>0</v>
      </c>
      <c r="BE389">
        <f t="shared" si="33"/>
        <v>0</v>
      </c>
      <c r="BF389">
        <f t="shared" si="34"/>
        <v>0</v>
      </c>
      <c r="BG389">
        <f t="shared" si="35"/>
        <v>0</v>
      </c>
      <c r="BH389">
        <f t="shared" si="36"/>
        <v>0</v>
      </c>
      <c r="BI389">
        <f t="shared" si="37"/>
        <v>0</v>
      </c>
    </row>
    <row r="390" spans="10:68" x14ac:dyDescent="0.3">
      <c r="J390" t="s">
        <v>544</v>
      </c>
      <c r="K390" s="17" t="s">
        <v>155</v>
      </c>
      <c r="L390" s="17" t="s">
        <v>155</v>
      </c>
      <c r="M390" s="17" t="s">
        <v>155</v>
      </c>
      <c r="N390" s="17" t="s">
        <v>155</v>
      </c>
      <c r="O390" s="17" t="s">
        <v>90</v>
      </c>
      <c r="AH390" s="17" t="s">
        <v>164</v>
      </c>
      <c r="AI390" s="17" t="s">
        <v>165</v>
      </c>
      <c r="AJ390" s="17" t="s">
        <v>166</v>
      </c>
      <c r="AK390" s="17" t="s">
        <v>167</v>
      </c>
      <c r="AL390" s="17" t="s">
        <v>168</v>
      </c>
      <c r="AW390" t="s">
        <v>544</v>
      </c>
      <c r="AX390" t="s">
        <v>155</v>
      </c>
      <c r="AY390" t="s">
        <v>155</v>
      </c>
      <c r="AZ390" t="s">
        <v>155</v>
      </c>
      <c r="BA390" t="s">
        <v>155</v>
      </c>
      <c r="BB390" t="s">
        <v>90</v>
      </c>
      <c r="BD390">
        <f t="shared" si="32"/>
        <v>0</v>
      </c>
      <c r="BE390">
        <f t="shared" si="33"/>
        <v>0</v>
      </c>
      <c r="BF390">
        <f t="shared" si="34"/>
        <v>0</v>
      </c>
      <c r="BG390">
        <f t="shared" si="35"/>
        <v>0</v>
      </c>
      <c r="BH390">
        <f t="shared" si="36"/>
        <v>0</v>
      </c>
      <c r="BI390">
        <f t="shared" si="37"/>
        <v>0</v>
      </c>
    </row>
    <row r="391" spans="10:68" x14ac:dyDescent="0.3">
      <c r="J391" t="s">
        <v>545</v>
      </c>
      <c r="K391" s="17" t="s">
        <v>155</v>
      </c>
      <c r="L391" s="17" t="s">
        <v>155</v>
      </c>
      <c r="M391" s="17" t="s">
        <v>155</v>
      </c>
      <c r="N391" s="17" t="s">
        <v>155</v>
      </c>
      <c r="O391" s="17" t="s">
        <v>90</v>
      </c>
      <c r="AG391" t="s">
        <v>544</v>
      </c>
      <c r="AH391" s="17" t="s">
        <v>155</v>
      </c>
      <c r="AI391" s="17" t="s">
        <v>155</v>
      </c>
      <c r="AJ391" s="17" t="s">
        <v>155</v>
      </c>
      <c r="AK391" s="17" t="s">
        <v>155</v>
      </c>
      <c r="AL391" s="17" t="s">
        <v>90</v>
      </c>
      <c r="AW391" t="s">
        <v>545</v>
      </c>
      <c r="AX391" t="s">
        <v>155</v>
      </c>
      <c r="AY391" t="s">
        <v>155</v>
      </c>
      <c r="AZ391" t="s">
        <v>155</v>
      </c>
      <c r="BA391" t="s">
        <v>155</v>
      </c>
      <c r="BB391" t="s">
        <v>90</v>
      </c>
      <c r="BD391">
        <f t="shared" si="32"/>
        <v>0</v>
      </c>
      <c r="BE391">
        <f t="shared" si="33"/>
        <v>0</v>
      </c>
      <c r="BF391">
        <f t="shared" si="34"/>
        <v>0</v>
      </c>
      <c r="BG391">
        <f t="shared" si="35"/>
        <v>0</v>
      </c>
      <c r="BH391">
        <f t="shared" si="36"/>
        <v>0</v>
      </c>
      <c r="BI391">
        <f t="shared" si="37"/>
        <v>0</v>
      </c>
    </row>
    <row r="392" spans="10:68" x14ac:dyDescent="0.3">
      <c r="AG392" t="s">
        <v>545</v>
      </c>
      <c r="AH392" s="17" t="s">
        <v>155</v>
      </c>
      <c r="AI392" s="17" t="s">
        <v>155</v>
      </c>
      <c r="AJ392" s="17" t="s">
        <v>155</v>
      </c>
      <c r="AK392" s="17" t="s">
        <v>155</v>
      </c>
      <c r="AL392" s="17" t="s">
        <v>90</v>
      </c>
      <c r="BD392">
        <f t="shared" si="32"/>
        <v>0</v>
      </c>
      <c r="BE392">
        <f t="shared" si="33"/>
        <v>0</v>
      </c>
      <c r="BF392">
        <f t="shared" si="34"/>
        <v>0</v>
      </c>
      <c r="BG392">
        <f t="shared" si="35"/>
        <v>0</v>
      </c>
      <c r="BH392">
        <f t="shared" si="36"/>
        <v>0</v>
      </c>
      <c r="BI392">
        <f t="shared" si="37"/>
        <v>0</v>
      </c>
    </row>
    <row r="393" spans="10:68" x14ac:dyDescent="0.3">
      <c r="J393" t="s">
        <v>756</v>
      </c>
      <c r="AW393" t="s">
        <v>756</v>
      </c>
      <c r="BD393">
        <f t="shared" ref="BD393:BD456" si="38">IF(J393=AW393,0,1)</f>
        <v>0</v>
      </c>
      <c r="BE393">
        <f t="shared" ref="BE393:BE456" si="39">IF(K393=AX393,0,1)</f>
        <v>0</v>
      </c>
      <c r="BF393">
        <f t="shared" ref="BF393:BF456" si="40">IF(L393=AY393,0,1)</f>
        <v>0</v>
      </c>
      <c r="BG393">
        <f t="shared" ref="BG393:BG456" si="41">IF(M393=AZ393,0,1)</f>
        <v>0</v>
      </c>
      <c r="BH393">
        <f t="shared" ref="BH393:BH456" si="42">IF(N393=BA393,0,1)</f>
        <v>0</v>
      </c>
      <c r="BI393">
        <f t="shared" ref="BI393:BI456" si="43">IF(O393=BB393,0,1)</f>
        <v>0</v>
      </c>
    </row>
    <row r="394" spans="10:68" x14ac:dyDescent="0.3">
      <c r="K394" s="17" t="s">
        <v>164</v>
      </c>
      <c r="L394" s="17" t="s">
        <v>165</v>
      </c>
      <c r="M394" s="17" t="s">
        <v>166</v>
      </c>
      <c r="N394" s="17" t="s">
        <v>167</v>
      </c>
      <c r="O394" s="17" t="s">
        <v>168</v>
      </c>
      <c r="AG394" t="s">
        <v>756</v>
      </c>
      <c r="AX394" t="s">
        <v>164</v>
      </c>
      <c r="AY394" t="s">
        <v>165</v>
      </c>
      <c r="AZ394" t="s">
        <v>166</v>
      </c>
      <c r="BA394" t="s">
        <v>167</v>
      </c>
      <c r="BB394" t="s">
        <v>168</v>
      </c>
      <c r="BD394">
        <f t="shared" si="38"/>
        <v>0</v>
      </c>
      <c r="BE394">
        <f t="shared" si="39"/>
        <v>0</v>
      </c>
      <c r="BF394">
        <f t="shared" si="40"/>
        <v>0</v>
      </c>
      <c r="BG394">
        <f t="shared" si="41"/>
        <v>0</v>
      </c>
      <c r="BH394">
        <f t="shared" si="42"/>
        <v>0</v>
      </c>
      <c r="BI394">
        <f t="shared" si="43"/>
        <v>0</v>
      </c>
    </row>
    <row r="395" spans="10:68" x14ac:dyDescent="0.3">
      <c r="J395" t="s">
        <v>548</v>
      </c>
      <c r="K395" s="17" t="s">
        <v>269</v>
      </c>
      <c r="L395" s="17" t="s">
        <v>155</v>
      </c>
      <c r="M395" s="17" t="s">
        <v>155</v>
      </c>
      <c r="N395" s="17" t="s">
        <v>269</v>
      </c>
      <c r="O395" s="17" t="s">
        <v>155</v>
      </c>
      <c r="AH395" s="17" t="s">
        <v>164</v>
      </c>
      <c r="AI395" s="17" t="s">
        <v>165</v>
      </c>
      <c r="AJ395" s="17" t="s">
        <v>166</v>
      </c>
      <c r="AK395" s="17" t="s">
        <v>167</v>
      </c>
      <c r="AL395" s="17" t="s">
        <v>168</v>
      </c>
      <c r="AW395" t="s">
        <v>548</v>
      </c>
      <c r="AX395" t="s">
        <v>269</v>
      </c>
      <c r="AY395" t="s">
        <v>155</v>
      </c>
      <c r="AZ395" t="s">
        <v>155</v>
      </c>
      <c r="BA395" t="s">
        <v>269</v>
      </c>
      <c r="BB395" t="s">
        <v>155</v>
      </c>
      <c r="BD395">
        <f t="shared" si="38"/>
        <v>0</v>
      </c>
      <c r="BE395">
        <f t="shared" si="39"/>
        <v>0</v>
      </c>
      <c r="BF395">
        <f t="shared" si="40"/>
        <v>0</v>
      </c>
      <c r="BG395">
        <f t="shared" si="41"/>
        <v>0</v>
      </c>
      <c r="BH395">
        <f t="shared" si="42"/>
        <v>0</v>
      </c>
      <c r="BI395">
        <f t="shared" si="43"/>
        <v>0</v>
      </c>
    </row>
    <row r="396" spans="10:68" x14ac:dyDescent="0.3">
      <c r="J396" t="s">
        <v>549</v>
      </c>
      <c r="K396" s="17" t="s">
        <v>269</v>
      </c>
      <c r="L396" s="17" t="s">
        <v>155</v>
      </c>
      <c r="M396" s="17" t="s">
        <v>155</v>
      </c>
      <c r="N396" s="17" t="s">
        <v>269</v>
      </c>
      <c r="O396" s="17" t="s">
        <v>155</v>
      </c>
      <c r="AG396" t="s">
        <v>548</v>
      </c>
      <c r="AH396" s="17" t="s">
        <v>269</v>
      </c>
      <c r="AI396" s="17" t="s">
        <v>155</v>
      </c>
      <c r="AJ396" s="17" t="s">
        <v>155</v>
      </c>
      <c r="AK396" s="17" t="s">
        <v>269</v>
      </c>
      <c r="AL396" s="17" t="s">
        <v>155</v>
      </c>
      <c r="AW396" t="s">
        <v>549</v>
      </c>
      <c r="AX396" t="s">
        <v>269</v>
      </c>
      <c r="AY396" t="s">
        <v>155</v>
      </c>
      <c r="AZ396" t="s">
        <v>155</v>
      </c>
      <c r="BA396" t="s">
        <v>269</v>
      </c>
      <c r="BB396" t="s">
        <v>155</v>
      </c>
      <c r="BD396">
        <f t="shared" si="38"/>
        <v>0</v>
      </c>
      <c r="BE396">
        <f t="shared" si="39"/>
        <v>0</v>
      </c>
      <c r="BF396">
        <f t="shared" si="40"/>
        <v>0</v>
      </c>
      <c r="BG396">
        <f t="shared" si="41"/>
        <v>0</v>
      </c>
      <c r="BH396">
        <f t="shared" si="42"/>
        <v>0</v>
      </c>
      <c r="BI396">
        <f t="shared" si="43"/>
        <v>0</v>
      </c>
    </row>
    <row r="397" spans="10:68" x14ac:dyDescent="0.3">
      <c r="AG397" t="s">
        <v>549</v>
      </c>
      <c r="AH397" s="17" t="s">
        <v>269</v>
      </c>
      <c r="AI397" s="17" t="s">
        <v>155</v>
      </c>
      <c r="AJ397" s="17" t="s">
        <v>155</v>
      </c>
      <c r="AK397" s="17" t="s">
        <v>269</v>
      </c>
      <c r="AL397" s="17" t="s">
        <v>155</v>
      </c>
      <c r="BD397">
        <f t="shared" si="38"/>
        <v>0</v>
      </c>
      <c r="BE397">
        <f t="shared" si="39"/>
        <v>0</v>
      </c>
      <c r="BF397">
        <f t="shared" si="40"/>
        <v>0</v>
      </c>
      <c r="BG397">
        <f t="shared" si="41"/>
        <v>0</v>
      </c>
      <c r="BH397">
        <f t="shared" si="42"/>
        <v>0</v>
      </c>
      <c r="BI397">
        <f t="shared" si="43"/>
        <v>0</v>
      </c>
    </row>
    <row r="398" spans="10:68" x14ac:dyDescent="0.3">
      <c r="J398" t="s">
        <v>727</v>
      </c>
      <c r="AW398" t="s">
        <v>727</v>
      </c>
      <c r="BD398">
        <f t="shared" si="38"/>
        <v>0</v>
      </c>
      <c r="BE398">
        <f t="shared" si="39"/>
        <v>0</v>
      </c>
      <c r="BF398">
        <f t="shared" si="40"/>
        <v>0</v>
      </c>
      <c r="BG398">
        <f t="shared" si="41"/>
        <v>0</v>
      </c>
      <c r="BH398">
        <f t="shared" si="42"/>
        <v>0</v>
      </c>
      <c r="BI398">
        <f t="shared" si="43"/>
        <v>0</v>
      </c>
      <c r="BK398" t="s">
        <v>727</v>
      </c>
      <c r="BL398" s="17"/>
      <c r="BM398" s="17"/>
      <c r="BN398" s="17"/>
      <c r="BO398" s="17"/>
      <c r="BP398" s="17"/>
    </row>
    <row r="399" spans="10:68" x14ac:dyDescent="0.3">
      <c r="K399" s="17" t="s">
        <v>164</v>
      </c>
      <c r="L399" s="17" t="s">
        <v>165</v>
      </c>
      <c r="M399" s="17" t="s">
        <v>166</v>
      </c>
      <c r="N399" s="17" t="s">
        <v>167</v>
      </c>
      <c r="O399" s="17" t="s">
        <v>168</v>
      </c>
      <c r="AG399" t="s">
        <v>727</v>
      </c>
      <c r="AX399" t="s">
        <v>164</v>
      </c>
      <c r="AY399" t="s">
        <v>165</v>
      </c>
      <c r="AZ399" t="s">
        <v>166</v>
      </c>
      <c r="BA399" t="s">
        <v>167</v>
      </c>
      <c r="BB399" t="s">
        <v>168</v>
      </c>
      <c r="BD399">
        <f t="shared" si="38"/>
        <v>0</v>
      </c>
      <c r="BE399">
        <f t="shared" si="39"/>
        <v>0</v>
      </c>
      <c r="BF399">
        <f t="shared" si="40"/>
        <v>0</v>
      </c>
      <c r="BG399">
        <f t="shared" si="41"/>
        <v>0</v>
      </c>
      <c r="BH399">
        <f t="shared" si="42"/>
        <v>0</v>
      </c>
      <c r="BI399">
        <f t="shared" si="43"/>
        <v>0</v>
      </c>
      <c r="BL399" s="17" t="s">
        <v>164</v>
      </c>
      <c r="BM399" s="17" t="s">
        <v>165</v>
      </c>
      <c r="BN399" s="17" t="s">
        <v>166</v>
      </c>
      <c r="BO399" s="17" t="s">
        <v>167</v>
      </c>
      <c r="BP399" s="17" t="s">
        <v>168</v>
      </c>
    </row>
    <row r="400" spans="10:68" x14ac:dyDescent="0.3">
      <c r="J400" t="s">
        <v>548</v>
      </c>
      <c r="K400" s="17" t="s">
        <v>155</v>
      </c>
      <c r="L400" s="17" t="s">
        <v>155</v>
      </c>
      <c r="M400" s="17" t="s">
        <v>155</v>
      </c>
      <c r="N400" s="17" t="s">
        <v>155</v>
      </c>
      <c r="O400" s="17" t="s">
        <v>345</v>
      </c>
      <c r="AH400" s="17" t="s">
        <v>164</v>
      </c>
      <c r="AI400" s="17" t="s">
        <v>165</v>
      </c>
      <c r="AJ400" s="17" t="s">
        <v>166</v>
      </c>
      <c r="AK400" s="17" t="s">
        <v>167</v>
      </c>
      <c r="AL400" s="17" t="s">
        <v>168</v>
      </c>
      <c r="AW400" t="s">
        <v>548</v>
      </c>
      <c r="AX400" t="s">
        <v>155</v>
      </c>
      <c r="AY400" t="s">
        <v>155</v>
      </c>
      <c r="AZ400" t="s">
        <v>155</v>
      </c>
      <c r="BA400" t="s">
        <v>155</v>
      </c>
      <c r="BB400" t="s">
        <v>345</v>
      </c>
      <c r="BD400">
        <f t="shared" si="38"/>
        <v>0</v>
      </c>
      <c r="BE400">
        <f t="shared" si="39"/>
        <v>0</v>
      </c>
      <c r="BF400">
        <f t="shared" si="40"/>
        <v>0</v>
      </c>
      <c r="BG400">
        <f t="shared" si="41"/>
        <v>0</v>
      </c>
      <c r="BH400">
        <f t="shared" si="42"/>
        <v>0</v>
      </c>
      <c r="BI400">
        <f t="shared" si="43"/>
        <v>0</v>
      </c>
      <c r="BK400" t="s">
        <v>548</v>
      </c>
      <c r="BL400" s="17" t="s">
        <v>155</v>
      </c>
      <c r="BM400" s="17" t="s">
        <v>155</v>
      </c>
      <c r="BN400" s="17" t="s">
        <v>155</v>
      </c>
      <c r="BO400" s="17" t="s">
        <v>155</v>
      </c>
      <c r="BP400" s="17" t="s">
        <v>345</v>
      </c>
    </row>
    <row r="401" spans="10:68" x14ac:dyDescent="0.3">
      <c r="J401" t="s">
        <v>549</v>
      </c>
      <c r="K401" s="17" t="s">
        <v>155</v>
      </c>
      <c r="L401" s="17" t="s">
        <v>155</v>
      </c>
      <c r="M401" s="17" t="s">
        <v>155</v>
      </c>
      <c r="N401" s="17" t="s">
        <v>155</v>
      </c>
      <c r="O401" s="17" t="s">
        <v>345</v>
      </c>
      <c r="AG401" t="s">
        <v>158</v>
      </c>
      <c r="AH401" s="17" t="s">
        <v>345</v>
      </c>
      <c r="AI401" s="17" t="s">
        <v>155</v>
      </c>
      <c r="AJ401" s="17" t="s">
        <v>155</v>
      </c>
      <c r="AK401" s="17" t="s">
        <v>155</v>
      </c>
      <c r="AL401" s="17" t="s">
        <v>345</v>
      </c>
      <c r="AW401" t="s">
        <v>549</v>
      </c>
      <c r="AX401" t="s">
        <v>155</v>
      </c>
      <c r="AY401" t="s">
        <v>155</v>
      </c>
      <c r="AZ401" t="s">
        <v>155</v>
      </c>
      <c r="BA401" t="s">
        <v>155</v>
      </c>
      <c r="BB401" t="s">
        <v>345</v>
      </c>
      <c r="BD401">
        <f t="shared" si="38"/>
        <v>0</v>
      </c>
      <c r="BE401">
        <f t="shared" si="39"/>
        <v>0</v>
      </c>
      <c r="BF401">
        <f t="shared" si="40"/>
        <v>0</v>
      </c>
      <c r="BG401">
        <f t="shared" si="41"/>
        <v>0</v>
      </c>
      <c r="BH401">
        <f t="shared" si="42"/>
        <v>0</v>
      </c>
      <c r="BI401">
        <f t="shared" si="43"/>
        <v>0</v>
      </c>
      <c r="BK401" t="s">
        <v>549</v>
      </c>
      <c r="BL401" s="17" t="s">
        <v>155</v>
      </c>
      <c r="BM401" s="17" t="s">
        <v>155</v>
      </c>
      <c r="BN401" s="17" t="s">
        <v>155</v>
      </c>
      <c r="BO401" s="17" t="s">
        <v>155</v>
      </c>
      <c r="BP401" s="17" t="s">
        <v>345</v>
      </c>
    </row>
    <row r="402" spans="10:68" x14ac:dyDescent="0.3">
      <c r="J402" t="s">
        <v>158</v>
      </c>
      <c r="K402" s="17" t="s">
        <v>345</v>
      </c>
      <c r="L402" s="17" t="s">
        <v>155</v>
      </c>
      <c r="M402" s="17" t="s">
        <v>155</v>
      </c>
      <c r="N402" s="17" t="s">
        <v>155</v>
      </c>
      <c r="O402" s="17" t="s">
        <v>155</v>
      </c>
      <c r="AG402" t="s">
        <v>159</v>
      </c>
      <c r="AH402" s="17" t="s">
        <v>345</v>
      </c>
      <c r="AI402" s="17" t="s">
        <v>155</v>
      </c>
      <c r="AJ402" s="17" t="s">
        <v>155</v>
      </c>
      <c r="AK402" s="17" t="s">
        <v>155</v>
      </c>
      <c r="AL402" s="17" t="s">
        <v>345</v>
      </c>
      <c r="AW402" t="s">
        <v>158</v>
      </c>
      <c r="AX402" t="s">
        <v>345</v>
      </c>
      <c r="AY402" t="s">
        <v>155</v>
      </c>
      <c r="AZ402" t="s">
        <v>155</v>
      </c>
      <c r="BA402" t="s">
        <v>155</v>
      </c>
      <c r="BB402" t="s">
        <v>155</v>
      </c>
      <c r="BD402">
        <f t="shared" si="38"/>
        <v>0</v>
      </c>
      <c r="BE402">
        <f t="shared" si="39"/>
        <v>0</v>
      </c>
      <c r="BF402">
        <f t="shared" si="40"/>
        <v>0</v>
      </c>
      <c r="BG402">
        <f t="shared" si="41"/>
        <v>0</v>
      </c>
      <c r="BH402">
        <f t="shared" si="42"/>
        <v>0</v>
      </c>
      <c r="BI402">
        <f t="shared" si="43"/>
        <v>0</v>
      </c>
      <c r="BK402" t="s">
        <v>158</v>
      </c>
      <c r="BL402" s="17" t="s">
        <v>345</v>
      </c>
      <c r="BM402" s="17" t="s">
        <v>155</v>
      </c>
      <c r="BN402" s="17" t="s">
        <v>155</v>
      </c>
      <c r="BO402" s="17" t="s">
        <v>155</v>
      </c>
      <c r="BP402" s="17" t="s">
        <v>155</v>
      </c>
    </row>
    <row r="403" spans="10:68" x14ac:dyDescent="0.3">
      <c r="J403" t="s">
        <v>159</v>
      </c>
      <c r="K403" s="17" t="s">
        <v>345</v>
      </c>
      <c r="L403" s="17" t="s">
        <v>155</v>
      </c>
      <c r="M403" s="17" t="s">
        <v>155</v>
      </c>
      <c r="N403" s="17" t="s">
        <v>155</v>
      </c>
      <c r="O403" s="17" t="s">
        <v>155</v>
      </c>
      <c r="AG403" t="s">
        <v>160</v>
      </c>
      <c r="AH403" s="17" t="s">
        <v>345</v>
      </c>
      <c r="AI403" s="17" t="s">
        <v>155</v>
      </c>
      <c r="AJ403" s="17" t="s">
        <v>346</v>
      </c>
      <c r="AK403" s="17" t="s">
        <v>155</v>
      </c>
      <c r="AL403" s="17" t="s">
        <v>346</v>
      </c>
      <c r="AW403" t="s">
        <v>159</v>
      </c>
      <c r="AX403" t="s">
        <v>345</v>
      </c>
      <c r="AY403" t="s">
        <v>155</v>
      </c>
      <c r="AZ403" t="s">
        <v>155</v>
      </c>
      <c r="BA403" t="s">
        <v>155</v>
      </c>
      <c r="BB403" t="s">
        <v>155</v>
      </c>
      <c r="BD403">
        <f t="shared" si="38"/>
        <v>0</v>
      </c>
      <c r="BE403">
        <f t="shared" si="39"/>
        <v>0</v>
      </c>
      <c r="BF403">
        <f t="shared" si="40"/>
        <v>0</v>
      </c>
      <c r="BG403">
        <f t="shared" si="41"/>
        <v>0</v>
      </c>
      <c r="BH403">
        <f t="shared" si="42"/>
        <v>0</v>
      </c>
      <c r="BI403">
        <f t="shared" si="43"/>
        <v>0</v>
      </c>
      <c r="BK403" t="s">
        <v>159</v>
      </c>
      <c r="BL403" s="17" t="s">
        <v>345</v>
      </c>
      <c r="BM403" s="17" t="s">
        <v>155</v>
      </c>
      <c r="BN403" s="17" t="s">
        <v>155</v>
      </c>
      <c r="BO403" s="17" t="s">
        <v>155</v>
      </c>
      <c r="BP403" s="17" t="s">
        <v>155</v>
      </c>
    </row>
    <row r="404" spans="10:68" x14ac:dyDescent="0.3">
      <c r="J404" t="s">
        <v>160</v>
      </c>
      <c r="K404" s="17" t="s">
        <v>345</v>
      </c>
      <c r="L404" s="17" t="s">
        <v>155</v>
      </c>
      <c r="M404" s="17" t="s">
        <v>346</v>
      </c>
      <c r="N404" s="17" t="s">
        <v>155</v>
      </c>
      <c r="O404" s="17" t="s">
        <v>346</v>
      </c>
      <c r="AG404" t="s">
        <v>554</v>
      </c>
      <c r="AH404" s="17" t="s">
        <v>20</v>
      </c>
      <c r="AI404" s="17" t="s">
        <v>155</v>
      </c>
      <c r="AJ404" s="17" t="s">
        <v>20</v>
      </c>
      <c r="AK404" s="17" t="s">
        <v>155</v>
      </c>
      <c r="AL404" s="17" t="s">
        <v>21</v>
      </c>
      <c r="AW404" t="s">
        <v>160</v>
      </c>
      <c r="AX404" t="s">
        <v>345</v>
      </c>
      <c r="AY404" t="s">
        <v>155</v>
      </c>
      <c r="AZ404" t="s">
        <v>346</v>
      </c>
      <c r="BA404" t="s">
        <v>155</v>
      </c>
      <c r="BB404" t="s">
        <v>346</v>
      </c>
      <c r="BD404">
        <f t="shared" si="38"/>
        <v>0</v>
      </c>
      <c r="BE404">
        <f t="shared" si="39"/>
        <v>0</v>
      </c>
      <c r="BF404">
        <f t="shared" si="40"/>
        <v>0</v>
      </c>
      <c r="BG404">
        <f t="shared" si="41"/>
        <v>0</v>
      </c>
      <c r="BH404">
        <f t="shared" si="42"/>
        <v>0</v>
      </c>
      <c r="BI404">
        <f t="shared" si="43"/>
        <v>0</v>
      </c>
      <c r="BK404" t="s">
        <v>160</v>
      </c>
      <c r="BL404" s="17" t="s">
        <v>345</v>
      </c>
      <c r="BM404" s="17" t="s">
        <v>155</v>
      </c>
      <c r="BN404" s="17" t="s">
        <v>346</v>
      </c>
      <c r="BO404" s="17" t="s">
        <v>155</v>
      </c>
      <c r="BP404" s="17" t="s">
        <v>346</v>
      </c>
    </row>
    <row r="405" spans="10:68" x14ac:dyDescent="0.3">
      <c r="J405" t="s">
        <v>554</v>
      </c>
      <c r="K405" s="17" t="s">
        <v>20</v>
      </c>
      <c r="L405" s="17" t="s">
        <v>155</v>
      </c>
      <c r="M405" s="17" t="s">
        <v>20</v>
      </c>
      <c r="N405" s="17" t="s">
        <v>155</v>
      </c>
      <c r="O405" s="17" t="s">
        <v>21</v>
      </c>
      <c r="AG405" t="s">
        <v>555</v>
      </c>
      <c r="AH405" s="17" t="s">
        <v>20</v>
      </c>
      <c r="AI405" s="17" t="s">
        <v>155</v>
      </c>
      <c r="AJ405" s="17" t="s">
        <v>20</v>
      </c>
      <c r="AK405" s="17" t="s">
        <v>155</v>
      </c>
      <c r="AL405" s="17" t="s">
        <v>21</v>
      </c>
      <c r="AW405" t="s">
        <v>554</v>
      </c>
      <c r="AX405" t="s">
        <v>20</v>
      </c>
      <c r="AY405" t="s">
        <v>155</v>
      </c>
      <c r="AZ405" t="s">
        <v>20</v>
      </c>
      <c r="BA405" t="s">
        <v>155</v>
      </c>
      <c r="BB405" t="s">
        <v>21</v>
      </c>
      <c r="BD405">
        <f t="shared" si="38"/>
        <v>0</v>
      </c>
      <c r="BE405">
        <f t="shared" si="39"/>
        <v>0</v>
      </c>
      <c r="BF405">
        <f t="shared" si="40"/>
        <v>0</v>
      </c>
      <c r="BG405">
        <f t="shared" si="41"/>
        <v>0</v>
      </c>
      <c r="BH405">
        <f t="shared" si="42"/>
        <v>0</v>
      </c>
      <c r="BI405">
        <f t="shared" si="43"/>
        <v>0</v>
      </c>
      <c r="BK405" t="s">
        <v>554</v>
      </c>
      <c r="BL405" s="17" t="s">
        <v>20</v>
      </c>
      <c r="BM405" s="17" t="s">
        <v>155</v>
      </c>
      <c r="BN405" s="17" t="s">
        <v>21</v>
      </c>
      <c r="BO405" s="17" t="s">
        <v>155</v>
      </c>
      <c r="BP405" s="17" t="s">
        <v>20</v>
      </c>
    </row>
    <row r="406" spans="10:68" x14ac:dyDescent="0.3">
      <c r="J406" t="s">
        <v>555</v>
      </c>
      <c r="K406" s="17" t="s">
        <v>20</v>
      </c>
      <c r="L406" s="17" t="s">
        <v>155</v>
      </c>
      <c r="M406" s="17" t="s">
        <v>20</v>
      </c>
      <c r="N406" s="17" t="s">
        <v>155</v>
      </c>
      <c r="O406" s="17" t="s">
        <v>21</v>
      </c>
      <c r="AG406" t="s">
        <v>556</v>
      </c>
      <c r="AH406" s="17" t="s">
        <v>155</v>
      </c>
      <c r="AI406" s="17" t="s">
        <v>155</v>
      </c>
      <c r="AJ406" s="17" t="s">
        <v>20</v>
      </c>
      <c r="AK406" s="17" t="s">
        <v>155</v>
      </c>
      <c r="AL406" s="17" t="s">
        <v>155</v>
      </c>
      <c r="AW406" t="s">
        <v>555</v>
      </c>
      <c r="AX406" t="s">
        <v>20</v>
      </c>
      <c r="AY406" t="s">
        <v>155</v>
      </c>
      <c r="AZ406" t="s">
        <v>20</v>
      </c>
      <c r="BA406" t="s">
        <v>155</v>
      </c>
      <c r="BB406" t="s">
        <v>21</v>
      </c>
      <c r="BD406">
        <f t="shared" si="38"/>
        <v>0</v>
      </c>
      <c r="BE406">
        <f t="shared" si="39"/>
        <v>0</v>
      </c>
      <c r="BF406">
        <f t="shared" si="40"/>
        <v>0</v>
      </c>
      <c r="BG406">
        <f t="shared" si="41"/>
        <v>0</v>
      </c>
      <c r="BH406">
        <f t="shared" si="42"/>
        <v>0</v>
      </c>
      <c r="BI406">
        <f t="shared" si="43"/>
        <v>0</v>
      </c>
      <c r="BK406" t="s">
        <v>555</v>
      </c>
      <c r="BL406" s="17" t="s">
        <v>20</v>
      </c>
      <c r="BM406" s="17" t="s">
        <v>155</v>
      </c>
      <c r="BN406" s="17" t="s">
        <v>21</v>
      </c>
      <c r="BO406" s="17" t="s">
        <v>155</v>
      </c>
      <c r="BP406" s="17" t="s">
        <v>20</v>
      </c>
    </row>
    <row r="407" spans="10:68" x14ac:dyDescent="0.3">
      <c r="J407" t="s">
        <v>556</v>
      </c>
      <c r="K407" s="17" t="s">
        <v>20</v>
      </c>
      <c r="L407" s="17" t="s">
        <v>155</v>
      </c>
      <c r="M407" s="17" t="s">
        <v>155</v>
      </c>
      <c r="N407" s="17" t="s">
        <v>155</v>
      </c>
      <c r="O407" s="17" t="s">
        <v>155</v>
      </c>
      <c r="AW407" t="s">
        <v>556</v>
      </c>
      <c r="AX407" t="s">
        <v>20</v>
      </c>
      <c r="AY407" t="s">
        <v>155</v>
      </c>
      <c r="AZ407" t="s">
        <v>155</v>
      </c>
      <c r="BA407" t="s">
        <v>155</v>
      </c>
      <c r="BB407" t="s">
        <v>155</v>
      </c>
      <c r="BD407">
        <f t="shared" si="38"/>
        <v>0</v>
      </c>
      <c r="BE407">
        <f t="shared" si="39"/>
        <v>0</v>
      </c>
      <c r="BF407">
        <f t="shared" si="40"/>
        <v>0</v>
      </c>
      <c r="BG407">
        <f t="shared" si="41"/>
        <v>0</v>
      </c>
      <c r="BH407">
        <f t="shared" si="42"/>
        <v>0</v>
      </c>
      <c r="BI407">
        <f t="shared" si="43"/>
        <v>0</v>
      </c>
      <c r="BK407" t="s">
        <v>556</v>
      </c>
      <c r="BL407" s="17" t="s">
        <v>20</v>
      </c>
      <c r="BM407" s="17" t="s">
        <v>155</v>
      </c>
      <c r="BN407" s="17" t="s">
        <v>155</v>
      </c>
      <c r="BO407" s="17" t="s">
        <v>155</v>
      </c>
      <c r="BP407" s="17" t="s">
        <v>155</v>
      </c>
    </row>
    <row r="408" spans="10:68" x14ac:dyDescent="0.3">
      <c r="AG408" t="s">
        <v>759</v>
      </c>
      <c r="BD408">
        <f t="shared" si="38"/>
        <v>0</v>
      </c>
      <c r="BE408">
        <f t="shared" si="39"/>
        <v>0</v>
      </c>
      <c r="BF408">
        <f t="shared" si="40"/>
        <v>0</v>
      </c>
      <c r="BG408">
        <f t="shared" si="41"/>
        <v>0</v>
      </c>
      <c r="BH408">
        <f t="shared" si="42"/>
        <v>0</v>
      </c>
      <c r="BI408">
        <f t="shared" si="43"/>
        <v>0</v>
      </c>
    </row>
    <row r="409" spans="10:68" x14ac:dyDescent="0.3">
      <c r="J409" t="s">
        <v>759</v>
      </c>
      <c r="AH409" s="17" t="s">
        <v>164</v>
      </c>
      <c r="AI409" s="17" t="s">
        <v>165</v>
      </c>
      <c r="AJ409" s="17" t="s">
        <v>166</v>
      </c>
      <c r="AK409" s="17" t="s">
        <v>167</v>
      </c>
      <c r="AL409" s="17" t="s">
        <v>168</v>
      </c>
      <c r="AW409" t="s">
        <v>759</v>
      </c>
      <c r="BD409">
        <f t="shared" si="38"/>
        <v>0</v>
      </c>
      <c r="BE409">
        <f t="shared" si="39"/>
        <v>0</v>
      </c>
      <c r="BF409">
        <f t="shared" si="40"/>
        <v>0</v>
      </c>
      <c r="BG409">
        <f t="shared" si="41"/>
        <v>0</v>
      </c>
      <c r="BH409">
        <f t="shared" si="42"/>
        <v>0</v>
      </c>
      <c r="BI409">
        <f t="shared" si="43"/>
        <v>0</v>
      </c>
    </row>
    <row r="410" spans="10:68" x14ac:dyDescent="0.3">
      <c r="K410" s="17" t="s">
        <v>164</v>
      </c>
      <c r="L410" s="17" t="s">
        <v>165</v>
      </c>
      <c r="M410" s="17" t="s">
        <v>166</v>
      </c>
      <c r="N410" s="17" t="s">
        <v>167</v>
      </c>
      <c r="O410" s="17" t="s">
        <v>168</v>
      </c>
      <c r="AG410" t="s">
        <v>543</v>
      </c>
      <c r="AH410" s="17" t="s">
        <v>155</v>
      </c>
      <c r="AI410" s="17" t="s">
        <v>266</v>
      </c>
      <c r="AJ410" s="17" t="s">
        <v>155</v>
      </c>
      <c r="AK410" s="17" t="s">
        <v>155</v>
      </c>
      <c r="AL410" s="17" t="s">
        <v>155</v>
      </c>
      <c r="AX410" t="s">
        <v>164</v>
      </c>
      <c r="AY410" t="s">
        <v>165</v>
      </c>
      <c r="AZ410" t="s">
        <v>166</v>
      </c>
      <c r="BA410" t="s">
        <v>167</v>
      </c>
      <c r="BB410" t="s">
        <v>168</v>
      </c>
      <c r="BD410">
        <f t="shared" si="38"/>
        <v>0</v>
      </c>
      <c r="BE410">
        <f t="shared" si="39"/>
        <v>0</v>
      </c>
      <c r="BF410">
        <f t="shared" si="40"/>
        <v>0</v>
      </c>
      <c r="BG410">
        <f t="shared" si="41"/>
        <v>0</v>
      </c>
      <c r="BH410">
        <f t="shared" si="42"/>
        <v>0</v>
      </c>
      <c r="BI410">
        <f t="shared" si="43"/>
        <v>0</v>
      </c>
    </row>
    <row r="411" spans="10:68" x14ac:dyDescent="0.3">
      <c r="J411" t="s">
        <v>543</v>
      </c>
      <c r="K411" s="17" t="s">
        <v>155</v>
      </c>
      <c r="L411" s="17" t="s">
        <v>266</v>
      </c>
      <c r="M411" s="17" t="s">
        <v>155</v>
      </c>
      <c r="N411" s="17" t="s">
        <v>155</v>
      </c>
      <c r="O411" s="17" t="s">
        <v>155</v>
      </c>
      <c r="AG411" t="s">
        <v>544</v>
      </c>
      <c r="AH411" s="17" t="s">
        <v>155</v>
      </c>
      <c r="AI411" s="17" t="s">
        <v>266</v>
      </c>
      <c r="AJ411" s="17" t="s">
        <v>155</v>
      </c>
      <c r="AK411" s="17" t="s">
        <v>155</v>
      </c>
      <c r="AL411" s="17" t="s">
        <v>155</v>
      </c>
      <c r="AW411" t="s">
        <v>543</v>
      </c>
      <c r="AX411" t="s">
        <v>155</v>
      </c>
      <c r="AY411" t="s">
        <v>266</v>
      </c>
      <c r="AZ411" t="s">
        <v>155</v>
      </c>
      <c r="BA411" t="s">
        <v>155</v>
      </c>
      <c r="BB411" t="s">
        <v>155</v>
      </c>
      <c r="BD411">
        <f t="shared" si="38"/>
        <v>0</v>
      </c>
      <c r="BE411">
        <f t="shared" si="39"/>
        <v>0</v>
      </c>
      <c r="BF411">
        <f t="shared" si="40"/>
        <v>0</v>
      </c>
      <c r="BG411">
        <f t="shared" si="41"/>
        <v>0</v>
      </c>
      <c r="BH411">
        <f t="shared" si="42"/>
        <v>0</v>
      </c>
      <c r="BI411">
        <f t="shared" si="43"/>
        <v>0</v>
      </c>
    </row>
    <row r="412" spans="10:68" x14ac:dyDescent="0.3">
      <c r="J412" t="s">
        <v>544</v>
      </c>
      <c r="K412" s="17" t="s">
        <v>155</v>
      </c>
      <c r="L412" s="17" t="s">
        <v>266</v>
      </c>
      <c r="M412" s="17" t="s">
        <v>155</v>
      </c>
      <c r="N412" s="17" t="s">
        <v>155</v>
      </c>
      <c r="O412" s="17" t="s">
        <v>155</v>
      </c>
      <c r="AG412" t="s">
        <v>545</v>
      </c>
      <c r="AH412" s="17" t="s">
        <v>155</v>
      </c>
      <c r="AI412" s="17" t="s">
        <v>266</v>
      </c>
      <c r="AJ412" s="17" t="s">
        <v>155</v>
      </c>
      <c r="AK412" s="17" t="s">
        <v>155</v>
      </c>
      <c r="AL412" s="17" t="s">
        <v>155</v>
      </c>
      <c r="AW412" t="s">
        <v>544</v>
      </c>
      <c r="AX412" t="s">
        <v>155</v>
      </c>
      <c r="AY412" t="s">
        <v>266</v>
      </c>
      <c r="AZ412" t="s">
        <v>155</v>
      </c>
      <c r="BA412" t="s">
        <v>155</v>
      </c>
      <c r="BB412" t="s">
        <v>155</v>
      </c>
      <c r="BD412">
        <f t="shared" si="38"/>
        <v>0</v>
      </c>
      <c r="BE412">
        <f t="shared" si="39"/>
        <v>0</v>
      </c>
      <c r="BF412">
        <f t="shared" si="40"/>
        <v>0</v>
      </c>
      <c r="BG412">
        <f t="shared" si="41"/>
        <v>0</v>
      </c>
      <c r="BH412">
        <f t="shared" si="42"/>
        <v>0</v>
      </c>
      <c r="BI412">
        <f t="shared" si="43"/>
        <v>0</v>
      </c>
    </row>
    <row r="413" spans="10:68" x14ac:dyDescent="0.3">
      <c r="J413" t="s">
        <v>545</v>
      </c>
      <c r="K413" s="17" t="s">
        <v>155</v>
      </c>
      <c r="L413" s="17" t="s">
        <v>266</v>
      </c>
      <c r="M413" s="17" t="s">
        <v>155</v>
      </c>
      <c r="N413" s="17" t="s">
        <v>155</v>
      </c>
      <c r="O413" s="17" t="s">
        <v>155</v>
      </c>
      <c r="AG413" t="s">
        <v>546</v>
      </c>
      <c r="AH413" s="17" t="s">
        <v>155</v>
      </c>
      <c r="AI413" s="17" t="s">
        <v>266</v>
      </c>
      <c r="AJ413" s="17" t="s">
        <v>155</v>
      </c>
      <c r="AK413" s="17" t="s">
        <v>155</v>
      </c>
      <c r="AL413" s="17" t="s">
        <v>155</v>
      </c>
      <c r="AW413" t="s">
        <v>545</v>
      </c>
      <c r="AX413" t="s">
        <v>155</v>
      </c>
      <c r="AY413" t="s">
        <v>266</v>
      </c>
      <c r="AZ413" t="s">
        <v>155</v>
      </c>
      <c r="BA413" t="s">
        <v>155</v>
      </c>
      <c r="BB413" t="s">
        <v>155</v>
      </c>
      <c r="BD413">
        <f t="shared" si="38"/>
        <v>0</v>
      </c>
      <c r="BE413">
        <f t="shared" si="39"/>
        <v>0</v>
      </c>
      <c r="BF413">
        <f t="shared" si="40"/>
        <v>0</v>
      </c>
      <c r="BG413">
        <f t="shared" si="41"/>
        <v>0</v>
      </c>
      <c r="BH413">
        <f t="shared" si="42"/>
        <v>0</v>
      </c>
      <c r="BI413">
        <f t="shared" si="43"/>
        <v>0</v>
      </c>
    </row>
    <row r="414" spans="10:68" x14ac:dyDescent="0.3">
      <c r="J414" t="s">
        <v>546</v>
      </c>
      <c r="K414" s="17" t="s">
        <v>155</v>
      </c>
      <c r="L414" s="17" t="s">
        <v>266</v>
      </c>
      <c r="M414" s="17" t="s">
        <v>155</v>
      </c>
      <c r="N414" s="17" t="s">
        <v>155</v>
      </c>
      <c r="O414" s="17" t="s">
        <v>155</v>
      </c>
      <c r="AW414" t="s">
        <v>546</v>
      </c>
      <c r="AX414" t="s">
        <v>155</v>
      </c>
      <c r="AY414" t="s">
        <v>266</v>
      </c>
      <c r="AZ414" t="s">
        <v>155</v>
      </c>
      <c r="BA414" t="s">
        <v>155</v>
      </c>
      <c r="BB414" t="s">
        <v>155</v>
      </c>
      <c r="BD414">
        <f t="shared" si="38"/>
        <v>0</v>
      </c>
      <c r="BE414">
        <f t="shared" si="39"/>
        <v>0</v>
      </c>
      <c r="BF414">
        <f t="shared" si="40"/>
        <v>0</v>
      </c>
      <c r="BG414">
        <f t="shared" si="41"/>
        <v>0</v>
      </c>
      <c r="BH414">
        <f t="shared" si="42"/>
        <v>0</v>
      </c>
      <c r="BI414">
        <f t="shared" si="43"/>
        <v>0</v>
      </c>
    </row>
    <row r="415" spans="10:68" x14ac:dyDescent="0.3">
      <c r="AG415" t="s">
        <v>830</v>
      </c>
      <c r="BD415">
        <f t="shared" si="38"/>
        <v>0</v>
      </c>
      <c r="BE415">
        <f t="shared" si="39"/>
        <v>0</v>
      </c>
      <c r="BF415">
        <f t="shared" si="40"/>
        <v>0</v>
      </c>
      <c r="BG415">
        <f t="shared" si="41"/>
        <v>0</v>
      </c>
      <c r="BH415">
        <f t="shared" si="42"/>
        <v>0</v>
      </c>
      <c r="BI415">
        <f t="shared" si="43"/>
        <v>0</v>
      </c>
    </row>
    <row r="416" spans="10:68" x14ac:dyDescent="0.3">
      <c r="J416" t="s">
        <v>830</v>
      </c>
      <c r="AH416" s="17" t="s">
        <v>164</v>
      </c>
      <c r="AI416" s="17" t="s">
        <v>165</v>
      </c>
      <c r="AJ416" s="17" t="s">
        <v>166</v>
      </c>
      <c r="AK416" s="17" t="s">
        <v>167</v>
      </c>
      <c r="AL416" s="17" t="s">
        <v>168</v>
      </c>
      <c r="AW416" t="s">
        <v>830</v>
      </c>
      <c r="BD416">
        <f t="shared" si="38"/>
        <v>0</v>
      </c>
      <c r="BE416">
        <f t="shared" si="39"/>
        <v>0</v>
      </c>
      <c r="BF416">
        <f t="shared" si="40"/>
        <v>0</v>
      </c>
      <c r="BG416">
        <f t="shared" si="41"/>
        <v>0</v>
      </c>
      <c r="BH416">
        <f t="shared" si="42"/>
        <v>0</v>
      </c>
      <c r="BI416">
        <f t="shared" si="43"/>
        <v>0</v>
      </c>
    </row>
    <row r="417" spans="10:61" x14ac:dyDescent="0.3">
      <c r="K417" s="17" t="s">
        <v>164</v>
      </c>
      <c r="L417" s="17" t="s">
        <v>165</v>
      </c>
      <c r="M417" s="17" t="s">
        <v>166</v>
      </c>
      <c r="N417" s="17" t="s">
        <v>167</v>
      </c>
      <c r="O417" s="17" t="s">
        <v>168</v>
      </c>
      <c r="AG417" t="s">
        <v>557</v>
      </c>
      <c r="AH417" s="17" t="s">
        <v>458</v>
      </c>
      <c r="AI417" s="17" t="s">
        <v>155</v>
      </c>
      <c r="AJ417" s="17" t="s">
        <v>155</v>
      </c>
      <c r="AK417" s="17" t="s">
        <v>155</v>
      </c>
      <c r="AL417" s="17" t="s">
        <v>155</v>
      </c>
      <c r="AX417" t="s">
        <v>164</v>
      </c>
      <c r="AY417" t="s">
        <v>165</v>
      </c>
      <c r="AZ417" t="s">
        <v>166</v>
      </c>
      <c r="BA417" t="s">
        <v>167</v>
      </c>
      <c r="BB417" t="s">
        <v>168</v>
      </c>
      <c r="BD417">
        <f t="shared" si="38"/>
        <v>0</v>
      </c>
      <c r="BE417">
        <f t="shared" si="39"/>
        <v>0</v>
      </c>
      <c r="BF417">
        <f t="shared" si="40"/>
        <v>0</v>
      </c>
      <c r="BG417">
        <f t="shared" si="41"/>
        <v>0</v>
      </c>
      <c r="BH417">
        <f t="shared" si="42"/>
        <v>0</v>
      </c>
      <c r="BI417">
        <f t="shared" si="43"/>
        <v>0</v>
      </c>
    </row>
    <row r="418" spans="10:61" x14ac:dyDescent="0.3">
      <c r="J418" t="s">
        <v>557</v>
      </c>
      <c r="K418" s="17" t="s">
        <v>458</v>
      </c>
      <c r="L418" s="17" t="s">
        <v>155</v>
      </c>
      <c r="M418" s="17" t="s">
        <v>155</v>
      </c>
      <c r="N418" s="17" t="s">
        <v>155</v>
      </c>
      <c r="O418" s="17" t="s">
        <v>155</v>
      </c>
      <c r="AG418" t="s">
        <v>542</v>
      </c>
      <c r="AH418" s="17" t="s">
        <v>458</v>
      </c>
      <c r="AI418" s="17" t="s">
        <v>392</v>
      </c>
      <c r="AJ418" s="17" t="s">
        <v>155</v>
      </c>
      <c r="AK418" s="17" t="s">
        <v>458</v>
      </c>
      <c r="AL418" s="17" t="s">
        <v>155</v>
      </c>
      <c r="AW418" t="s">
        <v>557</v>
      </c>
      <c r="AX418" t="s">
        <v>458</v>
      </c>
      <c r="AY418" t="s">
        <v>155</v>
      </c>
      <c r="AZ418" t="s">
        <v>155</v>
      </c>
      <c r="BA418" t="s">
        <v>155</v>
      </c>
      <c r="BB418" t="s">
        <v>155</v>
      </c>
      <c r="BD418">
        <f t="shared" si="38"/>
        <v>0</v>
      </c>
      <c r="BE418">
        <f t="shared" si="39"/>
        <v>0</v>
      </c>
      <c r="BF418">
        <f t="shared" si="40"/>
        <v>0</v>
      </c>
      <c r="BG418">
        <f t="shared" si="41"/>
        <v>0</v>
      </c>
      <c r="BH418">
        <f t="shared" si="42"/>
        <v>0</v>
      </c>
      <c r="BI418">
        <f t="shared" si="43"/>
        <v>0</v>
      </c>
    </row>
    <row r="419" spans="10:61" x14ac:dyDescent="0.3">
      <c r="J419" t="s">
        <v>542</v>
      </c>
      <c r="K419" s="17" t="s">
        <v>458</v>
      </c>
      <c r="L419" s="17" t="s">
        <v>392</v>
      </c>
      <c r="M419" s="17" t="s">
        <v>155</v>
      </c>
      <c r="N419" s="17" t="s">
        <v>458</v>
      </c>
      <c r="O419" s="17" t="s">
        <v>155</v>
      </c>
      <c r="AG419" t="s">
        <v>543</v>
      </c>
      <c r="AH419" s="17" t="s">
        <v>155</v>
      </c>
      <c r="AI419" s="17" t="s">
        <v>392</v>
      </c>
      <c r="AJ419" s="17" t="s">
        <v>155</v>
      </c>
      <c r="AK419" s="17" t="s">
        <v>458</v>
      </c>
      <c r="AL419" s="17" t="s">
        <v>155</v>
      </c>
      <c r="AW419" t="s">
        <v>542</v>
      </c>
      <c r="AX419" t="s">
        <v>458</v>
      </c>
      <c r="AY419" t="s">
        <v>392</v>
      </c>
      <c r="AZ419" t="s">
        <v>155</v>
      </c>
      <c r="BA419" t="s">
        <v>458</v>
      </c>
      <c r="BB419" t="s">
        <v>155</v>
      </c>
      <c r="BD419">
        <f t="shared" si="38"/>
        <v>0</v>
      </c>
      <c r="BE419">
        <f t="shared" si="39"/>
        <v>0</v>
      </c>
      <c r="BF419">
        <f t="shared" si="40"/>
        <v>0</v>
      </c>
      <c r="BG419">
        <f t="shared" si="41"/>
        <v>0</v>
      </c>
      <c r="BH419">
        <f t="shared" si="42"/>
        <v>0</v>
      </c>
      <c r="BI419">
        <f t="shared" si="43"/>
        <v>0</v>
      </c>
    </row>
    <row r="420" spans="10:61" x14ac:dyDescent="0.3">
      <c r="J420" t="s">
        <v>543</v>
      </c>
      <c r="K420" s="17" t="s">
        <v>155</v>
      </c>
      <c r="L420" s="17" t="s">
        <v>392</v>
      </c>
      <c r="M420" s="17" t="s">
        <v>155</v>
      </c>
      <c r="N420" s="17" t="s">
        <v>458</v>
      </c>
      <c r="O420" s="17" t="s">
        <v>155</v>
      </c>
      <c r="AG420" t="s">
        <v>544</v>
      </c>
      <c r="AH420" s="17" t="s">
        <v>155</v>
      </c>
      <c r="AI420" s="17" t="s">
        <v>392</v>
      </c>
      <c r="AJ420" s="17" t="s">
        <v>155</v>
      </c>
      <c r="AK420" s="17" t="s">
        <v>155</v>
      </c>
      <c r="AL420" s="17" t="s">
        <v>155</v>
      </c>
      <c r="AW420" t="s">
        <v>543</v>
      </c>
      <c r="AX420" t="s">
        <v>155</v>
      </c>
      <c r="AY420" t="s">
        <v>392</v>
      </c>
      <c r="AZ420" t="s">
        <v>155</v>
      </c>
      <c r="BA420" t="s">
        <v>458</v>
      </c>
      <c r="BB420" t="s">
        <v>155</v>
      </c>
      <c r="BD420">
        <f t="shared" si="38"/>
        <v>0</v>
      </c>
      <c r="BE420">
        <f t="shared" si="39"/>
        <v>0</v>
      </c>
      <c r="BF420">
        <f t="shared" si="40"/>
        <v>0</v>
      </c>
      <c r="BG420">
        <f t="shared" si="41"/>
        <v>0</v>
      </c>
      <c r="BH420">
        <f t="shared" si="42"/>
        <v>0</v>
      </c>
      <c r="BI420">
        <f t="shared" si="43"/>
        <v>0</v>
      </c>
    </row>
    <row r="421" spans="10:61" x14ac:dyDescent="0.3">
      <c r="J421" t="s">
        <v>544</v>
      </c>
      <c r="K421" s="17" t="s">
        <v>155</v>
      </c>
      <c r="L421" s="17" t="s">
        <v>392</v>
      </c>
      <c r="M421" s="17" t="s">
        <v>155</v>
      </c>
      <c r="N421" s="17" t="s">
        <v>155</v>
      </c>
      <c r="O421" s="17" t="s">
        <v>155</v>
      </c>
      <c r="AW421" t="s">
        <v>544</v>
      </c>
      <c r="AX421" t="s">
        <v>155</v>
      </c>
      <c r="AY421" t="s">
        <v>392</v>
      </c>
      <c r="AZ421" t="s">
        <v>155</v>
      </c>
      <c r="BA421" t="s">
        <v>155</v>
      </c>
      <c r="BB421" t="s">
        <v>155</v>
      </c>
      <c r="BD421">
        <f t="shared" si="38"/>
        <v>0</v>
      </c>
      <c r="BE421">
        <f t="shared" si="39"/>
        <v>0</v>
      </c>
      <c r="BF421">
        <f t="shared" si="40"/>
        <v>0</v>
      </c>
      <c r="BG421">
        <f t="shared" si="41"/>
        <v>0</v>
      </c>
      <c r="BH421">
        <f t="shared" si="42"/>
        <v>0</v>
      </c>
      <c r="BI421">
        <f t="shared" si="43"/>
        <v>0</v>
      </c>
    </row>
    <row r="422" spans="10:61" x14ac:dyDescent="0.3">
      <c r="AG422" t="s">
        <v>831</v>
      </c>
      <c r="BD422">
        <f t="shared" si="38"/>
        <v>0</v>
      </c>
      <c r="BE422">
        <f t="shared" si="39"/>
        <v>0</v>
      </c>
      <c r="BF422">
        <f t="shared" si="40"/>
        <v>0</v>
      </c>
      <c r="BG422">
        <f t="shared" si="41"/>
        <v>0</v>
      </c>
      <c r="BH422">
        <f t="shared" si="42"/>
        <v>0</v>
      </c>
      <c r="BI422">
        <f t="shared" si="43"/>
        <v>0</v>
      </c>
    </row>
    <row r="423" spans="10:61" x14ac:dyDescent="0.3">
      <c r="J423" t="s">
        <v>831</v>
      </c>
      <c r="AH423" s="17" t="s">
        <v>164</v>
      </c>
      <c r="AI423" s="17" t="s">
        <v>165</v>
      </c>
      <c r="AJ423" s="17" t="s">
        <v>166</v>
      </c>
      <c r="AK423" s="17" t="s">
        <v>167</v>
      </c>
      <c r="AL423" s="17" t="s">
        <v>168</v>
      </c>
      <c r="AW423" t="s">
        <v>831</v>
      </c>
      <c r="BD423">
        <f t="shared" si="38"/>
        <v>0</v>
      </c>
      <c r="BE423">
        <f t="shared" si="39"/>
        <v>0</v>
      </c>
      <c r="BF423">
        <f t="shared" si="40"/>
        <v>0</v>
      </c>
      <c r="BG423">
        <f t="shared" si="41"/>
        <v>0</v>
      </c>
      <c r="BH423">
        <f t="shared" si="42"/>
        <v>0</v>
      </c>
      <c r="BI423">
        <f t="shared" si="43"/>
        <v>0</v>
      </c>
    </row>
    <row r="424" spans="10:61" x14ac:dyDescent="0.3">
      <c r="K424" s="17" t="s">
        <v>164</v>
      </c>
      <c r="L424" s="17" t="s">
        <v>165</v>
      </c>
      <c r="M424" s="17" t="s">
        <v>166</v>
      </c>
      <c r="N424" s="17" t="s">
        <v>167</v>
      </c>
      <c r="O424" s="17" t="s">
        <v>168</v>
      </c>
      <c r="AG424" t="s">
        <v>557</v>
      </c>
      <c r="AH424" s="17" t="s">
        <v>155</v>
      </c>
      <c r="AI424" s="17" t="s">
        <v>155</v>
      </c>
      <c r="AJ424" s="17" t="s">
        <v>155</v>
      </c>
      <c r="AK424" s="17" t="s">
        <v>155</v>
      </c>
      <c r="AL424" s="17" t="s">
        <v>461</v>
      </c>
      <c r="AX424" t="s">
        <v>164</v>
      </c>
      <c r="AY424" t="s">
        <v>165</v>
      </c>
      <c r="AZ424" t="s">
        <v>166</v>
      </c>
      <c r="BA424" t="s">
        <v>167</v>
      </c>
      <c r="BB424" t="s">
        <v>168</v>
      </c>
      <c r="BD424">
        <f t="shared" si="38"/>
        <v>0</v>
      </c>
      <c r="BE424">
        <f t="shared" si="39"/>
        <v>0</v>
      </c>
      <c r="BF424">
        <f t="shared" si="40"/>
        <v>0</v>
      </c>
      <c r="BG424">
        <f t="shared" si="41"/>
        <v>0</v>
      </c>
      <c r="BH424">
        <f t="shared" si="42"/>
        <v>0</v>
      </c>
      <c r="BI424">
        <f t="shared" si="43"/>
        <v>0</v>
      </c>
    </row>
    <row r="425" spans="10:61" x14ac:dyDescent="0.3">
      <c r="J425" t="s">
        <v>557</v>
      </c>
      <c r="K425" s="17" t="s">
        <v>155</v>
      </c>
      <c r="L425" s="17" t="s">
        <v>155</v>
      </c>
      <c r="M425" s="17" t="s">
        <v>155</v>
      </c>
      <c r="N425" s="17" t="s">
        <v>155</v>
      </c>
      <c r="O425" s="17" t="s">
        <v>461</v>
      </c>
      <c r="AG425" t="s">
        <v>542</v>
      </c>
      <c r="AH425" s="17" t="s">
        <v>155</v>
      </c>
      <c r="AI425" s="17" t="s">
        <v>155</v>
      </c>
      <c r="AJ425" s="17" t="s">
        <v>461</v>
      </c>
      <c r="AK425" s="17" t="s">
        <v>155</v>
      </c>
      <c r="AL425" s="17" t="s">
        <v>461</v>
      </c>
      <c r="AW425" t="s">
        <v>557</v>
      </c>
      <c r="AX425" t="s">
        <v>155</v>
      </c>
      <c r="AY425" t="s">
        <v>155</v>
      </c>
      <c r="AZ425" t="s">
        <v>155</v>
      </c>
      <c r="BA425" t="s">
        <v>155</v>
      </c>
      <c r="BB425" t="s">
        <v>461</v>
      </c>
      <c r="BD425">
        <f t="shared" si="38"/>
        <v>0</v>
      </c>
      <c r="BE425">
        <f t="shared" si="39"/>
        <v>0</v>
      </c>
      <c r="BF425">
        <f t="shared" si="40"/>
        <v>0</v>
      </c>
      <c r="BG425">
        <f t="shared" si="41"/>
        <v>0</v>
      </c>
      <c r="BH425">
        <f t="shared" si="42"/>
        <v>0</v>
      </c>
      <c r="BI425">
        <f t="shared" si="43"/>
        <v>0</v>
      </c>
    </row>
    <row r="426" spans="10:61" x14ac:dyDescent="0.3">
      <c r="J426" t="s">
        <v>542</v>
      </c>
      <c r="K426" s="17" t="s">
        <v>155</v>
      </c>
      <c r="L426" s="17" t="s">
        <v>155</v>
      </c>
      <c r="M426" s="17" t="s">
        <v>461</v>
      </c>
      <c r="N426" s="17" t="s">
        <v>155</v>
      </c>
      <c r="O426" s="17" t="s">
        <v>461</v>
      </c>
      <c r="AG426" t="s">
        <v>543</v>
      </c>
      <c r="AH426" s="17" t="s">
        <v>155</v>
      </c>
      <c r="AI426" s="17" t="s">
        <v>155</v>
      </c>
      <c r="AJ426" s="17" t="s">
        <v>461</v>
      </c>
      <c r="AK426" s="17" t="s">
        <v>155</v>
      </c>
      <c r="AL426" s="17" t="s">
        <v>155</v>
      </c>
      <c r="AW426" t="s">
        <v>542</v>
      </c>
      <c r="AX426" t="s">
        <v>155</v>
      </c>
      <c r="AY426" t="s">
        <v>155</v>
      </c>
      <c r="AZ426" t="s">
        <v>461</v>
      </c>
      <c r="BA426" t="s">
        <v>155</v>
      </c>
      <c r="BB426" t="s">
        <v>461</v>
      </c>
      <c r="BD426">
        <f t="shared" si="38"/>
        <v>0</v>
      </c>
      <c r="BE426">
        <f t="shared" si="39"/>
        <v>0</v>
      </c>
      <c r="BF426">
        <f t="shared" si="40"/>
        <v>0</v>
      </c>
      <c r="BG426">
        <f t="shared" si="41"/>
        <v>0</v>
      </c>
      <c r="BH426">
        <f t="shared" si="42"/>
        <v>0</v>
      </c>
      <c r="BI426">
        <f t="shared" si="43"/>
        <v>0</v>
      </c>
    </row>
    <row r="427" spans="10:61" x14ac:dyDescent="0.3">
      <c r="J427" t="s">
        <v>543</v>
      </c>
      <c r="K427" s="17" t="s">
        <v>155</v>
      </c>
      <c r="L427" s="17" t="s">
        <v>155</v>
      </c>
      <c r="M427" s="17" t="s">
        <v>461</v>
      </c>
      <c r="N427" s="17" t="s">
        <v>155</v>
      </c>
      <c r="O427" s="17" t="s">
        <v>155</v>
      </c>
      <c r="AW427" t="s">
        <v>543</v>
      </c>
      <c r="AX427" t="s">
        <v>155</v>
      </c>
      <c r="AY427" t="s">
        <v>155</v>
      </c>
      <c r="AZ427" t="s">
        <v>461</v>
      </c>
      <c r="BA427" t="s">
        <v>155</v>
      </c>
      <c r="BB427" t="s">
        <v>155</v>
      </c>
      <c r="BD427">
        <f t="shared" si="38"/>
        <v>0</v>
      </c>
      <c r="BE427">
        <f t="shared" si="39"/>
        <v>0</v>
      </c>
      <c r="BF427">
        <f t="shared" si="40"/>
        <v>0</v>
      </c>
      <c r="BG427">
        <f t="shared" si="41"/>
        <v>0</v>
      </c>
      <c r="BH427">
        <f t="shared" si="42"/>
        <v>0</v>
      </c>
      <c r="BI427">
        <f t="shared" si="43"/>
        <v>0</v>
      </c>
    </row>
    <row r="428" spans="10:61" x14ac:dyDescent="0.3">
      <c r="AG428" t="s">
        <v>832</v>
      </c>
      <c r="BD428">
        <f t="shared" si="38"/>
        <v>0</v>
      </c>
      <c r="BE428">
        <f t="shared" si="39"/>
        <v>0</v>
      </c>
      <c r="BF428">
        <f t="shared" si="40"/>
        <v>0</v>
      </c>
      <c r="BG428">
        <f t="shared" si="41"/>
        <v>0</v>
      </c>
      <c r="BH428">
        <f t="shared" si="42"/>
        <v>0</v>
      </c>
      <c r="BI428">
        <f t="shared" si="43"/>
        <v>0</v>
      </c>
    </row>
    <row r="429" spans="10:61" x14ac:dyDescent="0.3">
      <c r="J429" t="s">
        <v>832</v>
      </c>
      <c r="AH429" s="17" t="s">
        <v>164</v>
      </c>
      <c r="AI429" s="17" t="s">
        <v>165</v>
      </c>
      <c r="AJ429" s="17" t="s">
        <v>166</v>
      </c>
      <c r="AK429" s="17" t="s">
        <v>167</v>
      </c>
      <c r="AL429" s="17" t="s">
        <v>168</v>
      </c>
      <c r="AW429" t="s">
        <v>832</v>
      </c>
      <c r="BD429">
        <f t="shared" si="38"/>
        <v>0</v>
      </c>
      <c r="BE429">
        <f t="shared" si="39"/>
        <v>0</v>
      </c>
      <c r="BF429">
        <f t="shared" si="40"/>
        <v>0</v>
      </c>
      <c r="BG429">
        <f t="shared" si="41"/>
        <v>0</v>
      </c>
      <c r="BH429">
        <f t="shared" si="42"/>
        <v>0</v>
      </c>
      <c r="BI429">
        <f t="shared" si="43"/>
        <v>0</v>
      </c>
    </row>
    <row r="430" spans="10:61" x14ac:dyDescent="0.3">
      <c r="K430" s="17" t="s">
        <v>164</v>
      </c>
      <c r="L430" s="17" t="s">
        <v>165</v>
      </c>
      <c r="M430" s="17" t="s">
        <v>166</v>
      </c>
      <c r="N430" s="17" t="s">
        <v>167</v>
      </c>
      <c r="O430" s="17" t="s">
        <v>168</v>
      </c>
      <c r="AG430" t="s">
        <v>543</v>
      </c>
      <c r="AH430" s="17" t="s">
        <v>155</v>
      </c>
      <c r="AI430" s="17" t="s">
        <v>155</v>
      </c>
      <c r="AJ430" s="17" t="s">
        <v>391</v>
      </c>
      <c r="AK430" s="17" t="s">
        <v>155</v>
      </c>
      <c r="AL430" s="17" t="s">
        <v>391</v>
      </c>
      <c r="AX430" t="s">
        <v>164</v>
      </c>
      <c r="AY430" t="s">
        <v>165</v>
      </c>
      <c r="AZ430" t="s">
        <v>166</v>
      </c>
      <c r="BA430" t="s">
        <v>167</v>
      </c>
      <c r="BB430" t="s">
        <v>168</v>
      </c>
      <c r="BD430">
        <f t="shared" si="38"/>
        <v>0</v>
      </c>
      <c r="BE430">
        <f t="shared" si="39"/>
        <v>0</v>
      </c>
      <c r="BF430">
        <f t="shared" si="40"/>
        <v>0</v>
      </c>
      <c r="BG430">
        <f t="shared" si="41"/>
        <v>0</v>
      </c>
      <c r="BH430">
        <f t="shared" si="42"/>
        <v>0</v>
      </c>
      <c r="BI430">
        <f t="shared" si="43"/>
        <v>0</v>
      </c>
    </row>
    <row r="431" spans="10:61" x14ac:dyDescent="0.3">
      <c r="J431" t="s">
        <v>543</v>
      </c>
      <c r="K431" s="17" t="s">
        <v>155</v>
      </c>
      <c r="L431" s="17" t="s">
        <v>155</v>
      </c>
      <c r="M431" s="17" t="s">
        <v>391</v>
      </c>
      <c r="N431" s="17" t="s">
        <v>155</v>
      </c>
      <c r="O431" s="17" t="s">
        <v>391</v>
      </c>
      <c r="AG431" t="s">
        <v>544</v>
      </c>
      <c r="AH431" s="17" t="s">
        <v>155</v>
      </c>
      <c r="AI431" s="17" t="s">
        <v>155</v>
      </c>
      <c r="AJ431" s="17" t="s">
        <v>391</v>
      </c>
      <c r="AK431" s="17" t="s">
        <v>155</v>
      </c>
      <c r="AL431" s="17" t="s">
        <v>391</v>
      </c>
      <c r="AW431" t="s">
        <v>543</v>
      </c>
      <c r="AX431" t="s">
        <v>155</v>
      </c>
      <c r="AY431" t="s">
        <v>155</v>
      </c>
      <c r="AZ431" t="s">
        <v>391</v>
      </c>
      <c r="BA431" t="s">
        <v>155</v>
      </c>
      <c r="BB431" t="s">
        <v>391</v>
      </c>
      <c r="BD431">
        <f t="shared" si="38"/>
        <v>0</v>
      </c>
      <c r="BE431">
        <f t="shared" si="39"/>
        <v>0</v>
      </c>
      <c r="BF431">
        <f t="shared" si="40"/>
        <v>0</v>
      </c>
      <c r="BG431">
        <f t="shared" si="41"/>
        <v>0</v>
      </c>
      <c r="BH431">
        <f t="shared" si="42"/>
        <v>0</v>
      </c>
      <c r="BI431">
        <f t="shared" si="43"/>
        <v>0</v>
      </c>
    </row>
    <row r="432" spans="10:61" x14ac:dyDescent="0.3">
      <c r="J432" t="s">
        <v>544</v>
      </c>
      <c r="K432" s="17" t="s">
        <v>155</v>
      </c>
      <c r="L432" s="17" t="s">
        <v>155</v>
      </c>
      <c r="M432" s="17" t="s">
        <v>391</v>
      </c>
      <c r="N432" s="17" t="s">
        <v>155</v>
      </c>
      <c r="O432" s="17" t="s">
        <v>391</v>
      </c>
      <c r="AG432" t="s">
        <v>545</v>
      </c>
      <c r="AH432" s="17" t="s">
        <v>155</v>
      </c>
      <c r="AI432" s="17" t="s">
        <v>155</v>
      </c>
      <c r="AJ432" s="17" t="s">
        <v>664</v>
      </c>
      <c r="AK432" s="17" t="s">
        <v>155</v>
      </c>
      <c r="AL432" s="17" t="s">
        <v>155</v>
      </c>
      <c r="AW432" t="s">
        <v>544</v>
      </c>
      <c r="AX432" t="s">
        <v>155</v>
      </c>
      <c r="AY432" t="s">
        <v>155</v>
      </c>
      <c r="AZ432" t="s">
        <v>391</v>
      </c>
      <c r="BA432" t="s">
        <v>155</v>
      </c>
      <c r="BB432" t="s">
        <v>391</v>
      </c>
      <c r="BD432">
        <f t="shared" si="38"/>
        <v>0</v>
      </c>
      <c r="BE432">
        <f t="shared" si="39"/>
        <v>0</v>
      </c>
      <c r="BF432">
        <f t="shared" si="40"/>
        <v>0</v>
      </c>
      <c r="BG432">
        <f t="shared" si="41"/>
        <v>0</v>
      </c>
      <c r="BH432">
        <f t="shared" si="42"/>
        <v>0</v>
      </c>
      <c r="BI432">
        <f t="shared" si="43"/>
        <v>0</v>
      </c>
    </row>
    <row r="433" spans="10:61" x14ac:dyDescent="0.3">
      <c r="J433" t="s">
        <v>545</v>
      </c>
      <c r="K433" s="17" t="s">
        <v>155</v>
      </c>
      <c r="L433" s="17" t="s">
        <v>155</v>
      </c>
      <c r="M433" s="17" t="s">
        <v>664</v>
      </c>
      <c r="N433" s="17" t="s">
        <v>155</v>
      </c>
      <c r="O433" s="17" t="s">
        <v>155</v>
      </c>
      <c r="AW433" t="s">
        <v>545</v>
      </c>
      <c r="AX433" t="s">
        <v>155</v>
      </c>
      <c r="AY433" t="s">
        <v>155</v>
      </c>
      <c r="AZ433" t="s">
        <v>664</v>
      </c>
      <c r="BA433" t="s">
        <v>155</v>
      </c>
      <c r="BB433" t="s">
        <v>155</v>
      </c>
      <c r="BD433">
        <f t="shared" si="38"/>
        <v>0</v>
      </c>
      <c r="BE433">
        <f t="shared" si="39"/>
        <v>0</v>
      </c>
      <c r="BF433">
        <f t="shared" si="40"/>
        <v>0</v>
      </c>
      <c r="BG433">
        <f t="shared" si="41"/>
        <v>0</v>
      </c>
      <c r="BH433">
        <f t="shared" si="42"/>
        <v>0</v>
      </c>
      <c r="BI433">
        <f t="shared" si="43"/>
        <v>0</v>
      </c>
    </row>
    <row r="434" spans="10:61" x14ac:dyDescent="0.3">
      <c r="AG434" t="s">
        <v>706</v>
      </c>
      <c r="BD434">
        <f t="shared" si="38"/>
        <v>0</v>
      </c>
      <c r="BE434">
        <f t="shared" si="39"/>
        <v>0</v>
      </c>
      <c r="BF434">
        <f t="shared" si="40"/>
        <v>0</v>
      </c>
      <c r="BG434">
        <f t="shared" si="41"/>
        <v>0</v>
      </c>
      <c r="BH434">
        <f t="shared" si="42"/>
        <v>0</v>
      </c>
      <c r="BI434">
        <f t="shared" si="43"/>
        <v>0</v>
      </c>
    </row>
    <row r="435" spans="10:61" x14ac:dyDescent="0.3">
      <c r="J435" t="s">
        <v>706</v>
      </c>
      <c r="AH435" s="17" t="s">
        <v>164</v>
      </c>
      <c r="AI435" s="17" t="s">
        <v>165</v>
      </c>
      <c r="AJ435" s="17" t="s">
        <v>166</v>
      </c>
      <c r="AK435" s="17" t="s">
        <v>167</v>
      </c>
      <c r="AL435" s="17" t="s">
        <v>168</v>
      </c>
      <c r="AW435" t="s">
        <v>706</v>
      </c>
      <c r="BD435">
        <f t="shared" si="38"/>
        <v>0</v>
      </c>
      <c r="BE435">
        <f t="shared" si="39"/>
        <v>0</v>
      </c>
      <c r="BF435">
        <f t="shared" si="40"/>
        <v>0</v>
      </c>
      <c r="BG435">
        <f t="shared" si="41"/>
        <v>0</v>
      </c>
      <c r="BH435">
        <f t="shared" si="42"/>
        <v>0</v>
      </c>
      <c r="BI435">
        <f t="shared" si="43"/>
        <v>0</v>
      </c>
    </row>
    <row r="436" spans="10:61" x14ac:dyDescent="0.3">
      <c r="K436" s="17" t="s">
        <v>164</v>
      </c>
      <c r="L436" s="17" t="s">
        <v>165</v>
      </c>
      <c r="M436" s="17" t="s">
        <v>166</v>
      </c>
      <c r="N436" s="17" t="s">
        <v>167</v>
      </c>
      <c r="O436" s="17" t="s">
        <v>168</v>
      </c>
      <c r="AG436" t="s">
        <v>544</v>
      </c>
      <c r="AH436" s="17" t="s">
        <v>91</v>
      </c>
      <c r="AI436" s="17" t="s">
        <v>155</v>
      </c>
      <c r="AJ436" s="17" t="s">
        <v>155</v>
      </c>
      <c r="AK436" s="17" t="s">
        <v>91</v>
      </c>
      <c r="AL436" s="17" t="s">
        <v>155</v>
      </c>
      <c r="AX436" t="s">
        <v>164</v>
      </c>
      <c r="AY436" t="s">
        <v>165</v>
      </c>
      <c r="AZ436" t="s">
        <v>166</v>
      </c>
      <c r="BA436" t="s">
        <v>167</v>
      </c>
      <c r="BB436" t="s">
        <v>168</v>
      </c>
      <c r="BD436">
        <f t="shared" si="38"/>
        <v>0</v>
      </c>
      <c r="BE436">
        <f t="shared" si="39"/>
        <v>0</v>
      </c>
      <c r="BF436">
        <f t="shared" si="40"/>
        <v>0</v>
      </c>
      <c r="BG436">
        <f t="shared" si="41"/>
        <v>0</v>
      </c>
      <c r="BH436">
        <f t="shared" si="42"/>
        <v>0</v>
      </c>
      <c r="BI436">
        <f t="shared" si="43"/>
        <v>0</v>
      </c>
    </row>
    <row r="437" spans="10:61" x14ac:dyDescent="0.3">
      <c r="J437" t="s">
        <v>544</v>
      </c>
      <c r="K437" s="17" t="s">
        <v>91</v>
      </c>
      <c r="L437" s="17" t="s">
        <v>155</v>
      </c>
      <c r="M437" s="17" t="s">
        <v>155</v>
      </c>
      <c r="N437" s="17" t="s">
        <v>91</v>
      </c>
      <c r="O437" s="17" t="s">
        <v>155</v>
      </c>
      <c r="AG437" t="s">
        <v>545</v>
      </c>
      <c r="AH437" s="17" t="s">
        <v>91</v>
      </c>
      <c r="AI437" s="17" t="s">
        <v>155</v>
      </c>
      <c r="AJ437" s="17" t="s">
        <v>155</v>
      </c>
      <c r="AK437" s="17" t="s">
        <v>91</v>
      </c>
      <c r="AL437" s="17" t="s">
        <v>155</v>
      </c>
      <c r="AW437" t="s">
        <v>544</v>
      </c>
      <c r="AX437" t="s">
        <v>91</v>
      </c>
      <c r="AY437" t="s">
        <v>155</v>
      </c>
      <c r="AZ437" t="s">
        <v>155</v>
      </c>
      <c r="BA437" t="s">
        <v>91</v>
      </c>
      <c r="BB437" t="s">
        <v>155</v>
      </c>
      <c r="BD437">
        <f t="shared" si="38"/>
        <v>0</v>
      </c>
      <c r="BE437">
        <f t="shared" si="39"/>
        <v>0</v>
      </c>
      <c r="BF437">
        <f t="shared" si="40"/>
        <v>0</v>
      </c>
      <c r="BG437">
        <f t="shared" si="41"/>
        <v>0</v>
      </c>
      <c r="BH437">
        <f t="shared" si="42"/>
        <v>0</v>
      </c>
      <c r="BI437">
        <f t="shared" si="43"/>
        <v>0</v>
      </c>
    </row>
    <row r="438" spans="10:61" x14ac:dyDescent="0.3">
      <c r="J438" t="s">
        <v>545</v>
      </c>
      <c r="K438" s="17" t="s">
        <v>91</v>
      </c>
      <c r="L438" s="17" t="s">
        <v>155</v>
      </c>
      <c r="M438" s="17" t="s">
        <v>155</v>
      </c>
      <c r="N438" s="17" t="s">
        <v>91</v>
      </c>
      <c r="O438" s="17" t="s">
        <v>155</v>
      </c>
      <c r="AW438" t="s">
        <v>545</v>
      </c>
      <c r="AX438" t="s">
        <v>91</v>
      </c>
      <c r="AY438" t="s">
        <v>155</v>
      </c>
      <c r="AZ438" t="s">
        <v>155</v>
      </c>
      <c r="BA438" t="s">
        <v>91</v>
      </c>
      <c r="BB438" t="s">
        <v>155</v>
      </c>
      <c r="BD438">
        <f t="shared" si="38"/>
        <v>0</v>
      </c>
      <c r="BE438">
        <f t="shared" si="39"/>
        <v>0</v>
      </c>
      <c r="BF438">
        <f t="shared" si="40"/>
        <v>0</v>
      </c>
      <c r="BG438">
        <f t="shared" si="41"/>
        <v>0</v>
      </c>
      <c r="BH438">
        <f t="shared" si="42"/>
        <v>0</v>
      </c>
      <c r="BI438">
        <f t="shared" si="43"/>
        <v>0</v>
      </c>
    </row>
    <row r="439" spans="10:61" x14ac:dyDescent="0.3">
      <c r="AG439" t="s">
        <v>728</v>
      </c>
      <c r="BD439">
        <f t="shared" si="38"/>
        <v>0</v>
      </c>
      <c r="BE439">
        <f t="shared" si="39"/>
        <v>0</v>
      </c>
      <c r="BF439">
        <f t="shared" si="40"/>
        <v>0</v>
      </c>
      <c r="BG439">
        <f t="shared" si="41"/>
        <v>0</v>
      </c>
      <c r="BH439">
        <f t="shared" si="42"/>
        <v>0</v>
      </c>
      <c r="BI439">
        <f t="shared" si="43"/>
        <v>0</v>
      </c>
    </row>
    <row r="440" spans="10:61" x14ac:dyDescent="0.3">
      <c r="J440" t="s">
        <v>728</v>
      </c>
      <c r="AH440" s="17" t="s">
        <v>164</v>
      </c>
      <c r="AI440" s="17" t="s">
        <v>165</v>
      </c>
      <c r="AJ440" s="17" t="s">
        <v>166</v>
      </c>
      <c r="AK440" s="17" t="s">
        <v>167</v>
      </c>
      <c r="AL440" s="17" t="s">
        <v>168</v>
      </c>
      <c r="AW440" t="s">
        <v>728</v>
      </c>
      <c r="BD440">
        <f t="shared" si="38"/>
        <v>0</v>
      </c>
      <c r="BE440">
        <f t="shared" si="39"/>
        <v>0</v>
      </c>
      <c r="BF440">
        <f t="shared" si="40"/>
        <v>0</v>
      </c>
      <c r="BG440">
        <f t="shared" si="41"/>
        <v>0</v>
      </c>
      <c r="BH440">
        <f t="shared" si="42"/>
        <v>0</v>
      </c>
      <c r="BI440">
        <f t="shared" si="43"/>
        <v>0</v>
      </c>
    </row>
    <row r="441" spans="10:61" x14ac:dyDescent="0.3">
      <c r="K441" s="17" t="s">
        <v>164</v>
      </c>
      <c r="L441" s="17" t="s">
        <v>165</v>
      </c>
      <c r="M441" s="17" t="s">
        <v>166</v>
      </c>
      <c r="N441" s="17" t="s">
        <v>167</v>
      </c>
      <c r="O441" s="17" t="s">
        <v>168</v>
      </c>
      <c r="AG441" t="s">
        <v>549</v>
      </c>
      <c r="AH441" s="17" t="s">
        <v>332</v>
      </c>
      <c r="AI441" s="17" t="s">
        <v>155</v>
      </c>
      <c r="AJ441" s="17" t="s">
        <v>155</v>
      </c>
      <c r="AK441" s="17" t="s">
        <v>155</v>
      </c>
      <c r="AL441" s="17" t="s">
        <v>155</v>
      </c>
      <c r="AX441" t="s">
        <v>164</v>
      </c>
      <c r="AY441" t="s">
        <v>165</v>
      </c>
      <c r="AZ441" t="s">
        <v>166</v>
      </c>
      <c r="BA441" t="s">
        <v>167</v>
      </c>
      <c r="BB441" t="s">
        <v>168</v>
      </c>
      <c r="BD441">
        <f t="shared" si="38"/>
        <v>0</v>
      </c>
      <c r="BE441">
        <f t="shared" si="39"/>
        <v>0</v>
      </c>
      <c r="BF441">
        <f t="shared" si="40"/>
        <v>0</v>
      </c>
      <c r="BG441">
        <f t="shared" si="41"/>
        <v>0</v>
      </c>
      <c r="BH441">
        <f t="shared" si="42"/>
        <v>0</v>
      </c>
      <c r="BI441">
        <f t="shared" si="43"/>
        <v>0</v>
      </c>
    </row>
    <row r="442" spans="10:61" x14ac:dyDescent="0.3">
      <c r="J442" t="s">
        <v>549</v>
      </c>
      <c r="K442" s="17" t="s">
        <v>332</v>
      </c>
      <c r="L442" s="17" t="s">
        <v>155</v>
      </c>
      <c r="M442" s="17" t="s">
        <v>155</v>
      </c>
      <c r="N442" s="17" t="s">
        <v>155</v>
      </c>
      <c r="O442" s="17" t="s">
        <v>155</v>
      </c>
      <c r="AG442" t="s">
        <v>550</v>
      </c>
      <c r="AH442" s="17" t="s">
        <v>332</v>
      </c>
      <c r="AI442" s="17" t="s">
        <v>155</v>
      </c>
      <c r="AJ442" s="17" t="s">
        <v>332</v>
      </c>
      <c r="AK442" s="17" t="s">
        <v>155</v>
      </c>
      <c r="AL442" s="17" t="s">
        <v>155</v>
      </c>
      <c r="AW442" t="s">
        <v>549</v>
      </c>
      <c r="AX442" t="s">
        <v>332</v>
      </c>
      <c r="AY442" t="s">
        <v>155</v>
      </c>
      <c r="AZ442" t="s">
        <v>155</v>
      </c>
      <c r="BA442" t="s">
        <v>155</v>
      </c>
      <c r="BB442" t="s">
        <v>155</v>
      </c>
      <c r="BD442">
        <f t="shared" si="38"/>
        <v>0</v>
      </c>
      <c r="BE442">
        <f t="shared" si="39"/>
        <v>0</v>
      </c>
      <c r="BF442">
        <f t="shared" si="40"/>
        <v>0</v>
      </c>
      <c r="BG442">
        <f t="shared" si="41"/>
        <v>0</v>
      </c>
      <c r="BH442">
        <f t="shared" si="42"/>
        <v>0</v>
      </c>
      <c r="BI442">
        <f t="shared" si="43"/>
        <v>0</v>
      </c>
    </row>
    <row r="443" spans="10:61" x14ac:dyDescent="0.3">
      <c r="J443" t="s">
        <v>550</v>
      </c>
      <c r="K443" s="17" t="s">
        <v>332</v>
      </c>
      <c r="L443" s="17" t="s">
        <v>155</v>
      </c>
      <c r="M443" s="17" t="s">
        <v>332</v>
      </c>
      <c r="N443" s="17" t="s">
        <v>155</v>
      </c>
      <c r="O443" s="17" t="s">
        <v>155</v>
      </c>
      <c r="AG443" t="s">
        <v>158</v>
      </c>
      <c r="AH443" s="17" t="s">
        <v>332</v>
      </c>
      <c r="AI443" s="17" t="s">
        <v>155</v>
      </c>
      <c r="AJ443" s="17" t="s">
        <v>332</v>
      </c>
      <c r="AK443" s="17" t="s">
        <v>155</v>
      </c>
      <c r="AL443" s="17" t="s">
        <v>155</v>
      </c>
      <c r="AW443" t="s">
        <v>550</v>
      </c>
      <c r="AX443" t="s">
        <v>332</v>
      </c>
      <c r="AY443" t="s">
        <v>155</v>
      </c>
      <c r="AZ443" t="s">
        <v>332</v>
      </c>
      <c r="BA443" t="s">
        <v>155</v>
      </c>
      <c r="BB443" t="s">
        <v>155</v>
      </c>
      <c r="BD443">
        <f t="shared" si="38"/>
        <v>0</v>
      </c>
      <c r="BE443">
        <f t="shared" si="39"/>
        <v>0</v>
      </c>
      <c r="BF443">
        <f t="shared" si="40"/>
        <v>0</v>
      </c>
      <c r="BG443">
        <f t="shared" si="41"/>
        <v>0</v>
      </c>
      <c r="BH443">
        <f t="shared" si="42"/>
        <v>0</v>
      </c>
      <c r="BI443">
        <f t="shared" si="43"/>
        <v>0</v>
      </c>
    </row>
    <row r="444" spans="10:61" x14ac:dyDescent="0.3">
      <c r="J444" t="s">
        <v>158</v>
      </c>
      <c r="K444" s="17" t="s">
        <v>332</v>
      </c>
      <c r="L444" s="17" t="s">
        <v>155</v>
      </c>
      <c r="M444" s="17" t="s">
        <v>332</v>
      </c>
      <c r="N444" s="17" t="s">
        <v>155</v>
      </c>
      <c r="O444" s="17" t="s">
        <v>155</v>
      </c>
      <c r="AG444" t="s">
        <v>556</v>
      </c>
      <c r="AH444" s="17" t="s">
        <v>24</v>
      </c>
      <c r="AI444" s="17" t="s">
        <v>155</v>
      </c>
      <c r="AJ444" s="17" t="s">
        <v>155</v>
      </c>
      <c r="AK444" s="17" t="s">
        <v>155</v>
      </c>
      <c r="AL444" s="17" t="s">
        <v>24</v>
      </c>
      <c r="AW444" t="s">
        <v>158</v>
      </c>
      <c r="AX444" t="s">
        <v>332</v>
      </c>
      <c r="AY444" t="s">
        <v>155</v>
      </c>
      <c r="AZ444" t="s">
        <v>332</v>
      </c>
      <c r="BA444" t="s">
        <v>155</v>
      </c>
      <c r="BB444" t="s">
        <v>155</v>
      </c>
      <c r="BD444">
        <f t="shared" si="38"/>
        <v>0</v>
      </c>
      <c r="BE444">
        <f t="shared" si="39"/>
        <v>0</v>
      </c>
      <c r="BF444">
        <f t="shared" si="40"/>
        <v>0</v>
      </c>
      <c r="BG444">
        <f t="shared" si="41"/>
        <v>0</v>
      </c>
      <c r="BH444">
        <f t="shared" si="42"/>
        <v>0</v>
      </c>
      <c r="BI444">
        <f t="shared" si="43"/>
        <v>0</v>
      </c>
    </row>
    <row r="445" spans="10:61" x14ac:dyDescent="0.3">
      <c r="J445" t="s">
        <v>556</v>
      </c>
      <c r="K445" s="17" t="s">
        <v>155</v>
      </c>
      <c r="L445" s="17" t="s">
        <v>155</v>
      </c>
      <c r="M445" s="17" t="s">
        <v>24</v>
      </c>
      <c r="N445" s="17" t="s">
        <v>155</v>
      </c>
      <c r="O445" s="17" t="s">
        <v>24</v>
      </c>
      <c r="AG445" t="s">
        <v>557</v>
      </c>
      <c r="AH445" s="17" t="s">
        <v>24</v>
      </c>
      <c r="AI445" s="17" t="s">
        <v>155</v>
      </c>
      <c r="AJ445" s="17" t="s">
        <v>155</v>
      </c>
      <c r="AK445" s="17" t="s">
        <v>155</v>
      </c>
      <c r="AL445" s="17" t="s">
        <v>24</v>
      </c>
      <c r="AW445" t="s">
        <v>556</v>
      </c>
      <c r="AX445" t="s">
        <v>155</v>
      </c>
      <c r="AY445" t="s">
        <v>155</v>
      </c>
      <c r="AZ445" t="s">
        <v>24</v>
      </c>
      <c r="BA445" t="s">
        <v>155</v>
      </c>
      <c r="BB445" t="s">
        <v>24</v>
      </c>
      <c r="BD445">
        <f t="shared" si="38"/>
        <v>0</v>
      </c>
      <c r="BE445">
        <f t="shared" si="39"/>
        <v>0</v>
      </c>
      <c r="BF445">
        <f t="shared" si="40"/>
        <v>0</v>
      </c>
      <c r="BG445">
        <f t="shared" si="41"/>
        <v>0</v>
      </c>
      <c r="BH445">
        <f t="shared" si="42"/>
        <v>0</v>
      </c>
      <c r="BI445">
        <f t="shared" si="43"/>
        <v>0</v>
      </c>
    </row>
    <row r="446" spans="10:61" x14ac:dyDescent="0.3">
      <c r="J446" t="s">
        <v>557</v>
      </c>
      <c r="K446" s="17" t="s">
        <v>155</v>
      </c>
      <c r="L446" s="17" t="s">
        <v>155</v>
      </c>
      <c r="M446" s="17" t="s">
        <v>24</v>
      </c>
      <c r="N446" s="17" t="s">
        <v>155</v>
      </c>
      <c r="O446" s="17" t="s">
        <v>24</v>
      </c>
      <c r="AG446" t="s">
        <v>542</v>
      </c>
      <c r="AH446" s="17" t="s">
        <v>155</v>
      </c>
      <c r="AI446" s="17" t="s">
        <v>155</v>
      </c>
      <c r="AJ446" s="17" t="s">
        <v>155</v>
      </c>
      <c r="AK446" s="17" t="s">
        <v>155</v>
      </c>
      <c r="AL446" s="17" t="s">
        <v>24</v>
      </c>
      <c r="AW446" t="s">
        <v>557</v>
      </c>
      <c r="AX446" t="s">
        <v>155</v>
      </c>
      <c r="AY446" t="s">
        <v>155</v>
      </c>
      <c r="AZ446" t="s">
        <v>24</v>
      </c>
      <c r="BA446" t="s">
        <v>155</v>
      </c>
      <c r="BB446" t="s">
        <v>24</v>
      </c>
      <c r="BD446">
        <f t="shared" si="38"/>
        <v>0</v>
      </c>
      <c r="BE446">
        <f t="shared" si="39"/>
        <v>0</v>
      </c>
      <c r="BF446">
        <f t="shared" si="40"/>
        <v>0</v>
      </c>
      <c r="BG446">
        <f t="shared" si="41"/>
        <v>0</v>
      </c>
      <c r="BH446">
        <f t="shared" si="42"/>
        <v>0</v>
      </c>
      <c r="BI446">
        <f t="shared" si="43"/>
        <v>0</v>
      </c>
    </row>
    <row r="447" spans="10:61" x14ac:dyDescent="0.3">
      <c r="J447" t="s">
        <v>542</v>
      </c>
      <c r="K447" s="17" t="s">
        <v>155</v>
      </c>
      <c r="L447" s="17" t="s">
        <v>155</v>
      </c>
      <c r="M447" s="17" t="s">
        <v>24</v>
      </c>
      <c r="N447" s="17" t="s">
        <v>155</v>
      </c>
      <c r="O447" s="17" t="s">
        <v>155</v>
      </c>
      <c r="AW447" t="s">
        <v>542</v>
      </c>
      <c r="AX447" t="s">
        <v>155</v>
      </c>
      <c r="AY447" t="s">
        <v>155</v>
      </c>
      <c r="AZ447" t="s">
        <v>24</v>
      </c>
      <c r="BA447" t="s">
        <v>155</v>
      </c>
      <c r="BB447" t="s">
        <v>155</v>
      </c>
      <c r="BD447">
        <f t="shared" si="38"/>
        <v>0</v>
      </c>
      <c r="BE447">
        <f t="shared" si="39"/>
        <v>0</v>
      </c>
      <c r="BF447">
        <f t="shared" si="40"/>
        <v>0</v>
      </c>
      <c r="BG447">
        <f t="shared" si="41"/>
        <v>0</v>
      </c>
      <c r="BH447">
        <f t="shared" si="42"/>
        <v>0</v>
      </c>
      <c r="BI447">
        <f t="shared" si="43"/>
        <v>0</v>
      </c>
    </row>
    <row r="448" spans="10:61" x14ac:dyDescent="0.3">
      <c r="AG448" t="s">
        <v>833</v>
      </c>
      <c r="BD448">
        <f t="shared" si="38"/>
        <v>0</v>
      </c>
      <c r="BE448">
        <f t="shared" si="39"/>
        <v>0</v>
      </c>
      <c r="BF448">
        <f t="shared" si="40"/>
        <v>0</v>
      </c>
      <c r="BG448">
        <f t="shared" si="41"/>
        <v>0</v>
      </c>
      <c r="BH448">
        <f t="shared" si="42"/>
        <v>0</v>
      </c>
      <c r="BI448">
        <f t="shared" si="43"/>
        <v>0</v>
      </c>
    </row>
    <row r="449" spans="10:61" x14ac:dyDescent="0.3">
      <c r="J449" t="s">
        <v>833</v>
      </c>
      <c r="AH449" s="17" t="s">
        <v>164</v>
      </c>
      <c r="AI449" s="17" t="s">
        <v>165</v>
      </c>
      <c r="AJ449" s="17" t="s">
        <v>166</v>
      </c>
      <c r="AK449" s="17" t="s">
        <v>167</v>
      </c>
      <c r="AL449" s="17" t="s">
        <v>168</v>
      </c>
      <c r="AW449" t="s">
        <v>833</v>
      </c>
      <c r="BD449">
        <f t="shared" si="38"/>
        <v>0</v>
      </c>
      <c r="BE449">
        <f t="shared" si="39"/>
        <v>0</v>
      </c>
      <c r="BF449">
        <f t="shared" si="40"/>
        <v>0</v>
      </c>
      <c r="BG449">
        <f t="shared" si="41"/>
        <v>0</v>
      </c>
      <c r="BH449">
        <f t="shared" si="42"/>
        <v>0</v>
      </c>
      <c r="BI449">
        <f t="shared" si="43"/>
        <v>0</v>
      </c>
    </row>
    <row r="450" spans="10:61" x14ac:dyDescent="0.3">
      <c r="K450" s="17" t="s">
        <v>164</v>
      </c>
      <c r="L450" s="17" t="s">
        <v>165</v>
      </c>
      <c r="M450" s="17" t="s">
        <v>166</v>
      </c>
      <c r="N450" s="17" t="s">
        <v>167</v>
      </c>
      <c r="O450" s="17" t="s">
        <v>168</v>
      </c>
      <c r="AG450" t="s">
        <v>557</v>
      </c>
      <c r="AH450" s="17" t="s">
        <v>464</v>
      </c>
      <c r="AI450" s="17" t="s">
        <v>155</v>
      </c>
      <c r="AJ450" s="17" t="s">
        <v>155</v>
      </c>
      <c r="AK450" s="17" t="s">
        <v>155</v>
      </c>
      <c r="AL450" s="17" t="s">
        <v>155</v>
      </c>
      <c r="AX450" t="s">
        <v>164</v>
      </c>
      <c r="AY450" t="s">
        <v>165</v>
      </c>
      <c r="AZ450" t="s">
        <v>166</v>
      </c>
      <c r="BA450" t="s">
        <v>167</v>
      </c>
      <c r="BB450" t="s">
        <v>168</v>
      </c>
      <c r="BD450">
        <f t="shared" si="38"/>
        <v>0</v>
      </c>
      <c r="BE450">
        <f t="shared" si="39"/>
        <v>0</v>
      </c>
      <c r="BF450">
        <f t="shared" si="40"/>
        <v>0</v>
      </c>
      <c r="BG450">
        <f t="shared" si="41"/>
        <v>0</v>
      </c>
      <c r="BH450">
        <f t="shared" si="42"/>
        <v>0</v>
      </c>
      <c r="BI450">
        <f t="shared" si="43"/>
        <v>0</v>
      </c>
    </row>
    <row r="451" spans="10:61" x14ac:dyDescent="0.3">
      <c r="J451" t="s">
        <v>557</v>
      </c>
      <c r="K451" s="17" t="s">
        <v>464</v>
      </c>
      <c r="L451" s="17" t="s">
        <v>155</v>
      </c>
      <c r="M451" s="17" t="s">
        <v>155</v>
      </c>
      <c r="N451" s="17" t="s">
        <v>155</v>
      </c>
      <c r="O451" s="17" t="s">
        <v>155</v>
      </c>
      <c r="AG451" t="s">
        <v>542</v>
      </c>
      <c r="AH451" s="17" t="s">
        <v>464</v>
      </c>
      <c r="AI451" s="17" t="s">
        <v>155</v>
      </c>
      <c r="AJ451" s="17" t="s">
        <v>155</v>
      </c>
      <c r="AK451" s="17" t="s">
        <v>155</v>
      </c>
      <c r="AL451" s="17" t="s">
        <v>155</v>
      </c>
      <c r="AW451" t="s">
        <v>557</v>
      </c>
      <c r="AX451" t="s">
        <v>464</v>
      </c>
      <c r="AY451" t="s">
        <v>155</v>
      </c>
      <c r="AZ451" t="s">
        <v>155</v>
      </c>
      <c r="BA451" t="s">
        <v>155</v>
      </c>
      <c r="BB451" t="s">
        <v>155</v>
      </c>
      <c r="BD451">
        <f t="shared" si="38"/>
        <v>0</v>
      </c>
      <c r="BE451">
        <f t="shared" si="39"/>
        <v>0</v>
      </c>
      <c r="BF451">
        <f t="shared" si="40"/>
        <v>0</v>
      </c>
      <c r="BG451">
        <f t="shared" si="41"/>
        <v>0</v>
      </c>
      <c r="BH451">
        <f t="shared" si="42"/>
        <v>0</v>
      </c>
      <c r="BI451">
        <f t="shared" si="43"/>
        <v>0</v>
      </c>
    </row>
    <row r="452" spans="10:61" x14ac:dyDescent="0.3">
      <c r="J452" t="s">
        <v>542</v>
      </c>
      <c r="K452" s="17" t="s">
        <v>464</v>
      </c>
      <c r="L452" s="17" t="s">
        <v>155</v>
      </c>
      <c r="M452" s="17" t="s">
        <v>155</v>
      </c>
      <c r="N452" s="17" t="s">
        <v>155</v>
      </c>
      <c r="O452" s="17" t="s">
        <v>155</v>
      </c>
      <c r="AG452" t="s">
        <v>543</v>
      </c>
      <c r="AH452" s="17" t="s">
        <v>155</v>
      </c>
      <c r="AI452" s="17" t="s">
        <v>155</v>
      </c>
      <c r="AJ452" s="17" t="s">
        <v>155</v>
      </c>
      <c r="AK452" s="17" t="s">
        <v>464</v>
      </c>
      <c r="AL452" s="17" t="s">
        <v>155</v>
      </c>
      <c r="AW452" t="s">
        <v>542</v>
      </c>
      <c r="AX452" t="s">
        <v>464</v>
      </c>
      <c r="AY452" t="s">
        <v>155</v>
      </c>
      <c r="AZ452" t="s">
        <v>155</v>
      </c>
      <c r="BA452" t="s">
        <v>155</v>
      </c>
      <c r="BB452" t="s">
        <v>155</v>
      </c>
      <c r="BD452">
        <f t="shared" si="38"/>
        <v>0</v>
      </c>
      <c r="BE452">
        <f t="shared" si="39"/>
        <v>0</v>
      </c>
      <c r="BF452">
        <f t="shared" si="40"/>
        <v>0</v>
      </c>
      <c r="BG452">
        <f t="shared" si="41"/>
        <v>0</v>
      </c>
      <c r="BH452">
        <f t="shared" si="42"/>
        <v>0</v>
      </c>
      <c r="BI452">
        <f t="shared" si="43"/>
        <v>0</v>
      </c>
    </row>
    <row r="453" spans="10:61" x14ac:dyDescent="0.3">
      <c r="J453" t="s">
        <v>543</v>
      </c>
      <c r="K453" s="17" t="s">
        <v>155</v>
      </c>
      <c r="L453" s="17" t="s">
        <v>155</v>
      </c>
      <c r="M453" s="17" t="s">
        <v>155</v>
      </c>
      <c r="N453" s="17" t="s">
        <v>464</v>
      </c>
      <c r="O453" s="17" t="s">
        <v>155</v>
      </c>
      <c r="AG453" t="s">
        <v>544</v>
      </c>
      <c r="AH453" s="17" t="s">
        <v>155</v>
      </c>
      <c r="AI453" s="17" t="s">
        <v>155</v>
      </c>
      <c r="AJ453" s="17" t="s">
        <v>155</v>
      </c>
      <c r="AK453" s="17" t="s">
        <v>464</v>
      </c>
      <c r="AL453" s="17" t="s">
        <v>155</v>
      </c>
      <c r="AW453" t="s">
        <v>543</v>
      </c>
      <c r="AX453" t="s">
        <v>155</v>
      </c>
      <c r="AY453" t="s">
        <v>155</v>
      </c>
      <c r="AZ453" t="s">
        <v>155</v>
      </c>
      <c r="BA453" t="s">
        <v>464</v>
      </c>
      <c r="BB453" t="s">
        <v>155</v>
      </c>
      <c r="BD453">
        <f t="shared" si="38"/>
        <v>0</v>
      </c>
      <c r="BE453">
        <f t="shared" si="39"/>
        <v>0</v>
      </c>
      <c r="BF453">
        <f t="shared" si="40"/>
        <v>0</v>
      </c>
      <c r="BG453">
        <f t="shared" si="41"/>
        <v>0</v>
      </c>
      <c r="BH453">
        <f t="shared" si="42"/>
        <v>0</v>
      </c>
      <c r="BI453">
        <f t="shared" si="43"/>
        <v>0</v>
      </c>
    </row>
    <row r="454" spans="10:61" x14ac:dyDescent="0.3">
      <c r="J454" t="s">
        <v>544</v>
      </c>
      <c r="K454" s="17" t="s">
        <v>155</v>
      </c>
      <c r="L454" s="17" t="s">
        <v>155</v>
      </c>
      <c r="M454" s="17" t="s">
        <v>155</v>
      </c>
      <c r="N454" s="17" t="s">
        <v>464</v>
      </c>
      <c r="O454" s="17" t="s">
        <v>155</v>
      </c>
      <c r="AW454" t="s">
        <v>544</v>
      </c>
      <c r="AX454" t="s">
        <v>155</v>
      </c>
      <c r="AY454" t="s">
        <v>155</v>
      </c>
      <c r="AZ454" t="s">
        <v>155</v>
      </c>
      <c r="BA454" t="s">
        <v>464</v>
      </c>
      <c r="BB454" t="s">
        <v>155</v>
      </c>
      <c r="BD454">
        <f t="shared" si="38"/>
        <v>0</v>
      </c>
      <c r="BE454">
        <f t="shared" si="39"/>
        <v>0</v>
      </c>
      <c r="BF454">
        <f t="shared" si="40"/>
        <v>0</v>
      </c>
      <c r="BG454">
        <f t="shared" si="41"/>
        <v>0</v>
      </c>
      <c r="BH454">
        <f t="shared" si="42"/>
        <v>0</v>
      </c>
      <c r="BI454">
        <f t="shared" si="43"/>
        <v>0</v>
      </c>
    </row>
    <row r="455" spans="10:61" x14ac:dyDescent="0.3">
      <c r="AG455" t="s">
        <v>697</v>
      </c>
      <c r="BD455">
        <f t="shared" si="38"/>
        <v>0</v>
      </c>
      <c r="BE455">
        <f t="shared" si="39"/>
        <v>0</v>
      </c>
      <c r="BF455">
        <f t="shared" si="40"/>
        <v>0</v>
      </c>
      <c r="BG455">
        <f t="shared" si="41"/>
        <v>0</v>
      </c>
      <c r="BH455">
        <f t="shared" si="42"/>
        <v>0</v>
      </c>
      <c r="BI455">
        <f t="shared" si="43"/>
        <v>0</v>
      </c>
    </row>
    <row r="456" spans="10:61" x14ac:dyDescent="0.3">
      <c r="J456" t="s">
        <v>697</v>
      </c>
      <c r="AH456" s="17" t="s">
        <v>164</v>
      </c>
      <c r="AI456" s="17" t="s">
        <v>165</v>
      </c>
      <c r="AJ456" s="17" t="s">
        <v>166</v>
      </c>
      <c r="AK456" s="17" t="s">
        <v>167</v>
      </c>
      <c r="AL456" s="17" t="s">
        <v>168</v>
      </c>
      <c r="AW456" t="s">
        <v>697</v>
      </c>
      <c r="BD456">
        <f t="shared" si="38"/>
        <v>0</v>
      </c>
      <c r="BE456">
        <f t="shared" si="39"/>
        <v>0</v>
      </c>
      <c r="BF456">
        <f t="shared" si="40"/>
        <v>0</v>
      </c>
      <c r="BG456">
        <f t="shared" si="41"/>
        <v>0</v>
      </c>
      <c r="BH456">
        <f t="shared" si="42"/>
        <v>0</v>
      </c>
      <c r="BI456">
        <f t="shared" si="43"/>
        <v>0</v>
      </c>
    </row>
    <row r="457" spans="10:61" x14ac:dyDescent="0.3">
      <c r="K457" s="17" t="s">
        <v>164</v>
      </c>
      <c r="L457" s="17" t="s">
        <v>165</v>
      </c>
      <c r="M457" s="17" t="s">
        <v>166</v>
      </c>
      <c r="N457" s="17" t="s">
        <v>167</v>
      </c>
      <c r="O457" s="17" t="s">
        <v>168</v>
      </c>
      <c r="AG457" t="s">
        <v>544</v>
      </c>
      <c r="AH457" s="17" t="s">
        <v>155</v>
      </c>
      <c r="AI457" s="17" t="s">
        <v>243</v>
      </c>
      <c r="AJ457" s="17" t="s">
        <v>155</v>
      </c>
      <c r="AK457" s="17" t="s">
        <v>155</v>
      </c>
      <c r="AL457" s="17" t="s">
        <v>155</v>
      </c>
      <c r="AX457" t="s">
        <v>164</v>
      </c>
      <c r="AY457" t="s">
        <v>165</v>
      </c>
      <c r="AZ457" t="s">
        <v>166</v>
      </c>
      <c r="BA457" t="s">
        <v>167</v>
      </c>
      <c r="BB457" t="s">
        <v>168</v>
      </c>
      <c r="BD457">
        <f t="shared" ref="BD457:BD520" si="44">IF(J457=AW457,0,1)</f>
        <v>0</v>
      </c>
      <c r="BE457">
        <f t="shared" ref="BE457:BE520" si="45">IF(K457=AX457,0,1)</f>
        <v>0</v>
      </c>
      <c r="BF457">
        <f t="shared" ref="BF457:BF520" si="46">IF(L457=AY457,0,1)</f>
        <v>0</v>
      </c>
      <c r="BG457">
        <f t="shared" ref="BG457:BG520" si="47">IF(M457=AZ457,0,1)</f>
        <v>0</v>
      </c>
      <c r="BH457">
        <f t="shared" ref="BH457:BH520" si="48">IF(N457=BA457,0,1)</f>
        <v>0</v>
      </c>
      <c r="BI457">
        <f t="shared" ref="BI457:BI520" si="49">IF(O457=BB457,0,1)</f>
        <v>0</v>
      </c>
    </row>
    <row r="458" spans="10:61" x14ac:dyDescent="0.3">
      <c r="J458" t="s">
        <v>544</v>
      </c>
      <c r="K458" s="17" t="s">
        <v>155</v>
      </c>
      <c r="L458" s="17" t="s">
        <v>243</v>
      </c>
      <c r="M458" s="17" t="s">
        <v>155</v>
      </c>
      <c r="N458" s="17" t="s">
        <v>155</v>
      </c>
      <c r="O458" s="17" t="s">
        <v>155</v>
      </c>
      <c r="AG458" t="s">
        <v>545</v>
      </c>
      <c r="AH458" s="17" t="s">
        <v>155</v>
      </c>
      <c r="AI458" s="17" t="s">
        <v>243</v>
      </c>
      <c r="AJ458" s="17" t="s">
        <v>155</v>
      </c>
      <c r="AK458" s="17" t="s">
        <v>155</v>
      </c>
      <c r="AL458" s="17" t="s">
        <v>155</v>
      </c>
      <c r="AW458" t="s">
        <v>544</v>
      </c>
      <c r="AX458" t="s">
        <v>155</v>
      </c>
      <c r="AY458" t="s">
        <v>243</v>
      </c>
      <c r="AZ458" t="s">
        <v>155</v>
      </c>
      <c r="BA458" t="s">
        <v>155</v>
      </c>
      <c r="BB458" t="s">
        <v>155</v>
      </c>
      <c r="BD458">
        <f t="shared" si="44"/>
        <v>0</v>
      </c>
      <c r="BE458">
        <f t="shared" si="45"/>
        <v>0</v>
      </c>
      <c r="BF458">
        <f t="shared" si="46"/>
        <v>0</v>
      </c>
      <c r="BG458">
        <f t="shared" si="47"/>
        <v>0</v>
      </c>
      <c r="BH458">
        <f t="shared" si="48"/>
        <v>0</v>
      </c>
      <c r="BI458">
        <f t="shared" si="49"/>
        <v>0</v>
      </c>
    </row>
    <row r="459" spans="10:61" x14ac:dyDescent="0.3">
      <c r="J459" t="s">
        <v>545</v>
      </c>
      <c r="K459" s="17" t="s">
        <v>155</v>
      </c>
      <c r="L459" s="17" t="s">
        <v>243</v>
      </c>
      <c r="M459" s="17" t="s">
        <v>155</v>
      </c>
      <c r="N459" s="17" t="s">
        <v>155</v>
      </c>
      <c r="O459" s="17" t="s">
        <v>155</v>
      </c>
      <c r="AW459" t="s">
        <v>545</v>
      </c>
      <c r="AX459" t="s">
        <v>155</v>
      </c>
      <c r="AY459" t="s">
        <v>243</v>
      </c>
      <c r="AZ459" t="s">
        <v>155</v>
      </c>
      <c r="BA459" t="s">
        <v>155</v>
      </c>
      <c r="BB459" t="s">
        <v>155</v>
      </c>
      <c r="BD459">
        <f t="shared" si="44"/>
        <v>0</v>
      </c>
      <c r="BE459">
        <f t="shared" si="45"/>
        <v>0</v>
      </c>
      <c r="BF459">
        <f t="shared" si="46"/>
        <v>0</v>
      </c>
      <c r="BG459">
        <f t="shared" si="47"/>
        <v>0</v>
      </c>
      <c r="BH459">
        <f t="shared" si="48"/>
        <v>0</v>
      </c>
      <c r="BI459">
        <f t="shared" si="49"/>
        <v>0</v>
      </c>
    </row>
    <row r="460" spans="10:61" x14ac:dyDescent="0.3">
      <c r="AG460" t="s">
        <v>714</v>
      </c>
      <c r="BD460">
        <f t="shared" si="44"/>
        <v>0</v>
      </c>
      <c r="BE460">
        <f t="shared" si="45"/>
        <v>0</v>
      </c>
      <c r="BF460">
        <f t="shared" si="46"/>
        <v>0</v>
      </c>
      <c r="BG460">
        <f t="shared" si="47"/>
        <v>0</v>
      </c>
      <c r="BH460">
        <f t="shared" si="48"/>
        <v>0</v>
      </c>
      <c r="BI460">
        <f t="shared" si="49"/>
        <v>0</v>
      </c>
    </row>
    <row r="461" spans="10:61" x14ac:dyDescent="0.3">
      <c r="J461" t="s">
        <v>714</v>
      </c>
      <c r="AH461" s="17" t="s">
        <v>164</v>
      </c>
      <c r="AI461" s="17" t="s">
        <v>165</v>
      </c>
      <c r="AJ461" s="17" t="s">
        <v>166</v>
      </c>
      <c r="AK461" s="17" t="s">
        <v>167</v>
      </c>
      <c r="AL461" s="17" t="s">
        <v>168</v>
      </c>
      <c r="AW461" t="s">
        <v>714</v>
      </c>
      <c r="BD461">
        <f t="shared" si="44"/>
        <v>0</v>
      </c>
      <c r="BE461">
        <f t="shared" si="45"/>
        <v>0</v>
      </c>
      <c r="BF461">
        <f t="shared" si="46"/>
        <v>0</v>
      </c>
      <c r="BG461">
        <f t="shared" si="47"/>
        <v>0</v>
      </c>
      <c r="BH461">
        <f t="shared" si="48"/>
        <v>0</v>
      </c>
      <c r="BI461">
        <f t="shared" si="49"/>
        <v>0</v>
      </c>
    </row>
    <row r="462" spans="10:61" x14ac:dyDescent="0.3">
      <c r="K462" s="17" t="s">
        <v>164</v>
      </c>
      <c r="L462" s="17" t="s">
        <v>165</v>
      </c>
      <c r="M462" s="17" t="s">
        <v>166</v>
      </c>
      <c r="N462" s="17" t="s">
        <v>167</v>
      </c>
      <c r="O462" s="17" t="s">
        <v>168</v>
      </c>
      <c r="AG462" t="s">
        <v>550</v>
      </c>
      <c r="AH462" s="17" t="s">
        <v>155</v>
      </c>
      <c r="AI462" s="17" t="s">
        <v>155</v>
      </c>
      <c r="AJ462" s="17" t="s">
        <v>155</v>
      </c>
      <c r="AK462" s="17" t="s">
        <v>155</v>
      </c>
      <c r="AL462" s="17" t="s">
        <v>8</v>
      </c>
      <c r="AX462" t="s">
        <v>164</v>
      </c>
      <c r="AY462" t="s">
        <v>165</v>
      </c>
      <c r="AZ462" t="s">
        <v>166</v>
      </c>
      <c r="BA462" t="s">
        <v>167</v>
      </c>
      <c r="BB462" t="s">
        <v>168</v>
      </c>
      <c r="BD462">
        <f t="shared" si="44"/>
        <v>0</v>
      </c>
      <c r="BE462">
        <f t="shared" si="45"/>
        <v>0</v>
      </c>
      <c r="BF462">
        <f t="shared" si="46"/>
        <v>0</v>
      </c>
      <c r="BG462">
        <f t="shared" si="47"/>
        <v>0</v>
      </c>
      <c r="BH462">
        <f t="shared" si="48"/>
        <v>0</v>
      </c>
      <c r="BI462">
        <f t="shared" si="49"/>
        <v>0</v>
      </c>
    </row>
    <row r="463" spans="10:61" x14ac:dyDescent="0.3">
      <c r="J463" t="s">
        <v>158</v>
      </c>
      <c r="K463" s="17" t="s">
        <v>155</v>
      </c>
      <c r="L463" s="17" t="s">
        <v>155</v>
      </c>
      <c r="M463" s="17" t="s">
        <v>8</v>
      </c>
      <c r="N463" s="17" t="s">
        <v>155</v>
      </c>
      <c r="O463" s="17" t="s">
        <v>155</v>
      </c>
      <c r="AG463" t="s">
        <v>158</v>
      </c>
      <c r="AH463" s="17" t="s">
        <v>6</v>
      </c>
      <c r="AI463" s="17" t="s">
        <v>155</v>
      </c>
      <c r="AJ463" s="17" t="s">
        <v>8</v>
      </c>
      <c r="AK463" s="17" t="s">
        <v>155</v>
      </c>
      <c r="AL463" s="17" t="s">
        <v>8</v>
      </c>
      <c r="AW463" t="s">
        <v>158</v>
      </c>
      <c r="AX463" t="s">
        <v>155</v>
      </c>
      <c r="AY463" t="s">
        <v>155</v>
      </c>
      <c r="AZ463" t="s">
        <v>8</v>
      </c>
      <c r="BA463" t="s">
        <v>155</v>
      </c>
      <c r="BB463" t="s">
        <v>155</v>
      </c>
      <c r="BD463">
        <f t="shared" si="44"/>
        <v>0</v>
      </c>
      <c r="BE463">
        <f t="shared" si="45"/>
        <v>0</v>
      </c>
      <c r="BF463">
        <f t="shared" si="46"/>
        <v>0</v>
      </c>
      <c r="BG463">
        <f t="shared" si="47"/>
        <v>0</v>
      </c>
      <c r="BH463">
        <f t="shared" si="48"/>
        <v>0</v>
      </c>
      <c r="BI463">
        <f t="shared" si="49"/>
        <v>0</v>
      </c>
    </row>
    <row r="464" spans="10:61" x14ac:dyDescent="0.3">
      <c r="J464" t="s">
        <v>159</v>
      </c>
      <c r="K464" s="17" t="s">
        <v>8</v>
      </c>
      <c r="L464" s="17" t="s">
        <v>155</v>
      </c>
      <c r="M464" s="17" t="s">
        <v>8</v>
      </c>
      <c r="N464" s="17" t="s">
        <v>155</v>
      </c>
      <c r="O464" s="17" t="s">
        <v>155</v>
      </c>
      <c r="AG464" t="s">
        <v>159</v>
      </c>
      <c r="AH464" s="17" t="s">
        <v>6</v>
      </c>
      <c r="AI464" s="17" t="s">
        <v>155</v>
      </c>
      <c r="AJ464" s="17" t="s">
        <v>8</v>
      </c>
      <c r="AK464" s="17" t="s">
        <v>6</v>
      </c>
      <c r="AL464" s="17" t="s">
        <v>155</v>
      </c>
      <c r="AW464" t="s">
        <v>159</v>
      </c>
      <c r="AX464" t="s">
        <v>8</v>
      </c>
      <c r="AY464" t="s">
        <v>155</v>
      </c>
      <c r="AZ464" t="s">
        <v>8</v>
      </c>
      <c r="BA464" t="s">
        <v>155</v>
      </c>
      <c r="BB464" t="s">
        <v>155</v>
      </c>
      <c r="BD464">
        <f t="shared" si="44"/>
        <v>0</v>
      </c>
      <c r="BE464">
        <f t="shared" si="45"/>
        <v>0</v>
      </c>
      <c r="BF464">
        <f t="shared" si="46"/>
        <v>0</v>
      </c>
      <c r="BG464">
        <f t="shared" si="47"/>
        <v>0</v>
      </c>
      <c r="BH464">
        <f t="shared" si="48"/>
        <v>0</v>
      </c>
      <c r="BI464">
        <f t="shared" si="49"/>
        <v>0</v>
      </c>
    </row>
    <row r="465" spans="10:61" x14ac:dyDescent="0.3">
      <c r="J465" t="s">
        <v>160</v>
      </c>
      <c r="K465" s="17" t="s">
        <v>8</v>
      </c>
      <c r="L465" s="17" t="s">
        <v>155</v>
      </c>
      <c r="M465" s="17" t="s">
        <v>8</v>
      </c>
      <c r="N465" s="17" t="s">
        <v>155</v>
      </c>
      <c r="O465" s="17" t="s">
        <v>155</v>
      </c>
      <c r="AG465" t="s">
        <v>160</v>
      </c>
      <c r="AH465" s="17" t="s">
        <v>6</v>
      </c>
      <c r="AI465" s="17" t="s">
        <v>155</v>
      </c>
      <c r="AJ465" s="17" t="s">
        <v>8</v>
      </c>
      <c r="AK465" s="17" t="s">
        <v>6</v>
      </c>
      <c r="AL465" s="17" t="s">
        <v>155</v>
      </c>
      <c r="AW465" t="s">
        <v>160</v>
      </c>
      <c r="AX465" t="s">
        <v>8</v>
      </c>
      <c r="AY465" t="s">
        <v>155</v>
      </c>
      <c r="AZ465" t="s">
        <v>8</v>
      </c>
      <c r="BA465" t="s">
        <v>155</v>
      </c>
      <c r="BB465" t="s">
        <v>155</v>
      </c>
      <c r="BD465">
        <f t="shared" si="44"/>
        <v>0</v>
      </c>
      <c r="BE465">
        <f t="shared" si="45"/>
        <v>0</v>
      </c>
      <c r="BF465">
        <f t="shared" si="46"/>
        <v>0</v>
      </c>
      <c r="BG465">
        <f t="shared" si="47"/>
        <v>0</v>
      </c>
      <c r="BH465">
        <f t="shared" si="48"/>
        <v>0</v>
      </c>
      <c r="BI465">
        <f t="shared" si="49"/>
        <v>0</v>
      </c>
    </row>
    <row r="466" spans="10:61" x14ac:dyDescent="0.3">
      <c r="J466" t="s">
        <v>555</v>
      </c>
      <c r="K466" s="17" t="s">
        <v>155</v>
      </c>
      <c r="L466" s="17" t="s">
        <v>155</v>
      </c>
      <c r="M466" s="17" t="s">
        <v>279</v>
      </c>
      <c r="N466" s="17" t="s">
        <v>155</v>
      </c>
      <c r="O466" s="17" t="s">
        <v>279</v>
      </c>
      <c r="AG466" t="s">
        <v>555</v>
      </c>
      <c r="AH466" s="17" t="s">
        <v>155</v>
      </c>
      <c r="AI466" s="17" t="s">
        <v>155</v>
      </c>
      <c r="AJ466" s="17" t="s">
        <v>279</v>
      </c>
      <c r="AK466" s="17" t="s">
        <v>155</v>
      </c>
      <c r="AL466" s="17" t="s">
        <v>279</v>
      </c>
      <c r="AW466" t="s">
        <v>555</v>
      </c>
      <c r="AX466" t="s">
        <v>155</v>
      </c>
      <c r="AY466" t="s">
        <v>155</v>
      </c>
      <c r="AZ466" t="s">
        <v>279</v>
      </c>
      <c r="BA466" t="s">
        <v>155</v>
      </c>
      <c r="BB466" t="s">
        <v>279</v>
      </c>
      <c r="BD466">
        <f t="shared" si="44"/>
        <v>0</v>
      </c>
      <c r="BE466">
        <f t="shared" si="45"/>
        <v>0</v>
      </c>
      <c r="BF466">
        <f t="shared" si="46"/>
        <v>0</v>
      </c>
      <c r="BG466">
        <f t="shared" si="47"/>
        <v>0</v>
      </c>
      <c r="BH466">
        <f t="shared" si="48"/>
        <v>0</v>
      </c>
      <c r="BI466">
        <f t="shared" si="49"/>
        <v>0</v>
      </c>
    </row>
    <row r="467" spans="10:61" x14ac:dyDescent="0.3">
      <c r="J467" t="s">
        <v>556</v>
      </c>
      <c r="K467" s="17" t="s">
        <v>155</v>
      </c>
      <c r="L467" s="17" t="s">
        <v>155</v>
      </c>
      <c r="M467" s="17" t="s">
        <v>279</v>
      </c>
      <c r="N467" s="17" t="s">
        <v>155</v>
      </c>
      <c r="O467" s="17" t="s">
        <v>279</v>
      </c>
      <c r="AG467" t="s">
        <v>556</v>
      </c>
      <c r="AH467" s="17" t="s">
        <v>155</v>
      </c>
      <c r="AI467" s="17" t="s">
        <v>155</v>
      </c>
      <c r="AJ467" s="17" t="s">
        <v>279</v>
      </c>
      <c r="AK467" s="17" t="s">
        <v>155</v>
      </c>
      <c r="AL467" s="17" t="s">
        <v>279</v>
      </c>
      <c r="AW467" t="s">
        <v>556</v>
      </c>
      <c r="AX467" t="s">
        <v>155</v>
      </c>
      <c r="AY467" t="s">
        <v>155</v>
      </c>
      <c r="AZ467" t="s">
        <v>279</v>
      </c>
      <c r="BA467" t="s">
        <v>155</v>
      </c>
      <c r="BB467" t="s">
        <v>279</v>
      </c>
      <c r="BD467">
        <f t="shared" si="44"/>
        <v>0</v>
      </c>
      <c r="BE467">
        <f t="shared" si="45"/>
        <v>0</v>
      </c>
      <c r="BF467">
        <f t="shared" si="46"/>
        <v>0</v>
      </c>
      <c r="BG467">
        <f t="shared" si="47"/>
        <v>0</v>
      </c>
      <c r="BH467">
        <f t="shared" si="48"/>
        <v>0</v>
      </c>
      <c r="BI467">
        <f t="shared" si="49"/>
        <v>0</v>
      </c>
    </row>
    <row r="468" spans="10:61" x14ac:dyDescent="0.3">
      <c r="BD468">
        <f t="shared" si="44"/>
        <v>0</v>
      </c>
      <c r="BE468">
        <f t="shared" si="45"/>
        <v>0</v>
      </c>
      <c r="BF468">
        <f t="shared" si="46"/>
        <v>0</v>
      </c>
      <c r="BG468">
        <f t="shared" si="47"/>
        <v>0</v>
      </c>
      <c r="BH468">
        <f t="shared" si="48"/>
        <v>0</v>
      </c>
      <c r="BI468">
        <f t="shared" si="49"/>
        <v>0</v>
      </c>
    </row>
    <row r="469" spans="10:61" x14ac:dyDescent="0.3">
      <c r="J469" t="s">
        <v>955</v>
      </c>
      <c r="AG469" t="s">
        <v>955</v>
      </c>
      <c r="AW469" t="s">
        <v>955</v>
      </c>
      <c r="BD469">
        <f t="shared" si="44"/>
        <v>0</v>
      </c>
      <c r="BE469">
        <f t="shared" si="45"/>
        <v>0</v>
      </c>
      <c r="BF469">
        <f t="shared" si="46"/>
        <v>0</v>
      </c>
      <c r="BG469">
        <f t="shared" si="47"/>
        <v>0</v>
      </c>
      <c r="BH469">
        <f t="shared" si="48"/>
        <v>0</v>
      </c>
      <c r="BI469">
        <f t="shared" si="49"/>
        <v>0</v>
      </c>
    </row>
    <row r="470" spans="10:61" x14ac:dyDescent="0.3">
      <c r="K470" s="17" t="s">
        <v>164</v>
      </c>
      <c r="L470" s="17" t="s">
        <v>165</v>
      </c>
      <c r="M470" s="17" t="s">
        <v>166</v>
      </c>
      <c r="N470" s="17" t="s">
        <v>167</v>
      </c>
      <c r="O470" s="17" t="s">
        <v>168</v>
      </c>
      <c r="AH470" s="17" t="s">
        <v>164</v>
      </c>
      <c r="AI470" s="17" t="s">
        <v>165</v>
      </c>
      <c r="AJ470" s="17" t="s">
        <v>166</v>
      </c>
      <c r="AK470" s="17" t="s">
        <v>167</v>
      </c>
      <c r="AL470" s="17" t="s">
        <v>168</v>
      </c>
      <c r="AX470" t="s">
        <v>164</v>
      </c>
      <c r="AY470" t="s">
        <v>165</v>
      </c>
      <c r="AZ470" t="s">
        <v>166</v>
      </c>
      <c r="BA470" t="s">
        <v>167</v>
      </c>
      <c r="BB470" t="s">
        <v>168</v>
      </c>
      <c r="BD470">
        <f t="shared" si="44"/>
        <v>0</v>
      </c>
      <c r="BE470">
        <f t="shared" si="45"/>
        <v>0</v>
      </c>
      <c r="BF470">
        <f t="shared" si="46"/>
        <v>0</v>
      </c>
      <c r="BG470">
        <f t="shared" si="47"/>
        <v>0</v>
      </c>
      <c r="BH470">
        <f t="shared" si="48"/>
        <v>0</v>
      </c>
      <c r="BI470">
        <f t="shared" si="49"/>
        <v>0</v>
      </c>
    </row>
    <row r="471" spans="10:61" x14ac:dyDescent="0.3">
      <c r="J471" t="s">
        <v>544</v>
      </c>
      <c r="K471" s="17" t="s">
        <v>155</v>
      </c>
      <c r="L471" s="17" t="s">
        <v>155</v>
      </c>
      <c r="M471" s="17" t="s">
        <v>662</v>
      </c>
      <c r="N471" s="17" t="s">
        <v>155</v>
      </c>
      <c r="O471" s="17" t="s">
        <v>155</v>
      </c>
      <c r="AG471" t="s">
        <v>544</v>
      </c>
      <c r="AH471" s="17" t="s">
        <v>155</v>
      </c>
      <c r="AI471" s="17" t="s">
        <v>155</v>
      </c>
      <c r="AJ471" s="17" t="s">
        <v>662</v>
      </c>
      <c r="AK471" s="17" t="s">
        <v>155</v>
      </c>
      <c r="AL471" s="17" t="s">
        <v>155</v>
      </c>
      <c r="AW471" t="s">
        <v>544</v>
      </c>
      <c r="AX471" t="s">
        <v>155</v>
      </c>
      <c r="AY471" t="s">
        <v>155</v>
      </c>
      <c r="AZ471" t="s">
        <v>662</v>
      </c>
      <c r="BA471" t="s">
        <v>155</v>
      </c>
      <c r="BB471" t="s">
        <v>155</v>
      </c>
      <c r="BD471">
        <f t="shared" si="44"/>
        <v>0</v>
      </c>
      <c r="BE471">
        <f t="shared" si="45"/>
        <v>0</v>
      </c>
      <c r="BF471">
        <f t="shared" si="46"/>
        <v>0</v>
      </c>
      <c r="BG471">
        <f t="shared" si="47"/>
        <v>0</v>
      </c>
      <c r="BH471">
        <f t="shared" si="48"/>
        <v>0</v>
      </c>
      <c r="BI471">
        <f t="shared" si="49"/>
        <v>0</v>
      </c>
    </row>
    <row r="472" spans="10:61" x14ac:dyDescent="0.3">
      <c r="J472" t="s">
        <v>545</v>
      </c>
      <c r="K472" s="17" t="s">
        <v>155</v>
      </c>
      <c r="L472" s="17" t="s">
        <v>155</v>
      </c>
      <c r="M472" s="17" t="s">
        <v>662</v>
      </c>
      <c r="N472" s="17" t="s">
        <v>155</v>
      </c>
      <c r="O472" s="17" t="s">
        <v>155</v>
      </c>
      <c r="AG472" t="s">
        <v>545</v>
      </c>
      <c r="AH472" s="17" t="s">
        <v>155</v>
      </c>
      <c r="AI472" s="17" t="s">
        <v>155</v>
      </c>
      <c r="AJ472" s="17" t="s">
        <v>662</v>
      </c>
      <c r="AK472" s="17" t="s">
        <v>155</v>
      </c>
      <c r="AL472" s="17" t="s">
        <v>155</v>
      </c>
      <c r="AW472" t="s">
        <v>545</v>
      </c>
      <c r="AX472" t="s">
        <v>155</v>
      </c>
      <c r="AY472" t="s">
        <v>155</v>
      </c>
      <c r="AZ472" t="s">
        <v>662</v>
      </c>
      <c r="BA472" t="s">
        <v>155</v>
      </c>
      <c r="BB472" t="s">
        <v>155</v>
      </c>
      <c r="BD472">
        <f t="shared" si="44"/>
        <v>0</v>
      </c>
      <c r="BE472">
        <f t="shared" si="45"/>
        <v>0</v>
      </c>
      <c r="BF472">
        <f t="shared" si="46"/>
        <v>0</v>
      </c>
      <c r="BG472">
        <f t="shared" si="47"/>
        <v>0</v>
      </c>
      <c r="BH472">
        <f t="shared" si="48"/>
        <v>0</v>
      </c>
      <c r="BI472">
        <f t="shared" si="49"/>
        <v>0</v>
      </c>
    </row>
    <row r="473" spans="10:61" x14ac:dyDescent="0.3">
      <c r="BD473">
        <f t="shared" si="44"/>
        <v>0</v>
      </c>
      <c r="BE473">
        <f t="shared" si="45"/>
        <v>0</v>
      </c>
      <c r="BF473">
        <f t="shared" si="46"/>
        <v>0</v>
      </c>
      <c r="BG473">
        <f t="shared" si="47"/>
        <v>0</v>
      </c>
      <c r="BH473">
        <f t="shared" si="48"/>
        <v>0</v>
      </c>
      <c r="BI473">
        <f t="shared" si="49"/>
        <v>0</v>
      </c>
    </row>
    <row r="474" spans="10:61" x14ac:dyDescent="0.3">
      <c r="J474" t="s">
        <v>834</v>
      </c>
      <c r="AG474" t="s">
        <v>834</v>
      </c>
      <c r="AW474" t="s">
        <v>834</v>
      </c>
      <c r="BD474">
        <f t="shared" si="44"/>
        <v>0</v>
      </c>
      <c r="BE474">
        <f t="shared" si="45"/>
        <v>0</v>
      </c>
      <c r="BF474">
        <f t="shared" si="46"/>
        <v>0</v>
      </c>
      <c r="BG474">
        <f t="shared" si="47"/>
        <v>0</v>
      </c>
      <c r="BH474">
        <f t="shared" si="48"/>
        <v>0</v>
      </c>
      <c r="BI474">
        <f t="shared" si="49"/>
        <v>0</v>
      </c>
    </row>
    <row r="475" spans="10:61" x14ac:dyDescent="0.3">
      <c r="K475" s="17" t="s">
        <v>164</v>
      </c>
      <c r="L475" s="17" t="s">
        <v>165</v>
      </c>
      <c r="M475" s="17" t="s">
        <v>166</v>
      </c>
      <c r="N475" s="17" t="s">
        <v>167</v>
      </c>
      <c r="O475" s="17" t="s">
        <v>168</v>
      </c>
      <c r="AH475" s="17" t="s">
        <v>164</v>
      </c>
      <c r="AI475" s="17" t="s">
        <v>165</v>
      </c>
      <c r="AJ475" s="17" t="s">
        <v>166</v>
      </c>
      <c r="AK475" s="17" t="s">
        <v>167</v>
      </c>
      <c r="AL475" s="17" t="s">
        <v>168</v>
      </c>
      <c r="AX475" t="s">
        <v>164</v>
      </c>
      <c r="AY475" t="s">
        <v>165</v>
      </c>
      <c r="AZ475" t="s">
        <v>166</v>
      </c>
      <c r="BA475" t="s">
        <v>167</v>
      </c>
      <c r="BB475" t="s">
        <v>168</v>
      </c>
      <c r="BD475">
        <f t="shared" si="44"/>
        <v>0</v>
      </c>
      <c r="BE475">
        <f t="shared" si="45"/>
        <v>0</v>
      </c>
      <c r="BF475">
        <f t="shared" si="46"/>
        <v>0</v>
      </c>
      <c r="BG475">
        <f t="shared" si="47"/>
        <v>0</v>
      </c>
      <c r="BH475">
        <f t="shared" si="48"/>
        <v>0</v>
      </c>
      <c r="BI475">
        <f t="shared" si="49"/>
        <v>0</v>
      </c>
    </row>
    <row r="476" spans="10:61" x14ac:dyDescent="0.3">
      <c r="J476" t="s">
        <v>555</v>
      </c>
      <c r="K476" s="17" t="s">
        <v>395</v>
      </c>
      <c r="L476" s="17" t="s">
        <v>155</v>
      </c>
      <c r="M476" s="17" t="s">
        <v>155</v>
      </c>
      <c r="N476" s="17" t="s">
        <v>155</v>
      </c>
      <c r="O476" s="17" t="s">
        <v>395</v>
      </c>
      <c r="AG476" t="s">
        <v>555</v>
      </c>
      <c r="AH476" s="17" t="s">
        <v>395</v>
      </c>
      <c r="AI476" s="17" t="s">
        <v>155</v>
      </c>
      <c r="AJ476" s="17" t="s">
        <v>155</v>
      </c>
      <c r="AK476" s="17" t="s">
        <v>155</v>
      </c>
      <c r="AL476" s="17" t="s">
        <v>395</v>
      </c>
      <c r="AW476" t="s">
        <v>555</v>
      </c>
      <c r="AX476" t="s">
        <v>395</v>
      </c>
      <c r="AY476" t="s">
        <v>155</v>
      </c>
      <c r="AZ476" t="s">
        <v>155</v>
      </c>
      <c r="BA476" t="s">
        <v>155</v>
      </c>
      <c r="BB476" t="s">
        <v>395</v>
      </c>
      <c r="BD476">
        <f t="shared" si="44"/>
        <v>0</v>
      </c>
      <c r="BE476">
        <f t="shared" si="45"/>
        <v>0</v>
      </c>
      <c r="BF476">
        <f t="shared" si="46"/>
        <v>0</v>
      </c>
      <c r="BG476">
        <f t="shared" si="47"/>
        <v>0</v>
      </c>
      <c r="BH476">
        <f t="shared" si="48"/>
        <v>0</v>
      </c>
      <c r="BI476">
        <f t="shared" si="49"/>
        <v>0</v>
      </c>
    </row>
    <row r="477" spans="10:61" x14ac:dyDescent="0.3">
      <c r="J477" t="s">
        <v>556</v>
      </c>
      <c r="K477" s="17" t="s">
        <v>395</v>
      </c>
      <c r="L477" s="17" t="s">
        <v>155</v>
      </c>
      <c r="M477" s="17" t="s">
        <v>155</v>
      </c>
      <c r="N477" s="17" t="s">
        <v>155</v>
      </c>
      <c r="O477" s="17" t="s">
        <v>395</v>
      </c>
      <c r="AG477" t="s">
        <v>556</v>
      </c>
      <c r="AH477" s="17" t="s">
        <v>395</v>
      </c>
      <c r="AI477" s="17" t="s">
        <v>155</v>
      </c>
      <c r="AJ477" s="17" t="s">
        <v>155</v>
      </c>
      <c r="AK477" s="17" t="s">
        <v>155</v>
      </c>
      <c r="AL477" s="17" t="s">
        <v>395</v>
      </c>
      <c r="AW477" t="s">
        <v>556</v>
      </c>
      <c r="AX477" t="s">
        <v>395</v>
      </c>
      <c r="AY477" t="s">
        <v>155</v>
      </c>
      <c r="AZ477" t="s">
        <v>155</v>
      </c>
      <c r="BA477" t="s">
        <v>155</v>
      </c>
      <c r="BB477" t="s">
        <v>395</v>
      </c>
      <c r="BD477">
        <f t="shared" si="44"/>
        <v>0</v>
      </c>
      <c r="BE477">
        <f t="shared" si="45"/>
        <v>0</v>
      </c>
      <c r="BF477">
        <f t="shared" si="46"/>
        <v>0</v>
      </c>
      <c r="BG477">
        <f t="shared" si="47"/>
        <v>0</v>
      </c>
      <c r="BH477">
        <f t="shared" si="48"/>
        <v>0</v>
      </c>
      <c r="BI477">
        <f t="shared" si="49"/>
        <v>0</v>
      </c>
    </row>
    <row r="478" spans="10:61" x14ac:dyDescent="0.3">
      <c r="J478" t="s">
        <v>557</v>
      </c>
      <c r="K478" s="17" t="s">
        <v>155</v>
      </c>
      <c r="L478" s="17" t="s">
        <v>155</v>
      </c>
      <c r="M478" s="17" t="s">
        <v>155</v>
      </c>
      <c r="N478" s="17" t="s">
        <v>155</v>
      </c>
      <c r="O478" s="17" t="s">
        <v>395</v>
      </c>
      <c r="AG478" t="s">
        <v>557</v>
      </c>
      <c r="AH478" s="17" t="s">
        <v>155</v>
      </c>
      <c r="AI478" s="17" t="s">
        <v>155</v>
      </c>
      <c r="AJ478" s="17" t="s">
        <v>155</v>
      </c>
      <c r="AK478" s="17" t="s">
        <v>155</v>
      </c>
      <c r="AL478" s="17" t="s">
        <v>395</v>
      </c>
      <c r="AW478" t="s">
        <v>557</v>
      </c>
      <c r="AX478" t="s">
        <v>155</v>
      </c>
      <c r="AY478" t="s">
        <v>155</v>
      </c>
      <c r="AZ478" t="s">
        <v>155</v>
      </c>
      <c r="BA478" t="s">
        <v>155</v>
      </c>
      <c r="BB478" t="s">
        <v>395</v>
      </c>
      <c r="BD478">
        <f t="shared" si="44"/>
        <v>0</v>
      </c>
      <c r="BE478">
        <f t="shared" si="45"/>
        <v>0</v>
      </c>
      <c r="BF478">
        <f t="shared" si="46"/>
        <v>0</v>
      </c>
      <c r="BG478">
        <f t="shared" si="47"/>
        <v>0</v>
      </c>
      <c r="BH478">
        <f t="shared" si="48"/>
        <v>0</v>
      </c>
      <c r="BI478">
        <f t="shared" si="49"/>
        <v>0</v>
      </c>
    </row>
    <row r="479" spans="10:61" x14ac:dyDescent="0.3">
      <c r="BD479">
        <f t="shared" si="44"/>
        <v>0</v>
      </c>
      <c r="BE479">
        <f t="shared" si="45"/>
        <v>0</v>
      </c>
      <c r="BF479">
        <f t="shared" si="46"/>
        <v>0</v>
      </c>
      <c r="BG479">
        <f t="shared" si="47"/>
        <v>0</v>
      </c>
      <c r="BH479">
        <f t="shared" si="48"/>
        <v>0</v>
      </c>
      <c r="BI479">
        <f t="shared" si="49"/>
        <v>0</v>
      </c>
    </row>
    <row r="480" spans="10:61" x14ac:dyDescent="0.3">
      <c r="J480" t="s">
        <v>712</v>
      </c>
      <c r="AG480" t="s">
        <v>712</v>
      </c>
      <c r="AW480" t="s">
        <v>712</v>
      </c>
      <c r="BD480">
        <f t="shared" si="44"/>
        <v>0</v>
      </c>
      <c r="BE480">
        <f t="shared" si="45"/>
        <v>0</v>
      </c>
      <c r="BF480">
        <f t="shared" si="46"/>
        <v>0</v>
      </c>
      <c r="BG480">
        <f t="shared" si="47"/>
        <v>0</v>
      </c>
      <c r="BH480">
        <f t="shared" si="48"/>
        <v>0</v>
      </c>
      <c r="BI480">
        <f t="shared" si="49"/>
        <v>0</v>
      </c>
    </row>
    <row r="481" spans="10:61" x14ac:dyDescent="0.3">
      <c r="K481" s="17" t="s">
        <v>164</v>
      </c>
      <c r="L481" s="17" t="s">
        <v>165</v>
      </c>
      <c r="M481" s="17" t="s">
        <v>166</v>
      </c>
      <c r="N481" s="17" t="s">
        <v>167</v>
      </c>
      <c r="O481" s="17" t="s">
        <v>168</v>
      </c>
      <c r="AH481" s="17" t="s">
        <v>164</v>
      </c>
      <c r="AI481" s="17" t="s">
        <v>165</v>
      </c>
      <c r="AJ481" s="17" t="s">
        <v>166</v>
      </c>
      <c r="AK481" s="17" t="s">
        <v>167</v>
      </c>
      <c r="AL481" s="17" t="s">
        <v>168</v>
      </c>
      <c r="AX481" t="s">
        <v>164</v>
      </c>
      <c r="AY481" t="s">
        <v>165</v>
      </c>
      <c r="AZ481" t="s">
        <v>166</v>
      </c>
      <c r="BA481" t="s">
        <v>167</v>
      </c>
      <c r="BB481" t="s">
        <v>168</v>
      </c>
      <c r="BD481">
        <f t="shared" si="44"/>
        <v>0</v>
      </c>
      <c r="BE481">
        <f t="shared" si="45"/>
        <v>0</v>
      </c>
      <c r="BF481">
        <f t="shared" si="46"/>
        <v>0</v>
      </c>
      <c r="BG481">
        <f t="shared" si="47"/>
        <v>0</v>
      </c>
      <c r="BH481">
        <f t="shared" si="48"/>
        <v>0</v>
      </c>
      <c r="BI481">
        <f t="shared" si="49"/>
        <v>0</v>
      </c>
    </row>
    <row r="482" spans="10:61" x14ac:dyDescent="0.3">
      <c r="J482" t="s">
        <v>542</v>
      </c>
      <c r="K482" s="17" t="s">
        <v>155</v>
      </c>
      <c r="L482" s="17" t="s">
        <v>155</v>
      </c>
      <c r="M482" s="17" t="s">
        <v>155</v>
      </c>
      <c r="N482" s="17" t="s">
        <v>77</v>
      </c>
      <c r="O482" s="17" t="s">
        <v>155</v>
      </c>
      <c r="AG482" t="s">
        <v>542</v>
      </c>
      <c r="AH482" s="17" t="s">
        <v>155</v>
      </c>
      <c r="AI482" s="17" t="s">
        <v>155</v>
      </c>
      <c r="AJ482" s="17" t="s">
        <v>155</v>
      </c>
      <c r="AK482" s="17" t="s">
        <v>77</v>
      </c>
      <c r="AL482" s="17" t="s">
        <v>155</v>
      </c>
      <c r="AW482" t="s">
        <v>542</v>
      </c>
      <c r="AX482" t="s">
        <v>155</v>
      </c>
      <c r="AY482" t="s">
        <v>155</v>
      </c>
      <c r="AZ482" t="s">
        <v>155</v>
      </c>
      <c r="BA482" t="s">
        <v>77</v>
      </c>
      <c r="BB482" t="s">
        <v>155</v>
      </c>
      <c r="BD482">
        <f t="shared" si="44"/>
        <v>0</v>
      </c>
      <c r="BE482">
        <f t="shared" si="45"/>
        <v>0</v>
      </c>
      <c r="BF482">
        <f t="shared" si="46"/>
        <v>0</v>
      </c>
      <c r="BG482">
        <f t="shared" si="47"/>
        <v>0</v>
      </c>
      <c r="BH482">
        <f t="shared" si="48"/>
        <v>0</v>
      </c>
      <c r="BI482">
        <f t="shared" si="49"/>
        <v>0</v>
      </c>
    </row>
    <row r="483" spans="10:61" x14ac:dyDescent="0.3">
      <c r="J483" t="s">
        <v>543</v>
      </c>
      <c r="K483" s="17" t="s">
        <v>155</v>
      </c>
      <c r="L483" s="17" t="s">
        <v>155</v>
      </c>
      <c r="M483" s="17" t="s">
        <v>155</v>
      </c>
      <c r="N483" s="17" t="s">
        <v>77</v>
      </c>
      <c r="O483" s="17" t="s">
        <v>155</v>
      </c>
      <c r="AG483" t="s">
        <v>543</v>
      </c>
      <c r="AH483" s="17" t="s">
        <v>155</v>
      </c>
      <c r="AI483" s="17" t="s">
        <v>155</v>
      </c>
      <c r="AJ483" s="17" t="s">
        <v>155</v>
      </c>
      <c r="AK483" s="17" t="s">
        <v>77</v>
      </c>
      <c r="AL483" s="17" t="s">
        <v>155</v>
      </c>
      <c r="AW483" t="s">
        <v>543</v>
      </c>
      <c r="AX483" t="s">
        <v>155</v>
      </c>
      <c r="AY483" t="s">
        <v>155</v>
      </c>
      <c r="AZ483" t="s">
        <v>155</v>
      </c>
      <c r="BA483" t="s">
        <v>77</v>
      </c>
      <c r="BB483" t="s">
        <v>155</v>
      </c>
      <c r="BD483">
        <f t="shared" si="44"/>
        <v>0</v>
      </c>
      <c r="BE483">
        <f t="shared" si="45"/>
        <v>0</v>
      </c>
      <c r="BF483">
        <f t="shared" si="46"/>
        <v>0</v>
      </c>
      <c r="BG483">
        <f t="shared" si="47"/>
        <v>0</v>
      </c>
      <c r="BH483">
        <f t="shared" si="48"/>
        <v>0</v>
      </c>
      <c r="BI483">
        <f t="shared" si="49"/>
        <v>0</v>
      </c>
    </row>
    <row r="484" spans="10:61" x14ac:dyDescent="0.3">
      <c r="BD484">
        <f t="shared" si="44"/>
        <v>0</v>
      </c>
      <c r="BE484">
        <f t="shared" si="45"/>
        <v>0</v>
      </c>
      <c r="BF484">
        <f t="shared" si="46"/>
        <v>0</v>
      </c>
      <c r="BG484">
        <f t="shared" si="47"/>
        <v>0</v>
      </c>
      <c r="BH484">
        <f t="shared" si="48"/>
        <v>0</v>
      </c>
      <c r="BI484">
        <f t="shared" si="49"/>
        <v>0</v>
      </c>
    </row>
    <row r="485" spans="10:61" x14ac:dyDescent="0.3">
      <c r="J485" t="s">
        <v>835</v>
      </c>
      <c r="AG485" t="s">
        <v>835</v>
      </c>
      <c r="AW485" t="s">
        <v>835</v>
      </c>
      <c r="BD485">
        <f t="shared" si="44"/>
        <v>0</v>
      </c>
      <c r="BE485">
        <f t="shared" si="45"/>
        <v>0</v>
      </c>
      <c r="BF485">
        <f t="shared" si="46"/>
        <v>0</v>
      </c>
      <c r="BG485">
        <f t="shared" si="47"/>
        <v>0</v>
      </c>
      <c r="BH485">
        <f t="shared" si="48"/>
        <v>0</v>
      </c>
      <c r="BI485">
        <f t="shared" si="49"/>
        <v>0</v>
      </c>
    </row>
    <row r="486" spans="10:61" x14ac:dyDescent="0.3">
      <c r="K486" s="17" t="s">
        <v>164</v>
      </c>
      <c r="L486" s="17" t="s">
        <v>165</v>
      </c>
      <c r="M486" s="17" t="s">
        <v>166</v>
      </c>
      <c r="N486" s="17" t="s">
        <v>167</v>
      </c>
      <c r="O486" s="17" t="s">
        <v>168</v>
      </c>
      <c r="AH486" s="17" t="s">
        <v>164</v>
      </c>
      <c r="AI486" s="17" t="s">
        <v>165</v>
      </c>
      <c r="AJ486" s="17" t="s">
        <v>166</v>
      </c>
      <c r="AK486" s="17" t="s">
        <v>167</v>
      </c>
      <c r="AL486" s="17" t="s">
        <v>168</v>
      </c>
      <c r="AX486" t="s">
        <v>164</v>
      </c>
      <c r="AY486" t="s">
        <v>165</v>
      </c>
      <c r="AZ486" t="s">
        <v>166</v>
      </c>
      <c r="BA486" t="s">
        <v>167</v>
      </c>
      <c r="BB486" t="s">
        <v>168</v>
      </c>
      <c r="BD486">
        <f t="shared" si="44"/>
        <v>0</v>
      </c>
      <c r="BE486">
        <f t="shared" si="45"/>
        <v>0</v>
      </c>
      <c r="BF486">
        <f t="shared" si="46"/>
        <v>0</v>
      </c>
      <c r="BG486">
        <f t="shared" si="47"/>
        <v>0</v>
      </c>
      <c r="BH486">
        <f t="shared" si="48"/>
        <v>0</v>
      </c>
      <c r="BI486">
        <f t="shared" si="49"/>
        <v>0</v>
      </c>
    </row>
    <row r="487" spans="10:61" x14ac:dyDescent="0.3">
      <c r="J487" t="s">
        <v>542</v>
      </c>
      <c r="K487" s="17" t="s">
        <v>462</v>
      </c>
      <c r="L487" s="17" t="s">
        <v>155</v>
      </c>
      <c r="M487" s="17" t="s">
        <v>155</v>
      </c>
      <c r="N487" s="17" t="s">
        <v>462</v>
      </c>
      <c r="O487" s="17" t="s">
        <v>155</v>
      </c>
      <c r="AG487" t="s">
        <v>542</v>
      </c>
      <c r="AH487" s="17" t="s">
        <v>462</v>
      </c>
      <c r="AI487" s="17" t="s">
        <v>155</v>
      </c>
      <c r="AJ487" s="17" t="s">
        <v>155</v>
      </c>
      <c r="AK487" s="17" t="s">
        <v>462</v>
      </c>
      <c r="AL487" s="17" t="s">
        <v>155</v>
      </c>
      <c r="AW487" t="s">
        <v>542</v>
      </c>
      <c r="AX487" t="s">
        <v>462</v>
      </c>
      <c r="AY487" t="s">
        <v>155</v>
      </c>
      <c r="AZ487" t="s">
        <v>155</v>
      </c>
      <c r="BA487" t="s">
        <v>462</v>
      </c>
      <c r="BB487" t="s">
        <v>155</v>
      </c>
      <c r="BD487">
        <f t="shared" si="44"/>
        <v>0</v>
      </c>
      <c r="BE487">
        <f t="shared" si="45"/>
        <v>0</v>
      </c>
      <c r="BF487">
        <f t="shared" si="46"/>
        <v>0</v>
      </c>
      <c r="BG487">
        <f t="shared" si="47"/>
        <v>0</v>
      </c>
      <c r="BH487">
        <f t="shared" si="48"/>
        <v>0</v>
      </c>
      <c r="BI487">
        <f t="shared" si="49"/>
        <v>0</v>
      </c>
    </row>
    <row r="488" spans="10:61" x14ac:dyDescent="0.3">
      <c r="J488" t="s">
        <v>543</v>
      </c>
      <c r="K488" s="17" t="s">
        <v>462</v>
      </c>
      <c r="L488" s="17" t="s">
        <v>155</v>
      </c>
      <c r="M488" s="17" t="s">
        <v>155</v>
      </c>
      <c r="N488" s="17" t="s">
        <v>462</v>
      </c>
      <c r="O488" s="17" t="s">
        <v>155</v>
      </c>
      <c r="AG488" t="s">
        <v>543</v>
      </c>
      <c r="AH488" s="17" t="s">
        <v>462</v>
      </c>
      <c r="AI488" s="17" t="s">
        <v>155</v>
      </c>
      <c r="AJ488" s="17" t="s">
        <v>155</v>
      </c>
      <c r="AK488" s="17" t="s">
        <v>462</v>
      </c>
      <c r="AL488" s="17" t="s">
        <v>155</v>
      </c>
      <c r="AW488" t="s">
        <v>543</v>
      </c>
      <c r="AX488" t="s">
        <v>462</v>
      </c>
      <c r="AY488" t="s">
        <v>155</v>
      </c>
      <c r="AZ488" t="s">
        <v>155</v>
      </c>
      <c r="BA488" t="s">
        <v>462</v>
      </c>
      <c r="BB488" t="s">
        <v>155</v>
      </c>
      <c r="BD488">
        <f t="shared" si="44"/>
        <v>0</v>
      </c>
      <c r="BE488">
        <f t="shared" si="45"/>
        <v>0</v>
      </c>
      <c r="BF488">
        <f t="shared" si="46"/>
        <v>0</v>
      </c>
      <c r="BG488">
        <f t="shared" si="47"/>
        <v>0</v>
      </c>
      <c r="BH488">
        <f t="shared" si="48"/>
        <v>0</v>
      </c>
      <c r="BI488">
        <f t="shared" si="49"/>
        <v>0</v>
      </c>
    </row>
    <row r="489" spans="10:61" x14ac:dyDescent="0.3">
      <c r="J489" t="s">
        <v>544</v>
      </c>
      <c r="K489" s="17" t="s">
        <v>155</v>
      </c>
      <c r="L489" s="17" t="s">
        <v>155</v>
      </c>
      <c r="M489" s="17" t="s">
        <v>155</v>
      </c>
      <c r="N489" s="17" t="s">
        <v>462</v>
      </c>
      <c r="O489" s="17" t="s">
        <v>155</v>
      </c>
      <c r="AG489" t="s">
        <v>544</v>
      </c>
      <c r="AH489" s="17" t="s">
        <v>155</v>
      </c>
      <c r="AI489" s="17" t="s">
        <v>155</v>
      </c>
      <c r="AJ489" s="17" t="s">
        <v>155</v>
      </c>
      <c r="AK489" s="17" t="s">
        <v>462</v>
      </c>
      <c r="AL489" s="17" t="s">
        <v>155</v>
      </c>
      <c r="AW489" t="s">
        <v>544</v>
      </c>
      <c r="AX489" t="s">
        <v>155</v>
      </c>
      <c r="AY489" t="s">
        <v>155</v>
      </c>
      <c r="AZ489" t="s">
        <v>155</v>
      </c>
      <c r="BA489" t="s">
        <v>462</v>
      </c>
      <c r="BB489" t="s">
        <v>155</v>
      </c>
      <c r="BD489">
        <f t="shared" si="44"/>
        <v>0</v>
      </c>
      <c r="BE489">
        <f t="shared" si="45"/>
        <v>0</v>
      </c>
      <c r="BF489">
        <f t="shared" si="46"/>
        <v>0</v>
      </c>
      <c r="BG489">
        <f t="shared" si="47"/>
        <v>0</v>
      </c>
      <c r="BH489">
        <f t="shared" si="48"/>
        <v>0</v>
      </c>
      <c r="BI489">
        <f t="shared" si="49"/>
        <v>0</v>
      </c>
    </row>
    <row r="490" spans="10:61" x14ac:dyDescent="0.3">
      <c r="BD490">
        <f t="shared" si="44"/>
        <v>0</v>
      </c>
      <c r="BE490">
        <f t="shared" si="45"/>
        <v>0</v>
      </c>
      <c r="BF490">
        <f t="shared" si="46"/>
        <v>0</v>
      </c>
      <c r="BG490">
        <f t="shared" si="47"/>
        <v>0</v>
      </c>
      <c r="BH490">
        <f t="shared" si="48"/>
        <v>0</v>
      </c>
      <c r="BI490">
        <f t="shared" si="49"/>
        <v>0</v>
      </c>
    </row>
    <row r="491" spans="10:61" x14ac:dyDescent="0.3">
      <c r="J491" t="s">
        <v>836</v>
      </c>
      <c r="AG491" t="s">
        <v>836</v>
      </c>
      <c r="AW491" t="s">
        <v>836</v>
      </c>
      <c r="BD491">
        <f t="shared" si="44"/>
        <v>0</v>
      </c>
      <c r="BE491">
        <f t="shared" si="45"/>
        <v>0</v>
      </c>
      <c r="BF491">
        <f t="shared" si="46"/>
        <v>0</v>
      </c>
      <c r="BG491">
        <f t="shared" si="47"/>
        <v>0</v>
      </c>
      <c r="BH491">
        <f t="shared" si="48"/>
        <v>0</v>
      </c>
      <c r="BI491">
        <f t="shared" si="49"/>
        <v>0</v>
      </c>
    </row>
    <row r="492" spans="10:61" x14ac:dyDescent="0.3">
      <c r="K492" s="17" t="s">
        <v>164</v>
      </c>
      <c r="L492" s="17" t="s">
        <v>165</v>
      </c>
      <c r="M492" s="17" t="s">
        <v>166</v>
      </c>
      <c r="N492" s="17" t="s">
        <v>167</v>
      </c>
      <c r="O492" s="17" t="s">
        <v>168</v>
      </c>
      <c r="AH492" s="17" t="s">
        <v>164</v>
      </c>
      <c r="AI492" s="17" t="s">
        <v>165</v>
      </c>
      <c r="AJ492" s="17" t="s">
        <v>166</v>
      </c>
      <c r="AK492" s="17" t="s">
        <v>167</v>
      </c>
      <c r="AL492" s="17" t="s">
        <v>168</v>
      </c>
      <c r="AX492" t="s">
        <v>164</v>
      </c>
      <c r="AY492" t="s">
        <v>165</v>
      </c>
      <c r="AZ492" t="s">
        <v>166</v>
      </c>
      <c r="BA492" t="s">
        <v>167</v>
      </c>
      <c r="BB492" t="s">
        <v>168</v>
      </c>
      <c r="BD492">
        <f t="shared" si="44"/>
        <v>0</v>
      </c>
      <c r="BE492">
        <f t="shared" si="45"/>
        <v>0</v>
      </c>
      <c r="BF492">
        <f t="shared" si="46"/>
        <v>0</v>
      </c>
      <c r="BG492">
        <f t="shared" si="47"/>
        <v>0</v>
      </c>
      <c r="BH492">
        <f t="shared" si="48"/>
        <v>0</v>
      </c>
      <c r="BI492">
        <f t="shared" si="49"/>
        <v>0</v>
      </c>
    </row>
    <row r="493" spans="10:61" x14ac:dyDescent="0.3">
      <c r="J493" t="s">
        <v>555</v>
      </c>
      <c r="K493" s="17" t="s">
        <v>155</v>
      </c>
      <c r="L493" s="17" t="s">
        <v>155</v>
      </c>
      <c r="M493" s="17" t="s">
        <v>155</v>
      </c>
      <c r="N493" s="17" t="s">
        <v>459</v>
      </c>
      <c r="O493" s="17" t="s">
        <v>155</v>
      </c>
      <c r="AG493" t="s">
        <v>555</v>
      </c>
      <c r="AH493" s="17" t="s">
        <v>155</v>
      </c>
      <c r="AI493" s="17" t="s">
        <v>155</v>
      </c>
      <c r="AJ493" s="17" t="s">
        <v>155</v>
      </c>
      <c r="AK493" s="17" t="s">
        <v>459</v>
      </c>
      <c r="AL493" s="17" t="s">
        <v>155</v>
      </c>
      <c r="AW493" t="s">
        <v>555</v>
      </c>
      <c r="AX493" t="s">
        <v>155</v>
      </c>
      <c r="AY493" t="s">
        <v>155</v>
      </c>
      <c r="AZ493" t="s">
        <v>155</v>
      </c>
      <c r="BA493" t="s">
        <v>459</v>
      </c>
      <c r="BB493" t="s">
        <v>155</v>
      </c>
      <c r="BD493">
        <f t="shared" si="44"/>
        <v>0</v>
      </c>
      <c r="BE493">
        <f t="shared" si="45"/>
        <v>0</v>
      </c>
      <c r="BF493">
        <f t="shared" si="46"/>
        <v>0</v>
      </c>
      <c r="BG493">
        <f t="shared" si="47"/>
        <v>0</v>
      </c>
      <c r="BH493">
        <f t="shared" si="48"/>
        <v>0</v>
      </c>
      <c r="BI493">
        <f t="shared" si="49"/>
        <v>0</v>
      </c>
    </row>
    <row r="494" spans="10:61" x14ac:dyDescent="0.3">
      <c r="J494" t="s">
        <v>556</v>
      </c>
      <c r="K494" s="17" t="s">
        <v>155</v>
      </c>
      <c r="L494" s="17" t="s">
        <v>155</v>
      </c>
      <c r="M494" s="17" t="s">
        <v>155</v>
      </c>
      <c r="N494" s="17" t="s">
        <v>459</v>
      </c>
      <c r="O494" s="17" t="s">
        <v>155</v>
      </c>
      <c r="AG494" t="s">
        <v>556</v>
      </c>
      <c r="AH494" s="17" t="s">
        <v>155</v>
      </c>
      <c r="AI494" s="17" t="s">
        <v>155</v>
      </c>
      <c r="AJ494" s="17" t="s">
        <v>155</v>
      </c>
      <c r="AK494" s="17" t="s">
        <v>459</v>
      </c>
      <c r="AL494" s="17" t="s">
        <v>155</v>
      </c>
      <c r="AW494" t="s">
        <v>556</v>
      </c>
      <c r="AX494" t="s">
        <v>155</v>
      </c>
      <c r="AY494" t="s">
        <v>155</v>
      </c>
      <c r="AZ494" t="s">
        <v>155</v>
      </c>
      <c r="BA494" t="s">
        <v>459</v>
      </c>
      <c r="BB494" t="s">
        <v>155</v>
      </c>
      <c r="BD494">
        <f t="shared" si="44"/>
        <v>0</v>
      </c>
      <c r="BE494">
        <f t="shared" si="45"/>
        <v>0</v>
      </c>
      <c r="BF494">
        <f t="shared" si="46"/>
        <v>0</v>
      </c>
      <c r="BG494">
        <f t="shared" si="47"/>
        <v>0</v>
      </c>
      <c r="BH494">
        <f t="shared" si="48"/>
        <v>0</v>
      </c>
      <c r="BI494">
        <f t="shared" si="49"/>
        <v>0</v>
      </c>
    </row>
    <row r="495" spans="10:61" x14ac:dyDescent="0.3">
      <c r="J495" t="s">
        <v>557</v>
      </c>
      <c r="K495" s="17" t="s">
        <v>155</v>
      </c>
      <c r="L495" s="17" t="s">
        <v>155</v>
      </c>
      <c r="M495" s="17" t="s">
        <v>155</v>
      </c>
      <c r="N495" s="17" t="s">
        <v>459</v>
      </c>
      <c r="O495" s="17" t="s">
        <v>155</v>
      </c>
      <c r="AG495" t="s">
        <v>557</v>
      </c>
      <c r="AH495" s="17" t="s">
        <v>155</v>
      </c>
      <c r="AI495" s="17" t="s">
        <v>155</v>
      </c>
      <c r="AJ495" s="17" t="s">
        <v>155</v>
      </c>
      <c r="AK495" s="17" t="s">
        <v>459</v>
      </c>
      <c r="AL495" s="17" t="s">
        <v>155</v>
      </c>
      <c r="AW495" t="s">
        <v>557</v>
      </c>
      <c r="AX495" t="s">
        <v>155</v>
      </c>
      <c r="AY495" t="s">
        <v>155</v>
      </c>
      <c r="AZ495" t="s">
        <v>155</v>
      </c>
      <c r="BA495" t="s">
        <v>459</v>
      </c>
      <c r="BB495" t="s">
        <v>155</v>
      </c>
      <c r="BD495">
        <f t="shared" si="44"/>
        <v>0</v>
      </c>
      <c r="BE495">
        <f t="shared" si="45"/>
        <v>0</v>
      </c>
      <c r="BF495">
        <f t="shared" si="46"/>
        <v>0</v>
      </c>
      <c r="BG495">
        <f t="shared" si="47"/>
        <v>0</v>
      </c>
      <c r="BH495">
        <f t="shared" si="48"/>
        <v>0</v>
      </c>
      <c r="BI495">
        <f t="shared" si="49"/>
        <v>0</v>
      </c>
    </row>
    <row r="496" spans="10:61" x14ac:dyDescent="0.3">
      <c r="BD496">
        <f t="shared" si="44"/>
        <v>0</v>
      </c>
      <c r="BE496">
        <f t="shared" si="45"/>
        <v>0</v>
      </c>
      <c r="BF496">
        <f t="shared" si="46"/>
        <v>0</v>
      </c>
      <c r="BG496">
        <f t="shared" si="47"/>
        <v>0</v>
      </c>
      <c r="BH496">
        <f t="shared" si="48"/>
        <v>0</v>
      </c>
      <c r="BI496">
        <f t="shared" si="49"/>
        <v>0</v>
      </c>
    </row>
    <row r="497" spans="10:61" x14ac:dyDescent="0.3">
      <c r="J497" t="s">
        <v>752</v>
      </c>
      <c r="AG497" t="s">
        <v>752</v>
      </c>
      <c r="AW497" t="s">
        <v>752</v>
      </c>
      <c r="BD497">
        <f t="shared" si="44"/>
        <v>0</v>
      </c>
      <c r="BE497">
        <f t="shared" si="45"/>
        <v>0</v>
      </c>
      <c r="BF497">
        <f t="shared" si="46"/>
        <v>0</v>
      </c>
      <c r="BG497">
        <f t="shared" si="47"/>
        <v>0</v>
      </c>
      <c r="BH497">
        <f t="shared" si="48"/>
        <v>0</v>
      </c>
      <c r="BI497">
        <f t="shared" si="49"/>
        <v>0</v>
      </c>
    </row>
    <row r="498" spans="10:61" x14ac:dyDescent="0.3">
      <c r="K498" s="17" t="s">
        <v>164</v>
      </c>
      <c r="L498" s="17" t="s">
        <v>165</v>
      </c>
      <c r="M498" s="17" t="s">
        <v>166</v>
      </c>
      <c r="N498" s="17" t="s">
        <v>167</v>
      </c>
      <c r="O498" s="17" t="s">
        <v>168</v>
      </c>
      <c r="AH498" s="17" t="s">
        <v>164</v>
      </c>
      <c r="AI498" s="17" t="s">
        <v>165</v>
      </c>
      <c r="AJ498" s="17" t="s">
        <v>166</v>
      </c>
      <c r="AK498" s="17" t="s">
        <v>167</v>
      </c>
      <c r="AL498" s="17" t="s">
        <v>168</v>
      </c>
      <c r="AX498" t="s">
        <v>164</v>
      </c>
      <c r="AY498" t="s">
        <v>165</v>
      </c>
      <c r="AZ498" t="s">
        <v>166</v>
      </c>
      <c r="BA498" t="s">
        <v>167</v>
      </c>
      <c r="BB498" t="s">
        <v>168</v>
      </c>
      <c r="BD498">
        <f t="shared" si="44"/>
        <v>0</v>
      </c>
      <c r="BE498">
        <f t="shared" si="45"/>
        <v>0</v>
      </c>
      <c r="BF498">
        <f t="shared" si="46"/>
        <v>0</v>
      </c>
      <c r="BG498">
        <f t="shared" si="47"/>
        <v>0</v>
      </c>
      <c r="BH498">
        <f t="shared" si="48"/>
        <v>0</v>
      </c>
      <c r="BI498">
        <f t="shared" si="49"/>
        <v>0</v>
      </c>
    </row>
    <row r="499" spans="10:61" x14ac:dyDescent="0.3">
      <c r="J499" t="s">
        <v>548</v>
      </c>
      <c r="K499" s="17" t="s">
        <v>155</v>
      </c>
      <c r="L499" s="17" t="s">
        <v>272</v>
      </c>
      <c r="M499" s="17" t="s">
        <v>155</v>
      </c>
      <c r="N499" s="17" t="s">
        <v>155</v>
      </c>
      <c r="O499" s="17" t="s">
        <v>272</v>
      </c>
      <c r="AG499" t="s">
        <v>548</v>
      </c>
      <c r="AH499" s="17" t="s">
        <v>155</v>
      </c>
      <c r="AI499" s="17" t="s">
        <v>272</v>
      </c>
      <c r="AJ499" s="17" t="s">
        <v>155</v>
      </c>
      <c r="AK499" s="17" t="s">
        <v>272</v>
      </c>
      <c r="AL499" s="17" t="s">
        <v>155</v>
      </c>
      <c r="AW499" t="s">
        <v>548</v>
      </c>
      <c r="AX499" t="s">
        <v>155</v>
      </c>
      <c r="AY499" t="s">
        <v>272</v>
      </c>
      <c r="AZ499" t="s">
        <v>155</v>
      </c>
      <c r="BA499" t="s">
        <v>155</v>
      </c>
      <c r="BB499" t="s">
        <v>272</v>
      </c>
      <c r="BD499">
        <f t="shared" si="44"/>
        <v>0</v>
      </c>
      <c r="BE499">
        <f t="shared" si="45"/>
        <v>0</v>
      </c>
      <c r="BF499">
        <f t="shared" si="46"/>
        <v>0</v>
      </c>
      <c r="BG499">
        <f t="shared" si="47"/>
        <v>0</v>
      </c>
      <c r="BH499">
        <f t="shared" si="48"/>
        <v>0</v>
      </c>
      <c r="BI499">
        <f t="shared" si="49"/>
        <v>0</v>
      </c>
    </row>
    <row r="500" spans="10:61" x14ac:dyDescent="0.3">
      <c r="J500" t="s">
        <v>549</v>
      </c>
      <c r="K500" s="17" t="s">
        <v>155</v>
      </c>
      <c r="L500" s="17" t="s">
        <v>272</v>
      </c>
      <c r="M500" s="17" t="s">
        <v>155</v>
      </c>
      <c r="N500" s="17" t="s">
        <v>155</v>
      </c>
      <c r="O500" s="17" t="s">
        <v>272</v>
      </c>
      <c r="AG500" t="s">
        <v>549</v>
      </c>
      <c r="AH500" s="17" t="s">
        <v>155</v>
      </c>
      <c r="AI500" s="17" t="s">
        <v>272</v>
      </c>
      <c r="AJ500" s="17" t="s">
        <v>155</v>
      </c>
      <c r="AK500" s="17" t="s">
        <v>272</v>
      </c>
      <c r="AL500" s="17" t="s">
        <v>155</v>
      </c>
      <c r="AW500" t="s">
        <v>549</v>
      </c>
      <c r="AX500" t="s">
        <v>155</v>
      </c>
      <c r="AY500" t="s">
        <v>272</v>
      </c>
      <c r="AZ500" t="s">
        <v>155</v>
      </c>
      <c r="BA500" t="s">
        <v>155</v>
      </c>
      <c r="BB500" t="s">
        <v>272</v>
      </c>
      <c r="BD500">
        <f t="shared" si="44"/>
        <v>0</v>
      </c>
      <c r="BE500">
        <f t="shared" si="45"/>
        <v>0</v>
      </c>
      <c r="BF500">
        <f t="shared" si="46"/>
        <v>0</v>
      </c>
      <c r="BG500">
        <f t="shared" si="47"/>
        <v>0</v>
      </c>
      <c r="BH500">
        <f t="shared" si="48"/>
        <v>0</v>
      </c>
      <c r="BI500">
        <f t="shared" si="49"/>
        <v>0</v>
      </c>
    </row>
    <row r="501" spans="10:61" x14ac:dyDescent="0.3">
      <c r="J501" t="s">
        <v>550</v>
      </c>
      <c r="K501" s="17" t="s">
        <v>155</v>
      </c>
      <c r="L501" s="17" t="s">
        <v>155</v>
      </c>
      <c r="M501" s="17" t="s">
        <v>155</v>
      </c>
      <c r="N501" s="17" t="s">
        <v>155</v>
      </c>
      <c r="O501" s="17" t="s">
        <v>272</v>
      </c>
      <c r="AG501" t="s">
        <v>550</v>
      </c>
      <c r="AH501" s="17" t="s">
        <v>155</v>
      </c>
      <c r="AI501" s="17" t="s">
        <v>155</v>
      </c>
      <c r="AJ501" s="17" t="s">
        <v>155</v>
      </c>
      <c r="AK501" s="17" t="s">
        <v>272</v>
      </c>
      <c r="AL501" s="17" t="s">
        <v>155</v>
      </c>
      <c r="AW501" t="s">
        <v>550</v>
      </c>
      <c r="AX501" t="s">
        <v>155</v>
      </c>
      <c r="AY501" t="s">
        <v>155</v>
      </c>
      <c r="AZ501" t="s">
        <v>155</v>
      </c>
      <c r="BA501" t="s">
        <v>155</v>
      </c>
      <c r="BB501" t="s">
        <v>272</v>
      </c>
      <c r="BD501">
        <f t="shared" si="44"/>
        <v>0</v>
      </c>
      <c r="BE501">
        <f t="shared" si="45"/>
        <v>0</v>
      </c>
      <c r="BF501">
        <f t="shared" si="46"/>
        <v>0</v>
      </c>
      <c r="BG501">
        <f t="shared" si="47"/>
        <v>0</v>
      </c>
      <c r="BH501">
        <f t="shared" si="48"/>
        <v>0</v>
      </c>
      <c r="BI501">
        <f t="shared" si="49"/>
        <v>0</v>
      </c>
    </row>
    <row r="502" spans="10:61" x14ac:dyDescent="0.3">
      <c r="BD502">
        <f t="shared" si="44"/>
        <v>0</v>
      </c>
      <c r="BE502">
        <f t="shared" si="45"/>
        <v>0</v>
      </c>
      <c r="BF502">
        <f t="shared" si="46"/>
        <v>0</v>
      </c>
      <c r="BG502">
        <f t="shared" si="47"/>
        <v>0</v>
      </c>
      <c r="BH502">
        <f t="shared" si="48"/>
        <v>0</v>
      </c>
      <c r="BI502">
        <f t="shared" si="49"/>
        <v>0</v>
      </c>
    </row>
    <row r="503" spans="10:61" x14ac:dyDescent="0.3">
      <c r="J503" t="s">
        <v>956</v>
      </c>
      <c r="AG503" t="s">
        <v>956</v>
      </c>
      <c r="AW503" t="s">
        <v>956</v>
      </c>
      <c r="BD503">
        <f t="shared" si="44"/>
        <v>0</v>
      </c>
      <c r="BE503">
        <f t="shared" si="45"/>
        <v>0</v>
      </c>
      <c r="BF503">
        <f t="shared" si="46"/>
        <v>0</v>
      </c>
      <c r="BG503">
        <f t="shared" si="47"/>
        <v>0</v>
      </c>
      <c r="BH503">
        <f t="shared" si="48"/>
        <v>0</v>
      </c>
      <c r="BI503">
        <f t="shared" si="49"/>
        <v>0</v>
      </c>
    </row>
    <row r="504" spans="10:61" x14ac:dyDescent="0.3">
      <c r="K504" s="17" t="s">
        <v>164</v>
      </c>
      <c r="L504" s="17" t="s">
        <v>165</v>
      </c>
      <c r="M504" s="17" t="s">
        <v>166</v>
      </c>
      <c r="N504" s="17" t="s">
        <v>167</v>
      </c>
      <c r="O504" s="17" t="s">
        <v>168</v>
      </c>
      <c r="AH504" s="17" t="s">
        <v>164</v>
      </c>
      <c r="AI504" s="17" t="s">
        <v>165</v>
      </c>
      <c r="AJ504" s="17" t="s">
        <v>166</v>
      </c>
      <c r="AK504" s="17" t="s">
        <v>167</v>
      </c>
      <c r="AL504" s="17" t="s">
        <v>168</v>
      </c>
      <c r="AX504" t="s">
        <v>164</v>
      </c>
      <c r="AY504" t="s">
        <v>165</v>
      </c>
      <c r="AZ504" t="s">
        <v>166</v>
      </c>
      <c r="BA504" t="s">
        <v>167</v>
      </c>
      <c r="BB504" t="s">
        <v>168</v>
      </c>
      <c r="BD504">
        <f t="shared" si="44"/>
        <v>0</v>
      </c>
      <c r="BE504">
        <f t="shared" si="45"/>
        <v>0</v>
      </c>
      <c r="BF504">
        <f t="shared" si="46"/>
        <v>0</v>
      </c>
      <c r="BG504">
        <f t="shared" si="47"/>
        <v>0</v>
      </c>
      <c r="BH504">
        <f t="shared" si="48"/>
        <v>0</v>
      </c>
      <c r="BI504">
        <f t="shared" si="49"/>
        <v>0</v>
      </c>
    </row>
    <row r="505" spans="10:61" x14ac:dyDescent="0.3">
      <c r="J505" t="s">
        <v>544</v>
      </c>
      <c r="K505" s="17" t="s">
        <v>155</v>
      </c>
      <c r="L505" s="17" t="s">
        <v>155</v>
      </c>
      <c r="M505" s="17" t="s">
        <v>155</v>
      </c>
      <c r="N505" s="17" t="s">
        <v>155</v>
      </c>
      <c r="O505" s="17" t="s">
        <v>662</v>
      </c>
      <c r="AG505" t="s">
        <v>544</v>
      </c>
      <c r="AH505" s="17" t="s">
        <v>155</v>
      </c>
      <c r="AI505" s="17" t="s">
        <v>155</v>
      </c>
      <c r="AJ505" s="17" t="s">
        <v>155</v>
      </c>
      <c r="AK505" s="17" t="s">
        <v>155</v>
      </c>
      <c r="AL505" s="17" t="s">
        <v>662</v>
      </c>
      <c r="AW505" t="s">
        <v>544</v>
      </c>
      <c r="AX505" t="s">
        <v>155</v>
      </c>
      <c r="AY505" t="s">
        <v>155</v>
      </c>
      <c r="AZ505" t="s">
        <v>155</v>
      </c>
      <c r="BA505" t="s">
        <v>155</v>
      </c>
      <c r="BB505" t="s">
        <v>662</v>
      </c>
      <c r="BD505">
        <f t="shared" si="44"/>
        <v>0</v>
      </c>
      <c r="BE505">
        <f t="shared" si="45"/>
        <v>0</v>
      </c>
      <c r="BF505">
        <f t="shared" si="46"/>
        <v>0</v>
      </c>
      <c r="BG505">
        <f t="shared" si="47"/>
        <v>0</v>
      </c>
      <c r="BH505">
        <f t="shared" si="48"/>
        <v>0</v>
      </c>
      <c r="BI505">
        <f t="shared" si="49"/>
        <v>0</v>
      </c>
    </row>
    <row r="506" spans="10:61" x14ac:dyDescent="0.3">
      <c r="J506" t="s">
        <v>545</v>
      </c>
      <c r="K506" s="17" t="s">
        <v>155</v>
      </c>
      <c r="L506" s="17" t="s">
        <v>155</v>
      </c>
      <c r="M506" s="17" t="s">
        <v>155</v>
      </c>
      <c r="N506" s="17" t="s">
        <v>155</v>
      </c>
      <c r="O506" s="17" t="s">
        <v>662</v>
      </c>
      <c r="AG506" t="s">
        <v>545</v>
      </c>
      <c r="AH506" s="17" t="s">
        <v>155</v>
      </c>
      <c r="AI506" s="17" t="s">
        <v>155</v>
      </c>
      <c r="AJ506" s="17" t="s">
        <v>155</v>
      </c>
      <c r="AK506" s="17" t="s">
        <v>155</v>
      </c>
      <c r="AL506" s="17" t="s">
        <v>662</v>
      </c>
      <c r="AW506" t="s">
        <v>545</v>
      </c>
      <c r="AX506" t="s">
        <v>155</v>
      </c>
      <c r="AY506" t="s">
        <v>155</v>
      </c>
      <c r="AZ506" t="s">
        <v>155</v>
      </c>
      <c r="BA506" t="s">
        <v>155</v>
      </c>
      <c r="BB506" t="s">
        <v>662</v>
      </c>
      <c r="BD506">
        <f t="shared" si="44"/>
        <v>0</v>
      </c>
      <c r="BE506">
        <f t="shared" si="45"/>
        <v>0</v>
      </c>
      <c r="BF506">
        <f t="shared" si="46"/>
        <v>0</v>
      </c>
      <c r="BG506">
        <f t="shared" si="47"/>
        <v>0</v>
      </c>
      <c r="BH506">
        <f t="shared" si="48"/>
        <v>0</v>
      </c>
      <c r="BI506">
        <f t="shared" si="49"/>
        <v>0</v>
      </c>
    </row>
    <row r="507" spans="10:61" x14ac:dyDescent="0.3">
      <c r="BD507">
        <f t="shared" si="44"/>
        <v>0</v>
      </c>
      <c r="BE507">
        <f t="shared" si="45"/>
        <v>0</v>
      </c>
      <c r="BF507">
        <f t="shared" si="46"/>
        <v>0</v>
      </c>
      <c r="BG507">
        <f t="shared" si="47"/>
        <v>0</v>
      </c>
      <c r="BH507">
        <f t="shared" si="48"/>
        <v>0</v>
      </c>
      <c r="BI507">
        <f t="shared" si="49"/>
        <v>0</v>
      </c>
    </row>
    <row r="508" spans="10:61" x14ac:dyDescent="0.3">
      <c r="J508" t="s">
        <v>701</v>
      </c>
      <c r="AG508" t="s">
        <v>701</v>
      </c>
      <c r="AW508" t="s">
        <v>701</v>
      </c>
      <c r="BD508">
        <f t="shared" si="44"/>
        <v>0</v>
      </c>
      <c r="BE508">
        <f t="shared" si="45"/>
        <v>0</v>
      </c>
      <c r="BF508">
        <f t="shared" si="46"/>
        <v>0</v>
      </c>
      <c r="BG508">
        <f t="shared" si="47"/>
        <v>0</v>
      </c>
      <c r="BH508">
        <f t="shared" si="48"/>
        <v>0</v>
      </c>
      <c r="BI508">
        <f t="shared" si="49"/>
        <v>0</v>
      </c>
    </row>
    <row r="509" spans="10:61" x14ac:dyDescent="0.3">
      <c r="K509" s="17" t="s">
        <v>164</v>
      </c>
      <c r="L509" s="17" t="s">
        <v>165</v>
      </c>
      <c r="M509" s="17" t="s">
        <v>166</v>
      </c>
      <c r="N509" s="17" t="s">
        <v>167</v>
      </c>
      <c r="O509" s="17" t="s">
        <v>168</v>
      </c>
      <c r="AH509" s="17" t="s">
        <v>164</v>
      </c>
      <c r="AI509" s="17" t="s">
        <v>165</v>
      </c>
      <c r="AJ509" s="17" t="s">
        <v>166</v>
      </c>
      <c r="AK509" s="17" t="s">
        <v>167</v>
      </c>
      <c r="AL509" s="17" t="s">
        <v>168</v>
      </c>
      <c r="AX509" t="s">
        <v>164</v>
      </c>
      <c r="AY509" t="s">
        <v>165</v>
      </c>
      <c r="AZ509" t="s">
        <v>166</v>
      </c>
      <c r="BA509" t="s">
        <v>167</v>
      </c>
      <c r="BB509" t="s">
        <v>168</v>
      </c>
      <c r="BD509">
        <f t="shared" si="44"/>
        <v>0</v>
      </c>
      <c r="BE509">
        <f t="shared" si="45"/>
        <v>0</v>
      </c>
      <c r="BF509">
        <f t="shared" si="46"/>
        <v>0</v>
      </c>
      <c r="BG509">
        <f t="shared" si="47"/>
        <v>0</v>
      </c>
      <c r="BH509">
        <f t="shared" si="48"/>
        <v>0</v>
      </c>
      <c r="BI509">
        <f t="shared" si="49"/>
        <v>0</v>
      </c>
    </row>
    <row r="510" spans="10:61" x14ac:dyDescent="0.3">
      <c r="J510" t="s">
        <v>548</v>
      </c>
      <c r="K510" s="17" t="s">
        <v>155</v>
      </c>
      <c r="L510" s="17" t="s">
        <v>382</v>
      </c>
      <c r="M510" s="17" t="s">
        <v>155</v>
      </c>
      <c r="N510" s="17" t="s">
        <v>155</v>
      </c>
      <c r="O510" s="17" t="s">
        <v>382</v>
      </c>
      <c r="AG510" t="s">
        <v>548</v>
      </c>
      <c r="AH510" s="17" t="s">
        <v>155</v>
      </c>
      <c r="AI510" s="17" t="s">
        <v>382</v>
      </c>
      <c r="AJ510" s="17" t="s">
        <v>155</v>
      </c>
      <c r="AK510" s="17" t="s">
        <v>382</v>
      </c>
      <c r="AL510" s="17" t="s">
        <v>155</v>
      </c>
      <c r="AW510" t="s">
        <v>548</v>
      </c>
      <c r="AX510" t="s">
        <v>155</v>
      </c>
      <c r="AY510" t="s">
        <v>382</v>
      </c>
      <c r="AZ510" t="s">
        <v>155</v>
      </c>
      <c r="BA510" t="s">
        <v>155</v>
      </c>
      <c r="BB510" t="s">
        <v>382</v>
      </c>
      <c r="BD510">
        <f t="shared" si="44"/>
        <v>0</v>
      </c>
      <c r="BE510">
        <f t="shared" si="45"/>
        <v>0</v>
      </c>
      <c r="BF510">
        <f t="shared" si="46"/>
        <v>0</v>
      </c>
      <c r="BG510">
        <f t="shared" si="47"/>
        <v>0</v>
      </c>
      <c r="BH510">
        <f t="shared" si="48"/>
        <v>0</v>
      </c>
      <c r="BI510">
        <f t="shared" si="49"/>
        <v>0</v>
      </c>
    </row>
    <row r="511" spans="10:61" x14ac:dyDescent="0.3">
      <c r="J511" t="s">
        <v>549</v>
      </c>
      <c r="K511" s="17" t="s">
        <v>155</v>
      </c>
      <c r="L511" s="17" t="s">
        <v>382</v>
      </c>
      <c r="M511" s="17" t="s">
        <v>155</v>
      </c>
      <c r="N511" s="17" t="s">
        <v>155</v>
      </c>
      <c r="O511" s="17" t="s">
        <v>382</v>
      </c>
      <c r="AG511" t="s">
        <v>549</v>
      </c>
      <c r="AH511" s="17" t="s">
        <v>155</v>
      </c>
      <c r="AI511" s="17" t="s">
        <v>382</v>
      </c>
      <c r="AJ511" s="17" t="s">
        <v>155</v>
      </c>
      <c r="AK511" s="17" t="s">
        <v>382</v>
      </c>
      <c r="AL511" s="17" t="s">
        <v>155</v>
      </c>
      <c r="AW511" t="s">
        <v>549</v>
      </c>
      <c r="AX511" t="s">
        <v>155</v>
      </c>
      <c r="AY511" t="s">
        <v>382</v>
      </c>
      <c r="AZ511" t="s">
        <v>155</v>
      </c>
      <c r="BA511" t="s">
        <v>155</v>
      </c>
      <c r="BB511" t="s">
        <v>382</v>
      </c>
      <c r="BD511">
        <f t="shared" si="44"/>
        <v>0</v>
      </c>
      <c r="BE511">
        <f t="shared" si="45"/>
        <v>0</v>
      </c>
      <c r="BF511">
        <f t="shared" si="46"/>
        <v>0</v>
      </c>
      <c r="BG511">
        <f t="shared" si="47"/>
        <v>0</v>
      </c>
      <c r="BH511">
        <f t="shared" si="48"/>
        <v>0</v>
      </c>
      <c r="BI511">
        <f t="shared" si="49"/>
        <v>0</v>
      </c>
    </row>
    <row r="512" spans="10:61" x14ac:dyDescent="0.3">
      <c r="J512" t="s">
        <v>550</v>
      </c>
      <c r="K512" s="17" t="s">
        <v>155</v>
      </c>
      <c r="L512" s="17" t="s">
        <v>155</v>
      </c>
      <c r="M512" s="17" t="s">
        <v>155</v>
      </c>
      <c r="N512" s="17" t="s">
        <v>155</v>
      </c>
      <c r="O512" s="17" t="s">
        <v>382</v>
      </c>
      <c r="AG512" t="s">
        <v>550</v>
      </c>
      <c r="AH512" s="17" t="s">
        <v>155</v>
      </c>
      <c r="AI512" s="17" t="s">
        <v>155</v>
      </c>
      <c r="AJ512" s="17" t="s">
        <v>155</v>
      </c>
      <c r="AK512" s="17" t="s">
        <v>382</v>
      </c>
      <c r="AL512" s="17" t="s">
        <v>155</v>
      </c>
      <c r="AW512" t="s">
        <v>550</v>
      </c>
      <c r="AX512" t="s">
        <v>155</v>
      </c>
      <c r="AY512" t="s">
        <v>155</v>
      </c>
      <c r="AZ512" t="s">
        <v>155</v>
      </c>
      <c r="BA512" t="s">
        <v>155</v>
      </c>
      <c r="BB512" t="s">
        <v>382</v>
      </c>
      <c r="BD512">
        <f t="shared" si="44"/>
        <v>0</v>
      </c>
      <c r="BE512">
        <f t="shared" si="45"/>
        <v>0</v>
      </c>
      <c r="BF512">
        <f t="shared" si="46"/>
        <v>0</v>
      </c>
      <c r="BG512">
        <f t="shared" si="47"/>
        <v>0</v>
      </c>
      <c r="BH512">
        <f t="shared" si="48"/>
        <v>0</v>
      </c>
      <c r="BI512">
        <f t="shared" si="49"/>
        <v>0</v>
      </c>
    </row>
    <row r="513" spans="10:61" x14ac:dyDescent="0.3">
      <c r="J513" t="s">
        <v>543</v>
      </c>
      <c r="K513" s="17" t="s">
        <v>155</v>
      </c>
      <c r="L513" s="17" t="s">
        <v>155</v>
      </c>
      <c r="M513" s="17" t="s">
        <v>79</v>
      </c>
      <c r="N513" s="17" t="s">
        <v>155</v>
      </c>
      <c r="O513" s="17" t="s">
        <v>155</v>
      </c>
      <c r="AG513" t="s">
        <v>544</v>
      </c>
      <c r="AH513" s="17" t="s">
        <v>155</v>
      </c>
      <c r="AI513" s="17" t="s">
        <v>79</v>
      </c>
      <c r="AJ513" s="17" t="s">
        <v>155</v>
      </c>
      <c r="AK513" s="17" t="s">
        <v>155</v>
      </c>
      <c r="AL513" s="17" t="s">
        <v>155</v>
      </c>
      <c r="AW513" t="s">
        <v>543</v>
      </c>
      <c r="AX513" t="s">
        <v>155</v>
      </c>
      <c r="AY513" t="s">
        <v>155</v>
      </c>
      <c r="AZ513" t="s">
        <v>79</v>
      </c>
      <c r="BA513" t="s">
        <v>155</v>
      </c>
      <c r="BB513" t="s">
        <v>155</v>
      </c>
      <c r="BD513">
        <f t="shared" si="44"/>
        <v>0</v>
      </c>
      <c r="BE513">
        <f t="shared" si="45"/>
        <v>0</v>
      </c>
      <c r="BF513">
        <f t="shared" si="46"/>
        <v>0</v>
      </c>
      <c r="BG513">
        <f t="shared" si="47"/>
        <v>0</v>
      </c>
      <c r="BH513">
        <f t="shared" si="48"/>
        <v>0</v>
      </c>
      <c r="BI513">
        <f t="shared" si="49"/>
        <v>0</v>
      </c>
    </row>
    <row r="514" spans="10:61" x14ac:dyDescent="0.3">
      <c r="J514" t="s">
        <v>544</v>
      </c>
      <c r="K514" s="17" t="s">
        <v>155</v>
      </c>
      <c r="L514" s="17" t="s">
        <v>155</v>
      </c>
      <c r="M514" s="17" t="s">
        <v>79</v>
      </c>
      <c r="N514" s="17" t="s">
        <v>155</v>
      </c>
      <c r="O514" s="17" t="s">
        <v>79</v>
      </c>
      <c r="AG514" t="s">
        <v>545</v>
      </c>
      <c r="AH514" s="17" t="s">
        <v>155</v>
      </c>
      <c r="AI514" s="17" t="s">
        <v>79</v>
      </c>
      <c r="AJ514" s="17" t="s">
        <v>155</v>
      </c>
      <c r="AK514" s="17" t="s">
        <v>155</v>
      </c>
      <c r="AL514" s="17" t="s">
        <v>79</v>
      </c>
      <c r="AW514" t="s">
        <v>544</v>
      </c>
      <c r="AX514" t="s">
        <v>155</v>
      </c>
      <c r="AY514" t="s">
        <v>155</v>
      </c>
      <c r="AZ514" t="s">
        <v>79</v>
      </c>
      <c r="BA514" t="s">
        <v>155</v>
      </c>
      <c r="BB514" t="s">
        <v>79</v>
      </c>
      <c r="BD514">
        <f t="shared" si="44"/>
        <v>0</v>
      </c>
      <c r="BE514">
        <f t="shared" si="45"/>
        <v>0</v>
      </c>
      <c r="BF514">
        <f t="shared" si="46"/>
        <v>0</v>
      </c>
      <c r="BG514">
        <f t="shared" si="47"/>
        <v>0</v>
      </c>
      <c r="BH514">
        <f t="shared" si="48"/>
        <v>0</v>
      </c>
      <c r="BI514">
        <f t="shared" si="49"/>
        <v>0</v>
      </c>
    </row>
    <row r="515" spans="10:61" x14ac:dyDescent="0.3">
      <c r="J515" t="s">
        <v>545</v>
      </c>
      <c r="K515" s="17" t="s">
        <v>155</v>
      </c>
      <c r="L515" s="17" t="s">
        <v>155</v>
      </c>
      <c r="M515" s="17" t="s">
        <v>79</v>
      </c>
      <c r="N515" s="17" t="s">
        <v>155</v>
      </c>
      <c r="O515" s="17" t="s">
        <v>79</v>
      </c>
      <c r="AG515" t="s">
        <v>546</v>
      </c>
      <c r="AH515" s="17" t="s">
        <v>155</v>
      </c>
      <c r="AI515" s="17" t="s">
        <v>79</v>
      </c>
      <c r="AJ515" s="17" t="s">
        <v>155</v>
      </c>
      <c r="AK515" s="17" t="s">
        <v>155</v>
      </c>
      <c r="AL515" s="17" t="s">
        <v>79</v>
      </c>
      <c r="AW515" t="s">
        <v>545</v>
      </c>
      <c r="AX515" t="s">
        <v>155</v>
      </c>
      <c r="AY515" t="s">
        <v>155</v>
      </c>
      <c r="AZ515" t="s">
        <v>79</v>
      </c>
      <c r="BA515" t="s">
        <v>155</v>
      </c>
      <c r="BB515" t="s">
        <v>79</v>
      </c>
      <c r="BD515">
        <f t="shared" si="44"/>
        <v>0</v>
      </c>
      <c r="BE515">
        <f t="shared" si="45"/>
        <v>0</v>
      </c>
      <c r="BF515">
        <f t="shared" si="46"/>
        <v>0</v>
      </c>
      <c r="BG515">
        <f t="shared" si="47"/>
        <v>0</v>
      </c>
      <c r="BH515">
        <f t="shared" si="48"/>
        <v>0</v>
      </c>
      <c r="BI515">
        <f t="shared" si="49"/>
        <v>0</v>
      </c>
    </row>
    <row r="516" spans="10:61" x14ac:dyDescent="0.3">
      <c r="BD516">
        <f t="shared" si="44"/>
        <v>0</v>
      </c>
      <c r="BE516">
        <f t="shared" si="45"/>
        <v>0</v>
      </c>
      <c r="BF516">
        <f t="shared" si="46"/>
        <v>0</v>
      </c>
      <c r="BG516">
        <f t="shared" si="47"/>
        <v>0</v>
      </c>
      <c r="BH516">
        <f t="shared" si="48"/>
        <v>0</v>
      </c>
      <c r="BI516">
        <f t="shared" si="49"/>
        <v>0</v>
      </c>
    </row>
    <row r="517" spans="10:61" x14ac:dyDescent="0.3">
      <c r="J517" t="s">
        <v>837</v>
      </c>
      <c r="AG517" t="s">
        <v>837</v>
      </c>
      <c r="AW517" t="s">
        <v>837</v>
      </c>
      <c r="BD517">
        <f t="shared" si="44"/>
        <v>0</v>
      </c>
      <c r="BE517">
        <f t="shared" si="45"/>
        <v>0</v>
      </c>
      <c r="BF517">
        <f t="shared" si="46"/>
        <v>0</v>
      </c>
      <c r="BG517">
        <f t="shared" si="47"/>
        <v>0</v>
      </c>
      <c r="BH517">
        <f t="shared" si="48"/>
        <v>0</v>
      </c>
      <c r="BI517">
        <f t="shared" si="49"/>
        <v>0</v>
      </c>
    </row>
    <row r="518" spans="10:61" x14ac:dyDescent="0.3">
      <c r="K518" s="17" t="s">
        <v>164</v>
      </c>
      <c r="L518" s="17" t="s">
        <v>165</v>
      </c>
      <c r="M518" s="17" t="s">
        <v>166</v>
      </c>
      <c r="N518" s="17" t="s">
        <v>167</v>
      </c>
      <c r="O518" s="17" t="s">
        <v>168</v>
      </c>
      <c r="AH518" s="17" t="s">
        <v>164</v>
      </c>
      <c r="AI518" s="17" t="s">
        <v>165</v>
      </c>
      <c r="AJ518" s="17" t="s">
        <v>166</v>
      </c>
      <c r="AK518" s="17" t="s">
        <v>167</v>
      </c>
      <c r="AL518" s="17" t="s">
        <v>168</v>
      </c>
      <c r="AX518" t="s">
        <v>164</v>
      </c>
      <c r="AY518" t="s">
        <v>165</v>
      </c>
      <c r="AZ518" t="s">
        <v>166</v>
      </c>
      <c r="BA518" t="s">
        <v>167</v>
      </c>
      <c r="BB518" t="s">
        <v>168</v>
      </c>
      <c r="BD518">
        <f t="shared" si="44"/>
        <v>0</v>
      </c>
      <c r="BE518">
        <f t="shared" si="45"/>
        <v>0</v>
      </c>
      <c r="BF518">
        <f t="shared" si="46"/>
        <v>0</v>
      </c>
      <c r="BG518">
        <f t="shared" si="47"/>
        <v>0</v>
      </c>
      <c r="BH518">
        <f t="shared" si="48"/>
        <v>0</v>
      </c>
      <c r="BI518">
        <f t="shared" si="49"/>
        <v>0</v>
      </c>
    </row>
    <row r="519" spans="10:61" x14ac:dyDescent="0.3">
      <c r="J519" t="s">
        <v>557</v>
      </c>
      <c r="K519" s="17" t="s">
        <v>155</v>
      </c>
      <c r="L519" s="17" t="s">
        <v>155</v>
      </c>
      <c r="M519" s="17" t="s">
        <v>155</v>
      </c>
      <c r="N519" s="17" t="s">
        <v>392</v>
      </c>
      <c r="O519" s="17" t="s">
        <v>155</v>
      </c>
      <c r="AG519" t="s">
        <v>557</v>
      </c>
      <c r="AH519" s="17" t="s">
        <v>155</v>
      </c>
      <c r="AI519" s="17" t="s">
        <v>155</v>
      </c>
      <c r="AJ519" s="17" t="s">
        <v>155</v>
      </c>
      <c r="AK519" s="17" t="s">
        <v>392</v>
      </c>
      <c r="AL519" s="17" t="s">
        <v>155</v>
      </c>
      <c r="AW519" t="s">
        <v>557</v>
      </c>
      <c r="AX519" t="s">
        <v>155</v>
      </c>
      <c r="AY519" t="s">
        <v>155</v>
      </c>
      <c r="AZ519" t="s">
        <v>155</v>
      </c>
      <c r="BA519" t="s">
        <v>392</v>
      </c>
      <c r="BB519" t="s">
        <v>155</v>
      </c>
      <c r="BD519">
        <f t="shared" si="44"/>
        <v>0</v>
      </c>
      <c r="BE519">
        <f t="shared" si="45"/>
        <v>0</v>
      </c>
      <c r="BF519">
        <f t="shared" si="46"/>
        <v>0</v>
      </c>
      <c r="BG519">
        <f t="shared" si="47"/>
        <v>0</v>
      </c>
      <c r="BH519">
        <f t="shared" si="48"/>
        <v>0</v>
      </c>
      <c r="BI519">
        <f t="shared" si="49"/>
        <v>0</v>
      </c>
    </row>
    <row r="520" spans="10:61" x14ac:dyDescent="0.3">
      <c r="J520" t="s">
        <v>542</v>
      </c>
      <c r="K520" s="17" t="s">
        <v>155</v>
      </c>
      <c r="L520" s="17" t="s">
        <v>155</v>
      </c>
      <c r="M520" s="17" t="s">
        <v>155</v>
      </c>
      <c r="N520" s="17" t="s">
        <v>392</v>
      </c>
      <c r="O520" s="17" t="s">
        <v>155</v>
      </c>
      <c r="AG520" t="s">
        <v>542</v>
      </c>
      <c r="AH520" s="17" t="s">
        <v>155</v>
      </c>
      <c r="AI520" s="17" t="s">
        <v>155</v>
      </c>
      <c r="AJ520" s="17" t="s">
        <v>155</v>
      </c>
      <c r="AK520" s="17" t="s">
        <v>392</v>
      </c>
      <c r="AL520" s="17" t="s">
        <v>155</v>
      </c>
      <c r="AW520" t="s">
        <v>542</v>
      </c>
      <c r="AX520" t="s">
        <v>155</v>
      </c>
      <c r="AY520" t="s">
        <v>155</v>
      </c>
      <c r="AZ520" t="s">
        <v>155</v>
      </c>
      <c r="BA520" t="s">
        <v>392</v>
      </c>
      <c r="BB520" t="s">
        <v>155</v>
      </c>
      <c r="BD520">
        <f t="shared" si="44"/>
        <v>0</v>
      </c>
      <c r="BE520">
        <f t="shared" si="45"/>
        <v>0</v>
      </c>
      <c r="BF520">
        <f t="shared" si="46"/>
        <v>0</v>
      </c>
      <c r="BG520">
        <f t="shared" si="47"/>
        <v>0</v>
      </c>
      <c r="BH520">
        <f t="shared" si="48"/>
        <v>0</v>
      </c>
      <c r="BI520">
        <f t="shared" si="49"/>
        <v>0</v>
      </c>
    </row>
    <row r="521" spans="10:61" x14ac:dyDescent="0.3">
      <c r="J521" t="s">
        <v>543</v>
      </c>
      <c r="K521" s="17" t="s">
        <v>155</v>
      </c>
      <c r="L521" s="17" t="s">
        <v>155</v>
      </c>
      <c r="M521" s="17" t="s">
        <v>155</v>
      </c>
      <c r="N521" s="17" t="s">
        <v>392</v>
      </c>
      <c r="O521" s="17" t="s">
        <v>155</v>
      </c>
      <c r="AG521" t="s">
        <v>543</v>
      </c>
      <c r="AH521" s="17" t="s">
        <v>155</v>
      </c>
      <c r="AI521" s="17" t="s">
        <v>155</v>
      </c>
      <c r="AJ521" s="17" t="s">
        <v>155</v>
      </c>
      <c r="AK521" s="17" t="s">
        <v>392</v>
      </c>
      <c r="AL521" s="17" t="s">
        <v>155</v>
      </c>
      <c r="AW521" t="s">
        <v>543</v>
      </c>
      <c r="AX521" t="s">
        <v>155</v>
      </c>
      <c r="AY521" t="s">
        <v>155</v>
      </c>
      <c r="AZ521" t="s">
        <v>155</v>
      </c>
      <c r="BA521" t="s">
        <v>392</v>
      </c>
      <c r="BB521" t="s">
        <v>155</v>
      </c>
      <c r="BD521">
        <f t="shared" ref="BD521:BD584" si="50">IF(J521=AW521,0,1)</f>
        <v>0</v>
      </c>
      <c r="BE521">
        <f t="shared" ref="BE521:BE584" si="51">IF(K521=AX521,0,1)</f>
        <v>0</v>
      </c>
      <c r="BF521">
        <f t="shared" ref="BF521:BF584" si="52">IF(L521=AY521,0,1)</f>
        <v>0</v>
      </c>
      <c r="BG521">
        <f t="shared" ref="BG521:BG584" si="53">IF(M521=AZ521,0,1)</f>
        <v>0</v>
      </c>
      <c r="BH521">
        <f t="shared" ref="BH521:BH584" si="54">IF(N521=BA521,0,1)</f>
        <v>0</v>
      </c>
      <c r="BI521">
        <f t="shared" ref="BI521:BI584" si="55">IF(O521=BB521,0,1)</f>
        <v>0</v>
      </c>
    </row>
    <row r="522" spans="10:61" x14ac:dyDescent="0.3">
      <c r="BD522">
        <f t="shared" si="50"/>
        <v>0</v>
      </c>
      <c r="BE522">
        <f t="shared" si="51"/>
        <v>0</v>
      </c>
      <c r="BF522">
        <f t="shared" si="52"/>
        <v>0</v>
      </c>
      <c r="BG522">
        <f t="shared" si="53"/>
        <v>0</v>
      </c>
      <c r="BH522">
        <f t="shared" si="54"/>
        <v>0</v>
      </c>
      <c r="BI522">
        <f t="shared" si="55"/>
        <v>0</v>
      </c>
    </row>
    <row r="523" spans="10:61" x14ac:dyDescent="0.3">
      <c r="J523" t="s">
        <v>735</v>
      </c>
      <c r="AG523" t="s">
        <v>735</v>
      </c>
      <c r="AW523" t="s">
        <v>735</v>
      </c>
      <c r="BD523">
        <f t="shared" si="50"/>
        <v>0</v>
      </c>
      <c r="BE523">
        <f t="shared" si="51"/>
        <v>0</v>
      </c>
      <c r="BF523">
        <f t="shared" si="52"/>
        <v>0</v>
      </c>
      <c r="BG523">
        <f t="shared" si="53"/>
        <v>0</v>
      </c>
      <c r="BH523">
        <f t="shared" si="54"/>
        <v>0</v>
      </c>
      <c r="BI523">
        <f t="shared" si="55"/>
        <v>0</v>
      </c>
    </row>
    <row r="524" spans="10:61" x14ac:dyDescent="0.3">
      <c r="K524" s="17" t="s">
        <v>164</v>
      </c>
      <c r="L524" s="17" t="s">
        <v>165</v>
      </c>
      <c r="M524" s="17" t="s">
        <v>166</v>
      </c>
      <c r="N524" s="17" t="s">
        <v>167</v>
      </c>
      <c r="O524" s="17" t="s">
        <v>168</v>
      </c>
      <c r="AH524" s="17" t="s">
        <v>164</v>
      </c>
      <c r="AI524" s="17" t="s">
        <v>165</v>
      </c>
      <c r="AJ524" s="17" t="s">
        <v>166</v>
      </c>
      <c r="AK524" s="17" t="s">
        <v>167</v>
      </c>
      <c r="AL524" s="17" t="s">
        <v>168</v>
      </c>
      <c r="AX524" t="s">
        <v>164</v>
      </c>
      <c r="AY524" t="s">
        <v>165</v>
      </c>
      <c r="AZ524" t="s">
        <v>166</v>
      </c>
      <c r="BA524" t="s">
        <v>167</v>
      </c>
      <c r="BB524" t="s">
        <v>168</v>
      </c>
      <c r="BD524">
        <f t="shared" si="50"/>
        <v>0</v>
      </c>
      <c r="BE524">
        <f t="shared" si="51"/>
        <v>0</v>
      </c>
      <c r="BF524">
        <f t="shared" si="52"/>
        <v>0</v>
      </c>
      <c r="BG524">
        <f t="shared" si="53"/>
        <v>0</v>
      </c>
      <c r="BH524">
        <f t="shared" si="54"/>
        <v>0</v>
      </c>
      <c r="BI524">
        <f t="shared" si="55"/>
        <v>0</v>
      </c>
    </row>
    <row r="525" spans="10:61" x14ac:dyDescent="0.3">
      <c r="J525" t="s">
        <v>548</v>
      </c>
      <c r="K525" s="17" t="s">
        <v>6</v>
      </c>
      <c r="L525" s="17" t="s">
        <v>155</v>
      </c>
      <c r="M525" s="17" t="s">
        <v>345</v>
      </c>
      <c r="N525" s="17" t="s">
        <v>155</v>
      </c>
      <c r="O525" s="17" t="s">
        <v>155</v>
      </c>
      <c r="AG525" t="s">
        <v>548</v>
      </c>
      <c r="AH525" s="17" t="s">
        <v>155</v>
      </c>
      <c r="AI525" s="17" t="s">
        <v>155</v>
      </c>
      <c r="AJ525" s="17" t="s">
        <v>345</v>
      </c>
      <c r="AK525" s="17" t="s">
        <v>155</v>
      </c>
      <c r="AL525" s="17" t="s">
        <v>155</v>
      </c>
      <c r="AW525" t="s">
        <v>548</v>
      </c>
      <c r="AX525" t="s">
        <v>6</v>
      </c>
      <c r="AY525" t="s">
        <v>155</v>
      </c>
      <c r="AZ525" t="s">
        <v>345</v>
      </c>
      <c r="BA525" t="s">
        <v>155</v>
      </c>
      <c r="BB525" t="s">
        <v>155</v>
      </c>
      <c r="BD525">
        <f t="shared" si="50"/>
        <v>0</v>
      </c>
      <c r="BE525">
        <f t="shared" si="51"/>
        <v>0</v>
      </c>
      <c r="BF525">
        <f t="shared" si="52"/>
        <v>0</v>
      </c>
      <c r="BG525">
        <f t="shared" si="53"/>
        <v>0</v>
      </c>
      <c r="BH525">
        <f t="shared" si="54"/>
        <v>0</v>
      </c>
      <c r="BI525">
        <f t="shared" si="55"/>
        <v>0</v>
      </c>
    </row>
    <row r="526" spans="10:61" x14ac:dyDescent="0.3">
      <c r="J526" t="s">
        <v>549</v>
      </c>
      <c r="K526" s="17" t="s">
        <v>6</v>
      </c>
      <c r="L526" s="17" t="s">
        <v>155</v>
      </c>
      <c r="M526" s="17" t="s">
        <v>345</v>
      </c>
      <c r="N526" s="17" t="s">
        <v>155</v>
      </c>
      <c r="O526" s="17" t="s">
        <v>155</v>
      </c>
      <c r="AG526" t="s">
        <v>549</v>
      </c>
      <c r="AH526" s="17" t="s">
        <v>155</v>
      </c>
      <c r="AI526" s="17" t="s">
        <v>155</v>
      </c>
      <c r="AJ526" s="17" t="s">
        <v>345</v>
      </c>
      <c r="AK526" s="17" t="s">
        <v>155</v>
      </c>
      <c r="AL526" s="17" t="s">
        <v>345</v>
      </c>
      <c r="AW526" t="s">
        <v>549</v>
      </c>
      <c r="AX526" t="s">
        <v>6</v>
      </c>
      <c r="AY526" t="s">
        <v>155</v>
      </c>
      <c r="AZ526" t="s">
        <v>345</v>
      </c>
      <c r="BA526" t="s">
        <v>155</v>
      </c>
      <c r="BB526" t="s">
        <v>155</v>
      </c>
      <c r="BD526">
        <f t="shared" si="50"/>
        <v>0</v>
      </c>
      <c r="BE526">
        <f t="shared" si="51"/>
        <v>0</v>
      </c>
      <c r="BF526">
        <f t="shared" si="52"/>
        <v>0</v>
      </c>
      <c r="BG526">
        <f t="shared" si="53"/>
        <v>0</v>
      </c>
      <c r="BH526">
        <f t="shared" si="54"/>
        <v>0</v>
      </c>
      <c r="BI526">
        <f t="shared" si="55"/>
        <v>0</v>
      </c>
    </row>
    <row r="527" spans="10:61" x14ac:dyDescent="0.3">
      <c r="J527" t="s">
        <v>550</v>
      </c>
      <c r="K527" s="17" t="s">
        <v>6</v>
      </c>
      <c r="L527" s="17" t="s">
        <v>155</v>
      </c>
      <c r="M527" s="17" t="s">
        <v>155</v>
      </c>
      <c r="N527" s="17" t="s">
        <v>155</v>
      </c>
      <c r="O527" s="17" t="s">
        <v>345</v>
      </c>
      <c r="AG527" t="s">
        <v>550</v>
      </c>
      <c r="AH527" s="17" t="s">
        <v>155</v>
      </c>
      <c r="AI527" s="17" t="s">
        <v>155</v>
      </c>
      <c r="AJ527" s="17" t="s">
        <v>155</v>
      </c>
      <c r="AK527" s="17" t="s">
        <v>155</v>
      </c>
      <c r="AL527" s="17" t="s">
        <v>345</v>
      </c>
      <c r="AW527" t="s">
        <v>550</v>
      </c>
      <c r="AX527" t="s">
        <v>6</v>
      </c>
      <c r="AY527" t="s">
        <v>155</v>
      </c>
      <c r="AZ527" t="s">
        <v>155</v>
      </c>
      <c r="BA527" t="s">
        <v>155</v>
      </c>
      <c r="BB527" t="s">
        <v>345</v>
      </c>
      <c r="BD527">
        <f t="shared" si="50"/>
        <v>0</v>
      </c>
      <c r="BE527">
        <f t="shared" si="51"/>
        <v>0</v>
      </c>
      <c r="BF527">
        <f t="shared" si="52"/>
        <v>0</v>
      </c>
      <c r="BG527">
        <f t="shared" si="53"/>
        <v>0</v>
      </c>
      <c r="BH527">
        <f t="shared" si="54"/>
        <v>0</v>
      </c>
      <c r="BI527">
        <f t="shared" si="55"/>
        <v>0</v>
      </c>
    </row>
    <row r="528" spans="10:61" x14ac:dyDescent="0.3">
      <c r="J528" t="s">
        <v>158</v>
      </c>
      <c r="K528" s="17" t="s">
        <v>155</v>
      </c>
      <c r="L528" s="17" t="s">
        <v>155</v>
      </c>
      <c r="M528" s="17" t="s">
        <v>6</v>
      </c>
      <c r="N528" s="17" t="s">
        <v>155</v>
      </c>
      <c r="O528" s="17" t="s">
        <v>345</v>
      </c>
      <c r="AG528" t="s">
        <v>158</v>
      </c>
      <c r="AH528" s="17" t="s">
        <v>155</v>
      </c>
      <c r="AI528" s="17" t="s">
        <v>155</v>
      </c>
      <c r="AJ528" s="17" t="s">
        <v>155</v>
      </c>
      <c r="AK528" s="17" t="s">
        <v>155</v>
      </c>
      <c r="AL528" s="17" t="s">
        <v>345</v>
      </c>
      <c r="AW528" t="s">
        <v>158</v>
      </c>
      <c r="AX528" t="s">
        <v>155</v>
      </c>
      <c r="AY528" t="s">
        <v>155</v>
      </c>
      <c r="AZ528" t="s">
        <v>6</v>
      </c>
      <c r="BA528" t="s">
        <v>155</v>
      </c>
      <c r="BB528" t="s">
        <v>345</v>
      </c>
      <c r="BD528">
        <f t="shared" si="50"/>
        <v>0</v>
      </c>
      <c r="BE528">
        <f t="shared" si="51"/>
        <v>0</v>
      </c>
      <c r="BF528">
        <f t="shared" si="52"/>
        <v>0</v>
      </c>
      <c r="BG528">
        <f t="shared" si="53"/>
        <v>0</v>
      </c>
      <c r="BH528">
        <f t="shared" si="54"/>
        <v>0</v>
      </c>
      <c r="BI528">
        <f t="shared" si="55"/>
        <v>0</v>
      </c>
    </row>
    <row r="529" spans="10:61" x14ac:dyDescent="0.3">
      <c r="J529" t="s">
        <v>159</v>
      </c>
      <c r="K529" s="17" t="s">
        <v>155</v>
      </c>
      <c r="L529" s="17" t="s">
        <v>155</v>
      </c>
      <c r="M529" s="17" t="s">
        <v>6</v>
      </c>
      <c r="N529" s="17" t="s">
        <v>155</v>
      </c>
      <c r="O529" s="17" t="s">
        <v>345</v>
      </c>
      <c r="AW529" t="s">
        <v>159</v>
      </c>
      <c r="AX529" t="s">
        <v>155</v>
      </c>
      <c r="AY529" t="s">
        <v>155</v>
      </c>
      <c r="AZ529" t="s">
        <v>6</v>
      </c>
      <c r="BA529" t="s">
        <v>155</v>
      </c>
      <c r="BB529" t="s">
        <v>345</v>
      </c>
      <c r="BD529">
        <f t="shared" si="50"/>
        <v>0</v>
      </c>
      <c r="BE529">
        <f t="shared" si="51"/>
        <v>0</v>
      </c>
      <c r="BF529">
        <f t="shared" si="52"/>
        <v>0</v>
      </c>
      <c r="BG529">
        <f t="shared" si="53"/>
        <v>0</v>
      </c>
      <c r="BH529">
        <f t="shared" si="54"/>
        <v>0</v>
      </c>
      <c r="BI529">
        <f t="shared" si="55"/>
        <v>0</v>
      </c>
    </row>
    <row r="530" spans="10:61" x14ac:dyDescent="0.3">
      <c r="AG530" t="s">
        <v>746</v>
      </c>
      <c r="BD530">
        <f t="shared" si="50"/>
        <v>0</v>
      </c>
      <c r="BE530">
        <f t="shared" si="51"/>
        <v>0</v>
      </c>
      <c r="BF530">
        <f t="shared" si="52"/>
        <v>0</v>
      </c>
      <c r="BG530">
        <f t="shared" si="53"/>
        <v>0</v>
      </c>
      <c r="BH530">
        <f t="shared" si="54"/>
        <v>0</v>
      </c>
      <c r="BI530">
        <f t="shared" si="55"/>
        <v>0</v>
      </c>
    </row>
    <row r="531" spans="10:61" x14ac:dyDescent="0.3">
      <c r="J531" t="s">
        <v>746</v>
      </c>
      <c r="AH531" s="17" t="s">
        <v>164</v>
      </c>
      <c r="AI531" s="17" t="s">
        <v>165</v>
      </c>
      <c r="AJ531" s="17" t="s">
        <v>166</v>
      </c>
      <c r="AK531" s="17" t="s">
        <v>167</v>
      </c>
      <c r="AL531" s="17" t="s">
        <v>168</v>
      </c>
      <c r="AW531" t="s">
        <v>746</v>
      </c>
      <c r="BD531">
        <f t="shared" si="50"/>
        <v>0</v>
      </c>
      <c r="BE531">
        <f t="shared" si="51"/>
        <v>0</v>
      </c>
      <c r="BF531">
        <f t="shared" si="52"/>
        <v>0</v>
      </c>
      <c r="BG531">
        <f t="shared" si="53"/>
        <v>0</v>
      </c>
      <c r="BH531">
        <f t="shared" si="54"/>
        <v>0</v>
      </c>
      <c r="BI531">
        <f t="shared" si="55"/>
        <v>0</v>
      </c>
    </row>
    <row r="532" spans="10:61" x14ac:dyDescent="0.3">
      <c r="K532" s="17" t="s">
        <v>164</v>
      </c>
      <c r="L532" s="17" t="s">
        <v>165</v>
      </c>
      <c r="M532" s="17" t="s">
        <v>166</v>
      </c>
      <c r="N532" s="17" t="s">
        <v>167</v>
      </c>
      <c r="O532" s="17" t="s">
        <v>168</v>
      </c>
      <c r="AG532" t="s">
        <v>550</v>
      </c>
      <c r="AH532" s="17" t="s">
        <v>155</v>
      </c>
      <c r="AI532" s="17" t="s">
        <v>155</v>
      </c>
      <c r="AJ532" s="17" t="s">
        <v>155</v>
      </c>
      <c r="AK532" s="17" t="s">
        <v>155</v>
      </c>
      <c r="AL532" s="17" t="s">
        <v>371</v>
      </c>
      <c r="AX532" t="s">
        <v>164</v>
      </c>
      <c r="AY532" t="s">
        <v>165</v>
      </c>
      <c r="AZ532" t="s">
        <v>166</v>
      </c>
      <c r="BA532" t="s">
        <v>167</v>
      </c>
      <c r="BB532" t="s">
        <v>168</v>
      </c>
      <c r="BD532">
        <f t="shared" si="50"/>
        <v>0</v>
      </c>
      <c r="BE532">
        <f t="shared" si="51"/>
        <v>0</v>
      </c>
      <c r="BF532">
        <f t="shared" si="52"/>
        <v>0</v>
      </c>
      <c r="BG532">
        <f t="shared" si="53"/>
        <v>0</v>
      </c>
      <c r="BH532">
        <f t="shared" si="54"/>
        <v>0</v>
      </c>
      <c r="BI532">
        <f t="shared" si="55"/>
        <v>0</v>
      </c>
    </row>
    <row r="533" spans="10:61" x14ac:dyDescent="0.3">
      <c r="J533" t="s">
        <v>550</v>
      </c>
      <c r="K533" s="17" t="s">
        <v>155</v>
      </c>
      <c r="L533" s="17" t="s">
        <v>155</v>
      </c>
      <c r="M533" s="17" t="s">
        <v>155</v>
      </c>
      <c r="N533" s="17" t="s">
        <v>155</v>
      </c>
      <c r="O533" s="17" t="s">
        <v>371</v>
      </c>
      <c r="AG533" t="s">
        <v>158</v>
      </c>
      <c r="AH533" s="17" t="s">
        <v>155</v>
      </c>
      <c r="AI533" s="17" t="s">
        <v>155</v>
      </c>
      <c r="AJ533" s="17" t="s">
        <v>155</v>
      </c>
      <c r="AK533" s="17" t="s">
        <v>155</v>
      </c>
      <c r="AL533" s="17" t="s">
        <v>371</v>
      </c>
      <c r="AW533" t="s">
        <v>550</v>
      </c>
      <c r="AX533" t="s">
        <v>155</v>
      </c>
      <c r="AY533" t="s">
        <v>155</v>
      </c>
      <c r="AZ533" t="s">
        <v>155</v>
      </c>
      <c r="BA533" t="s">
        <v>155</v>
      </c>
      <c r="BB533" t="s">
        <v>371</v>
      </c>
      <c r="BD533">
        <f t="shared" si="50"/>
        <v>0</v>
      </c>
      <c r="BE533">
        <f t="shared" si="51"/>
        <v>0</v>
      </c>
      <c r="BF533">
        <f t="shared" si="52"/>
        <v>0</v>
      </c>
      <c r="BG533">
        <f t="shared" si="53"/>
        <v>0</v>
      </c>
      <c r="BH533">
        <f t="shared" si="54"/>
        <v>0</v>
      </c>
      <c r="BI533">
        <f t="shared" si="55"/>
        <v>0</v>
      </c>
    </row>
    <row r="534" spans="10:61" x14ac:dyDescent="0.3">
      <c r="J534" t="s">
        <v>158</v>
      </c>
      <c r="K534" s="17" t="s">
        <v>155</v>
      </c>
      <c r="L534" s="17" t="s">
        <v>155</v>
      </c>
      <c r="M534" s="17" t="s">
        <v>155</v>
      </c>
      <c r="N534" s="17" t="s">
        <v>155</v>
      </c>
      <c r="O534" s="17" t="s">
        <v>371</v>
      </c>
      <c r="AG534" t="s">
        <v>159</v>
      </c>
      <c r="AH534" s="17" t="s">
        <v>155</v>
      </c>
      <c r="AI534" s="17" t="s">
        <v>155</v>
      </c>
      <c r="AJ534" s="17" t="s">
        <v>371</v>
      </c>
      <c r="AK534" s="17" t="s">
        <v>155</v>
      </c>
      <c r="AL534" s="17" t="s">
        <v>371</v>
      </c>
      <c r="AW534" t="s">
        <v>158</v>
      </c>
      <c r="AX534" t="s">
        <v>155</v>
      </c>
      <c r="AY534" t="s">
        <v>155</v>
      </c>
      <c r="AZ534" t="s">
        <v>155</v>
      </c>
      <c r="BA534" t="s">
        <v>155</v>
      </c>
      <c r="BB534" t="s">
        <v>371</v>
      </c>
      <c r="BD534">
        <f t="shared" si="50"/>
        <v>0</v>
      </c>
      <c r="BE534">
        <f t="shared" si="51"/>
        <v>0</v>
      </c>
      <c r="BF534">
        <f t="shared" si="52"/>
        <v>0</v>
      </c>
      <c r="BG534">
        <f t="shared" si="53"/>
        <v>0</v>
      </c>
      <c r="BH534">
        <f t="shared" si="54"/>
        <v>0</v>
      </c>
      <c r="BI534">
        <f t="shared" si="55"/>
        <v>0</v>
      </c>
    </row>
    <row r="535" spans="10:61" x14ac:dyDescent="0.3">
      <c r="J535" t="s">
        <v>159</v>
      </c>
      <c r="K535" s="17" t="s">
        <v>155</v>
      </c>
      <c r="L535" s="17" t="s">
        <v>155</v>
      </c>
      <c r="M535" s="17" t="s">
        <v>371</v>
      </c>
      <c r="N535" s="17" t="s">
        <v>155</v>
      </c>
      <c r="O535" s="17" t="s">
        <v>371</v>
      </c>
      <c r="AG535" t="s">
        <v>160</v>
      </c>
      <c r="AH535" s="17" t="s">
        <v>155</v>
      </c>
      <c r="AI535" s="17" t="s">
        <v>155</v>
      </c>
      <c r="AJ535" s="17" t="s">
        <v>371</v>
      </c>
      <c r="AK535" s="17" t="s">
        <v>155</v>
      </c>
      <c r="AL535" s="17" t="s">
        <v>155</v>
      </c>
      <c r="AW535" t="s">
        <v>159</v>
      </c>
      <c r="AX535" t="s">
        <v>155</v>
      </c>
      <c r="AY535" t="s">
        <v>155</v>
      </c>
      <c r="AZ535" t="s">
        <v>371</v>
      </c>
      <c r="BA535" t="s">
        <v>155</v>
      </c>
      <c r="BB535" t="s">
        <v>371</v>
      </c>
      <c r="BD535">
        <f t="shared" si="50"/>
        <v>0</v>
      </c>
      <c r="BE535">
        <f t="shared" si="51"/>
        <v>0</v>
      </c>
      <c r="BF535">
        <f t="shared" si="52"/>
        <v>0</v>
      </c>
      <c r="BG535">
        <f t="shared" si="53"/>
        <v>0</v>
      </c>
      <c r="BH535">
        <f t="shared" si="54"/>
        <v>0</v>
      </c>
      <c r="BI535">
        <f t="shared" si="55"/>
        <v>0</v>
      </c>
    </row>
    <row r="536" spans="10:61" x14ac:dyDescent="0.3">
      <c r="J536" t="s">
        <v>160</v>
      </c>
      <c r="K536" s="17" t="s">
        <v>155</v>
      </c>
      <c r="L536" s="17" t="s">
        <v>155</v>
      </c>
      <c r="M536" s="17" t="s">
        <v>371</v>
      </c>
      <c r="N536" s="17" t="s">
        <v>155</v>
      </c>
      <c r="O536" s="17" t="s">
        <v>155</v>
      </c>
      <c r="AW536" t="s">
        <v>160</v>
      </c>
      <c r="AX536" t="s">
        <v>155</v>
      </c>
      <c r="AY536" t="s">
        <v>155</v>
      </c>
      <c r="AZ536" t="s">
        <v>371</v>
      </c>
      <c r="BA536" t="s">
        <v>155</v>
      </c>
      <c r="BB536" t="s">
        <v>155</v>
      </c>
      <c r="BD536">
        <f t="shared" si="50"/>
        <v>0</v>
      </c>
      <c r="BE536">
        <f t="shared" si="51"/>
        <v>0</v>
      </c>
      <c r="BF536">
        <f t="shared" si="52"/>
        <v>0</v>
      </c>
      <c r="BG536">
        <f t="shared" si="53"/>
        <v>0</v>
      </c>
      <c r="BH536">
        <f t="shared" si="54"/>
        <v>0</v>
      </c>
      <c r="BI536">
        <f t="shared" si="55"/>
        <v>0</v>
      </c>
    </row>
    <row r="537" spans="10:61" x14ac:dyDescent="0.3">
      <c r="AG537" t="s">
        <v>838</v>
      </c>
      <c r="BD537">
        <f t="shared" si="50"/>
        <v>0</v>
      </c>
      <c r="BE537">
        <f t="shared" si="51"/>
        <v>0</v>
      </c>
      <c r="BF537">
        <f t="shared" si="52"/>
        <v>0</v>
      </c>
      <c r="BG537">
        <f t="shared" si="53"/>
        <v>0</v>
      </c>
      <c r="BH537">
        <f t="shared" si="54"/>
        <v>0</v>
      </c>
      <c r="BI537">
        <f t="shared" si="55"/>
        <v>0</v>
      </c>
    </row>
    <row r="538" spans="10:61" x14ac:dyDescent="0.3">
      <c r="J538" t="s">
        <v>838</v>
      </c>
      <c r="AH538" s="17" t="s">
        <v>164</v>
      </c>
      <c r="AI538" s="17" t="s">
        <v>165</v>
      </c>
      <c r="AJ538" s="17" t="s">
        <v>166</v>
      </c>
      <c r="AK538" s="17" t="s">
        <v>167</v>
      </c>
      <c r="AL538" s="17" t="s">
        <v>168</v>
      </c>
      <c r="AW538" t="s">
        <v>838</v>
      </c>
      <c r="BD538">
        <f t="shared" si="50"/>
        <v>0</v>
      </c>
      <c r="BE538">
        <f t="shared" si="51"/>
        <v>0</v>
      </c>
      <c r="BF538">
        <f t="shared" si="52"/>
        <v>0</v>
      </c>
      <c r="BG538">
        <f t="shared" si="53"/>
        <v>0</v>
      </c>
      <c r="BH538">
        <f t="shared" si="54"/>
        <v>0</v>
      </c>
      <c r="BI538">
        <f t="shared" si="55"/>
        <v>0</v>
      </c>
    </row>
    <row r="539" spans="10:61" x14ac:dyDescent="0.3">
      <c r="K539" s="17" t="s">
        <v>164</v>
      </c>
      <c r="L539" s="17" t="s">
        <v>165</v>
      </c>
      <c r="M539" s="17" t="s">
        <v>166</v>
      </c>
      <c r="N539" s="17" t="s">
        <v>167</v>
      </c>
      <c r="O539" s="17" t="s">
        <v>168</v>
      </c>
      <c r="AG539" t="s">
        <v>545</v>
      </c>
      <c r="AH539" s="17" t="s">
        <v>155</v>
      </c>
      <c r="AI539" s="17" t="s">
        <v>155</v>
      </c>
      <c r="AJ539" s="17" t="s">
        <v>664</v>
      </c>
      <c r="AK539" s="17" t="s">
        <v>155</v>
      </c>
      <c r="AL539" s="17" t="s">
        <v>155</v>
      </c>
      <c r="AX539" t="s">
        <v>164</v>
      </c>
      <c r="AY539" t="s">
        <v>165</v>
      </c>
      <c r="AZ539" t="s">
        <v>166</v>
      </c>
      <c r="BA539" t="s">
        <v>167</v>
      </c>
      <c r="BB539" t="s">
        <v>168</v>
      </c>
      <c r="BD539">
        <f t="shared" si="50"/>
        <v>0</v>
      </c>
      <c r="BE539">
        <f t="shared" si="51"/>
        <v>0</v>
      </c>
      <c r="BF539">
        <f t="shared" si="52"/>
        <v>0</v>
      </c>
      <c r="BG539">
        <f t="shared" si="53"/>
        <v>0</v>
      </c>
      <c r="BH539">
        <f t="shared" si="54"/>
        <v>0</v>
      </c>
      <c r="BI539">
        <f t="shared" si="55"/>
        <v>0</v>
      </c>
    </row>
    <row r="540" spans="10:61" x14ac:dyDescent="0.3">
      <c r="J540" t="s">
        <v>545</v>
      </c>
      <c r="K540" s="17" t="s">
        <v>155</v>
      </c>
      <c r="L540" s="17" t="s">
        <v>155</v>
      </c>
      <c r="M540" s="17" t="s">
        <v>664</v>
      </c>
      <c r="N540" s="17" t="s">
        <v>155</v>
      </c>
      <c r="O540" s="17" t="s">
        <v>155</v>
      </c>
      <c r="AW540" t="s">
        <v>545</v>
      </c>
      <c r="AX540" t="s">
        <v>155</v>
      </c>
      <c r="AY540" t="s">
        <v>155</v>
      </c>
      <c r="AZ540" t="s">
        <v>664</v>
      </c>
      <c r="BA540" t="s">
        <v>155</v>
      </c>
      <c r="BB540" t="s">
        <v>155</v>
      </c>
      <c r="BD540">
        <f t="shared" si="50"/>
        <v>0</v>
      </c>
      <c r="BE540">
        <f t="shared" si="51"/>
        <v>0</v>
      </c>
      <c r="BF540">
        <f t="shared" si="52"/>
        <v>0</v>
      </c>
      <c r="BG540">
        <f t="shared" si="53"/>
        <v>0</v>
      </c>
      <c r="BH540">
        <f t="shared" si="54"/>
        <v>0</v>
      </c>
      <c r="BI540">
        <f t="shared" si="55"/>
        <v>0</v>
      </c>
    </row>
    <row r="541" spans="10:61" x14ac:dyDescent="0.3">
      <c r="AG541" t="s">
        <v>751</v>
      </c>
      <c r="BD541">
        <f t="shared" si="50"/>
        <v>0</v>
      </c>
      <c r="BE541">
        <f t="shared" si="51"/>
        <v>0</v>
      </c>
      <c r="BF541">
        <f t="shared" si="52"/>
        <v>0</v>
      </c>
      <c r="BG541">
        <f t="shared" si="53"/>
        <v>0</v>
      </c>
      <c r="BH541">
        <f t="shared" si="54"/>
        <v>0</v>
      </c>
      <c r="BI541">
        <f t="shared" si="55"/>
        <v>0</v>
      </c>
    </row>
    <row r="542" spans="10:61" x14ac:dyDescent="0.3">
      <c r="J542" t="s">
        <v>751</v>
      </c>
      <c r="AH542" s="17" t="s">
        <v>164</v>
      </c>
      <c r="AI542" s="17" t="s">
        <v>165</v>
      </c>
      <c r="AJ542" s="17" t="s">
        <v>166</v>
      </c>
      <c r="AK542" s="17" t="s">
        <v>167</v>
      </c>
      <c r="AL542" s="17" t="s">
        <v>168</v>
      </c>
      <c r="AW542" t="s">
        <v>751</v>
      </c>
      <c r="BD542">
        <f t="shared" si="50"/>
        <v>0</v>
      </c>
      <c r="BE542">
        <f t="shared" si="51"/>
        <v>0</v>
      </c>
      <c r="BF542">
        <f t="shared" si="52"/>
        <v>0</v>
      </c>
      <c r="BG542">
        <f t="shared" si="53"/>
        <v>0</v>
      </c>
      <c r="BH542">
        <f t="shared" si="54"/>
        <v>0</v>
      </c>
      <c r="BI542">
        <f t="shared" si="55"/>
        <v>0</v>
      </c>
    </row>
    <row r="543" spans="10:61" x14ac:dyDescent="0.3">
      <c r="K543" s="17" t="s">
        <v>164</v>
      </c>
      <c r="L543" s="17" t="s">
        <v>165</v>
      </c>
      <c r="M543" s="17" t="s">
        <v>166</v>
      </c>
      <c r="N543" s="17" t="s">
        <v>167</v>
      </c>
      <c r="O543" s="17" t="s">
        <v>168</v>
      </c>
      <c r="AG543" t="s">
        <v>548</v>
      </c>
      <c r="AH543" s="17" t="s">
        <v>155</v>
      </c>
      <c r="AI543" s="17" t="s">
        <v>155</v>
      </c>
      <c r="AJ543" s="17" t="s">
        <v>421</v>
      </c>
      <c r="AK543" s="17" t="s">
        <v>155</v>
      </c>
      <c r="AL543" s="17" t="s">
        <v>421</v>
      </c>
      <c r="AX543" t="s">
        <v>164</v>
      </c>
      <c r="AY543" t="s">
        <v>165</v>
      </c>
      <c r="AZ543" t="s">
        <v>166</v>
      </c>
      <c r="BA543" t="s">
        <v>167</v>
      </c>
      <c r="BB543" t="s">
        <v>168</v>
      </c>
      <c r="BD543">
        <f t="shared" si="50"/>
        <v>0</v>
      </c>
      <c r="BE543">
        <f t="shared" si="51"/>
        <v>0</v>
      </c>
      <c r="BF543">
        <f t="shared" si="52"/>
        <v>0</v>
      </c>
      <c r="BG543">
        <f t="shared" si="53"/>
        <v>0</v>
      </c>
      <c r="BH543">
        <f t="shared" si="54"/>
        <v>0</v>
      </c>
      <c r="BI543">
        <f t="shared" si="55"/>
        <v>0</v>
      </c>
    </row>
    <row r="544" spans="10:61" x14ac:dyDescent="0.3">
      <c r="J544" t="s">
        <v>548</v>
      </c>
      <c r="K544" s="17" t="s">
        <v>155</v>
      </c>
      <c r="L544" s="17" t="s">
        <v>155</v>
      </c>
      <c r="M544" s="17" t="s">
        <v>421</v>
      </c>
      <c r="N544" s="17" t="s">
        <v>155</v>
      </c>
      <c r="O544" s="17" t="s">
        <v>421</v>
      </c>
      <c r="AG544" t="s">
        <v>549</v>
      </c>
      <c r="AH544" s="17" t="s">
        <v>155</v>
      </c>
      <c r="AI544" s="17" t="s">
        <v>155</v>
      </c>
      <c r="AJ544" s="17" t="s">
        <v>421</v>
      </c>
      <c r="AK544" s="17" t="s">
        <v>155</v>
      </c>
      <c r="AL544" s="17" t="s">
        <v>421</v>
      </c>
      <c r="AW544" t="s">
        <v>548</v>
      </c>
      <c r="AX544" t="s">
        <v>155</v>
      </c>
      <c r="AY544" t="s">
        <v>155</v>
      </c>
      <c r="AZ544" t="s">
        <v>421</v>
      </c>
      <c r="BA544" t="s">
        <v>155</v>
      </c>
      <c r="BB544" t="s">
        <v>421</v>
      </c>
      <c r="BD544">
        <f t="shared" si="50"/>
        <v>0</v>
      </c>
      <c r="BE544">
        <f t="shared" si="51"/>
        <v>0</v>
      </c>
      <c r="BF544">
        <f t="shared" si="52"/>
        <v>0</v>
      </c>
      <c r="BG544">
        <f t="shared" si="53"/>
        <v>0</v>
      </c>
      <c r="BH544">
        <f t="shared" si="54"/>
        <v>0</v>
      </c>
      <c r="BI544">
        <f t="shared" si="55"/>
        <v>0</v>
      </c>
    </row>
    <row r="545" spans="10:61" x14ac:dyDescent="0.3">
      <c r="J545" t="s">
        <v>549</v>
      </c>
      <c r="K545" s="17" t="s">
        <v>155</v>
      </c>
      <c r="L545" s="17" t="s">
        <v>155</v>
      </c>
      <c r="M545" s="17" t="s">
        <v>421</v>
      </c>
      <c r="N545" s="17" t="s">
        <v>155</v>
      </c>
      <c r="O545" s="17" t="s">
        <v>421</v>
      </c>
      <c r="AG545" t="s">
        <v>550</v>
      </c>
      <c r="AH545" s="17" t="s">
        <v>155</v>
      </c>
      <c r="AI545" s="17" t="s">
        <v>155</v>
      </c>
      <c r="AJ545" s="17" t="s">
        <v>421</v>
      </c>
      <c r="AK545" s="17" t="s">
        <v>155</v>
      </c>
      <c r="AL545" s="17" t="s">
        <v>421</v>
      </c>
      <c r="AW545" t="s">
        <v>549</v>
      </c>
      <c r="AX545" t="s">
        <v>155</v>
      </c>
      <c r="AY545" t="s">
        <v>155</v>
      </c>
      <c r="AZ545" t="s">
        <v>421</v>
      </c>
      <c r="BA545" t="s">
        <v>155</v>
      </c>
      <c r="BB545" t="s">
        <v>421</v>
      </c>
      <c r="BD545">
        <f t="shared" si="50"/>
        <v>0</v>
      </c>
      <c r="BE545">
        <f t="shared" si="51"/>
        <v>0</v>
      </c>
      <c r="BF545">
        <f t="shared" si="52"/>
        <v>0</v>
      </c>
      <c r="BG545">
        <f t="shared" si="53"/>
        <v>0</v>
      </c>
      <c r="BH545">
        <f t="shared" si="54"/>
        <v>0</v>
      </c>
      <c r="BI545">
        <f t="shared" si="55"/>
        <v>0</v>
      </c>
    </row>
    <row r="546" spans="10:61" x14ac:dyDescent="0.3">
      <c r="J546" t="s">
        <v>550</v>
      </c>
      <c r="K546" s="17" t="s">
        <v>155</v>
      </c>
      <c r="L546" s="17" t="s">
        <v>155</v>
      </c>
      <c r="M546" s="17" t="s">
        <v>421</v>
      </c>
      <c r="N546" s="17" t="s">
        <v>155</v>
      </c>
      <c r="O546" s="17" t="s">
        <v>421</v>
      </c>
      <c r="AW546" t="s">
        <v>550</v>
      </c>
      <c r="AX546" t="s">
        <v>155</v>
      </c>
      <c r="AY546" t="s">
        <v>155</v>
      </c>
      <c r="AZ546" t="s">
        <v>421</v>
      </c>
      <c r="BA546" t="s">
        <v>155</v>
      </c>
      <c r="BB546" t="s">
        <v>421</v>
      </c>
      <c r="BD546">
        <f t="shared" si="50"/>
        <v>0</v>
      </c>
      <c r="BE546">
        <f t="shared" si="51"/>
        <v>0</v>
      </c>
      <c r="BF546">
        <f t="shared" si="52"/>
        <v>0</v>
      </c>
      <c r="BG546">
        <f t="shared" si="53"/>
        <v>0</v>
      </c>
      <c r="BH546">
        <f t="shared" si="54"/>
        <v>0</v>
      </c>
      <c r="BI546">
        <f t="shared" si="55"/>
        <v>0</v>
      </c>
    </row>
    <row r="547" spans="10:61" x14ac:dyDescent="0.3">
      <c r="AG547" t="s">
        <v>839</v>
      </c>
      <c r="BD547">
        <f t="shared" si="50"/>
        <v>0</v>
      </c>
      <c r="BE547">
        <f t="shared" si="51"/>
        <v>0</v>
      </c>
      <c r="BF547">
        <f t="shared" si="52"/>
        <v>0</v>
      </c>
      <c r="BG547">
        <f t="shared" si="53"/>
        <v>0</v>
      </c>
      <c r="BH547">
        <f t="shared" si="54"/>
        <v>0</v>
      </c>
      <c r="BI547">
        <f t="shared" si="55"/>
        <v>0</v>
      </c>
    </row>
    <row r="548" spans="10:61" x14ac:dyDescent="0.3">
      <c r="J548" t="s">
        <v>839</v>
      </c>
      <c r="AH548" s="17" t="s">
        <v>164</v>
      </c>
      <c r="AI548" s="17" t="s">
        <v>165</v>
      </c>
      <c r="AJ548" s="17" t="s">
        <v>166</v>
      </c>
      <c r="AK548" s="17" t="s">
        <v>167</v>
      </c>
      <c r="AL548" s="17" t="s">
        <v>168</v>
      </c>
      <c r="AW548" t="s">
        <v>839</v>
      </c>
      <c r="BD548">
        <f t="shared" si="50"/>
        <v>0</v>
      </c>
      <c r="BE548">
        <f t="shared" si="51"/>
        <v>0</v>
      </c>
      <c r="BF548">
        <f t="shared" si="52"/>
        <v>0</v>
      </c>
      <c r="BG548">
        <f t="shared" si="53"/>
        <v>0</v>
      </c>
      <c r="BH548">
        <f t="shared" si="54"/>
        <v>0</v>
      </c>
      <c r="BI548">
        <f t="shared" si="55"/>
        <v>0</v>
      </c>
    </row>
    <row r="549" spans="10:61" x14ac:dyDescent="0.3">
      <c r="K549" s="17" t="s">
        <v>164</v>
      </c>
      <c r="L549" s="17" t="s">
        <v>165</v>
      </c>
      <c r="M549" s="17" t="s">
        <v>166</v>
      </c>
      <c r="N549" s="17" t="s">
        <v>167</v>
      </c>
      <c r="O549" s="17" t="s">
        <v>168</v>
      </c>
      <c r="AG549" t="s">
        <v>543</v>
      </c>
      <c r="AH549" s="17" t="s">
        <v>459</v>
      </c>
      <c r="AI549" s="17" t="s">
        <v>155</v>
      </c>
      <c r="AJ549" s="17" t="s">
        <v>155</v>
      </c>
      <c r="AK549" s="17" t="s">
        <v>155</v>
      </c>
      <c r="AL549" s="17" t="s">
        <v>155</v>
      </c>
      <c r="AX549" t="s">
        <v>164</v>
      </c>
      <c r="AY549" t="s">
        <v>165</v>
      </c>
      <c r="AZ549" t="s">
        <v>166</v>
      </c>
      <c r="BA549" t="s">
        <v>167</v>
      </c>
      <c r="BB549" t="s">
        <v>168</v>
      </c>
      <c r="BD549">
        <f t="shared" si="50"/>
        <v>0</v>
      </c>
      <c r="BE549">
        <f t="shared" si="51"/>
        <v>0</v>
      </c>
      <c r="BF549">
        <f t="shared" si="52"/>
        <v>0</v>
      </c>
      <c r="BG549">
        <f t="shared" si="53"/>
        <v>0</v>
      </c>
      <c r="BH549">
        <f t="shared" si="54"/>
        <v>0</v>
      </c>
      <c r="BI549">
        <f t="shared" si="55"/>
        <v>0</v>
      </c>
    </row>
    <row r="550" spans="10:61" x14ac:dyDescent="0.3">
      <c r="J550" t="s">
        <v>543</v>
      </c>
      <c r="K550" s="17" t="s">
        <v>459</v>
      </c>
      <c r="L550" s="17" t="s">
        <v>155</v>
      </c>
      <c r="M550" s="17" t="s">
        <v>155</v>
      </c>
      <c r="N550" s="17" t="s">
        <v>155</v>
      </c>
      <c r="O550" s="17" t="s">
        <v>155</v>
      </c>
      <c r="AG550" t="s">
        <v>544</v>
      </c>
      <c r="AH550" s="17" t="s">
        <v>459</v>
      </c>
      <c r="AI550" s="17" t="s">
        <v>155</v>
      </c>
      <c r="AJ550" s="17" t="s">
        <v>155</v>
      </c>
      <c r="AK550" s="17" t="s">
        <v>155</v>
      </c>
      <c r="AL550" s="17" t="s">
        <v>155</v>
      </c>
      <c r="AW550" t="s">
        <v>543</v>
      </c>
      <c r="AX550" t="s">
        <v>459</v>
      </c>
      <c r="AY550" t="s">
        <v>155</v>
      </c>
      <c r="AZ550" t="s">
        <v>155</v>
      </c>
      <c r="BA550" t="s">
        <v>155</v>
      </c>
      <c r="BB550" t="s">
        <v>155</v>
      </c>
      <c r="BD550">
        <f t="shared" si="50"/>
        <v>0</v>
      </c>
      <c r="BE550">
        <f t="shared" si="51"/>
        <v>0</v>
      </c>
      <c r="BF550">
        <f t="shared" si="52"/>
        <v>0</v>
      </c>
      <c r="BG550">
        <f t="shared" si="53"/>
        <v>0</v>
      </c>
      <c r="BH550">
        <f t="shared" si="54"/>
        <v>0</v>
      </c>
      <c r="BI550">
        <f t="shared" si="55"/>
        <v>0</v>
      </c>
    </row>
    <row r="551" spans="10:61" x14ac:dyDescent="0.3">
      <c r="J551" t="s">
        <v>544</v>
      </c>
      <c r="K551" s="17" t="s">
        <v>459</v>
      </c>
      <c r="L551" s="17" t="s">
        <v>155</v>
      </c>
      <c r="M551" s="17" t="s">
        <v>155</v>
      </c>
      <c r="N551" s="17" t="s">
        <v>155</v>
      </c>
      <c r="O551" s="17" t="s">
        <v>155</v>
      </c>
      <c r="AG551" t="s">
        <v>545</v>
      </c>
      <c r="AH551" s="17" t="s">
        <v>459</v>
      </c>
      <c r="AI551" s="17" t="s">
        <v>155</v>
      </c>
      <c r="AJ551" s="17" t="s">
        <v>155</v>
      </c>
      <c r="AK551" s="17" t="s">
        <v>155</v>
      </c>
      <c r="AL551" s="17" t="s">
        <v>155</v>
      </c>
      <c r="AW551" t="s">
        <v>544</v>
      </c>
      <c r="AX551" t="s">
        <v>459</v>
      </c>
      <c r="AY551" t="s">
        <v>155</v>
      </c>
      <c r="AZ551" t="s">
        <v>155</v>
      </c>
      <c r="BA551" t="s">
        <v>155</v>
      </c>
      <c r="BB551" t="s">
        <v>155</v>
      </c>
      <c r="BD551">
        <f t="shared" si="50"/>
        <v>0</v>
      </c>
      <c r="BE551">
        <f t="shared" si="51"/>
        <v>0</v>
      </c>
      <c r="BF551">
        <f t="shared" si="52"/>
        <v>0</v>
      </c>
      <c r="BG551">
        <f t="shared" si="53"/>
        <v>0</v>
      </c>
      <c r="BH551">
        <f t="shared" si="54"/>
        <v>0</v>
      </c>
      <c r="BI551">
        <f t="shared" si="55"/>
        <v>0</v>
      </c>
    </row>
    <row r="552" spans="10:61" x14ac:dyDescent="0.3">
      <c r="J552" t="s">
        <v>545</v>
      </c>
      <c r="K552" s="17" t="s">
        <v>459</v>
      </c>
      <c r="L552" s="17" t="s">
        <v>155</v>
      </c>
      <c r="M552" s="17" t="s">
        <v>155</v>
      </c>
      <c r="N552" s="17" t="s">
        <v>155</v>
      </c>
      <c r="O552" s="17" t="s">
        <v>155</v>
      </c>
      <c r="AW552" t="s">
        <v>545</v>
      </c>
      <c r="AX552" t="s">
        <v>459</v>
      </c>
      <c r="AY552" t="s">
        <v>155</v>
      </c>
      <c r="AZ552" t="s">
        <v>155</v>
      </c>
      <c r="BA552" t="s">
        <v>155</v>
      </c>
      <c r="BB552" t="s">
        <v>155</v>
      </c>
      <c r="BD552">
        <f t="shared" si="50"/>
        <v>0</v>
      </c>
      <c r="BE552">
        <f t="shared" si="51"/>
        <v>0</v>
      </c>
      <c r="BF552">
        <f t="shared" si="52"/>
        <v>0</v>
      </c>
      <c r="BG552">
        <f t="shared" si="53"/>
        <v>0</v>
      </c>
      <c r="BH552">
        <f t="shared" si="54"/>
        <v>0</v>
      </c>
      <c r="BI552">
        <f t="shared" si="55"/>
        <v>0</v>
      </c>
    </row>
    <row r="553" spans="10:61" x14ac:dyDescent="0.3">
      <c r="AG553" t="s">
        <v>957</v>
      </c>
      <c r="BD553">
        <f t="shared" si="50"/>
        <v>0</v>
      </c>
      <c r="BE553">
        <f t="shared" si="51"/>
        <v>0</v>
      </c>
      <c r="BF553">
        <f t="shared" si="52"/>
        <v>0</v>
      </c>
      <c r="BG553">
        <f t="shared" si="53"/>
        <v>0</v>
      </c>
      <c r="BH553">
        <f t="shared" si="54"/>
        <v>0</v>
      </c>
      <c r="BI553">
        <f t="shared" si="55"/>
        <v>0</v>
      </c>
    </row>
    <row r="554" spans="10:61" x14ac:dyDescent="0.3">
      <c r="J554" t="s">
        <v>957</v>
      </c>
      <c r="AH554" s="17" t="s">
        <v>164</v>
      </c>
      <c r="AI554" s="17" t="s">
        <v>165</v>
      </c>
      <c r="AJ554" s="17" t="s">
        <v>166</v>
      </c>
      <c r="AK554" s="17" t="s">
        <v>167</v>
      </c>
      <c r="AL554" s="17" t="s">
        <v>168</v>
      </c>
      <c r="AW554" t="s">
        <v>957</v>
      </c>
      <c r="BD554">
        <f t="shared" si="50"/>
        <v>0</v>
      </c>
      <c r="BE554">
        <f t="shared" si="51"/>
        <v>0</v>
      </c>
      <c r="BF554">
        <f t="shared" si="52"/>
        <v>0</v>
      </c>
      <c r="BG554">
        <f t="shared" si="53"/>
        <v>0</v>
      </c>
      <c r="BH554">
        <f t="shared" si="54"/>
        <v>0</v>
      </c>
      <c r="BI554">
        <f t="shared" si="55"/>
        <v>0</v>
      </c>
    </row>
    <row r="555" spans="10:61" x14ac:dyDescent="0.3">
      <c r="K555" s="17" t="s">
        <v>164</v>
      </c>
      <c r="L555" s="17" t="s">
        <v>165</v>
      </c>
      <c r="M555" s="17" t="s">
        <v>166</v>
      </c>
      <c r="N555" s="17" t="s">
        <v>167</v>
      </c>
      <c r="O555" s="17" t="s">
        <v>168</v>
      </c>
      <c r="AG555" t="s">
        <v>542</v>
      </c>
      <c r="AH555" s="17" t="s">
        <v>155</v>
      </c>
      <c r="AI555" s="17" t="s">
        <v>155</v>
      </c>
      <c r="AJ555" s="17" t="s">
        <v>155</v>
      </c>
      <c r="AK555" s="17" t="s">
        <v>528</v>
      </c>
      <c r="AL555" s="17" t="s">
        <v>155</v>
      </c>
      <c r="AX555" t="s">
        <v>164</v>
      </c>
      <c r="AY555" t="s">
        <v>165</v>
      </c>
      <c r="AZ555" t="s">
        <v>166</v>
      </c>
      <c r="BA555" t="s">
        <v>167</v>
      </c>
      <c r="BB555" t="s">
        <v>168</v>
      </c>
      <c r="BD555">
        <f t="shared" si="50"/>
        <v>0</v>
      </c>
      <c r="BE555">
        <f t="shared" si="51"/>
        <v>0</v>
      </c>
      <c r="BF555">
        <f t="shared" si="52"/>
        <v>0</v>
      </c>
      <c r="BG555">
        <f t="shared" si="53"/>
        <v>0</v>
      </c>
      <c r="BH555">
        <f t="shared" si="54"/>
        <v>0</v>
      </c>
      <c r="BI555">
        <f t="shared" si="55"/>
        <v>0</v>
      </c>
    </row>
    <row r="556" spans="10:61" x14ac:dyDescent="0.3">
      <c r="J556" t="s">
        <v>542</v>
      </c>
      <c r="K556" s="17" t="s">
        <v>155</v>
      </c>
      <c r="L556" s="17" t="s">
        <v>155</v>
      </c>
      <c r="M556" s="17" t="s">
        <v>155</v>
      </c>
      <c r="N556" s="17" t="s">
        <v>528</v>
      </c>
      <c r="O556" s="17" t="s">
        <v>155</v>
      </c>
      <c r="AG556" t="s">
        <v>543</v>
      </c>
      <c r="AH556" s="17" t="s">
        <v>155</v>
      </c>
      <c r="AI556" s="17" t="s">
        <v>155</v>
      </c>
      <c r="AJ556" s="17" t="s">
        <v>528</v>
      </c>
      <c r="AK556" s="17" t="s">
        <v>528</v>
      </c>
      <c r="AL556" s="17" t="s">
        <v>155</v>
      </c>
      <c r="AW556" t="s">
        <v>542</v>
      </c>
      <c r="AX556" t="s">
        <v>155</v>
      </c>
      <c r="AY556" t="s">
        <v>155</v>
      </c>
      <c r="AZ556" t="s">
        <v>155</v>
      </c>
      <c r="BA556" t="s">
        <v>528</v>
      </c>
      <c r="BB556" t="s">
        <v>155</v>
      </c>
      <c r="BD556">
        <f t="shared" si="50"/>
        <v>0</v>
      </c>
      <c r="BE556">
        <f t="shared" si="51"/>
        <v>0</v>
      </c>
      <c r="BF556">
        <f t="shared" si="52"/>
        <v>0</v>
      </c>
      <c r="BG556">
        <f t="shared" si="53"/>
        <v>0</v>
      </c>
      <c r="BH556">
        <f t="shared" si="54"/>
        <v>0</v>
      </c>
      <c r="BI556">
        <f t="shared" si="55"/>
        <v>0</v>
      </c>
    </row>
    <row r="557" spans="10:61" x14ac:dyDescent="0.3">
      <c r="J557" t="s">
        <v>543</v>
      </c>
      <c r="K557" s="17" t="s">
        <v>155</v>
      </c>
      <c r="L557" s="17" t="s">
        <v>155</v>
      </c>
      <c r="M557" s="17" t="s">
        <v>528</v>
      </c>
      <c r="N557" s="17" t="s">
        <v>528</v>
      </c>
      <c r="O557" s="17" t="s">
        <v>155</v>
      </c>
      <c r="AG557" t="s">
        <v>544</v>
      </c>
      <c r="AH557" s="17" t="s">
        <v>155</v>
      </c>
      <c r="AI557" s="17" t="s">
        <v>155</v>
      </c>
      <c r="AJ557" s="17" t="s">
        <v>528</v>
      </c>
      <c r="AK557" s="17" t="s">
        <v>155</v>
      </c>
      <c r="AL557" s="17" t="s">
        <v>155</v>
      </c>
      <c r="AW557" t="s">
        <v>543</v>
      </c>
      <c r="AX557" t="s">
        <v>155</v>
      </c>
      <c r="AY557" t="s">
        <v>155</v>
      </c>
      <c r="AZ557" t="s">
        <v>528</v>
      </c>
      <c r="BA557" t="s">
        <v>528</v>
      </c>
      <c r="BB557" t="s">
        <v>155</v>
      </c>
      <c r="BD557">
        <f t="shared" si="50"/>
        <v>0</v>
      </c>
      <c r="BE557">
        <f t="shared" si="51"/>
        <v>0</v>
      </c>
      <c r="BF557">
        <f t="shared" si="52"/>
        <v>0</v>
      </c>
      <c r="BG557">
        <f t="shared" si="53"/>
        <v>0</v>
      </c>
      <c r="BH557">
        <f t="shared" si="54"/>
        <v>0</v>
      </c>
      <c r="BI557">
        <f t="shared" si="55"/>
        <v>0</v>
      </c>
    </row>
    <row r="558" spans="10:61" x14ac:dyDescent="0.3">
      <c r="J558" t="s">
        <v>544</v>
      </c>
      <c r="K558" s="17" t="s">
        <v>155</v>
      </c>
      <c r="L558" s="17" t="s">
        <v>155</v>
      </c>
      <c r="M558" s="17" t="s">
        <v>528</v>
      </c>
      <c r="N558" s="17" t="s">
        <v>155</v>
      </c>
      <c r="O558" s="17" t="s">
        <v>155</v>
      </c>
      <c r="AW558" t="s">
        <v>544</v>
      </c>
      <c r="AX558" t="s">
        <v>155</v>
      </c>
      <c r="AY558" t="s">
        <v>155</v>
      </c>
      <c r="AZ558" t="s">
        <v>528</v>
      </c>
      <c r="BA558" t="s">
        <v>155</v>
      </c>
      <c r="BB558" t="s">
        <v>155</v>
      </c>
      <c r="BD558">
        <f t="shared" si="50"/>
        <v>0</v>
      </c>
      <c r="BE558">
        <f t="shared" si="51"/>
        <v>0</v>
      </c>
      <c r="BF558">
        <f t="shared" si="52"/>
        <v>0</v>
      </c>
      <c r="BG558">
        <f t="shared" si="53"/>
        <v>0</v>
      </c>
      <c r="BH558">
        <f t="shared" si="54"/>
        <v>0</v>
      </c>
      <c r="BI558">
        <f t="shared" si="55"/>
        <v>0</v>
      </c>
    </row>
    <row r="559" spans="10:61" x14ac:dyDescent="0.3">
      <c r="AG559" t="s">
        <v>729</v>
      </c>
      <c r="BD559">
        <f t="shared" si="50"/>
        <v>0</v>
      </c>
      <c r="BE559">
        <f t="shared" si="51"/>
        <v>0</v>
      </c>
      <c r="BF559">
        <f t="shared" si="52"/>
        <v>0</v>
      </c>
      <c r="BG559">
        <f t="shared" si="53"/>
        <v>0</v>
      </c>
      <c r="BH559">
        <f t="shared" si="54"/>
        <v>0</v>
      </c>
      <c r="BI559">
        <f t="shared" si="55"/>
        <v>0</v>
      </c>
    </row>
    <row r="560" spans="10:61" x14ac:dyDescent="0.3">
      <c r="J560" t="s">
        <v>729</v>
      </c>
      <c r="AH560" s="17" t="s">
        <v>164</v>
      </c>
      <c r="AI560" s="17" t="s">
        <v>165</v>
      </c>
      <c r="AJ560" s="17" t="s">
        <v>166</v>
      </c>
      <c r="AK560" s="17" t="s">
        <v>167</v>
      </c>
      <c r="AL560" s="17" t="s">
        <v>168</v>
      </c>
      <c r="AW560" t="s">
        <v>729</v>
      </c>
      <c r="BD560">
        <f t="shared" si="50"/>
        <v>0</v>
      </c>
      <c r="BE560">
        <f t="shared" si="51"/>
        <v>0</v>
      </c>
      <c r="BF560">
        <f t="shared" si="52"/>
        <v>0</v>
      </c>
      <c r="BG560">
        <f t="shared" si="53"/>
        <v>0</v>
      </c>
      <c r="BH560">
        <f t="shared" si="54"/>
        <v>0</v>
      </c>
      <c r="BI560">
        <f t="shared" si="55"/>
        <v>0</v>
      </c>
    </row>
    <row r="561" spans="10:61" x14ac:dyDescent="0.3">
      <c r="K561" s="17" t="s">
        <v>164</v>
      </c>
      <c r="L561" s="17" t="s">
        <v>165</v>
      </c>
      <c r="M561" s="17" t="s">
        <v>166</v>
      </c>
      <c r="N561" s="17" t="s">
        <v>167</v>
      </c>
      <c r="O561" s="17" t="s">
        <v>168</v>
      </c>
      <c r="AG561" t="s">
        <v>548</v>
      </c>
      <c r="AH561" s="17" t="s">
        <v>155</v>
      </c>
      <c r="AI561" s="17" t="s">
        <v>155</v>
      </c>
      <c r="AJ561" s="17" t="s">
        <v>323</v>
      </c>
      <c r="AK561" s="17" t="s">
        <v>155</v>
      </c>
      <c r="AL561" s="17" t="s">
        <v>155</v>
      </c>
      <c r="AX561" t="s">
        <v>164</v>
      </c>
      <c r="AY561" t="s">
        <v>165</v>
      </c>
      <c r="AZ561" t="s">
        <v>166</v>
      </c>
      <c r="BA561" t="s">
        <v>167</v>
      </c>
      <c r="BB561" t="s">
        <v>168</v>
      </c>
      <c r="BD561">
        <f t="shared" si="50"/>
        <v>0</v>
      </c>
      <c r="BE561">
        <f t="shared" si="51"/>
        <v>0</v>
      </c>
      <c r="BF561">
        <f t="shared" si="52"/>
        <v>0</v>
      </c>
      <c r="BG561">
        <f t="shared" si="53"/>
        <v>0</v>
      </c>
      <c r="BH561">
        <f t="shared" si="54"/>
        <v>0</v>
      </c>
      <c r="BI561">
        <f t="shared" si="55"/>
        <v>0</v>
      </c>
    </row>
    <row r="562" spans="10:61" x14ac:dyDescent="0.3">
      <c r="J562" t="s">
        <v>548</v>
      </c>
      <c r="K562" s="17" t="s">
        <v>155</v>
      </c>
      <c r="L562" s="17" t="s">
        <v>155</v>
      </c>
      <c r="M562" s="17" t="s">
        <v>323</v>
      </c>
      <c r="N562" s="17" t="s">
        <v>155</v>
      </c>
      <c r="O562" s="17" t="s">
        <v>155</v>
      </c>
      <c r="AG562" t="s">
        <v>549</v>
      </c>
      <c r="AH562" s="17" t="s">
        <v>155</v>
      </c>
      <c r="AI562" s="17" t="s">
        <v>155</v>
      </c>
      <c r="AJ562" s="17" t="s">
        <v>323</v>
      </c>
      <c r="AK562" s="17" t="s">
        <v>155</v>
      </c>
      <c r="AL562" s="17" t="s">
        <v>155</v>
      </c>
      <c r="AW562" t="s">
        <v>548</v>
      </c>
      <c r="AX562" t="s">
        <v>155</v>
      </c>
      <c r="AY562" t="s">
        <v>155</v>
      </c>
      <c r="AZ562" t="s">
        <v>323</v>
      </c>
      <c r="BA562" t="s">
        <v>155</v>
      </c>
      <c r="BB562" t="s">
        <v>155</v>
      </c>
      <c r="BD562">
        <f t="shared" si="50"/>
        <v>0</v>
      </c>
      <c r="BE562">
        <f t="shared" si="51"/>
        <v>0</v>
      </c>
      <c r="BF562">
        <f t="shared" si="52"/>
        <v>0</v>
      </c>
      <c r="BG562">
        <f t="shared" si="53"/>
        <v>0</v>
      </c>
      <c r="BH562">
        <f t="shared" si="54"/>
        <v>0</v>
      </c>
      <c r="BI562">
        <f t="shared" si="55"/>
        <v>0</v>
      </c>
    </row>
    <row r="563" spans="10:61" x14ac:dyDescent="0.3">
      <c r="J563" t="s">
        <v>549</v>
      </c>
      <c r="K563" s="17" t="s">
        <v>155</v>
      </c>
      <c r="L563" s="17" t="s">
        <v>155</v>
      </c>
      <c r="M563" s="17" t="s">
        <v>323</v>
      </c>
      <c r="N563" s="17" t="s">
        <v>155</v>
      </c>
      <c r="O563" s="17" t="s">
        <v>155</v>
      </c>
      <c r="AG563" t="s">
        <v>159</v>
      </c>
      <c r="AH563" s="17" t="s">
        <v>155</v>
      </c>
      <c r="AI563" s="17" t="s">
        <v>323</v>
      </c>
      <c r="AJ563" s="17" t="s">
        <v>155</v>
      </c>
      <c r="AK563" s="17" t="s">
        <v>155</v>
      </c>
      <c r="AL563" s="17" t="s">
        <v>155</v>
      </c>
      <c r="AW563" t="s">
        <v>549</v>
      </c>
      <c r="AX563" t="s">
        <v>155</v>
      </c>
      <c r="AY563" t="s">
        <v>155</v>
      </c>
      <c r="AZ563" t="s">
        <v>323</v>
      </c>
      <c r="BA563" t="s">
        <v>155</v>
      </c>
      <c r="BB563" t="s">
        <v>155</v>
      </c>
      <c r="BD563">
        <f t="shared" si="50"/>
        <v>0</v>
      </c>
      <c r="BE563">
        <f t="shared" si="51"/>
        <v>0</v>
      </c>
      <c r="BF563">
        <f t="shared" si="52"/>
        <v>0</v>
      </c>
      <c r="BG563">
        <f t="shared" si="53"/>
        <v>0</v>
      </c>
      <c r="BH563">
        <f t="shared" si="54"/>
        <v>0</v>
      </c>
      <c r="BI563">
        <f t="shared" si="55"/>
        <v>0</v>
      </c>
    </row>
    <row r="564" spans="10:61" x14ac:dyDescent="0.3">
      <c r="J564" t="s">
        <v>159</v>
      </c>
      <c r="K564" s="17" t="s">
        <v>155</v>
      </c>
      <c r="L564" s="17" t="s">
        <v>323</v>
      </c>
      <c r="M564" s="17" t="s">
        <v>155</v>
      </c>
      <c r="N564" s="17" t="s">
        <v>155</v>
      </c>
      <c r="O564" s="17" t="s">
        <v>155</v>
      </c>
      <c r="AG564" t="s">
        <v>160</v>
      </c>
      <c r="AH564" s="17" t="s">
        <v>155</v>
      </c>
      <c r="AI564" s="17" t="s">
        <v>323</v>
      </c>
      <c r="AJ564" s="17" t="s">
        <v>155</v>
      </c>
      <c r="AK564" s="17" t="s">
        <v>155</v>
      </c>
      <c r="AL564" s="17" t="s">
        <v>155</v>
      </c>
      <c r="AW564" t="s">
        <v>159</v>
      </c>
      <c r="AX564" t="s">
        <v>155</v>
      </c>
      <c r="AY564" t="s">
        <v>323</v>
      </c>
      <c r="AZ564" t="s">
        <v>155</v>
      </c>
      <c r="BA564" t="s">
        <v>155</v>
      </c>
      <c r="BB564" t="s">
        <v>155</v>
      </c>
      <c r="BD564">
        <f t="shared" si="50"/>
        <v>0</v>
      </c>
      <c r="BE564">
        <f t="shared" si="51"/>
        <v>0</v>
      </c>
      <c r="BF564">
        <f t="shared" si="52"/>
        <v>0</v>
      </c>
      <c r="BG564">
        <f t="shared" si="53"/>
        <v>0</v>
      </c>
      <c r="BH564">
        <f t="shared" si="54"/>
        <v>0</v>
      </c>
      <c r="BI564">
        <f t="shared" si="55"/>
        <v>0</v>
      </c>
    </row>
    <row r="565" spans="10:61" x14ac:dyDescent="0.3">
      <c r="J565" t="s">
        <v>160</v>
      </c>
      <c r="K565" s="17" t="s">
        <v>155</v>
      </c>
      <c r="L565" s="17" t="s">
        <v>323</v>
      </c>
      <c r="M565" s="17" t="s">
        <v>155</v>
      </c>
      <c r="N565" s="17" t="s">
        <v>155</v>
      </c>
      <c r="O565" s="17" t="s">
        <v>155</v>
      </c>
      <c r="AW565" t="s">
        <v>160</v>
      </c>
      <c r="AX565" t="s">
        <v>155</v>
      </c>
      <c r="AY565" t="s">
        <v>323</v>
      </c>
      <c r="AZ565" t="s">
        <v>155</v>
      </c>
      <c r="BA565" t="s">
        <v>155</v>
      </c>
      <c r="BB565" t="s">
        <v>155</v>
      </c>
      <c r="BD565">
        <f t="shared" si="50"/>
        <v>0</v>
      </c>
      <c r="BE565">
        <f t="shared" si="51"/>
        <v>0</v>
      </c>
      <c r="BF565">
        <f t="shared" si="52"/>
        <v>0</v>
      </c>
      <c r="BG565">
        <f t="shared" si="53"/>
        <v>0</v>
      </c>
      <c r="BH565">
        <f t="shared" si="54"/>
        <v>0</v>
      </c>
      <c r="BI565">
        <f t="shared" si="55"/>
        <v>0</v>
      </c>
    </row>
    <row r="566" spans="10:61" x14ac:dyDescent="0.3">
      <c r="AG566" t="s">
        <v>749</v>
      </c>
      <c r="BD566">
        <f t="shared" si="50"/>
        <v>0</v>
      </c>
      <c r="BE566">
        <f t="shared" si="51"/>
        <v>0</v>
      </c>
      <c r="BF566">
        <f t="shared" si="52"/>
        <v>0</v>
      </c>
      <c r="BG566">
        <f t="shared" si="53"/>
        <v>0</v>
      </c>
      <c r="BH566">
        <f t="shared" si="54"/>
        <v>0</v>
      </c>
      <c r="BI566">
        <f t="shared" si="55"/>
        <v>0</v>
      </c>
    </row>
    <row r="567" spans="10:61" x14ac:dyDescent="0.3">
      <c r="J567" t="s">
        <v>749</v>
      </c>
      <c r="AH567" s="17" t="s">
        <v>164</v>
      </c>
      <c r="AI567" s="17" t="s">
        <v>165</v>
      </c>
      <c r="AJ567" s="17" t="s">
        <v>166</v>
      </c>
      <c r="AK567" s="17" t="s">
        <v>167</v>
      </c>
      <c r="AL567" s="17" t="s">
        <v>168</v>
      </c>
      <c r="AW567" t="s">
        <v>749</v>
      </c>
      <c r="BD567">
        <f t="shared" si="50"/>
        <v>0</v>
      </c>
      <c r="BE567">
        <f t="shared" si="51"/>
        <v>0</v>
      </c>
      <c r="BF567">
        <f t="shared" si="52"/>
        <v>0</v>
      </c>
      <c r="BG567">
        <f t="shared" si="53"/>
        <v>0</v>
      </c>
      <c r="BH567">
        <f t="shared" si="54"/>
        <v>0</v>
      </c>
      <c r="BI567">
        <f t="shared" si="55"/>
        <v>0</v>
      </c>
    </row>
    <row r="568" spans="10:61" x14ac:dyDescent="0.3">
      <c r="K568" s="17" t="s">
        <v>164</v>
      </c>
      <c r="L568" s="17" t="s">
        <v>165</v>
      </c>
      <c r="M568" s="17" t="s">
        <v>166</v>
      </c>
      <c r="N568" s="17" t="s">
        <v>167</v>
      </c>
      <c r="O568" s="17" t="s">
        <v>168</v>
      </c>
      <c r="AG568" t="s">
        <v>548</v>
      </c>
      <c r="AH568" s="17" t="s">
        <v>372</v>
      </c>
      <c r="AI568" s="17" t="s">
        <v>155</v>
      </c>
      <c r="AJ568" s="17" t="s">
        <v>155</v>
      </c>
      <c r="AK568" s="17" t="s">
        <v>155</v>
      </c>
      <c r="AL568" s="17" t="s">
        <v>155</v>
      </c>
      <c r="AX568" t="s">
        <v>164</v>
      </c>
      <c r="AY568" t="s">
        <v>165</v>
      </c>
      <c r="AZ568" t="s">
        <v>166</v>
      </c>
      <c r="BA568" t="s">
        <v>167</v>
      </c>
      <c r="BB568" t="s">
        <v>168</v>
      </c>
      <c r="BD568">
        <f t="shared" si="50"/>
        <v>0</v>
      </c>
      <c r="BE568">
        <f t="shared" si="51"/>
        <v>0</v>
      </c>
      <c r="BF568">
        <f t="shared" si="52"/>
        <v>0</v>
      </c>
      <c r="BG568">
        <f t="shared" si="53"/>
        <v>0</v>
      </c>
      <c r="BH568">
        <f t="shared" si="54"/>
        <v>0</v>
      </c>
      <c r="BI568">
        <f t="shared" si="55"/>
        <v>0</v>
      </c>
    </row>
    <row r="569" spans="10:61" x14ac:dyDescent="0.3">
      <c r="J569" t="s">
        <v>548</v>
      </c>
      <c r="K569" s="17" t="s">
        <v>372</v>
      </c>
      <c r="L569" s="17" t="s">
        <v>155</v>
      </c>
      <c r="M569" s="17" t="s">
        <v>155</v>
      </c>
      <c r="N569" s="17" t="s">
        <v>155</v>
      </c>
      <c r="O569" s="17" t="s">
        <v>155</v>
      </c>
      <c r="AG569" t="s">
        <v>549</v>
      </c>
      <c r="AH569" s="17" t="s">
        <v>372</v>
      </c>
      <c r="AI569" s="17" t="s">
        <v>155</v>
      </c>
      <c r="AJ569" s="17" t="s">
        <v>155</v>
      </c>
      <c r="AK569" s="17" t="s">
        <v>155</v>
      </c>
      <c r="AL569" s="17" t="s">
        <v>155</v>
      </c>
      <c r="AW569" t="s">
        <v>548</v>
      </c>
      <c r="AX569" t="s">
        <v>372</v>
      </c>
      <c r="AY569" t="s">
        <v>155</v>
      </c>
      <c r="AZ569" t="s">
        <v>155</v>
      </c>
      <c r="BA569" t="s">
        <v>155</v>
      </c>
      <c r="BB569" t="s">
        <v>155</v>
      </c>
      <c r="BD569">
        <f t="shared" si="50"/>
        <v>0</v>
      </c>
      <c r="BE569">
        <f t="shared" si="51"/>
        <v>0</v>
      </c>
      <c r="BF569">
        <f t="shared" si="52"/>
        <v>0</v>
      </c>
      <c r="BG569">
        <f t="shared" si="53"/>
        <v>0</v>
      </c>
      <c r="BH569">
        <f t="shared" si="54"/>
        <v>0</v>
      </c>
      <c r="BI569">
        <f t="shared" si="55"/>
        <v>0</v>
      </c>
    </row>
    <row r="570" spans="10:61" x14ac:dyDescent="0.3">
      <c r="J570" t="s">
        <v>549</v>
      </c>
      <c r="K570" s="17" t="s">
        <v>372</v>
      </c>
      <c r="L570" s="17" t="s">
        <v>155</v>
      </c>
      <c r="M570" s="17" t="s">
        <v>155</v>
      </c>
      <c r="N570" s="17" t="s">
        <v>155</v>
      </c>
      <c r="O570" s="17" t="s">
        <v>155</v>
      </c>
      <c r="AG570" t="s">
        <v>550</v>
      </c>
      <c r="AH570" s="17" t="s">
        <v>372</v>
      </c>
      <c r="AI570" s="17" t="s">
        <v>155</v>
      </c>
      <c r="AJ570" s="17" t="s">
        <v>155</v>
      </c>
      <c r="AK570" s="17" t="s">
        <v>155</v>
      </c>
      <c r="AL570" s="17" t="s">
        <v>155</v>
      </c>
      <c r="AW570" t="s">
        <v>549</v>
      </c>
      <c r="AX570" t="s">
        <v>372</v>
      </c>
      <c r="AY570" t="s">
        <v>155</v>
      </c>
      <c r="AZ570" t="s">
        <v>155</v>
      </c>
      <c r="BA570" t="s">
        <v>155</v>
      </c>
      <c r="BB570" t="s">
        <v>155</v>
      </c>
      <c r="BD570">
        <f t="shared" si="50"/>
        <v>0</v>
      </c>
      <c r="BE570">
        <f t="shared" si="51"/>
        <v>0</v>
      </c>
      <c r="BF570">
        <f t="shared" si="52"/>
        <v>0</v>
      </c>
      <c r="BG570">
        <f t="shared" si="53"/>
        <v>0</v>
      </c>
      <c r="BH570">
        <f t="shared" si="54"/>
        <v>0</v>
      </c>
      <c r="BI570">
        <f t="shared" si="55"/>
        <v>0</v>
      </c>
    </row>
    <row r="571" spans="10:61" x14ac:dyDescent="0.3">
      <c r="J571" t="s">
        <v>550</v>
      </c>
      <c r="K571" s="17" t="s">
        <v>372</v>
      </c>
      <c r="L571" s="17" t="s">
        <v>155</v>
      </c>
      <c r="M571" s="17" t="s">
        <v>155</v>
      </c>
      <c r="N571" s="17" t="s">
        <v>155</v>
      </c>
      <c r="O571" s="17" t="s">
        <v>155</v>
      </c>
      <c r="AG571" t="s">
        <v>158</v>
      </c>
      <c r="AH571" s="17" t="s">
        <v>372</v>
      </c>
      <c r="AI571" s="17" t="s">
        <v>155</v>
      </c>
      <c r="AJ571" s="17" t="s">
        <v>155</v>
      </c>
      <c r="AK571" s="17" t="s">
        <v>155</v>
      </c>
      <c r="AL571" s="17" t="s">
        <v>155</v>
      </c>
      <c r="AW571" t="s">
        <v>550</v>
      </c>
      <c r="AX571" t="s">
        <v>372</v>
      </c>
      <c r="AY571" t="s">
        <v>155</v>
      </c>
      <c r="AZ571" t="s">
        <v>155</v>
      </c>
      <c r="BA571" t="s">
        <v>155</v>
      </c>
      <c r="BB571" t="s">
        <v>155</v>
      </c>
      <c r="BD571">
        <f t="shared" si="50"/>
        <v>0</v>
      </c>
      <c r="BE571">
        <f t="shared" si="51"/>
        <v>0</v>
      </c>
      <c r="BF571">
        <f t="shared" si="52"/>
        <v>0</v>
      </c>
      <c r="BG571">
        <f t="shared" si="53"/>
        <v>0</v>
      </c>
      <c r="BH571">
        <f t="shared" si="54"/>
        <v>0</v>
      </c>
      <c r="BI571">
        <f t="shared" si="55"/>
        <v>0</v>
      </c>
    </row>
    <row r="572" spans="10:61" x14ac:dyDescent="0.3">
      <c r="J572" t="s">
        <v>158</v>
      </c>
      <c r="K572" s="17" t="s">
        <v>372</v>
      </c>
      <c r="L572" s="17" t="s">
        <v>155</v>
      </c>
      <c r="M572" s="17" t="s">
        <v>155</v>
      </c>
      <c r="N572" s="17" t="s">
        <v>155</v>
      </c>
      <c r="O572" s="17" t="s">
        <v>155</v>
      </c>
      <c r="AG572" t="s">
        <v>159</v>
      </c>
      <c r="AH572" s="17" t="s">
        <v>372</v>
      </c>
      <c r="AI572" s="17" t="s">
        <v>155</v>
      </c>
      <c r="AJ572" s="17" t="s">
        <v>155</v>
      </c>
      <c r="AK572" s="17" t="s">
        <v>155</v>
      </c>
      <c r="AL572" s="17" t="s">
        <v>155</v>
      </c>
      <c r="AW572" t="s">
        <v>158</v>
      </c>
      <c r="AX572" t="s">
        <v>372</v>
      </c>
      <c r="AY572" t="s">
        <v>155</v>
      </c>
      <c r="AZ572" t="s">
        <v>155</v>
      </c>
      <c r="BA572" t="s">
        <v>155</v>
      </c>
      <c r="BB572" t="s">
        <v>155</v>
      </c>
      <c r="BD572">
        <f t="shared" si="50"/>
        <v>0</v>
      </c>
      <c r="BE572">
        <f t="shared" si="51"/>
        <v>0</v>
      </c>
      <c r="BF572">
        <f t="shared" si="52"/>
        <v>0</v>
      </c>
      <c r="BG572">
        <f t="shared" si="53"/>
        <v>0</v>
      </c>
      <c r="BH572">
        <f t="shared" si="54"/>
        <v>0</v>
      </c>
      <c r="BI572">
        <f t="shared" si="55"/>
        <v>0</v>
      </c>
    </row>
    <row r="573" spans="10:61" x14ac:dyDescent="0.3">
      <c r="J573" t="s">
        <v>159</v>
      </c>
      <c r="K573" s="17" t="s">
        <v>372</v>
      </c>
      <c r="L573" s="17" t="s">
        <v>155</v>
      </c>
      <c r="M573" s="17" t="s">
        <v>155</v>
      </c>
      <c r="N573" s="17" t="s">
        <v>155</v>
      </c>
      <c r="O573" s="17" t="s">
        <v>155</v>
      </c>
      <c r="AG573" t="s">
        <v>160</v>
      </c>
      <c r="AH573" s="17" t="s">
        <v>372</v>
      </c>
      <c r="AI573" s="17" t="s">
        <v>155</v>
      </c>
      <c r="AJ573" s="17" t="s">
        <v>155</v>
      </c>
      <c r="AK573" s="17" t="s">
        <v>155</v>
      </c>
      <c r="AL573" s="17" t="s">
        <v>155</v>
      </c>
      <c r="AW573" t="s">
        <v>159</v>
      </c>
      <c r="AX573" t="s">
        <v>372</v>
      </c>
      <c r="AY573" t="s">
        <v>155</v>
      </c>
      <c r="AZ573" t="s">
        <v>155</v>
      </c>
      <c r="BA573" t="s">
        <v>155</v>
      </c>
      <c r="BB573" t="s">
        <v>155</v>
      </c>
      <c r="BD573">
        <f t="shared" si="50"/>
        <v>0</v>
      </c>
      <c r="BE573">
        <f t="shared" si="51"/>
        <v>0</v>
      </c>
      <c r="BF573">
        <f t="shared" si="52"/>
        <v>0</v>
      </c>
      <c r="BG573">
        <f t="shared" si="53"/>
        <v>0</v>
      </c>
      <c r="BH573">
        <f t="shared" si="54"/>
        <v>0</v>
      </c>
      <c r="BI573">
        <f t="shared" si="55"/>
        <v>0</v>
      </c>
    </row>
    <row r="574" spans="10:61" x14ac:dyDescent="0.3">
      <c r="J574" t="s">
        <v>160</v>
      </c>
      <c r="K574" s="17" t="s">
        <v>372</v>
      </c>
      <c r="L574" s="17" t="s">
        <v>155</v>
      </c>
      <c r="M574" s="17" t="s">
        <v>155</v>
      </c>
      <c r="N574" s="17" t="s">
        <v>155</v>
      </c>
      <c r="O574" s="17" t="s">
        <v>155</v>
      </c>
      <c r="AW574" t="s">
        <v>160</v>
      </c>
      <c r="AX574" t="s">
        <v>372</v>
      </c>
      <c r="AY574" t="s">
        <v>155</v>
      </c>
      <c r="AZ574" t="s">
        <v>155</v>
      </c>
      <c r="BA574" t="s">
        <v>155</v>
      </c>
      <c r="BB574" t="s">
        <v>155</v>
      </c>
      <c r="BD574">
        <f t="shared" si="50"/>
        <v>0</v>
      </c>
      <c r="BE574">
        <f t="shared" si="51"/>
        <v>0</v>
      </c>
      <c r="BF574">
        <f t="shared" si="52"/>
        <v>0</v>
      </c>
      <c r="BG574">
        <f t="shared" si="53"/>
        <v>0</v>
      </c>
      <c r="BH574">
        <f t="shared" si="54"/>
        <v>0</v>
      </c>
      <c r="BI574">
        <f t="shared" si="55"/>
        <v>0</v>
      </c>
    </row>
    <row r="575" spans="10:61" x14ac:dyDescent="0.3">
      <c r="AG575" t="s">
        <v>703</v>
      </c>
      <c r="BD575">
        <f t="shared" si="50"/>
        <v>0</v>
      </c>
      <c r="BE575">
        <f t="shared" si="51"/>
        <v>0</v>
      </c>
      <c r="BF575">
        <f t="shared" si="52"/>
        <v>0</v>
      </c>
      <c r="BG575">
        <f t="shared" si="53"/>
        <v>0</v>
      </c>
      <c r="BH575">
        <f t="shared" si="54"/>
        <v>0</v>
      </c>
      <c r="BI575">
        <f t="shared" si="55"/>
        <v>0</v>
      </c>
    </row>
    <row r="576" spans="10:61" x14ac:dyDescent="0.3">
      <c r="J576" t="s">
        <v>703</v>
      </c>
      <c r="AH576" s="17" t="s">
        <v>164</v>
      </c>
      <c r="AI576" s="17" t="s">
        <v>165</v>
      </c>
      <c r="AJ576" s="17" t="s">
        <v>166</v>
      </c>
      <c r="AK576" s="17" t="s">
        <v>167</v>
      </c>
      <c r="AL576" s="17" t="s">
        <v>168</v>
      </c>
      <c r="AW576" t="s">
        <v>703</v>
      </c>
      <c r="BD576">
        <f t="shared" si="50"/>
        <v>0</v>
      </c>
      <c r="BE576">
        <f t="shared" si="51"/>
        <v>0</v>
      </c>
      <c r="BF576">
        <f t="shared" si="52"/>
        <v>0</v>
      </c>
      <c r="BG576">
        <f t="shared" si="53"/>
        <v>0</v>
      </c>
      <c r="BH576">
        <f t="shared" si="54"/>
        <v>0</v>
      </c>
      <c r="BI576">
        <f t="shared" si="55"/>
        <v>0</v>
      </c>
    </row>
    <row r="577" spans="10:61" x14ac:dyDescent="0.3">
      <c r="K577" s="17" t="s">
        <v>164</v>
      </c>
      <c r="L577" s="17" t="s">
        <v>165</v>
      </c>
      <c r="M577" s="17" t="s">
        <v>166</v>
      </c>
      <c r="N577" s="17" t="s">
        <v>167</v>
      </c>
      <c r="O577" s="17" t="s">
        <v>168</v>
      </c>
      <c r="AG577" t="s">
        <v>542</v>
      </c>
      <c r="AH577" s="17" t="s">
        <v>155</v>
      </c>
      <c r="AI577" s="17" t="s">
        <v>155</v>
      </c>
      <c r="AJ577" s="17" t="s">
        <v>155</v>
      </c>
      <c r="AK577" s="17" t="s">
        <v>155</v>
      </c>
      <c r="AL577" s="17" t="s">
        <v>257</v>
      </c>
      <c r="AX577" t="s">
        <v>164</v>
      </c>
      <c r="AY577" t="s">
        <v>165</v>
      </c>
      <c r="AZ577" t="s">
        <v>166</v>
      </c>
      <c r="BA577" t="s">
        <v>167</v>
      </c>
      <c r="BB577" t="s">
        <v>168</v>
      </c>
      <c r="BD577">
        <f t="shared" si="50"/>
        <v>0</v>
      </c>
      <c r="BE577">
        <f t="shared" si="51"/>
        <v>0</v>
      </c>
      <c r="BF577">
        <f t="shared" si="52"/>
        <v>0</v>
      </c>
      <c r="BG577">
        <f t="shared" si="53"/>
        <v>0</v>
      </c>
      <c r="BH577">
        <f t="shared" si="54"/>
        <v>0</v>
      </c>
      <c r="BI577">
        <f t="shared" si="55"/>
        <v>0</v>
      </c>
    </row>
    <row r="578" spans="10:61" x14ac:dyDescent="0.3">
      <c r="J578" t="s">
        <v>542</v>
      </c>
      <c r="K578" s="17" t="s">
        <v>257</v>
      </c>
      <c r="L578" s="17" t="s">
        <v>155</v>
      </c>
      <c r="M578" s="17" t="s">
        <v>155</v>
      </c>
      <c r="N578" s="17" t="s">
        <v>155</v>
      </c>
      <c r="O578" s="17" t="s">
        <v>257</v>
      </c>
      <c r="AG578" t="s">
        <v>543</v>
      </c>
      <c r="AH578" s="17" t="s">
        <v>257</v>
      </c>
      <c r="AI578" s="17" t="s">
        <v>155</v>
      </c>
      <c r="AJ578" s="17" t="s">
        <v>155</v>
      </c>
      <c r="AK578" s="17" t="s">
        <v>155</v>
      </c>
      <c r="AL578" s="17" t="s">
        <v>257</v>
      </c>
      <c r="AW578" t="s">
        <v>542</v>
      </c>
      <c r="AX578" t="s">
        <v>257</v>
      </c>
      <c r="AY578" t="s">
        <v>155</v>
      </c>
      <c r="AZ578" t="s">
        <v>155</v>
      </c>
      <c r="BA578" t="s">
        <v>155</v>
      </c>
      <c r="BB578" t="s">
        <v>257</v>
      </c>
      <c r="BD578">
        <f t="shared" si="50"/>
        <v>0</v>
      </c>
      <c r="BE578">
        <f t="shared" si="51"/>
        <v>0</v>
      </c>
      <c r="BF578">
        <f t="shared" si="52"/>
        <v>0</v>
      </c>
      <c r="BG578">
        <f t="shared" si="53"/>
        <v>0</v>
      </c>
      <c r="BH578">
        <f t="shared" si="54"/>
        <v>0</v>
      </c>
      <c r="BI578">
        <f t="shared" si="55"/>
        <v>0</v>
      </c>
    </row>
    <row r="579" spans="10:61" x14ac:dyDescent="0.3">
      <c r="J579" t="s">
        <v>543</v>
      </c>
      <c r="K579" s="17" t="s">
        <v>257</v>
      </c>
      <c r="L579" s="17" t="s">
        <v>155</v>
      </c>
      <c r="M579" s="17" t="s">
        <v>155</v>
      </c>
      <c r="N579" s="17" t="s">
        <v>155</v>
      </c>
      <c r="O579" s="17" t="s">
        <v>257</v>
      </c>
      <c r="AG579" t="s">
        <v>544</v>
      </c>
      <c r="AH579" s="17" t="s">
        <v>257</v>
      </c>
      <c r="AI579" s="17" t="s">
        <v>155</v>
      </c>
      <c r="AJ579" s="17" t="s">
        <v>155</v>
      </c>
      <c r="AK579" s="17" t="s">
        <v>155</v>
      </c>
      <c r="AL579" s="17" t="s">
        <v>257</v>
      </c>
      <c r="AW579" t="s">
        <v>543</v>
      </c>
      <c r="AX579" t="s">
        <v>257</v>
      </c>
      <c r="AY579" t="s">
        <v>155</v>
      </c>
      <c r="AZ579" t="s">
        <v>155</v>
      </c>
      <c r="BA579" t="s">
        <v>155</v>
      </c>
      <c r="BB579" t="s">
        <v>257</v>
      </c>
      <c r="BD579">
        <f t="shared" si="50"/>
        <v>0</v>
      </c>
      <c r="BE579">
        <f t="shared" si="51"/>
        <v>0</v>
      </c>
      <c r="BF579">
        <f t="shared" si="52"/>
        <v>0</v>
      </c>
      <c r="BG579">
        <f t="shared" si="53"/>
        <v>0</v>
      </c>
      <c r="BH579">
        <f t="shared" si="54"/>
        <v>0</v>
      </c>
      <c r="BI579">
        <f t="shared" si="55"/>
        <v>0</v>
      </c>
    </row>
    <row r="580" spans="10:61" x14ac:dyDescent="0.3">
      <c r="J580" t="s">
        <v>544</v>
      </c>
      <c r="K580" s="17" t="s">
        <v>257</v>
      </c>
      <c r="L580" s="17" t="s">
        <v>155</v>
      </c>
      <c r="M580" s="17" t="s">
        <v>155</v>
      </c>
      <c r="N580" s="17" t="s">
        <v>155</v>
      </c>
      <c r="O580" s="17" t="s">
        <v>155</v>
      </c>
      <c r="AW580" t="s">
        <v>544</v>
      </c>
      <c r="AX580" t="s">
        <v>257</v>
      </c>
      <c r="AY580" t="s">
        <v>155</v>
      </c>
      <c r="AZ580" t="s">
        <v>155</v>
      </c>
      <c r="BA580" t="s">
        <v>155</v>
      </c>
      <c r="BB580" t="s">
        <v>155</v>
      </c>
      <c r="BD580">
        <f t="shared" si="50"/>
        <v>0</v>
      </c>
      <c r="BE580">
        <f t="shared" si="51"/>
        <v>0</v>
      </c>
      <c r="BF580">
        <f t="shared" si="52"/>
        <v>0</v>
      </c>
      <c r="BG580">
        <f t="shared" si="53"/>
        <v>0</v>
      </c>
      <c r="BH580">
        <f t="shared" si="54"/>
        <v>0</v>
      </c>
      <c r="BI580">
        <f t="shared" si="55"/>
        <v>0</v>
      </c>
    </row>
    <row r="581" spans="10:61" x14ac:dyDescent="0.3">
      <c r="AG581" t="s">
        <v>840</v>
      </c>
      <c r="BD581">
        <f t="shared" si="50"/>
        <v>0</v>
      </c>
      <c r="BE581">
        <f t="shared" si="51"/>
        <v>0</v>
      </c>
      <c r="BF581">
        <f t="shared" si="52"/>
        <v>0</v>
      </c>
      <c r="BG581">
        <f t="shared" si="53"/>
        <v>0</v>
      </c>
      <c r="BH581">
        <f t="shared" si="54"/>
        <v>0</v>
      </c>
      <c r="BI581">
        <f t="shared" si="55"/>
        <v>0</v>
      </c>
    </row>
    <row r="582" spans="10:61" x14ac:dyDescent="0.3">
      <c r="J582" t="s">
        <v>840</v>
      </c>
      <c r="AH582" s="17" t="s">
        <v>164</v>
      </c>
      <c r="AI582" s="17" t="s">
        <v>165</v>
      </c>
      <c r="AJ582" s="17" t="s">
        <v>166</v>
      </c>
      <c r="AK582" s="17" t="s">
        <v>167</v>
      </c>
      <c r="AL582" s="17" t="s">
        <v>168</v>
      </c>
      <c r="AW582" t="s">
        <v>840</v>
      </c>
      <c r="BD582">
        <f t="shared" si="50"/>
        <v>0</v>
      </c>
      <c r="BE582">
        <f t="shared" si="51"/>
        <v>0</v>
      </c>
      <c r="BF582">
        <f t="shared" si="52"/>
        <v>0</v>
      </c>
      <c r="BG582">
        <f t="shared" si="53"/>
        <v>0</v>
      </c>
      <c r="BH582">
        <f t="shared" si="54"/>
        <v>0</v>
      </c>
      <c r="BI582">
        <f t="shared" si="55"/>
        <v>0</v>
      </c>
    </row>
    <row r="583" spans="10:61" x14ac:dyDescent="0.3">
      <c r="K583" s="17" t="s">
        <v>164</v>
      </c>
      <c r="L583" s="17" t="s">
        <v>165</v>
      </c>
      <c r="M583" s="17" t="s">
        <v>166</v>
      </c>
      <c r="N583" s="17" t="s">
        <v>167</v>
      </c>
      <c r="O583" s="17" t="s">
        <v>168</v>
      </c>
      <c r="AG583" t="s">
        <v>555</v>
      </c>
      <c r="AH583" s="17" t="s">
        <v>155</v>
      </c>
      <c r="AI583" s="17" t="s">
        <v>410</v>
      </c>
      <c r="AJ583" s="17" t="s">
        <v>155</v>
      </c>
      <c r="AK583" s="17" t="s">
        <v>465</v>
      </c>
      <c r="AL583" s="17" t="s">
        <v>155</v>
      </c>
      <c r="AX583" t="s">
        <v>164</v>
      </c>
      <c r="AY583" t="s">
        <v>165</v>
      </c>
      <c r="AZ583" t="s">
        <v>166</v>
      </c>
      <c r="BA583" t="s">
        <v>167</v>
      </c>
      <c r="BB583" t="s">
        <v>168</v>
      </c>
      <c r="BD583">
        <f t="shared" si="50"/>
        <v>0</v>
      </c>
      <c r="BE583">
        <f t="shared" si="51"/>
        <v>0</v>
      </c>
      <c r="BF583">
        <f t="shared" si="52"/>
        <v>0</v>
      </c>
      <c r="BG583">
        <f t="shared" si="53"/>
        <v>0</v>
      </c>
      <c r="BH583">
        <f t="shared" si="54"/>
        <v>0</v>
      </c>
      <c r="BI583">
        <f t="shared" si="55"/>
        <v>0</v>
      </c>
    </row>
    <row r="584" spans="10:61" x14ac:dyDescent="0.3">
      <c r="J584" t="s">
        <v>555</v>
      </c>
      <c r="K584" s="17" t="s">
        <v>155</v>
      </c>
      <c r="L584" s="17" t="s">
        <v>410</v>
      </c>
      <c r="M584" s="17" t="s">
        <v>155</v>
      </c>
      <c r="N584" s="17" t="s">
        <v>465</v>
      </c>
      <c r="O584" s="17" t="s">
        <v>155</v>
      </c>
      <c r="AG584" t="s">
        <v>556</v>
      </c>
      <c r="AH584" s="17" t="s">
        <v>155</v>
      </c>
      <c r="AI584" s="17" t="s">
        <v>410</v>
      </c>
      <c r="AJ584" s="17" t="s">
        <v>155</v>
      </c>
      <c r="AK584" s="17" t="s">
        <v>465</v>
      </c>
      <c r="AL584" s="17" t="s">
        <v>155</v>
      </c>
      <c r="AW584" t="s">
        <v>555</v>
      </c>
      <c r="AX584" t="s">
        <v>155</v>
      </c>
      <c r="AY584" t="s">
        <v>410</v>
      </c>
      <c r="AZ584" t="s">
        <v>155</v>
      </c>
      <c r="BA584" t="s">
        <v>465</v>
      </c>
      <c r="BB584" t="s">
        <v>155</v>
      </c>
      <c r="BD584">
        <f t="shared" si="50"/>
        <v>0</v>
      </c>
      <c r="BE584">
        <f t="shared" si="51"/>
        <v>0</v>
      </c>
      <c r="BF584">
        <f t="shared" si="52"/>
        <v>0</v>
      </c>
      <c r="BG584">
        <f t="shared" si="53"/>
        <v>0</v>
      </c>
      <c r="BH584">
        <f t="shared" si="54"/>
        <v>0</v>
      </c>
      <c r="BI584">
        <f t="shared" si="55"/>
        <v>0</v>
      </c>
    </row>
    <row r="585" spans="10:61" x14ac:dyDescent="0.3">
      <c r="J585" t="s">
        <v>556</v>
      </c>
      <c r="K585" s="17" t="s">
        <v>155</v>
      </c>
      <c r="L585" s="17" t="s">
        <v>410</v>
      </c>
      <c r="M585" s="17" t="s">
        <v>155</v>
      </c>
      <c r="N585" s="17" t="s">
        <v>465</v>
      </c>
      <c r="O585" s="17" t="s">
        <v>155</v>
      </c>
      <c r="AG585" t="s">
        <v>557</v>
      </c>
      <c r="AH585" s="17" t="s">
        <v>155</v>
      </c>
      <c r="AI585" s="17" t="s">
        <v>410</v>
      </c>
      <c r="AJ585" s="17" t="s">
        <v>155</v>
      </c>
      <c r="AK585" s="17" t="s">
        <v>465</v>
      </c>
      <c r="AL585" s="17" t="s">
        <v>155</v>
      </c>
      <c r="AW585" t="s">
        <v>556</v>
      </c>
      <c r="AX585" t="s">
        <v>155</v>
      </c>
      <c r="AY585" t="s">
        <v>410</v>
      </c>
      <c r="AZ585" t="s">
        <v>155</v>
      </c>
      <c r="BA585" t="s">
        <v>465</v>
      </c>
      <c r="BB585" t="s">
        <v>155</v>
      </c>
      <c r="BD585">
        <f t="shared" ref="BD585:BD648" si="56">IF(J585=AW585,0,1)</f>
        <v>0</v>
      </c>
      <c r="BE585">
        <f t="shared" ref="BE585:BE648" si="57">IF(K585=AX585,0,1)</f>
        <v>0</v>
      </c>
      <c r="BF585">
        <f t="shared" ref="BF585:BF648" si="58">IF(L585=AY585,0,1)</f>
        <v>0</v>
      </c>
      <c r="BG585">
        <f t="shared" ref="BG585:BG648" si="59">IF(M585=AZ585,0,1)</f>
        <v>0</v>
      </c>
      <c r="BH585">
        <f t="shared" ref="BH585:BH648" si="60">IF(N585=BA585,0,1)</f>
        <v>0</v>
      </c>
      <c r="BI585">
        <f t="shared" ref="BI585:BI648" si="61">IF(O585=BB585,0,1)</f>
        <v>0</v>
      </c>
    </row>
    <row r="586" spans="10:61" x14ac:dyDescent="0.3">
      <c r="J586" t="s">
        <v>557</v>
      </c>
      <c r="K586" s="17" t="s">
        <v>155</v>
      </c>
      <c r="L586" s="17" t="s">
        <v>410</v>
      </c>
      <c r="M586" s="17" t="s">
        <v>155</v>
      </c>
      <c r="N586" s="17" t="s">
        <v>465</v>
      </c>
      <c r="O586" s="17" t="s">
        <v>155</v>
      </c>
      <c r="AG586" t="s">
        <v>542</v>
      </c>
      <c r="AH586" s="17" t="s">
        <v>155</v>
      </c>
      <c r="AI586" s="17" t="s">
        <v>410</v>
      </c>
      <c r="AJ586" s="17" t="s">
        <v>155</v>
      </c>
      <c r="AK586" s="17" t="s">
        <v>465</v>
      </c>
      <c r="AL586" s="17" t="s">
        <v>155</v>
      </c>
      <c r="AW586" t="s">
        <v>557</v>
      </c>
      <c r="AX586" t="s">
        <v>155</v>
      </c>
      <c r="AY586" t="s">
        <v>410</v>
      </c>
      <c r="AZ586" t="s">
        <v>155</v>
      </c>
      <c r="BA586" t="s">
        <v>465</v>
      </c>
      <c r="BB586" t="s">
        <v>155</v>
      </c>
      <c r="BD586">
        <f t="shared" si="56"/>
        <v>0</v>
      </c>
      <c r="BE586">
        <f t="shared" si="57"/>
        <v>0</v>
      </c>
      <c r="BF586">
        <f t="shared" si="58"/>
        <v>0</v>
      </c>
      <c r="BG586">
        <f t="shared" si="59"/>
        <v>0</v>
      </c>
      <c r="BH586">
        <f t="shared" si="60"/>
        <v>0</v>
      </c>
      <c r="BI586">
        <f t="shared" si="61"/>
        <v>0</v>
      </c>
    </row>
    <row r="587" spans="10:61" x14ac:dyDescent="0.3">
      <c r="J587" t="s">
        <v>542</v>
      </c>
      <c r="K587" s="17" t="s">
        <v>155</v>
      </c>
      <c r="L587" s="17" t="s">
        <v>410</v>
      </c>
      <c r="M587" s="17" t="s">
        <v>155</v>
      </c>
      <c r="N587" s="17" t="s">
        <v>465</v>
      </c>
      <c r="O587" s="17" t="s">
        <v>155</v>
      </c>
      <c r="AW587" t="s">
        <v>542</v>
      </c>
      <c r="AX587" t="s">
        <v>155</v>
      </c>
      <c r="AY587" t="s">
        <v>410</v>
      </c>
      <c r="AZ587" t="s">
        <v>155</v>
      </c>
      <c r="BA587" t="s">
        <v>465</v>
      </c>
      <c r="BB587" t="s">
        <v>155</v>
      </c>
      <c r="BD587">
        <f t="shared" si="56"/>
        <v>0</v>
      </c>
      <c r="BE587">
        <f t="shared" si="57"/>
        <v>0</v>
      </c>
      <c r="BF587">
        <f t="shared" si="58"/>
        <v>0</v>
      </c>
      <c r="BG587">
        <f t="shared" si="59"/>
        <v>0</v>
      </c>
      <c r="BH587">
        <f t="shared" si="60"/>
        <v>0</v>
      </c>
      <c r="BI587">
        <f t="shared" si="61"/>
        <v>0</v>
      </c>
    </row>
    <row r="588" spans="10:61" x14ac:dyDescent="0.3">
      <c r="AG588" t="s">
        <v>841</v>
      </c>
      <c r="BD588">
        <f t="shared" si="56"/>
        <v>0</v>
      </c>
      <c r="BE588">
        <f t="shared" si="57"/>
        <v>0</v>
      </c>
      <c r="BF588">
        <f t="shared" si="58"/>
        <v>0</v>
      </c>
      <c r="BG588">
        <f t="shared" si="59"/>
        <v>0</v>
      </c>
      <c r="BH588">
        <f t="shared" si="60"/>
        <v>0</v>
      </c>
      <c r="BI588">
        <f t="shared" si="61"/>
        <v>0</v>
      </c>
    </row>
    <row r="589" spans="10:61" x14ac:dyDescent="0.3">
      <c r="J589" t="s">
        <v>841</v>
      </c>
      <c r="AH589" s="17" t="s">
        <v>164</v>
      </c>
      <c r="AI589" s="17" t="s">
        <v>165</v>
      </c>
      <c r="AJ589" s="17" t="s">
        <v>166</v>
      </c>
      <c r="AK589" s="17" t="s">
        <v>167</v>
      </c>
      <c r="AL589" s="17" t="s">
        <v>168</v>
      </c>
      <c r="AW589" t="s">
        <v>841</v>
      </c>
      <c r="BD589">
        <f t="shared" si="56"/>
        <v>0</v>
      </c>
      <c r="BE589">
        <f t="shared" si="57"/>
        <v>0</v>
      </c>
      <c r="BF589">
        <f t="shared" si="58"/>
        <v>0</v>
      </c>
      <c r="BG589">
        <f t="shared" si="59"/>
        <v>0</v>
      </c>
      <c r="BH589">
        <f t="shared" si="60"/>
        <v>0</v>
      </c>
      <c r="BI589">
        <f t="shared" si="61"/>
        <v>0</v>
      </c>
    </row>
    <row r="590" spans="10:61" x14ac:dyDescent="0.3">
      <c r="K590" s="17" t="s">
        <v>164</v>
      </c>
      <c r="L590" s="17" t="s">
        <v>165</v>
      </c>
      <c r="M590" s="17" t="s">
        <v>166</v>
      </c>
      <c r="N590" s="17" t="s">
        <v>167</v>
      </c>
      <c r="O590" s="17" t="s">
        <v>168</v>
      </c>
      <c r="AG590" t="s">
        <v>555</v>
      </c>
      <c r="AH590" s="17" t="s">
        <v>463</v>
      </c>
      <c r="AI590" s="17" t="s">
        <v>155</v>
      </c>
      <c r="AJ590" s="17" t="s">
        <v>155</v>
      </c>
      <c r="AK590" s="17" t="s">
        <v>155</v>
      </c>
      <c r="AL590" s="17" t="s">
        <v>463</v>
      </c>
      <c r="AX590" t="s">
        <v>164</v>
      </c>
      <c r="AY590" t="s">
        <v>165</v>
      </c>
      <c r="AZ590" t="s">
        <v>166</v>
      </c>
      <c r="BA590" t="s">
        <v>167</v>
      </c>
      <c r="BB590" t="s">
        <v>168</v>
      </c>
      <c r="BD590">
        <f t="shared" si="56"/>
        <v>0</v>
      </c>
      <c r="BE590">
        <f t="shared" si="57"/>
        <v>0</v>
      </c>
      <c r="BF590">
        <f t="shared" si="58"/>
        <v>0</v>
      </c>
      <c r="BG590">
        <f t="shared" si="59"/>
        <v>0</v>
      </c>
      <c r="BH590">
        <f t="shared" si="60"/>
        <v>0</v>
      </c>
      <c r="BI590">
        <f t="shared" si="61"/>
        <v>0</v>
      </c>
    </row>
    <row r="591" spans="10:61" x14ac:dyDescent="0.3">
      <c r="J591" t="s">
        <v>555</v>
      </c>
      <c r="K591" s="17" t="s">
        <v>463</v>
      </c>
      <c r="L591" s="17" t="s">
        <v>155</v>
      </c>
      <c r="M591" s="17" t="s">
        <v>155</v>
      </c>
      <c r="N591" s="17" t="s">
        <v>155</v>
      </c>
      <c r="O591" s="17" t="s">
        <v>463</v>
      </c>
      <c r="AG591" t="s">
        <v>556</v>
      </c>
      <c r="AH591" s="17" t="s">
        <v>463</v>
      </c>
      <c r="AI591" s="17" t="s">
        <v>155</v>
      </c>
      <c r="AJ591" s="17" t="s">
        <v>155</v>
      </c>
      <c r="AK591" s="17" t="s">
        <v>155</v>
      </c>
      <c r="AL591" s="17" t="s">
        <v>463</v>
      </c>
      <c r="AW591" t="s">
        <v>555</v>
      </c>
      <c r="AX591" t="s">
        <v>463</v>
      </c>
      <c r="AY591" t="s">
        <v>155</v>
      </c>
      <c r="AZ591" t="s">
        <v>155</v>
      </c>
      <c r="BA591" t="s">
        <v>155</v>
      </c>
      <c r="BB591" t="s">
        <v>463</v>
      </c>
      <c r="BD591">
        <f t="shared" si="56"/>
        <v>0</v>
      </c>
      <c r="BE591">
        <f t="shared" si="57"/>
        <v>0</v>
      </c>
      <c r="BF591">
        <f t="shared" si="58"/>
        <v>0</v>
      </c>
      <c r="BG591">
        <f t="shared" si="59"/>
        <v>0</v>
      </c>
      <c r="BH591">
        <f t="shared" si="60"/>
        <v>0</v>
      </c>
      <c r="BI591">
        <f t="shared" si="61"/>
        <v>0</v>
      </c>
    </row>
    <row r="592" spans="10:61" x14ac:dyDescent="0.3">
      <c r="J592" t="s">
        <v>556</v>
      </c>
      <c r="K592" s="17" t="s">
        <v>463</v>
      </c>
      <c r="L592" s="17" t="s">
        <v>155</v>
      </c>
      <c r="M592" s="17" t="s">
        <v>155</v>
      </c>
      <c r="N592" s="17" t="s">
        <v>155</v>
      </c>
      <c r="O592" s="17" t="s">
        <v>463</v>
      </c>
      <c r="AG592" t="s">
        <v>557</v>
      </c>
      <c r="AH592" s="17" t="s">
        <v>463</v>
      </c>
      <c r="AI592" s="17" t="s">
        <v>155</v>
      </c>
      <c r="AJ592" s="17" t="s">
        <v>155</v>
      </c>
      <c r="AK592" s="17" t="s">
        <v>155</v>
      </c>
      <c r="AL592" s="17" t="s">
        <v>155</v>
      </c>
      <c r="AW592" t="s">
        <v>556</v>
      </c>
      <c r="AX592" t="s">
        <v>463</v>
      </c>
      <c r="AY592" t="s">
        <v>155</v>
      </c>
      <c r="AZ592" t="s">
        <v>155</v>
      </c>
      <c r="BA592" t="s">
        <v>155</v>
      </c>
      <c r="BB592" t="s">
        <v>463</v>
      </c>
      <c r="BD592">
        <f t="shared" si="56"/>
        <v>0</v>
      </c>
      <c r="BE592">
        <f t="shared" si="57"/>
        <v>0</v>
      </c>
      <c r="BF592">
        <f t="shared" si="58"/>
        <v>0</v>
      </c>
      <c r="BG592">
        <f t="shared" si="59"/>
        <v>0</v>
      </c>
      <c r="BH592">
        <f t="shared" si="60"/>
        <v>0</v>
      </c>
      <c r="BI592">
        <f t="shared" si="61"/>
        <v>0</v>
      </c>
    </row>
    <row r="593" spans="10:61" x14ac:dyDescent="0.3">
      <c r="J593" t="s">
        <v>557</v>
      </c>
      <c r="K593" s="17" t="s">
        <v>463</v>
      </c>
      <c r="L593" s="17" t="s">
        <v>155</v>
      </c>
      <c r="M593" s="17" t="s">
        <v>155</v>
      </c>
      <c r="N593" s="17" t="s">
        <v>155</v>
      </c>
      <c r="O593" s="17" t="s">
        <v>155</v>
      </c>
      <c r="AW593" t="s">
        <v>557</v>
      </c>
      <c r="AX593" t="s">
        <v>463</v>
      </c>
      <c r="AY593" t="s">
        <v>155</v>
      </c>
      <c r="AZ593" t="s">
        <v>155</v>
      </c>
      <c r="BA593" t="s">
        <v>155</v>
      </c>
      <c r="BB593" t="s">
        <v>155</v>
      </c>
      <c r="BD593">
        <f t="shared" si="56"/>
        <v>0</v>
      </c>
      <c r="BE593">
        <f t="shared" si="57"/>
        <v>0</v>
      </c>
      <c r="BF593">
        <f t="shared" si="58"/>
        <v>0</v>
      </c>
      <c r="BG593">
        <f t="shared" si="59"/>
        <v>0</v>
      </c>
      <c r="BH593">
        <f t="shared" si="60"/>
        <v>0</v>
      </c>
      <c r="BI593">
        <f t="shared" si="61"/>
        <v>0</v>
      </c>
    </row>
    <row r="594" spans="10:61" x14ac:dyDescent="0.3">
      <c r="AG594" t="s">
        <v>722</v>
      </c>
      <c r="BD594">
        <f t="shared" si="56"/>
        <v>0</v>
      </c>
      <c r="BE594">
        <f t="shared" si="57"/>
        <v>0</v>
      </c>
      <c r="BF594">
        <f t="shared" si="58"/>
        <v>0</v>
      </c>
      <c r="BG594">
        <f t="shared" si="59"/>
        <v>0</v>
      </c>
      <c r="BH594">
        <f t="shared" si="60"/>
        <v>0</v>
      </c>
      <c r="BI594">
        <f t="shared" si="61"/>
        <v>0</v>
      </c>
    </row>
    <row r="595" spans="10:61" x14ac:dyDescent="0.3">
      <c r="J595" t="s">
        <v>722</v>
      </c>
      <c r="AH595" s="17" t="s">
        <v>164</v>
      </c>
      <c r="AI595" s="17" t="s">
        <v>165</v>
      </c>
      <c r="AJ595" s="17" t="s">
        <v>166</v>
      </c>
      <c r="AK595" s="17" t="s">
        <v>167</v>
      </c>
      <c r="AL595" s="17" t="s">
        <v>168</v>
      </c>
      <c r="AW595" t="s">
        <v>722</v>
      </c>
      <c r="BD595">
        <f t="shared" si="56"/>
        <v>0</v>
      </c>
      <c r="BE595">
        <f t="shared" si="57"/>
        <v>0</v>
      </c>
      <c r="BF595">
        <f t="shared" si="58"/>
        <v>0</v>
      </c>
      <c r="BG595">
        <f t="shared" si="59"/>
        <v>0</v>
      </c>
      <c r="BH595">
        <f t="shared" si="60"/>
        <v>0</v>
      </c>
      <c r="BI595">
        <f t="shared" si="61"/>
        <v>0</v>
      </c>
    </row>
    <row r="596" spans="10:61" x14ac:dyDescent="0.3">
      <c r="K596" s="17" t="s">
        <v>164</v>
      </c>
      <c r="L596" s="17" t="s">
        <v>165</v>
      </c>
      <c r="M596" s="17" t="s">
        <v>166</v>
      </c>
      <c r="N596" s="17" t="s">
        <v>167</v>
      </c>
      <c r="O596" s="17" t="s">
        <v>168</v>
      </c>
      <c r="AG596" t="s">
        <v>548</v>
      </c>
      <c r="AH596" s="17" t="s">
        <v>312</v>
      </c>
      <c r="AI596" s="17" t="s">
        <v>155</v>
      </c>
      <c r="AJ596" s="17" t="s">
        <v>155</v>
      </c>
      <c r="AK596" s="17" t="s">
        <v>312</v>
      </c>
      <c r="AL596" s="17" t="s">
        <v>155</v>
      </c>
      <c r="AX596" t="s">
        <v>164</v>
      </c>
      <c r="AY596" t="s">
        <v>165</v>
      </c>
      <c r="AZ596" t="s">
        <v>166</v>
      </c>
      <c r="BA596" t="s">
        <v>167</v>
      </c>
      <c r="BB596" t="s">
        <v>168</v>
      </c>
      <c r="BD596">
        <f t="shared" si="56"/>
        <v>0</v>
      </c>
      <c r="BE596">
        <f t="shared" si="57"/>
        <v>0</v>
      </c>
      <c r="BF596">
        <f t="shared" si="58"/>
        <v>0</v>
      </c>
      <c r="BG596">
        <f t="shared" si="59"/>
        <v>0</v>
      </c>
      <c r="BH596">
        <f t="shared" si="60"/>
        <v>0</v>
      </c>
      <c r="BI596">
        <f t="shared" si="61"/>
        <v>0</v>
      </c>
    </row>
    <row r="597" spans="10:61" x14ac:dyDescent="0.3">
      <c r="J597" t="s">
        <v>548</v>
      </c>
      <c r="K597" s="17" t="s">
        <v>312</v>
      </c>
      <c r="L597" s="17" t="s">
        <v>155</v>
      </c>
      <c r="M597" s="17" t="s">
        <v>312</v>
      </c>
      <c r="N597" s="17" t="s">
        <v>155</v>
      </c>
      <c r="O597" s="17" t="s">
        <v>155</v>
      </c>
      <c r="AG597" t="s">
        <v>549</v>
      </c>
      <c r="AH597" s="17" t="s">
        <v>312</v>
      </c>
      <c r="AI597" s="17" t="s">
        <v>155</v>
      </c>
      <c r="AJ597" s="17" t="s">
        <v>155</v>
      </c>
      <c r="AK597" s="17" t="s">
        <v>312</v>
      </c>
      <c r="AL597" s="17" t="s">
        <v>155</v>
      </c>
      <c r="AW597" t="s">
        <v>548</v>
      </c>
      <c r="AX597" t="s">
        <v>312</v>
      </c>
      <c r="AY597" t="s">
        <v>155</v>
      </c>
      <c r="AZ597" t="s">
        <v>312</v>
      </c>
      <c r="BA597" t="s">
        <v>155</v>
      </c>
      <c r="BB597" t="s">
        <v>155</v>
      </c>
      <c r="BD597">
        <f t="shared" si="56"/>
        <v>0</v>
      </c>
      <c r="BE597">
        <f t="shared" si="57"/>
        <v>0</v>
      </c>
      <c r="BF597">
        <f t="shared" si="58"/>
        <v>0</v>
      </c>
      <c r="BG597">
        <f t="shared" si="59"/>
        <v>0</v>
      </c>
      <c r="BH597">
        <f t="shared" si="60"/>
        <v>0</v>
      </c>
      <c r="BI597">
        <f t="shared" si="61"/>
        <v>0</v>
      </c>
    </row>
    <row r="598" spans="10:61" x14ac:dyDescent="0.3">
      <c r="J598" t="s">
        <v>549</v>
      </c>
      <c r="K598" s="17" t="s">
        <v>312</v>
      </c>
      <c r="L598" s="17" t="s">
        <v>155</v>
      </c>
      <c r="M598" s="17" t="s">
        <v>312</v>
      </c>
      <c r="N598" s="17" t="s">
        <v>155</v>
      </c>
      <c r="O598" s="17" t="s">
        <v>155</v>
      </c>
      <c r="AG598" t="s">
        <v>550</v>
      </c>
      <c r="AH598" s="17" t="s">
        <v>312</v>
      </c>
      <c r="AI598" s="17" t="s">
        <v>155</v>
      </c>
      <c r="AJ598" s="17" t="s">
        <v>155</v>
      </c>
      <c r="AK598" s="17" t="s">
        <v>155</v>
      </c>
      <c r="AL598" s="17" t="s">
        <v>155</v>
      </c>
      <c r="AW598" t="s">
        <v>549</v>
      </c>
      <c r="AX598" t="s">
        <v>312</v>
      </c>
      <c r="AY598" t="s">
        <v>155</v>
      </c>
      <c r="AZ598" t="s">
        <v>312</v>
      </c>
      <c r="BA598" t="s">
        <v>155</v>
      </c>
      <c r="BB598" t="s">
        <v>155</v>
      </c>
      <c r="BD598">
        <f t="shared" si="56"/>
        <v>0</v>
      </c>
      <c r="BE598">
        <f t="shared" si="57"/>
        <v>0</v>
      </c>
      <c r="BF598">
        <f t="shared" si="58"/>
        <v>0</v>
      </c>
      <c r="BG598">
        <f t="shared" si="59"/>
        <v>0</v>
      </c>
      <c r="BH598">
        <f t="shared" si="60"/>
        <v>0</v>
      </c>
      <c r="BI598">
        <f t="shared" si="61"/>
        <v>0</v>
      </c>
    </row>
    <row r="599" spans="10:61" x14ac:dyDescent="0.3">
      <c r="J599" t="s">
        <v>550</v>
      </c>
      <c r="K599" s="17" t="s">
        <v>155</v>
      </c>
      <c r="L599" s="17" t="s">
        <v>155</v>
      </c>
      <c r="M599" s="17" t="s">
        <v>312</v>
      </c>
      <c r="N599" s="17" t="s">
        <v>155</v>
      </c>
      <c r="O599" s="17" t="s">
        <v>155</v>
      </c>
      <c r="AW599" t="s">
        <v>550</v>
      </c>
      <c r="AX599" t="s">
        <v>155</v>
      </c>
      <c r="AY599" t="s">
        <v>155</v>
      </c>
      <c r="AZ599" t="s">
        <v>312</v>
      </c>
      <c r="BA599" t="s">
        <v>155</v>
      </c>
      <c r="BB599" t="s">
        <v>155</v>
      </c>
      <c r="BD599">
        <f t="shared" si="56"/>
        <v>0</v>
      </c>
      <c r="BE599">
        <f t="shared" si="57"/>
        <v>0</v>
      </c>
      <c r="BF599">
        <f t="shared" si="58"/>
        <v>0</v>
      </c>
      <c r="BG599">
        <f t="shared" si="59"/>
        <v>0</v>
      </c>
      <c r="BH599">
        <f t="shared" si="60"/>
        <v>0</v>
      </c>
      <c r="BI599">
        <f t="shared" si="61"/>
        <v>0</v>
      </c>
    </row>
    <row r="600" spans="10:61" x14ac:dyDescent="0.3">
      <c r="AG600" t="s">
        <v>723</v>
      </c>
      <c r="BD600">
        <f t="shared" si="56"/>
        <v>0</v>
      </c>
      <c r="BE600">
        <f t="shared" si="57"/>
        <v>0</v>
      </c>
      <c r="BF600">
        <f t="shared" si="58"/>
        <v>0</v>
      </c>
      <c r="BG600">
        <f t="shared" si="59"/>
        <v>0</v>
      </c>
      <c r="BH600">
        <f t="shared" si="60"/>
        <v>0</v>
      </c>
      <c r="BI600">
        <f t="shared" si="61"/>
        <v>0</v>
      </c>
    </row>
    <row r="601" spans="10:61" x14ac:dyDescent="0.3">
      <c r="J601" t="s">
        <v>723</v>
      </c>
      <c r="AH601" s="17" t="s">
        <v>164</v>
      </c>
      <c r="AI601" s="17" t="s">
        <v>165</v>
      </c>
      <c r="AJ601" s="17" t="s">
        <v>166</v>
      </c>
      <c r="AK601" s="17" t="s">
        <v>167</v>
      </c>
      <c r="AL601" s="17" t="s">
        <v>168</v>
      </c>
      <c r="AW601" t="s">
        <v>723</v>
      </c>
      <c r="BD601">
        <f t="shared" si="56"/>
        <v>0</v>
      </c>
      <c r="BE601">
        <f t="shared" si="57"/>
        <v>0</v>
      </c>
      <c r="BF601">
        <f t="shared" si="58"/>
        <v>0</v>
      </c>
      <c r="BG601">
        <f t="shared" si="59"/>
        <v>0</v>
      </c>
      <c r="BH601">
        <f t="shared" si="60"/>
        <v>0</v>
      </c>
      <c r="BI601">
        <f t="shared" si="61"/>
        <v>0</v>
      </c>
    </row>
    <row r="602" spans="10:61" x14ac:dyDescent="0.3">
      <c r="K602" s="17" t="s">
        <v>164</v>
      </c>
      <c r="L602" s="17" t="s">
        <v>165</v>
      </c>
      <c r="M602" s="17" t="s">
        <v>166</v>
      </c>
      <c r="N602" s="17" t="s">
        <v>167</v>
      </c>
      <c r="O602" s="17" t="s">
        <v>168</v>
      </c>
      <c r="AG602" t="s">
        <v>554</v>
      </c>
      <c r="AH602" s="17" t="s">
        <v>155</v>
      </c>
      <c r="AI602" s="17" t="s">
        <v>155</v>
      </c>
      <c r="AJ602" s="17" t="s">
        <v>312</v>
      </c>
      <c r="AK602" s="17" t="s">
        <v>155</v>
      </c>
      <c r="AL602" s="17" t="s">
        <v>155</v>
      </c>
      <c r="AX602" t="s">
        <v>164</v>
      </c>
      <c r="AY602" t="s">
        <v>165</v>
      </c>
      <c r="AZ602" t="s">
        <v>166</v>
      </c>
      <c r="BA602" t="s">
        <v>167</v>
      </c>
      <c r="BB602" t="s">
        <v>168</v>
      </c>
      <c r="BD602">
        <f t="shared" si="56"/>
        <v>0</v>
      </c>
      <c r="BE602">
        <f t="shared" si="57"/>
        <v>0</v>
      </c>
      <c r="BF602">
        <f t="shared" si="58"/>
        <v>0</v>
      </c>
      <c r="BG602">
        <f t="shared" si="59"/>
        <v>0</v>
      </c>
      <c r="BH602">
        <f t="shared" si="60"/>
        <v>0</v>
      </c>
      <c r="BI602">
        <f t="shared" si="61"/>
        <v>0</v>
      </c>
    </row>
    <row r="603" spans="10:61" x14ac:dyDescent="0.3">
      <c r="J603" t="s">
        <v>554</v>
      </c>
      <c r="K603" s="17" t="s">
        <v>155</v>
      </c>
      <c r="L603" s="17" t="s">
        <v>155</v>
      </c>
      <c r="M603" s="17" t="s">
        <v>312</v>
      </c>
      <c r="N603" s="17" t="s">
        <v>155</v>
      </c>
      <c r="O603" s="17" t="s">
        <v>155</v>
      </c>
      <c r="AG603" t="s">
        <v>555</v>
      </c>
      <c r="AH603" s="17" t="s">
        <v>155</v>
      </c>
      <c r="AI603" s="17" t="s">
        <v>155</v>
      </c>
      <c r="AJ603" s="17" t="s">
        <v>312</v>
      </c>
      <c r="AK603" s="17" t="s">
        <v>155</v>
      </c>
      <c r="AL603" s="17" t="s">
        <v>155</v>
      </c>
      <c r="AW603" t="s">
        <v>554</v>
      </c>
      <c r="AX603" t="s">
        <v>155</v>
      </c>
      <c r="AY603" t="s">
        <v>155</v>
      </c>
      <c r="AZ603" t="s">
        <v>312</v>
      </c>
      <c r="BA603" t="s">
        <v>155</v>
      </c>
      <c r="BB603" t="s">
        <v>155</v>
      </c>
      <c r="BD603">
        <f t="shared" si="56"/>
        <v>0</v>
      </c>
      <c r="BE603">
        <f t="shared" si="57"/>
        <v>0</v>
      </c>
      <c r="BF603">
        <f t="shared" si="58"/>
        <v>0</v>
      </c>
      <c r="BG603">
        <f t="shared" si="59"/>
        <v>0</v>
      </c>
      <c r="BH603">
        <f t="shared" si="60"/>
        <v>0</v>
      </c>
      <c r="BI603">
        <f t="shared" si="61"/>
        <v>0</v>
      </c>
    </row>
    <row r="604" spans="10:61" x14ac:dyDescent="0.3">
      <c r="J604" t="s">
        <v>555</v>
      </c>
      <c r="K604" s="17" t="s">
        <v>155</v>
      </c>
      <c r="L604" s="17" t="s">
        <v>155</v>
      </c>
      <c r="M604" s="17" t="s">
        <v>312</v>
      </c>
      <c r="N604" s="17" t="s">
        <v>155</v>
      </c>
      <c r="O604" s="17" t="s">
        <v>155</v>
      </c>
      <c r="AG604" t="s">
        <v>556</v>
      </c>
      <c r="AH604" s="17" t="s">
        <v>155</v>
      </c>
      <c r="AI604" s="17" t="s">
        <v>155</v>
      </c>
      <c r="AJ604" s="17" t="s">
        <v>312</v>
      </c>
      <c r="AK604" s="17" t="s">
        <v>155</v>
      </c>
      <c r="AL604" s="17" t="s">
        <v>155</v>
      </c>
      <c r="AW604" t="s">
        <v>555</v>
      </c>
      <c r="AX604" t="s">
        <v>155</v>
      </c>
      <c r="AY604" t="s">
        <v>155</v>
      </c>
      <c r="AZ604" t="s">
        <v>312</v>
      </c>
      <c r="BA604" t="s">
        <v>155</v>
      </c>
      <c r="BB604" t="s">
        <v>155</v>
      </c>
      <c r="BD604">
        <f t="shared" si="56"/>
        <v>0</v>
      </c>
      <c r="BE604">
        <f t="shared" si="57"/>
        <v>0</v>
      </c>
      <c r="BF604">
        <f t="shared" si="58"/>
        <v>0</v>
      </c>
      <c r="BG604">
        <f t="shared" si="59"/>
        <v>0</v>
      </c>
      <c r="BH604">
        <f t="shared" si="60"/>
        <v>0</v>
      </c>
      <c r="BI604">
        <f t="shared" si="61"/>
        <v>0</v>
      </c>
    </row>
    <row r="605" spans="10:61" x14ac:dyDescent="0.3">
      <c r="J605" t="s">
        <v>556</v>
      </c>
      <c r="K605" s="17" t="s">
        <v>312</v>
      </c>
      <c r="L605" s="17" t="s">
        <v>155</v>
      </c>
      <c r="M605" s="17" t="s">
        <v>312</v>
      </c>
      <c r="N605" s="17" t="s">
        <v>155</v>
      </c>
      <c r="O605" s="17" t="s">
        <v>155</v>
      </c>
      <c r="AG605" t="s">
        <v>557</v>
      </c>
      <c r="AH605" s="17" t="s">
        <v>312</v>
      </c>
      <c r="AI605" s="17" t="s">
        <v>155</v>
      </c>
      <c r="AJ605" s="17" t="s">
        <v>155</v>
      </c>
      <c r="AK605" s="17" t="s">
        <v>155</v>
      </c>
      <c r="AL605" s="17" t="s">
        <v>155</v>
      </c>
      <c r="AW605" t="s">
        <v>556</v>
      </c>
      <c r="AX605" t="s">
        <v>312</v>
      </c>
      <c r="AY605" t="s">
        <v>155</v>
      </c>
      <c r="AZ605" t="s">
        <v>312</v>
      </c>
      <c r="BA605" t="s">
        <v>155</v>
      </c>
      <c r="BB605" t="s">
        <v>155</v>
      </c>
      <c r="BD605">
        <f t="shared" si="56"/>
        <v>0</v>
      </c>
      <c r="BE605">
        <f t="shared" si="57"/>
        <v>0</v>
      </c>
      <c r="BF605">
        <f t="shared" si="58"/>
        <v>0</v>
      </c>
      <c r="BG605">
        <f t="shared" si="59"/>
        <v>0</v>
      </c>
      <c r="BH605">
        <f t="shared" si="60"/>
        <v>0</v>
      </c>
      <c r="BI605">
        <f t="shared" si="61"/>
        <v>0</v>
      </c>
    </row>
    <row r="606" spans="10:61" x14ac:dyDescent="0.3">
      <c r="J606" t="s">
        <v>557</v>
      </c>
      <c r="K606" s="17" t="s">
        <v>312</v>
      </c>
      <c r="L606" s="17" t="s">
        <v>155</v>
      </c>
      <c r="M606" s="17" t="s">
        <v>155</v>
      </c>
      <c r="N606" s="17" t="s">
        <v>155</v>
      </c>
      <c r="O606" s="17" t="s">
        <v>155</v>
      </c>
      <c r="AG606" t="s">
        <v>542</v>
      </c>
      <c r="AH606" s="17" t="s">
        <v>312</v>
      </c>
      <c r="AI606" s="17" t="s">
        <v>155</v>
      </c>
      <c r="AJ606" s="17" t="s">
        <v>155</v>
      </c>
      <c r="AK606" s="17" t="s">
        <v>155</v>
      </c>
      <c r="AL606" s="17" t="s">
        <v>155</v>
      </c>
      <c r="AW606" t="s">
        <v>557</v>
      </c>
      <c r="AX606" t="s">
        <v>312</v>
      </c>
      <c r="AY606" t="s">
        <v>155</v>
      </c>
      <c r="AZ606" t="s">
        <v>155</v>
      </c>
      <c r="BA606" t="s">
        <v>155</v>
      </c>
      <c r="BB606" t="s">
        <v>155</v>
      </c>
      <c r="BD606">
        <f t="shared" si="56"/>
        <v>0</v>
      </c>
      <c r="BE606">
        <f t="shared" si="57"/>
        <v>0</v>
      </c>
      <c r="BF606">
        <f t="shared" si="58"/>
        <v>0</v>
      </c>
      <c r="BG606">
        <f t="shared" si="59"/>
        <v>0</v>
      </c>
      <c r="BH606">
        <f t="shared" si="60"/>
        <v>0</v>
      </c>
      <c r="BI606">
        <f t="shared" si="61"/>
        <v>0</v>
      </c>
    </row>
    <row r="607" spans="10:61" x14ac:dyDescent="0.3">
      <c r="BD607">
        <f t="shared" si="56"/>
        <v>0</v>
      </c>
      <c r="BE607">
        <f t="shared" si="57"/>
        <v>0</v>
      </c>
      <c r="BF607">
        <f t="shared" si="58"/>
        <v>0</v>
      </c>
      <c r="BG607">
        <f t="shared" si="59"/>
        <v>0</v>
      </c>
      <c r="BH607">
        <f t="shared" si="60"/>
        <v>0</v>
      </c>
      <c r="BI607">
        <f t="shared" si="61"/>
        <v>0</v>
      </c>
    </row>
    <row r="608" spans="10:61" x14ac:dyDescent="0.3">
      <c r="J608" t="s">
        <v>724</v>
      </c>
      <c r="AG608" t="s">
        <v>724</v>
      </c>
      <c r="AW608" t="s">
        <v>724</v>
      </c>
      <c r="BD608">
        <f t="shared" si="56"/>
        <v>0</v>
      </c>
      <c r="BE608">
        <f t="shared" si="57"/>
        <v>0</v>
      </c>
      <c r="BF608">
        <f t="shared" si="58"/>
        <v>0</v>
      </c>
      <c r="BG608">
        <f t="shared" si="59"/>
        <v>0</v>
      </c>
      <c r="BH608">
        <f t="shared" si="60"/>
        <v>0</v>
      </c>
      <c r="BI608">
        <f t="shared" si="61"/>
        <v>0</v>
      </c>
    </row>
    <row r="609" spans="10:61" x14ac:dyDescent="0.3">
      <c r="K609" s="17" t="s">
        <v>164</v>
      </c>
      <c r="L609" s="17" t="s">
        <v>165</v>
      </c>
      <c r="M609" s="17" t="s">
        <v>166</v>
      </c>
      <c r="N609" s="17" t="s">
        <v>167</v>
      </c>
      <c r="O609" s="17" t="s">
        <v>168</v>
      </c>
      <c r="AH609" s="17" t="s">
        <v>164</v>
      </c>
      <c r="AI609" s="17" t="s">
        <v>165</v>
      </c>
      <c r="AJ609" s="17" t="s">
        <v>166</v>
      </c>
      <c r="AK609" s="17" t="s">
        <v>167</v>
      </c>
      <c r="AL609" s="17" t="s">
        <v>168</v>
      </c>
      <c r="AX609" t="s">
        <v>164</v>
      </c>
      <c r="AY609" t="s">
        <v>165</v>
      </c>
      <c r="AZ609" t="s">
        <v>166</v>
      </c>
      <c r="BA609" t="s">
        <v>167</v>
      </c>
      <c r="BB609" t="s">
        <v>168</v>
      </c>
      <c r="BD609">
        <f t="shared" si="56"/>
        <v>0</v>
      </c>
      <c r="BE609">
        <f t="shared" si="57"/>
        <v>0</v>
      </c>
      <c r="BF609">
        <f t="shared" si="58"/>
        <v>0</v>
      </c>
      <c r="BG609">
        <f t="shared" si="59"/>
        <v>0</v>
      </c>
      <c r="BH609">
        <f t="shared" si="60"/>
        <v>0</v>
      </c>
      <c r="BI609">
        <f t="shared" si="61"/>
        <v>0</v>
      </c>
    </row>
    <row r="610" spans="10:61" x14ac:dyDescent="0.3">
      <c r="J610" t="s">
        <v>158</v>
      </c>
      <c r="K610" s="17" t="s">
        <v>312</v>
      </c>
      <c r="L610" s="17" t="s">
        <v>155</v>
      </c>
      <c r="M610" s="17" t="s">
        <v>155</v>
      </c>
      <c r="N610" s="17" t="s">
        <v>155</v>
      </c>
      <c r="O610" s="17" t="s">
        <v>155</v>
      </c>
      <c r="AG610" t="s">
        <v>158</v>
      </c>
      <c r="AH610" s="17" t="s">
        <v>155</v>
      </c>
      <c r="AI610" s="17" t="s">
        <v>155</v>
      </c>
      <c r="AJ610" s="17" t="s">
        <v>312</v>
      </c>
      <c r="AK610" s="17" t="s">
        <v>155</v>
      </c>
      <c r="AL610" s="17" t="s">
        <v>155</v>
      </c>
      <c r="AW610" t="s">
        <v>158</v>
      </c>
      <c r="AX610" t="s">
        <v>312</v>
      </c>
      <c r="AY610" t="s">
        <v>155</v>
      </c>
      <c r="AZ610" t="s">
        <v>155</v>
      </c>
      <c r="BA610" t="s">
        <v>155</v>
      </c>
      <c r="BB610" t="s">
        <v>155</v>
      </c>
      <c r="BD610">
        <f t="shared" si="56"/>
        <v>0</v>
      </c>
      <c r="BE610">
        <f t="shared" si="57"/>
        <v>0</v>
      </c>
      <c r="BF610">
        <f t="shared" si="58"/>
        <v>0</v>
      </c>
      <c r="BG610">
        <f t="shared" si="59"/>
        <v>0</v>
      </c>
      <c r="BH610">
        <f t="shared" si="60"/>
        <v>0</v>
      </c>
      <c r="BI610">
        <f t="shared" si="61"/>
        <v>0</v>
      </c>
    </row>
    <row r="611" spans="10:61" x14ac:dyDescent="0.3">
      <c r="J611" t="s">
        <v>159</v>
      </c>
      <c r="K611" s="17" t="s">
        <v>312</v>
      </c>
      <c r="L611" s="17" t="s">
        <v>155</v>
      </c>
      <c r="M611" s="17" t="s">
        <v>155</v>
      </c>
      <c r="N611" s="17" t="s">
        <v>155</v>
      </c>
      <c r="O611" s="17" t="s">
        <v>312</v>
      </c>
      <c r="AG611" t="s">
        <v>159</v>
      </c>
      <c r="AH611" s="17" t="s">
        <v>155</v>
      </c>
      <c r="AI611" s="17" t="s">
        <v>155</v>
      </c>
      <c r="AJ611" s="17" t="s">
        <v>312</v>
      </c>
      <c r="AK611" s="17" t="s">
        <v>155</v>
      </c>
      <c r="AL611" s="17" t="s">
        <v>312</v>
      </c>
      <c r="AW611" t="s">
        <v>159</v>
      </c>
      <c r="AX611" t="s">
        <v>312</v>
      </c>
      <c r="AY611" t="s">
        <v>155</v>
      </c>
      <c r="AZ611" t="s">
        <v>155</v>
      </c>
      <c r="BA611" t="s">
        <v>155</v>
      </c>
      <c r="BB611" t="s">
        <v>312</v>
      </c>
      <c r="BD611">
        <f t="shared" si="56"/>
        <v>0</v>
      </c>
      <c r="BE611">
        <f t="shared" si="57"/>
        <v>0</v>
      </c>
      <c r="BF611">
        <f t="shared" si="58"/>
        <v>0</v>
      </c>
      <c r="BG611">
        <f t="shared" si="59"/>
        <v>0</v>
      </c>
      <c r="BH611">
        <f t="shared" si="60"/>
        <v>0</v>
      </c>
      <c r="BI611">
        <f t="shared" si="61"/>
        <v>0</v>
      </c>
    </row>
    <row r="612" spans="10:61" x14ac:dyDescent="0.3">
      <c r="J612" t="s">
        <v>160</v>
      </c>
      <c r="K612" s="17" t="s">
        <v>312</v>
      </c>
      <c r="L612" s="17" t="s">
        <v>155</v>
      </c>
      <c r="M612" s="17" t="s">
        <v>155</v>
      </c>
      <c r="N612" s="17" t="s">
        <v>155</v>
      </c>
      <c r="O612" s="17" t="s">
        <v>312</v>
      </c>
      <c r="AG612" t="s">
        <v>160</v>
      </c>
      <c r="AH612" s="17" t="s">
        <v>155</v>
      </c>
      <c r="AI612" s="17" t="s">
        <v>155</v>
      </c>
      <c r="AJ612" s="17" t="s">
        <v>312</v>
      </c>
      <c r="AK612" s="17" t="s">
        <v>155</v>
      </c>
      <c r="AL612" s="17" t="s">
        <v>312</v>
      </c>
      <c r="AW612" t="s">
        <v>160</v>
      </c>
      <c r="AX612" t="s">
        <v>312</v>
      </c>
      <c r="AY612" t="s">
        <v>155</v>
      </c>
      <c r="AZ612" t="s">
        <v>155</v>
      </c>
      <c r="BA612" t="s">
        <v>155</v>
      </c>
      <c r="BB612" t="s">
        <v>312</v>
      </c>
      <c r="BD612">
        <f t="shared" si="56"/>
        <v>0</v>
      </c>
      <c r="BE612">
        <f t="shared" si="57"/>
        <v>0</v>
      </c>
      <c r="BF612">
        <f t="shared" si="58"/>
        <v>0</v>
      </c>
      <c r="BG612">
        <f t="shared" si="59"/>
        <v>0</v>
      </c>
      <c r="BH612">
        <f t="shared" si="60"/>
        <v>0</v>
      </c>
      <c r="BI612">
        <f t="shared" si="61"/>
        <v>0</v>
      </c>
    </row>
    <row r="613" spans="10:61" x14ac:dyDescent="0.3">
      <c r="BD613">
        <f t="shared" si="56"/>
        <v>0</v>
      </c>
      <c r="BE613">
        <f t="shared" si="57"/>
        <v>0</v>
      </c>
      <c r="BF613">
        <f t="shared" si="58"/>
        <v>0</v>
      </c>
      <c r="BG613">
        <f t="shared" si="59"/>
        <v>0</v>
      </c>
      <c r="BH613">
        <f t="shared" si="60"/>
        <v>0</v>
      </c>
      <c r="BI613">
        <f t="shared" si="61"/>
        <v>0</v>
      </c>
    </row>
    <row r="614" spans="10:61" x14ac:dyDescent="0.3">
      <c r="J614" t="s">
        <v>698</v>
      </c>
      <c r="AG614" t="s">
        <v>698</v>
      </c>
      <c r="AW614" t="s">
        <v>698</v>
      </c>
      <c r="BD614">
        <f t="shared" si="56"/>
        <v>0</v>
      </c>
      <c r="BE614">
        <f t="shared" si="57"/>
        <v>0</v>
      </c>
      <c r="BF614">
        <f t="shared" si="58"/>
        <v>0</v>
      </c>
      <c r="BG614">
        <f t="shared" si="59"/>
        <v>0</v>
      </c>
      <c r="BH614">
        <f t="shared" si="60"/>
        <v>0</v>
      </c>
      <c r="BI614">
        <f t="shared" si="61"/>
        <v>0</v>
      </c>
    </row>
    <row r="615" spans="10:61" x14ac:dyDescent="0.3">
      <c r="K615" s="17" t="s">
        <v>164</v>
      </c>
      <c r="L615" s="17" t="s">
        <v>165</v>
      </c>
      <c r="M615" s="17" t="s">
        <v>166</v>
      </c>
      <c r="N615" s="17" t="s">
        <v>167</v>
      </c>
      <c r="O615" s="17" t="s">
        <v>168</v>
      </c>
      <c r="AH615" s="17" t="s">
        <v>164</v>
      </c>
      <c r="AI615" s="17" t="s">
        <v>165</v>
      </c>
      <c r="AJ615" s="17" t="s">
        <v>166</v>
      </c>
      <c r="AK615" s="17" t="s">
        <v>167</v>
      </c>
      <c r="AL615" s="17" t="s">
        <v>168</v>
      </c>
      <c r="AX615" t="s">
        <v>164</v>
      </c>
      <c r="AY615" t="s">
        <v>165</v>
      </c>
      <c r="AZ615" t="s">
        <v>166</v>
      </c>
      <c r="BA615" t="s">
        <v>167</v>
      </c>
      <c r="BB615" t="s">
        <v>168</v>
      </c>
      <c r="BD615">
        <f t="shared" si="56"/>
        <v>0</v>
      </c>
      <c r="BE615">
        <f t="shared" si="57"/>
        <v>0</v>
      </c>
      <c r="BF615">
        <f t="shared" si="58"/>
        <v>0</v>
      </c>
      <c r="BG615">
        <f t="shared" si="59"/>
        <v>0</v>
      </c>
      <c r="BH615">
        <f t="shared" si="60"/>
        <v>0</v>
      </c>
      <c r="BI615">
        <f t="shared" si="61"/>
        <v>0</v>
      </c>
    </row>
    <row r="616" spans="10:61" x14ac:dyDescent="0.3">
      <c r="J616" t="s">
        <v>543</v>
      </c>
      <c r="K616" s="17" t="s">
        <v>272</v>
      </c>
      <c r="L616" s="17" t="s">
        <v>155</v>
      </c>
      <c r="M616" s="17" t="s">
        <v>155</v>
      </c>
      <c r="N616" s="17" t="s">
        <v>155</v>
      </c>
      <c r="O616" s="17" t="s">
        <v>155</v>
      </c>
      <c r="AG616" t="s">
        <v>542</v>
      </c>
      <c r="AH616" s="17" t="s">
        <v>155</v>
      </c>
      <c r="AI616" s="17" t="s">
        <v>155</v>
      </c>
      <c r="AJ616" s="17" t="s">
        <v>155</v>
      </c>
      <c r="AK616" s="17" t="s">
        <v>249</v>
      </c>
      <c r="AL616" s="17" t="s">
        <v>155</v>
      </c>
      <c r="AW616" t="s">
        <v>542</v>
      </c>
      <c r="AX616" t="s">
        <v>155</v>
      </c>
      <c r="AY616" t="s">
        <v>155</v>
      </c>
      <c r="AZ616" t="s">
        <v>155</v>
      </c>
      <c r="BA616" t="s">
        <v>249</v>
      </c>
      <c r="BB616" t="s">
        <v>155</v>
      </c>
      <c r="BD616">
        <f t="shared" si="56"/>
        <v>1</v>
      </c>
      <c r="BE616">
        <f t="shared" si="57"/>
        <v>1</v>
      </c>
      <c r="BF616">
        <f t="shared" si="58"/>
        <v>0</v>
      </c>
      <c r="BG616">
        <f t="shared" si="59"/>
        <v>0</v>
      </c>
      <c r="BH616">
        <f t="shared" si="60"/>
        <v>1</v>
      </c>
      <c r="BI616">
        <f t="shared" si="61"/>
        <v>0</v>
      </c>
    </row>
    <row r="617" spans="10:61" x14ac:dyDescent="0.3">
      <c r="J617" t="s">
        <v>544</v>
      </c>
      <c r="K617" s="17" t="s">
        <v>272</v>
      </c>
      <c r="L617" s="17" t="s">
        <v>155</v>
      </c>
      <c r="M617" s="17" t="s">
        <v>155</v>
      </c>
      <c r="N617" s="17" t="s">
        <v>272</v>
      </c>
      <c r="O617" s="17" t="s">
        <v>155</v>
      </c>
      <c r="AG617" t="s">
        <v>543</v>
      </c>
      <c r="AH617" s="17" t="s">
        <v>272</v>
      </c>
      <c r="AI617" s="17" t="s">
        <v>155</v>
      </c>
      <c r="AJ617" s="17" t="s">
        <v>155</v>
      </c>
      <c r="AK617" s="17" t="s">
        <v>249</v>
      </c>
      <c r="AL617" s="17" t="s">
        <v>155</v>
      </c>
      <c r="AW617" t="s">
        <v>543</v>
      </c>
      <c r="AX617" t="s">
        <v>272</v>
      </c>
      <c r="AY617" t="s">
        <v>155</v>
      </c>
      <c r="AZ617" t="s">
        <v>155</v>
      </c>
      <c r="BA617" t="s">
        <v>249</v>
      </c>
      <c r="BB617" t="s">
        <v>155</v>
      </c>
      <c r="BD617">
        <f t="shared" si="56"/>
        <v>1</v>
      </c>
      <c r="BE617">
        <f t="shared" si="57"/>
        <v>0</v>
      </c>
      <c r="BF617">
        <f t="shared" si="58"/>
        <v>0</v>
      </c>
      <c r="BG617">
        <f t="shared" si="59"/>
        <v>0</v>
      </c>
      <c r="BH617">
        <f t="shared" si="60"/>
        <v>1</v>
      </c>
      <c r="BI617">
        <f t="shared" si="61"/>
        <v>0</v>
      </c>
    </row>
    <row r="618" spans="10:61" x14ac:dyDescent="0.3">
      <c r="J618" t="s">
        <v>545</v>
      </c>
      <c r="K618" s="17" t="s">
        <v>249</v>
      </c>
      <c r="L618" s="17" t="s">
        <v>155</v>
      </c>
      <c r="M618" s="17" t="s">
        <v>249</v>
      </c>
      <c r="N618" s="17" t="s">
        <v>272</v>
      </c>
      <c r="O618" s="17" t="s">
        <v>155</v>
      </c>
      <c r="AG618" t="s">
        <v>544</v>
      </c>
      <c r="AH618" s="17" t="s">
        <v>272</v>
      </c>
      <c r="AI618" s="17" t="s">
        <v>155</v>
      </c>
      <c r="AJ618" s="17" t="s">
        <v>155</v>
      </c>
      <c r="AK618" s="17" t="s">
        <v>272</v>
      </c>
      <c r="AL618" s="17" t="s">
        <v>155</v>
      </c>
      <c r="AW618" t="s">
        <v>544</v>
      </c>
      <c r="AX618" t="s">
        <v>272</v>
      </c>
      <c r="AY618" t="s">
        <v>155</v>
      </c>
      <c r="AZ618" t="s">
        <v>155</v>
      </c>
      <c r="BA618" t="s">
        <v>272</v>
      </c>
      <c r="BB618" t="s">
        <v>155</v>
      </c>
      <c r="BD618">
        <f t="shared" si="56"/>
        <v>1</v>
      </c>
      <c r="BE618">
        <f t="shared" si="57"/>
        <v>1</v>
      </c>
      <c r="BF618">
        <f t="shared" si="58"/>
        <v>0</v>
      </c>
      <c r="BG618">
        <f t="shared" si="59"/>
        <v>1</v>
      </c>
      <c r="BH618">
        <f t="shared" si="60"/>
        <v>0</v>
      </c>
      <c r="BI618">
        <f t="shared" si="61"/>
        <v>0</v>
      </c>
    </row>
    <row r="619" spans="10:61" x14ac:dyDescent="0.3">
      <c r="J619" t="s">
        <v>546</v>
      </c>
      <c r="K619" s="17" t="s">
        <v>249</v>
      </c>
      <c r="L619" s="17" t="s">
        <v>155</v>
      </c>
      <c r="M619" s="17" t="s">
        <v>249</v>
      </c>
      <c r="N619" s="17" t="s">
        <v>272</v>
      </c>
      <c r="O619" s="17" t="s">
        <v>155</v>
      </c>
      <c r="AG619" t="s">
        <v>545</v>
      </c>
      <c r="AH619" s="17" t="s">
        <v>249</v>
      </c>
      <c r="AI619" s="17" t="s">
        <v>155</v>
      </c>
      <c r="AJ619" s="17" t="s">
        <v>155</v>
      </c>
      <c r="AK619" s="17" t="s">
        <v>272</v>
      </c>
      <c r="AL619" s="17" t="s">
        <v>155</v>
      </c>
      <c r="AW619" t="s">
        <v>545</v>
      </c>
      <c r="AX619" t="s">
        <v>249</v>
      </c>
      <c r="AY619" t="s">
        <v>155</v>
      </c>
      <c r="AZ619" t="s">
        <v>155</v>
      </c>
      <c r="BA619" t="s">
        <v>272</v>
      </c>
      <c r="BB619" t="s">
        <v>155</v>
      </c>
      <c r="BD619">
        <f t="shared" si="56"/>
        <v>1</v>
      </c>
      <c r="BE619">
        <f t="shared" si="57"/>
        <v>0</v>
      </c>
      <c r="BF619">
        <f t="shared" si="58"/>
        <v>0</v>
      </c>
      <c r="BG619">
        <f t="shared" si="59"/>
        <v>1</v>
      </c>
      <c r="BH619">
        <f t="shared" si="60"/>
        <v>0</v>
      </c>
      <c r="BI619">
        <f t="shared" si="61"/>
        <v>0</v>
      </c>
    </row>
    <row r="620" spans="10:61" x14ac:dyDescent="0.3">
      <c r="AG620" t="s">
        <v>546</v>
      </c>
      <c r="AH620" s="17" t="s">
        <v>249</v>
      </c>
      <c r="AI620" s="17" t="s">
        <v>155</v>
      </c>
      <c r="AJ620" s="17" t="s">
        <v>155</v>
      </c>
      <c r="AK620" s="17" t="s">
        <v>272</v>
      </c>
      <c r="AL620" s="17" t="s">
        <v>155</v>
      </c>
      <c r="AW620" t="s">
        <v>546</v>
      </c>
      <c r="AX620" t="s">
        <v>249</v>
      </c>
      <c r="AY620" t="s">
        <v>155</v>
      </c>
      <c r="AZ620" t="s">
        <v>155</v>
      </c>
      <c r="BA620" t="s">
        <v>272</v>
      </c>
      <c r="BB620" t="s">
        <v>155</v>
      </c>
      <c r="BD620">
        <f t="shared" si="56"/>
        <v>1</v>
      </c>
      <c r="BE620">
        <f t="shared" si="57"/>
        <v>1</v>
      </c>
      <c r="BF620">
        <f t="shared" si="58"/>
        <v>1</v>
      </c>
      <c r="BG620">
        <f t="shared" si="59"/>
        <v>1</v>
      </c>
      <c r="BH620">
        <f t="shared" si="60"/>
        <v>1</v>
      </c>
      <c r="BI620">
        <f t="shared" si="61"/>
        <v>1</v>
      </c>
    </row>
    <row r="621" spans="10:61" x14ac:dyDescent="0.3">
      <c r="J621" t="s">
        <v>736</v>
      </c>
      <c r="BD621">
        <f t="shared" si="56"/>
        <v>1</v>
      </c>
      <c r="BE621">
        <f t="shared" si="57"/>
        <v>0</v>
      </c>
      <c r="BF621">
        <f t="shared" si="58"/>
        <v>0</v>
      </c>
      <c r="BG621">
        <f t="shared" si="59"/>
        <v>0</v>
      </c>
      <c r="BH621">
        <f t="shared" si="60"/>
        <v>0</v>
      </c>
      <c r="BI621">
        <f t="shared" si="61"/>
        <v>0</v>
      </c>
    </row>
    <row r="622" spans="10:61" x14ac:dyDescent="0.3">
      <c r="K622" s="17" t="s">
        <v>164</v>
      </c>
      <c r="L622" s="17" t="s">
        <v>165</v>
      </c>
      <c r="M622" s="17" t="s">
        <v>166</v>
      </c>
      <c r="N622" s="17" t="s">
        <v>167</v>
      </c>
      <c r="O622" s="17" t="s">
        <v>168</v>
      </c>
      <c r="AG622" t="s">
        <v>736</v>
      </c>
      <c r="AW622" t="s">
        <v>736</v>
      </c>
      <c r="BD622">
        <f t="shared" si="56"/>
        <v>1</v>
      </c>
      <c r="BE622">
        <f t="shared" si="57"/>
        <v>1</v>
      </c>
      <c r="BF622">
        <f t="shared" si="58"/>
        <v>1</v>
      </c>
      <c r="BG622">
        <f t="shared" si="59"/>
        <v>1</v>
      </c>
      <c r="BH622">
        <f t="shared" si="60"/>
        <v>1</v>
      </c>
      <c r="BI622">
        <f t="shared" si="61"/>
        <v>1</v>
      </c>
    </row>
    <row r="623" spans="10:61" x14ac:dyDescent="0.3">
      <c r="J623" t="s">
        <v>548</v>
      </c>
      <c r="K623" s="17" t="s">
        <v>155</v>
      </c>
      <c r="L623" s="17" t="s">
        <v>155</v>
      </c>
      <c r="M623" s="17" t="s">
        <v>347</v>
      </c>
      <c r="N623" s="17" t="s">
        <v>155</v>
      </c>
      <c r="O623" s="17" t="s">
        <v>347</v>
      </c>
      <c r="AH623" s="17" t="s">
        <v>164</v>
      </c>
      <c r="AI623" s="17" t="s">
        <v>165</v>
      </c>
      <c r="AJ623" s="17" t="s">
        <v>166</v>
      </c>
      <c r="AK623" s="17" t="s">
        <v>167</v>
      </c>
      <c r="AL623" s="17" t="s">
        <v>168</v>
      </c>
      <c r="AX623" t="s">
        <v>164</v>
      </c>
      <c r="AY623" t="s">
        <v>165</v>
      </c>
      <c r="AZ623" t="s">
        <v>166</v>
      </c>
      <c r="BA623" t="s">
        <v>167</v>
      </c>
      <c r="BB623" t="s">
        <v>168</v>
      </c>
      <c r="BD623">
        <f t="shared" si="56"/>
        <v>1</v>
      </c>
      <c r="BE623">
        <f t="shared" si="57"/>
        <v>1</v>
      </c>
      <c r="BF623">
        <f t="shared" si="58"/>
        <v>1</v>
      </c>
      <c r="BG623">
        <f t="shared" si="59"/>
        <v>1</v>
      </c>
      <c r="BH623">
        <f t="shared" si="60"/>
        <v>1</v>
      </c>
      <c r="BI623">
        <f t="shared" si="61"/>
        <v>1</v>
      </c>
    </row>
    <row r="624" spans="10:61" x14ac:dyDescent="0.3">
      <c r="J624" t="s">
        <v>549</v>
      </c>
      <c r="K624" s="17" t="s">
        <v>155</v>
      </c>
      <c r="L624" s="17" t="s">
        <v>155</v>
      </c>
      <c r="M624" s="17" t="s">
        <v>347</v>
      </c>
      <c r="N624" s="17" t="s">
        <v>155</v>
      </c>
      <c r="O624" s="17" t="s">
        <v>347</v>
      </c>
      <c r="AG624" t="s">
        <v>548</v>
      </c>
      <c r="AH624" s="17" t="s">
        <v>155</v>
      </c>
      <c r="AI624" s="17" t="s">
        <v>347</v>
      </c>
      <c r="AJ624" s="17" t="s">
        <v>155</v>
      </c>
      <c r="AK624" s="17" t="s">
        <v>347</v>
      </c>
      <c r="AL624" s="17" t="s">
        <v>155</v>
      </c>
      <c r="AW624" t="s">
        <v>548</v>
      </c>
      <c r="AX624" t="s">
        <v>155</v>
      </c>
      <c r="AY624" t="s">
        <v>155</v>
      </c>
      <c r="AZ624" t="s">
        <v>347</v>
      </c>
      <c r="BA624" t="s">
        <v>155</v>
      </c>
      <c r="BB624" t="s">
        <v>347</v>
      </c>
      <c r="BD624">
        <f t="shared" si="56"/>
        <v>1</v>
      </c>
      <c r="BE624">
        <f t="shared" si="57"/>
        <v>0</v>
      </c>
      <c r="BF624">
        <f t="shared" si="58"/>
        <v>0</v>
      </c>
      <c r="BG624">
        <f t="shared" si="59"/>
        <v>0</v>
      </c>
      <c r="BH624">
        <f t="shared" si="60"/>
        <v>0</v>
      </c>
      <c r="BI624">
        <f t="shared" si="61"/>
        <v>0</v>
      </c>
    </row>
    <row r="625" spans="10:61" x14ac:dyDescent="0.3">
      <c r="J625" t="s">
        <v>159</v>
      </c>
      <c r="K625" s="17" t="s">
        <v>155</v>
      </c>
      <c r="L625" s="17" t="s">
        <v>347</v>
      </c>
      <c r="M625" s="17" t="s">
        <v>155</v>
      </c>
      <c r="N625" s="17" t="s">
        <v>155</v>
      </c>
      <c r="O625" s="17" t="s">
        <v>347</v>
      </c>
      <c r="AG625" t="s">
        <v>549</v>
      </c>
      <c r="AH625" s="17" t="s">
        <v>155</v>
      </c>
      <c r="AI625" s="17" t="s">
        <v>347</v>
      </c>
      <c r="AJ625" s="17" t="s">
        <v>155</v>
      </c>
      <c r="AK625" s="17" t="s">
        <v>347</v>
      </c>
      <c r="AL625" s="17" t="s">
        <v>155</v>
      </c>
      <c r="AW625" t="s">
        <v>549</v>
      </c>
      <c r="AX625" t="s">
        <v>155</v>
      </c>
      <c r="AY625" t="s">
        <v>155</v>
      </c>
      <c r="AZ625" t="s">
        <v>347</v>
      </c>
      <c r="BA625" t="s">
        <v>155</v>
      </c>
      <c r="BB625" t="s">
        <v>347</v>
      </c>
      <c r="BD625">
        <f t="shared" si="56"/>
        <v>1</v>
      </c>
      <c r="BE625">
        <f t="shared" si="57"/>
        <v>0</v>
      </c>
      <c r="BF625">
        <f t="shared" si="58"/>
        <v>1</v>
      </c>
      <c r="BG625">
        <f t="shared" si="59"/>
        <v>1</v>
      </c>
      <c r="BH625">
        <f t="shared" si="60"/>
        <v>0</v>
      </c>
      <c r="BI625">
        <f t="shared" si="61"/>
        <v>0</v>
      </c>
    </row>
    <row r="626" spans="10:61" x14ac:dyDescent="0.3">
      <c r="J626" t="s">
        <v>160</v>
      </c>
      <c r="K626" s="17" t="s">
        <v>155</v>
      </c>
      <c r="L626" s="17" t="s">
        <v>347</v>
      </c>
      <c r="M626" s="17" t="s">
        <v>155</v>
      </c>
      <c r="N626" s="17" t="s">
        <v>155</v>
      </c>
      <c r="O626" s="17" t="s">
        <v>347</v>
      </c>
      <c r="AG626" t="s">
        <v>159</v>
      </c>
      <c r="AH626" s="17" t="s">
        <v>155</v>
      </c>
      <c r="AI626" s="17" t="s">
        <v>347</v>
      </c>
      <c r="AJ626" s="17" t="s">
        <v>155</v>
      </c>
      <c r="AK626" s="17" t="s">
        <v>155</v>
      </c>
      <c r="AL626" s="17" t="s">
        <v>347</v>
      </c>
      <c r="AW626" t="s">
        <v>159</v>
      </c>
      <c r="AX626" t="s">
        <v>155</v>
      </c>
      <c r="AY626" t="s">
        <v>347</v>
      </c>
      <c r="AZ626" t="s">
        <v>155</v>
      </c>
      <c r="BA626" t="s">
        <v>155</v>
      </c>
      <c r="BB626" t="s">
        <v>347</v>
      </c>
      <c r="BD626">
        <f t="shared" si="56"/>
        <v>1</v>
      </c>
      <c r="BE626">
        <f t="shared" si="57"/>
        <v>0</v>
      </c>
      <c r="BF626">
        <f t="shared" si="58"/>
        <v>0</v>
      </c>
      <c r="BG626">
        <f t="shared" si="59"/>
        <v>0</v>
      </c>
      <c r="BH626">
        <f t="shared" si="60"/>
        <v>0</v>
      </c>
      <c r="BI626">
        <f t="shared" si="61"/>
        <v>0</v>
      </c>
    </row>
    <row r="627" spans="10:61" x14ac:dyDescent="0.3">
      <c r="AG627" t="s">
        <v>160</v>
      </c>
      <c r="AH627" s="17" t="s">
        <v>155</v>
      </c>
      <c r="AI627" s="17" t="s">
        <v>347</v>
      </c>
      <c r="AJ627" s="17" t="s">
        <v>155</v>
      </c>
      <c r="AK627" s="17" t="s">
        <v>155</v>
      </c>
      <c r="AL627" s="17" t="s">
        <v>347</v>
      </c>
      <c r="AW627" t="s">
        <v>160</v>
      </c>
      <c r="AX627" t="s">
        <v>155</v>
      </c>
      <c r="AY627" t="s">
        <v>347</v>
      </c>
      <c r="AZ627" t="s">
        <v>155</v>
      </c>
      <c r="BA627" t="s">
        <v>155</v>
      </c>
      <c r="BB627" t="s">
        <v>347</v>
      </c>
      <c r="BD627">
        <f t="shared" si="56"/>
        <v>1</v>
      </c>
      <c r="BE627">
        <f t="shared" si="57"/>
        <v>1</v>
      </c>
      <c r="BF627">
        <f t="shared" si="58"/>
        <v>1</v>
      </c>
      <c r="BG627">
        <f t="shared" si="59"/>
        <v>1</v>
      </c>
      <c r="BH627">
        <f t="shared" si="60"/>
        <v>1</v>
      </c>
      <c r="BI627">
        <f t="shared" si="61"/>
        <v>1</v>
      </c>
    </row>
    <row r="628" spans="10:61" x14ac:dyDescent="0.3">
      <c r="J628" t="s">
        <v>958</v>
      </c>
      <c r="BD628">
        <f t="shared" si="56"/>
        <v>1</v>
      </c>
      <c r="BE628">
        <f t="shared" si="57"/>
        <v>0</v>
      </c>
      <c r="BF628">
        <f t="shared" si="58"/>
        <v>0</v>
      </c>
      <c r="BG628">
        <f t="shared" si="59"/>
        <v>0</v>
      </c>
      <c r="BH628">
        <f t="shared" si="60"/>
        <v>0</v>
      </c>
      <c r="BI628">
        <f t="shared" si="61"/>
        <v>0</v>
      </c>
    </row>
    <row r="629" spans="10:61" x14ac:dyDescent="0.3">
      <c r="K629" s="17" t="s">
        <v>164</v>
      </c>
      <c r="L629" s="17" t="s">
        <v>165</v>
      </c>
      <c r="M629" s="17" t="s">
        <v>166</v>
      </c>
      <c r="N629" s="17" t="s">
        <v>167</v>
      </c>
      <c r="O629" s="17" t="s">
        <v>168</v>
      </c>
      <c r="AG629" t="s">
        <v>958</v>
      </c>
      <c r="AW629" t="s">
        <v>958</v>
      </c>
      <c r="BD629">
        <f t="shared" si="56"/>
        <v>1</v>
      </c>
      <c r="BE629">
        <f t="shared" si="57"/>
        <v>1</v>
      </c>
      <c r="BF629">
        <f t="shared" si="58"/>
        <v>1</v>
      </c>
      <c r="BG629">
        <f t="shared" si="59"/>
        <v>1</v>
      </c>
      <c r="BH629">
        <f t="shared" si="60"/>
        <v>1</v>
      </c>
      <c r="BI629">
        <f t="shared" si="61"/>
        <v>1</v>
      </c>
    </row>
    <row r="630" spans="10:61" x14ac:dyDescent="0.3">
      <c r="J630" t="s">
        <v>555</v>
      </c>
      <c r="K630" s="17" t="s">
        <v>155</v>
      </c>
      <c r="L630" s="17" t="s">
        <v>155</v>
      </c>
      <c r="M630" s="17" t="s">
        <v>683</v>
      </c>
      <c r="N630" s="17" t="s">
        <v>155</v>
      </c>
      <c r="O630" s="17" t="s">
        <v>155</v>
      </c>
      <c r="AH630" s="17" t="s">
        <v>164</v>
      </c>
      <c r="AI630" s="17" t="s">
        <v>165</v>
      </c>
      <c r="AJ630" s="17" t="s">
        <v>166</v>
      </c>
      <c r="AK630" s="17" t="s">
        <v>167</v>
      </c>
      <c r="AL630" s="17" t="s">
        <v>168</v>
      </c>
      <c r="AX630" t="s">
        <v>164</v>
      </c>
      <c r="AY630" t="s">
        <v>165</v>
      </c>
      <c r="AZ630" t="s">
        <v>166</v>
      </c>
      <c r="BA630" t="s">
        <v>167</v>
      </c>
      <c r="BB630" t="s">
        <v>168</v>
      </c>
      <c r="BD630">
        <f t="shared" si="56"/>
        <v>1</v>
      </c>
      <c r="BE630">
        <f t="shared" si="57"/>
        <v>1</v>
      </c>
      <c r="BF630">
        <f t="shared" si="58"/>
        <v>1</v>
      </c>
      <c r="BG630">
        <f t="shared" si="59"/>
        <v>1</v>
      </c>
      <c r="BH630">
        <f t="shared" si="60"/>
        <v>1</v>
      </c>
      <c r="BI630">
        <f t="shared" si="61"/>
        <v>1</v>
      </c>
    </row>
    <row r="631" spans="10:61" x14ac:dyDescent="0.3">
      <c r="J631" t="s">
        <v>556</v>
      </c>
      <c r="K631" s="17" t="s">
        <v>155</v>
      </c>
      <c r="L631" s="17" t="s">
        <v>155</v>
      </c>
      <c r="M631" s="17" t="s">
        <v>683</v>
      </c>
      <c r="N631" s="17" t="s">
        <v>155</v>
      </c>
      <c r="O631" s="17" t="s">
        <v>155</v>
      </c>
      <c r="AG631" t="s">
        <v>555</v>
      </c>
      <c r="AH631" s="17" t="s">
        <v>155</v>
      </c>
      <c r="AI631" s="17" t="s">
        <v>155</v>
      </c>
      <c r="AJ631" s="17" t="s">
        <v>683</v>
      </c>
      <c r="AK631" s="17" t="s">
        <v>155</v>
      </c>
      <c r="AL631" s="17" t="s">
        <v>155</v>
      </c>
      <c r="AW631" t="s">
        <v>555</v>
      </c>
      <c r="AX631" t="s">
        <v>155</v>
      </c>
      <c r="AY631" t="s">
        <v>155</v>
      </c>
      <c r="AZ631" t="s">
        <v>683</v>
      </c>
      <c r="BA631" t="s">
        <v>155</v>
      </c>
      <c r="BB631" t="s">
        <v>155</v>
      </c>
      <c r="BD631">
        <f t="shared" si="56"/>
        <v>1</v>
      </c>
      <c r="BE631">
        <f t="shared" si="57"/>
        <v>0</v>
      </c>
      <c r="BF631">
        <f t="shared" si="58"/>
        <v>0</v>
      </c>
      <c r="BG631">
        <f t="shared" si="59"/>
        <v>0</v>
      </c>
      <c r="BH631">
        <f t="shared" si="60"/>
        <v>0</v>
      </c>
      <c r="BI631">
        <f t="shared" si="61"/>
        <v>0</v>
      </c>
    </row>
    <row r="632" spans="10:61" x14ac:dyDescent="0.3">
      <c r="J632" t="s">
        <v>557</v>
      </c>
      <c r="K632" s="17" t="s">
        <v>155</v>
      </c>
      <c r="L632" s="17" t="s">
        <v>683</v>
      </c>
      <c r="M632" s="17" t="s">
        <v>683</v>
      </c>
      <c r="N632" s="17" t="s">
        <v>155</v>
      </c>
      <c r="O632" s="17" t="s">
        <v>155</v>
      </c>
      <c r="AG632" t="s">
        <v>556</v>
      </c>
      <c r="AH632" s="17" t="s">
        <v>155</v>
      </c>
      <c r="AI632" s="17" t="s">
        <v>155</v>
      </c>
      <c r="AJ632" s="17" t="s">
        <v>683</v>
      </c>
      <c r="AK632" s="17" t="s">
        <v>155</v>
      </c>
      <c r="AL632" s="17" t="s">
        <v>155</v>
      </c>
      <c r="AW632" t="s">
        <v>556</v>
      </c>
      <c r="AX632" t="s">
        <v>155</v>
      </c>
      <c r="AY632" t="s">
        <v>155</v>
      </c>
      <c r="AZ632" t="s">
        <v>683</v>
      </c>
      <c r="BA632" t="s">
        <v>155</v>
      </c>
      <c r="BB632" t="s">
        <v>155</v>
      </c>
      <c r="BD632">
        <f t="shared" si="56"/>
        <v>1</v>
      </c>
      <c r="BE632">
        <f t="shared" si="57"/>
        <v>0</v>
      </c>
      <c r="BF632">
        <f t="shared" si="58"/>
        <v>1</v>
      </c>
      <c r="BG632">
        <f t="shared" si="59"/>
        <v>0</v>
      </c>
      <c r="BH632">
        <f t="shared" si="60"/>
        <v>0</v>
      </c>
      <c r="BI632">
        <f t="shared" si="61"/>
        <v>0</v>
      </c>
    </row>
    <row r="633" spans="10:61" x14ac:dyDescent="0.3">
      <c r="J633" t="s">
        <v>542</v>
      </c>
      <c r="K633" s="17" t="s">
        <v>155</v>
      </c>
      <c r="L633" s="17" t="s">
        <v>683</v>
      </c>
      <c r="M633" s="17" t="s">
        <v>155</v>
      </c>
      <c r="N633" s="17" t="s">
        <v>155</v>
      </c>
      <c r="O633" s="17" t="s">
        <v>155</v>
      </c>
      <c r="AG633" t="s">
        <v>557</v>
      </c>
      <c r="AH633" s="17" t="s">
        <v>155</v>
      </c>
      <c r="AI633" s="17" t="s">
        <v>683</v>
      </c>
      <c r="AJ633" s="17" t="s">
        <v>683</v>
      </c>
      <c r="AK633" s="17" t="s">
        <v>155</v>
      </c>
      <c r="AL633" s="17" t="s">
        <v>155</v>
      </c>
      <c r="AW633" t="s">
        <v>557</v>
      </c>
      <c r="AX633" t="s">
        <v>155</v>
      </c>
      <c r="AY633" t="s">
        <v>683</v>
      </c>
      <c r="AZ633" t="s">
        <v>683</v>
      </c>
      <c r="BA633" t="s">
        <v>155</v>
      </c>
      <c r="BB633" t="s">
        <v>155</v>
      </c>
      <c r="BD633">
        <f t="shared" si="56"/>
        <v>1</v>
      </c>
      <c r="BE633">
        <f t="shared" si="57"/>
        <v>0</v>
      </c>
      <c r="BF633">
        <f t="shared" si="58"/>
        <v>0</v>
      </c>
      <c r="BG633">
        <f t="shared" si="59"/>
        <v>1</v>
      </c>
      <c r="BH633">
        <f t="shared" si="60"/>
        <v>0</v>
      </c>
      <c r="BI633">
        <f t="shared" si="61"/>
        <v>0</v>
      </c>
    </row>
    <row r="634" spans="10:61" x14ac:dyDescent="0.3">
      <c r="AG634" t="s">
        <v>542</v>
      </c>
      <c r="AH634" s="17" t="s">
        <v>155</v>
      </c>
      <c r="AI634" s="17" t="s">
        <v>683</v>
      </c>
      <c r="AJ634" s="17" t="s">
        <v>155</v>
      </c>
      <c r="AK634" s="17" t="s">
        <v>155</v>
      </c>
      <c r="AL634" s="17" t="s">
        <v>155</v>
      </c>
      <c r="AW634" t="s">
        <v>542</v>
      </c>
      <c r="AX634" t="s">
        <v>155</v>
      </c>
      <c r="AY634" t="s">
        <v>683</v>
      </c>
      <c r="AZ634" t="s">
        <v>155</v>
      </c>
      <c r="BA634" t="s">
        <v>155</v>
      </c>
      <c r="BB634" t="s">
        <v>155</v>
      </c>
      <c r="BD634">
        <f t="shared" si="56"/>
        <v>1</v>
      </c>
      <c r="BE634">
        <f t="shared" si="57"/>
        <v>1</v>
      </c>
      <c r="BF634">
        <f t="shared" si="58"/>
        <v>1</v>
      </c>
      <c r="BG634">
        <f t="shared" si="59"/>
        <v>1</v>
      </c>
      <c r="BH634">
        <f t="shared" si="60"/>
        <v>1</v>
      </c>
      <c r="BI634">
        <f t="shared" si="61"/>
        <v>1</v>
      </c>
    </row>
    <row r="635" spans="10:61" x14ac:dyDescent="0.3">
      <c r="J635" t="s">
        <v>717</v>
      </c>
      <c r="BD635">
        <f t="shared" si="56"/>
        <v>1</v>
      </c>
      <c r="BE635">
        <f t="shared" si="57"/>
        <v>0</v>
      </c>
      <c r="BF635">
        <f t="shared" si="58"/>
        <v>0</v>
      </c>
      <c r="BG635">
        <f t="shared" si="59"/>
        <v>0</v>
      </c>
      <c r="BH635">
        <f t="shared" si="60"/>
        <v>0</v>
      </c>
      <c r="BI635">
        <f t="shared" si="61"/>
        <v>0</v>
      </c>
    </row>
    <row r="636" spans="10:61" x14ac:dyDescent="0.3">
      <c r="K636" s="17" t="s">
        <v>164</v>
      </c>
      <c r="L636" s="17" t="s">
        <v>165</v>
      </c>
      <c r="M636" s="17" t="s">
        <v>166</v>
      </c>
      <c r="N636" s="17" t="s">
        <v>167</v>
      </c>
      <c r="O636" s="17" t="s">
        <v>168</v>
      </c>
      <c r="AG636" t="s">
        <v>717</v>
      </c>
      <c r="AW636" t="s">
        <v>717</v>
      </c>
      <c r="BD636">
        <f t="shared" si="56"/>
        <v>1</v>
      </c>
      <c r="BE636">
        <f t="shared" si="57"/>
        <v>1</v>
      </c>
      <c r="BF636">
        <f t="shared" si="58"/>
        <v>1</v>
      </c>
      <c r="BG636">
        <f t="shared" si="59"/>
        <v>1</v>
      </c>
      <c r="BH636">
        <f t="shared" si="60"/>
        <v>1</v>
      </c>
      <c r="BI636">
        <f t="shared" si="61"/>
        <v>1</v>
      </c>
    </row>
    <row r="637" spans="10:61" x14ac:dyDescent="0.3">
      <c r="J637" t="s">
        <v>548</v>
      </c>
      <c r="K637" s="17" t="s">
        <v>155</v>
      </c>
      <c r="L637" s="17" t="s">
        <v>155</v>
      </c>
      <c r="M637" s="17" t="s">
        <v>155</v>
      </c>
      <c r="N637" s="17" t="s">
        <v>155</v>
      </c>
      <c r="O637" s="17" t="s">
        <v>9</v>
      </c>
      <c r="AH637" s="17" t="s">
        <v>164</v>
      </c>
      <c r="AI637" s="17" t="s">
        <v>165</v>
      </c>
      <c r="AJ637" s="17" t="s">
        <v>166</v>
      </c>
      <c r="AK637" s="17" t="s">
        <v>167</v>
      </c>
      <c r="AL637" s="17" t="s">
        <v>168</v>
      </c>
      <c r="AX637" t="s">
        <v>164</v>
      </c>
      <c r="AY637" t="s">
        <v>165</v>
      </c>
      <c r="AZ637" t="s">
        <v>166</v>
      </c>
      <c r="BA637" t="s">
        <v>167</v>
      </c>
      <c r="BB637" t="s">
        <v>168</v>
      </c>
      <c r="BD637">
        <f t="shared" si="56"/>
        <v>1</v>
      </c>
      <c r="BE637">
        <f t="shared" si="57"/>
        <v>1</v>
      </c>
      <c r="BF637">
        <f t="shared" si="58"/>
        <v>1</v>
      </c>
      <c r="BG637">
        <f t="shared" si="59"/>
        <v>1</v>
      </c>
      <c r="BH637">
        <f t="shared" si="60"/>
        <v>1</v>
      </c>
      <c r="BI637">
        <f t="shared" si="61"/>
        <v>1</v>
      </c>
    </row>
    <row r="638" spans="10:61" x14ac:dyDescent="0.3">
      <c r="J638" t="s">
        <v>549</v>
      </c>
      <c r="K638" s="17" t="s">
        <v>155</v>
      </c>
      <c r="L638" s="17" t="s">
        <v>155</v>
      </c>
      <c r="M638" s="17" t="s">
        <v>155</v>
      </c>
      <c r="N638" s="17" t="s">
        <v>155</v>
      </c>
      <c r="O638" s="17" t="s">
        <v>9</v>
      </c>
      <c r="AG638" t="s">
        <v>548</v>
      </c>
      <c r="AH638" s="17" t="s">
        <v>155</v>
      </c>
      <c r="AI638" s="17" t="s">
        <v>155</v>
      </c>
      <c r="AJ638" s="17" t="s">
        <v>155</v>
      </c>
      <c r="AK638" s="17" t="s">
        <v>155</v>
      </c>
      <c r="AL638" s="17" t="s">
        <v>9</v>
      </c>
      <c r="AW638" t="s">
        <v>548</v>
      </c>
      <c r="AX638" t="s">
        <v>155</v>
      </c>
      <c r="AY638" t="s">
        <v>155</v>
      </c>
      <c r="AZ638" t="s">
        <v>155</v>
      </c>
      <c r="BA638" t="s">
        <v>155</v>
      </c>
      <c r="BB638" t="s">
        <v>9</v>
      </c>
      <c r="BD638">
        <f t="shared" si="56"/>
        <v>1</v>
      </c>
      <c r="BE638">
        <f t="shared" si="57"/>
        <v>0</v>
      </c>
      <c r="BF638">
        <f t="shared" si="58"/>
        <v>0</v>
      </c>
      <c r="BG638">
        <f t="shared" si="59"/>
        <v>0</v>
      </c>
      <c r="BH638">
        <f t="shared" si="60"/>
        <v>0</v>
      </c>
      <c r="BI638">
        <f t="shared" si="61"/>
        <v>0</v>
      </c>
    </row>
    <row r="639" spans="10:61" x14ac:dyDescent="0.3">
      <c r="J639" t="s">
        <v>159</v>
      </c>
      <c r="K639" s="17" t="s">
        <v>155</v>
      </c>
      <c r="L639" s="17" t="s">
        <v>155</v>
      </c>
      <c r="M639" s="17" t="s">
        <v>155</v>
      </c>
      <c r="N639" s="17" t="s">
        <v>9</v>
      </c>
      <c r="O639" s="17" t="s">
        <v>9</v>
      </c>
      <c r="AG639" t="s">
        <v>549</v>
      </c>
      <c r="AH639" s="17" t="s">
        <v>155</v>
      </c>
      <c r="AI639" s="17" t="s">
        <v>155</v>
      </c>
      <c r="AJ639" s="17" t="s">
        <v>155</v>
      </c>
      <c r="AK639" s="17" t="s">
        <v>155</v>
      </c>
      <c r="AL639" s="17" t="s">
        <v>9</v>
      </c>
      <c r="AW639" t="s">
        <v>549</v>
      </c>
      <c r="AX639" t="s">
        <v>155</v>
      </c>
      <c r="AY639" t="s">
        <v>155</v>
      </c>
      <c r="AZ639" t="s">
        <v>155</v>
      </c>
      <c r="BA639" t="s">
        <v>155</v>
      </c>
      <c r="BB639" t="s">
        <v>9</v>
      </c>
      <c r="BD639">
        <f t="shared" si="56"/>
        <v>1</v>
      </c>
      <c r="BE639">
        <f t="shared" si="57"/>
        <v>0</v>
      </c>
      <c r="BF639">
        <f t="shared" si="58"/>
        <v>0</v>
      </c>
      <c r="BG639">
        <f t="shared" si="59"/>
        <v>0</v>
      </c>
      <c r="BH639">
        <f t="shared" si="60"/>
        <v>1</v>
      </c>
      <c r="BI639">
        <f t="shared" si="61"/>
        <v>0</v>
      </c>
    </row>
    <row r="640" spans="10:61" x14ac:dyDescent="0.3">
      <c r="J640" t="s">
        <v>160</v>
      </c>
      <c r="K640" s="17" t="s">
        <v>155</v>
      </c>
      <c r="L640" s="17" t="s">
        <v>155</v>
      </c>
      <c r="M640" s="17" t="s">
        <v>155</v>
      </c>
      <c r="N640" s="17" t="s">
        <v>9</v>
      </c>
      <c r="O640" s="17" t="s">
        <v>9</v>
      </c>
      <c r="AG640" t="s">
        <v>159</v>
      </c>
      <c r="AH640" s="17" t="s">
        <v>155</v>
      </c>
      <c r="AI640" s="17" t="s">
        <v>155</v>
      </c>
      <c r="AJ640" s="17" t="s">
        <v>155</v>
      </c>
      <c r="AK640" s="17" t="s">
        <v>9</v>
      </c>
      <c r="AL640" s="17" t="s">
        <v>9</v>
      </c>
      <c r="AW640" t="s">
        <v>159</v>
      </c>
      <c r="AX640" t="s">
        <v>155</v>
      </c>
      <c r="AY640" t="s">
        <v>155</v>
      </c>
      <c r="AZ640" t="s">
        <v>155</v>
      </c>
      <c r="BA640" t="s">
        <v>9</v>
      </c>
      <c r="BB640" t="s">
        <v>9</v>
      </c>
      <c r="BD640">
        <f t="shared" si="56"/>
        <v>1</v>
      </c>
      <c r="BE640">
        <f t="shared" si="57"/>
        <v>0</v>
      </c>
      <c r="BF640">
        <f t="shared" si="58"/>
        <v>0</v>
      </c>
      <c r="BG640">
        <f t="shared" si="59"/>
        <v>0</v>
      </c>
      <c r="BH640">
        <f t="shared" si="60"/>
        <v>0</v>
      </c>
      <c r="BI640">
        <f t="shared" si="61"/>
        <v>0</v>
      </c>
    </row>
    <row r="641" spans="10:61" x14ac:dyDescent="0.3">
      <c r="J641" t="s">
        <v>556</v>
      </c>
      <c r="K641" s="17" t="s">
        <v>155</v>
      </c>
      <c r="L641" s="17" t="s">
        <v>155</v>
      </c>
      <c r="M641" s="17" t="s">
        <v>155</v>
      </c>
      <c r="N641" s="17" t="s">
        <v>155</v>
      </c>
      <c r="O641" s="17" t="s">
        <v>9</v>
      </c>
      <c r="AG641" t="s">
        <v>160</v>
      </c>
      <c r="AH641" s="17" t="s">
        <v>155</v>
      </c>
      <c r="AI641" s="17" t="s">
        <v>155</v>
      </c>
      <c r="AJ641" s="17" t="s">
        <v>155</v>
      </c>
      <c r="AK641" s="17" t="s">
        <v>9</v>
      </c>
      <c r="AL641" s="17" t="s">
        <v>9</v>
      </c>
      <c r="AW641" t="s">
        <v>160</v>
      </c>
      <c r="AX641" t="s">
        <v>155</v>
      </c>
      <c r="AY641" t="s">
        <v>155</v>
      </c>
      <c r="AZ641" t="s">
        <v>155</v>
      </c>
      <c r="BA641" t="s">
        <v>9</v>
      </c>
      <c r="BB641" t="s">
        <v>9</v>
      </c>
      <c r="BD641">
        <f t="shared" si="56"/>
        <v>1</v>
      </c>
      <c r="BE641">
        <f t="shared" si="57"/>
        <v>0</v>
      </c>
      <c r="BF641">
        <f t="shared" si="58"/>
        <v>0</v>
      </c>
      <c r="BG641">
        <f t="shared" si="59"/>
        <v>0</v>
      </c>
      <c r="BH641">
        <f t="shared" si="60"/>
        <v>1</v>
      </c>
      <c r="BI641">
        <f t="shared" si="61"/>
        <v>0</v>
      </c>
    </row>
    <row r="642" spans="10:61" x14ac:dyDescent="0.3">
      <c r="J642" t="s">
        <v>557</v>
      </c>
      <c r="K642" s="17" t="s">
        <v>155</v>
      </c>
      <c r="L642" s="17" t="s">
        <v>155</v>
      </c>
      <c r="M642" s="17" t="s">
        <v>155</v>
      </c>
      <c r="N642" s="17" t="s">
        <v>155</v>
      </c>
      <c r="O642" s="17" t="s">
        <v>9</v>
      </c>
      <c r="AG642" t="s">
        <v>556</v>
      </c>
      <c r="AH642" s="17" t="s">
        <v>155</v>
      </c>
      <c r="AI642" s="17" t="s">
        <v>155</v>
      </c>
      <c r="AJ642" s="17" t="s">
        <v>155</v>
      </c>
      <c r="AK642" s="17" t="s">
        <v>155</v>
      </c>
      <c r="AL642" s="17" t="s">
        <v>9</v>
      </c>
      <c r="AW642" t="s">
        <v>556</v>
      </c>
      <c r="AX642" t="s">
        <v>155</v>
      </c>
      <c r="AY642" t="s">
        <v>155</v>
      </c>
      <c r="AZ642" t="s">
        <v>155</v>
      </c>
      <c r="BA642" t="s">
        <v>155</v>
      </c>
      <c r="BB642" t="s">
        <v>9</v>
      </c>
      <c r="BD642">
        <f t="shared" si="56"/>
        <v>1</v>
      </c>
      <c r="BE642">
        <f t="shared" si="57"/>
        <v>0</v>
      </c>
      <c r="BF642">
        <f t="shared" si="58"/>
        <v>0</v>
      </c>
      <c r="BG642">
        <f t="shared" si="59"/>
        <v>0</v>
      </c>
      <c r="BH642">
        <f t="shared" si="60"/>
        <v>0</v>
      </c>
      <c r="BI642">
        <f t="shared" si="61"/>
        <v>0</v>
      </c>
    </row>
    <row r="643" spans="10:61" x14ac:dyDescent="0.3">
      <c r="AG643" t="s">
        <v>557</v>
      </c>
      <c r="AH643" s="17" t="s">
        <v>155</v>
      </c>
      <c r="AI643" s="17" t="s">
        <v>155</v>
      </c>
      <c r="AJ643" s="17" t="s">
        <v>155</v>
      </c>
      <c r="AK643" s="17" t="s">
        <v>155</v>
      </c>
      <c r="AL643" s="17" t="s">
        <v>9</v>
      </c>
      <c r="AW643" t="s">
        <v>557</v>
      </c>
      <c r="AX643" t="s">
        <v>155</v>
      </c>
      <c r="AY643" t="s">
        <v>155</v>
      </c>
      <c r="AZ643" t="s">
        <v>155</v>
      </c>
      <c r="BA643" t="s">
        <v>155</v>
      </c>
      <c r="BB643" t="s">
        <v>9</v>
      </c>
      <c r="BD643">
        <f t="shared" si="56"/>
        <v>1</v>
      </c>
      <c r="BE643">
        <f t="shared" si="57"/>
        <v>1</v>
      </c>
      <c r="BF643">
        <f t="shared" si="58"/>
        <v>1</v>
      </c>
      <c r="BG643">
        <f t="shared" si="59"/>
        <v>1</v>
      </c>
      <c r="BH643">
        <f t="shared" si="60"/>
        <v>1</v>
      </c>
      <c r="BI643">
        <f t="shared" si="61"/>
        <v>1</v>
      </c>
    </row>
    <row r="644" spans="10:61" x14ac:dyDescent="0.3">
      <c r="J644" t="s">
        <v>699</v>
      </c>
      <c r="BD644">
        <f t="shared" si="56"/>
        <v>1</v>
      </c>
      <c r="BE644">
        <f t="shared" si="57"/>
        <v>0</v>
      </c>
      <c r="BF644">
        <f t="shared" si="58"/>
        <v>0</v>
      </c>
      <c r="BG644">
        <f t="shared" si="59"/>
        <v>0</v>
      </c>
      <c r="BH644">
        <f t="shared" si="60"/>
        <v>0</v>
      </c>
      <c r="BI644">
        <f t="shared" si="61"/>
        <v>0</v>
      </c>
    </row>
    <row r="645" spans="10:61" x14ac:dyDescent="0.3">
      <c r="K645" s="17" t="s">
        <v>164</v>
      </c>
      <c r="L645" s="17" t="s">
        <v>165</v>
      </c>
      <c r="M645" s="17" t="s">
        <v>166</v>
      </c>
      <c r="N645" s="17" t="s">
        <v>167</v>
      </c>
      <c r="O645" s="17" t="s">
        <v>168</v>
      </c>
      <c r="AG645" t="s">
        <v>699</v>
      </c>
      <c r="AW645" t="s">
        <v>699</v>
      </c>
      <c r="BD645">
        <f t="shared" si="56"/>
        <v>1</v>
      </c>
      <c r="BE645">
        <f t="shared" si="57"/>
        <v>1</v>
      </c>
      <c r="BF645">
        <f t="shared" si="58"/>
        <v>1</v>
      </c>
      <c r="BG645">
        <f t="shared" si="59"/>
        <v>1</v>
      </c>
      <c r="BH645">
        <f t="shared" si="60"/>
        <v>1</v>
      </c>
      <c r="BI645">
        <f t="shared" si="61"/>
        <v>1</v>
      </c>
    </row>
    <row r="646" spans="10:61" x14ac:dyDescent="0.3">
      <c r="J646" t="s">
        <v>542</v>
      </c>
      <c r="K646" s="17" t="s">
        <v>155</v>
      </c>
      <c r="L646" s="17" t="s">
        <v>252</v>
      </c>
      <c r="M646" s="17" t="s">
        <v>155</v>
      </c>
      <c r="N646" s="17" t="s">
        <v>155</v>
      </c>
      <c r="O646" s="17" t="s">
        <v>155</v>
      </c>
      <c r="AH646" s="17" t="s">
        <v>164</v>
      </c>
      <c r="AI646" s="17" t="s">
        <v>165</v>
      </c>
      <c r="AJ646" s="17" t="s">
        <v>166</v>
      </c>
      <c r="AK646" s="17" t="s">
        <v>167</v>
      </c>
      <c r="AL646" s="17" t="s">
        <v>168</v>
      </c>
      <c r="AX646" t="s">
        <v>164</v>
      </c>
      <c r="AY646" t="s">
        <v>165</v>
      </c>
      <c r="AZ646" t="s">
        <v>166</v>
      </c>
      <c r="BA646" t="s">
        <v>167</v>
      </c>
      <c r="BB646" t="s">
        <v>168</v>
      </c>
      <c r="BD646">
        <f t="shared" si="56"/>
        <v>1</v>
      </c>
      <c r="BE646">
        <f t="shared" si="57"/>
        <v>1</v>
      </c>
      <c r="BF646">
        <f t="shared" si="58"/>
        <v>1</v>
      </c>
      <c r="BG646">
        <f t="shared" si="59"/>
        <v>1</v>
      </c>
      <c r="BH646">
        <f t="shared" si="60"/>
        <v>1</v>
      </c>
      <c r="BI646">
        <f t="shared" si="61"/>
        <v>1</v>
      </c>
    </row>
    <row r="647" spans="10:61" x14ac:dyDescent="0.3">
      <c r="J647" t="s">
        <v>543</v>
      </c>
      <c r="K647" s="17" t="s">
        <v>155</v>
      </c>
      <c r="L647" s="17" t="s">
        <v>252</v>
      </c>
      <c r="M647" s="17" t="s">
        <v>155</v>
      </c>
      <c r="N647" s="17" t="s">
        <v>155</v>
      </c>
      <c r="O647" s="17" t="s">
        <v>155</v>
      </c>
      <c r="AG647" t="s">
        <v>542</v>
      </c>
      <c r="AH647" s="17" t="s">
        <v>155</v>
      </c>
      <c r="AI647" s="17" t="s">
        <v>252</v>
      </c>
      <c r="AJ647" s="17" t="s">
        <v>155</v>
      </c>
      <c r="AK647" s="17" t="s">
        <v>155</v>
      </c>
      <c r="AL647" s="17" t="s">
        <v>155</v>
      </c>
      <c r="AW647" t="s">
        <v>542</v>
      </c>
      <c r="AX647" t="s">
        <v>155</v>
      </c>
      <c r="AY647" t="s">
        <v>252</v>
      </c>
      <c r="AZ647" t="s">
        <v>155</v>
      </c>
      <c r="BA647" t="s">
        <v>155</v>
      </c>
      <c r="BB647" t="s">
        <v>155</v>
      </c>
      <c r="BD647">
        <f t="shared" si="56"/>
        <v>1</v>
      </c>
      <c r="BE647">
        <f t="shared" si="57"/>
        <v>0</v>
      </c>
      <c r="BF647">
        <f t="shared" si="58"/>
        <v>0</v>
      </c>
      <c r="BG647">
        <f t="shared" si="59"/>
        <v>0</v>
      </c>
      <c r="BH647">
        <f t="shared" si="60"/>
        <v>0</v>
      </c>
      <c r="BI647">
        <f t="shared" si="61"/>
        <v>0</v>
      </c>
    </row>
    <row r="648" spans="10:61" x14ac:dyDescent="0.3">
      <c r="J648" t="s">
        <v>544</v>
      </c>
      <c r="K648" s="17" t="s">
        <v>155</v>
      </c>
      <c r="L648" s="17" t="s">
        <v>155</v>
      </c>
      <c r="M648" s="17" t="s">
        <v>155</v>
      </c>
      <c r="N648" s="17" t="s">
        <v>252</v>
      </c>
      <c r="O648" s="17" t="s">
        <v>155</v>
      </c>
      <c r="AG648" t="s">
        <v>543</v>
      </c>
      <c r="AH648" s="17" t="s">
        <v>155</v>
      </c>
      <c r="AI648" s="17" t="s">
        <v>252</v>
      </c>
      <c r="AJ648" s="17" t="s">
        <v>155</v>
      </c>
      <c r="AK648" s="17" t="s">
        <v>155</v>
      </c>
      <c r="AL648" s="17" t="s">
        <v>155</v>
      </c>
      <c r="AW648" t="s">
        <v>543</v>
      </c>
      <c r="AX648" t="s">
        <v>155</v>
      </c>
      <c r="AY648" t="s">
        <v>252</v>
      </c>
      <c r="AZ648" t="s">
        <v>155</v>
      </c>
      <c r="BA648" t="s">
        <v>155</v>
      </c>
      <c r="BB648" t="s">
        <v>155</v>
      </c>
      <c r="BD648">
        <f t="shared" si="56"/>
        <v>1</v>
      </c>
      <c r="BE648">
        <f t="shared" si="57"/>
        <v>0</v>
      </c>
      <c r="BF648">
        <f t="shared" si="58"/>
        <v>1</v>
      </c>
      <c r="BG648">
        <f t="shared" si="59"/>
        <v>0</v>
      </c>
      <c r="BH648">
        <f t="shared" si="60"/>
        <v>1</v>
      </c>
      <c r="BI648">
        <f t="shared" si="61"/>
        <v>0</v>
      </c>
    </row>
    <row r="649" spans="10:61" x14ac:dyDescent="0.3">
      <c r="J649" t="s">
        <v>545</v>
      </c>
      <c r="K649" s="17" t="s">
        <v>155</v>
      </c>
      <c r="L649" s="17" t="s">
        <v>155</v>
      </c>
      <c r="M649" s="17" t="s">
        <v>155</v>
      </c>
      <c r="N649" s="17" t="s">
        <v>252</v>
      </c>
      <c r="O649" s="17" t="s">
        <v>155</v>
      </c>
      <c r="AG649" t="s">
        <v>544</v>
      </c>
      <c r="AH649" s="17" t="s">
        <v>155</v>
      </c>
      <c r="AI649" s="17" t="s">
        <v>155</v>
      </c>
      <c r="AJ649" s="17" t="s">
        <v>155</v>
      </c>
      <c r="AK649" s="17" t="s">
        <v>252</v>
      </c>
      <c r="AL649" s="17" t="s">
        <v>155</v>
      </c>
      <c r="AW649" t="s">
        <v>544</v>
      </c>
      <c r="AX649" t="s">
        <v>155</v>
      </c>
      <c r="AY649" t="s">
        <v>155</v>
      </c>
      <c r="AZ649" t="s">
        <v>155</v>
      </c>
      <c r="BA649" t="s">
        <v>252</v>
      </c>
      <c r="BB649" t="s">
        <v>155</v>
      </c>
      <c r="BD649">
        <f t="shared" ref="BD649:BD712" si="62">IF(J649=AW649,0,1)</f>
        <v>1</v>
      </c>
      <c r="BE649">
        <f t="shared" ref="BE649:BE712" si="63">IF(K649=AX649,0,1)</f>
        <v>0</v>
      </c>
      <c r="BF649">
        <f t="shared" ref="BF649:BF712" si="64">IF(L649=AY649,0,1)</f>
        <v>0</v>
      </c>
      <c r="BG649">
        <f t="shared" ref="BG649:BG712" si="65">IF(M649=AZ649,0,1)</f>
        <v>0</v>
      </c>
      <c r="BH649">
        <f t="shared" ref="BH649:BH712" si="66">IF(N649=BA649,0,1)</f>
        <v>0</v>
      </c>
      <c r="BI649">
        <f t="shared" ref="BI649:BI712" si="67">IF(O649=BB649,0,1)</f>
        <v>0</v>
      </c>
    </row>
    <row r="650" spans="10:61" x14ac:dyDescent="0.3">
      <c r="AG650" t="s">
        <v>545</v>
      </c>
      <c r="AH650" s="17" t="s">
        <v>155</v>
      </c>
      <c r="AI650" s="17" t="s">
        <v>155</v>
      </c>
      <c r="AJ650" s="17" t="s">
        <v>155</v>
      </c>
      <c r="AK650" s="17" t="s">
        <v>252</v>
      </c>
      <c r="AL650" s="17" t="s">
        <v>155</v>
      </c>
      <c r="AW650" t="s">
        <v>545</v>
      </c>
      <c r="AX650" t="s">
        <v>155</v>
      </c>
      <c r="AY650" t="s">
        <v>155</v>
      </c>
      <c r="AZ650" t="s">
        <v>155</v>
      </c>
      <c r="BA650" t="s">
        <v>252</v>
      </c>
      <c r="BB650" t="s">
        <v>155</v>
      </c>
      <c r="BD650">
        <f t="shared" si="62"/>
        <v>1</v>
      </c>
      <c r="BE650">
        <f t="shared" si="63"/>
        <v>1</v>
      </c>
      <c r="BF650">
        <f t="shared" si="64"/>
        <v>1</v>
      </c>
      <c r="BG650">
        <f t="shared" si="65"/>
        <v>1</v>
      </c>
      <c r="BH650">
        <f t="shared" si="66"/>
        <v>1</v>
      </c>
      <c r="BI650">
        <f t="shared" si="67"/>
        <v>1</v>
      </c>
    </row>
    <row r="651" spans="10:61" x14ac:dyDescent="0.3">
      <c r="J651" t="s">
        <v>734</v>
      </c>
      <c r="BD651">
        <f t="shared" si="62"/>
        <v>1</v>
      </c>
      <c r="BE651">
        <f t="shared" si="63"/>
        <v>0</v>
      </c>
      <c r="BF651">
        <f t="shared" si="64"/>
        <v>0</v>
      </c>
      <c r="BG651">
        <f t="shared" si="65"/>
        <v>0</v>
      </c>
      <c r="BH651">
        <f t="shared" si="66"/>
        <v>0</v>
      </c>
      <c r="BI651">
        <f t="shared" si="67"/>
        <v>0</v>
      </c>
    </row>
    <row r="652" spans="10:61" x14ac:dyDescent="0.3">
      <c r="K652" s="17" t="s">
        <v>164</v>
      </c>
      <c r="L652" s="17" t="s">
        <v>165</v>
      </c>
      <c r="M652" s="17" t="s">
        <v>166</v>
      </c>
      <c r="N652" s="17" t="s">
        <v>167</v>
      </c>
      <c r="O652" s="17" t="s">
        <v>168</v>
      </c>
      <c r="AG652" t="s">
        <v>734</v>
      </c>
      <c r="AW652" t="s">
        <v>734</v>
      </c>
      <c r="BD652">
        <f t="shared" si="62"/>
        <v>1</v>
      </c>
      <c r="BE652">
        <f t="shared" si="63"/>
        <v>1</v>
      </c>
      <c r="BF652">
        <f t="shared" si="64"/>
        <v>1</v>
      </c>
      <c r="BG652">
        <f t="shared" si="65"/>
        <v>1</v>
      </c>
      <c r="BH652">
        <f t="shared" si="66"/>
        <v>1</v>
      </c>
      <c r="BI652">
        <f t="shared" si="67"/>
        <v>1</v>
      </c>
    </row>
    <row r="653" spans="10:61" x14ac:dyDescent="0.3">
      <c r="J653" t="s">
        <v>548</v>
      </c>
      <c r="K653" s="17" t="s">
        <v>155</v>
      </c>
      <c r="L653" s="17" t="s">
        <v>155</v>
      </c>
      <c r="M653" s="17" t="s">
        <v>155</v>
      </c>
      <c r="N653" s="17" t="s">
        <v>342</v>
      </c>
      <c r="O653" s="17" t="s">
        <v>155</v>
      </c>
      <c r="AH653" s="17" t="s">
        <v>164</v>
      </c>
      <c r="AI653" s="17" t="s">
        <v>165</v>
      </c>
      <c r="AJ653" s="17" t="s">
        <v>166</v>
      </c>
      <c r="AK653" s="17" t="s">
        <v>167</v>
      </c>
      <c r="AL653" s="17" t="s">
        <v>168</v>
      </c>
      <c r="AX653" t="s">
        <v>164</v>
      </c>
      <c r="AY653" t="s">
        <v>165</v>
      </c>
      <c r="AZ653" t="s">
        <v>166</v>
      </c>
      <c r="BA653" t="s">
        <v>167</v>
      </c>
      <c r="BB653" t="s">
        <v>168</v>
      </c>
      <c r="BD653">
        <f t="shared" si="62"/>
        <v>1</v>
      </c>
      <c r="BE653">
        <f t="shared" si="63"/>
        <v>1</v>
      </c>
      <c r="BF653">
        <f t="shared" si="64"/>
        <v>1</v>
      </c>
      <c r="BG653">
        <f t="shared" si="65"/>
        <v>1</v>
      </c>
      <c r="BH653">
        <f t="shared" si="66"/>
        <v>1</v>
      </c>
      <c r="BI653">
        <f t="shared" si="67"/>
        <v>1</v>
      </c>
    </row>
    <row r="654" spans="10:61" x14ac:dyDescent="0.3">
      <c r="J654" t="s">
        <v>549</v>
      </c>
      <c r="K654" s="17" t="s">
        <v>155</v>
      </c>
      <c r="L654" s="17" t="s">
        <v>155</v>
      </c>
      <c r="M654" s="17" t="s">
        <v>155</v>
      </c>
      <c r="N654" s="17" t="s">
        <v>342</v>
      </c>
      <c r="O654" s="17" t="s">
        <v>155</v>
      </c>
      <c r="AG654" t="s">
        <v>548</v>
      </c>
      <c r="AH654" s="17" t="s">
        <v>155</v>
      </c>
      <c r="AI654" s="17" t="s">
        <v>155</v>
      </c>
      <c r="AJ654" s="17" t="s">
        <v>155</v>
      </c>
      <c r="AK654" s="17" t="s">
        <v>155</v>
      </c>
      <c r="AL654" s="17" t="s">
        <v>342</v>
      </c>
      <c r="AW654" t="s">
        <v>548</v>
      </c>
      <c r="AX654" t="s">
        <v>155</v>
      </c>
      <c r="AY654" t="s">
        <v>155</v>
      </c>
      <c r="AZ654" t="s">
        <v>155</v>
      </c>
      <c r="BA654" t="s">
        <v>342</v>
      </c>
      <c r="BB654" t="s">
        <v>155</v>
      </c>
      <c r="BD654">
        <f t="shared" si="62"/>
        <v>1</v>
      </c>
      <c r="BE654">
        <f t="shared" si="63"/>
        <v>0</v>
      </c>
      <c r="BF654">
        <f t="shared" si="64"/>
        <v>0</v>
      </c>
      <c r="BG654">
        <f t="shared" si="65"/>
        <v>0</v>
      </c>
      <c r="BH654">
        <f t="shared" si="66"/>
        <v>0</v>
      </c>
      <c r="BI654">
        <f t="shared" si="67"/>
        <v>0</v>
      </c>
    </row>
    <row r="655" spans="10:61" x14ac:dyDescent="0.3">
      <c r="J655" t="s">
        <v>550</v>
      </c>
      <c r="K655" s="17" t="s">
        <v>155</v>
      </c>
      <c r="L655" s="17" t="s">
        <v>155</v>
      </c>
      <c r="M655" s="17" t="s">
        <v>155</v>
      </c>
      <c r="N655" s="17" t="s">
        <v>342</v>
      </c>
      <c r="O655" s="17" t="s">
        <v>155</v>
      </c>
      <c r="AG655" t="s">
        <v>549</v>
      </c>
      <c r="AH655" s="17" t="s">
        <v>155</v>
      </c>
      <c r="AI655" s="17" t="s">
        <v>155</v>
      </c>
      <c r="AJ655" s="17" t="s">
        <v>155</v>
      </c>
      <c r="AK655" s="17" t="s">
        <v>155</v>
      </c>
      <c r="AL655" s="17" t="s">
        <v>342</v>
      </c>
      <c r="AW655" t="s">
        <v>549</v>
      </c>
      <c r="AX655" t="s">
        <v>155</v>
      </c>
      <c r="AY655" t="s">
        <v>155</v>
      </c>
      <c r="AZ655" t="s">
        <v>155</v>
      </c>
      <c r="BA655" t="s">
        <v>342</v>
      </c>
      <c r="BB655" t="s">
        <v>155</v>
      </c>
      <c r="BD655">
        <f t="shared" si="62"/>
        <v>1</v>
      </c>
      <c r="BE655">
        <f t="shared" si="63"/>
        <v>0</v>
      </c>
      <c r="BF655">
        <f t="shared" si="64"/>
        <v>0</v>
      </c>
      <c r="BG655">
        <f t="shared" si="65"/>
        <v>0</v>
      </c>
      <c r="BH655">
        <f t="shared" si="66"/>
        <v>0</v>
      </c>
      <c r="BI655">
        <f t="shared" si="67"/>
        <v>0</v>
      </c>
    </row>
    <row r="656" spans="10:61" x14ac:dyDescent="0.3">
      <c r="AG656" t="s">
        <v>550</v>
      </c>
      <c r="AH656" s="17" t="s">
        <v>155</v>
      </c>
      <c r="AI656" s="17" t="s">
        <v>155</v>
      </c>
      <c r="AJ656" s="17" t="s">
        <v>155</v>
      </c>
      <c r="AK656" s="17" t="s">
        <v>155</v>
      </c>
      <c r="AL656" s="17" t="s">
        <v>342</v>
      </c>
      <c r="AW656" t="s">
        <v>550</v>
      </c>
      <c r="AX656" t="s">
        <v>155</v>
      </c>
      <c r="AY656" t="s">
        <v>155</v>
      </c>
      <c r="AZ656" t="s">
        <v>155</v>
      </c>
      <c r="BA656" t="s">
        <v>342</v>
      </c>
      <c r="BB656" t="s">
        <v>155</v>
      </c>
      <c r="BD656">
        <f t="shared" si="62"/>
        <v>1</v>
      </c>
      <c r="BE656">
        <f t="shared" si="63"/>
        <v>1</v>
      </c>
      <c r="BF656">
        <f t="shared" si="64"/>
        <v>1</v>
      </c>
      <c r="BG656">
        <f t="shared" si="65"/>
        <v>1</v>
      </c>
      <c r="BH656">
        <f t="shared" si="66"/>
        <v>1</v>
      </c>
      <c r="BI656">
        <f t="shared" si="67"/>
        <v>1</v>
      </c>
    </row>
    <row r="657" spans="10:61" x14ac:dyDescent="0.3">
      <c r="J657" t="s">
        <v>739</v>
      </c>
      <c r="BD657">
        <f t="shared" si="62"/>
        <v>1</v>
      </c>
      <c r="BE657">
        <f t="shared" si="63"/>
        <v>0</v>
      </c>
      <c r="BF657">
        <f t="shared" si="64"/>
        <v>0</v>
      </c>
      <c r="BG657">
        <f t="shared" si="65"/>
        <v>0</v>
      </c>
      <c r="BH657">
        <f t="shared" si="66"/>
        <v>0</v>
      </c>
      <c r="BI657">
        <f t="shared" si="67"/>
        <v>0</v>
      </c>
    </row>
    <row r="658" spans="10:61" x14ac:dyDescent="0.3">
      <c r="K658" s="17" t="s">
        <v>164</v>
      </c>
      <c r="L658" s="17" t="s">
        <v>165</v>
      </c>
      <c r="M658" s="17" t="s">
        <v>166</v>
      </c>
      <c r="N658" s="17" t="s">
        <v>167</v>
      </c>
      <c r="O658" s="17" t="s">
        <v>168</v>
      </c>
      <c r="AG658" t="s">
        <v>739</v>
      </c>
      <c r="AW658" t="s">
        <v>739</v>
      </c>
      <c r="BD658">
        <f t="shared" si="62"/>
        <v>1</v>
      </c>
      <c r="BE658">
        <f t="shared" si="63"/>
        <v>1</v>
      </c>
      <c r="BF658">
        <f t="shared" si="64"/>
        <v>1</v>
      </c>
      <c r="BG658">
        <f t="shared" si="65"/>
        <v>1</v>
      </c>
      <c r="BH658">
        <f t="shared" si="66"/>
        <v>1</v>
      </c>
      <c r="BI658">
        <f t="shared" si="67"/>
        <v>1</v>
      </c>
    </row>
    <row r="659" spans="10:61" x14ac:dyDescent="0.3">
      <c r="J659" t="s">
        <v>550</v>
      </c>
      <c r="K659" s="17" t="s">
        <v>155</v>
      </c>
      <c r="L659" s="17" t="s">
        <v>257</v>
      </c>
      <c r="M659" s="17" t="s">
        <v>155</v>
      </c>
      <c r="N659" s="17" t="s">
        <v>155</v>
      </c>
      <c r="O659" s="17" t="s">
        <v>257</v>
      </c>
      <c r="AH659" s="17" t="s">
        <v>164</v>
      </c>
      <c r="AI659" s="17" t="s">
        <v>165</v>
      </c>
      <c r="AJ659" s="17" t="s">
        <v>166</v>
      </c>
      <c r="AK659" s="17" t="s">
        <v>167</v>
      </c>
      <c r="AL659" s="17" t="s">
        <v>168</v>
      </c>
      <c r="AX659" t="s">
        <v>164</v>
      </c>
      <c r="AY659" t="s">
        <v>165</v>
      </c>
      <c r="AZ659" t="s">
        <v>166</v>
      </c>
      <c r="BA659" t="s">
        <v>167</v>
      </c>
      <c r="BB659" t="s">
        <v>168</v>
      </c>
      <c r="BD659">
        <f t="shared" si="62"/>
        <v>1</v>
      </c>
      <c r="BE659">
        <f t="shared" si="63"/>
        <v>1</v>
      </c>
      <c r="BF659">
        <f t="shared" si="64"/>
        <v>1</v>
      </c>
      <c r="BG659">
        <f t="shared" si="65"/>
        <v>1</v>
      </c>
      <c r="BH659">
        <f t="shared" si="66"/>
        <v>1</v>
      </c>
      <c r="BI659">
        <f t="shared" si="67"/>
        <v>1</v>
      </c>
    </row>
    <row r="660" spans="10:61" x14ac:dyDescent="0.3">
      <c r="J660" t="s">
        <v>158</v>
      </c>
      <c r="K660" s="17" t="s">
        <v>155</v>
      </c>
      <c r="L660" s="17" t="s">
        <v>257</v>
      </c>
      <c r="M660" s="17" t="s">
        <v>155</v>
      </c>
      <c r="N660" s="17" t="s">
        <v>155</v>
      </c>
      <c r="O660" s="17" t="s">
        <v>257</v>
      </c>
      <c r="AG660" t="s">
        <v>548</v>
      </c>
      <c r="AH660" s="17" t="s">
        <v>155</v>
      </c>
      <c r="AI660" s="17" t="s">
        <v>155</v>
      </c>
      <c r="AJ660" s="17" t="s">
        <v>257</v>
      </c>
      <c r="AK660" s="17" t="s">
        <v>155</v>
      </c>
      <c r="AL660" s="17" t="s">
        <v>257</v>
      </c>
      <c r="AW660" t="s">
        <v>550</v>
      </c>
      <c r="AX660" t="s">
        <v>155</v>
      </c>
      <c r="AY660" t="s">
        <v>257</v>
      </c>
      <c r="AZ660" t="s">
        <v>155</v>
      </c>
      <c r="BA660" t="s">
        <v>155</v>
      </c>
      <c r="BB660" t="s">
        <v>257</v>
      </c>
      <c r="BD660">
        <f t="shared" si="62"/>
        <v>1</v>
      </c>
      <c r="BE660">
        <f t="shared" si="63"/>
        <v>0</v>
      </c>
      <c r="BF660">
        <f t="shared" si="64"/>
        <v>0</v>
      </c>
      <c r="BG660">
        <f t="shared" si="65"/>
        <v>0</v>
      </c>
      <c r="BH660">
        <f t="shared" si="66"/>
        <v>0</v>
      </c>
      <c r="BI660">
        <f t="shared" si="67"/>
        <v>0</v>
      </c>
    </row>
    <row r="661" spans="10:61" x14ac:dyDescent="0.3">
      <c r="J661" t="s">
        <v>159</v>
      </c>
      <c r="K661" s="17" t="s">
        <v>155</v>
      </c>
      <c r="L661" s="17" t="s">
        <v>257</v>
      </c>
      <c r="M661" s="17" t="s">
        <v>155</v>
      </c>
      <c r="N661" s="17" t="s">
        <v>155</v>
      </c>
      <c r="O661" s="17" t="s">
        <v>155</v>
      </c>
      <c r="AG661" t="s">
        <v>549</v>
      </c>
      <c r="AH661" s="17" t="s">
        <v>155</v>
      </c>
      <c r="AI661" s="17" t="s">
        <v>155</v>
      </c>
      <c r="AJ661" s="17" t="s">
        <v>257</v>
      </c>
      <c r="AK661" s="17" t="s">
        <v>155</v>
      </c>
      <c r="AL661" s="17" t="s">
        <v>257</v>
      </c>
      <c r="AW661" t="s">
        <v>158</v>
      </c>
      <c r="AX661" t="s">
        <v>155</v>
      </c>
      <c r="AY661" t="s">
        <v>257</v>
      </c>
      <c r="AZ661" t="s">
        <v>155</v>
      </c>
      <c r="BA661" t="s">
        <v>155</v>
      </c>
      <c r="BB661" t="s">
        <v>257</v>
      </c>
      <c r="BD661">
        <f t="shared" si="62"/>
        <v>1</v>
      </c>
      <c r="BE661">
        <f t="shared" si="63"/>
        <v>0</v>
      </c>
      <c r="BF661">
        <f t="shared" si="64"/>
        <v>0</v>
      </c>
      <c r="BG661">
        <f t="shared" si="65"/>
        <v>0</v>
      </c>
      <c r="BH661">
        <f t="shared" si="66"/>
        <v>0</v>
      </c>
      <c r="BI661">
        <f t="shared" si="67"/>
        <v>1</v>
      </c>
    </row>
    <row r="662" spans="10:61" x14ac:dyDescent="0.3">
      <c r="AG662" t="s">
        <v>550</v>
      </c>
      <c r="AH662" s="17" t="s">
        <v>155</v>
      </c>
      <c r="AI662" s="17" t="s">
        <v>155</v>
      </c>
      <c r="AJ662" s="17" t="s">
        <v>155</v>
      </c>
      <c r="AK662" s="17" t="s">
        <v>155</v>
      </c>
      <c r="AL662" s="17" t="s">
        <v>257</v>
      </c>
      <c r="AW662" t="s">
        <v>159</v>
      </c>
      <c r="AX662" t="s">
        <v>155</v>
      </c>
      <c r="AY662" t="s">
        <v>257</v>
      </c>
      <c r="AZ662" t="s">
        <v>155</v>
      </c>
      <c r="BA662" t="s">
        <v>155</v>
      </c>
      <c r="BB662" t="s">
        <v>155</v>
      </c>
      <c r="BD662">
        <f t="shared" si="62"/>
        <v>1</v>
      </c>
      <c r="BE662">
        <f t="shared" si="63"/>
        <v>1</v>
      </c>
      <c r="BF662">
        <f t="shared" si="64"/>
        <v>1</v>
      </c>
      <c r="BG662">
        <f t="shared" si="65"/>
        <v>1</v>
      </c>
      <c r="BH662">
        <f t="shared" si="66"/>
        <v>1</v>
      </c>
      <c r="BI662">
        <f t="shared" si="67"/>
        <v>1</v>
      </c>
    </row>
    <row r="663" spans="10:61" x14ac:dyDescent="0.3">
      <c r="J663" t="s">
        <v>842</v>
      </c>
      <c r="BD663">
        <f t="shared" si="62"/>
        <v>1</v>
      </c>
      <c r="BE663">
        <f t="shared" si="63"/>
        <v>0</v>
      </c>
      <c r="BF663">
        <f t="shared" si="64"/>
        <v>0</v>
      </c>
      <c r="BG663">
        <f t="shared" si="65"/>
        <v>0</v>
      </c>
      <c r="BH663">
        <f t="shared" si="66"/>
        <v>0</v>
      </c>
      <c r="BI663">
        <f t="shared" si="67"/>
        <v>0</v>
      </c>
    </row>
    <row r="664" spans="10:61" x14ac:dyDescent="0.3">
      <c r="K664" s="17" t="s">
        <v>164</v>
      </c>
      <c r="L664" s="17" t="s">
        <v>165</v>
      </c>
      <c r="M664" s="17" t="s">
        <v>166</v>
      </c>
      <c r="N664" s="17" t="s">
        <v>167</v>
      </c>
      <c r="O664" s="17" t="s">
        <v>168</v>
      </c>
      <c r="AG664" t="s">
        <v>842</v>
      </c>
      <c r="AW664" t="s">
        <v>842</v>
      </c>
      <c r="BD664">
        <f t="shared" si="62"/>
        <v>1</v>
      </c>
      <c r="BE664">
        <f t="shared" si="63"/>
        <v>1</v>
      </c>
      <c r="BF664">
        <f t="shared" si="64"/>
        <v>1</v>
      </c>
      <c r="BG664">
        <f t="shared" si="65"/>
        <v>1</v>
      </c>
      <c r="BH664">
        <f t="shared" si="66"/>
        <v>1</v>
      </c>
      <c r="BI664">
        <f t="shared" si="67"/>
        <v>1</v>
      </c>
    </row>
    <row r="665" spans="10:61" x14ac:dyDescent="0.3">
      <c r="J665" t="s">
        <v>543</v>
      </c>
      <c r="K665" s="17" t="s">
        <v>398</v>
      </c>
      <c r="L665" s="17" t="s">
        <v>155</v>
      </c>
      <c r="M665" s="17" t="s">
        <v>155</v>
      </c>
      <c r="N665" s="17" t="s">
        <v>155</v>
      </c>
      <c r="O665" s="17" t="s">
        <v>155</v>
      </c>
      <c r="AH665" s="17" t="s">
        <v>164</v>
      </c>
      <c r="AI665" s="17" t="s">
        <v>165</v>
      </c>
      <c r="AJ665" s="17" t="s">
        <v>166</v>
      </c>
      <c r="AK665" s="17" t="s">
        <v>167</v>
      </c>
      <c r="AL665" s="17" t="s">
        <v>168</v>
      </c>
      <c r="AX665" t="s">
        <v>164</v>
      </c>
      <c r="AY665" t="s">
        <v>165</v>
      </c>
      <c r="AZ665" t="s">
        <v>166</v>
      </c>
      <c r="BA665" t="s">
        <v>167</v>
      </c>
      <c r="BB665" t="s">
        <v>168</v>
      </c>
      <c r="BD665">
        <f t="shared" si="62"/>
        <v>1</v>
      </c>
      <c r="BE665">
        <f t="shared" si="63"/>
        <v>1</v>
      </c>
      <c r="BF665">
        <f t="shared" si="64"/>
        <v>1</v>
      </c>
      <c r="BG665">
        <f t="shared" si="65"/>
        <v>1</v>
      </c>
      <c r="BH665">
        <f t="shared" si="66"/>
        <v>1</v>
      </c>
      <c r="BI665">
        <f t="shared" si="67"/>
        <v>1</v>
      </c>
    </row>
    <row r="666" spans="10:61" x14ac:dyDescent="0.3">
      <c r="J666" t="s">
        <v>544</v>
      </c>
      <c r="K666" s="17" t="s">
        <v>398</v>
      </c>
      <c r="L666" s="17" t="s">
        <v>155</v>
      </c>
      <c r="M666" s="17" t="s">
        <v>155</v>
      </c>
      <c r="N666" s="17" t="s">
        <v>398</v>
      </c>
      <c r="O666" s="17" t="s">
        <v>155</v>
      </c>
      <c r="AG666" t="s">
        <v>543</v>
      </c>
      <c r="AH666" s="17" t="s">
        <v>398</v>
      </c>
      <c r="AI666" s="17" t="s">
        <v>155</v>
      </c>
      <c r="AJ666" s="17" t="s">
        <v>155</v>
      </c>
      <c r="AK666" s="17" t="s">
        <v>155</v>
      </c>
      <c r="AL666" s="17" t="s">
        <v>155</v>
      </c>
      <c r="AW666" t="s">
        <v>543</v>
      </c>
      <c r="AX666" t="s">
        <v>398</v>
      </c>
      <c r="AY666" t="s">
        <v>155</v>
      </c>
      <c r="AZ666" t="s">
        <v>155</v>
      </c>
      <c r="BA666" t="s">
        <v>155</v>
      </c>
      <c r="BB666" t="s">
        <v>155</v>
      </c>
      <c r="BD666">
        <f t="shared" si="62"/>
        <v>1</v>
      </c>
      <c r="BE666">
        <f t="shared" si="63"/>
        <v>0</v>
      </c>
      <c r="BF666">
        <f t="shared" si="64"/>
        <v>0</v>
      </c>
      <c r="BG666">
        <f t="shared" si="65"/>
        <v>0</v>
      </c>
      <c r="BH666">
        <f t="shared" si="66"/>
        <v>1</v>
      </c>
      <c r="BI666">
        <f t="shared" si="67"/>
        <v>0</v>
      </c>
    </row>
    <row r="667" spans="10:61" x14ac:dyDescent="0.3">
      <c r="J667" t="s">
        <v>545</v>
      </c>
      <c r="K667" s="17" t="s">
        <v>398</v>
      </c>
      <c r="L667" s="17" t="s">
        <v>155</v>
      </c>
      <c r="M667" s="17" t="s">
        <v>155</v>
      </c>
      <c r="N667" s="17" t="s">
        <v>398</v>
      </c>
      <c r="O667" s="17" t="s">
        <v>155</v>
      </c>
      <c r="AG667" t="s">
        <v>544</v>
      </c>
      <c r="AH667" s="17" t="s">
        <v>398</v>
      </c>
      <c r="AI667" s="17" t="s">
        <v>155</v>
      </c>
      <c r="AJ667" s="17" t="s">
        <v>155</v>
      </c>
      <c r="AK667" s="17" t="s">
        <v>398</v>
      </c>
      <c r="AL667" s="17" t="s">
        <v>155</v>
      </c>
      <c r="AW667" t="s">
        <v>544</v>
      </c>
      <c r="AX667" t="s">
        <v>398</v>
      </c>
      <c r="AY667" t="s">
        <v>155</v>
      </c>
      <c r="AZ667" t="s">
        <v>155</v>
      </c>
      <c r="BA667" t="s">
        <v>398</v>
      </c>
      <c r="BB667" t="s">
        <v>155</v>
      </c>
      <c r="BD667">
        <f t="shared" si="62"/>
        <v>1</v>
      </c>
      <c r="BE667">
        <f t="shared" si="63"/>
        <v>0</v>
      </c>
      <c r="BF667">
        <f t="shared" si="64"/>
        <v>0</v>
      </c>
      <c r="BG667">
        <f t="shared" si="65"/>
        <v>0</v>
      </c>
      <c r="BH667">
        <f t="shared" si="66"/>
        <v>0</v>
      </c>
      <c r="BI667">
        <f t="shared" si="67"/>
        <v>0</v>
      </c>
    </row>
    <row r="668" spans="10:61" x14ac:dyDescent="0.3">
      <c r="AG668" t="s">
        <v>545</v>
      </c>
      <c r="AH668" s="17" t="s">
        <v>398</v>
      </c>
      <c r="AI668" s="17" t="s">
        <v>155</v>
      </c>
      <c r="AJ668" s="17" t="s">
        <v>155</v>
      </c>
      <c r="AK668" s="17" t="s">
        <v>398</v>
      </c>
      <c r="AL668" s="17" t="s">
        <v>155</v>
      </c>
      <c r="AW668" t="s">
        <v>545</v>
      </c>
      <c r="AX668" t="s">
        <v>398</v>
      </c>
      <c r="AY668" t="s">
        <v>155</v>
      </c>
      <c r="AZ668" t="s">
        <v>155</v>
      </c>
      <c r="BA668" t="s">
        <v>398</v>
      </c>
      <c r="BB668" t="s">
        <v>155</v>
      </c>
      <c r="BD668">
        <f t="shared" si="62"/>
        <v>1</v>
      </c>
      <c r="BE668">
        <f t="shared" si="63"/>
        <v>1</v>
      </c>
      <c r="BF668">
        <f t="shared" si="64"/>
        <v>1</v>
      </c>
      <c r="BG668">
        <f t="shared" si="65"/>
        <v>1</v>
      </c>
      <c r="BH668">
        <f t="shared" si="66"/>
        <v>1</v>
      </c>
      <c r="BI668">
        <f t="shared" si="67"/>
        <v>1</v>
      </c>
    </row>
    <row r="669" spans="10:61" x14ac:dyDescent="0.3">
      <c r="J669" t="s">
        <v>843</v>
      </c>
      <c r="BD669">
        <f t="shared" si="62"/>
        <v>1</v>
      </c>
      <c r="BE669">
        <f t="shared" si="63"/>
        <v>0</v>
      </c>
      <c r="BF669">
        <f t="shared" si="64"/>
        <v>0</v>
      </c>
      <c r="BG669">
        <f t="shared" si="65"/>
        <v>0</v>
      </c>
      <c r="BH669">
        <f t="shared" si="66"/>
        <v>0</v>
      </c>
      <c r="BI669">
        <f t="shared" si="67"/>
        <v>0</v>
      </c>
    </row>
    <row r="670" spans="10:61" x14ac:dyDescent="0.3">
      <c r="K670" s="17" t="s">
        <v>164</v>
      </c>
      <c r="L670" s="17" t="s">
        <v>165</v>
      </c>
      <c r="M670" s="17" t="s">
        <v>166</v>
      </c>
      <c r="N670" s="17" t="s">
        <v>167</v>
      </c>
      <c r="O670" s="17" t="s">
        <v>168</v>
      </c>
      <c r="AG670" t="s">
        <v>843</v>
      </c>
      <c r="AW670" t="s">
        <v>843</v>
      </c>
      <c r="BD670">
        <f t="shared" si="62"/>
        <v>1</v>
      </c>
      <c r="BE670">
        <f t="shared" si="63"/>
        <v>1</v>
      </c>
      <c r="BF670">
        <f t="shared" si="64"/>
        <v>1</v>
      </c>
      <c r="BG670">
        <f t="shared" si="65"/>
        <v>1</v>
      </c>
      <c r="BH670">
        <f t="shared" si="66"/>
        <v>1</v>
      </c>
      <c r="BI670">
        <f t="shared" si="67"/>
        <v>1</v>
      </c>
    </row>
    <row r="671" spans="10:61" x14ac:dyDescent="0.3">
      <c r="J671" t="s">
        <v>557</v>
      </c>
      <c r="K671" s="17" t="s">
        <v>762</v>
      </c>
      <c r="L671" s="17" t="s">
        <v>155</v>
      </c>
      <c r="M671" s="17" t="s">
        <v>762</v>
      </c>
      <c r="N671" s="17" t="s">
        <v>762</v>
      </c>
      <c r="O671" s="17" t="s">
        <v>155</v>
      </c>
      <c r="AH671" s="17" t="s">
        <v>164</v>
      </c>
      <c r="AI671" s="17" t="s">
        <v>165</v>
      </c>
      <c r="AJ671" s="17" t="s">
        <v>166</v>
      </c>
      <c r="AK671" s="17" t="s">
        <v>167</v>
      </c>
      <c r="AL671" s="17" t="s">
        <v>168</v>
      </c>
      <c r="AX671" t="s">
        <v>164</v>
      </c>
      <c r="AY671" t="s">
        <v>165</v>
      </c>
      <c r="AZ671" t="s">
        <v>166</v>
      </c>
      <c r="BA671" t="s">
        <v>167</v>
      </c>
      <c r="BB671" t="s">
        <v>168</v>
      </c>
      <c r="BD671">
        <f t="shared" si="62"/>
        <v>1</v>
      </c>
      <c r="BE671">
        <f t="shared" si="63"/>
        <v>1</v>
      </c>
      <c r="BF671">
        <f t="shared" si="64"/>
        <v>1</v>
      </c>
      <c r="BG671">
        <f t="shared" si="65"/>
        <v>1</v>
      </c>
      <c r="BH671">
        <f t="shared" si="66"/>
        <v>1</v>
      </c>
      <c r="BI671">
        <f t="shared" si="67"/>
        <v>1</v>
      </c>
    </row>
    <row r="672" spans="10:61" x14ac:dyDescent="0.3">
      <c r="J672" t="s">
        <v>542</v>
      </c>
      <c r="K672" s="17" t="s">
        <v>762</v>
      </c>
      <c r="L672" s="17" t="s">
        <v>155</v>
      </c>
      <c r="M672" s="17" t="s">
        <v>762</v>
      </c>
      <c r="N672" s="17" t="s">
        <v>762</v>
      </c>
      <c r="O672" s="17" t="s">
        <v>155</v>
      </c>
      <c r="AG672" t="s">
        <v>557</v>
      </c>
      <c r="AH672" s="17" t="s">
        <v>762</v>
      </c>
      <c r="AI672" s="17" t="s">
        <v>155</v>
      </c>
      <c r="AJ672" s="17" t="s">
        <v>762</v>
      </c>
      <c r="AK672" s="17" t="s">
        <v>762</v>
      </c>
      <c r="AL672" s="17" t="s">
        <v>155</v>
      </c>
      <c r="AW672" t="s">
        <v>557</v>
      </c>
      <c r="AX672" t="s">
        <v>762</v>
      </c>
      <c r="AY672" t="s">
        <v>155</v>
      </c>
      <c r="AZ672" t="s">
        <v>762</v>
      </c>
      <c r="BA672" t="s">
        <v>762</v>
      </c>
      <c r="BB672" t="s">
        <v>155</v>
      </c>
      <c r="BD672">
        <f t="shared" si="62"/>
        <v>1</v>
      </c>
      <c r="BE672">
        <f t="shared" si="63"/>
        <v>0</v>
      </c>
      <c r="BF672">
        <f t="shared" si="64"/>
        <v>0</v>
      </c>
      <c r="BG672">
        <f t="shared" si="65"/>
        <v>0</v>
      </c>
      <c r="BH672">
        <f t="shared" si="66"/>
        <v>0</v>
      </c>
      <c r="BI672">
        <f t="shared" si="67"/>
        <v>0</v>
      </c>
    </row>
    <row r="673" spans="10:61" x14ac:dyDescent="0.3">
      <c r="AG673" t="s">
        <v>542</v>
      </c>
      <c r="AH673" s="17" t="s">
        <v>762</v>
      </c>
      <c r="AI673" s="17" t="s">
        <v>155</v>
      </c>
      <c r="AJ673" s="17" t="s">
        <v>762</v>
      </c>
      <c r="AK673" s="17" t="s">
        <v>762</v>
      </c>
      <c r="AL673" s="17" t="s">
        <v>155</v>
      </c>
      <c r="AW673" t="s">
        <v>542</v>
      </c>
      <c r="AX673" t="s">
        <v>762</v>
      </c>
      <c r="AY673" t="s">
        <v>155</v>
      </c>
      <c r="AZ673" t="s">
        <v>762</v>
      </c>
      <c r="BA673" t="s">
        <v>762</v>
      </c>
      <c r="BB673" t="s">
        <v>155</v>
      </c>
      <c r="BD673">
        <f t="shared" si="62"/>
        <v>1</v>
      </c>
      <c r="BE673">
        <f t="shared" si="63"/>
        <v>1</v>
      </c>
      <c r="BF673">
        <f t="shared" si="64"/>
        <v>1</v>
      </c>
      <c r="BG673">
        <f t="shared" si="65"/>
        <v>1</v>
      </c>
      <c r="BH673">
        <f t="shared" si="66"/>
        <v>1</v>
      </c>
      <c r="BI673">
        <f t="shared" si="67"/>
        <v>1</v>
      </c>
    </row>
    <row r="674" spans="10:61" x14ac:dyDescent="0.3">
      <c r="J674" t="s">
        <v>702</v>
      </c>
      <c r="BD674">
        <f t="shared" si="62"/>
        <v>1</v>
      </c>
      <c r="BE674">
        <f t="shared" si="63"/>
        <v>0</v>
      </c>
      <c r="BF674">
        <f t="shared" si="64"/>
        <v>0</v>
      </c>
      <c r="BG674">
        <f t="shared" si="65"/>
        <v>0</v>
      </c>
      <c r="BH674">
        <f t="shared" si="66"/>
        <v>0</v>
      </c>
      <c r="BI674">
        <f t="shared" si="67"/>
        <v>0</v>
      </c>
    </row>
    <row r="675" spans="10:61" x14ac:dyDescent="0.3">
      <c r="K675" s="17" t="s">
        <v>164</v>
      </c>
      <c r="L675" s="17" t="s">
        <v>165</v>
      </c>
      <c r="M675" s="17" t="s">
        <v>166</v>
      </c>
      <c r="N675" s="17" t="s">
        <v>167</v>
      </c>
      <c r="O675" s="17" t="s">
        <v>168</v>
      </c>
      <c r="AG675" t="s">
        <v>702</v>
      </c>
      <c r="AW675" t="s">
        <v>702</v>
      </c>
      <c r="BD675">
        <f t="shared" si="62"/>
        <v>1</v>
      </c>
      <c r="BE675">
        <f t="shared" si="63"/>
        <v>1</v>
      </c>
      <c r="BF675">
        <f t="shared" si="64"/>
        <v>1</v>
      </c>
      <c r="BG675">
        <f t="shared" si="65"/>
        <v>1</v>
      </c>
      <c r="BH675">
        <f t="shared" si="66"/>
        <v>1</v>
      </c>
      <c r="BI675">
        <f t="shared" si="67"/>
        <v>1</v>
      </c>
    </row>
    <row r="676" spans="10:61" x14ac:dyDescent="0.3">
      <c r="J676" t="s">
        <v>548</v>
      </c>
      <c r="K676" s="17" t="s">
        <v>155</v>
      </c>
      <c r="L676" s="17" t="s">
        <v>382</v>
      </c>
      <c r="M676" s="17" t="s">
        <v>155</v>
      </c>
      <c r="N676" s="17" t="s">
        <v>155</v>
      </c>
      <c r="O676" s="17" t="s">
        <v>382</v>
      </c>
      <c r="AH676" s="17" t="s">
        <v>164</v>
      </c>
      <c r="AI676" s="17" t="s">
        <v>165</v>
      </c>
      <c r="AJ676" s="17" t="s">
        <v>166</v>
      </c>
      <c r="AK676" s="17" t="s">
        <v>167</v>
      </c>
      <c r="AL676" s="17" t="s">
        <v>168</v>
      </c>
      <c r="AX676" t="s">
        <v>164</v>
      </c>
      <c r="AY676" t="s">
        <v>165</v>
      </c>
      <c r="AZ676" t="s">
        <v>166</v>
      </c>
      <c r="BA676" t="s">
        <v>167</v>
      </c>
      <c r="BB676" t="s">
        <v>168</v>
      </c>
      <c r="BD676">
        <f t="shared" si="62"/>
        <v>1</v>
      </c>
      <c r="BE676">
        <f t="shared" si="63"/>
        <v>1</v>
      </c>
      <c r="BF676">
        <f t="shared" si="64"/>
        <v>1</v>
      </c>
      <c r="BG676">
        <f t="shared" si="65"/>
        <v>1</v>
      </c>
      <c r="BH676">
        <f t="shared" si="66"/>
        <v>1</v>
      </c>
      <c r="BI676">
        <f t="shared" si="67"/>
        <v>1</v>
      </c>
    </row>
    <row r="677" spans="10:61" x14ac:dyDescent="0.3">
      <c r="J677" t="s">
        <v>549</v>
      </c>
      <c r="K677" s="17" t="s">
        <v>155</v>
      </c>
      <c r="L677" s="17" t="s">
        <v>382</v>
      </c>
      <c r="M677" s="17" t="s">
        <v>155</v>
      </c>
      <c r="N677" s="17" t="s">
        <v>155</v>
      </c>
      <c r="O677" s="17" t="s">
        <v>382</v>
      </c>
      <c r="AG677" t="s">
        <v>548</v>
      </c>
      <c r="AH677" s="17" t="s">
        <v>155</v>
      </c>
      <c r="AI677" s="17" t="s">
        <v>382</v>
      </c>
      <c r="AJ677" s="17" t="s">
        <v>155</v>
      </c>
      <c r="AK677" s="17" t="s">
        <v>382</v>
      </c>
      <c r="AL677" s="17" t="s">
        <v>155</v>
      </c>
      <c r="AW677" t="s">
        <v>548</v>
      </c>
      <c r="AX677" t="s">
        <v>155</v>
      </c>
      <c r="AY677" t="s">
        <v>382</v>
      </c>
      <c r="AZ677" t="s">
        <v>155</v>
      </c>
      <c r="BA677" t="s">
        <v>155</v>
      </c>
      <c r="BB677" t="s">
        <v>382</v>
      </c>
      <c r="BD677">
        <f t="shared" si="62"/>
        <v>1</v>
      </c>
      <c r="BE677">
        <f t="shared" si="63"/>
        <v>0</v>
      </c>
      <c r="BF677">
        <f t="shared" si="64"/>
        <v>0</v>
      </c>
      <c r="BG677">
        <f t="shared" si="65"/>
        <v>0</v>
      </c>
      <c r="BH677">
        <f t="shared" si="66"/>
        <v>0</v>
      </c>
      <c r="BI677">
        <f t="shared" si="67"/>
        <v>0</v>
      </c>
    </row>
    <row r="678" spans="10:61" x14ac:dyDescent="0.3">
      <c r="J678" t="s">
        <v>550</v>
      </c>
      <c r="K678" s="17" t="s">
        <v>155</v>
      </c>
      <c r="L678" s="17" t="s">
        <v>155</v>
      </c>
      <c r="M678" s="17" t="s">
        <v>155</v>
      </c>
      <c r="N678" s="17" t="s">
        <v>155</v>
      </c>
      <c r="O678" s="17" t="s">
        <v>382</v>
      </c>
      <c r="AG678" t="s">
        <v>549</v>
      </c>
      <c r="AH678" s="17" t="s">
        <v>155</v>
      </c>
      <c r="AI678" s="17" t="s">
        <v>382</v>
      </c>
      <c r="AJ678" s="17" t="s">
        <v>155</v>
      </c>
      <c r="AK678" s="17" t="s">
        <v>382</v>
      </c>
      <c r="AL678" s="17" t="s">
        <v>155</v>
      </c>
      <c r="AW678" t="s">
        <v>549</v>
      </c>
      <c r="AX678" t="s">
        <v>155</v>
      </c>
      <c r="AY678" t="s">
        <v>382</v>
      </c>
      <c r="AZ678" t="s">
        <v>155</v>
      </c>
      <c r="BA678" t="s">
        <v>155</v>
      </c>
      <c r="BB678" t="s">
        <v>382</v>
      </c>
      <c r="BD678">
        <f t="shared" si="62"/>
        <v>1</v>
      </c>
      <c r="BE678">
        <f t="shared" si="63"/>
        <v>0</v>
      </c>
      <c r="BF678">
        <f t="shared" si="64"/>
        <v>1</v>
      </c>
      <c r="BG678">
        <f t="shared" si="65"/>
        <v>0</v>
      </c>
      <c r="BH678">
        <f t="shared" si="66"/>
        <v>0</v>
      </c>
      <c r="BI678">
        <f t="shared" si="67"/>
        <v>0</v>
      </c>
    </row>
    <row r="679" spans="10:61" x14ac:dyDescent="0.3">
      <c r="J679" t="s">
        <v>543</v>
      </c>
      <c r="K679" s="17" t="s">
        <v>155</v>
      </c>
      <c r="L679" s="17" t="s">
        <v>155</v>
      </c>
      <c r="M679" s="17" t="s">
        <v>79</v>
      </c>
      <c r="N679" s="17" t="s">
        <v>155</v>
      </c>
      <c r="O679" s="17" t="s">
        <v>155</v>
      </c>
      <c r="AG679" t="s">
        <v>550</v>
      </c>
      <c r="AH679" s="17" t="s">
        <v>155</v>
      </c>
      <c r="AI679" s="17" t="s">
        <v>155</v>
      </c>
      <c r="AJ679" s="17" t="s">
        <v>155</v>
      </c>
      <c r="AK679" s="17" t="s">
        <v>382</v>
      </c>
      <c r="AL679" s="17" t="s">
        <v>155</v>
      </c>
      <c r="AW679" t="s">
        <v>550</v>
      </c>
      <c r="AX679" t="s">
        <v>155</v>
      </c>
      <c r="AY679" t="s">
        <v>155</v>
      </c>
      <c r="AZ679" t="s">
        <v>155</v>
      </c>
      <c r="BA679" t="s">
        <v>155</v>
      </c>
      <c r="BB679" t="s">
        <v>382</v>
      </c>
      <c r="BD679">
        <f t="shared" si="62"/>
        <v>1</v>
      </c>
      <c r="BE679">
        <f t="shared" si="63"/>
        <v>0</v>
      </c>
      <c r="BF679">
        <f t="shared" si="64"/>
        <v>0</v>
      </c>
      <c r="BG679">
        <f t="shared" si="65"/>
        <v>1</v>
      </c>
      <c r="BH679">
        <f t="shared" si="66"/>
        <v>0</v>
      </c>
      <c r="BI679">
        <f t="shared" si="67"/>
        <v>1</v>
      </c>
    </row>
    <row r="680" spans="10:61" x14ac:dyDescent="0.3">
      <c r="J680" t="s">
        <v>544</v>
      </c>
      <c r="K680" s="17" t="s">
        <v>155</v>
      </c>
      <c r="L680" s="17" t="s">
        <v>155</v>
      </c>
      <c r="M680" s="17" t="s">
        <v>79</v>
      </c>
      <c r="N680" s="17" t="s">
        <v>155</v>
      </c>
      <c r="O680" s="17" t="s">
        <v>79</v>
      </c>
      <c r="AG680" t="s">
        <v>544</v>
      </c>
      <c r="AH680" s="17" t="s">
        <v>155</v>
      </c>
      <c r="AI680" s="17" t="s">
        <v>79</v>
      </c>
      <c r="AJ680" s="17" t="s">
        <v>155</v>
      </c>
      <c r="AK680" s="17" t="s">
        <v>155</v>
      </c>
      <c r="AL680" s="17" t="s">
        <v>155</v>
      </c>
      <c r="AW680" t="s">
        <v>543</v>
      </c>
      <c r="AX680" t="s">
        <v>155</v>
      </c>
      <c r="AY680" t="s">
        <v>155</v>
      </c>
      <c r="AZ680" t="s">
        <v>79</v>
      </c>
      <c r="BA680" t="s">
        <v>155</v>
      </c>
      <c r="BB680" t="s">
        <v>155</v>
      </c>
      <c r="BD680">
        <f t="shared" si="62"/>
        <v>1</v>
      </c>
      <c r="BE680">
        <f t="shared" si="63"/>
        <v>0</v>
      </c>
      <c r="BF680">
        <f t="shared" si="64"/>
        <v>0</v>
      </c>
      <c r="BG680">
        <f t="shared" si="65"/>
        <v>0</v>
      </c>
      <c r="BH680">
        <f t="shared" si="66"/>
        <v>0</v>
      </c>
      <c r="BI680">
        <f t="shared" si="67"/>
        <v>1</v>
      </c>
    </row>
    <row r="681" spans="10:61" x14ac:dyDescent="0.3">
      <c r="J681" t="s">
        <v>545</v>
      </c>
      <c r="K681" s="17" t="s">
        <v>155</v>
      </c>
      <c r="L681" s="17" t="s">
        <v>155</v>
      </c>
      <c r="M681" s="17" t="s">
        <v>79</v>
      </c>
      <c r="N681" s="17" t="s">
        <v>155</v>
      </c>
      <c r="O681" s="17" t="s">
        <v>79</v>
      </c>
      <c r="AG681" t="s">
        <v>545</v>
      </c>
      <c r="AH681" s="17" t="s">
        <v>155</v>
      </c>
      <c r="AI681" s="17" t="s">
        <v>79</v>
      </c>
      <c r="AJ681" s="17" t="s">
        <v>155</v>
      </c>
      <c r="AK681" s="17" t="s">
        <v>155</v>
      </c>
      <c r="AL681" s="17" t="s">
        <v>79</v>
      </c>
      <c r="AW681" t="s">
        <v>544</v>
      </c>
      <c r="AX681" t="s">
        <v>155</v>
      </c>
      <c r="AY681" t="s">
        <v>155</v>
      </c>
      <c r="AZ681" t="s">
        <v>79</v>
      </c>
      <c r="BA681" t="s">
        <v>155</v>
      </c>
      <c r="BB681" t="s">
        <v>79</v>
      </c>
      <c r="BD681">
        <f t="shared" si="62"/>
        <v>1</v>
      </c>
      <c r="BE681">
        <f t="shared" si="63"/>
        <v>0</v>
      </c>
      <c r="BF681">
        <f t="shared" si="64"/>
        <v>0</v>
      </c>
      <c r="BG681">
        <f t="shared" si="65"/>
        <v>0</v>
      </c>
      <c r="BH681">
        <f t="shared" si="66"/>
        <v>0</v>
      </c>
      <c r="BI681">
        <f t="shared" si="67"/>
        <v>0</v>
      </c>
    </row>
    <row r="682" spans="10:61" x14ac:dyDescent="0.3">
      <c r="AG682" t="s">
        <v>546</v>
      </c>
      <c r="AH682" s="17" t="s">
        <v>155</v>
      </c>
      <c r="AI682" s="17" t="s">
        <v>79</v>
      </c>
      <c r="AJ682" s="17" t="s">
        <v>155</v>
      </c>
      <c r="AK682" s="17" t="s">
        <v>155</v>
      </c>
      <c r="AL682" s="17" t="s">
        <v>79</v>
      </c>
      <c r="AW682" t="s">
        <v>545</v>
      </c>
      <c r="AX682" t="s">
        <v>155</v>
      </c>
      <c r="AY682" t="s">
        <v>155</v>
      </c>
      <c r="AZ682" t="s">
        <v>79</v>
      </c>
      <c r="BA682" t="s">
        <v>155</v>
      </c>
      <c r="BB682" t="s">
        <v>79</v>
      </c>
      <c r="BD682">
        <f t="shared" si="62"/>
        <v>1</v>
      </c>
      <c r="BE682">
        <f t="shared" si="63"/>
        <v>1</v>
      </c>
      <c r="BF682">
        <f t="shared" si="64"/>
        <v>1</v>
      </c>
      <c r="BG682">
        <f t="shared" si="65"/>
        <v>1</v>
      </c>
      <c r="BH682">
        <f t="shared" si="66"/>
        <v>1</v>
      </c>
      <c r="BI682">
        <f t="shared" si="67"/>
        <v>1</v>
      </c>
    </row>
    <row r="683" spans="10:61" x14ac:dyDescent="0.3">
      <c r="J683" t="s">
        <v>738</v>
      </c>
      <c r="BD683">
        <f t="shared" si="62"/>
        <v>1</v>
      </c>
      <c r="BE683">
        <f t="shared" si="63"/>
        <v>0</v>
      </c>
      <c r="BF683">
        <f t="shared" si="64"/>
        <v>0</v>
      </c>
      <c r="BG683">
        <f t="shared" si="65"/>
        <v>0</v>
      </c>
      <c r="BH683">
        <f t="shared" si="66"/>
        <v>0</v>
      </c>
      <c r="BI683">
        <f t="shared" si="67"/>
        <v>0</v>
      </c>
    </row>
    <row r="684" spans="10:61" x14ac:dyDescent="0.3">
      <c r="K684" s="17" t="s">
        <v>164</v>
      </c>
      <c r="L684" s="17" t="s">
        <v>165</v>
      </c>
      <c r="M684" s="17" t="s">
        <v>166</v>
      </c>
      <c r="N684" s="17" t="s">
        <v>167</v>
      </c>
      <c r="O684" s="17" t="s">
        <v>168</v>
      </c>
      <c r="AG684" t="s">
        <v>738</v>
      </c>
      <c r="AW684" t="s">
        <v>738</v>
      </c>
      <c r="BD684">
        <f t="shared" si="62"/>
        <v>1</v>
      </c>
      <c r="BE684">
        <f t="shared" si="63"/>
        <v>1</v>
      </c>
      <c r="BF684">
        <f t="shared" si="64"/>
        <v>1</v>
      </c>
      <c r="BG684">
        <f t="shared" si="65"/>
        <v>1</v>
      </c>
      <c r="BH684">
        <f t="shared" si="66"/>
        <v>1</v>
      </c>
      <c r="BI684">
        <f t="shared" si="67"/>
        <v>1</v>
      </c>
    </row>
    <row r="685" spans="10:61" x14ac:dyDescent="0.3">
      <c r="J685" t="s">
        <v>548</v>
      </c>
      <c r="K685" s="17" t="s">
        <v>155</v>
      </c>
      <c r="L685" s="17" t="s">
        <v>353</v>
      </c>
      <c r="M685" s="17" t="s">
        <v>155</v>
      </c>
      <c r="N685" s="17" t="s">
        <v>353</v>
      </c>
      <c r="O685" s="17" t="s">
        <v>155</v>
      </c>
      <c r="AH685" s="17" t="s">
        <v>164</v>
      </c>
      <c r="AI685" s="17" t="s">
        <v>165</v>
      </c>
      <c r="AJ685" s="17" t="s">
        <v>166</v>
      </c>
      <c r="AK685" s="17" t="s">
        <v>167</v>
      </c>
      <c r="AL685" s="17" t="s">
        <v>168</v>
      </c>
      <c r="AX685" t="s">
        <v>164</v>
      </c>
      <c r="AY685" t="s">
        <v>165</v>
      </c>
      <c r="AZ685" t="s">
        <v>166</v>
      </c>
      <c r="BA685" t="s">
        <v>167</v>
      </c>
      <c r="BB685" t="s">
        <v>168</v>
      </c>
      <c r="BD685">
        <f t="shared" si="62"/>
        <v>1</v>
      </c>
      <c r="BE685">
        <f t="shared" si="63"/>
        <v>1</v>
      </c>
      <c r="BF685">
        <f t="shared" si="64"/>
        <v>1</v>
      </c>
      <c r="BG685">
        <f t="shared" si="65"/>
        <v>1</v>
      </c>
      <c r="BH685">
        <f t="shared" si="66"/>
        <v>1</v>
      </c>
      <c r="BI685">
        <f t="shared" si="67"/>
        <v>1</v>
      </c>
    </row>
    <row r="686" spans="10:61" x14ac:dyDescent="0.3">
      <c r="J686" t="s">
        <v>549</v>
      </c>
      <c r="K686" s="17" t="s">
        <v>155</v>
      </c>
      <c r="L686" s="17" t="s">
        <v>353</v>
      </c>
      <c r="M686" s="17" t="s">
        <v>155</v>
      </c>
      <c r="N686" s="17" t="s">
        <v>353</v>
      </c>
      <c r="O686" s="17" t="s">
        <v>155</v>
      </c>
      <c r="AG686" t="s">
        <v>548</v>
      </c>
      <c r="AH686" s="17" t="s">
        <v>155</v>
      </c>
      <c r="AI686" s="17" t="s">
        <v>353</v>
      </c>
      <c r="AJ686" s="17" t="s">
        <v>155</v>
      </c>
      <c r="AK686" s="17" t="s">
        <v>353</v>
      </c>
      <c r="AL686" s="17" t="s">
        <v>155</v>
      </c>
      <c r="AW686" t="s">
        <v>548</v>
      </c>
      <c r="AX686" t="s">
        <v>155</v>
      </c>
      <c r="AY686" t="s">
        <v>353</v>
      </c>
      <c r="AZ686" t="s">
        <v>155</v>
      </c>
      <c r="BA686" t="s">
        <v>353</v>
      </c>
      <c r="BB686" t="s">
        <v>155</v>
      </c>
      <c r="BD686">
        <f t="shared" si="62"/>
        <v>1</v>
      </c>
      <c r="BE686">
        <f t="shared" si="63"/>
        <v>0</v>
      </c>
      <c r="BF686">
        <f t="shared" si="64"/>
        <v>0</v>
      </c>
      <c r="BG686">
        <f t="shared" si="65"/>
        <v>0</v>
      </c>
      <c r="BH686">
        <f t="shared" si="66"/>
        <v>0</v>
      </c>
      <c r="BI686">
        <f t="shared" si="67"/>
        <v>0</v>
      </c>
    </row>
    <row r="687" spans="10:61" x14ac:dyDescent="0.3">
      <c r="J687" t="s">
        <v>550</v>
      </c>
      <c r="K687" s="17" t="s">
        <v>155</v>
      </c>
      <c r="L687" s="17" t="s">
        <v>155</v>
      </c>
      <c r="M687" s="17" t="s">
        <v>155</v>
      </c>
      <c r="N687" s="17" t="s">
        <v>353</v>
      </c>
      <c r="O687" s="17" t="s">
        <v>155</v>
      </c>
      <c r="AG687" t="s">
        <v>549</v>
      </c>
      <c r="AH687" s="17" t="s">
        <v>155</v>
      </c>
      <c r="AI687" s="17" t="s">
        <v>353</v>
      </c>
      <c r="AJ687" s="17" t="s">
        <v>155</v>
      </c>
      <c r="AK687" s="17" t="s">
        <v>353</v>
      </c>
      <c r="AL687" s="17" t="s">
        <v>155</v>
      </c>
      <c r="AW687" t="s">
        <v>549</v>
      </c>
      <c r="AX687" t="s">
        <v>155</v>
      </c>
      <c r="AY687" t="s">
        <v>353</v>
      </c>
      <c r="AZ687" t="s">
        <v>155</v>
      </c>
      <c r="BA687" t="s">
        <v>353</v>
      </c>
      <c r="BB687" t="s">
        <v>155</v>
      </c>
      <c r="BD687">
        <f t="shared" si="62"/>
        <v>1</v>
      </c>
      <c r="BE687">
        <f t="shared" si="63"/>
        <v>0</v>
      </c>
      <c r="BF687">
        <f t="shared" si="64"/>
        <v>1</v>
      </c>
      <c r="BG687">
        <f t="shared" si="65"/>
        <v>0</v>
      </c>
      <c r="BH687">
        <f t="shared" si="66"/>
        <v>0</v>
      </c>
      <c r="BI687">
        <f t="shared" si="67"/>
        <v>0</v>
      </c>
    </row>
    <row r="688" spans="10:61" x14ac:dyDescent="0.3">
      <c r="J688" t="s">
        <v>543</v>
      </c>
      <c r="K688" s="17" t="s">
        <v>418</v>
      </c>
      <c r="L688" s="17" t="s">
        <v>155</v>
      </c>
      <c r="M688" s="17" t="s">
        <v>155</v>
      </c>
      <c r="N688" s="17" t="s">
        <v>155</v>
      </c>
      <c r="O688" s="17" t="s">
        <v>155</v>
      </c>
      <c r="AG688" t="s">
        <v>550</v>
      </c>
      <c r="AH688" s="17" t="s">
        <v>155</v>
      </c>
      <c r="AI688" s="17" t="s">
        <v>155</v>
      </c>
      <c r="AJ688" s="17" t="s">
        <v>155</v>
      </c>
      <c r="AK688" s="17" t="s">
        <v>353</v>
      </c>
      <c r="AL688" s="17" t="s">
        <v>155</v>
      </c>
      <c r="AW688" t="s">
        <v>550</v>
      </c>
      <c r="AX688" t="s">
        <v>155</v>
      </c>
      <c r="AY688" t="s">
        <v>155</v>
      </c>
      <c r="AZ688" t="s">
        <v>155</v>
      </c>
      <c r="BA688" t="s">
        <v>353</v>
      </c>
      <c r="BB688" t="s">
        <v>155</v>
      </c>
      <c r="BD688">
        <f t="shared" si="62"/>
        <v>1</v>
      </c>
      <c r="BE688">
        <f t="shared" si="63"/>
        <v>1</v>
      </c>
      <c r="BF688">
        <f t="shared" si="64"/>
        <v>0</v>
      </c>
      <c r="BG688">
        <f t="shared" si="65"/>
        <v>0</v>
      </c>
      <c r="BH688">
        <f t="shared" si="66"/>
        <v>1</v>
      </c>
      <c r="BI688">
        <f t="shared" si="67"/>
        <v>0</v>
      </c>
    </row>
    <row r="689" spans="10:61" x14ac:dyDescent="0.3">
      <c r="J689" t="s">
        <v>544</v>
      </c>
      <c r="K689" s="17" t="s">
        <v>418</v>
      </c>
      <c r="L689" s="17" t="s">
        <v>155</v>
      </c>
      <c r="M689" s="17" t="s">
        <v>155</v>
      </c>
      <c r="N689" s="17" t="s">
        <v>418</v>
      </c>
      <c r="O689" s="17" t="s">
        <v>155</v>
      </c>
      <c r="AG689" t="s">
        <v>543</v>
      </c>
      <c r="AH689" s="17" t="s">
        <v>418</v>
      </c>
      <c r="AI689" s="17" t="s">
        <v>155</v>
      </c>
      <c r="AJ689" s="17" t="s">
        <v>155</v>
      </c>
      <c r="AK689" s="17" t="s">
        <v>155</v>
      </c>
      <c r="AL689" s="17" t="s">
        <v>155</v>
      </c>
      <c r="AW689" t="s">
        <v>543</v>
      </c>
      <c r="AX689" t="s">
        <v>418</v>
      </c>
      <c r="AY689" t="s">
        <v>155</v>
      </c>
      <c r="AZ689" t="s">
        <v>155</v>
      </c>
      <c r="BA689" t="s">
        <v>155</v>
      </c>
      <c r="BB689" t="s">
        <v>155</v>
      </c>
      <c r="BD689">
        <f t="shared" si="62"/>
        <v>1</v>
      </c>
      <c r="BE689">
        <f t="shared" si="63"/>
        <v>0</v>
      </c>
      <c r="BF689">
        <f t="shared" si="64"/>
        <v>0</v>
      </c>
      <c r="BG689">
        <f t="shared" si="65"/>
        <v>0</v>
      </c>
      <c r="BH689">
        <f t="shared" si="66"/>
        <v>1</v>
      </c>
      <c r="BI689">
        <f t="shared" si="67"/>
        <v>0</v>
      </c>
    </row>
    <row r="690" spans="10:61" x14ac:dyDescent="0.3">
      <c r="J690" t="s">
        <v>545</v>
      </c>
      <c r="K690" s="17" t="s">
        <v>418</v>
      </c>
      <c r="L690" s="17" t="s">
        <v>155</v>
      </c>
      <c r="M690" s="17" t="s">
        <v>155</v>
      </c>
      <c r="N690" s="17" t="s">
        <v>418</v>
      </c>
      <c r="O690" s="17" t="s">
        <v>155</v>
      </c>
      <c r="AG690" t="s">
        <v>544</v>
      </c>
      <c r="AH690" s="17" t="s">
        <v>418</v>
      </c>
      <c r="AI690" s="17" t="s">
        <v>155</v>
      </c>
      <c r="AJ690" s="17" t="s">
        <v>155</v>
      </c>
      <c r="AK690" s="17" t="s">
        <v>418</v>
      </c>
      <c r="AL690" s="17" t="s">
        <v>155</v>
      </c>
      <c r="AW690" t="s">
        <v>544</v>
      </c>
      <c r="AX690" t="s">
        <v>418</v>
      </c>
      <c r="AY690" t="s">
        <v>155</v>
      </c>
      <c r="AZ690" t="s">
        <v>155</v>
      </c>
      <c r="BA690" t="s">
        <v>418</v>
      </c>
      <c r="BB690" t="s">
        <v>155</v>
      </c>
      <c r="BD690">
        <f t="shared" si="62"/>
        <v>1</v>
      </c>
      <c r="BE690">
        <f t="shared" si="63"/>
        <v>0</v>
      </c>
      <c r="BF690">
        <f t="shared" si="64"/>
        <v>0</v>
      </c>
      <c r="BG690">
        <f t="shared" si="65"/>
        <v>0</v>
      </c>
      <c r="BH690">
        <f t="shared" si="66"/>
        <v>0</v>
      </c>
      <c r="BI690">
        <f t="shared" si="67"/>
        <v>0</v>
      </c>
    </row>
    <row r="691" spans="10:61" x14ac:dyDescent="0.3">
      <c r="AG691" t="s">
        <v>545</v>
      </c>
      <c r="AH691" s="17" t="s">
        <v>418</v>
      </c>
      <c r="AI691" s="17" t="s">
        <v>155</v>
      </c>
      <c r="AJ691" s="17" t="s">
        <v>155</v>
      </c>
      <c r="AK691" s="17" t="s">
        <v>418</v>
      </c>
      <c r="AL691" s="17" t="s">
        <v>155</v>
      </c>
      <c r="AW691" t="s">
        <v>545</v>
      </c>
      <c r="AX691" t="s">
        <v>418</v>
      </c>
      <c r="AY691" t="s">
        <v>155</v>
      </c>
      <c r="AZ691" t="s">
        <v>155</v>
      </c>
      <c r="BA691" t="s">
        <v>418</v>
      </c>
      <c r="BB691" t="s">
        <v>155</v>
      </c>
      <c r="BD691">
        <f t="shared" si="62"/>
        <v>1</v>
      </c>
      <c r="BE691">
        <f t="shared" si="63"/>
        <v>1</v>
      </c>
      <c r="BF691">
        <f t="shared" si="64"/>
        <v>1</v>
      </c>
      <c r="BG691">
        <f t="shared" si="65"/>
        <v>1</v>
      </c>
      <c r="BH691">
        <f t="shared" si="66"/>
        <v>1</v>
      </c>
      <c r="BI691">
        <f t="shared" si="67"/>
        <v>1</v>
      </c>
    </row>
    <row r="692" spans="10:61" x14ac:dyDescent="0.3">
      <c r="J692" t="s">
        <v>747</v>
      </c>
      <c r="BD692">
        <f t="shared" si="62"/>
        <v>1</v>
      </c>
      <c r="BE692">
        <f t="shared" si="63"/>
        <v>0</v>
      </c>
      <c r="BF692">
        <f t="shared" si="64"/>
        <v>0</v>
      </c>
      <c r="BG692">
        <f t="shared" si="65"/>
        <v>0</v>
      </c>
      <c r="BH692">
        <f t="shared" si="66"/>
        <v>0</v>
      </c>
      <c r="BI692">
        <f t="shared" si="67"/>
        <v>0</v>
      </c>
    </row>
    <row r="693" spans="10:61" x14ac:dyDescent="0.3">
      <c r="K693" s="17" t="s">
        <v>164</v>
      </c>
      <c r="L693" s="17" t="s">
        <v>165</v>
      </c>
      <c r="M693" s="17" t="s">
        <v>166</v>
      </c>
      <c r="N693" s="17" t="s">
        <v>167</v>
      </c>
      <c r="O693" s="17" t="s">
        <v>168</v>
      </c>
      <c r="AG693" t="s">
        <v>747</v>
      </c>
      <c r="AW693" t="s">
        <v>747</v>
      </c>
      <c r="BD693">
        <f t="shared" si="62"/>
        <v>1</v>
      </c>
      <c r="BE693">
        <f t="shared" si="63"/>
        <v>1</v>
      </c>
      <c r="BF693">
        <f t="shared" si="64"/>
        <v>1</v>
      </c>
      <c r="BG693">
        <f t="shared" si="65"/>
        <v>1</v>
      </c>
      <c r="BH693">
        <f t="shared" si="66"/>
        <v>1</v>
      </c>
      <c r="BI693">
        <f t="shared" si="67"/>
        <v>1</v>
      </c>
    </row>
    <row r="694" spans="10:61" x14ac:dyDescent="0.3">
      <c r="J694" t="s">
        <v>550</v>
      </c>
      <c r="K694" s="17" t="s">
        <v>155</v>
      </c>
      <c r="L694" s="17" t="s">
        <v>155</v>
      </c>
      <c r="M694" s="17" t="s">
        <v>155</v>
      </c>
      <c r="N694" s="17" t="s">
        <v>155</v>
      </c>
      <c r="O694" s="17" t="s">
        <v>371</v>
      </c>
      <c r="AH694" s="17" t="s">
        <v>164</v>
      </c>
      <c r="AI694" s="17" t="s">
        <v>165</v>
      </c>
      <c r="AJ694" s="17" t="s">
        <v>166</v>
      </c>
      <c r="AK694" s="17" t="s">
        <v>167</v>
      </c>
      <c r="AL694" s="17" t="s">
        <v>168</v>
      </c>
      <c r="AX694" t="s">
        <v>164</v>
      </c>
      <c r="AY694" t="s">
        <v>165</v>
      </c>
      <c r="AZ694" t="s">
        <v>166</v>
      </c>
      <c r="BA694" t="s">
        <v>167</v>
      </c>
      <c r="BB694" t="s">
        <v>168</v>
      </c>
      <c r="BD694">
        <f t="shared" si="62"/>
        <v>1</v>
      </c>
      <c r="BE694">
        <f t="shared" si="63"/>
        <v>1</v>
      </c>
      <c r="BF694">
        <f t="shared" si="64"/>
        <v>1</v>
      </c>
      <c r="BG694">
        <f t="shared" si="65"/>
        <v>1</v>
      </c>
      <c r="BH694">
        <f t="shared" si="66"/>
        <v>1</v>
      </c>
      <c r="BI694">
        <f t="shared" si="67"/>
        <v>1</v>
      </c>
    </row>
    <row r="695" spans="10:61" x14ac:dyDescent="0.3">
      <c r="J695" t="s">
        <v>158</v>
      </c>
      <c r="K695" s="17" t="s">
        <v>155</v>
      </c>
      <c r="L695" s="17" t="s">
        <v>155</v>
      </c>
      <c r="M695" s="17" t="s">
        <v>155</v>
      </c>
      <c r="N695" s="17" t="s">
        <v>155</v>
      </c>
      <c r="O695" s="17" t="s">
        <v>371</v>
      </c>
      <c r="AG695" t="s">
        <v>550</v>
      </c>
      <c r="AH695" s="17" t="s">
        <v>155</v>
      </c>
      <c r="AI695" s="17" t="s">
        <v>155</v>
      </c>
      <c r="AJ695" s="17" t="s">
        <v>155</v>
      </c>
      <c r="AK695" s="17" t="s">
        <v>155</v>
      </c>
      <c r="AL695" s="17" t="s">
        <v>371</v>
      </c>
      <c r="AW695" t="s">
        <v>550</v>
      </c>
      <c r="AX695" t="s">
        <v>155</v>
      </c>
      <c r="AY695" t="s">
        <v>155</v>
      </c>
      <c r="AZ695" t="s">
        <v>155</v>
      </c>
      <c r="BA695" t="s">
        <v>155</v>
      </c>
      <c r="BB695" t="s">
        <v>371</v>
      </c>
      <c r="BD695">
        <f t="shared" si="62"/>
        <v>1</v>
      </c>
      <c r="BE695">
        <f t="shared" si="63"/>
        <v>0</v>
      </c>
      <c r="BF695">
        <f t="shared" si="64"/>
        <v>0</v>
      </c>
      <c r="BG695">
        <f t="shared" si="65"/>
        <v>0</v>
      </c>
      <c r="BH695">
        <f t="shared" si="66"/>
        <v>0</v>
      </c>
      <c r="BI695">
        <f t="shared" si="67"/>
        <v>0</v>
      </c>
    </row>
    <row r="696" spans="10:61" x14ac:dyDescent="0.3">
      <c r="J696" t="s">
        <v>159</v>
      </c>
      <c r="K696" s="17" t="s">
        <v>155</v>
      </c>
      <c r="L696" s="17" t="s">
        <v>155</v>
      </c>
      <c r="M696" s="17" t="s">
        <v>371</v>
      </c>
      <c r="N696" s="17" t="s">
        <v>155</v>
      </c>
      <c r="O696" s="17" t="s">
        <v>371</v>
      </c>
      <c r="AG696" t="s">
        <v>158</v>
      </c>
      <c r="AH696" s="17" t="s">
        <v>155</v>
      </c>
      <c r="AI696" s="17" t="s">
        <v>155</v>
      </c>
      <c r="AJ696" s="17" t="s">
        <v>155</v>
      </c>
      <c r="AK696" s="17" t="s">
        <v>155</v>
      </c>
      <c r="AL696" s="17" t="s">
        <v>371</v>
      </c>
      <c r="AW696" t="s">
        <v>158</v>
      </c>
      <c r="AX696" t="s">
        <v>155</v>
      </c>
      <c r="AY696" t="s">
        <v>155</v>
      </c>
      <c r="AZ696" t="s">
        <v>155</v>
      </c>
      <c r="BA696" t="s">
        <v>155</v>
      </c>
      <c r="BB696" t="s">
        <v>371</v>
      </c>
      <c r="BD696">
        <f t="shared" si="62"/>
        <v>1</v>
      </c>
      <c r="BE696">
        <f t="shared" si="63"/>
        <v>0</v>
      </c>
      <c r="BF696">
        <f t="shared" si="64"/>
        <v>0</v>
      </c>
      <c r="BG696">
        <f t="shared" si="65"/>
        <v>1</v>
      </c>
      <c r="BH696">
        <f t="shared" si="66"/>
        <v>0</v>
      </c>
      <c r="BI696">
        <f t="shared" si="67"/>
        <v>0</v>
      </c>
    </row>
    <row r="697" spans="10:61" x14ac:dyDescent="0.3">
      <c r="J697" t="s">
        <v>160</v>
      </c>
      <c r="K697" s="17" t="s">
        <v>155</v>
      </c>
      <c r="L697" s="17" t="s">
        <v>155</v>
      </c>
      <c r="M697" s="17" t="s">
        <v>371</v>
      </c>
      <c r="N697" s="17" t="s">
        <v>155</v>
      </c>
      <c r="O697" s="17" t="s">
        <v>155</v>
      </c>
      <c r="AG697" t="s">
        <v>159</v>
      </c>
      <c r="AH697" s="17" t="s">
        <v>155</v>
      </c>
      <c r="AI697" s="17" t="s">
        <v>155</v>
      </c>
      <c r="AJ697" s="17" t="s">
        <v>371</v>
      </c>
      <c r="AK697" s="17" t="s">
        <v>155</v>
      </c>
      <c r="AL697" s="17" t="s">
        <v>371</v>
      </c>
      <c r="AW697" t="s">
        <v>159</v>
      </c>
      <c r="AX697" t="s">
        <v>155</v>
      </c>
      <c r="AY697" t="s">
        <v>155</v>
      </c>
      <c r="AZ697" t="s">
        <v>371</v>
      </c>
      <c r="BA697" t="s">
        <v>155</v>
      </c>
      <c r="BB697" t="s">
        <v>371</v>
      </c>
      <c r="BD697">
        <f t="shared" si="62"/>
        <v>1</v>
      </c>
      <c r="BE697">
        <f t="shared" si="63"/>
        <v>0</v>
      </c>
      <c r="BF697">
        <f t="shared" si="64"/>
        <v>0</v>
      </c>
      <c r="BG697">
        <f t="shared" si="65"/>
        <v>0</v>
      </c>
      <c r="BH697">
        <f t="shared" si="66"/>
        <v>0</v>
      </c>
      <c r="BI697">
        <f t="shared" si="67"/>
        <v>1</v>
      </c>
    </row>
    <row r="698" spans="10:61" x14ac:dyDescent="0.3">
      <c r="J698" t="s">
        <v>544</v>
      </c>
      <c r="K698" s="17" t="s">
        <v>533</v>
      </c>
      <c r="L698" s="17" t="s">
        <v>155</v>
      </c>
      <c r="M698" s="17" t="s">
        <v>155</v>
      </c>
      <c r="N698" s="17" t="s">
        <v>533</v>
      </c>
      <c r="O698" s="17" t="s">
        <v>155</v>
      </c>
      <c r="AG698" t="s">
        <v>160</v>
      </c>
      <c r="AH698" s="17" t="s">
        <v>155</v>
      </c>
      <c r="AI698" s="17" t="s">
        <v>155</v>
      </c>
      <c r="AJ698" s="17" t="s">
        <v>371</v>
      </c>
      <c r="AK698" s="17" t="s">
        <v>155</v>
      </c>
      <c r="AL698" s="17" t="s">
        <v>155</v>
      </c>
      <c r="AW698" t="s">
        <v>160</v>
      </c>
      <c r="AX698" t="s">
        <v>155</v>
      </c>
      <c r="AY698" t="s">
        <v>155</v>
      </c>
      <c r="AZ698" t="s">
        <v>371</v>
      </c>
      <c r="BA698" t="s">
        <v>155</v>
      </c>
      <c r="BB698" t="s">
        <v>155</v>
      </c>
      <c r="BD698">
        <f t="shared" si="62"/>
        <v>1</v>
      </c>
      <c r="BE698">
        <f t="shared" si="63"/>
        <v>1</v>
      </c>
      <c r="BF698">
        <f t="shared" si="64"/>
        <v>0</v>
      </c>
      <c r="BG698">
        <f t="shared" si="65"/>
        <v>1</v>
      </c>
      <c r="BH698">
        <f t="shared" si="66"/>
        <v>1</v>
      </c>
      <c r="BI698">
        <f t="shared" si="67"/>
        <v>0</v>
      </c>
    </row>
    <row r="699" spans="10:61" x14ac:dyDescent="0.3">
      <c r="J699" t="s">
        <v>545</v>
      </c>
      <c r="K699" s="17" t="s">
        <v>533</v>
      </c>
      <c r="L699" s="17" t="s">
        <v>155</v>
      </c>
      <c r="M699" s="17" t="s">
        <v>155</v>
      </c>
      <c r="N699" s="17" t="s">
        <v>533</v>
      </c>
      <c r="O699" s="17" t="s">
        <v>155</v>
      </c>
      <c r="AG699" t="s">
        <v>544</v>
      </c>
      <c r="AH699" s="17" t="s">
        <v>533</v>
      </c>
      <c r="AI699" s="17" t="s">
        <v>155</v>
      </c>
      <c r="AJ699" s="17" t="s">
        <v>155</v>
      </c>
      <c r="AK699" s="17" t="s">
        <v>533</v>
      </c>
      <c r="AL699" s="17" t="s">
        <v>155</v>
      </c>
      <c r="AW699" t="s">
        <v>544</v>
      </c>
      <c r="AX699" t="s">
        <v>533</v>
      </c>
      <c r="AY699" t="s">
        <v>155</v>
      </c>
      <c r="AZ699" t="s">
        <v>155</v>
      </c>
      <c r="BA699" t="s">
        <v>533</v>
      </c>
      <c r="BB699" t="s">
        <v>155</v>
      </c>
      <c r="BD699">
        <f t="shared" si="62"/>
        <v>1</v>
      </c>
      <c r="BE699">
        <f t="shared" si="63"/>
        <v>0</v>
      </c>
      <c r="BF699">
        <f t="shared" si="64"/>
        <v>0</v>
      </c>
      <c r="BG699">
        <f t="shared" si="65"/>
        <v>0</v>
      </c>
      <c r="BH699">
        <f t="shared" si="66"/>
        <v>0</v>
      </c>
      <c r="BI699">
        <f t="shared" si="67"/>
        <v>0</v>
      </c>
    </row>
    <row r="700" spans="10:61" x14ac:dyDescent="0.3">
      <c r="AG700" t="s">
        <v>545</v>
      </c>
      <c r="AH700" s="17" t="s">
        <v>533</v>
      </c>
      <c r="AI700" s="17" t="s">
        <v>155</v>
      </c>
      <c r="AJ700" s="17" t="s">
        <v>155</v>
      </c>
      <c r="AK700" s="17" t="s">
        <v>533</v>
      </c>
      <c r="AL700" s="17" t="s">
        <v>155</v>
      </c>
      <c r="AW700" t="s">
        <v>545</v>
      </c>
      <c r="AX700" t="s">
        <v>533</v>
      </c>
      <c r="AY700" t="s">
        <v>155</v>
      </c>
      <c r="AZ700" t="s">
        <v>155</v>
      </c>
      <c r="BA700" t="s">
        <v>533</v>
      </c>
      <c r="BB700" t="s">
        <v>155</v>
      </c>
      <c r="BD700">
        <f t="shared" si="62"/>
        <v>1</v>
      </c>
      <c r="BE700">
        <f t="shared" si="63"/>
        <v>1</v>
      </c>
      <c r="BF700">
        <f t="shared" si="64"/>
        <v>1</v>
      </c>
      <c r="BG700">
        <f t="shared" si="65"/>
        <v>1</v>
      </c>
      <c r="BH700">
        <f t="shared" si="66"/>
        <v>1</v>
      </c>
      <c r="BI700">
        <f t="shared" si="67"/>
        <v>1</v>
      </c>
    </row>
    <row r="701" spans="10:61" x14ac:dyDescent="0.3">
      <c r="J701" t="s">
        <v>844</v>
      </c>
      <c r="BD701">
        <f t="shared" si="62"/>
        <v>1</v>
      </c>
      <c r="BE701">
        <f t="shared" si="63"/>
        <v>0</v>
      </c>
      <c r="BF701">
        <f t="shared" si="64"/>
        <v>0</v>
      </c>
      <c r="BG701">
        <f t="shared" si="65"/>
        <v>0</v>
      </c>
      <c r="BH701">
        <f t="shared" si="66"/>
        <v>0</v>
      </c>
      <c r="BI701">
        <f t="shared" si="67"/>
        <v>0</v>
      </c>
    </row>
    <row r="702" spans="10:61" x14ac:dyDescent="0.3">
      <c r="K702" s="17" t="s">
        <v>164</v>
      </c>
      <c r="L702" s="17" t="s">
        <v>165</v>
      </c>
      <c r="M702" s="17" t="s">
        <v>166</v>
      </c>
      <c r="N702" s="17" t="s">
        <v>167</v>
      </c>
      <c r="O702" s="17" t="s">
        <v>168</v>
      </c>
      <c r="AG702" t="s">
        <v>844</v>
      </c>
      <c r="AW702" t="s">
        <v>844</v>
      </c>
      <c r="BD702">
        <f t="shared" si="62"/>
        <v>1</v>
      </c>
      <c r="BE702">
        <f t="shared" si="63"/>
        <v>1</v>
      </c>
      <c r="BF702">
        <f t="shared" si="64"/>
        <v>1</v>
      </c>
      <c r="BG702">
        <f t="shared" si="65"/>
        <v>1</v>
      </c>
      <c r="BH702">
        <f t="shared" si="66"/>
        <v>1</v>
      </c>
      <c r="BI702">
        <f t="shared" si="67"/>
        <v>1</v>
      </c>
    </row>
    <row r="703" spans="10:61" x14ac:dyDescent="0.3">
      <c r="J703" t="s">
        <v>544</v>
      </c>
      <c r="K703" s="17" t="s">
        <v>155</v>
      </c>
      <c r="L703" s="17" t="s">
        <v>92</v>
      </c>
      <c r="M703" s="17" t="s">
        <v>155</v>
      </c>
      <c r="N703" s="17" t="s">
        <v>155</v>
      </c>
      <c r="O703" s="17" t="s">
        <v>155</v>
      </c>
      <c r="AH703" s="17" t="s">
        <v>164</v>
      </c>
      <c r="AI703" s="17" t="s">
        <v>165</v>
      </c>
      <c r="AJ703" s="17" t="s">
        <v>166</v>
      </c>
      <c r="AK703" s="17" t="s">
        <v>167</v>
      </c>
      <c r="AL703" s="17" t="s">
        <v>168</v>
      </c>
      <c r="AX703" t="s">
        <v>164</v>
      </c>
      <c r="AY703" t="s">
        <v>165</v>
      </c>
      <c r="AZ703" t="s">
        <v>166</v>
      </c>
      <c r="BA703" t="s">
        <v>167</v>
      </c>
      <c r="BB703" t="s">
        <v>168</v>
      </c>
      <c r="BD703">
        <f t="shared" si="62"/>
        <v>1</v>
      </c>
      <c r="BE703">
        <f t="shared" si="63"/>
        <v>1</v>
      </c>
      <c r="BF703">
        <f t="shared" si="64"/>
        <v>1</v>
      </c>
      <c r="BG703">
        <f t="shared" si="65"/>
        <v>1</v>
      </c>
      <c r="BH703">
        <f t="shared" si="66"/>
        <v>1</v>
      </c>
      <c r="BI703">
        <f t="shared" si="67"/>
        <v>1</v>
      </c>
    </row>
    <row r="704" spans="10:61" x14ac:dyDescent="0.3">
      <c r="J704" t="s">
        <v>545</v>
      </c>
      <c r="K704" s="17" t="s">
        <v>155</v>
      </c>
      <c r="L704" s="17" t="s">
        <v>92</v>
      </c>
      <c r="M704" s="17" t="s">
        <v>155</v>
      </c>
      <c r="N704" s="17" t="s">
        <v>155</v>
      </c>
      <c r="O704" s="17" t="s">
        <v>155</v>
      </c>
      <c r="AG704" t="s">
        <v>544</v>
      </c>
      <c r="AH704" s="17" t="s">
        <v>155</v>
      </c>
      <c r="AI704" s="17" t="s">
        <v>92</v>
      </c>
      <c r="AJ704" s="17" t="s">
        <v>155</v>
      </c>
      <c r="AK704" s="17" t="s">
        <v>155</v>
      </c>
      <c r="AL704" s="17" t="s">
        <v>155</v>
      </c>
      <c r="AW704" t="s">
        <v>544</v>
      </c>
      <c r="AX704" t="s">
        <v>155</v>
      </c>
      <c r="AY704" t="s">
        <v>92</v>
      </c>
      <c r="AZ704" t="s">
        <v>155</v>
      </c>
      <c r="BA704" t="s">
        <v>155</v>
      </c>
      <c r="BB704" t="s">
        <v>155</v>
      </c>
      <c r="BD704">
        <f t="shared" si="62"/>
        <v>1</v>
      </c>
      <c r="BE704">
        <f t="shared" si="63"/>
        <v>0</v>
      </c>
      <c r="BF704">
        <f t="shared" si="64"/>
        <v>0</v>
      </c>
      <c r="BG704">
        <f t="shared" si="65"/>
        <v>0</v>
      </c>
      <c r="BH704">
        <f t="shared" si="66"/>
        <v>0</v>
      </c>
      <c r="BI704">
        <f t="shared" si="67"/>
        <v>0</v>
      </c>
    </row>
    <row r="705" spans="10:61" x14ac:dyDescent="0.3">
      <c r="J705" t="s">
        <v>546</v>
      </c>
      <c r="K705" s="17" t="s">
        <v>155</v>
      </c>
      <c r="L705" s="17" t="s">
        <v>92</v>
      </c>
      <c r="M705" s="17" t="s">
        <v>155</v>
      </c>
      <c r="N705" s="17" t="s">
        <v>155</v>
      </c>
      <c r="O705" s="17" t="s">
        <v>155</v>
      </c>
      <c r="AG705" t="s">
        <v>545</v>
      </c>
      <c r="AH705" s="17" t="s">
        <v>155</v>
      </c>
      <c r="AI705" s="17" t="s">
        <v>92</v>
      </c>
      <c r="AJ705" s="17" t="s">
        <v>155</v>
      </c>
      <c r="AK705" s="17" t="s">
        <v>155</v>
      </c>
      <c r="AL705" s="17" t="s">
        <v>155</v>
      </c>
      <c r="AW705" t="s">
        <v>545</v>
      </c>
      <c r="AX705" t="s">
        <v>155</v>
      </c>
      <c r="AY705" t="s">
        <v>92</v>
      </c>
      <c r="AZ705" t="s">
        <v>155</v>
      </c>
      <c r="BA705" t="s">
        <v>155</v>
      </c>
      <c r="BB705" t="s">
        <v>155</v>
      </c>
      <c r="BD705">
        <f t="shared" si="62"/>
        <v>1</v>
      </c>
      <c r="BE705">
        <f t="shared" si="63"/>
        <v>0</v>
      </c>
      <c r="BF705">
        <f t="shared" si="64"/>
        <v>0</v>
      </c>
      <c r="BG705">
        <f t="shared" si="65"/>
        <v>0</v>
      </c>
      <c r="BH705">
        <f t="shared" si="66"/>
        <v>0</v>
      </c>
      <c r="BI705">
        <f t="shared" si="67"/>
        <v>0</v>
      </c>
    </row>
    <row r="706" spans="10:61" x14ac:dyDescent="0.3">
      <c r="AG706" t="s">
        <v>546</v>
      </c>
      <c r="AH706" s="17" t="s">
        <v>155</v>
      </c>
      <c r="AI706" s="17" t="s">
        <v>92</v>
      </c>
      <c r="AJ706" s="17" t="s">
        <v>155</v>
      </c>
      <c r="AK706" s="17" t="s">
        <v>155</v>
      </c>
      <c r="AL706" s="17" t="s">
        <v>155</v>
      </c>
      <c r="AW706" t="s">
        <v>546</v>
      </c>
      <c r="AX706" t="s">
        <v>155</v>
      </c>
      <c r="AY706" t="s">
        <v>92</v>
      </c>
      <c r="AZ706" t="s">
        <v>155</v>
      </c>
      <c r="BA706" t="s">
        <v>155</v>
      </c>
      <c r="BB706" t="s">
        <v>155</v>
      </c>
      <c r="BD706">
        <f t="shared" si="62"/>
        <v>1</v>
      </c>
      <c r="BE706">
        <f t="shared" si="63"/>
        <v>1</v>
      </c>
      <c r="BF706">
        <f t="shared" si="64"/>
        <v>1</v>
      </c>
      <c r="BG706">
        <f t="shared" si="65"/>
        <v>1</v>
      </c>
      <c r="BH706">
        <f t="shared" si="66"/>
        <v>1</v>
      </c>
      <c r="BI706">
        <f t="shared" si="67"/>
        <v>1</v>
      </c>
    </row>
    <row r="707" spans="10:61" x14ac:dyDescent="0.3">
      <c r="J707" t="s">
        <v>718</v>
      </c>
      <c r="BD707">
        <f t="shared" si="62"/>
        <v>1</v>
      </c>
      <c r="BE707">
        <f t="shared" si="63"/>
        <v>0</v>
      </c>
      <c r="BF707">
        <f t="shared" si="64"/>
        <v>0</v>
      </c>
      <c r="BG707">
        <f t="shared" si="65"/>
        <v>0</v>
      </c>
      <c r="BH707">
        <f t="shared" si="66"/>
        <v>0</v>
      </c>
      <c r="BI707">
        <f t="shared" si="67"/>
        <v>0</v>
      </c>
    </row>
    <row r="708" spans="10:61" x14ac:dyDescent="0.3">
      <c r="K708" s="17" t="s">
        <v>164</v>
      </c>
      <c r="L708" s="17" t="s">
        <v>165</v>
      </c>
      <c r="M708" s="17" t="s">
        <v>166</v>
      </c>
      <c r="N708" s="17" t="s">
        <v>167</v>
      </c>
      <c r="O708" s="17" t="s">
        <v>168</v>
      </c>
      <c r="AG708" t="s">
        <v>718</v>
      </c>
      <c r="AW708" t="s">
        <v>718</v>
      </c>
      <c r="BD708">
        <f t="shared" si="62"/>
        <v>1</v>
      </c>
      <c r="BE708">
        <f t="shared" si="63"/>
        <v>1</v>
      </c>
      <c r="BF708">
        <f t="shared" si="64"/>
        <v>1</v>
      </c>
      <c r="BG708">
        <f t="shared" si="65"/>
        <v>1</v>
      </c>
      <c r="BH708">
        <f t="shared" si="66"/>
        <v>1</v>
      </c>
      <c r="BI708">
        <f t="shared" si="67"/>
        <v>1</v>
      </c>
    </row>
    <row r="709" spans="10:61" x14ac:dyDescent="0.3">
      <c r="J709" t="s">
        <v>550</v>
      </c>
      <c r="K709" s="17" t="s">
        <v>6</v>
      </c>
      <c r="L709" s="17" t="s">
        <v>155</v>
      </c>
      <c r="M709" s="17" t="s">
        <v>155</v>
      </c>
      <c r="N709" s="17" t="s">
        <v>6</v>
      </c>
      <c r="O709" s="17" t="s">
        <v>155</v>
      </c>
      <c r="AH709" s="17" t="s">
        <v>164</v>
      </c>
      <c r="AI709" s="17" t="s">
        <v>165</v>
      </c>
      <c r="AJ709" s="17" t="s">
        <v>166</v>
      </c>
      <c r="AK709" s="17" t="s">
        <v>167</v>
      </c>
      <c r="AL709" s="17" t="s">
        <v>168</v>
      </c>
      <c r="AX709" t="s">
        <v>164</v>
      </c>
      <c r="AY709" t="s">
        <v>165</v>
      </c>
      <c r="AZ709" t="s">
        <v>166</v>
      </c>
      <c r="BA709" t="s">
        <v>167</v>
      </c>
      <c r="BB709" t="s">
        <v>168</v>
      </c>
      <c r="BD709">
        <f t="shared" si="62"/>
        <v>1</v>
      </c>
      <c r="BE709">
        <f t="shared" si="63"/>
        <v>1</v>
      </c>
      <c r="BF709">
        <f t="shared" si="64"/>
        <v>1</v>
      </c>
      <c r="BG709">
        <f t="shared" si="65"/>
        <v>1</v>
      </c>
      <c r="BH709">
        <f t="shared" si="66"/>
        <v>1</v>
      </c>
      <c r="BI709">
        <f t="shared" si="67"/>
        <v>1</v>
      </c>
    </row>
    <row r="710" spans="10:61" x14ac:dyDescent="0.3">
      <c r="J710" t="s">
        <v>158</v>
      </c>
      <c r="K710" s="17" t="s">
        <v>6</v>
      </c>
      <c r="L710" s="17" t="s">
        <v>155</v>
      </c>
      <c r="M710" s="17" t="s">
        <v>155</v>
      </c>
      <c r="N710" s="17" t="s">
        <v>6</v>
      </c>
      <c r="O710" s="17" t="s">
        <v>322</v>
      </c>
      <c r="AG710" t="s">
        <v>550</v>
      </c>
      <c r="AH710" s="17" t="s">
        <v>6</v>
      </c>
      <c r="AI710" s="17" t="s">
        <v>155</v>
      </c>
      <c r="AJ710" s="17" t="s">
        <v>155</v>
      </c>
      <c r="AK710" s="17" t="s">
        <v>6</v>
      </c>
      <c r="AL710" s="17" t="s">
        <v>155</v>
      </c>
      <c r="AW710" t="s">
        <v>550</v>
      </c>
      <c r="AX710" t="s">
        <v>6</v>
      </c>
      <c r="AY710" t="s">
        <v>155</v>
      </c>
      <c r="AZ710" t="s">
        <v>155</v>
      </c>
      <c r="BA710" t="s">
        <v>6</v>
      </c>
      <c r="BB710" t="s">
        <v>155</v>
      </c>
      <c r="BD710">
        <f t="shared" si="62"/>
        <v>1</v>
      </c>
      <c r="BE710">
        <f t="shared" si="63"/>
        <v>0</v>
      </c>
      <c r="BF710">
        <f t="shared" si="64"/>
        <v>0</v>
      </c>
      <c r="BG710">
        <f t="shared" si="65"/>
        <v>0</v>
      </c>
      <c r="BH710">
        <f t="shared" si="66"/>
        <v>0</v>
      </c>
      <c r="BI710">
        <f t="shared" si="67"/>
        <v>1</v>
      </c>
    </row>
    <row r="711" spans="10:61" x14ac:dyDescent="0.3">
      <c r="J711" t="s">
        <v>159</v>
      </c>
      <c r="K711" s="17" t="s">
        <v>155</v>
      </c>
      <c r="L711" s="17" t="s">
        <v>322</v>
      </c>
      <c r="M711" s="17" t="s">
        <v>155</v>
      </c>
      <c r="N711" s="17" t="s">
        <v>6</v>
      </c>
      <c r="O711" s="17" t="s">
        <v>322</v>
      </c>
      <c r="AG711" t="s">
        <v>158</v>
      </c>
      <c r="AH711" s="17" t="s">
        <v>6</v>
      </c>
      <c r="AI711" s="17" t="s">
        <v>155</v>
      </c>
      <c r="AJ711" s="17" t="s">
        <v>155</v>
      </c>
      <c r="AK711" s="17" t="s">
        <v>6</v>
      </c>
      <c r="AL711" s="17" t="s">
        <v>322</v>
      </c>
      <c r="AW711" t="s">
        <v>158</v>
      </c>
      <c r="AX711" t="s">
        <v>6</v>
      </c>
      <c r="AY711" t="s">
        <v>155</v>
      </c>
      <c r="AZ711" t="s">
        <v>155</v>
      </c>
      <c r="BA711" t="s">
        <v>6</v>
      </c>
      <c r="BB711" t="s">
        <v>322</v>
      </c>
      <c r="BD711">
        <f t="shared" si="62"/>
        <v>1</v>
      </c>
      <c r="BE711">
        <f t="shared" si="63"/>
        <v>1</v>
      </c>
      <c r="BF711">
        <f t="shared" si="64"/>
        <v>1</v>
      </c>
      <c r="BG711">
        <f t="shared" si="65"/>
        <v>0</v>
      </c>
      <c r="BH711">
        <f t="shared" si="66"/>
        <v>0</v>
      </c>
      <c r="BI711">
        <f t="shared" si="67"/>
        <v>0</v>
      </c>
    </row>
    <row r="712" spans="10:61" x14ac:dyDescent="0.3">
      <c r="J712" t="s">
        <v>160</v>
      </c>
      <c r="K712" s="17" t="s">
        <v>155</v>
      </c>
      <c r="L712" s="17" t="s">
        <v>322</v>
      </c>
      <c r="M712" s="17" t="s">
        <v>155</v>
      </c>
      <c r="N712" s="17" t="s">
        <v>155</v>
      </c>
      <c r="O712" s="17" t="s">
        <v>322</v>
      </c>
      <c r="AG712" t="s">
        <v>159</v>
      </c>
      <c r="AH712" s="17" t="s">
        <v>6</v>
      </c>
      <c r="AI712" s="17" t="s">
        <v>322</v>
      </c>
      <c r="AJ712" s="17" t="s">
        <v>155</v>
      </c>
      <c r="AK712" s="17" t="s">
        <v>155</v>
      </c>
      <c r="AL712" s="17" t="s">
        <v>322</v>
      </c>
      <c r="AW712" t="s">
        <v>159</v>
      </c>
      <c r="AX712" t="s">
        <v>155</v>
      </c>
      <c r="AY712" t="s">
        <v>322</v>
      </c>
      <c r="AZ712" t="s">
        <v>155</v>
      </c>
      <c r="BA712" t="s">
        <v>6</v>
      </c>
      <c r="BB712" t="s">
        <v>322</v>
      </c>
      <c r="BD712">
        <f t="shared" si="62"/>
        <v>1</v>
      </c>
      <c r="BE712">
        <f t="shared" si="63"/>
        <v>0</v>
      </c>
      <c r="BF712">
        <f t="shared" si="64"/>
        <v>0</v>
      </c>
      <c r="BG712">
        <f t="shared" si="65"/>
        <v>0</v>
      </c>
      <c r="BH712">
        <f t="shared" si="66"/>
        <v>1</v>
      </c>
      <c r="BI712">
        <f t="shared" si="67"/>
        <v>0</v>
      </c>
    </row>
    <row r="713" spans="10:61" x14ac:dyDescent="0.3">
      <c r="AG713" t="s">
        <v>160</v>
      </c>
      <c r="AH713" s="17" t="s">
        <v>155</v>
      </c>
      <c r="AI713" s="17" t="s">
        <v>322</v>
      </c>
      <c r="AJ713" s="17" t="s">
        <v>155</v>
      </c>
      <c r="AK713" s="17" t="s">
        <v>155</v>
      </c>
      <c r="AL713" s="17" t="s">
        <v>322</v>
      </c>
      <c r="AW713" t="s">
        <v>160</v>
      </c>
      <c r="AX713" t="s">
        <v>155</v>
      </c>
      <c r="AY713" t="s">
        <v>322</v>
      </c>
      <c r="AZ713" t="s">
        <v>155</v>
      </c>
      <c r="BA713" t="s">
        <v>155</v>
      </c>
      <c r="BB713" t="s">
        <v>322</v>
      </c>
      <c r="BD713">
        <f t="shared" ref="BD713:BD730" si="68">IF(J713=AW713,0,1)</f>
        <v>1</v>
      </c>
      <c r="BE713">
        <f t="shared" ref="BE713:BE730" si="69">IF(K713=AX713,0,1)</f>
        <v>1</v>
      </c>
      <c r="BF713">
        <f t="shared" ref="BF713:BF730" si="70">IF(L713=AY713,0,1)</f>
        <v>1</v>
      </c>
      <c r="BG713">
        <f t="shared" ref="BG713:BG730" si="71">IF(M713=AZ713,0,1)</f>
        <v>1</v>
      </c>
      <c r="BH713">
        <f t="shared" ref="BH713:BH730" si="72">IF(N713=BA713,0,1)</f>
        <v>1</v>
      </c>
      <c r="BI713">
        <f t="shared" ref="BI713:BI730" si="73">IF(O713=BB713,0,1)</f>
        <v>1</v>
      </c>
    </row>
    <row r="714" spans="10:61" x14ac:dyDescent="0.3">
      <c r="J714" t="s">
        <v>845</v>
      </c>
      <c r="BD714">
        <f t="shared" si="68"/>
        <v>1</v>
      </c>
      <c r="BE714">
        <f t="shared" si="69"/>
        <v>0</v>
      </c>
      <c r="BF714">
        <f t="shared" si="70"/>
        <v>0</v>
      </c>
      <c r="BG714">
        <f t="shared" si="71"/>
        <v>0</v>
      </c>
      <c r="BH714">
        <f t="shared" si="72"/>
        <v>0</v>
      </c>
      <c r="BI714">
        <f t="shared" si="73"/>
        <v>0</v>
      </c>
    </row>
    <row r="715" spans="10:61" x14ac:dyDescent="0.3">
      <c r="K715" s="17" t="s">
        <v>164</v>
      </c>
      <c r="L715" s="17" t="s">
        <v>165</v>
      </c>
      <c r="M715" s="17" t="s">
        <v>166</v>
      </c>
      <c r="N715" s="17" t="s">
        <v>167</v>
      </c>
      <c r="O715" s="17" t="s">
        <v>168</v>
      </c>
      <c r="AG715" t="s">
        <v>845</v>
      </c>
      <c r="AW715" t="s">
        <v>845</v>
      </c>
      <c r="BD715">
        <f t="shared" si="68"/>
        <v>1</v>
      </c>
      <c r="BE715">
        <f t="shared" si="69"/>
        <v>1</v>
      </c>
      <c r="BF715">
        <f t="shared" si="70"/>
        <v>1</v>
      </c>
      <c r="BG715">
        <f t="shared" si="71"/>
        <v>1</v>
      </c>
      <c r="BH715">
        <f t="shared" si="72"/>
        <v>1</v>
      </c>
      <c r="BI715">
        <f t="shared" si="73"/>
        <v>1</v>
      </c>
    </row>
    <row r="716" spans="10:61" x14ac:dyDescent="0.3">
      <c r="J716" t="s">
        <v>543</v>
      </c>
      <c r="K716" s="17" t="s">
        <v>155</v>
      </c>
      <c r="L716" s="17" t="s">
        <v>155</v>
      </c>
      <c r="M716" s="17" t="s">
        <v>415</v>
      </c>
      <c r="N716" s="17" t="s">
        <v>155</v>
      </c>
      <c r="O716" s="17" t="s">
        <v>415</v>
      </c>
      <c r="AH716" s="17" t="s">
        <v>164</v>
      </c>
      <c r="AI716" s="17" t="s">
        <v>165</v>
      </c>
      <c r="AJ716" s="17" t="s">
        <v>166</v>
      </c>
      <c r="AK716" s="17" t="s">
        <v>167</v>
      </c>
      <c r="AL716" s="17" t="s">
        <v>168</v>
      </c>
      <c r="AX716" t="s">
        <v>164</v>
      </c>
      <c r="AY716" t="s">
        <v>165</v>
      </c>
      <c r="AZ716" t="s">
        <v>166</v>
      </c>
      <c r="BA716" t="s">
        <v>167</v>
      </c>
      <c r="BB716" t="s">
        <v>168</v>
      </c>
      <c r="BD716">
        <f t="shared" si="68"/>
        <v>1</v>
      </c>
      <c r="BE716">
        <f t="shared" si="69"/>
        <v>1</v>
      </c>
      <c r="BF716">
        <f t="shared" si="70"/>
        <v>1</v>
      </c>
      <c r="BG716">
        <f t="shared" si="71"/>
        <v>1</v>
      </c>
      <c r="BH716">
        <f t="shared" si="72"/>
        <v>1</v>
      </c>
      <c r="BI716">
        <f t="shared" si="73"/>
        <v>1</v>
      </c>
    </row>
    <row r="717" spans="10:61" x14ac:dyDescent="0.3">
      <c r="J717" t="s">
        <v>544</v>
      </c>
      <c r="K717" s="17" t="s">
        <v>155</v>
      </c>
      <c r="L717" s="17" t="s">
        <v>155</v>
      </c>
      <c r="M717" s="17" t="s">
        <v>415</v>
      </c>
      <c r="N717" s="17" t="s">
        <v>155</v>
      </c>
      <c r="O717" s="17" t="s">
        <v>415</v>
      </c>
      <c r="AG717" t="s">
        <v>543</v>
      </c>
      <c r="AH717" s="17" t="s">
        <v>155</v>
      </c>
      <c r="AI717" s="17" t="s">
        <v>155</v>
      </c>
      <c r="AJ717" s="17" t="s">
        <v>415</v>
      </c>
      <c r="AK717" s="17" t="s">
        <v>155</v>
      </c>
      <c r="AL717" s="17" t="s">
        <v>415</v>
      </c>
      <c r="AW717" t="s">
        <v>543</v>
      </c>
      <c r="AX717" t="s">
        <v>155</v>
      </c>
      <c r="AY717" t="s">
        <v>155</v>
      </c>
      <c r="AZ717" t="s">
        <v>415</v>
      </c>
      <c r="BA717" t="s">
        <v>155</v>
      </c>
      <c r="BB717" t="s">
        <v>415</v>
      </c>
      <c r="BD717">
        <f t="shared" si="68"/>
        <v>1</v>
      </c>
      <c r="BE717">
        <f t="shared" si="69"/>
        <v>0</v>
      </c>
      <c r="BF717">
        <f t="shared" si="70"/>
        <v>0</v>
      </c>
      <c r="BG717">
        <f t="shared" si="71"/>
        <v>0</v>
      </c>
      <c r="BH717">
        <f t="shared" si="72"/>
        <v>0</v>
      </c>
      <c r="BI717">
        <f t="shared" si="73"/>
        <v>0</v>
      </c>
    </row>
    <row r="718" spans="10:61" x14ac:dyDescent="0.3">
      <c r="J718" t="s">
        <v>545</v>
      </c>
      <c r="K718" s="17" t="s">
        <v>155</v>
      </c>
      <c r="L718" s="17" t="s">
        <v>155</v>
      </c>
      <c r="M718" s="17" t="s">
        <v>155</v>
      </c>
      <c r="N718" s="17" t="s">
        <v>155</v>
      </c>
      <c r="O718" s="17" t="s">
        <v>415</v>
      </c>
      <c r="AG718" t="s">
        <v>544</v>
      </c>
      <c r="AH718" s="17" t="s">
        <v>155</v>
      </c>
      <c r="AI718" s="17" t="s">
        <v>155</v>
      </c>
      <c r="AJ718" s="17" t="s">
        <v>415</v>
      </c>
      <c r="AK718" s="17" t="s">
        <v>155</v>
      </c>
      <c r="AL718" s="17" t="s">
        <v>415</v>
      </c>
      <c r="AW718" t="s">
        <v>544</v>
      </c>
      <c r="AX718" t="s">
        <v>155</v>
      </c>
      <c r="AY718" t="s">
        <v>155</v>
      </c>
      <c r="AZ718" t="s">
        <v>415</v>
      </c>
      <c r="BA718" t="s">
        <v>155</v>
      </c>
      <c r="BB718" t="s">
        <v>415</v>
      </c>
      <c r="BD718">
        <f t="shared" si="68"/>
        <v>1</v>
      </c>
      <c r="BE718">
        <f t="shared" si="69"/>
        <v>0</v>
      </c>
      <c r="BF718">
        <f t="shared" si="70"/>
        <v>0</v>
      </c>
      <c r="BG718">
        <f t="shared" si="71"/>
        <v>1</v>
      </c>
      <c r="BH718">
        <f t="shared" si="72"/>
        <v>0</v>
      </c>
      <c r="BI718">
        <f t="shared" si="73"/>
        <v>0</v>
      </c>
    </row>
    <row r="719" spans="10:61" x14ac:dyDescent="0.3">
      <c r="AG719" t="s">
        <v>545</v>
      </c>
      <c r="AH719" s="17" t="s">
        <v>155</v>
      </c>
      <c r="AI719" s="17" t="s">
        <v>155</v>
      </c>
      <c r="AJ719" s="17" t="s">
        <v>415</v>
      </c>
      <c r="AK719" s="17" t="s">
        <v>155</v>
      </c>
      <c r="AL719" s="17" t="s">
        <v>155</v>
      </c>
      <c r="AW719" t="s">
        <v>545</v>
      </c>
      <c r="AX719" t="s">
        <v>155</v>
      </c>
      <c r="AY719" t="s">
        <v>155</v>
      </c>
      <c r="AZ719" t="s">
        <v>155</v>
      </c>
      <c r="BA719" t="s">
        <v>155</v>
      </c>
      <c r="BB719" t="s">
        <v>415</v>
      </c>
      <c r="BD719">
        <f t="shared" si="68"/>
        <v>1</v>
      </c>
      <c r="BE719">
        <f t="shared" si="69"/>
        <v>1</v>
      </c>
      <c r="BF719">
        <f t="shared" si="70"/>
        <v>1</v>
      </c>
      <c r="BG719">
        <f t="shared" si="71"/>
        <v>1</v>
      </c>
      <c r="BH719">
        <f t="shared" si="72"/>
        <v>1</v>
      </c>
      <c r="BI719">
        <f t="shared" si="73"/>
        <v>1</v>
      </c>
    </row>
    <row r="720" spans="10:61" x14ac:dyDescent="0.3">
      <c r="J720" t="s">
        <v>721</v>
      </c>
      <c r="BD720">
        <f t="shared" si="68"/>
        <v>1</v>
      </c>
      <c r="BE720">
        <f t="shared" si="69"/>
        <v>0</v>
      </c>
      <c r="BF720">
        <f t="shared" si="70"/>
        <v>0</v>
      </c>
      <c r="BG720">
        <f t="shared" si="71"/>
        <v>0</v>
      </c>
      <c r="BH720">
        <f t="shared" si="72"/>
        <v>0</v>
      </c>
      <c r="BI720">
        <f t="shared" si="73"/>
        <v>0</v>
      </c>
    </row>
    <row r="721" spans="10:61" x14ac:dyDescent="0.3">
      <c r="K721" s="17" t="s">
        <v>164</v>
      </c>
      <c r="L721" s="17" t="s">
        <v>165</v>
      </c>
      <c r="M721" s="17" t="s">
        <v>166</v>
      </c>
      <c r="N721" s="17" t="s">
        <v>167</v>
      </c>
      <c r="O721" s="17" t="s">
        <v>168</v>
      </c>
      <c r="AG721" t="s">
        <v>721</v>
      </c>
      <c r="AW721" t="s">
        <v>721</v>
      </c>
      <c r="BD721">
        <f t="shared" si="68"/>
        <v>1</v>
      </c>
      <c r="BE721">
        <f t="shared" si="69"/>
        <v>1</v>
      </c>
      <c r="BF721">
        <f t="shared" si="70"/>
        <v>1</v>
      </c>
      <c r="BG721">
        <f t="shared" si="71"/>
        <v>1</v>
      </c>
      <c r="BH721">
        <f t="shared" si="72"/>
        <v>1</v>
      </c>
      <c r="BI721">
        <f t="shared" si="73"/>
        <v>1</v>
      </c>
    </row>
    <row r="722" spans="10:61" x14ac:dyDescent="0.3">
      <c r="J722" t="s">
        <v>548</v>
      </c>
      <c r="K722" s="17" t="s">
        <v>155</v>
      </c>
      <c r="L722" s="17" t="s">
        <v>312</v>
      </c>
      <c r="M722" s="17" t="s">
        <v>155</v>
      </c>
      <c r="N722" s="17" t="s">
        <v>155</v>
      </c>
      <c r="O722" s="17" t="s">
        <v>312</v>
      </c>
      <c r="AH722" s="17" t="s">
        <v>164</v>
      </c>
      <c r="AI722" s="17" t="s">
        <v>165</v>
      </c>
      <c r="AJ722" s="17" t="s">
        <v>166</v>
      </c>
      <c r="AK722" s="17" t="s">
        <v>167</v>
      </c>
      <c r="AL722" s="17" t="s">
        <v>168</v>
      </c>
      <c r="AX722" t="s">
        <v>164</v>
      </c>
      <c r="AY722" t="s">
        <v>165</v>
      </c>
      <c r="AZ722" t="s">
        <v>166</v>
      </c>
      <c r="BA722" t="s">
        <v>167</v>
      </c>
      <c r="BB722" t="s">
        <v>168</v>
      </c>
      <c r="BD722">
        <f t="shared" si="68"/>
        <v>1</v>
      </c>
      <c r="BE722">
        <f t="shared" si="69"/>
        <v>1</v>
      </c>
      <c r="BF722">
        <f t="shared" si="70"/>
        <v>1</v>
      </c>
      <c r="BG722">
        <f t="shared" si="71"/>
        <v>1</v>
      </c>
      <c r="BH722">
        <f t="shared" si="72"/>
        <v>1</v>
      </c>
      <c r="BI722">
        <f t="shared" si="73"/>
        <v>1</v>
      </c>
    </row>
    <row r="723" spans="10:61" x14ac:dyDescent="0.3">
      <c r="J723" t="s">
        <v>549</v>
      </c>
      <c r="K723" s="17" t="s">
        <v>155</v>
      </c>
      <c r="L723" s="17" t="s">
        <v>312</v>
      </c>
      <c r="M723" s="17" t="s">
        <v>155</v>
      </c>
      <c r="N723" s="17" t="s">
        <v>155</v>
      </c>
      <c r="O723" s="17" t="s">
        <v>312</v>
      </c>
      <c r="AG723" t="s">
        <v>548</v>
      </c>
      <c r="AH723" s="17" t="s">
        <v>155</v>
      </c>
      <c r="AI723" s="17" t="s">
        <v>155</v>
      </c>
      <c r="AJ723" s="17" t="s">
        <v>312</v>
      </c>
      <c r="AK723" s="17" t="s">
        <v>155</v>
      </c>
      <c r="AL723" s="17" t="s">
        <v>312</v>
      </c>
      <c r="AW723" t="s">
        <v>548</v>
      </c>
      <c r="AX723" t="s">
        <v>155</v>
      </c>
      <c r="AY723" t="s">
        <v>312</v>
      </c>
      <c r="AZ723" t="s">
        <v>155</v>
      </c>
      <c r="BA723" t="s">
        <v>155</v>
      </c>
      <c r="BB723" t="s">
        <v>312</v>
      </c>
      <c r="BD723">
        <f t="shared" si="68"/>
        <v>1</v>
      </c>
      <c r="BE723">
        <f t="shared" si="69"/>
        <v>0</v>
      </c>
      <c r="BF723">
        <f t="shared" si="70"/>
        <v>0</v>
      </c>
      <c r="BG723">
        <f t="shared" si="71"/>
        <v>0</v>
      </c>
      <c r="BH723">
        <f t="shared" si="72"/>
        <v>0</v>
      </c>
      <c r="BI723">
        <f t="shared" si="73"/>
        <v>0</v>
      </c>
    </row>
    <row r="724" spans="10:61" x14ac:dyDescent="0.3">
      <c r="J724" t="s">
        <v>550</v>
      </c>
      <c r="K724" s="17" t="s">
        <v>155</v>
      </c>
      <c r="L724" s="17" t="s">
        <v>312</v>
      </c>
      <c r="M724" s="17" t="s">
        <v>155</v>
      </c>
      <c r="N724" s="17" t="s">
        <v>155</v>
      </c>
      <c r="O724" s="17" t="s">
        <v>155</v>
      </c>
      <c r="AG724" t="s">
        <v>549</v>
      </c>
      <c r="AH724" s="17" t="s">
        <v>155</v>
      </c>
      <c r="AI724" s="17" t="s">
        <v>155</v>
      </c>
      <c r="AJ724" s="17" t="s">
        <v>312</v>
      </c>
      <c r="AK724" s="17" t="s">
        <v>155</v>
      </c>
      <c r="AL724" s="17" t="s">
        <v>312</v>
      </c>
      <c r="AW724" t="s">
        <v>549</v>
      </c>
      <c r="AX724" t="s">
        <v>155</v>
      </c>
      <c r="AY724" t="s">
        <v>312</v>
      </c>
      <c r="AZ724" t="s">
        <v>155</v>
      </c>
      <c r="BA724" t="s">
        <v>155</v>
      </c>
      <c r="BB724" t="s">
        <v>312</v>
      </c>
      <c r="BD724">
        <f t="shared" si="68"/>
        <v>1</v>
      </c>
      <c r="BE724">
        <f t="shared" si="69"/>
        <v>0</v>
      </c>
      <c r="BF724">
        <f t="shared" si="70"/>
        <v>0</v>
      </c>
      <c r="BG724">
        <f t="shared" si="71"/>
        <v>0</v>
      </c>
      <c r="BH724">
        <f t="shared" si="72"/>
        <v>0</v>
      </c>
      <c r="BI724">
        <f t="shared" si="73"/>
        <v>1</v>
      </c>
    </row>
    <row r="725" spans="10:61" x14ac:dyDescent="0.3">
      <c r="AG725" t="s">
        <v>550</v>
      </c>
      <c r="AH725" s="17" t="s">
        <v>155</v>
      </c>
      <c r="AI725" s="17" t="s">
        <v>155</v>
      </c>
      <c r="AJ725" s="17" t="s">
        <v>312</v>
      </c>
      <c r="AK725" s="17" t="s">
        <v>155</v>
      </c>
      <c r="AL725" s="17" t="s">
        <v>155</v>
      </c>
      <c r="AW725" t="s">
        <v>550</v>
      </c>
      <c r="AX725" t="s">
        <v>155</v>
      </c>
      <c r="AY725" t="s">
        <v>312</v>
      </c>
      <c r="AZ725" t="s">
        <v>155</v>
      </c>
      <c r="BA725" t="s">
        <v>155</v>
      </c>
      <c r="BB725" t="s">
        <v>155</v>
      </c>
      <c r="BD725">
        <f t="shared" si="68"/>
        <v>1</v>
      </c>
      <c r="BE725">
        <f t="shared" si="69"/>
        <v>1</v>
      </c>
      <c r="BF725">
        <f t="shared" si="70"/>
        <v>1</v>
      </c>
      <c r="BG725">
        <f t="shared" si="71"/>
        <v>1</v>
      </c>
      <c r="BH725">
        <f t="shared" si="72"/>
        <v>1</v>
      </c>
      <c r="BI725">
        <f t="shared" si="73"/>
        <v>1</v>
      </c>
    </row>
    <row r="726" spans="10:61" x14ac:dyDescent="0.3">
      <c r="J726" t="s">
        <v>847</v>
      </c>
      <c r="BD726">
        <f t="shared" si="68"/>
        <v>1</v>
      </c>
      <c r="BE726">
        <f t="shared" si="69"/>
        <v>0</v>
      </c>
      <c r="BF726">
        <f t="shared" si="70"/>
        <v>0</v>
      </c>
      <c r="BG726">
        <f t="shared" si="71"/>
        <v>0</v>
      </c>
      <c r="BH726">
        <f t="shared" si="72"/>
        <v>0</v>
      </c>
      <c r="BI726">
        <f t="shared" si="73"/>
        <v>0</v>
      </c>
    </row>
    <row r="727" spans="10:61" x14ac:dyDescent="0.3">
      <c r="K727" s="17" t="s">
        <v>164</v>
      </c>
      <c r="L727" s="17" t="s">
        <v>165</v>
      </c>
      <c r="M727" s="17" t="s">
        <v>166</v>
      </c>
      <c r="N727" s="17" t="s">
        <v>167</v>
      </c>
      <c r="O727" s="17" t="s">
        <v>168</v>
      </c>
      <c r="AG727" t="s">
        <v>847</v>
      </c>
      <c r="AW727" t="s">
        <v>847</v>
      </c>
      <c r="BD727">
        <f t="shared" si="68"/>
        <v>1</v>
      </c>
      <c r="BE727">
        <f t="shared" si="69"/>
        <v>1</v>
      </c>
      <c r="BF727">
        <f t="shared" si="70"/>
        <v>1</v>
      </c>
      <c r="BG727">
        <f t="shared" si="71"/>
        <v>1</v>
      </c>
      <c r="BH727">
        <f t="shared" si="72"/>
        <v>1</v>
      </c>
      <c r="BI727">
        <f t="shared" si="73"/>
        <v>1</v>
      </c>
    </row>
    <row r="728" spans="10:61" x14ac:dyDescent="0.3">
      <c r="J728" t="s">
        <v>542</v>
      </c>
      <c r="K728" s="17" t="s">
        <v>155</v>
      </c>
      <c r="L728" s="17" t="s">
        <v>260</v>
      </c>
      <c r="M728" s="17" t="s">
        <v>260</v>
      </c>
      <c r="N728" s="17" t="s">
        <v>155</v>
      </c>
      <c r="O728" s="17" t="s">
        <v>155</v>
      </c>
      <c r="AH728" s="17" t="s">
        <v>164</v>
      </c>
      <c r="AI728" s="17" t="s">
        <v>165</v>
      </c>
      <c r="AJ728" s="17" t="s">
        <v>166</v>
      </c>
      <c r="AK728" s="17" t="s">
        <v>167</v>
      </c>
      <c r="AL728" s="17" t="s">
        <v>168</v>
      </c>
      <c r="AX728" t="s">
        <v>164</v>
      </c>
      <c r="AY728" t="s">
        <v>165</v>
      </c>
      <c r="AZ728" t="s">
        <v>166</v>
      </c>
      <c r="BA728" t="s">
        <v>167</v>
      </c>
      <c r="BB728" t="s">
        <v>168</v>
      </c>
      <c r="BD728">
        <f t="shared" si="68"/>
        <v>1</v>
      </c>
      <c r="BE728">
        <f t="shared" si="69"/>
        <v>1</v>
      </c>
      <c r="BF728">
        <f t="shared" si="70"/>
        <v>1</v>
      </c>
      <c r="BG728">
        <f t="shared" si="71"/>
        <v>1</v>
      </c>
      <c r="BH728">
        <f t="shared" si="72"/>
        <v>1</v>
      </c>
      <c r="BI728">
        <f t="shared" si="73"/>
        <v>1</v>
      </c>
    </row>
    <row r="729" spans="10:61" x14ac:dyDescent="0.3">
      <c r="J729" t="s">
        <v>543</v>
      </c>
      <c r="K729" s="17" t="s">
        <v>155</v>
      </c>
      <c r="L729" s="17" t="s">
        <v>155</v>
      </c>
      <c r="M729" s="17" t="s">
        <v>260</v>
      </c>
      <c r="N729" s="17" t="s">
        <v>155</v>
      </c>
      <c r="O729" s="17" t="s">
        <v>155</v>
      </c>
      <c r="AG729" t="s">
        <v>542</v>
      </c>
      <c r="AH729" s="17" t="s">
        <v>155</v>
      </c>
      <c r="AI729" s="17" t="s">
        <v>260</v>
      </c>
      <c r="AJ729" s="17" t="s">
        <v>260</v>
      </c>
      <c r="AK729" s="17" t="s">
        <v>155</v>
      </c>
      <c r="AL729" s="17" t="s">
        <v>155</v>
      </c>
      <c r="AW729" t="s">
        <v>542</v>
      </c>
      <c r="AX729" t="s">
        <v>155</v>
      </c>
      <c r="AY729" t="s">
        <v>260</v>
      </c>
      <c r="AZ729" t="s">
        <v>260</v>
      </c>
      <c r="BA729" t="s">
        <v>155</v>
      </c>
      <c r="BB729" t="s">
        <v>155</v>
      </c>
      <c r="BD729">
        <f t="shared" si="68"/>
        <v>1</v>
      </c>
      <c r="BE729">
        <f t="shared" si="69"/>
        <v>0</v>
      </c>
      <c r="BF729">
        <f t="shared" si="70"/>
        <v>1</v>
      </c>
      <c r="BG729">
        <f t="shared" si="71"/>
        <v>0</v>
      </c>
      <c r="BH729">
        <f t="shared" si="72"/>
        <v>0</v>
      </c>
      <c r="BI729">
        <f t="shared" si="73"/>
        <v>0</v>
      </c>
    </row>
    <row r="730" spans="10:61" x14ac:dyDescent="0.3">
      <c r="AG730" t="s">
        <v>543</v>
      </c>
      <c r="AH730" s="17" t="s">
        <v>155</v>
      </c>
      <c r="AI730" s="17" t="s">
        <v>155</v>
      </c>
      <c r="AJ730" s="17" t="s">
        <v>260</v>
      </c>
      <c r="AK730" s="17" t="s">
        <v>155</v>
      </c>
      <c r="AL730" s="17" t="s">
        <v>155</v>
      </c>
      <c r="AW730" t="s">
        <v>543</v>
      </c>
      <c r="AX730" t="s">
        <v>155</v>
      </c>
      <c r="AY730" t="s">
        <v>155</v>
      </c>
      <c r="AZ730" t="s">
        <v>260</v>
      </c>
      <c r="BA730" t="s">
        <v>155</v>
      </c>
      <c r="BB730" t="s">
        <v>155</v>
      </c>
      <c r="BD730">
        <f t="shared" si="68"/>
        <v>1</v>
      </c>
      <c r="BE730">
        <f t="shared" si="69"/>
        <v>1</v>
      </c>
      <c r="BF730">
        <f t="shared" si="70"/>
        <v>1</v>
      </c>
      <c r="BG730">
        <f t="shared" si="71"/>
        <v>1</v>
      </c>
      <c r="BH730">
        <f t="shared" si="72"/>
        <v>1</v>
      </c>
      <c r="BI730">
        <f t="shared" si="73"/>
        <v>1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2:N18"/>
  <sheetViews>
    <sheetView zoomScale="106" workbookViewId="0">
      <selection activeCell="J10" sqref="J10"/>
    </sheetView>
  </sheetViews>
  <sheetFormatPr baseColWidth="10" defaultRowHeight="14.4" x14ac:dyDescent="0.3"/>
  <cols>
    <col min="1" max="2" width="6.44140625" customWidth="1"/>
  </cols>
  <sheetData>
    <row r="2" spans="1:14" x14ac:dyDescent="0.3">
      <c r="C2" s="17" t="s">
        <v>164</v>
      </c>
      <c r="D2" s="17" t="s">
        <v>165</v>
      </c>
      <c r="E2" s="17" t="s">
        <v>166</v>
      </c>
      <c r="F2" s="17" t="s">
        <v>167</v>
      </c>
      <c r="G2" s="17" t="s">
        <v>168</v>
      </c>
    </row>
    <row r="3" spans="1:14" x14ac:dyDescent="0.3">
      <c r="A3" s="107" cm="1">
        <f t="array" ref="A3:B17">Tabla1[[Inicio]:[Fin]]</f>
        <v>0.33333333333333331</v>
      </c>
      <c r="B3" s="107">
        <v>0.36805555555555552</v>
      </c>
      <c r="C3" s="108">
        <v>0.61</v>
      </c>
      <c r="D3" s="108">
        <v>0.69</v>
      </c>
      <c r="E3" s="108">
        <v>0.53</v>
      </c>
      <c r="F3" s="108">
        <v>0.53</v>
      </c>
      <c r="G3" s="108">
        <v>1</v>
      </c>
    </row>
    <row r="4" spans="1:14" x14ac:dyDescent="0.3">
      <c r="A4" s="107">
        <v>0.36805555555555558</v>
      </c>
      <c r="B4" s="107">
        <v>0.40277777777777779</v>
      </c>
      <c r="C4" s="108">
        <v>0.76</v>
      </c>
      <c r="D4" s="108">
        <v>0.76</v>
      </c>
      <c r="E4" s="108">
        <v>0.61</v>
      </c>
      <c r="F4" s="108">
        <v>0.53</v>
      </c>
      <c r="G4" s="108">
        <v>1</v>
      </c>
      <c r="J4" s="142"/>
      <c r="K4" s="142"/>
      <c r="L4" s="142"/>
      <c r="M4" s="142"/>
      <c r="N4" s="142"/>
    </row>
    <row r="5" spans="1:14" x14ac:dyDescent="0.3">
      <c r="A5" s="107">
        <v>0.40972222222222221</v>
      </c>
      <c r="B5" s="107">
        <v>0.44444444444444442</v>
      </c>
      <c r="C5" s="108">
        <v>0.76</v>
      </c>
      <c r="D5" s="108">
        <v>0.69</v>
      </c>
      <c r="E5" s="108">
        <v>0.61</v>
      </c>
      <c r="F5" s="108">
        <v>0.76</v>
      </c>
      <c r="G5" s="108">
        <v>1</v>
      </c>
      <c r="J5" s="142"/>
      <c r="K5" s="142"/>
      <c r="L5" s="142"/>
      <c r="M5" s="142"/>
      <c r="N5" s="142"/>
    </row>
    <row r="6" spans="1:14" x14ac:dyDescent="0.3">
      <c r="A6" s="107">
        <v>0.44444444444444442</v>
      </c>
      <c r="B6" s="107">
        <v>0.47916666666666663</v>
      </c>
      <c r="C6" s="108">
        <v>0.76</v>
      </c>
      <c r="D6" s="108">
        <v>0.69</v>
      </c>
      <c r="E6" s="108">
        <v>0.76</v>
      </c>
      <c r="F6" s="108">
        <v>0.69</v>
      </c>
      <c r="G6" s="108">
        <v>0.76</v>
      </c>
      <c r="J6" s="142"/>
      <c r="K6" s="142"/>
      <c r="L6" s="142"/>
      <c r="M6" s="142"/>
      <c r="N6" s="142"/>
    </row>
    <row r="7" spans="1:14" x14ac:dyDescent="0.3">
      <c r="A7" s="107">
        <v>0.4861111111111111</v>
      </c>
      <c r="B7" s="107">
        <v>0.52083333333333337</v>
      </c>
      <c r="C7" s="108">
        <v>0.76</v>
      </c>
      <c r="D7" s="108">
        <v>0.76</v>
      </c>
      <c r="E7" s="108">
        <v>0.76</v>
      </c>
      <c r="F7" s="108">
        <v>0.69</v>
      </c>
      <c r="G7" s="108">
        <v>0.76</v>
      </c>
      <c r="J7" s="142"/>
      <c r="K7" s="142"/>
      <c r="L7" s="142"/>
      <c r="M7" s="142"/>
      <c r="N7" s="142"/>
    </row>
    <row r="8" spans="1:14" x14ac:dyDescent="0.3">
      <c r="A8" s="107">
        <v>0.52083333333333337</v>
      </c>
      <c r="B8" s="107">
        <v>0.55555555555555558</v>
      </c>
      <c r="C8" s="108">
        <v>0.69</v>
      </c>
      <c r="D8" s="108">
        <v>0.61</v>
      </c>
      <c r="E8" s="108">
        <v>0.46</v>
      </c>
      <c r="F8" s="108">
        <v>0.38</v>
      </c>
      <c r="G8" s="108">
        <v>0.61</v>
      </c>
      <c r="J8" s="142"/>
      <c r="K8" s="142"/>
      <c r="L8" s="142"/>
      <c r="M8" s="142"/>
      <c r="N8" s="142"/>
    </row>
    <row r="9" spans="1:14" x14ac:dyDescent="0.3">
      <c r="A9" s="107">
        <v>0.59027777777777779</v>
      </c>
      <c r="B9" s="107">
        <v>0.625</v>
      </c>
      <c r="C9" s="109">
        <v>0.15</v>
      </c>
      <c r="D9" s="109">
        <v>0.23</v>
      </c>
      <c r="E9" s="109">
        <v>0.15</v>
      </c>
      <c r="F9" s="109">
        <v>0.23</v>
      </c>
      <c r="G9" s="109">
        <v>0.15</v>
      </c>
      <c r="J9" s="142"/>
      <c r="K9" s="142"/>
      <c r="L9" s="142"/>
      <c r="M9" s="142"/>
      <c r="N9" s="142"/>
    </row>
    <row r="10" spans="1:14" x14ac:dyDescent="0.3">
      <c r="A10" s="107">
        <v>0.63194444444444442</v>
      </c>
      <c r="B10" s="107">
        <v>0.66666666666666663</v>
      </c>
      <c r="C10" s="109">
        <v>0.53</v>
      </c>
      <c r="D10" s="109">
        <v>0.61</v>
      </c>
      <c r="E10" s="109">
        <v>0.46</v>
      </c>
      <c r="F10" s="109">
        <v>0.61</v>
      </c>
      <c r="G10" s="109">
        <v>0.53</v>
      </c>
      <c r="J10" s="142"/>
      <c r="K10" s="142"/>
      <c r="L10" s="142"/>
      <c r="M10" s="142"/>
      <c r="N10" s="142"/>
    </row>
    <row r="11" spans="1:14" x14ac:dyDescent="0.3">
      <c r="A11" s="107">
        <v>0.67361111111111116</v>
      </c>
      <c r="B11" s="107">
        <v>0.70833333333333337</v>
      </c>
      <c r="C11" s="109">
        <v>0.53</v>
      </c>
      <c r="D11" s="109">
        <v>0.76</v>
      </c>
      <c r="E11" s="109">
        <v>0.61</v>
      </c>
      <c r="F11" s="109">
        <v>0.61</v>
      </c>
      <c r="G11" s="109">
        <v>0.53</v>
      </c>
      <c r="J11" s="142"/>
      <c r="K11" s="142"/>
      <c r="L11" s="142"/>
      <c r="M11" s="142"/>
      <c r="N11" s="142"/>
    </row>
    <row r="12" spans="1:14" x14ac:dyDescent="0.3">
      <c r="A12" s="107">
        <v>0.70833333333333337</v>
      </c>
      <c r="B12" s="107">
        <v>0.74305555555555558</v>
      </c>
      <c r="C12" s="109">
        <v>0.61</v>
      </c>
      <c r="D12" s="109">
        <v>0.69</v>
      </c>
      <c r="E12" s="109">
        <v>0.61</v>
      </c>
      <c r="F12" s="109">
        <v>0.38</v>
      </c>
      <c r="G12" s="109">
        <v>0.61</v>
      </c>
      <c r="J12" s="142"/>
      <c r="K12" s="142"/>
      <c r="L12" s="142"/>
      <c r="M12" s="142"/>
      <c r="N12" s="142"/>
    </row>
    <row r="13" spans="1:14" x14ac:dyDescent="0.3">
      <c r="A13" s="107">
        <v>0.75</v>
      </c>
      <c r="B13" s="107">
        <v>0.78472222222222221</v>
      </c>
      <c r="C13" s="109">
        <v>0.84</v>
      </c>
      <c r="D13" s="109">
        <v>0.84</v>
      </c>
      <c r="E13" s="109">
        <v>0.92</v>
      </c>
      <c r="F13" s="109">
        <v>0.84</v>
      </c>
      <c r="G13" s="109">
        <v>0.61</v>
      </c>
      <c r="J13" s="142"/>
      <c r="K13" s="142"/>
      <c r="L13" s="142"/>
      <c r="M13" s="142"/>
      <c r="N13" s="142"/>
    </row>
    <row r="14" spans="1:14" x14ac:dyDescent="0.3">
      <c r="A14" s="107">
        <v>0.78472222222222221</v>
      </c>
      <c r="B14" s="107">
        <v>0.81944444444444442</v>
      </c>
      <c r="C14" s="109">
        <v>0.84</v>
      </c>
      <c r="D14" s="109">
        <v>0.76</v>
      </c>
      <c r="E14" s="109">
        <v>1</v>
      </c>
      <c r="F14" s="109">
        <v>0.76</v>
      </c>
      <c r="G14" s="109">
        <v>0.84</v>
      </c>
      <c r="J14" s="142"/>
      <c r="K14" s="142"/>
      <c r="L14" s="142"/>
      <c r="M14" s="142"/>
      <c r="N14" s="142"/>
    </row>
    <row r="15" spans="1:14" x14ac:dyDescent="0.3">
      <c r="A15" s="107">
        <v>0.82638888888888884</v>
      </c>
      <c r="B15" s="107">
        <v>0.86111111111111105</v>
      </c>
      <c r="C15" s="109">
        <v>0.76</v>
      </c>
      <c r="D15" s="109">
        <v>0.76</v>
      </c>
      <c r="E15" s="109">
        <v>0.92</v>
      </c>
      <c r="F15" s="109">
        <v>0.69</v>
      </c>
      <c r="G15" s="109">
        <v>0.92</v>
      </c>
      <c r="J15" s="142"/>
      <c r="K15" s="142"/>
      <c r="L15" s="142"/>
      <c r="M15" s="142"/>
      <c r="N15" s="142"/>
    </row>
    <row r="16" spans="1:14" x14ac:dyDescent="0.3">
      <c r="A16" s="107">
        <v>0.86111111111111116</v>
      </c>
      <c r="B16" s="107">
        <v>0.89583333333333337</v>
      </c>
      <c r="C16" s="109">
        <v>0.61</v>
      </c>
      <c r="D16" s="109">
        <v>0.53</v>
      </c>
      <c r="E16" s="109">
        <v>0.69</v>
      </c>
      <c r="F16" s="109">
        <v>0.53</v>
      </c>
      <c r="G16" s="109">
        <v>0.69</v>
      </c>
      <c r="J16" s="142"/>
      <c r="K16" s="142"/>
      <c r="L16" s="142"/>
      <c r="M16" s="142"/>
      <c r="N16" s="142"/>
    </row>
    <row r="17" spans="1:14" x14ac:dyDescent="0.3">
      <c r="A17" s="107">
        <v>0.90277777777777779</v>
      </c>
      <c r="B17" s="107">
        <v>0.9375</v>
      </c>
      <c r="C17" s="109">
        <v>0.23</v>
      </c>
      <c r="D17" s="109">
        <v>0.23</v>
      </c>
      <c r="E17" s="109">
        <v>0.15</v>
      </c>
      <c r="F17" s="109">
        <v>0.15</v>
      </c>
      <c r="G17" s="109">
        <v>0.15</v>
      </c>
      <c r="J17" s="142"/>
      <c r="K17" s="142"/>
      <c r="L17" s="142"/>
      <c r="M17" s="142"/>
      <c r="N17" s="142"/>
    </row>
    <row r="18" spans="1:14" x14ac:dyDescent="0.3">
      <c r="J18" s="142"/>
      <c r="K18" s="142"/>
      <c r="L18" s="142"/>
      <c r="M18" s="142"/>
      <c r="N18" s="142"/>
    </row>
  </sheetData>
  <conditionalFormatting sqref="C3:G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2B90-096E-4E4A-B6DA-7467FCCFD038}">
  <sheetPr codeName="Hoja6">
    <pageSetUpPr fitToPage="1"/>
  </sheetPr>
  <dimension ref="B2:CJ646"/>
  <sheetViews>
    <sheetView zoomScale="85" zoomScaleNormal="70" workbookViewId="0">
      <selection activeCell="BV12" sqref="BV12"/>
    </sheetView>
  </sheetViews>
  <sheetFormatPr baseColWidth="10" defaultColWidth="17.21875" defaultRowHeight="14.4" x14ac:dyDescent="0.3"/>
  <cols>
    <col min="2" max="2" width="17.21875" style="15"/>
    <col min="3" max="7" width="15.44140625" style="17" customWidth="1"/>
    <col min="8" max="8" width="17.21875" style="17"/>
    <col min="9" max="9" width="13.21875" customWidth="1"/>
    <col min="10" max="15" width="9.44140625" style="17" customWidth="1"/>
    <col min="16" max="16" width="17.21875" style="113"/>
    <col min="17" max="17" width="17.21875" style="15"/>
    <col min="18" max="22" width="15.44140625" style="17" customWidth="1"/>
    <col min="23" max="23" width="17.21875" style="17"/>
    <col min="24" max="24" width="13.21875" customWidth="1"/>
    <col min="25" max="29" width="9.44140625" style="17" customWidth="1"/>
    <col min="30" max="30" width="17.21875" customWidth="1"/>
    <col min="31" max="31" width="17.21875" style="113"/>
    <col min="32" max="32" width="17.21875" style="15"/>
    <col min="33" max="37" width="15.44140625" style="17" customWidth="1"/>
    <col min="38" max="38" width="17.21875" style="17"/>
    <col min="39" max="39" width="13.21875" customWidth="1"/>
    <col min="40" max="44" width="9.44140625" style="17" customWidth="1"/>
    <col min="46" max="46" width="17.21875" style="113"/>
    <col min="47" max="47" width="17.21875" style="15"/>
    <col min="48" max="52" width="15.44140625" style="17" customWidth="1"/>
    <col min="53" max="53" width="17.21875" style="17"/>
    <col min="54" max="54" width="13.21875" customWidth="1"/>
    <col min="55" max="59" width="9.44140625" style="17" customWidth="1"/>
    <col min="60" max="60" width="17.21875" style="15"/>
    <col min="66" max="71" width="20" style="17" customWidth="1"/>
    <col min="72" max="76" width="15.6640625" style="17" customWidth="1"/>
    <col min="77" max="77" width="9.21875" customWidth="1"/>
    <col min="83" max="85" width="17.21875" style="17"/>
    <col min="86" max="86" width="21.6640625" style="17" bestFit="1" customWidth="1"/>
    <col min="87" max="88" width="17.21875" style="17"/>
  </cols>
  <sheetData>
    <row r="2" spans="2:88" x14ac:dyDescent="0.3">
      <c r="B2" s="72"/>
      <c r="C2" s="106"/>
      <c r="D2" s="106"/>
      <c r="Q2" s="72" t="s">
        <v>846</v>
      </c>
      <c r="R2" s="106"/>
      <c r="S2" s="106"/>
      <c r="AF2" s="72" t="s">
        <v>849</v>
      </c>
      <c r="AG2" s="106" t="s">
        <v>850</v>
      </c>
      <c r="AH2" s="106"/>
      <c r="AU2" s="72">
        <v>813</v>
      </c>
      <c r="AV2" s="106">
        <v>733</v>
      </c>
      <c r="AW2" s="106"/>
      <c r="BH2" s="29"/>
    </row>
    <row r="3" spans="2:88" x14ac:dyDescent="0.3">
      <c r="B3" s="29"/>
      <c r="Q3" s="29" t="s">
        <v>596</v>
      </c>
      <c r="AF3" s="29"/>
      <c r="AU3" s="29"/>
      <c r="BH3" s="29"/>
    </row>
    <row r="4" spans="2:88" x14ac:dyDescent="0.3">
      <c r="B4" s="71"/>
      <c r="Q4" s="71" t="s">
        <v>540</v>
      </c>
      <c r="X4" t="s">
        <v>741</v>
      </c>
      <c r="AF4" s="71" t="s">
        <v>540</v>
      </c>
      <c r="AM4" t="s">
        <v>741</v>
      </c>
      <c r="AU4" s="71" t="s">
        <v>540</v>
      </c>
      <c r="BB4" t="s">
        <v>741</v>
      </c>
      <c r="BH4" s="71"/>
    </row>
    <row r="5" spans="2:88" x14ac:dyDescent="0.3">
      <c r="Y5" s="17" t="s">
        <v>164</v>
      </c>
      <c r="Z5" s="17" t="s">
        <v>165</v>
      </c>
      <c r="AA5" s="17" t="s">
        <v>166</v>
      </c>
      <c r="AB5" s="17" t="s">
        <v>167</v>
      </c>
      <c r="AC5" s="17" t="s">
        <v>168</v>
      </c>
      <c r="AN5" s="17" t="s">
        <v>164</v>
      </c>
      <c r="AO5" s="17" t="s">
        <v>165</v>
      </c>
      <c r="AP5" s="17" t="s">
        <v>166</v>
      </c>
      <c r="AQ5" s="17" t="s">
        <v>167</v>
      </c>
      <c r="AR5" s="17" t="s">
        <v>168</v>
      </c>
      <c r="BC5" s="17" t="s">
        <v>164</v>
      </c>
      <c r="BD5" s="17" t="s">
        <v>165</v>
      </c>
      <c r="BE5" s="17" t="s">
        <v>166</v>
      </c>
      <c r="BF5" s="17" t="s">
        <v>167</v>
      </c>
      <c r="BG5" s="17" t="s">
        <v>168</v>
      </c>
    </row>
    <row r="6" spans="2:88" x14ac:dyDescent="0.3">
      <c r="Q6" s="15" t="s">
        <v>541</v>
      </c>
      <c r="X6" t="s">
        <v>548</v>
      </c>
      <c r="Y6" s="17" t="s">
        <v>155</v>
      </c>
      <c r="Z6" s="17" t="s">
        <v>155</v>
      </c>
      <c r="AA6" s="17" t="s">
        <v>155</v>
      </c>
      <c r="AB6" s="17" t="s">
        <v>155</v>
      </c>
      <c r="AC6" s="17" t="s">
        <v>356</v>
      </c>
      <c r="AF6" s="15" t="s">
        <v>541</v>
      </c>
      <c r="AM6" t="s">
        <v>548</v>
      </c>
      <c r="AN6" s="17" t="s">
        <v>155</v>
      </c>
      <c r="AO6" s="17" t="s">
        <v>155</v>
      </c>
      <c r="AP6" s="17" t="s">
        <v>155</v>
      </c>
      <c r="AQ6" s="17" t="s">
        <v>155</v>
      </c>
      <c r="AR6" s="17" t="s">
        <v>356</v>
      </c>
      <c r="AU6" s="15" t="s">
        <v>541</v>
      </c>
      <c r="BB6" t="s">
        <v>548</v>
      </c>
      <c r="BC6" s="17" t="s">
        <v>155</v>
      </c>
      <c r="BD6" s="17" t="s">
        <v>155</v>
      </c>
      <c r="BE6" s="17" t="s">
        <v>155</v>
      </c>
      <c r="BF6" s="17" t="s">
        <v>155</v>
      </c>
      <c r="BG6" s="17" t="s">
        <v>356</v>
      </c>
    </row>
    <row r="7" spans="2:88" x14ac:dyDescent="0.3">
      <c r="R7" s="17" t="s">
        <v>164</v>
      </c>
      <c r="S7" s="17" t="s">
        <v>165</v>
      </c>
      <c r="T7" s="17" t="s">
        <v>166</v>
      </c>
      <c r="U7" s="17" t="s">
        <v>167</v>
      </c>
      <c r="V7" s="17" t="s">
        <v>168</v>
      </c>
      <c r="X7" t="s">
        <v>549</v>
      </c>
      <c r="Y7" s="17" t="s">
        <v>155</v>
      </c>
      <c r="Z7" s="17" t="s">
        <v>155</v>
      </c>
      <c r="AA7" s="17" t="s">
        <v>155</v>
      </c>
      <c r="AB7" s="17" t="s">
        <v>155</v>
      </c>
      <c r="AC7" s="17" t="s">
        <v>356</v>
      </c>
      <c r="AG7" s="17" t="s">
        <v>164</v>
      </c>
      <c r="AH7" s="17" t="s">
        <v>165</v>
      </c>
      <c r="AI7" s="17" t="s">
        <v>166</v>
      </c>
      <c r="AJ7" s="17" t="s">
        <v>167</v>
      </c>
      <c r="AK7" s="17" t="s">
        <v>168</v>
      </c>
      <c r="AM7" t="s">
        <v>549</v>
      </c>
      <c r="AN7" s="17" t="s">
        <v>155</v>
      </c>
      <c r="AO7" s="17" t="s">
        <v>155</v>
      </c>
      <c r="AP7" s="17" t="s">
        <v>155</v>
      </c>
      <c r="AQ7" s="17" t="s">
        <v>155</v>
      </c>
      <c r="AR7" s="17" t="s">
        <v>356</v>
      </c>
      <c r="AV7" s="17" t="s">
        <v>164</v>
      </c>
      <c r="AW7" s="17" t="s">
        <v>165</v>
      </c>
      <c r="AX7" s="17" t="s">
        <v>166</v>
      </c>
      <c r="AY7" s="17" t="s">
        <v>167</v>
      </c>
      <c r="AZ7" s="17" t="s">
        <v>168</v>
      </c>
      <c r="BB7" t="s">
        <v>549</v>
      </c>
      <c r="BC7" s="17" t="s">
        <v>155</v>
      </c>
      <c r="BD7" s="17" t="s">
        <v>155</v>
      </c>
      <c r="BE7" s="17" t="s">
        <v>155</v>
      </c>
      <c r="BF7" s="17" t="s">
        <v>155</v>
      </c>
      <c r="BG7" s="17" t="s">
        <v>356</v>
      </c>
    </row>
    <row r="8" spans="2:88" x14ac:dyDescent="0.3">
      <c r="Q8" s="15" t="s">
        <v>542</v>
      </c>
      <c r="R8" s="17" t="s">
        <v>569</v>
      </c>
      <c r="S8" s="17" t="s">
        <v>570</v>
      </c>
      <c r="T8" s="17" t="s">
        <v>571</v>
      </c>
      <c r="U8" s="17" t="s">
        <v>570</v>
      </c>
      <c r="V8" s="17" t="s">
        <v>571</v>
      </c>
      <c r="X8" t="s">
        <v>550</v>
      </c>
      <c r="Y8" s="17" t="s">
        <v>155</v>
      </c>
      <c r="Z8" s="17" t="s">
        <v>155</v>
      </c>
      <c r="AA8" s="17" t="s">
        <v>155</v>
      </c>
      <c r="AB8" s="17" t="s">
        <v>155</v>
      </c>
      <c r="AC8" s="17" t="s">
        <v>356</v>
      </c>
      <c r="AF8" s="15" t="s">
        <v>542</v>
      </c>
      <c r="AG8" s="17" t="s">
        <v>569</v>
      </c>
      <c r="AH8" s="17" t="s">
        <v>570</v>
      </c>
      <c r="AI8" s="17" t="s">
        <v>571</v>
      </c>
      <c r="AJ8" s="17" t="s">
        <v>570</v>
      </c>
      <c r="AK8" s="17" t="s">
        <v>571</v>
      </c>
      <c r="AM8" t="s">
        <v>550</v>
      </c>
      <c r="AN8" s="17" t="s">
        <v>155</v>
      </c>
      <c r="AO8" s="17" t="s">
        <v>155</v>
      </c>
      <c r="AP8" s="17" t="s">
        <v>155</v>
      </c>
      <c r="AQ8" s="17" t="s">
        <v>155</v>
      </c>
      <c r="AR8" s="17" t="s">
        <v>356</v>
      </c>
      <c r="AU8" s="15" t="s">
        <v>542</v>
      </c>
      <c r="AV8" s="17" t="s">
        <v>569</v>
      </c>
      <c r="AW8" s="17" t="s">
        <v>570</v>
      </c>
      <c r="AX8" s="17" t="s">
        <v>571</v>
      </c>
      <c r="AY8" s="17" t="s">
        <v>570</v>
      </c>
      <c r="AZ8" s="17" t="s">
        <v>571</v>
      </c>
      <c r="BB8" t="s">
        <v>550</v>
      </c>
      <c r="BC8" s="17" t="s">
        <v>155</v>
      </c>
      <c r="BD8" s="17" t="s">
        <v>155</v>
      </c>
      <c r="BE8" s="17" t="s">
        <v>155</v>
      </c>
      <c r="BF8" s="17" t="s">
        <v>155</v>
      </c>
      <c r="BG8" s="17" t="s">
        <v>356</v>
      </c>
    </row>
    <row r="9" spans="2:88" x14ac:dyDescent="0.3">
      <c r="Q9" s="15" t="s">
        <v>543</v>
      </c>
      <c r="R9" s="17" t="s">
        <v>569</v>
      </c>
      <c r="S9" s="17" t="s">
        <v>570</v>
      </c>
      <c r="T9" s="17" t="s">
        <v>571</v>
      </c>
      <c r="U9" s="17" t="s">
        <v>570</v>
      </c>
      <c r="V9" s="17" t="s">
        <v>571</v>
      </c>
      <c r="AF9" s="15" t="s">
        <v>543</v>
      </c>
      <c r="AG9" s="17" t="s">
        <v>569</v>
      </c>
      <c r="AH9" s="17" t="s">
        <v>570</v>
      </c>
      <c r="AI9" s="17" t="s">
        <v>571</v>
      </c>
      <c r="AJ9" s="17" t="s">
        <v>570</v>
      </c>
      <c r="AK9" s="17" t="s">
        <v>571</v>
      </c>
      <c r="AU9" s="15" t="s">
        <v>543</v>
      </c>
      <c r="AV9" s="17" t="s">
        <v>569</v>
      </c>
      <c r="AW9" s="17" t="s">
        <v>570</v>
      </c>
      <c r="AX9" s="17" t="s">
        <v>571</v>
      </c>
      <c r="AY9" s="17" t="s">
        <v>570</v>
      </c>
      <c r="AZ9" s="17" t="s">
        <v>571</v>
      </c>
    </row>
    <row r="10" spans="2:88" x14ac:dyDescent="0.3">
      <c r="Q10" s="15" t="s">
        <v>544</v>
      </c>
      <c r="R10" s="17" t="s">
        <v>569</v>
      </c>
      <c r="S10" s="17" t="s">
        <v>572</v>
      </c>
      <c r="T10" s="17" t="s">
        <v>571</v>
      </c>
      <c r="U10" s="17" t="s">
        <v>573</v>
      </c>
      <c r="V10" s="17" t="s">
        <v>571</v>
      </c>
      <c r="X10" t="s">
        <v>726</v>
      </c>
      <c r="AF10" s="15" t="s">
        <v>544</v>
      </c>
      <c r="AG10" s="17" t="s">
        <v>569</v>
      </c>
      <c r="AH10" s="17" t="s">
        <v>572</v>
      </c>
      <c r="AI10" s="17" t="s">
        <v>571</v>
      </c>
      <c r="AJ10" s="17" t="s">
        <v>573</v>
      </c>
      <c r="AK10" s="17" t="s">
        <v>571</v>
      </c>
      <c r="AM10" t="s">
        <v>726</v>
      </c>
      <c r="AU10" s="15" t="s">
        <v>544</v>
      </c>
      <c r="AV10" s="17" t="s">
        <v>569</v>
      </c>
      <c r="AW10" s="17" t="s">
        <v>572</v>
      </c>
      <c r="AX10" s="17" t="s">
        <v>571</v>
      </c>
      <c r="AY10" s="17" t="s">
        <v>573</v>
      </c>
      <c r="AZ10" s="17" t="s">
        <v>571</v>
      </c>
      <c r="BB10" t="s">
        <v>726</v>
      </c>
    </row>
    <row r="11" spans="2:88" x14ac:dyDescent="0.3">
      <c r="Q11" s="15" t="s">
        <v>545</v>
      </c>
      <c r="R11" s="17" t="s">
        <v>573</v>
      </c>
      <c r="S11" s="17" t="s">
        <v>572</v>
      </c>
      <c r="T11" s="17" t="s">
        <v>569</v>
      </c>
      <c r="U11" s="17" t="s">
        <v>573</v>
      </c>
      <c r="V11" s="17" t="s">
        <v>155</v>
      </c>
      <c r="Y11" s="17" t="s">
        <v>164</v>
      </c>
      <c r="Z11" s="17" t="s">
        <v>165</v>
      </c>
      <c r="AA11" s="17" t="s">
        <v>166</v>
      </c>
      <c r="AB11" s="17" t="s">
        <v>167</v>
      </c>
      <c r="AC11" s="17" t="s">
        <v>168</v>
      </c>
      <c r="AF11" s="15" t="s">
        <v>545</v>
      </c>
      <c r="AG11" s="17" t="s">
        <v>573</v>
      </c>
      <c r="AH11" s="17" t="s">
        <v>572</v>
      </c>
      <c r="AI11" s="17" t="s">
        <v>569</v>
      </c>
      <c r="AJ11" s="17" t="s">
        <v>573</v>
      </c>
      <c r="AK11" s="17" t="s">
        <v>155</v>
      </c>
      <c r="AN11" s="17" t="s">
        <v>164</v>
      </c>
      <c r="AO11" s="17" t="s">
        <v>165</v>
      </c>
      <c r="AP11" s="17" t="s">
        <v>166</v>
      </c>
      <c r="AQ11" s="17" t="s">
        <v>167</v>
      </c>
      <c r="AR11" s="17" t="s">
        <v>168</v>
      </c>
      <c r="AU11" s="15" t="s">
        <v>545</v>
      </c>
      <c r="AV11" s="17" t="s">
        <v>573</v>
      </c>
      <c r="AW11" s="17" t="s">
        <v>572</v>
      </c>
      <c r="AX11" s="17" t="s">
        <v>569</v>
      </c>
      <c r="AY11" s="17" t="s">
        <v>573</v>
      </c>
      <c r="AZ11" s="17" t="s">
        <v>155</v>
      </c>
      <c r="BC11" s="17" t="s">
        <v>164</v>
      </c>
      <c r="BD11" s="17" t="s">
        <v>165</v>
      </c>
      <c r="BE11" s="17" t="s">
        <v>166</v>
      </c>
      <c r="BF11" s="17" t="s">
        <v>167</v>
      </c>
      <c r="BG11" s="17" t="s">
        <v>168</v>
      </c>
      <c r="BM11" s="115" t="s">
        <v>662</v>
      </c>
      <c r="BN11" s="117"/>
      <c r="BO11" s="126" t="s">
        <v>857</v>
      </c>
      <c r="BP11" s="117" t="s">
        <v>443</v>
      </c>
    </row>
    <row r="12" spans="2:88" x14ac:dyDescent="0.3">
      <c r="Q12" s="15" t="s">
        <v>546</v>
      </c>
      <c r="R12" s="17" t="s">
        <v>573</v>
      </c>
      <c r="S12" s="17" t="s">
        <v>155</v>
      </c>
      <c r="T12" s="17" t="s">
        <v>569</v>
      </c>
      <c r="U12" s="17" t="s">
        <v>155</v>
      </c>
      <c r="V12" s="17" t="s">
        <v>155</v>
      </c>
      <c r="X12" t="s">
        <v>548</v>
      </c>
      <c r="Y12" s="17" t="s">
        <v>511</v>
      </c>
      <c r="Z12" s="17" t="s">
        <v>155</v>
      </c>
      <c r="AA12" s="17" t="s">
        <v>155</v>
      </c>
      <c r="AB12" s="17" t="s">
        <v>155</v>
      </c>
      <c r="AC12" s="17" t="s">
        <v>155</v>
      </c>
      <c r="AF12" s="15" t="s">
        <v>546</v>
      </c>
      <c r="AG12" s="17" t="s">
        <v>573</v>
      </c>
      <c r="AH12" s="17" t="s">
        <v>155</v>
      </c>
      <c r="AI12" s="17" t="s">
        <v>569</v>
      </c>
      <c r="AJ12" s="17" t="s">
        <v>155</v>
      </c>
      <c r="AK12" s="17" t="s">
        <v>155</v>
      </c>
      <c r="AM12" t="s">
        <v>548</v>
      </c>
      <c r="AN12" s="17" t="s">
        <v>511</v>
      </c>
      <c r="AO12" s="17" t="s">
        <v>155</v>
      </c>
      <c r="AP12" s="17" t="s">
        <v>155</v>
      </c>
      <c r="AQ12" s="17" t="s">
        <v>155</v>
      </c>
      <c r="AR12" s="17" t="s">
        <v>155</v>
      </c>
      <c r="AU12" s="15" t="s">
        <v>546</v>
      </c>
      <c r="AV12" s="17" t="s">
        <v>573</v>
      </c>
      <c r="AW12" s="17" t="s">
        <v>155</v>
      </c>
      <c r="AX12" s="17" t="s">
        <v>569</v>
      </c>
      <c r="AY12" s="17" t="s">
        <v>155</v>
      </c>
      <c r="AZ12" s="17" t="s">
        <v>155</v>
      </c>
      <c r="BB12" t="s">
        <v>548</v>
      </c>
      <c r="BC12" s="17" t="s">
        <v>511</v>
      </c>
      <c r="BD12" s="17" t="s">
        <v>155</v>
      </c>
      <c r="BE12" s="17" t="s">
        <v>155</v>
      </c>
      <c r="BF12" s="17" t="s">
        <v>155</v>
      </c>
      <c r="BG12" s="17" t="s">
        <v>155</v>
      </c>
      <c r="BM12" s="118" t="s">
        <v>858</v>
      </c>
      <c r="BN12" s="117"/>
      <c r="BO12" s="127" t="s">
        <v>859</v>
      </c>
      <c r="BP12" s="117">
        <v>3</v>
      </c>
      <c r="CE12" s="17" t="s">
        <v>596</v>
      </c>
    </row>
    <row r="13" spans="2:88" x14ac:dyDescent="0.3">
      <c r="X13" t="s">
        <v>549</v>
      </c>
      <c r="Y13" s="17" t="s">
        <v>511</v>
      </c>
      <c r="Z13" s="17" t="s">
        <v>155</v>
      </c>
      <c r="AA13" s="17" t="s">
        <v>155</v>
      </c>
      <c r="AB13" s="17" t="s">
        <v>155</v>
      </c>
      <c r="AC13" s="17" t="s">
        <v>155</v>
      </c>
      <c r="AM13" t="s">
        <v>549</v>
      </c>
      <c r="AN13" s="17" t="s">
        <v>511</v>
      </c>
      <c r="AO13" s="17" t="s">
        <v>155</v>
      </c>
      <c r="AP13" s="17" t="s">
        <v>155</v>
      </c>
      <c r="AQ13" s="17" t="s">
        <v>155</v>
      </c>
      <c r="AR13" s="17" t="s">
        <v>155</v>
      </c>
      <c r="BB13" t="s">
        <v>549</v>
      </c>
      <c r="BC13" s="17" t="s">
        <v>511</v>
      </c>
      <c r="BD13" s="17" t="s">
        <v>155</v>
      </c>
      <c r="BE13" s="17" t="s">
        <v>155</v>
      </c>
      <c r="BF13" s="17" t="s">
        <v>155</v>
      </c>
      <c r="BG13" s="17" t="s">
        <v>155</v>
      </c>
      <c r="BM13" s="119" t="s">
        <v>860</v>
      </c>
      <c r="BN13" s="117"/>
      <c r="BO13" s="127" t="s">
        <v>861</v>
      </c>
      <c r="BP13" s="117">
        <v>3</v>
      </c>
      <c r="BS13" s="17" t="s">
        <v>777</v>
      </c>
      <c r="CE13" s="17" t="s">
        <v>777</v>
      </c>
    </row>
    <row r="14" spans="2:88" x14ac:dyDescent="0.3">
      <c r="Q14" s="15" t="s">
        <v>547</v>
      </c>
      <c r="X14" t="s">
        <v>550</v>
      </c>
      <c r="Y14" s="17" t="s">
        <v>511</v>
      </c>
      <c r="Z14" s="17" t="s">
        <v>155</v>
      </c>
      <c r="AA14" s="17" t="s">
        <v>155</v>
      </c>
      <c r="AB14" s="17" t="s">
        <v>155</v>
      </c>
      <c r="AC14" s="17" t="s">
        <v>155</v>
      </c>
      <c r="AF14" s="15" t="s">
        <v>547</v>
      </c>
      <c r="AM14" t="s">
        <v>550</v>
      </c>
      <c r="AN14" s="17" t="s">
        <v>511</v>
      </c>
      <c r="AO14" s="17" t="s">
        <v>155</v>
      </c>
      <c r="AP14" s="17" t="s">
        <v>155</v>
      </c>
      <c r="AQ14" s="17" t="s">
        <v>155</v>
      </c>
      <c r="AR14" s="17" t="s">
        <v>155</v>
      </c>
      <c r="AU14" s="15" t="s">
        <v>547</v>
      </c>
      <c r="BB14" t="s">
        <v>550</v>
      </c>
      <c r="BC14" s="17" t="s">
        <v>511</v>
      </c>
      <c r="BD14" s="17" t="s">
        <v>155</v>
      </c>
      <c r="BE14" s="17" t="s">
        <v>155</v>
      </c>
      <c r="BF14" s="17" t="s">
        <v>155</v>
      </c>
      <c r="BG14" s="17" t="s">
        <v>155</v>
      </c>
      <c r="BM14" s="57"/>
      <c r="BN14" s="117"/>
      <c r="BO14" s="117"/>
      <c r="BP14" s="117"/>
    </row>
    <row r="15" spans="2:88" x14ac:dyDescent="0.3">
      <c r="R15" s="17" t="s">
        <v>164</v>
      </c>
      <c r="S15" s="17" t="s">
        <v>165</v>
      </c>
      <c r="T15" s="17" t="s">
        <v>166</v>
      </c>
      <c r="U15" s="17" t="s">
        <v>167</v>
      </c>
      <c r="V15" s="17" t="s">
        <v>168</v>
      </c>
      <c r="X15" t="s">
        <v>158</v>
      </c>
      <c r="Y15" s="17" t="s">
        <v>511</v>
      </c>
      <c r="Z15" s="17" t="s">
        <v>511</v>
      </c>
      <c r="AA15" s="17" t="s">
        <v>155</v>
      </c>
      <c r="AB15" s="17" t="s">
        <v>155</v>
      </c>
      <c r="AC15" s="17" t="s">
        <v>155</v>
      </c>
      <c r="AG15" s="17" t="s">
        <v>164</v>
      </c>
      <c r="AH15" s="17" t="s">
        <v>165</v>
      </c>
      <c r="AI15" s="17" t="s">
        <v>166</v>
      </c>
      <c r="AJ15" s="17" t="s">
        <v>167</v>
      </c>
      <c r="AK15" s="17" t="s">
        <v>168</v>
      </c>
      <c r="AM15" t="s">
        <v>158</v>
      </c>
      <c r="AN15" s="17" t="s">
        <v>511</v>
      </c>
      <c r="AO15" s="17" t="s">
        <v>511</v>
      </c>
      <c r="AP15" s="17" t="s">
        <v>155</v>
      </c>
      <c r="AQ15" s="17" t="s">
        <v>155</v>
      </c>
      <c r="AR15" s="17" t="s">
        <v>155</v>
      </c>
      <c r="AV15" s="17" t="s">
        <v>164</v>
      </c>
      <c r="AW15" s="17" t="s">
        <v>165</v>
      </c>
      <c r="AX15" s="17" t="s">
        <v>166</v>
      </c>
      <c r="AY15" s="17" t="s">
        <v>167</v>
      </c>
      <c r="AZ15" s="17" t="s">
        <v>168</v>
      </c>
      <c r="BB15" t="s">
        <v>158</v>
      </c>
      <c r="BC15" s="17" t="s">
        <v>511</v>
      </c>
      <c r="BD15" s="17" t="s">
        <v>511</v>
      </c>
      <c r="BE15" s="17" t="s">
        <v>155</v>
      </c>
      <c r="BF15" s="17" t="s">
        <v>155</v>
      </c>
      <c r="BG15" s="17" t="s">
        <v>155</v>
      </c>
      <c r="BM15" s="120" t="s">
        <v>862</v>
      </c>
      <c r="BN15" s="117"/>
      <c r="BO15" s="127" t="s">
        <v>861</v>
      </c>
      <c r="BP15" s="117">
        <v>4</v>
      </c>
      <c r="BS15" s="17" t="s">
        <v>778</v>
      </c>
      <c r="CE15" s="17" t="s">
        <v>778</v>
      </c>
    </row>
    <row r="16" spans="2:88" x14ac:dyDescent="0.3">
      <c r="Q16" s="15" t="s">
        <v>548</v>
      </c>
      <c r="R16" s="17" t="s">
        <v>155</v>
      </c>
      <c r="S16" s="17" t="s">
        <v>587</v>
      </c>
      <c r="T16" s="17" t="s">
        <v>155</v>
      </c>
      <c r="U16" s="17" t="s">
        <v>155</v>
      </c>
      <c r="V16" s="17" t="s">
        <v>587</v>
      </c>
      <c r="X16" t="s">
        <v>159</v>
      </c>
      <c r="Y16" s="17" t="s">
        <v>511</v>
      </c>
      <c r="Z16" s="17" t="s">
        <v>511</v>
      </c>
      <c r="AA16" s="17" t="s">
        <v>155</v>
      </c>
      <c r="AB16" s="17" t="s">
        <v>155</v>
      </c>
      <c r="AC16" s="17" t="s">
        <v>155</v>
      </c>
      <c r="AF16" s="15" t="s">
        <v>548</v>
      </c>
      <c r="AG16" s="17" t="s">
        <v>574</v>
      </c>
      <c r="AH16" s="17" t="s">
        <v>155</v>
      </c>
      <c r="AI16" s="17" t="s">
        <v>155</v>
      </c>
      <c r="AJ16" s="17" t="s">
        <v>155</v>
      </c>
      <c r="AK16" s="17" t="s">
        <v>580</v>
      </c>
      <c r="AM16" t="s">
        <v>159</v>
      </c>
      <c r="AN16" s="17" t="s">
        <v>511</v>
      </c>
      <c r="AO16" s="17" t="s">
        <v>511</v>
      </c>
      <c r="AP16" s="17" t="s">
        <v>155</v>
      </c>
      <c r="AQ16" s="17" t="s">
        <v>155</v>
      </c>
      <c r="AR16" s="17" t="s">
        <v>155</v>
      </c>
      <c r="AU16" s="15" t="s">
        <v>548</v>
      </c>
      <c r="AV16" s="17" t="s">
        <v>587</v>
      </c>
      <c r="AW16" s="17" t="s">
        <v>155</v>
      </c>
      <c r="AX16" s="17" t="s">
        <v>155</v>
      </c>
      <c r="AY16" s="17" t="s">
        <v>155</v>
      </c>
      <c r="AZ16" s="17" t="s">
        <v>580</v>
      </c>
      <c r="BB16" t="s">
        <v>159</v>
      </c>
      <c r="BC16" s="17" t="s">
        <v>511</v>
      </c>
      <c r="BD16" s="17" t="s">
        <v>511</v>
      </c>
      <c r="BE16" s="17" t="s">
        <v>155</v>
      </c>
      <c r="BF16" s="17" t="s">
        <v>155</v>
      </c>
      <c r="BG16" s="17" t="s">
        <v>155</v>
      </c>
      <c r="BM16" s="121" t="s">
        <v>863</v>
      </c>
      <c r="BN16" s="117"/>
      <c r="BO16" s="128" t="s">
        <v>864</v>
      </c>
      <c r="BP16" s="117" t="s">
        <v>444</v>
      </c>
      <c r="BT16" s="17" t="s">
        <v>164</v>
      </c>
      <c r="BU16" s="17" t="s">
        <v>165</v>
      </c>
      <c r="BV16" s="17" t="s">
        <v>166</v>
      </c>
      <c r="BW16" s="17" t="s">
        <v>167</v>
      </c>
      <c r="BX16" s="17" t="s">
        <v>168</v>
      </c>
      <c r="CF16" s="17" t="s">
        <v>164</v>
      </c>
      <c r="CG16" s="17" t="s">
        <v>165</v>
      </c>
      <c r="CH16" s="17" t="s">
        <v>166</v>
      </c>
      <c r="CI16" s="17" t="s">
        <v>167</v>
      </c>
      <c r="CJ16" s="17" t="s">
        <v>168</v>
      </c>
    </row>
    <row r="17" spans="17:88" x14ac:dyDescent="0.3">
      <c r="Q17" s="15" t="s">
        <v>549</v>
      </c>
      <c r="R17" s="17" t="s">
        <v>155</v>
      </c>
      <c r="S17" s="17" t="s">
        <v>587</v>
      </c>
      <c r="T17" s="17" t="s">
        <v>576</v>
      </c>
      <c r="U17" s="17" t="s">
        <v>155</v>
      </c>
      <c r="V17" s="17" t="s">
        <v>587</v>
      </c>
      <c r="X17" t="s">
        <v>160</v>
      </c>
      <c r="Y17" s="17" t="s">
        <v>511</v>
      </c>
      <c r="Z17" s="17" t="s">
        <v>511</v>
      </c>
      <c r="AA17" s="17" t="s">
        <v>155</v>
      </c>
      <c r="AB17" s="17" t="s">
        <v>155</v>
      </c>
      <c r="AC17" s="17" t="s">
        <v>155</v>
      </c>
      <c r="AF17" s="15" t="s">
        <v>549</v>
      </c>
      <c r="AG17" s="17" t="s">
        <v>574</v>
      </c>
      <c r="AH17" s="17" t="s">
        <v>155</v>
      </c>
      <c r="AI17" s="17" t="s">
        <v>576</v>
      </c>
      <c r="AJ17" s="17" t="s">
        <v>155</v>
      </c>
      <c r="AK17" s="17" t="s">
        <v>580</v>
      </c>
      <c r="AM17" t="s">
        <v>160</v>
      </c>
      <c r="AN17" s="17" t="s">
        <v>511</v>
      </c>
      <c r="AO17" s="17" t="s">
        <v>511</v>
      </c>
      <c r="AP17" s="17" t="s">
        <v>155</v>
      </c>
      <c r="AQ17" s="17" t="s">
        <v>155</v>
      </c>
      <c r="AR17" s="17" t="s">
        <v>155</v>
      </c>
      <c r="AU17" s="15" t="s">
        <v>549</v>
      </c>
      <c r="AV17" s="17" t="s">
        <v>587</v>
      </c>
      <c r="AW17" s="17" t="s">
        <v>155</v>
      </c>
      <c r="AX17" s="17" t="s">
        <v>587</v>
      </c>
      <c r="AY17" s="17" t="s">
        <v>576</v>
      </c>
      <c r="AZ17" s="17" t="s">
        <v>580</v>
      </c>
      <c r="BB17" t="s">
        <v>160</v>
      </c>
      <c r="BC17" s="17" t="s">
        <v>511</v>
      </c>
      <c r="BD17" s="17" t="s">
        <v>511</v>
      </c>
      <c r="BE17" s="17" t="s">
        <v>155</v>
      </c>
      <c r="BF17" s="17" t="s">
        <v>155</v>
      </c>
      <c r="BG17" s="17" t="s">
        <v>155</v>
      </c>
      <c r="BM17" s="119" t="s">
        <v>865</v>
      </c>
      <c r="BN17" s="117"/>
      <c r="BO17" s="127" t="s">
        <v>861</v>
      </c>
      <c r="BP17" s="117" t="s">
        <v>443</v>
      </c>
      <c r="BS17" s="17" t="s">
        <v>542</v>
      </c>
      <c r="BT17" s="17" t="s">
        <v>869</v>
      </c>
      <c r="BU17" s="17" t="s">
        <v>269</v>
      </c>
      <c r="BV17" s="17" t="s">
        <v>661</v>
      </c>
      <c r="BW17" s="17" t="s">
        <v>155</v>
      </c>
      <c r="BX17" s="17" t="s">
        <v>870</v>
      </c>
      <c r="CE17" s="17" t="s">
        <v>542</v>
      </c>
      <c r="CF17" s="17" t="s">
        <v>269</v>
      </c>
      <c r="CG17" s="17" t="s">
        <v>281</v>
      </c>
      <c r="CH17" s="17" t="s">
        <v>281</v>
      </c>
      <c r="CI17" s="17" t="s">
        <v>269</v>
      </c>
      <c r="CJ17" s="17" t="s">
        <v>274</v>
      </c>
    </row>
    <row r="18" spans="17:88" x14ac:dyDescent="0.3">
      <c r="Q18" s="15" t="s">
        <v>550</v>
      </c>
      <c r="R18" s="17" t="s">
        <v>577</v>
      </c>
      <c r="S18" s="17" t="s">
        <v>587</v>
      </c>
      <c r="T18" s="17" t="s">
        <v>576</v>
      </c>
      <c r="U18" s="17" t="s">
        <v>577</v>
      </c>
      <c r="V18" s="17" t="s">
        <v>579</v>
      </c>
      <c r="X18" t="s">
        <v>555</v>
      </c>
      <c r="Y18" s="17" t="s">
        <v>155</v>
      </c>
      <c r="Z18" s="17" t="s">
        <v>155</v>
      </c>
      <c r="AA18" s="17" t="s">
        <v>155</v>
      </c>
      <c r="AB18" s="17" t="s">
        <v>511</v>
      </c>
      <c r="AC18" s="17" t="s">
        <v>155</v>
      </c>
      <c r="AF18" s="15" t="s">
        <v>550</v>
      </c>
      <c r="AG18" s="17" t="s">
        <v>574</v>
      </c>
      <c r="AH18" s="17" t="s">
        <v>155</v>
      </c>
      <c r="AI18" s="17" t="s">
        <v>576</v>
      </c>
      <c r="AJ18" s="17" t="s">
        <v>582</v>
      </c>
      <c r="AK18" s="17" t="s">
        <v>578</v>
      </c>
      <c r="AM18" t="s">
        <v>555</v>
      </c>
      <c r="AN18" s="17" t="s">
        <v>155</v>
      </c>
      <c r="AO18" s="17" t="s">
        <v>155</v>
      </c>
      <c r="AP18" s="17" t="s">
        <v>511</v>
      </c>
      <c r="AQ18" s="17" t="s">
        <v>155</v>
      </c>
      <c r="AR18" s="17" t="s">
        <v>155</v>
      </c>
      <c r="AU18" s="15" t="s">
        <v>550</v>
      </c>
      <c r="AV18" s="17" t="s">
        <v>587</v>
      </c>
      <c r="AW18" s="17" t="s">
        <v>155</v>
      </c>
      <c r="AX18" s="17" t="s">
        <v>587</v>
      </c>
      <c r="AY18" s="17" t="s">
        <v>576</v>
      </c>
      <c r="AZ18" s="17" t="s">
        <v>584</v>
      </c>
      <c r="BB18" t="s">
        <v>554</v>
      </c>
      <c r="BC18" s="17" t="s">
        <v>155</v>
      </c>
      <c r="BD18" s="17" t="s">
        <v>155</v>
      </c>
      <c r="BE18" s="17" t="s">
        <v>155</v>
      </c>
      <c r="BF18" s="17" t="s">
        <v>511</v>
      </c>
      <c r="BG18" s="17" t="s">
        <v>155</v>
      </c>
      <c r="BM18" s="57"/>
      <c r="BN18" s="117"/>
      <c r="BO18" s="117"/>
      <c r="BP18" s="117"/>
      <c r="BS18" s="17" t="s">
        <v>543</v>
      </c>
      <c r="BT18" s="17" t="s">
        <v>869</v>
      </c>
      <c r="BU18" s="17" t="s">
        <v>269</v>
      </c>
      <c r="BV18" s="17" t="s">
        <v>661</v>
      </c>
      <c r="BW18" s="17" t="s">
        <v>269</v>
      </c>
      <c r="BX18" s="17" t="s">
        <v>870</v>
      </c>
      <c r="CE18" s="17" t="s">
        <v>543</v>
      </c>
      <c r="CF18" s="17" t="s">
        <v>269</v>
      </c>
      <c r="CG18" s="17" t="s">
        <v>281</v>
      </c>
      <c r="CH18" s="17" t="s">
        <v>869</v>
      </c>
      <c r="CI18" s="17" t="s">
        <v>269</v>
      </c>
      <c r="CJ18" s="17" t="s">
        <v>906</v>
      </c>
    </row>
    <row r="19" spans="17:88" x14ac:dyDescent="0.3">
      <c r="Q19" s="15" t="s">
        <v>158</v>
      </c>
      <c r="R19" s="17" t="s">
        <v>577</v>
      </c>
      <c r="S19" s="17" t="s">
        <v>574</v>
      </c>
      <c r="T19" s="17" t="s">
        <v>579</v>
      </c>
      <c r="U19" s="17" t="s">
        <v>577</v>
      </c>
      <c r="V19" s="17" t="s">
        <v>579</v>
      </c>
      <c r="X19" t="s">
        <v>556</v>
      </c>
      <c r="Y19" s="17" t="s">
        <v>155</v>
      </c>
      <c r="Z19" s="17" t="s">
        <v>155</v>
      </c>
      <c r="AA19" s="17" t="s">
        <v>155</v>
      </c>
      <c r="AB19" s="17" t="s">
        <v>511</v>
      </c>
      <c r="AC19" s="17" t="s">
        <v>155</v>
      </c>
      <c r="AF19" s="15" t="s">
        <v>158</v>
      </c>
      <c r="AG19" s="17" t="s">
        <v>584</v>
      </c>
      <c r="AH19" s="17" t="s">
        <v>582</v>
      </c>
      <c r="AI19" s="17" t="s">
        <v>690</v>
      </c>
      <c r="AJ19" s="17" t="s">
        <v>582</v>
      </c>
      <c r="AK19" s="17" t="s">
        <v>578</v>
      </c>
      <c r="AM19" t="s">
        <v>556</v>
      </c>
      <c r="AN19" s="17" t="s">
        <v>155</v>
      </c>
      <c r="AO19" s="17" t="s">
        <v>155</v>
      </c>
      <c r="AP19" s="17" t="s">
        <v>511</v>
      </c>
      <c r="AQ19" s="17" t="s">
        <v>155</v>
      </c>
      <c r="AR19" s="17" t="s">
        <v>155</v>
      </c>
      <c r="AU19" s="15" t="s">
        <v>158</v>
      </c>
      <c r="AV19" s="17" t="s">
        <v>574</v>
      </c>
      <c r="AW19" s="17" t="s">
        <v>155</v>
      </c>
      <c r="AX19" s="17" t="s">
        <v>584</v>
      </c>
      <c r="AY19" s="17" t="s">
        <v>585</v>
      </c>
      <c r="AZ19" s="17" t="s">
        <v>584</v>
      </c>
      <c r="BB19" t="s">
        <v>555</v>
      </c>
      <c r="BC19" s="17" t="s">
        <v>155</v>
      </c>
      <c r="BD19" s="17" t="s">
        <v>155</v>
      </c>
      <c r="BE19" s="17" t="s">
        <v>155</v>
      </c>
      <c r="BF19" s="17" t="s">
        <v>511</v>
      </c>
      <c r="BG19" s="17" t="s">
        <v>155</v>
      </c>
      <c r="BM19" s="123" t="s">
        <v>866</v>
      </c>
      <c r="BN19" s="117"/>
      <c r="BO19" s="129" t="s">
        <v>857</v>
      </c>
      <c r="BP19" s="117">
        <v>3</v>
      </c>
      <c r="BS19" s="17" t="s">
        <v>544</v>
      </c>
      <c r="BT19" s="17" t="s">
        <v>92</v>
      </c>
      <c r="BU19" s="17" t="s">
        <v>272</v>
      </c>
      <c r="BV19" s="17" t="s">
        <v>871</v>
      </c>
      <c r="BW19" s="17" t="s">
        <v>269</v>
      </c>
      <c r="BX19" s="17" t="s">
        <v>870</v>
      </c>
      <c r="CE19" s="17" t="s">
        <v>544</v>
      </c>
      <c r="CF19" s="17" t="s">
        <v>272</v>
      </c>
      <c r="CG19" s="17" t="s">
        <v>92</v>
      </c>
      <c r="CH19" s="17" t="s">
        <v>869</v>
      </c>
      <c r="CI19" s="17" t="s">
        <v>272</v>
      </c>
      <c r="CJ19" s="17" t="s">
        <v>906</v>
      </c>
    </row>
    <row r="20" spans="17:88" x14ac:dyDescent="0.3">
      <c r="Q20" s="15" t="s">
        <v>159</v>
      </c>
      <c r="R20" s="17" t="s">
        <v>577</v>
      </c>
      <c r="S20" s="17" t="s">
        <v>574</v>
      </c>
      <c r="T20" s="17" t="s">
        <v>579</v>
      </c>
      <c r="U20" s="17" t="s">
        <v>580</v>
      </c>
      <c r="V20" s="17" t="s">
        <v>578</v>
      </c>
      <c r="X20" t="s">
        <v>557</v>
      </c>
      <c r="Y20" s="17" t="s">
        <v>155</v>
      </c>
      <c r="Z20" s="17" t="s">
        <v>155</v>
      </c>
      <c r="AA20" s="17" t="s">
        <v>155</v>
      </c>
      <c r="AB20" s="17" t="s">
        <v>511</v>
      </c>
      <c r="AC20" s="17" t="s">
        <v>155</v>
      </c>
      <c r="AF20" s="15" t="s">
        <v>159</v>
      </c>
      <c r="AG20" s="17" t="s">
        <v>584</v>
      </c>
      <c r="AH20" s="17" t="s">
        <v>582</v>
      </c>
      <c r="AI20" s="17" t="s">
        <v>690</v>
      </c>
      <c r="AJ20" s="17" t="s">
        <v>584</v>
      </c>
      <c r="AK20" s="17" t="s">
        <v>690</v>
      </c>
      <c r="AM20" t="s">
        <v>557</v>
      </c>
      <c r="AN20" s="17" t="s">
        <v>155</v>
      </c>
      <c r="AO20" s="17" t="s">
        <v>155</v>
      </c>
      <c r="AP20" s="17" t="s">
        <v>511</v>
      </c>
      <c r="AQ20" s="17" t="s">
        <v>155</v>
      </c>
      <c r="AR20" s="17" t="s">
        <v>155</v>
      </c>
      <c r="AU20" s="15" t="s">
        <v>159</v>
      </c>
      <c r="AV20" s="17" t="s">
        <v>574</v>
      </c>
      <c r="AW20" s="17" t="s">
        <v>585</v>
      </c>
      <c r="AX20" s="17" t="s">
        <v>584</v>
      </c>
      <c r="AY20" s="17" t="s">
        <v>585</v>
      </c>
      <c r="AZ20" s="17" t="s">
        <v>578</v>
      </c>
      <c r="BB20" t="s">
        <v>556</v>
      </c>
      <c r="BC20" s="17" t="s">
        <v>155</v>
      </c>
      <c r="BD20" s="17" t="s">
        <v>155</v>
      </c>
      <c r="BE20" s="17" t="s">
        <v>155</v>
      </c>
      <c r="BF20" s="17" t="s">
        <v>511</v>
      </c>
      <c r="BG20" s="17" t="s">
        <v>155</v>
      </c>
      <c r="BM20" s="119" t="s">
        <v>867</v>
      </c>
      <c r="BN20" s="117"/>
      <c r="BO20" s="127" t="s">
        <v>861</v>
      </c>
      <c r="BP20" s="117" t="s">
        <v>443</v>
      </c>
      <c r="BS20" s="17" t="s">
        <v>545</v>
      </c>
      <c r="BT20" s="17" t="s">
        <v>92</v>
      </c>
      <c r="BU20" s="17" t="s">
        <v>272</v>
      </c>
      <c r="BV20" s="17" t="s">
        <v>871</v>
      </c>
      <c r="BW20" s="17" t="s">
        <v>272</v>
      </c>
      <c r="BX20" s="17" t="s">
        <v>274</v>
      </c>
      <c r="CE20" s="17" t="s">
        <v>545</v>
      </c>
      <c r="CF20" s="17" t="s">
        <v>272</v>
      </c>
      <c r="CG20" s="17" t="s">
        <v>92</v>
      </c>
      <c r="CH20" s="17" t="s">
        <v>274</v>
      </c>
      <c r="CI20" s="17" t="s">
        <v>272</v>
      </c>
      <c r="CJ20" s="17" t="s">
        <v>878</v>
      </c>
    </row>
    <row r="21" spans="17:88" x14ac:dyDescent="0.3">
      <c r="Q21" s="15" t="s">
        <v>160</v>
      </c>
      <c r="R21" s="17" t="s">
        <v>155</v>
      </c>
      <c r="S21" s="17" t="s">
        <v>574</v>
      </c>
      <c r="T21" s="17" t="s">
        <v>579</v>
      </c>
      <c r="U21" s="17" t="s">
        <v>580</v>
      </c>
      <c r="V21" s="17" t="s">
        <v>578</v>
      </c>
      <c r="AF21" s="15" t="s">
        <v>160</v>
      </c>
      <c r="AG21" s="17" t="s">
        <v>584</v>
      </c>
      <c r="AH21" s="17" t="s">
        <v>582</v>
      </c>
      <c r="AI21" s="17" t="s">
        <v>690</v>
      </c>
      <c r="AJ21" s="17" t="s">
        <v>584</v>
      </c>
      <c r="AK21" s="17" t="s">
        <v>690</v>
      </c>
      <c r="AU21" s="15" t="s">
        <v>160</v>
      </c>
      <c r="AV21" s="17" t="s">
        <v>574</v>
      </c>
      <c r="AW21" s="17" t="s">
        <v>585</v>
      </c>
      <c r="AX21" s="17" t="s">
        <v>584</v>
      </c>
      <c r="AY21" s="17" t="s">
        <v>585</v>
      </c>
      <c r="AZ21" s="17" t="s">
        <v>578</v>
      </c>
      <c r="BM21" s="119" t="s">
        <v>868</v>
      </c>
      <c r="BN21" s="117"/>
      <c r="BO21" s="127" t="s">
        <v>861</v>
      </c>
      <c r="BP21" s="117">
        <v>2</v>
      </c>
      <c r="BS21" s="17" t="s">
        <v>546</v>
      </c>
      <c r="BT21" s="17" t="s">
        <v>92</v>
      </c>
      <c r="BU21" s="17" t="s">
        <v>272</v>
      </c>
      <c r="BV21" s="17" t="s">
        <v>274</v>
      </c>
      <c r="BW21" s="17" t="s">
        <v>272</v>
      </c>
      <c r="BX21" s="17" t="s">
        <v>274</v>
      </c>
      <c r="CE21" s="17" t="s">
        <v>546</v>
      </c>
      <c r="CF21" s="17" t="s">
        <v>272</v>
      </c>
      <c r="CG21" s="17" t="s">
        <v>92</v>
      </c>
      <c r="CH21" s="17" t="s">
        <v>274</v>
      </c>
      <c r="CI21" s="17" t="s">
        <v>155</v>
      </c>
      <c r="CJ21" s="17" t="s">
        <v>155</v>
      </c>
    </row>
    <row r="22" spans="17:88" x14ac:dyDescent="0.3">
      <c r="X22" t="s">
        <v>819</v>
      </c>
      <c r="AM22" t="s">
        <v>819</v>
      </c>
      <c r="BB22" t="s">
        <v>819</v>
      </c>
    </row>
    <row r="23" spans="17:88" x14ac:dyDescent="0.3">
      <c r="Q23" s="15" t="s">
        <v>551</v>
      </c>
      <c r="Y23" s="17" t="s">
        <v>164</v>
      </c>
      <c r="Z23" s="17" t="s">
        <v>165</v>
      </c>
      <c r="AA23" s="17" t="s">
        <v>166</v>
      </c>
      <c r="AB23" s="17" t="s">
        <v>167</v>
      </c>
      <c r="AC23" s="17" t="s">
        <v>168</v>
      </c>
      <c r="AF23" s="15" t="s">
        <v>551</v>
      </c>
      <c r="AN23" s="17" t="s">
        <v>164</v>
      </c>
      <c r="AO23" s="17" t="s">
        <v>165</v>
      </c>
      <c r="AP23" s="17" t="s">
        <v>166</v>
      </c>
      <c r="AQ23" s="17" t="s">
        <v>167</v>
      </c>
      <c r="AR23" s="17" t="s">
        <v>168</v>
      </c>
      <c r="AU23" s="15" t="s">
        <v>551</v>
      </c>
      <c r="BC23" s="17" t="s">
        <v>164</v>
      </c>
      <c r="BD23" s="17" t="s">
        <v>165</v>
      </c>
      <c r="BE23" s="17" t="s">
        <v>166</v>
      </c>
      <c r="BF23" s="17" t="s">
        <v>167</v>
      </c>
      <c r="BG23" s="17" t="s">
        <v>168</v>
      </c>
      <c r="CE23" s="17" t="s">
        <v>783</v>
      </c>
    </row>
    <row r="24" spans="17:88" x14ac:dyDescent="0.3">
      <c r="R24" s="17" t="s">
        <v>164</v>
      </c>
      <c r="S24" s="17" t="s">
        <v>165</v>
      </c>
      <c r="T24" s="17" t="s">
        <v>166</v>
      </c>
      <c r="U24" s="17" t="s">
        <v>167</v>
      </c>
      <c r="V24" s="17" t="s">
        <v>168</v>
      </c>
      <c r="X24" t="s">
        <v>542</v>
      </c>
      <c r="Y24" s="17" t="s">
        <v>155</v>
      </c>
      <c r="Z24" s="17" t="s">
        <v>155</v>
      </c>
      <c r="AA24" s="17" t="s">
        <v>269</v>
      </c>
      <c r="AB24" s="17" t="s">
        <v>155</v>
      </c>
      <c r="AC24" s="17" t="s">
        <v>269</v>
      </c>
      <c r="AG24" s="17" t="s">
        <v>164</v>
      </c>
      <c r="AH24" s="17" t="s">
        <v>165</v>
      </c>
      <c r="AI24" s="17" t="s">
        <v>166</v>
      </c>
      <c r="AJ24" s="17" t="s">
        <v>167</v>
      </c>
      <c r="AK24" s="17" t="s">
        <v>168</v>
      </c>
      <c r="AM24" t="s">
        <v>542</v>
      </c>
      <c r="AN24" s="17" t="s">
        <v>155</v>
      </c>
      <c r="AO24" s="17" t="s">
        <v>155</v>
      </c>
      <c r="AP24" s="17" t="s">
        <v>269</v>
      </c>
      <c r="AQ24" s="17" t="s">
        <v>155</v>
      </c>
      <c r="AR24" s="17" t="s">
        <v>269</v>
      </c>
      <c r="AV24" s="17" t="s">
        <v>164</v>
      </c>
      <c r="AW24" s="17" t="s">
        <v>165</v>
      </c>
      <c r="AX24" s="17" t="s">
        <v>166</v>
      </c>
      <c r="AY24" s="17" t="s">
        <v>167</v>
      </c>
      <c r="AZ24" s="17" t="s">
        <v>168</v>
      </c>
      <c r="BB24" t="s">
        <v>542</v>
      </c>
      <c r="BC24" s="17" t="s">
        <v>155</v>
      </c>
      <c r="BD24" s="17" t="s">
        <v>155</v>
      </c>
      <c r="BE24" s="17" t="s">
        <v>269</v>
      </c>
      <c r="BF24" s="17" t="s">
        <v>155</v>
      </c>
      <c r="BG24" s="17" t="s">
        <v>269</v>
      </c>
      <c r="BM24" s="121" t="s">
        <v>863</v>
      </c>
      <c r="BN24" s="117" t="s">
        <v>444</v>
      </c>
      <c r="BS24" s="17" t="s">
        <v>804</v>
      </c>
      <c r="CF24" s="17" t="s">
        <v>164</v>
      </c>
      <c r="CG24" s="17" t="s">
        <v>165</v>
      </c>
      <c r="CH24" s="17" t="s">
        <v>166</v>
      </c>
      <c r="CI24" s="17" t="s">
        <v>167</v>
      </c>
      <c r="CJ24" s="17" t="s">
        <v>168</v>
      </c>
    </row>
    <row r="25" spans="17:88" x14ac:dyDescent="0.3">
      <c r="Q25" s="15" t="s">
        <v>548</v>
      </c>
      <c r="R25" s="17" t="s">
        <v>574</v>
      </c>
      <c r="S25" s="17" t="s">
        <v>155</v>
      </c>
      <c r="T25" s="17" t="s">
        <v>155</v>
      </c>
      <c r="U25" s="17" t="s">
        <v>155</v>
      </c>
      <c r="V25" s="17" t="s">
        <v>580</v>
      </c>
      <c r="X25" t="s">
        <v>543</v>
      </c>
      <c r="Y25" s="17" t="s">
        <v>155</v>
      </c>
      <c r="Z25" s="17" t="s">
        <v>155</v>
      </c>
      <c r="AA25" s="17" t="s">
        <v>269</v>
      </c>
      <c r="AB25" s="17" t="s">
        <v>155</v>
      </c>
      <c r="AC25" s="17" t="s">
        <v>269</v>
      </c>
      <c r="AF25" s="15" t="s">
        <v>548</v>
      </c>
      <c r="AG25" s="17" t="s">
        <v>587</v>
      </c>
      <c r="AH25" s="17" t="s">
        <v>155</v>
      </c>
      <c r="AI25" s="17" t="s">
        <v>155</v>
      </c>
      <c r="AJ25" s="17" t="s">
        <v>155</v>
      </c>
      <c r="AK25" s="17" t="s">
        <v>578</v>
      </c>
      <c r="AM25" t="s">
        <v>543</v>
      </c>
      <c r="AN25" s="17" t="s">
        <v>155</v>
      </c>
      <c r="AO25" s="17" t="s">
        <v>155</v>
      </c>
      <c r="AP25" s="17" t="s">
        <v>269</v>
      </c>
      <c r="AQ25" s="17" t="s">
        <v>155</v>
      </c>
      <c r="AR25" s="17" t="s">
        <v>269</v>
      </c>
      <c r="AU25" s="15" t="s">
        <v>548</v>
      </c>
      <c r="AV25" s="17" t="s">
        <v>575</v>
      </c>
      <c r="AW25" s="17" t="s">
        <v>155</v>
      </c>
      <c r="AX25" s="17" t="s">
        <v>155</v>
      </c>
      <c r="AY25" s="17" t="s">
        <v>575</v>
      </c>
      <c r="AZ25" s="17" t="s">
        <v>155</v>
      </c>
      <c r="BB25" t="s">
        <v>543</v>
      </c>
      <c r="BC25" s="17" t="s">
        <v>155</v>
      </c>
      <c r="BD25" s="17" t="s">
        <v>155</v>
      </c>
      <c r="BE25" s="17" t="s">
        <v>269</v>
      </c>
      <c r="BF25" s="17" t="s">
        <v>155</v>
      </c>
      <c r="BG25" s="17" t="s">
        <v>269</v>
      </c>
      <c r="BM25" s="115" t="s">
        <v>662</v>
      </c>
      <c r="BN25" s="117" t="s">
        <v>443</v>
      </c>
      <c r="CE25" s="17" t="s">
        <v>555</v>
      </c>
      <c r="CF25" s="17" t="s">
        <v>155</v>
      </c>
      <c r="CG25" s="17" t="s">
        <v>529</v>
      </c>
      <c r="CH25" s="17" t="s">
        <v>260</v>
      </c>
      <c r="CI25" s="17" t="s">
        <v>529</v>
      </c>
      <c r="CJ25" s="17" t="s">
        <v>155</v>
      </c>
    </row>
    <row r="26" spans="17:88" x14ac:dyDescent="0.3">
      <c r="Q26" s="15" t="s">
        <v>549</v>
      </c>
      <c r="R26" s="17" t="s">
        <v>574</v>
      </c>
      <c r="S26" s="17" t="s">
        <v>576</v>
      </c>
      <c r="T26" s="17" t="s">
        <v>155</v>
      </c>
      <c r="U26" s="17" t="s">
        <v>155</v>
      </c>
      <c r="V26" s="17" t="s">
        <v>580</v>
      </c>
      <c r="AF26" s="15" t="s">
        <v>549</v>
      </c>
      <c r="AG26" s="17" t="s">
        <v>587</v>
      </c>
      <c r="AH26" s="17" t="s">
        <v>155</v>
      </c>
      <c r="AI26" s="17" t="s">
        <v>587</v>
      </c>
      <c r="AJ26" s="17" t="s">
        <v>576</v>
      </c>
      <c r="AK26" s="17" t="s">
        <v>578</v>
      </c>
      <c r="AU26" s="15" t="s">
        <v>549</v>
      </c>
      <c r="AV26" s="17" t="s">
        <v>575</v>
      </c>
      <c r="AW26" s="17" t="s">
        <v>576</v>
      </c>
      <c r="AX26" s="17" t="s">
        <v>155</v>
      </c>
      <c r="AY26" s="17" t="s">
        <v>575</v>
      </c>
      <c r="AZ26" s="17" t="s">
        <v>155</v>
      </c>
      <c r="BS26" s="17" t="s">
        <v>814</v>
      </c>
      <c r="CE26" s="17" t="s">
        <v>556</v>
      </c>
      <c r="CF26" s="17" t="s">
        <v>155</v>
      </c>
      <c r="CG26" s="17" t="s">
        <v>907</v>
      </c>
      <c r="CH26" s="17" t="s">
        <v>260</v>
      </c>
      <c r="CI26" s="17" t="s">
        <v>529</v>
      </c>
      <c r="CJ26" s="17" t="s">
        <v>155</v>
      </c>
    </row>
    <row r="27" spans="17:88" x14ac:dyDescent="0.3">
      <c r="Q27" s="15" t="s">
        <v>550</v>
      </c>
      <c r="R27" s="17" t="s">
        <v>574</v>
      </c>
      <c r="S27" s="17" t="s">
        <v>576</v>
      </c>
      <c r="T27" s="17" t="s">
        <v>155</v>
      </c>
      <c r="U27" s="17" t="s">
        <v>584</v>
      </c>
      <c r="V27" s="17" t="s">
        <v>578</v>
      </c>
      <c r="X27" t="s">
        <v>715</v>
      </c>
      <c r="AF27" s="15" t="s">
        <v>550</v>
      </c>
      <c r="AG27" s="17" t="s">
        <v>587</v>
      </c>
      <c r="AH27" s="17" t="s">
        <v>155</v>
      </c>
      <c r="AI27" s="17" t="s">
        <v>587</v>
      </c>
      <c r="AJ27" s="17" t="s">
        <v>576</v>
      </c>
      <c r="AK27" s="17" t="s">
        <v>581</v>
      </c>
      <c r="AM27" t="s">
        <v>715</v>
      </c>
      <c r="AU27" s="15" t="s">
        <v>550</v>
      </c>
      <c r="AV27" s="17" t="s">
        <v>577</v>
      </c>
      <c r="AW27" s="17" t="s">
        <v>576</v>
      </c>
      <c r="AX27" s="17" t="s">
        <v>577</v>
      </c>
      <c r="AY27" s="17" t="s">
        <v>575</v>
      </c>
      <c r="AZ27" s="17" t="s">
        <v>578</v>
      </c>
      <c r="BB27" t="s">
        <v>715</v>
      </c>
      <c r="BM27" s="120" t="s">
        <v>862</v>
      </c>
      <c r="BN27" s="117">
        <v>4</v>
      </c>
      <c r="BT27" s="17" t="s">
        <v>164</v>
      </c>
      <c r="BU27" s="17" t="s">
        <v>165</v>
      </c>
      <c r="BV27" s="17" t="s">
        <v>166</v>
      </c>
      <c r="BW27" s="17" t="s">
        <v>167</v>
      </c>
      <c r="BX27" s="17" t="s">
        <v>168</v>
      </c>
      <c r="CE27" s="17" t="s">
        <v>557</v>
      </c>
      <c r="CF27" s="17" t="s">
        <v>887</v>
      </c>
      <c r="CG27" s="17" t="s">
        <v>531</v>
      </c>
      <c r="CH27" s="17" t="s">
        <v>887</v>
      </c>
      <c r="CI27" s="17" t="s">
        <v>392</v>
      </c>
      <c r="CJ27" s="17" t="s">
        <v>893</v>
      </c>
    </row>
    <row r="28" spans="17:88" x14ac:dyDescent="0.3">
      <c r="Q28" s="15" t="s">
        <v>158</v>
      </c>
      <c r="R28" s="17" t="s">
        <v>584</v>
      </c>
      <c r="S28" s="17" t="s">
        <v>585</v>
      </c>
      <c r="T28" s="17" t="s">
        <v>690</v>
      </c>
      <c r="U28" s="17" t="s">
        <v>584</v>
      </c>
      <c r="V28" s="17" t="s">
        <v>578</v>
      </c>
      <c r="Y28" s="17" t="s">
        <v>164</v>
      </c>
      <c r="Z28" s="17" t="s">
        <v>165</v>
      </c>
      <c r="AA28" s="17" t="s">
        <v>166</v>
      </c>
      <c r="AB28" s="17" t="s">
        <v>167</v>
      </c>
      <c r="AC28" s="17" t="s">
        <v>168</v>
      </c>
      <c r="AF28" s="15" t="s">
        <v>158</v>
      </c>
      <c r="AG28" s="17" t="s">
        <v>574</v>
      </c>
      <c r="AH28" s="17" t="s">
        <v>155</v>
      </c>
      <c r="AI28" s="17" t="s">
        <v>581</v>
      </c>
      <c r="AJ28" s="17" t="s">
        <v>585</v>
      </c>
      <c r="AK28" s="17" t="s">
        <v>581</v>
      </c>
      <c r="AN28" s="17" t="s">
        <v>164</v>
      </c>
      <c r="AO28" s="17" t="s">
        <v>165</v>
      </c>
      <c r="AP28" s="17" t="s">
        <v>166</v>
      </c>
      <c r="AQ28" s="17" t="s">
        <v>167</v>
      </c>
      <c r="AR28" s="17" t="s">
        <v>168</v>
      </c>
      <c r="AU28" s="15" t="s">
        <v>158</v>
      </c>
      <c r="AV28" s="17" t="s">
        <v>577</v>
      </c>
      <c r="AW28" s="17" t="s">
        <v>574</v>
      </c>
      <c r="AX28" s="17" t="s">
        <v>577</v>
      </c>
      <c r="AY28" s="17" t="s">
        <v>579</v>
      </c>
      <c r="AZ28" s="17" t="s">
        <v>578</v>
      </c>
      <c r="BC28" s="17" t="s">
        <v>164</v>
      </c>
      <c r="BD28" s="17" t="s">
        <v>165</v>
      </c>
      <c r="BE28" s="17" t="s">
        <v>166</v>
      </c>
      <c r="BF28" s="17" t="s">
        <v>167</v>
      </c>
      <c r="BG28" s="17" t="s">
        <v>168</v>
      </c>
      <c r="BM28" s="123" t="s">
        <v>866</v>
      </c>
      <c r="BN28" s="117">
        <v>3</v>
      </c>
      <c r="BS28" s="17" t="s">
        <v>555</v>
      </c>
      <c r="BT28" s="17" t="s">
        <v>279</v>
      </c>
      <c r="BU28" s="17" t="s">
        <v>459</v>
      </c>
      <c r="BV28" s="17" t="s">
        <v>155</v>
      </c>
      <c r="BW28" s="17" t="s">
        <v>465</v>
      </c>
      <c r="BX28" s="17" t="s">
        <v>872</v>
      </c>
      <c r="CE28" s="17" t="s">
        <v>542</v>
      </c>
      <c r="CF28" s="17" t="s">
        <v>887</v>
      </c>
      <c r="CG28" s="17" t="s">
        <v>392</v>
      </c>
      <c r="CH28" s="17" t="s">
        <v>887</v>
      </c>
      <c r="CI28" s="17" t="s">
        <v>392</v>
      </c>
      <c r="CJ28" s="17" t="s">
        <v>893</v>
      </c>
    </row>
    <row r="29" spans="17:88" x14ac:dyDescent="0.3">
      <c r="Q29" s="15" t="s">
        <v>159</v>
      </c>
      <c r="R29" s="17" t="s">
        <v>584</v>
      </c>
      <c r="S29" s="17" t="s">
        <v>585</v>
      </c>
      <c r="T29" s="17" t="s">
        <v>690</v>
      </c>
      <c r="U29" s="17" t="s">
        <v>585</v>
      </c>
      <c r="V29" s="17" t="s">
        <v>690</v>
      </c>
      <c r="X29" t="s">
        <v>158</v>
      </c>
      <c r="Y29" s="17" t="s">
        <v>155</v>
      </c>
      <c r="Z29" s="17" t="s">
        <v>8</v>
      </c>
      <c r="AA29" s="17" t="s">
        <v>155</v>
      </c>
      <c r="AB29" s="17" t="s">
        <v>155</v>
      </c>
      <c r="AC29" s="17" t="s">
        <v>155</v>
      </c>
      <c r="AF29" s="15" t="s">
        <v>159</v>
      </c>
      <c r="AG29" s="17" t="s">
        <v>574</v>
      </c>
      <c r="AH29" s="17" t="s">
        <v>585</v>
      </c>
      <c r="AI29" s="17" t="s">
        <v>581</v>
      </c>
      <c r="AJ29" s="17" t="s">
        <v>585</v>
      </c>
      <c r="AK29" s="17" t="s">
        <v>580</v>
      </c>
      <c r="AM29" t="s">
        <v>158</v>
      </c>
      <c r="AN29" s="17" t="s">
        <v>155</v>
      </c>
      <c r="AO29" s="17" t="s">
        <v>155</v>
      </c>
      <c r="AP29" s="17" t="s">
        <v>155</v>
      </c>
      <c r="AQ29" s="17" t="s">
        <v>8</v>
      </c>
      <c r="AR29" s="17" t="s">
        <v>155</v>
      </c>
      <c r="AU29" s="15" t="s">
        <v>159</v>
      </c>
      <c r="AV29" s="17" t="s">
        <v>579</v>
      </c>
      <c r="AW29" s="17" t="s">
        <v>574</v>
      </c>
      <c r="AX29" s="17" t="s">
        <v>577</v>
      </c>
      <c r="AY29" s="17" t="s">
        <v>579</v>
      </c>
      <c r="AZ29" s="17" t="s">
        <v>580</v>
      </c>
      <c r="BB29" t="s">
        <v>158</v>
      </c>
      <c r="BC29" s="17" t="s">
        <v>155</v>
      </c>
      <c r="BD29" s="17" t="s">
        <v>155</v>
      </c>
      <c r="BE29" s="17" t="s">
        <v>155</v>
      </c>
      <c r="BF29" s="17" t="s">
        <v>8</v>
      </c>
      <c r="BG29" s="17" t="s">
        <v>155</v>
      </c>
      <c r="BS29" s="17" t="s">
        <v>556</v>
      </c>
      <c r="BT29" s="17" t="s">
        <v>279</v>
      </c>
      <c r="BU29" s="17" t="s">
        <v>459</v>
      </c>
      <c r="BV29" s="17" t="s">
        <v>155</v>
      </c>
      <c r="BW29" s="17" t="s">
        <v>465</v>
      </c>
      <c r="BX29" s="17" t="s">
        <v>872</v>
      </c>
      <c r="CE29" s="17" t="s">
        <v>543</v>
      </c>
      <c r="CF29" s="17" t="s">
        <v>530</v>
      </c>
      <c r="CG29" s="17" t="s">
        <v>392</v>
      </c>
      <c r="CH29" s="17" t="s">
        <v>391</v>
      </c>
      <c r="CI29" s="17" t="s">
        <v>392</v>
      </c>
      <c r="CJ29" s="17" t="s">
        <v>391</v>
      </c>
    </row>
    <row r="30" spans="17:88" x14ac:dyDescent="0.3">
      <c r="Q30" s="15" t="s">
        <v>160</v>
      </c>
      <c r="R30" s="17" t="s">
        <v>584</v>
      </c>
      <c r="S30" s="17" t="s">
        <v>585</v>
      </c>
      <c r="T30" s="17" t="s">
        <v>690</v>
      </c>
      <c r="U30" s="17" t="s">
        <v>585</v>
      </c>
      <c r="V30" s="17" t="s">
        <v>690</v>
      </c>
      <c r="X30" t="s">
        <v>159</v>
      </c>
      <c r="Y30" s="17" t="s">
        <v>155</v>
      </c>
      <c r="Z30" s="17" t="s">
        <v>8</v>
      </c>
      <c r="AA30" s="17" t="s">
        <v>155</v>
      </c>
      <c r="AB30" s="17" t="s">
        <v>8</v>
      </c>
      <c r="AC30" s="17" t="s">
        <v>155</v>
      </c>
      <c r="AF30" s="15" t="s">
        <v>160</v>
      </c>
      <c r="AG30" s="17" t="s">
        <v>574</v>
      </c>
      <c r="AH30" s="17" t="s">
        <v>585</v>
      </c>
      <c r="AI30" s="17" t="s">
        <v>581</v>
      </c>
      <c r="AJ30" s="17" t="s">
        <v>585</v>
      </c>
      <c r="AK30" s="17" t="s">
        <v>580</v>
      </c>
      <c r="AM30" t="s">
        <v>159</v>
      </c>
      <c r="AN30" s="17" t="s">
        <v>155</v>
      </c>
      <c r="AO30" s="17" t="s">
        <v>8</v>
      </c>
      <c r="AP30" s="17" t="s">
        <v>155</v>
      </c>
      <c r="AQ30" s="17" t="s">
        <v>8</v>
      </c>
      <c r="AR30" s="17" t="s">
        <v>155</v>
      </c>
      <c r="AU30" s="15" t="s">
        <v>160</v>
      </c>
      <c r="AV30" s="17" t="s">
        <v>579</v>
      </c>
      <c r="AW30" s="17" t="s">
        <v>574</v>
      </c>
      <c r="AX30" s="17" t="s">
        <v>155</v>
      </c>
      <c r="AY30" s="17" t="s">
        <v>579</v>
      </c>
      <c r="AZ30" s="17" t="s">
        <v>580</v>
      </c>
      <c r="BB30" t="s">
        <v>159</v>
      </c>
      <c r="BC30" s="17" t="s">
        <v>155</v>
      </c>
      <c r="BD30" s="17" t="s">
        <v>8</v>
      </c>
      <c r="BE30" s="17" t="s">
        <v>155</v>
      </c>
      <c r="BF30" s="17" t="s">
        <v>8</v>
      </c>
      <c r="BG30" s="17" t="s">
        <v>155</v>
      </c>
      <c r="BM30" s="118" t="s">
        <v>280</v>
      </c>
      <c r="BN30" s="117">
        <v>3</v>
      </c>
      <c r="BS30" s="17" t="s">
        <v>557</v>
      </c>
      <c r="BT30" s="17" t="s">
        <v>155</v>
      </c>
      <c r="BU30" s="17" t="s">
        <v>459</v>
      </c>
      <c r="BV30" s="17" t="s">
        <v>675</v>
      </c>
      <c r="BW30" s="17" t="s">
        <v>465</v>
      </c>
      <c r="BX30" s="17" t="s">
        <v>683</v>
      </c>
      <c r="CE30" s="17" t="s">
        <v>544</v>
      </c>
      <c r="CF30" s="17" t="s">
        <v>894</v>
      </c>
      <c r="CG30" s="17" t="s">
        <v>392</v>
      </c>
      <c r="CH30" s="17" t="s">
        <v>391</v>
      </c>
      <c r="CI30" s="17" t="s">
        <v>533</v>
      </c>
      <c r="CJ30" s="17" t="s">
        <v>391</v>
      </c>
    </row>
    <row r="31" spans="17:88" x14ac:dyDescent="0.3">
      <c r="X31" t="s">
        <v>160</v>
      </c>
      <c r="Y31" s="17" t="s">
        <v>155</v>
      </c>
      <c r="Z31" s="17" t="s">
        <v>8</v>
      </c>
      <c r="AA31" s="17" t="s">
        <v>155</v>
      </c>
      <c r="AB31" s="17" t="s">
        <v>8</v>
      </c>
      <c r="AC31" s="17" t="s">
        <v>155</v>
      </c>
      <c r="AM31" t="s">
        <v>160</v>
      </c>
      <c r="AN31" s="17" t="s">
        <v>155</v>
      </c>
      <c r="AO31" s="17" t="s">
        <v>8</v>
      </c>
      <c r="AP31" s="17" t="s">
        <v>155</v>
      </c>
      <c r="AQ31" s="17" t="s">
        <v>8</v>
      </c>
      <c r="AR31" s="17" t="s">
        <v>155</v>
      </c>
      <c r="BB31" t="s">
        <v>160</v>
      </c>
      <c r="BC31" s="17" t="s">
        <v>155</v>
      </c>
      <c r="BD31" s="17" t="s">
        <v>8</v>
      </c>
      <c r="BE31" s="17" t="s">
        <v>155</v>
      </c>
      <c r="BF31" s="17" t="s">
        <v>8</v>
      </c>
      <c r="BG31" s="17" t="s">
        <v>155</v>
      </c>
      <c r="BS31" s="17" t="s">
        <v>542</v>
      </c>
      <c r="BT31" s="17" t="s">
        <v>869</v>
      </c>
      <c r="BU31" s="17" t="s">
        <v>464</v>
      </c>
      <c r="BV31" s="17" t="s">
        <v>873</v>
      </c>
      <c r="BW31" s="17" t="s">
        <v>465</v>
      </c>
      <c r="BX31" s="17" t="s">
        <v>874</v>
      </c>
      <c r="CE31" s="17" t="s">
        <v>545</v>
      </c>
      <c r="CF31" s="17" t="s">
        <v>533</v>
      </c>
      <c r="CG31" s="17" t="s">
        <v>155</v>
      </c>
      <c r="CH31" s="17" t="s">
        <v>664</v>
      </c>
      <c r="CI31" s="17" t="s">
        <v>533</v>
      </c>
      <c r="CJ31" s="17" t="s">
        <v>260</v>
      </c>
    </row>
    <row r="32" spans="17:88" x14ac:dyDescent="0.3">
      <c r="Q32" s="15" t="s">
        <v>552</v>
      </c>
      <c r="X32" t="s">
        <v>554</v>
      </c>
      <c r="Y32" s="17" t="s">
        <v>155</v>
      </c>
      <c r="Z32" s="17" t="s">
        <v>22</v>
      </c>
      <c r="AA32" s="17" t="s">
        <v>155</v>
      </c>
      <c r="AB32" s="17" t="s">
        <v>22</v>
      </c>
      <c r="AC32" s="17" t="s">
        <v>155</v>
      </c>
      <c r="AF32" s="15" t="s">
        <v>552</v>
      </c>
      <c r="AM32" t="s">
        <v>554</v>
      </c>
      <c r="AN32" s="17" t="s">
        <v>155</v>
      </c>
      <c r="AO32" s="17" t="s">
        <v>22</v>
      </c>
      <c r="AP32" s="17" t="s">
        <v>155</v>
      </c>
      <c r="AQ32" s="17" t="s">
        <v>23</v>
      </c>
      <c r="AR32" s="17" t="s">
        <v>155</v>
      </c>
      <c r="AU32" s="15" t="s">
        <v>552</v>
      </c>
      <c r="BB32" t="s">
        <v>554</v>
      </c>
      <c r="BC32" s="17" t="s">
        <v>155</v>
      </c>
      <c r="BD32" s="17" t="s">
        <v>22</v>
      </c>
      <c r="BE32" s="17" t="s">
        <v>155</v>
      </c>
      <c r="BF32" s="17" t="s">
        <v>22</v>
      </c>
      <c r="BG32" s="17" t="s">
        <v>155</v>
      </c>
      <c r="BS32" s="17" t="s">
        <v>543</v>
      </c>
      <c r="BT32" s="17" t="s">
        <v>869</v>
      </c>
      <c r="BU32" s="17" t="s">
        <v>464</v>
      </c>
      <c r="BV32" s="17" t="s">
        <v>873</v>
      </c>
      <c r="BW32" s="17" t="s">
        <v>464</v>
      </c>
      <c r="BX32" s="17" t="s">
        <v>874</v>
      </c>
    </row>
    <row r="33" spans="17:88" x14ac:dyDescent="0.3">
      <c r="R33" s="17" t="s">
        <v>164</v>
      </c>
      <c r="S33" s="17" t="s">
        <v>165</v>
      </c>
      <c r="T33" s="17" t="s">
        <v>166</v>
      </c>
      <c r="U33" s="17" t="s">
        <v>167</v>
      </c>
      <c r="V33" s="17" t="s">
        <v>168</v>
      </c>
      <c r="X33" t="s">
        <v>555</v>
      </c>
      <c r="Y33" s="17" t="s">
        <v>155</v>
      </c>
      <c r="Z33" s="17" t="s">
        <v>22</v>
      </c>
      <c r="AA33" s="17" t="s">
        <v>155</v>
      </c>
      <c r="AB33" s="17" t="s">
        <v>22</v>
      </c>
      <c r="AC33" s="17" t="s">
        <v>155</v>
      </c>
      <c r="AG33" s="17" t="s">
        <v>164</v>
      </c>
      <c r="AH33" s="17" t="s">
        <v>165</v>
      </c>
      <c r="AI33" s="17" t="s">
        <v>166</v>
      </c>
      <c r="AJ33" s="17" t="s">
        <v>167</v>
      </c>
      <c r="AK33" s="17" t="s">
        <v>168</v>
      </c>
      <c r="AM33" t="s">
        <v>555</v>
      </c>
      <c r="AN33" s="17" t="s">
        <v>155</v>
      </c>
      <c r="AO33" s="17" t="s">
        <v>22</v>
      </c>
      <c r="AP33" s="17" t="s">
        <v>155</v>
      </c>
      <c r="AQ33" s="17" t="s">
        <v>23</v>
      </c>
      <c r="AR33" s="17" t="s">
        <v>155</v>
      </c>
      <c r="AV33" s="17" t="s">
        <v>164</v>
      </c>
      <c r="AW33" s="17" t="s">
        <v>165</v>
      </c>
      <c r="AX33" s="17" t="s">
        <v>166</v>
      </c>
      <c r="AY33" s="17" t="s">
        <v>167</v>
      </c>
      <c r="AZ33" s="17" t="s">
        <v>168</v>
      </c>
      <c r="BB33" t="s">
        <v>555</v>
      </c>
      <c r="BC33" s="17" t="s">
        <v>155</v>
      </c>
      <c r="BD33" s="17" t="s">
        <v>22</v>
      </c>
      <c r="BE33" s="17" t="s">
        <v>155</v>
      </c>
      <c r="BF33" s="17" t="s">
        <v>22</v>
      </c>
      <c r="BG33" s="17" t="s">
        <v>155</v>
      </c>
      <c r="BS33" s="17" t="s">
        <v>544</v>
      </c>
      <c r="BT33" s="17" t="s">
        <v>409</v>
      </c>
      <c r="BU33" s="17" t="s">
        <v>155</v>
      </c>
      <c r="BV33" s="17" t="s">
        <v>875</v>
      </c>
      <c r="BW33" s="17" t="s">
        <v>464</v>
      </c>
      <c r="BX33" s="17" t="s">
        <v>874</v>
      </c>
      <c r="CE33" s="17" t="s">
        <v>790</v>
      </c>
    </row>
    <row r="34" spans="17:88" x14ac:dyDescent="0.3">
      <c r="Q34" s="15" t="s">
        <v>548</v>
      </c>
      <c r="R34" s="17" t="s">
        <v>575</v>
      </c>
      <c r="S34" s="17" t="s">
        <v>155</v>
      </c>
      <c r="T34" s="17" t="s">
        <v>155</v>
      </c>
      <c r="U34" s="17" t="s">
        <v>575</v>
      </c>
      <c r="V34" s="17" t="s">
        <v>578</v>
      </c>
      <c r="X34" t="s">
        <v>556</v>
      </c>
      <c r="Y34" s="17" t="s">
        <v>155</v>
      </c>
      <c r="Z34" s="17" t="s">
        <v>23</v>
      </c>
      <c r="AA34" s="17" t="s">
        <v>155</v>
      </c>
      <c r="AB34" s="17" t="s">
        <v>22</v>
      </c>
      <c r="AC34" s="17" t="s">
        <v>155</v>
      </c>
      <c r="AF34" s="15" t="s">
        <v>548</v>
      </c>
      <c r="AG34" s="17" t="s">
        <v>155</v>
      </c>
      <c r="AH34" s="17" t="s">
        <v>155</v>
      </c>
      <c r="AI34" s="17" t="s">
        <v>575</v>
      </c>
      <c r="AJ34" s="17" t="s">
        <v>155</v>
      </c>
      <c r="AK34" s="17" t="s">
        <v>575</v>
      </c>
      <c r="AM34" t="s">
        <v>556</v>
      </c>
      <c r="AN34" s="17" t="s">
        <v>155</v>
      </c>
      <c r="AO34" s="17" t="s">
        <v>22</v>
      </c>
      <c r="AP34" s="17" t="s">
        <v>155</v>
      </c>
      <c r="AQ34" s="17" t="s">
        <v>22</v>
      </c>
      <c r="AR34" s="17" t="s">
        <v>155</v>
      </c>
      <c r="AU34" s="15" t="s">
        <v>548</v>
      </c>
      <c r="AV34" s="17" t="s">
        <v>574</v>
      </c>
      <c r="AW34" s="17" t="s">
        <v>155</v>
      </c>
      <c r="AX34" s="17" t="s">
        <v>155</v>
      </c>
      <c r="AY34" s="17" t="s">
        <v>155</v>
      </c>
      <c r="AZ34" s="17" t="s">
        <v>578</v>
      </c>
      <c r="BB34" t="s">
        <v>556</v>
      </c>
      <c r="BC34" s="17" t="s">
        <v>155</v>
      </c>
      <c r="BD34" s="17" t="s">
        <v>23</v>
      </c>
      <c r="BE34" s="17" t="s">
        <v>155</v>
      </c>
      <c r="BF34" s="17" t="s">
        <v>22</v>
      </c>
      <c r="BG34" s="17" t="s">
        <v>155</v>
      </c>
      <c r="BM34" s="57"/>
      <c r="BN34" s="117"/>
      <c r="BO34" s="117"/>
      <c r="BP34" s="117"/>
      <c r="BS34" s="17" t="s">
        <v>545</v>
      </c>
      <c r="BT34" s="17" t="s">
        <v>409</v>
      </c>
      <c r="BU34" s="17" t="s">
        <v>155</v>
      </c>
      <c r="BV34" s="17" t="s">
        <v>876</v>
      </c>
      <c r="BW34" s="17" t="s">
        <v>155</v>
      </c>
      <c r="BX34" s="17" t="s">
        <v>155</v>
      </c>
      <c r="CF34" s="17" t="s">
        <v>164</v>
      </c>
      <c r="CG34" s="17" t="s">
        <v>165</v>
      </c>
      <c r="CH34" s="17" t="s">
        <v>166</v>
      </c>
      <c r="CI34" s="17" t="s">
        <v>167</v>
      </c>
      <c r="CJ34" s="17" t="s">
        <v>168</v>
      </c>
    </row>
    <row r="35" spans="17:88" x14ac:dyDescent="0.3">
      <c r="Q35" s="15" t="s">
        <v>549</v>
      </c>
      <c r="R35" s="17" t="s">
        <v>575</v>
      </c>
      <c r="S35" s="17" t="s">
        <v>155</v>
      </c>
      <c r="T35" s="17" t="s">
        <v>155</v>
      </c>
      <c r="U35" s="17" t="s">
        <v>575</v>
      </c>
      <c r="V35" s="17" t="s">
        <v>578</v>
      </c>
      <c r="X35" t="s">
        <v>557</v>
      </c>
      <c r="Y35" s="17" t="s">
        <v>155</v>
      </c>
      <c r="Z35" s="17" t="s">
        <v>23</v>
      </c>
      <c r="AA35" s="17" t="s">
        <v>155</v>
      </c>
      <c r="AB35" s="17" t="s">
        <v>155</v>
      </c>
      <c r="AC35" s="17" t="s">
        <v>155</v>
      </c>
      <c r="AF35" s="15" t="s">
        <v>549</v>
      </c>
      <c r="AG35" s="17" t="s">
        <v>155</v>
      </c>
      <c r="AH35" s="17" t="s">
        <v>576</v>
      </c>
      <c r="AI35" s="17" t="s">
        <v>575</v>
      </c>
      <c r="AJ35" s="17" t="s">
        <v>155</v>
      </c>
      <c r="AK35" s="17" t="s">
        <v>575</v>
      </c>
      <c r="AM35" t="s">
        <v>557</v>
      </c>
      <c r="AN35" s="17" t="s">
        <v>155</v>
      </c>
      <c r="AO35" s="17" t="s">
        <v>155</v>
      </c>
      <c r="AP35" s="17" t="s">
        <v>155</v>
      </c>
      <c r="AQ35" s="17" t="s">
        <v>22</v>
      </c>
      <c r="AR35" s="17" t="s">
        <v>155</v>
      </c>
      <c r="AU35" s="15" t="s">
        <v>549</v>
      </c>
      <c r="AV35" s="17" t="s">
        <v>574</v>
      </c>
      <c r="AW35" s="17" t="s">
        <v>155</v>
      </c>
      <c r="AX35" s="17" t="s">
        <v>576</v>
      </c>
      <c r="AY35" s="17" t="s">
        <v>155</v>
      </c>
      <c r="AZ35" s="17" t="s">
        <v>578</v>
      </c>
      <c r="BB35" t="s">
        <v>557</v>
      </c>
      <c r="BC35" s="17" t="s">
        <v>155</v>
      </c>
      <c r="BD35" s="17" t="s">
        <v>23</v>
      </c>
      <c r="BE35" s="17" t="s">
        <v>155</v>
      </c>
      <c r="BF35" s="17" t="s">
        <v>155</v>
      </c>
      <c r="BG35" s="17" t="s">
        <v>155</v>
      </c>
      <c r="BM35" s="57"/>
      <c r="BN35" s="117"/>
      <c r="BO35" s="117"/>
      <c r="BP35" s="117"/>
      <c r="CE35" s="17" t="s">
        <v>555</v>
      </c>
      <c r="CF35" s="17" t="s">
        <v>395</v>
      </c>
      <c r="CG35" s="17" t="s">
        <v>527</v>
      </c>
      <c r="CH35" s="17" t="s">
        <v>260</v>
      </c>
      <c r="CI35" s="17" t="s">
        <v>527</v>
      </c>
      <c r="CJ35" s="17" t="s">
        <v>395</v>
      </c>
    </row>
    <row r="36" spans="17:88" x14ac:dyDescent="0.3">
      <c r="Q36" s="15" t="s">
        <v>550</v>
      </c>
      <c r="R36" s="17" t="s">
        <v>575</v>
      </c>
      <c r="S36" s="17" t="s">
        <v>155</v>
      </c>
      <c r="T36" s="17" t="s">
        <v>155</v>
      </c>
      <c r="U36" s="17" t="s">
        <v>576</v>
      </c>
      <c r="V36" s="17" t="s">
        <v>581</v>
      </c>
      <c r="AF36" s="15" t="s">
        <v>550</v>
      </c>
      <c r="AG36" s="17" t="s">
        <v>577</v>
      </c>
      <c r="AH36" s="17" t="s">
        <v>576</v>
      </c>
      <c r="AI36" s="17" t="s">
        <v>575</v>
      </c>
      <c r="AJ36" s="17" t="s">
        <v>577</v>
      </c>
      <c r="AK36" s="17" t="s">
        <v>579</v>
      </c>
      <c r="AU36" s="15" t="s">
        <v>550</v>
      </c>
      <c r="AV36" s="17" t="s">
        <v>574</v>
      </c>
      <c r="AW36" s="17" t="s">
        <v>155</v>
      </c>
      <c r="AX36" s="17" t="s">
        <v>576</v>
      </c>
      <c r="AY36" s="17" t="s">
        <v>582</v>
      </c>
      <c r="AZ36" s="17" t="s">
        <v>581</v>
      </c>
      <c r="BS36" s="17" t="s">
        <v>818</v>
      </c>
      <c r="CE36" s="17" t="s">
        <v>556</v>
      </c>
      <c r="CF36" s="17" t="s">
        <v>395</v>
      </c>
      <c r="CG36" s="17" t="s">
        <v>527</v>
      </c>
      <c r="CH36" s="17" t="s">
        <v>260</v>
      </c>
      <c r="CI36" s="17" t="s">
        <v>527</v>
      </c>
      <c r="CJ36" s="17" t="s">
        <v>395</v>
      </c>
    </row>
    <row r="37" spans="17:88" x14ac:dyDescent="0.3">
      <c r="Q37" s="15" t="s">
        <v>158</v>
      </c>
      <c r="R37" s="17" t="s">
        <v>574</v>
      </c>
      <c r="S37" s="17" t="s">
        <v>582</v>
      </c>
      <c r="T37" s="17" t="s">
        <v>581</v>
      </c>
      <c r="U37" s="17" t="s">
        <v>576</v>
      </c>
      <c r="V37" s="17" t="s">
        <v>581</v>
      </c>
      <c r="X37" t="s">
        <v>737</v>
      </c>
      <c r="AF37" s="15" t="s">
        <v>158</v>
      </c>
      <c r="AG37" s="17" t="s">
        <v>577</v>
      </c>
      <c r="AH37" s="17" t="s">
        <v>574</v>
      </c>
      <c r="AI37" s="17" t="s">
        <v>579</v>
      </c>
      <c r="AJ37" s="17" t="s">
        <v>577</v>
      </c>
      <c r="AK37" s="17" t="s">
        <v>579</v>
      </c>
      <c r="AM37" t="s">
        <v>737</v>
      </c>
      <c r="AU37" s="15" t="s">
        <v>158</v>
      </c>
      <c r="AV37" s="17" t="s">
        <v>690</v>
      </c>
      <c r="AW37" s="17" t="s">
        <v>582</v>
      </c>
      <c r="AX37" s="17" t="s">
        <v>581</v>
      </c>
      <c r="AY37" s="17" t="s">
        <v>582</v>
      </c>
      <c r="AZ37" s="17" t="s">
        <v>581</v>
      </c>
      <c r="BB37" t="s">
        <v>737</v>
      </c>
      <c r="BT37" s="17" t="s">
        <v>164</v>
      </c>
      <c r="BU37" s="17" t="s">
        <v>165</v>
      </c>
      <c r="BV37" s="17" t="s">
        <v>166</v>
      </c>
      <c r="BW37" s="17" t="s">
        <v>167</v>
      </c>
      <c r="BX37" s="17" t="s">
        <v>168</v>
      </c>
      <c r="CE37" s="17" t="s">
        <v>557</v>
      </c>
      <c r="CF37" s="17" t="s">
        <v>887</v>
      </c>
      <c r="CG37" s="17" t="s">
        <v>658</v>
      </c>
      <c r="CH37" s="17" t="s">
        <v>887</v>
      </c>
      <c r="CI37" s="17" t="s">
        <v>155</v>
      </c>
      <c r="CJ37" s="17" t="s">
        <v>395</v>
      </c>
    </row>
    <row r="38" spans="17:88" x14ac:dyDescent="0.3">
      <c r="Q38" s="15" t="s">
        <v>159</v>
      </c>
      <c r="R38" s="17" t="s">
        <v>574</v>
      </c>
      <c r="S38" s="17" t="s">
        <v>582</v>
      </c>
      <c r="T38" s="17" t="s">
        <v>581</v>
      </c>
      <c r="U38" s="17" t="s">
        <v>582</v>
      </c>
      <c r="V38" s="17" t="s">
        <v>580</v>
      </c>
      <c r="Y38" s="17" t="s">
        <v>164</v>
      </c>
      <c r="Z38" s="17" t="s">
        <v>165</v>
      </c>
      <c r="AA38" s="17" t="s">
        <v>166</v>
      </c>
      <c r="AB38" s="17" t="s">
        <v>167</v>
      </c>
      <c r="AC38" s="17" t="s">
        <v>168</v>
      </c>
      <c r="AF38" s="15" t="s">
        <v>159</v>
      </c>
      <c r="AG38" s="17" t="s">
        <v>577</v>
      </c>
      <c r="AH38" s="17" t="s">
        <v>574</v>
      </c>
      <c r="AI38" s="17" t="s">
        <v>579</v>
      </c>
      <c r="AJ38" s="17" t="s">
        <v>580</v>
      </c>
      <c r="AK38" s="17" t="s">
        <v>578</v>
      </c>
      <c r="AN38" s="17" t="s">
        <v>164</v>
      </c>
      <c r="AO38" s="17" t="s">
        <v>165</v>
      </c>
      <c r="AP38" s="17" t="s">
        <v>166</v>
      </c>
      <c r="AQ38" s="17" t="s">
        <v>167</v>
      </c>
      <c r="AR38" s="17" t="s">
        <v>168</v>
      </c>
      <c r="AU38" s="15" t="s">
        <v>159</v>
      </c>
      <c r="AV38" s="17" t="s">
        <v>690</v>
      </c>
      <c r="AW38" s="17" t="s">
        <v>582</v>
      </c>
      <c r="AX38" s="17" t="s">
        <v>581</v>
      </c>
      <c r="AY38" s="17" t="s">
        <v>580</v>
      </c>
      <c r="AZ38" s="17" t="s">
        <v>690</v>
      </c>
      <c r="BC38" s="17" t="s">
        <v>164</v>
      </c>
      <c r="BD38" s="17" t="s">
        <v>165</v>
      </c>
      <c r="BE38" s="17" t="s">
        <v>166</v>
      </c>
      <c r="BF38" s="17" t="s">
        <v>167</v>
      </c>
      <c r="BG38" s="17" t="s">
        <v>168</v>
      </c>
      <c r="BS38" s="17" t="s">
        <v>555</v>
      </c>
      <c r="BT38" s="17" t="s">
        <v>279</v>
      </c>
      <c r="BU38" s="17" t="s">
        <v>459</v>
      </c>
      <c r="BV38" s="17" t="s">
        <v>155</v>
      </c>
      <c r="BW38" s="17" t="s">
        <v>465</v>
      </c>
      <c r="BX38" s="17" t="s">
        <v>872</v>
      </c>
      <c r="CE38" s="17" t="s">
        <v>542</v>
      </c>
      <c r="CF38" s="17" t="s">
        <v>887</v>
      </c>
      <c r="CG38" s="17" t="s">
        <v>658</v>
      </c>
      <c r="CH38" s="17" t="s">
        <v>887</v>
      </c>
      <c r="CI38" s="17" t="s">
        <v>528</v>
      </c>
      <c r="CJ38" s="17" t="s">
        <v>398</v>
      </c>
    </row>
    <row r="39" spans="17:88" x14ac:dyDescent="0.3">
      <c r="Q39" s="15" t="s">
        <v>160</v>
      </c>
      <c r="R39" s="17" t="s">
        <v>574</v>
      </c>
      <c r="S39" s="17" t="s">
        <v>582</v>
      </c>
      <c r="T39" s="17" t="s">
        <v>581</v>
      </c>
      <c r="U39" s="17" t="s">
        <v>582</v>
      </c>
      <c r="V39" s="17" t="s">
        <v>580</v>
      </c>
      <c r="X39" t="s">
        <v>550</v>
      </c>
      <c r="Y39" s="17" t="s">
        <v>155</v>
      </c>
      <c r="Z39" s="17" t="s">
        <v>155</v>
      </c>
      <c r="AA39" s="17" t="s">
        <v>350</v>
      </c>
      <c r="AB39" s="17" t="s">
        <v>155</v>
      </c>
      <c r="AC39" s="17" t="s">
        <v>155</v>
      </c>
      <c r="AF39" s="15" t="s">
        <v>160</v>
      </c>
      <c r="AG39" s="17" t="s">
        <v>155</v>
      </c>
      <c r="AH39" s="17" t="s">
        <v>574</v>
      </c>
      <c r="AI39" s="17" t="s">
        <v>579</v>
      </c>
      <c r="AJ39" s="17" t="s">
        <v>580</v>
      </c>
      <c r="AK39" s="17" t="s">
        <v>578</v>
      </c>
      <c r="AM39" t="s">
        <v>550</v>
      </c>
      <c r="AN39" s="17" t="s">
        <v>155</v>
      </c>
      <c r="AO39" s="17" t="s">
        <v>155</v>
      </c>
      <c r="AP39" s="17" t="s">
        <v>350</v>
      </c>
      <c r="AQ39" s="17" t="s">
        <v>155</v>
      </c>
      <c r="AR39" s="17" t="s">
        <v>155</v>
      </c>
      <c r="AU39" s="15" t="s">
        <v>160</v>
      </c>
      <c r="AV39" s="17" t="s">
        <v>690</v>
      </c>
      <c r="AW39" s="17" t="s">
        <v>582</v>
      </c>
      <c r="AX39" s="17" t="s">
        <v>581</v>
      </c>
      <c r="AY39" s="17" t="s">
        <v>580</v>
      </c>
      <c r="AZ39" s="17" t="s">
        <v>690</v>
      </c>
      <c r="BB39" t="s">
        <v>550</v>
      </c>
      <c r="BC39" s="17" t="s">
        <v>155</v>
      </c>
      <c r="BD39" s="17" t="s">
        <v>155</v>
      </c>
      <c r="BE39" s="17" t="s">
        <v>350</v>
      </c>
      <c r="BF39" s="17" t="s">
        <v>155</v>
      </c>
      <c r="BG39" s="17" t="s">
        <v>155</v>
      </c>
      <c r="BS39" s="17" t="s">
        <v>556</v>
      </c>
      <c r="BT39" s="17" t="s">
        <v>279</v>
      </c>
      <c r="BU39" s="17" t="s">
        <v>459</v>
      </c>
      <c r="BV39" s="17" t="s">
        <v>155</v>
      </c>
      <c r="BW39" s="17" t="s">
        <v>465</v>
      </c>
      <c r="BX39" s="17" t="s">
        <v>872</v>
      </c>
      <c r="CE39" s="17" t="s">
        <v>543</v>
      </c>
      <c r="CF39" s="17" t="s">
        <v>398</v>
      </c>
      <c r="CG39" s="17" t="s">
        <v>658</v>
      </c>
      <c r="CH39" s="17" t="s">
        <v>528</v>
      </c>
      <c r="CI39" s="17" t="s">
        <v>908</v>
      </c>
      <c r="CJ39" s="17" t="s">
        <v>398</v>
      </c>
    </row>
    <row r="40" spans="17:88" x14ac:dyDescent="0.3">
      <c r="X40" t="s">
        <v>158</v>
      </c>
      <c r="Y40" s="17" t="s">
        <v>350</v>
      </c>
      <c r="Z40" s="17" t="s">
        <v>155</v>
      </c>
      <c r="AA40" s="17" t="s">
        <v>350</v>
      </c>
      <c r="AB40" s="17" t="s">
        <v>155</v>
      </c>
      <c r="AC40" s="17" t="s">
        <v>155</v>
      </c>
      <c r="AM40" t="s">
        <v>158</v>
      </c>
      <c r="AN40" s="17" t="s">
        <v>350</v>
      </c>
      <c r="AO40" s="17" t="s">
        <v>155</v>
      </c>
      <c r="AP40" s="17" t="s">
        <v>350</v>
      </c>
      <c r="AQ40" s="17" t="s">
        <v>155</v>
      </c>
      <c r="AR40" s="17" t="s">
        <v>155</v>
      </c>
      <c r="BB40" t="s">
        <v>158</v>
      </c>
      <c r="BC40" s="17" t="s">
        <v>350</v>
      </c>
      <c r="BD40" s="17" t="s">
        <v>155</v>
      </c>
      <c r="BE40" s="17" t="s">
        <v>350</v>
      </c>
      <c r="BF40" s="17" t="s">
        <v>155</v>
      </c>
      <c r="BG40" s="17" t="s">
        <v>155</v>
      </c>
      <c r="BS40" s="17" t="s">
        <v>557</v>
      </c>
      <c r="BT40" s="17" t="s">
        <v>155</v>
      </c>
      <c r="BU40" s="17" t="s">
        <v>459</v>
      </c>
      <c r="BV40" s="17" t="s">
        <v>675</v>
      </c>
      <c r="BW40" s="17" t="s">
        <v>465</v>
      </c>
      <c r="BX40" s="17" t="s">
        <v>683</v>
      </c>
      <c r="CE40" s="17" t="s">
        <v>544</v>
      </c>
      <c r="CF40" s="17" t="s">
        <v>398</v>
      </c>
      <c r="CG40" s="17" t="s">
        <v>658</v>
      </c>
      <c r="CH40" s="17" t="s">
        <v>908</v>
      </c>
      <c r="CI40" s="17" t="s">
        <v>402</v>
      </c>
      <c r="CJ40" s="17" t="s">
        <v>398</v>
      </c>
    </row>
    <row r="41" spans="17:88" x14ac:dyDescent="0.3">
      <c r="Q41" s="15" t="s">
        <v>553</v>
      </c>
      <c r="X41" t="s">
        <v>159</v>
      </c>
      <c r="Y41" s="17" t="s">
        <v>350</v>
      </c>
      <c r="Z41" s="17" t="s">
        <v>155</v>
      </c>
      <c r="AA41" s="17" t="s">
        <v>350</v>
      </c>
      <c r="AB41" s="17" t="s">
        <v>155</v>
      </c>
      <c r="AC41" s="17" t="s">
        <v>155</v>
      </c>
      <c r="AF41" s="15" t="s">
        <v>553</v>
      </c>
      <c r="AM41" t="s">
        <v>159</v>
      </c>
      <c r="AN41" s="17" t="s">
        <v>350</v>
      </c>
      <c r="AO41" s="17" t="s">
        <v>155</v>
      </c>
      <c r="AP41" s="17" t="s">
        <v>350</v>
      </c>
      <c r="AQ41" s="17" t="s">
        <v>155</v>
      </c>
      <c r="AR41" s="17" t="s">
        <v>155</v>
      </c>
      <c r="AU41" s="15" t="s">
        <v>553</v>
      </c>
      <c r="BB41" t="s">
        <v>159</v>
      </c>
      <c r="BC41" s="17" t="s">
        <v>350</v>
      </c>
      <c r="BD41" s="17" t="s">
        <v>155</v>
      </c>
      <c r="BE41" s="17" t="s">
        <v>350</v>
      </c>
      <c r="BF41" s="17" t="s">
        <v>155</v>
      </c>
      <c r="BG41" s="17" t="s">
        <v>155</v>
      </c>
      <c r="BS41" s="17" t="s">
        <v>542</v>
      </c>
      <c r="BT41" s="17" t="s">
        <v>869</v>
      </c>
      <c r="BU41" s="17" t="s">
        <v>407</v>
      </c>
      <c r="BV41" s="17" t="s">
        <v>873</v>
      </c>
      <c r="BW41" s="17" t="s">
        <v>465</v>
      </c>
      <c r="BX41" s="17" t="s">
        <v>874</v>
      </c>
      <c r="CE41" s="17" t="s">
        <v>545</v>
      </c>
      <c r="CF41" s="17" t="s">
        <v>155</v>
      </c>
      <c r="CG41" s="17" t="s">
        <v>155</v>
      </c>
      <c r="CH41" s="17" t="s">
        <v>402</v>
      </c>
      <c r="CI41" s="17" t="s">
        <v>402</v>
      </c>
      <c r="CJ41" s="17" t="s">
        <v>260</v>
      </c>
    </row>
    <row r="42" spans="17:88" x14ac:dyDescent="0.3">
      <c r="R42" s="17" t="s">
        <v>164</v>
      </c>
      <c r="S42" s="17" t="s">
        <v>165</v>
      </c>
      <c r="T42" s="17" t="s">
        <v>166</v>
      </c>
      <c r="U42" s="17" t="s">
        <v>167</v>
      </c>
      <c r="V42" s="17" t="s">
        <v>168</v>
      </c>
      <c r="X42" t="s">
        <v>160</v>
      </c>
      <c r="Y42" s="17" t="s">
        <v>350</v>
      </c>
      <c r="Z42" s="17" t="s">
        <v>155</v>
      </c>
      <c r="AA42" s="17" t="s">
        <v>155</v>
      </c>
      <c r="AB42" s="17" t="s">
        <v>155</v>
      </c>
      <c r="AC42" s="17" t="s">
        <v>155</v>
      </c>
      <c r="AG42" s="17" t="s">
        <v>164</v>
      </c>
      <c r="AH42" s="17" t="s">
        <v>165</v>
      </c>
      <c r="AI42" s="17" t="s">
        <v>166</v>
      </c>
      <c r="AJ42" s="17" t="s">
        <v>167</v>
      </c>
      <c r="AK42" s="17" t="s">
        <v>168</v>
      </c>
      <c r="AM42" t="s">
        <v>160</v>
      </c>
      <c r="AN42" s="17" t="s">
        <v>350</v>
      </c>
      <c r="AO42" s="17" t="s">
        <v>155</v>
      </c>
      <c r="AP42" s="17" t="s">
        <v>155</v>
      </c>
      <c r="AQ42" s="17" t="s">
        <v>155</v>
      </c>
      <c r="AR42" s="17" t="s">
        <v>155</v>
      </c>
      <c r="AV42" s="17" t="s">
        <v>164</v>
      </c>
      <c r="AW42" s="17" t="s">
        <v>165</v>
      </c>
      <c r="AX42" s="17" t="s">
        <v>166</v>
      </c>
      <c r="AY42" s="17" t="s">
        <v>167</v>
      </c>
      <c r="AZ42" s="17" t="s">
        <v>168</v>
      </c>
      <c r="BB42" t="s">
        <v>160</v>
      </c>
      <c r="BC42" s="17" t="s">
        <v>350</v>
      </c>
      <c r="BD42" s="17" t="s">
        <v>155</v>
      </c>
      <c r="BE42" s="17" t="s">
        <v>155</v>
      </c>
      <c r="BF42" s="17" t="s">
        <v>155</v>
      </c>
      <c r="BG42" s="17" t="s">
        <v>155</v>
      </c>
      <c r="BS42" s="17" t="s">
        <v>543</v>
      </c>
      <c r="BT42" s="17" t="s">
        <v>869</v>
      </c>
      <c r="BU42" s="17" t="s">
        <v>407</v>
      </c>
      <c r="BV42" s="17" t="s">
        <v>873</v>
      </c>
      <c r="BW42" s="17" t="s">
        <v>407</v>
      </c>
      <c r="BX42" s="17" t="s">
        <v>874</v>
      </c>
    </row>
    <row r="43" spans="17:88" x14ac:dyDescent="0.3">
      <c r="Q43" s="15" t="s">
        <v>554</v>
      </c>
      <c r="R43" s="17" t="s">
        <v>586</v>
      </c>
      <c r="S43" s="17" t="s">
        <v>583</v>
      </c>
      <c r="T43" s="17" t="s">
        <v>586</v>
      </c>
      <c r="U43" s="17" t="s">
        <v>155</v>
      </c>
      <c r="V43" s="17" t="s">
        <v>578</v>
      </c>
      <c r="AF43" s="15" t="s">
        <v>554</v>
      </c>
      <c r="AG43" s="17" t="s">
        <v>583</v>
      </c>
      <c r="AH43" s="17" t="s">
        <v>586</v>
      </c>
      <c r="AI43" s="17" t="s">
        <v>155</v>
      </c>
      <c r="AJ43" s="17" t="s">
        <v>586</v>
      </c>
      <c r="AK43" s="17" t="s">
        <v>580</v>
      </c>
      <c r="AU43" s="15" t="s">
        <v>554</v>
      </c>
      <c r="AV43" s="17" t="s">
        <v>586</v>
      </c>
      <c r="AW43" s="17" t="s">
        <v>155</v>
      </c>
      <c r="AX43" s="17" t="s">
        <v>586</v>
      </c>
      <c r="AY43" s="17" t="s">
        <v>574</v>
      </c>
      <c r="AZ43" s="17" t="s">
        <v>578</v>
      </c>
      <c r="BS43" s="17" t="s">
        <v>544</v>
      </c>
      <c r="BT43" s="17" t="s">
        <v>409</v>
      </c>
      <c r="BU43" s="17" t="s">
        <v>155</v>
      </c>
      <c r="BV43" s="17" t="s">
        <v>875</v>
      </c>
      <c r="BW43" s="17" t="s">
        <v>407</v>
      </c>
      <c r="BX43" s="17" t="s">
        <v>874</v>
      </c>
      <c r="CE43" s="17" t="s">
        <v>794</v>
      </c>
    </row>
    <row r="44" spans="17:88" x14ac:dyDescent="0.3">
      <c r="Q44" s="15" t="s">
        <v>555</v>
      </c>
      <c r="R44" s="17" t="s">
        <v>586</v>
      </c>
      <c r="S44" s="17" t="s">
        <v>583</v>
      </c>
      <c r="T44" s="17" t="s">
        <v>586</v>
      </c>
      <c r="U44" s="17" t="s">
        <v>574</v>
      </c>
      <c r="V44" s="17" t="s">
        <v>578</v>
      </c>
      <c r="X44" t="s">
        <v>820</v>
      </c>
      <c r="AF44" s="15" t="s">
        <v>555</v>
      </c>
      <c r="AG44" s="17" t="s">
        <v>583</v>
      </c>
      <c r="AH44" s="17" t="s">
        <v>586</v>
      </c>
      <c r="AI44" s="17" t="s">
        <v>574</v>
      </c>
      <c r="AJ44" s="17" t="s">
        <v>586</v>
      </c>
      <c r="AK44" s="17" t="s">
        <v>580</v>
      </c>
      <c r="AM44" t="s">
        <v>820</v>
      </c>
      <c r="AU44" s="15" t="s">
        <v>555</v>
      </c>
      <c r="AV44" s="17" t="s">
        <v>586</v>
      </c>
      <c r="AW44" s="17" t="s">
        <v>155</v>
      </c>
      <c r="AX44" s="17" t="s">
        <v>586</v>
      </c>
      <c r="AY44" s="17" t="s">
        <v>574</v>
      </c>
      <c r="AZ44" s="17" t="s">
        <v>578</v>
      </c>
      <c r="BB44" t="s">
        <v>820</v>
      </c>
      <c r="BS44" s="17" t="s">
        <v>545</v>
      </c>
      <c r="BT44" s="17" t="s">
        <v>409</v>
      </c>
      <c r="BU44" s="17" t="s">
        <v>155</v>
      </c>
      <c r="BV44" s="17" t="s">
        <v>876</v>
      </c>
      <c r="BW44" s="17" t="s">
        <v>155</v>
      </c>
      <c r="BX44" s="17" t="s">
        <v>155</v>
      </c>
      <c r="CF44" s="17" t="s">
        <v>164</v>
      </c>
      <c r="CG44" s="17" t="s">
        <v>165</v>
      </c>
      <c r="CH44" s="17" t="s">
        <v>166</v>
      </c>
      <c r="CI44" s="17" t="s">
        <v>167</v>
      </c>
      <c r="CJ44" s="17" t="s">
        <v>168</v>
      </c>
    </row>
    <row r="45" spans="17:88" x14ac:dyDescent="0.3">
      <c r="Q45" s="15" t="s">
        <v>556</v>
      </c>
      <c r="R45" s="17" t="s">
        <v>586</v>
      </c>
      <c r="S45" s="17" t="s">
        <v>583</v>
      </c>
      <c r="T45" s="17" t="s">
        <v>576</v>
      </c>
      <c r="U45" s="17" t="s">
        <v>574</v>
      </c>
      <c r="V45" s="17" t="s">
        <v>580</v>
      </c>
      <c r="Y45" s="17" t="s">
        <v>164</v>
      </c>
      <c r="Z45" s="17" t="s">
        <v>165</v>
      </c>
      <c r="AA45" s="17" t="s">
        <v>166</v>
      </c>
      <c r="AB45" s="17" t="s">
        <v>167</v>
      </c>
      <c r="AC45" s="17" t="s">
        <v>168</v>
      </c>
      <c r="AF45" s="15" t="s">
        <v>556</v>
      </c>
      <c r="AG45" s="17" t="s">
        <v>583</v>
      </c>
      <c r="AH45" s="17" t="s">
        <v>586</v>
      </c>
      <c r="AI45" s="17" t="s">
        <v>574</v>
      </c>
      <c r="AJ45" s="17" t="s">
        <v>576</v>
      </c>
      <c r="AK45" s="17" t="s">
        <v>578</v>
      </c>
      <c r="AN45" s="17" t="s">
        <v>164</v>
      </c>
      <c r="AO45" s="17" t="s">
        <v>165</v>
      </c>
      <c r="AP45" s="17" t="s">
        <v>166</v>
      </c>
      <c r="AQ45" s="17" t="s">
        <v>167</v>
      </c>
      <c r="AR45" s="17" t="s">
        <v>168</v>
      </c>
      <c r="AU45" s="15" t="s">
        <v>556</v>
      </c>
      <c r="AV45" s="17" t="s">
        <v>586</v>
      </c>
      <c r="AW45" s="17" t="s">
        <v>583</v>
      </c>
      <c r="AX45" s="17" t="s">
        <v>576</v>
      </c>
      <c r="AY45" s="17" t="s">
        <v>574</v>
      </c>
      <c r="AZ45" s="17" t="s">
        <v>580</v>
      </c>
      <c r="BC45" s="17" t="s">
        <v>164</v>
      </c>
      <c r="BD45" s="17" t="s">
        <v>165</v>
      </c>
      <c r="BE45" s="17" t="s">
        <v>166</v>
      </c>
      <c r="BF45" s="17" t="s">
        <v>167</v>
      </c>
      <c r="BG45" s="17" t="s">
        <v>168</v>
      </c>
      <c r="CE45" s="17" t="s">
        <v>555</v>
      </c>
      <c r="CF45" s="17" t="s">
        <v>155</v>
      </c>
      <c r="CG45" s="17" t="s">
        <v>155</v>
      </c>
      <c r="CH45" s="17" t="s">
        <v>260</v>
      </c>
      <c r="CI45" s="17" t="s">
        <v>155</v>
      </c>
      <c r="CJ45" s="17" t="s">
        <v>155</v>
      </c>
    </row>
    <row r="46" spans="17:88" x14ac:dyDescent="0.3">
      <c r="Q46" s="15" t="s">
        <v>557</v>
      </c>
      <c r="R46" s="17" t="s">
        <v>155</v>
      </c>
      <c r="S46" s="17" t="s">
        <v>588</v>
      </c>
      <c r="T46" s="17" t="s">
        <v>576</v>
      </c>
      <c r="U46" s="17" t="s">
        <v>574</v>
      </c>
      <c r="V46" s="17" t="s">
        <v>580</v>
      </c>
      <c r="X46" t="s">
        <v>542</v>
      </c>
      <c r="Y46" s="17" t="s">
        <v>155</v>
      </c>
      <c r="Z46" s="17" t="s">
        <v>457</v>
      </c>
      <c r="AA46" s="17" t="s">
        <v>457</v>
      </c>
      <c r="AB46" s="17" t="s">
        <v>155</v>
      </c>
      <c r="AC46" s="17" t="s">
        <v>155</v>
      </c>
      <c r="AF46" s="15" t="s">
        <v>557</v>
      </c>
      <c r="AG46" s="17" t="s">
        <v>588</v>
      </c>
      <c r="AH46" s="17" t="s">
        <v>155</v>
      </c>
      <c r="AI46" s="17" t="s">
        <v>574</v>
      </c>
      <c r="AJ46" s="17" t="s">
        <v>576</v>
      </c>
      <c r="AK46" s="17" t="s">
        <v>578</v>
      </c>
      <c r="AM46" t="s">
        <v>542</v>
      </c>
      <c r="AN46" s="17" t="s">
        <v>155</v>
      </c>
      <c r="AO46" s="17" t="s">
        <v>155</v>
      </c>
      <c r="AP46" s="17" t="s">
        <v>457</v>
      </c>
      <c r="AQ46" s="17" t="s">
        <v>155</v>
      </c>
      <c r="AR46" s="17" t="s">
        <v>155</v>
      </c>
      <c r="AU46" s="15" t="s">
        <v>557</v>
      </c>
      <c r="AV46" s="17" t="s">
        <v>588</v>
      </c>
      <c r="AW46" s="17" t="s">
        <v>583</v>
      </c>
      <c r="AX46" s="17" t="s">
        <v>576</v>
      </c>
      <c r="AY46" s="17" t="s">
        <v>588</v>
      </c>
      <c r="AZ46" s="17" t="s">
        <v>580</v>
      </c>
      <c r="BB46" t="s">
        <v>542</v>
      </c>
      <c r="BC46" s="17" t="s">
        <v>155</v>
      </c>
      <c r="BD46" s="17" t="s">
        <v>457</v>
      </c>
      <c r="BE46" s="17" t="s">
        <v>457</v>
      </c>
      <c r="BF46" s="17" t="s">
        <v>155</v>
      </c>
      <c r="BG46" s="17" t="s">
        <v>155</v>
      </c>
      <c r="CE46" s="17" t="s">
        <v>556</v>
      </c>
      <c r="CF46" s="17" t="s">
        <v>155</v>
      </c>
      <c r="CG46" s="17" t="s">
        <v>410</v>
      </c>
      <c r="CH46" s="17" t="s">
        <v>260</v>
      </c>
      <c r="CI46" s="17" t="s">
        <v>155</v>
      </c>
      <c r="CJ46" s="17" t="s">
        <v>260</v>
      </c>
    </row>
    <row r="47" spans="17:88" x14ac:dyDescent="0.3">
      <c r="Q47" s="15" t="s">
        <v>542</v>
      </c>
      <c r="R47" s="17" t="s">
        <v>155</v>
      </c>
      <c r="S47" s="17" t="s">
        <v>588</v>
      </c>
      <c r="T47" s="17" t="s">
        <v>155</v>
      </c>
      <c r="U47" s="17" t="s">
        <v>588</v>
      </c>
      <c r="V47" s="17" t="s">
        <v>583</v>
      </c>
      <c r="X47" t="s">
        <v>543</v>
      </c>
      <c r="Y47" s="17" t="s">
        <v>155</v>
      </c>
      <c r="Z47" s="17" t="s">
        <v>457</v>
      </c>
      <c r="AA47" s="17" t="s">
        <v>457</v>
      </c>
      <c r="AB47" s="17" t="s">
        <v>155</v>
      </c>
      <c r="AC47" s="17" t="s">
        <v>155</v>
      </c>
      <c r="AF47" s="15" t="s">
        <v>542</v>
      </c>
      <c r="AG47" s="17" t="s">
        <v>588</v>
      </c>
      <c r="AH47" s="17" t="s">
        <v>155</v>
      </c>
      <c r="AI47" s="17" t="s">
        <v>155</v>
      </c>
      <c r="AJ47" s="17" t="s">
        <v>588</v>
      </c>
      <c r="AK47" s="17" t="s">
        <v>583</v>
      </c>
      <c r="AM47" t="s">
        <v>543</v>
      </c>
      <c r="AN47" s="17" t="s">
        <v>155</v>
      </c>
      <c r="AO47" s="17" t="s">
        <v>457</v>
      </c>
      <c r="AP47" s="17" t="s">
        <v>457</v>
      </c>
      <c r="AQ47" s="17" t="s">
        <v>155</v>
      </c>
      <c r="AR47" s="17" t="s">
        <v>155</v>
      </c>
      <c r="AU47" s="15" t="s">
        <v>542</v>
      </c>
      <c r="AV47" s="17" t="s">
        <v>588</v>
      </c>
      <c r="AW47" s="17" t="s">
        <v>583</v>
      </c>
      <c r="AX47" s="17" t="s">
        <v>155</v>
      </c>
      <c r="AY47" s="17" t="s">
        <v>588</v>
      </c>
      <c r="AZ47" s="17" t="s">
        <v>583</v>
      </c>
      <c r="BB47" t="s">
        <v>543</v>
      </c>
      <c r="BC47" s="17" t="s">
        <v>155</v>
      </c>
      <c r="BD47" s="17" t="s">
        <v>457</v>
      </c>
      <c r="BE47" s="17" t="s">
        <v>457</v>
      </c>
      <c r="BF47" s="17" t="s">
        <v>155</v>
      </c>
      <c r="BG47" s="17" t="s">
        <v>155</v>
      </c>
      <c r="BW47" s="134" t="s">
        <v>662</v>
      </c>
      <c r="BX47" s="117"/>
      <c r="BY47" s="116" t="s">
        <v>857</v>
      </c>
      <c r="CE47" s="17" t="s">
        <v>557</v>
      </c>
      <c r="CF47" s="17" t="s">
        <v>887</v>
      </c>
      <c r="CG47" s="17" t="s">
        <v>410</v>
      </c>
      <c r="CH47" s="17" t="s">
        <v>887</v>
      </c>
      <c r="CI47" s="17" t="s">
        <v>155</v>
      </c>
      <c r="CJ47" s="17" t="s">
        <v>407</v>
      </c>
    </row>
    <row r="48" spans="17:88" x14ac:dyDescent="0.3">
      <c r="Q48" s="15" t="s">
        <v>543</v>
      </c>
      <c r="R48" s="17" t="s">
        <v>155</v>
      </c>
      <c r="S48" s="17" t="s">
        <v>588</v>
      </c>
      <c r="T48" s="17" t="s">
        <v>155</v>
      </c>
      <c r="U48" s="17" t="s">
        <v>588</v>
      </c>
      <c r="V48" s="17" t="s">
        <v>583</v>
      </c>
      <c r="AF48" s="15" t="s">
        <v>543</v>
      </c>
      <c r="AG48" s="17" t="s">
        <v>588</v>
      </c>
      <c r="AH48" s="17" t="s">
        <v>155</v>
      </c>
      <c r="AI48" s="17" t="s">
        <v>155</v>
      </c>
      <c r="AJ48" s="17" t="s">
        <v>588</v>
      </c>
      <c r="AK48" s="17" t="s">
        <v>583</v>
      </c>
      <c r="AM48" t="s">
        <v>544</v>
      </c>
      <c r="AN48" s="17" t="s">
        <v>155</v>
      </c>
      <c r="AO48" s="17" t="s">
        <v>457</v>
      </c>
      <c r="AP48" s="17" t="s">
        <v>155</v>
      </c>
      <c r="AQ48" s="17" t="s">
        <v>155</v>
      </c>
      <c r="AR48" s="17" t="s">
        <v>155</v>
      </c>
      <c r="AU48" s="15" t="s">
        <v>543</v>
      </c>
      <c r="AV48" s="17" t="s">
        <v>155</v>
      </c>
      <c r="AW48" s="17" t="s">
        <v>155</v>
      </c>
      <c r="AX48" s="17" t="s">
        <v>155</v>
      </c>
      <c r="AY48" s="17" t="s">
        <v>588</v>
      </c>
      <c r="AZ48" s="17" t="s">
        <v>583</v>
      </c>
      <c r="BT48" s="17" t="s">
        <v>885</v>
      </c>
      <c r="BW48" s="135" t="s">
        <v>858</v>
      </c>
      <c r="BX48" s="117"/>
      <c r="BY48" s="119" t="s">
        <v>859</v>
      </c>
      <c r="CE48" s="17" t="s">
        <v>542</v>
      </c>
      <c r="CF48" s="17" t="s">
        <v>887</v>
      </c>
      <c r="CG48" s="17" t="s">
        <v>410</v>
      </c>
      <c r="CH48" s="17" t="s">
        <v>887</v>
      </c>
      <c r="CI48" s="17" t="s">
        <v>155</v>
      </c>
      <c r="CJ48" s="17" t="s">
        <v>407</v>
      </c>
    </row>
    <row r="49" spans="17:88" x14ac:dyDescent="0.3">
      <c r="X49" t="s">
        <v>719</v>
      </c>
      <c r="BB49" t="s">
        <v>719</v>
      </c>
      <c r="BT49" s="17" t="s">
        <v>281</v>
      </c>
      <c r="BW49" s="136" t="s">
        <v>863</v>
      </c>
      <c r="BX49" s="117"/>
      <c r="BY49" s="122" t="s">
        <v>864</v>
      </c>
      <c r="CE49" s="17" t="s">
        <v>543</v>
      </c>
      <c r="CF49" s="17" t="s">
        <v>418</v>
      </c>
      <c r="CG49" s="17" t="s">
        <v>410</v>
      </c>
      <c r="CH49" s="17" t="s">
        <v>415</v>
      </c>
      <c r="CI49" s="17" t="s">
        <v>418</v>
      </c>
      <c r="CJ49" s="17" t="s">
        <v>415</v>
      </c>
    </row>
    <row r="50" spans="17:88" x14ac:dyDescent="0.3">
      <c r="Q50" s="15" t="s">
        <v>558</v>
      </c>
      <c r="Y50" s="17" t="s">
        <v>164</v>
      </c>
      <c r="Z50" s="17" t="s">
        <v>165</v>
      </c>
      <c r="AA50" s="17" t="s">
        <v>166</v>
      </c>
      <c r="AB50" s="17" t="s">
        <v>167</v>
      </c>
      <c r="AC50" s="17" t="s">
        <v>168</v>
      </c>
      <c r="AF50" s="15" t="s">
        <v>558</v>
      </c>
      <c r="AM50" t="s">
        <v>719</v>
      </c>
      <c r="AU50" s="15" t="s">
        <v>558</v>
      </c>
      <c r="BC50" s="17" t="s">
        <v>164</v>
      </c>
      <c r="BD50" s="17" t="s">
        <v>165</v>
      </c>
      <c r="BE50" s="17" t="s">
        <v>166</v>
      </c>
      <c r="BF50" s="17" t="s">
        <v>167</v>
      </c>
      <c r="BG50" s="17" t="s">
        <v>168</v>
      </c>
      <c r="BT50" s="17" t="s">
        <v>886</v>
      </c>
      <c r="BW50" s="129" t="s">
        <v>866</v>
      </c>
      <c r="BX50" s="117"/>
      <c r="BY50" s="123" t="s">
        <v>857</v>
      </c>
      <c r="CE50" s="17" t="s">
        <v>544</v>
      </c>
      <c r="CF50" s="17" t="s">
        <v>418</v>
      </c>
      <c r="CG50" s="17" t="s">
        <v>407</v>
      </c>
      <c r="CH50" s="17" t="s">
        <v>415</v>
      </c>
      <c r="CI50" s="17" t="s">
        <v>418</v>
      </c>
      <c r="CJ50" s="17" t="s">
        <v>415</v>
      </c>
    </row>
    <row r="51" spans="17:88" x14ac:dyDescent="0.3">
      <c r="R51" s="17" t="s">
        <v>164</v>
      </c>
      <c r="S51" s="17" t="s">
        <v>165</v>
      </c>
      <c r="T51" s="17" t="s">
        <v>166</v>
      </c>
      <c r="U51" s="17" t="s">
        <v>167</v>
      </c>
      <c r="V51" s="17" t="s">
        <v>168</v>
      </c>
      <c r="X51" t="s">
        <v>557</v>
      </c>
      <c r="Y51" s="17" t="s">
        <v>155</v>
      </c>
      <c r="Z51" s="17" t="s">
        <v>6</v>
      </c>
      <c r="AA51" s="17" t="s">
        <v>155</v>
      </c>
      <c r="AB51" s="17" t="s">
        <v>155</v>
      </c>
      <c r="AC51" s="17" t="s">
        <v>155</v>
      </c>
      <c r="AG51" s="17" t="s">
        <v>164</v>
      </c>
      <c r="AH51" s="17" t="s">
        <v>165</v>
      </c>
      <c r="AI51" s="17" t="s">
        <v>166</v>
      </c>
      <c r="AJ51" s="17" t="s">
        <v>167</v>
      </c>
      <c r="AK51" s="17" t="s">
        <v>168</v>
      </c>
      <c r="AN51" s="17" t="s">
        <v>164</v>
      </c>
      <c r="AO51" s="17" t="s">
        <v>165</v>
      </c>
      <c r="AP51" s="17" t="s">
        <v>166</v>
      </c>
      <c r="AQ51" s="17" t="s">
        <v>167</v>
      </c>
      <c r="AR51" s="17" t="s">
        <v>168</v>
      </c>
      <c r="AV51" s="17" t="s">
        <v>164</v>
      </c>
      <c r="AW51" s="17" t="s">
        <v>165</v>
      </c>
      <c r="AX51" s="17" t="s">
        <v>166</v>
      </c>
      <c r="AY51" s="17" t="s">
        <v>167</v>
      </c>
      <c r="AZ51" s="17" t="s">
        <v>168</v>
      </c>
      <c r="BB51" t="s">
        <v>557</v>
      </c>
      <c r="BC51" s="17" t="s">
        <v>6</v>
      </c>
      <c r="BD51" s="17" t="s">
        <v>155</v>
      </c>
      <c r="BE51" s="17" t="s">
        <v>155</v>
      </c>
      <c r="BF51" s="17" t="s">
        <v>6</v>
      </c>
      <c r="BG51" s="17" t="s">
        <v>155</v>
      </c>
      <c r="CE51" s="17" t="s">
        <v>545</v>
      </c>
      <c r="CF51" s="17" t="s">
        <v>418</v>
      </c>
      <c r="CG51" s="17" t="s">
        <v>407</v>
      </c>
      <c r="CH51" s="17" t="s">
        <v>155</v>
      </c>
      <c r="CI51" s="17" t="s">
        <v>155</v>
      </c>
      <c r="CJ51" s="17" t="s">
        <v>415</v>
      </c>
    </row>
    <row r="52" spans="17:88" x14ac:dyDescent="0.3">
      <c r="Q52" s="15" t="s">
        <v>554</v>
      </c>
      <c r="R52" s="17" t="s">
        <v>155</v>
      </c>
      <c r="S52" s="17" t="s">
        <v>590</v>
      </c>
      <c r="T52" s="17" t="s">
        <v>591</v>
      </c>
      <c r="U52" s="17" t="s">
        <v>590</v>
      </c>
      <c r="V52" s="17" t="s">
        <v>591</v>
      </c>
      <c r="X52" t="s">
        <v>542</v>
      </c>
      <c r="Y52" s="17" t="s">
        <v>155</v>
      </c>
      <c r="Z52" s="17" t="s">
        <v>6</v>
      </c>
      <c r="AA52" s="17" t="s">
        <v>155</v>
      </c>
      <c r="AB52" s="17" t="s">
        <v>6</v>
      </c>
      <c r="AC52" s="17" t="s">
        <v>155</v>
      </c>
      <c r="AF52" s="15" t="s">
        <v>554</v>
      </c>
      <c r="AG52" s="17" t="s">
        <v>155</v>
      </c>
      <c r="AH52" s="17" t="s">
        <v>590</v>
      </c>
      <c r="AI52" s="17" t="s">
        <v>591</v>
      </c>
      <c r="AJ52" s="17" t="s">
        <v>595</v>
      </c>
      <c r="AK52" s="17" t="s">
        <v>591</v>
      </c>
      <c r="AM52" t="s">
        <v>557</v>
      </c>
      <c r="AN52" s="17" t="s">
        <v>6</v>
      </c>
      <c r="AO52" s="17" t="s">
        <v>155</v>
      </c>
      <c r="AP52" s="17" t="s">
        <v>155</v>
      </c>
      <c r="AQ52" s="17" t="s">
        <v>155</v>
      </c>
      <c r="AR52" s="17" t="s">
        <v>155</v>
      </c>
      <c r="AU52" s="15" t="s">
        <v>554</v>
      </c>
      <c r="AV52" s="17" t="s">
        <v>155</v>
      </c>
      <c r="AW52" s="17" t="s">
        <v>590</v>
      </c>
      <c r="AX52" s="17" t="s">
        <v>591</v>
      </c>
      <c r="AY52" s="17" t="s">
        <v>590</v>
      </c>
      <c r="AZ52" s="17" t="s">
        <v>591</v>
      </c>
      <c r="BB52" t="s">
        <v>542</v>
      </c>
      <c r="BC52" s="17" t="s">
        <v>6</v>
      </c>
      <c r="BD52" s="17" t="s">
        <v>155</v>
      </c>
      <c r="BE52" s="17" t="s">
        <v>155</v>
      </c>
      <c r="BF52" s="17" t="s">
        <v>6</v>
      </c>
      <c r="BG52" s="17" t="s">
        <v>155</v>
      </c>
    </row>
    <row r="53" spans="17:88" x14ac:dyDescent="0.3">
      <c r="Q53" s="15" t="s">
        <v>555</v>
      </c>
      <c r="R53" s="17" t="s">
        <v>589</v>
      </c>
      <c r="S53" s="17" t="s">
        <v>590</v>
      </c>
      <c r="T53" s="17" t="s">
        <v>591</v>
      </c>
      <c r="U53" s="17" t="s">
        <v>590</v>
      </c>
      <c r="V53" s="17" t="s">
        <v>591</v>
      </c>
      <c r="X53" t="s">
        <v>543</v>
      </c>
      <c r="Y53" s="17" t="s">
        <v>155</v>
      </c>
      <c r="Z53" s="17" t="s">
        <v>6</v>
      </c>
      <c r="AA53" s="17" t="s">
        <v>155</v>
      </c>
      <c r="AB53" s="17" t="s">
        <v>6</v>
      </c>
      <c r="AC53" s="17" t="s">
        <v>155</v>
      </c>
      <c r="AF53" s="15" t="s">
        <v>555</v>
      </c>
      <c r="AG53" s="17" t="s">
        <v>589</v>
      </c>
      <c r="AH53" s="17" t="s">
        <v>590</v>
      </c>
      <c r="AI53" s="17" t="s">
        <v>591</v>
      </c>
      <c r="AJ53" s="17" t="s">
        <v>595</v>
      </c>
      <c r="AK53" s="17" t="s">
        <v>591</v>
      </c>
      <c r="AM53" t="s">
        <v>542</v>
      </c>
      <c r="AN53" s="17" t="s">
        <v>6</v>
      </c>
      <c r="AO53" s="17" t="s">
        <v>155</v>
      </c>
      <c r="AP53" s="17" t="s">
        <v>155</v>
      </c>
      <c r="AQ53" s="17" t="s">
        <v>6</v>
      </c>
      <c r="AR53" s="17" t="s">
        <v>155</v>
      </c>
      <c r="AU53" s="15" t="s">
        <v>555</v>
      </c>
      <c r="AV53" s="17" t="s">
        <v>589</v>
      </c>
      <c r="AW53" s="17" t="s">
        <v>590</v>
      </c>
      <c r="AX53" s="17" t="s">
        <v>591</v>
      </c>
      <c r="AY53" s="17" t="s">
        <v>590</v>
      </c>
      <c r="AZ53" s="17" t="s">
        <v>591</v>
      </c>
      <c r="BB53" t="s">
        <v>543</v>
      </c>
      <c r="BC53" s="17" t="s">
        <v>155</v>
      </c>
      <c r="BD53" s="17" t="s">
        <v>155</v>
      </c>
      <c r="BE53" s="17" t="s">
        <v>155</v>
      </c>
      <c r="BF53" s="17" t="s">
        <v>6</v>
      </c>
      <c r="BG53" s="17" t="s">
        <v>155</v>
      </c>
      <c r="CE53" s="17" t="s">
        <v>799</v>
      </c>
    </row>
    <row r="54" spans="17:88" x14ac:dyDescent="0.3">
      <c r="Q54" s="15" t="s">
        <v>556</v>
      </c>
      <c r="R54" s="17" t="s">
        <v>589</v>
      </c>
      <c r="S54" s="17" t="s">
        <v>595</v>
      </c>
      <c r="T54" s="17" t="s">
        <v>591</v>
      </c>
      <c r="U54" s="17" t="s">
        <v>590</v>
      </c>
      <c r="V54" s="17" t="s">
        <v>592</v>
      </c>
      <c r="AF54" s="15" t="s">
        <v>556</v>
      </c>
      <c r="AG54" s="17" t="s">
        <v>589</v>
      </c>
      <c r="AH54" s="17" t="s">
        <v>590</v>
      </c>
      <c r="AI54" s="17" t="s">
        <v>592</v>
      </c>
      <c r="AJ54" s="17" t="s">
        <v>590</v>
      </c>
      <c r="AK54" s="17" t="s">
        <v>591</v>
      </c>
      <c r="AM54" t="s">
        <v>543</v>
      </c>
      <c r="AN54" s="17" t="s">
        <v>6</v>
      </c>
      <c r="AO54" s="17" t="s">
        <v>155</v>
      </c>
      <c r="AP54" s="17" t="s">
        <v>155</v>
      </c>
      <c r="AQ54" s="17" t="s">
        <v>6</v>
      </c>
      <c r="AR54" s="17" t="s">
        <v>155</v>
      </c>
      <c r="AU54" s="15" t="s">
        <v>556</v>
      </c>
      <c r="AV54" s="17" t="s">
        <v>589</v>
      </c>
      <c r="AW54" s="17" t="s">
        <v>595</v>
      </c>
      <c r="AX54" s="17" t="s">
        <v>591</v>
      </c>
      <c r="AY54" s="17" t="s">
        <v>590</v>
      </c>
      <c r="AZ54" s="17" t="s">
        <v>592</v>
      </c>
      <c r="CF54" s="17" t="s">
        <v>164</v>
      </c>
      <c r="CG54" s="17" t="s">
        <v>165</v>
      </c>
      <c r="CH54" s="17" t="s">
        <v>166</v>
      </c>
      <c r="CI54" s="17" t="s">
        <v>167</v>
      </c>
      <c r="CJ54" s="17" t="s">
        <v>168</v>
      </c>
    </row>
    <row r="55" spans="17:88" x14ac:dyDescent="0.3">
      <c r="Q55" s="15" t="s">
        <v>557</v>
      </c>
      <c r="R55" s="17" t="s">
        <v>589</v>
      </c>
      <c r="S55" s="17" t="s">
        <v>595</v>
      </c>
      <c r="T55" s="17" t="s">
        <v>155</v>
      </c>
      <c r="U55" s="17" t="s">
        <v>589</v>
      </c>
      <c r="V55" s="17" t="s">
        <v>592</v>
      </c>
      <c r="X55" t="s">
        <v>708</v>
      </c>
      <c r="AF55" s="15" t="s">
        <v>557</v>
      </c>
      <c r="AG55" s="17" t="s">
        <v>589</v>
      </c>
      <c r="AH55" s="17" t="s">
        <v>155</v>
      </c>
      <c r="AI55" s="17" t="s">
        <v>592</v>
      </c>
      <c r="AJ55" s="17" t="s">
        <v>590</v>
      </c>
      <c r="AK55" s="17" t="s">
        <v>589</v>
      </c>
      <c r="AU55" s="15" t="s">
        <v>557</v>
      </c>
      <c r="AV55" s="17" t="s">
        <v>589</v>
      </c>
      <c r="AW55" s="17" t="s">
        <v>595</v>
      </c>
      <c r="AX55" s="17" t="s">
        <v>155</v>
      </c>
      <c r="AY55" s="17" t="s">
        <v>589</v>
      </c>
      <c r="AZ55" s="17" t="s">
        <v>592</v>
      </c>
      <c r="BB55" t="s">
        <v>708</v>
      </c>
      <c r="CE55" s="17" t="s">
        <v>555</v>
      </c>
      <c r="CF55" s="17" t="s">
        <v>409</v>
      </c>
      <c r="CG55" s="17" t="s">
        <v>155</v>
      </c>
      <c r="CH55" s="17" t="s">
        <v>260</v>
      </c>
      <c r="CI55" s="17" t="s">
        <v>266</v>
      </c>
      <c r="CJ55" s="17" t="s">
        <v>155</v>
      </c>
    </row>
    <row r="56" spans="17:88" x14ac:dyDescent="0.3">
      <c r="Q56" s="15" t="s">
        <v>542</v>
      </c>
      <c r="R56" s="17" t="s">
        <v>155</v>
      </c>
      <c r="S56" s="17" t="s">
        <v>155</v>
      </c>
      <c r="T56" s="17" t="s">
        <v>155</v>
      </c>
      <c r="U56" s="17" t="s">
        <v>589</v>
      </c>
      <c r="V56" s="17" t="s">
        <v>155</v>
      </c>
      <c r="Y56" s="17" t="s">
        <v>164</v>
      </c>
      <c r="Z56" s="17" t="s">
        <v>165</v>
      </c>
      <c r="AA56" s="17" t="s">
        <v>166</v>
      </c>
      <c r="AB56" s="17" t="s">
        <v>167</v>
      </c>
      <c r="AC56" s="17" t="s">
        <v>168</v>
      </c>
      <c r="AF56" s="15" t="s">
        <v>542</v>
      </c>
      <c r="AG56" s="17" t="s">
        <v>155</v>
      </c>
      <c r="AH56" s="17" t="s">
        <v>155</v>
      </c>
      <c r="AI56" s="17" t="s">
        <v>155</v>
      </c>
      <c r="AJ56" s="17" t="s">
        <v>155</v>
      </c>
      <c r="AK56" s="17" t="s">
        <v>589</v>
      </c>
      <c r="AM56" t="s">
        <v>708</v>
      </c>
      <c r="AU56" s="15" t="s">
        <v>542</v>
      </c>
      <c r="AV56" s="17" t="s">
        <v>155</v>
      </c>
      <c r="AW56" s="17" t="s">
        <v>155</v>
      </c>
      <c r="AX56" s="17" t="s">
        <v>155</v>
      </c>
      <c r="AY56" s="17" t="s">
        <v>589</v>
      </c>
      <c r="AZ56" s="17" t="s">
        <v>155</v>
      </c>
      <c r="BC56" s="17" t="s">
        <v>164</v>
      </c>
      <c r="BD56" s="17" t="s">
        <v>165</v>
      </c>
      <c r="BE56" s="17" t="s">
        <v>166</v>
      </c>
      <c r="BF56" s="17" t="s">
        <v>167</v>
      </c>
      <c r="BG56" s="17" t="s">
        <v>168</v>
      </c>
      <c r="BS56" s="17" t="s">
        <v>596</v>
      </c>
      <c r="CE56" s="17" t="s">
        <v>556</v>
      </c>
      <c r="CF56" s="17" t="s">
        <v>409</v>
      </c>
      <c r="CG56" s="17" t="s">
        <v>410</v>
      </c>
      <c r="CH56" s="17" t="s">
        <v>260</v>
      </c>
      <c r="CI56" s="17" t="s">
        <v>266</v>
      </c>
      <c r="CJ56" s="17" t="s">
        <v>260</v>
      </c>
    </row>
    <row r="57" spans="17:88" x14ac:dyDescent="0.3">
      <c r="Q57" s="15" t="s">
        <v>543</v>
      </c>
      <c r="R57" s="17" t="s">
        <v>155</v>
      </c>
      <c r="S57" s="17" t="s">
        <v>155</v>
      </c>
      <c r="T57" s="17" t="s">
        <v>155</v>
      </c>
      <c r="U57" s="17" t="s">
        <v>155</v>
      </c>
      <c r="V57" s="17" t="s">
        <v>155</v>
      </c>
      <c r="X57" t="s">
        <v>542</v>
      </c>
      <c r="Y57" s="17" t="s">
        <v>155</v>
      </c>
      <c r="Z57" s="17" t="s">
        <v>155</v>
      </c>
      <c r="AA57" s="17" t="s">
        <v>95</v>
      </c>
      <c r="AB57" s="17" t="s">
        <v>155</v>
      </c>
      <c r="AC57" s="17" t="s">
        <v>95</v>
      </c>
      <c r="AF57" s="15" t="s">
        <v>543</v>
      </c>
      <c r="AG57" s="17" t="s">
        <v>155</v>
      </c>
      <c r="AH57" s="17" t="s">
        <v>155</v>
      </c>
      <c r="AI57" s="17" t="s">
        <v>155</v>
      </c>
      <c r="AJ57" s="17" t="s">
        <v>155</v>
      </c>
      <c r="AK57" s="17" t="s">
        <v>155</v>
      </c>
      <c r="AN57" s="17" t="s">
        <v>164</v>
      </c>
      <c r="AO57" s="17" t="s">
        <v>165</v>
      </c>
      <c r="AP57" s="17" t="s">
        <v>166</v>
      </c>
      <c r="AQ57" s="17" t="s">
        <v>167</v>
      </c>
      <c r="AR57" s="17" t="s">
        <v>168</v>
      </c>
      <c r="AU57" s="15" t="s">
        <v>543</v>
      </c>
      <c r="AV57" s="17" t="s">
        <v>155</v>
      </c>
      <c r="AW57" s="17" t="s">
        <v>155</v>
      </c>
      <c r="AX57" s="17" t="s">
        <v>155</v>
      </c>
      <c r="AY57" s="17" t="s">
        <v>155</v>
      </c>
      <c r="AZ57" s="17" t="s">
        <v>155</v>
      </c>
      <c r="BB57" t="s">
        <v>542</v>
      </c>
      <c r="BC57" s="17" t="s">
        <v>155</v>
      </c>
      <c r="BD57" s="17" t="s">
        <v>155</v>
      </c>
      <c r="BE57" s="17" t="s">
        <v>95</v>
      </c>
      <c r="BF57" s="17" t="s">
        <v>155</v>
      </c>
      <c r="BG57" s="17" t="s">
        <v>95</v>
      </c>
      <c r="BS57" s="17" t="s">
        <v>777</v>
      </c>
      <c r="CE57" s="17" t="s">
        <v>557</v>
      </c>
      <c r="CF57" s="17" t="s">
        <v>887</v>
      </c>
      <c r="CG57" s="17" t="s">
        <v>410</v>
      </c>
      <c r="CH57" s="17" t="s">
        <v>407</v>
      </c>
      <c r="CI57" s="17" t="s">
        <v>887</v>
      </c>
      <c r="CJ57" s="17" t="s">
        <v>407</v>
      </c>
    </row>
    <row r="58" spans="17:88" x14ac:dyDescent="0.3">
      <c r="X58" t="s">
        <v>543</v>
      </c>
      <c r="Y58" s="17" t="s">
        <v>155</v>
      </c>
      <c r="Z58" s="17" t="s">
        <v>155</v>
      </c>
      <c r="AA58" s="17" t="s">
        <v>95</v>
      </c>
      <c r="AB58" s="17" t="s">
        <v>155</v>
      </c>
      <c r="AC58" s="17" t="s">
        <v>95</v>
      </c>
      <c r="AM58" t="s">
        <v>542</v>
      </c>
      <c r="AN58" s="17" t="s">
        <v>155</v>
      </c>
      <c r="AO58" s="17" t="s">
        <v>155</v>
      </c>
      <c r="AP58" s="17" t="s">
        <v>95</v>
      </c>
      <c r="AQ58" s="17" t="s">
        <v>155</v>
      </c>
      <c r="AR58" s="17" t="s">
        <v>95</v>
      </c>
      <c r="BB58" t="s">
        <v>543</v>
      </c>
      <c r="BC58" s="17" t="s">
        <v>155</v>
      </c>
      <c r="BD58" s="17" t="s">
        <v>155</v>
      </c>
      <c r="BE58" s="17" t="s">
        <v>95</v>
      </c>
      <c r="BF58" s="17" t="s">
        <v>155</v>
      </c>
      <c r="BG58" s="17" t="s">
        <v>95</v>
      </c>
      <c r="CE58" s="17" t="s">
        <v>542</v>
      </c>
      <c r="CF58" s="17" t="s">
        <v>887</v>
      </c>
      <c r="CG58" s="17" t="s">
        <v>410</v>
      </c>
      <c r="CH58" s="17" t="s">
        <v>407</v>
      </c>
      <c r="CI58" s="17" t="s">
        <v>887</v>
      </c>
      <c r="CJ58" s="17" t="s">
        <v>407</v>
      </c>
    </row>
    <row r="59" spans="17:88" x14ac:dyDescent="0.3">
      <c r="Q59" s="15" t="s">
        <v>559</v>
      </c>
      <c r="AF59" s="15" t="s">
        <v>559</v>
      </c>
      <c r="AM59" t="s">
        <v>543</v>
      </c>
      <c r="AN59" s="17" t="s">
        <v>155</v>
      </c>
      <c r="AO59" s="17" t="s">
        <v>155</v>
      </c>
      <c r="AP59" s="17" t="s">
        <v>95</v>
      </c>
      <c r="AQ59" s="17" t="s">
        <v>155</v>
      </c>
      <c r="AR59" s="17" t="s">
        <v>95</v>
      </c>
      <c r="AU59" s="15" t="s">
        <v>559</v>
      </c>
      <c r="BS59" s="17" t="s">
        <v>778</v>
      </c>
      <c r="CE59" s="17" t="s">
        <v>543</v>
      </c>
      <c r="CF59" s="17" t="s">
        <v>408</v>
      </c>
      <c r="CG59" s="17" t="s">
        <v>410</v>
      </c>
      <c r="CH59" s="17" t="s">
        <v>408</v>
      </c>
      <c r="CI59" s="17" t="s">
        <v>155</v>
      </c>
      <c r="CJ59" s="17" t="s">
        <v>409</v>
      </c>
    </row>
    <row r="60" spans="17:88" x14ac:dyDescent="0.3">
      <c r="R60" s="17" t="s">
        <v>164</v>
      </c>
      <c r="S60" s="17" t="s">
        <v>165</v>
      </c>
      <c r="T60" s="17" t="s">
        <v>166</v>
      </c>
      <c r="U60" s="17" t="s">
        <v>167</v>
      </c>
      <c r="V60" s="17" t="s">
        <v>168</v>
      </c>
      <c r="X60" t="s">
        <v>821</v>
      </c>
      <c r="AG60" s="17" t="s">
        <v>164</v>
      </c>
      <c r="AH60" s="17" t="s">
        <v>165</v>
      </c>
      <c r="AI60" s="17" t="s">
        <v>166</v>
      </c>
      <c r="AJ60" s="17" t="s">
        <v>167</v>
      </c>
      <c r="AK60" s="17" t="s">
        <v>168</v>
      </c>
      <c r="AV60" s="17" t="s">
        <v>164</v>
      </c>
      <c r="AW60" s="17" t="s">
        <v>165</v>
      </c>
      <c r="AX60" s="17" t="s">
        <v>166</v>
      </c>
      <c r="AY60" s="17" t="s">
        <v>167</v>
      </c>
      <c r="AZ60" s="17" t="s">
        <v>168</v>
      </c>
      <c r="BB60" t="s">
        <v>821</v>
      </c>
      <c r="BT60" s="17" t="s">
        <v>164</v>
      </c>
      <c r="BU60" s="17" t="s">
        <v>165</v>
      </c>
      <c r="BV60" s="17" t="s">
        <v>166</v>
      </c>
      <c r="BW60" s="17" t="s">
        <v>167</v>
      </c>
      <c r="BX60" s="17" t="s">
        <v>168</v>
      </c>
      <c r="CE60" s="17" t="s">
        <v>544</v>
      </c>
      <c r="CF60" s="17" t="s">
        <v>408</v>
      </c>
      <c r="CG60" s="17" t="s">
        <v>155</v>
      </c>
      <c r="CH60" s="17" t="s">
        <v>408</v>
      </c>
      <c r="CI60" s="17" t="s">
        <v>155</v>
      </c>
      <c r="CJ60" s="17" t="s">
        <v>409</v>
      </c>
    </row>
    <row r="61" spans="17:88" x14ac:dyDescent="0.3">
      <c r="Q61" s="15" t="s">
        <v>554</v>
      </c>
      <c r="R61" s="17" t="s">
        <v>155</v>
      </c>
      <c r="S61" s="17" t="s">
        <v>594</v>
      </c>
      <c r="T61" s="17" t="s">
        <v>591</v>
      </c>
      <c r="U61" s="17" t="s">
        <v>594</v>
      </c>
      <c r="V61" s="17" t="s">
        <v>591</v>
      </c>
      <c r="Y61" s="17" t="s">
        <v>164</v>
      </c>
      <c r="Z61" s="17" t="s">
        <v>165</v>
      </c>
      <c r="AA61" s="17" t="s">
        <v>166</v>
      </c>
      <c r="AB61" s="17" t="s">
        <v>167</v>
      </c>
      <c r="AC61" s="17" t="s">
        <v>168</v>
      </c>
      <c r="AF61" s="15" t="s">
        <v>554</v>
      </c>
      <c r="AG61" s="17" t="s">
        <v>155</v>
      </c>
      <c r="AH61" s="17" t="s">
        <v>594</v>
      </c>
      <c r="AI61" s="17" t="s">
        <v>591</v>
      </c>
      <c r="AJ61" s="17" t="s">
        <v>593</v>
      </c>
      <c r="AK61" s="17" t="s">
        <v>591</v>
      </c>
      <c r="AM61" t="s">
        <v>821</v>
      </c>
      <c r="AU61" s="15" t="s">
        <v>554</v>
      </c>
      <c r="AV61" s="17" t="s">
        <v>155</v>
      </c>
      <c r="AW61" s="17" t="s">
        <v>594</v>
      </c>
      <c r="AX61" s="17" t="s">
        <v>591</v>
      </c>
      <c r="AY61" s="17" t="s">
        <v>594</v>
      </c>
      <c r="AZ61" s="17" t="s">
        <v>591</v>
      </c>
      <c r="BC61" s="17" t="s">
        <v>164</v>
      </c>
      <c r="BD61" s="17" t="s">
        <v>165</v>
      </c>
      <c r="BE61" s="17" t="s">
        <v>166</v>
      </c>
      <c r="BF61" s="17" t="s">
        <v>167</v>
      </c>
      <c r="BG61" s="17" t="s">
        <v>168</v>
      </c>
      <c r="BS61" s="17" t="s">
        <v>542</v>
      </c>
      <c r="BT61" s="17" t="s">
        <v>869</v>
      </c>
      <c r="BU61" s="17" t="s">
        <v>269</v>
      </c>
      <c r="BV61" s="17" t="s">
        <v>274</v>
      </c>
      <c r="BW61" s="17" t="s">
        <v>269</v>
      </c>
      <c r="BX61" s="17" t="s">
        <v>155</v>
      </c>
      <c r="CE61" s="17" t="s">
        <v>545</v>
      </c>
      <c r="CF61" s="17" t="s">
        <v>155</v>
      </c>
      <c r="CG61" s="17" t="s">
        <v>155</v>
      </c>
      <c r="CH61" s="17" t="s">
        <v>155</v>
      </c>
      <c r="CI61" s="17" t="s">
        <v>155</v>
      </c>
      <c r="CJ61" s="17" t="s">
        <v>155</v>
      </c>
    </row>
    <row r="62" spans="17:88" x14ac:dyDescent="0.3">
      <c r="Q62" s="15" t="s">
        <v>555</v>
      </c>
      <c r="R62" s="17" t="s">
        <v>589</v>
      </c>
      <c r="S62" s="17" t="s">
        <v>594</v>
      </c>
      <c r="T62" s="17" t="s">
        <v>591</v>
      </c>
      <c r="U62" s="17" t="s">
        <v>594</v>
      </c>
      <c r="V62" s="17" t="s">
        <v>591</v>
      </c>
      <c r="X62" t="s">
        <v>542</v>
      </c>
      <c r="Y62" s="17" t="s">
        <v>155</v>
      </c>
      <c r="Z62" s="17" t="s">
        <v>155</v>
      </c>
      <c r="AA62" s="17" t="s">
        <v>155</v>
      </c>
      <c r="AB62" s="17" t="s">
        <v>155</v>
      </c>
      <c r="AC62" s="17" t="s">
        <v>398</v>
      </c>
      <c r="AF62" s="15" t="s">
        <v>555</v>
      </c>
      <c r="AG62" s="17" t="s">
        <v>589</v>
      </c>
      <c r="AH62" s="17" t="s">
        <v>594</v>
      </c>
      <c r="AI62" s="17" t="s">
        <v>591</v>
      </c>
      <c r="AJ62" s="17" t="s">
        <v>593</v>
      </c>
      <c r="AK62" s="17" t="s">
        <v>591</v>
      </c>
      <c r="AN62" s="17" t="s">
        <v>164</v>
      </c>
      <c r="AO62" s="17" t="s">
        <v>165</v>
      </c>
      <c r="AP62" s="17" t="s">
        <v>166</v>
      </c>
      <c r="AQ62" s="17" t="s">
        <v>167</v>
      </c>
      <c r="AR62" s="17" t="s">
        <v>168</v>
      </c>
      <c r="AU62" s="15" t="s">
        <v>555</v>
      </c>
      <c r="AV62" s="17" t="s">
        <v>589</v>
      </c>
      <c r="AW62" s="17" t="s">
        <v>594</v>
      </c>
      <c r="AX62" s="17" t="s">
        <v>591</v>
      </c>
      <c r="AY62" s="17" t="s">
        <v>594</v>
      </c>
      <c r="AZ62" s="17" t="s">
        <v>591</v>
      </c>
      <c r="BB62" t="s">
        <v>542</v>
      </c>
      <c r="BC62" s="17" t="s">
        <v>155</v>
      </c>
      <c r="BD62" s="17" t="s">
        <v>155</v>
      </c>
      <c r="BE62" s="17" t="s">
        <v>155</v>
      </c>
      <c r="BF62" s="17" t="s">
        <v>155</v>
      </c>
      <c r="BG62" s="17" t="s">
        <v>398</v>
      </c>
      <c r="BS62" s="17" t="s">
        <v>543</v>
      </c>
      <c r="BT62" s="17" t="s">
        <v>869</v>
      </c>
      <c r="BU62" s="17" t="s">
        <v>269</v>
      </c>
      <c r="BV62" s="17" t="s">
        <v>274</v>
      </c>
      <c r="BW62" s="17" t="s">
        <v>269</v>
      </c>
      <c r="BX62" s="17" t="s">
        <v>870</v>
      </c>
    </row>
    <row r="63" spans="17:88" x14ac:dyDescent="0.3">
      <c r="Q63" s="15" t="s">
        <v>556</v>
      </c>
      <c r="R63" s="17" t="s">
        <v>589</v>
      </c>
      <c r="S63" s="17" t="s">
        <v>593</v>
      </c>
      <c r="T63" s="17" t="s">
        <v>591</v>
      </c>
      <c r="U63" s="17" t="s">
        <v>594</v>
      </c>
      <c r="V63" s="17" t="s">
        <v>592</v>
      </c>
      <c r="X63" t="s">
        <v>543</v>
      </c>
      <c r="Y63" s="17" t="s">
        <v>398</v>
      </c>
      <c r="Z63" s="17" t="s">
        <v>155</v>
      </c>
      <c r="AA63" s="17" t="s">
        <v>155</v>
      </c>
      <c r="AB63" s="17" t="s">
        <v>155</v>
      </c>
      <c r="AC63" s="17" t="s">
        <v>398</v>
      </c>
      <c r="AF63" s="15" t="s">
        <v>556</v>
      </c>
      <c r="AG63" s="17" t="s">
        <v>589</v>
      </c>
      <c r="AH63" s="17" t="s">
        <v>594</v>
      </c>
      <c r="AI63" s="17" t="s">
        <v>592</v>
      </c>
      <c r="AJ63" s="17" t="s">
        <v>594</v>
      </c>
      <c r="AK63" s="17" t="s">
        <v>591</v>
      </c>
      <c r="AM63" t="s">
        <v>542</v>
      </c>
      <c r="AN63" s="17" t="s">
        <v>155</v>
      </c>
      <c r="AO63" s="17" t="s">
        <v>155</v>
      </c>
      <c r="AP63" s="17" t="s">
        <v>155</v>
      </c>
      <c r="AQ63" s="17" t="s">
        <v>155</v>
      </c>
      <c r="AR63" s="17" t="s">
        <v>398</v>
      </c>
      <c r="AU63" s="15" t="s">
        <v>556</v>
      </c>
      <c r="AV63" s="17" t="s">
        <v>589</v>
      </c>
      <c r="AW63" s="17" t="s">
        <v>593</v>
      </c>
      <c r="AX63" s="17" t="s">
        <v>591</v>
      </c>
      <c r="AY63" s="17" t="s">
        <v>594</v>
      </c>
      <c r="AZ63" s="17" t="s">
        <v>592</v>
      </c>
      <c r="BB63" t="s">
        <v>543</v>
      </c>
      <c r="BC63" s="17" t="s">
        <v>398</v>
      </c>
      <c r="BD63" s="17" t="s">
        <v>155</v>
      </c>
      <c r="BE63" s="17" t="s">
        <v>155</v>
      </c>
      <c r="BF63" s="17" t="s">
        <v>155</v>
      </c>
      <c r="BG63" s="17" t="s">
        <v>398</v>
      </c>
      <c r="BS63" s="17" t="s">
        <v>544</v>
      </c>
      <c r="BT63" s="17" t="s">
        <v>281</v>
      </c>
      <c r="BU63" s="17" t="s">
        <v>92</v>
      </c>
      <c r="BV63" s="17" t="s">
        <v>662</v>
      </c>
      <c r="BW63" s="17" t="s">
        <v>272</v>
      </c>
      <c r="BX63" s="17" t="s">
        <v>870</v>
      </c>
      <c r="CE63" s="17" t="s">
        <v>803</v>
      </c>
    </row>
    <row r="64" spans="17:88" x14ac:dyDescent="0.3">
      <c r="Q64" s="15" t="s">
        <v>557</v>
      </c>
      <c r="R64" s="17" t="s">
        <v>589</v>
      </c>
      <c r="S64" s="17" t="s">
        <v>593</v>
      </c>
      <c r="T64" s="17" t="s">
        <v>155</v>
      </c>
      <c r="U64" s="17" t="s">
        <v>589</v>
      </c>
      <c r="V64" s="17" t="s">
        <v>592</v>
      </c>
      <c r="X64" t="s">
        <v>544</v>
      </c>
      <c r="Y64" s="17" t="s">
        <v>398</v>
      </c>
      <c r="Z64" s="17" t="s">
        <v>155</v>
      </c>
      <c r="AA64" s="17" t="s">
        <v>155</v>
      </c>
      <c r="AB64" s="17" t="s">
        <v>155</v>
      </c>
      <c r="AC64" s="17" t="s">
        <v>398</v>
      </c>
      <c r="AF64" s="15" t="s">
        <v>557</v>
      </c>
      <c r="AG64" s="17" t="s">
        <v>589</v>
      </c>
      <c r="AH64" s="17" t="s">
        <v>155</v>
      </c>
      <c r="AI64" s="17" t="s">
        <v>592</v>
      </c>
      <c r="AJ64" s="17" t="s">
        <v>594</v>
      </c>
      <c r="AK64" s="17" t="s">
        <v>589</v>
      </c>
      <c r="AM64" t="s">
        <v>543</v>
      </c>
      <c r="AN64" s="17" t="s">
        <v>398</v>
      </c>
      <c r="AO64" s="17" t="s">
        <v>155</v>
      </c>
      <c r="AP64" s="17" t="s">
        <v>155</v>
      </c>
      <c r="AQ64" s="17" t="s">
        <v>155</v>
      </c>
      <c r="AR64" s="17" t="s">
        <v>398</v>
      </c>
      <c r="AU64" s="15" t="s">
        <v>557</v>
      </c>
      <c r="AV64" s="17" t="s">
        <v>589</v>
      </c>
      <c r="AW64" s="17" t="s">
        <v>593</v>
      </c>
      <c r="AX64" s="17" t="s">
        <v>155</v>
      </c>
      <c r="AY64" s="17" t="s">
        <v>589</v>
      </c>
      <c r="AZ64" s="17" t="s">
        <v>592</v>
      </c>
      <c r="BB64" t="s">
        <v>544</v>
      </c>
      <c r="BC64" s="17" t="s">
        <v>398</v>
      </c>
      <c r="BD64" s="17" t="s">
        <v>155</v>
      </c>
      <c r="BE64" s="17" t="s">
        <v>155</v>
      </c>
      <c r="BF64" s="17" t="s">
        <v>155</v>
      </c>
      <c r="BG64" s="17" t="s">
        <v>398</v>
      </c>
      <c r="BS64" s="17" t="s">
        <v>545</v>
      </c>
      <c r="BT64" s="17" t="s">
        <v>272</v>
      </c>
      <c r="BU64" s="17" t="s">
        <v>92</v>
      </c>
      <c r="BV64" s="17" t="s">
        <v>662</v>
      </c>
      <c r="BW64" s="17" t="s">
        <v>272</v>
      </c>
      <c r="BX64" s="17" t="s">
        <v>878</v>
      </c>
      <c r="CF64" s="17" t="s">
        <v>164</v>
      </c>
      <c r="CG64" s="17" t="s">
        <v>165</v>
      </c>
      <c r="CH64" s="17" t="s">
        <v>166</v>
      </c>
      <c r="CI64" s="17" t="s">
        <v>167</v>
      </c>
      <c r="CJ64" s="17" t="s">
        <v>168</v>
      </c>
    </row>
    <row r="65" spans="2:88" x14ac:dyDescent="0.3">
      <c r="Q65" s="15" t="s">
        <v>542</v>
      </c>
      <c r="R65" s="17" t="s">
        <v>155</v>
      </c>
      <c r="S65" s="17" t="s">
        <v>155</v>
      </c>
      <c r="T65" s="17" t="s">
        <v>155</v>
      </c>
      <c r="U65" s="17" t="s">
        <v>589</v>
      </c>
      <c r="V65" s="17" t="s">
        <v>155</v>
      </c>
      <c r="AF65" s="15" t="s">
        <v>542</v>
      </c>
      <c r="AG65" s="17" t="s">
        <v>155</v>
      </c>
      <c r="AH65" s="17" t="s">
        <v>155</v>
      </c>
      <c r="AI65" s="17" t="s">
        <v>155</v>
      </c>
      <c r="AJ65" s="17" t="s">
        <v>155</v>
      </c>
      <c r="AK65" s="17" t="s">
        <v>589</v>
      </c>
      <c r="AM65" t="s">
        <v>544</v>
      </c>
      <c r="AN65" s="17" t="s">
        <v>398</v>
      </c>
      <c r="AO65" s="17" t="s">
        <v>155</v>
      </c>
      <c r="AP65" s="17" t="s">
        <v>155</v>
      </c>
      <c r="AQ65" s="17" t="s">
        <v>155</v>
      </c>
      <c r="AR65" s="17" t="s">
        <v>398</v>
      </c>
      <c r="AU65" s="15" t="s">
        <v>542</v>
      </c>
      <c r="AV65" s="17" t="s">
        <v>155</v>
      </c>
      <c r="AW65" s="17" t="s">
        <v>155</v>
      </c>
      <c r="AX65" s="17" t="s">
        <v>155</v>
      </c>
      <c r="AY65" s="17" t="s">
        <v>589</v>
      </c>
      <c r="AZ65" s="17" t="s">
        <v>155</v>
      </c>
      <c r="BS65" s="17" t="s">
        <v>546</v>
      </c>
      <c r="BT65" s="17" t="s">
        <v>272</v>
      </c>
      <c r="BU65" s="17" t="s">
        <v>92</v>
      </c>
      <c r="BV65" s="17" t="s">
        <v>155</v>
      </c>
      <c r="BW65" s="17" t="s">
        <v>272</v>
      </c>
      <c r="BX65" s="17" t="s">
        <v>274</v>
      </c>
      <c r="CE65" s="17" t="s">
        <v>555</v>
      </c>
      <c r="CF65" s="17" t="s">
        <v>409</v>
      </c>
      <c r="CG65" s="17" t="s">
        <v>155</v>
      </c>
      <c r="CH65" s="17" t="s">
        <v>260</v>
      </c>
      <c r="CI65" s="17" t="s">
        <v>266</v>
      </c>
      <c r="CJ65" s="17" t="s">
        <v>155</v>
      </c>
    </row>
    <row r="66" spans="2:88" x14ac:dyDescent="0.3">
      <c r="Q66" s="15" t="s">
        <v>543</v>
      </c>
      <c r="R66" s="17" t="s">
        <v>155</v>
      </c>
      <c r="S66" s="17" t="s">
        <v>155</v>
      </c>
      <c r="T66" s="17" t="s">
        <v>155</v>
      </c>
      <c r="U66" s="17" t="s">
        <v>155</v>
      </c>
      <c r="V66" s="17" t="s">
        <v>155</v>
      </c>
      <c r="X66" t="s">
        <v>745</v>
      </c>
      <c r="AF66" s="15" t="s">
        <v>543</v>
      </c>
      <c r="AG66" s="17" t="s">
        <v>155</v>
      </c>
      <c r="AH66" s="17" t="s">
        <v>155</v>
      </c>
      <c r="AI66" s="17" t="s">
        <v>155</v>
      </c>
      <c r="AJ66" s="17" t="s">
        <v>155</v>
      </c>
      <c r="AK66" s="17" t="s">
        <v>155</v>
      </c>
      <c r="AU66" s="15" t="s">
        <v>543</v>
      </c>
      <c r="AV66" s="17" t="s">
        <v>155</v>
      </c>
      <c r="AW66" s="17" t="s">
        <v>155</v>
      </c>
      <c r="AX66" s="17" t="s">
        <v>155</v>
      </c>
      <c r="AY66" s="17" t="s">
        <v>155</v>
      </c>
      <c r="AZ66" s="17" t="s">
        <v>155</v>
      </c>
      <c r="BB66" t="s">
        <v>745</v>
      </c>
      <c r="CE66" s="17" t="s">
        <v>556</v>
      </c>
      <c r="CF66" s="17" t="s">
        <v>409</v>
      </c>
      <c r="CG66" s="17" t="s">
        <v>410</v>
      </c>
      <c r="CH66" s="17" t="s">
        <v>260</v>
      </c>
      <c r="CI66" s="17" t="s">
        <v>266</v>
      </c>
      <c r="CJ66" s="17" t="s">
        <v>260</v>
      </c>
    </row>
    <row r="67" spans="2:88" x14ac:dyDescent="0.3">
      <c r="Y67" s="17" t="s">
        <v>164</v>
      </c>
      <c r="Z67" s="17" t="s">
        <v>165</v>
      </c>
      <c r="AA67" s="17" t="s">
        <v>166</v>
      </c>
      <c r="AB67" s="17" t="s">
        <v>167</v>
      </c>
      <c r="AC67" s="17" t="s">
        <v>168</v>
      </c>
      <c r="AM67" t="s">
        <v>745</v>
      </c>
      <c r="BC67" s="17" t="s">
        <v>164</v>
      </c>
      <c r="BD67" s="17" t="s">
        <v>165</v>
      </c>
      <c r="BE67" s="17" t="s">
        <v>166</v>
      </c>
      <c r="BF67" s="17" t="s">
        <v>167</v>
      </c>
      <c r="BG67" s="17" t="s">
        <v>168</v>
      </c>
      <c r="BS67" s="17" t="s">
        <v>596</v>
      </c>
      <c r="CE67" s="17" t="s">
        <v>557</v>
      </c>
      <c r="CF67" s="17" t="s">
        <v>887</v>
      </c>
      <c r="CG67" s="17" t="s">
        <v>410</v>
      </c>
      <c r="CH67" s="17" t="s">
        <v>407</v>
      </c>
      <c r="CI67" s="17" t="s">
        <v>887</v>
      </c>
      <c r="CJ67" s="17" t="s">
        <v>407</v>
      </c>
    </row>
    <row r="68" spans="2:88" x14ac:dyDescent="0.3">
      <c r="B68" s="29"/>
      <c r="Q68" s="29" t="s">
        <v>596</v>
      </c>
      <c r="X68" t="s">
        <v>549</v>
      </c>
      <c r="Y68" s="17" t="s">
        <v>155</v>
      </c>
      <c r="Z68" s="17" t="s">
        <v>155</v>
      </c>
      <c r="AA68" s="17" t="s">
        <v>370</v>
      </c>
      <c r="AB68" s="17" t="s">
        <v>155</v>
      </c>
      <c r="AC68" s="17" t="s">
        <v>155</v>
      </c>
      <c r="AF68" s="29" t="s">
        <v>596</v>
      </c>
      <c r="AN68" s="17" t="s">
        <v>164</v>
      </c>
      <c r="AO68" s="17" t="s">
        <v>165</v>
      </c>
      <c r="AP68" s="17" t="s">
        <v>166</v>
      </c>
      <c r="AQ68" s="17" t="s">
        <v>167</v>
      </c>
      <c r="AR68" s="17" t="s">
        <v>168</v>
      </c>
      <c r="AU68" s="29" t="s">
        <v>596</v>
      </c>
      <c r="BB68" t="s">
        <v>549</v>
      </c>
      <c r="BC68" s="17" t="s">
        <v>155</v>
      </c>
      <c r="BD68" s="17" t="s">
        <v>155</v>
      </c>
      <c r="BE68" s="17" t="s">
        <v>370</v>
      </c>
      <c r="BF68" s="17" t="s">
        <v>155</v>
      </c>
      <c r="BG68" s="17" t="s">
        <v>155</v>
      </c>
      <c r="BH68" s="29"/>
      <c r="BS68" s="17" t="s">
        <v>804</v>
      </c>
      <c r="CE68" s="17" t="s">
        <v>542</v>
      </c>
      <c r="CF68" s="17" t="s">
        <v>887</v>
      </c>
      <c r="CG68" s="17" t="s">
        <v>410</v>
      </c>
      <c r="CH68" s="17" t="s">
        <v>407</v>
      </c>
      <c r="CI68" s="17" t="s">
        <v>887</v>
      </c>
      <c r="CJ68" s="17" t="s">
        <v>407</v>
      </c>
    </row>
    <row r="69" spans="2:88" x14ac:dyDescent="0.3">
      <c r="B69" s="71"/>
      <c r="Q69" s="71" t="s">
        <v>597</v>
      </c>
      <c r="X69" t="s">
        <v>550</v>
      </c>
      <c r="Y69" s="17" t="s">
        <v>155</v>
      </c>
      <c r="Z69" s="17" t="s">
        <v>155</v>
      </c>
      <c r="AA69" s="17" t="s">
        <v>370</v>
      </c>
      <c r="AB69" s="17" t="s">
        <v>155</v>
      </c>
      <c r="AC69" s="17" t="s">
        <v>155</v>
      </c>
      <c r="AF69" s="71" t="s">
        <v>597</v>
      </c>
      <c r="AM69" t="s">
        <v>549</v>
      </c>
      <c r="AN69" s="17" t="s">
        <v>155</v>
      </c>
      <c r="AO69" s="17" t="s">
        <v>155</v>
      </c>
      <c r="AP69" s="17" t="s">
        <v>370</v>
      </c>
      <c r="AQ69" s="17" t="s">
        <v>155</v>
      </c>
      <c r="AR69" s="17" t="s">
        <v>155</v>
      </c>
      <c r="AU69" s="71" t="s">
        <v>597</v>
      </c>
      <c r="BB69" t="s">
        <v>550</v>
      </c>
      <c r="BC69" s="17" t="s">
        <v>155</v>
      </c>
      <c r="BD69" s="17" t="s">
        <v>155</v>
      </c>
      <c r="BE69" s="17" t="s">
        <v>370</v>
      </c>
      <c r="BF69" s="17" t="s">
        <v>155</v>
      </c>
      <c r="BG69" s="17" t="s">
        <v>155</v>
      </c>
      <c r="BH69" s="71"/>
      <c r="CE69" s="17" t="s">
        <v>543</v>
      </c>
      <c r="CF69" s="17" t="s">
        <v>408</v>
      </c>
      <c r="CG69" s="17" t="s">
        <v>410</v>
      </c>
      <c r="CH69" s="17" t="s">
        <v>408</v>
      </c>
      <c r="CI69" s="17" t="s">
        <v>155</v>
      </c>
      <c r="CJ69" s="17" t="s">
        <v>409</v>
      </c>
    </row>
    <row r="70" spans="2:88" x14ac:dyDescent="0.3">
      <c r="X70" t="s">
        <v>158</v>
      </c>
      <c r="Y70" s="17" t="s">
        <v>155</v>
      </c>
      <c r="Z70" s="17" t="s">
        <v>155</v>
      </c>
      <c r="AA70" s="17" t="s">
        <v>370</v>
      </c>
      <c r="AB70" s="17" t="s">
        <v>155</v>
      </c>
      <c r="AC70" s="17" t="s">
        <v>155</v>
      </c>
      <c r="AM70" t="s">
        <v>550</v>
      </c>
      <c r="AN70" s="17" t="s">
        <v>155</v>
      </c>
      <c r="AO70" s="17" t="s">
        <v>155</v>
      </c>
      <c r="AP70" s="17" t="s">
        <v>370</v>
      </c>
      <c r="AQ70" s="17" t="s">
        <v>155</v>
      </c>
      <c r="AR70" s="17" t="s">
        <v>155</v>
      </c>
      <c r="BB70" t="s">
        <v>158</v>
      </c>
      <c r="BC70" s="17" t="s">
        <v>155</v>
      </c>
      <c r="BD70" s="17" t="s">
        <v>155</v>
      </c>
      <c r="BE70" s="17" t="s">
        <v>370</v>
      </c>
      <c r="BF70" s="17" t="s">
        <v>155</v>
      </c>
      <c r="BG70" s="17" t="s">
        <v>155</v>
      </c>
      <c r="BS70" s="17" t="s">
        <v>814</v>
      </c>
      <c r="CE70" s="17" t="s">
        <v>544</v>
      </c>
      <c r="CF70" s="17" t="s">
        <v>408</v>
      </c>
      <c r="CG70" s="17" t="s">
        <v>155</v>
      </c>
      <c r="CH70" s="17" t="s">
        <v>408</v>
      </c>
      <c r="CI70" s="17" t="s">
        <v>155</v>
      </c>
      <c r="CJ70" s="17" t="s">
        <v>409</v>
      </c>
    </row>
    <row r="71" spans="2:88" x14ac:dyDescent="0.3">
      <c r="Q71" s="15" t="s">
        <v>598</v>
      </c>
      <c r="AF71" s="15" t="s">
        <v>598</v>
      </c>
      <c r="AM71" t="s">
        <v>158</v>
      </c>
      <c r="AN71" s="17" t="s">
        <v>155</v>
      </c>
      <c r="AO71" s="17" t="s">
        <v>155</v>
      </c>
      <c r="AP71" s="17" t="s">
        <v>370</v>
      </c>
      <c r="AQ71" s="17" t="s">
        <v>155</v>
      </c>
      <c r="AR71" s="17" t="s">
        <v>155</v>
      </c>
      <c r="AU71" s="15" t="s">
        <v>598</v>
      </c>
      <c r="BT71" s="17" t="s">
        <v>164</v>
      </c>
      <c r="BU71" s="17" t="s">
        <v>165</v>
      </c>
      <c r="BV71" s="17" t="s">
        <v>166</v>
      </c>
      <c r="BW71" s="17" t="s">
        <v>167</v>
      </c>
      <c r="BX71" s="17" t="s">
        <v>168</v>
      </c>
      <c r="CE71" s="17" t="s">
        <v>545</v>
      </c>
      <c r="CF71" s="17" t="s">
        <v>155</v>
      </c>
      <c r="CG71" s="17" t="s">
        <v>155</v>
      </c>
      <c r="CH71" s="17" t="s">
        <v>155</v>
      </c>
      <c r="CI71" s="17" t="s">
        <v>155</v>
      </c>
      <c r="CJ71" s="17" t="s">
        <v>155</v>
      </c>
    </row>
    <row r="72" spans="2:88" x14ac:dyDescent="0.3">
      <c r="R72" s="17" t="s">
        <v>164</v>
      </c>
      <c r="S72" s="17" t="s">
        <v>165</v>
      </c>
      <c r="T72" s="17" t="s">
        <v>166</v>
      </c>
      <c r="U72" s="17" t="s">
        <v>167</v>
      </c>
      <c r="V72" s="17" t="s">
        <v>168</v>
      </c>
      <c r="X72" t="s">
        <v>753</v>
      </c>
      <c r="AG72" s="17" t="s">
        <v>164</v>
      </c>
      <c r="AH72" s="17" t="s">
        <v>165</v>
      </c>
      <c r="AI72" s="17" t="s">
        <v>166</v>
      </c>
      <c r="AJ72" s="17" t="s">
        <v>167</v>
      </c>
      <c r="AK72" s="17" t="s">
        <v>168</v>
      </c>
      <c r="AV72" s="17" t="s">
        <v>164</v>
      </c>
      <c r="AW72" s="17" t="s">
        <v>165</v>
      </c>
      <c r="AX72" s="17" t="s">
        <v>166</v>
      </c>
      <c r="AY72" s="17" t="s">
        <v>167</v>
      </c>
      <c r="AZ72" s="17" t="s">
        <v>168</v>
      </c>
      <c r="BB72" t="s">
        <v>753</v>
      </c>
      <c r="BS72" s="17" t="s">
        <v>555</v>
      </c>
      <c r="BT72" s="17" t="s">
        <v>459</v>
      </c>
      <c r="BU72" s="17" t="s">
        <v>155</v>
      </c>
      <c r="BV72" s="17" t="s">
        <v>877</v>
      </c>
      <c r="BW72" s="17" t="s">
        <v>465</v>
      </c>
      <c r="BX72" s="17" t="s">
        <v>877</v>
      </c>
    </row>
    <row r="73" spans="2:88" x14ac:dyDescent="0.3">
      <c r="Q73" s="15" t="s">
        <v>542</v>
      </c>
      <c r="R73" s="17" t="s">
        <v>599</v>
      </c>
      <c r="S73" s="17" t="s">
        <v>600</v>
      </c>
      <c r="T73" s="17" t="s">
        <v>601</v>
      </c>
      <c r="U73" s="17" t="s">
        <v>600</v>
      </c>
      <c r="V73" s="17" t="s">
        <v>599</v>
      </c>
      <c r="Y73" s="17" t="s">
        <v>164</v>
      </c>
      <c r="Z73" s="17" t="s">
        <v>165</v>
      </c>
      <c r="AA73" s="17" t="s">
        <v>166</v>
      </c>
      <c r="AB73" s="17" t="s">
        <v>167</v>
      </c>
      <c r="AC73" s="17" t="s">
        <v>168</v>
      </c>
      <c r="AF73" s="15" t="s">
        <v>542</v>
      </c>
      <c r="AG73" s="17" t="s">
        <v>599</v>
      </c>
      <c r="AH73" s="17" t="s">
        <v>600</v>
      </c>
      <c r="AI73" s="17" t="s">
        <v>601</v>
      </c>
      <c r="AJ73" s="17" t="s">
        <v>600</v>
      </c>
      <c r="AK73" s="17" t="s">
        <v>602</v>
      </c>
      <c r="AM73" t="s">
        <v>753</v>
      </c>
      <c r="AU73" s="15" t="s">
        <v>542</v>
      </c>
      <c r="AV73" s="17" t="s">
        <v>599</v>
      </c>
      <c r="AW73" s="17" t="s">
        <v>600</v>
      </c>
      <c r="AX73" s="17" t="s">
        <v>601</v>
      </c>
      <c r="AY73" s="17" t="s">
        <v>600</v>
      </c>
      <c r="AZ73" s="17" t="s">
        <v>599</v>
      </c>
      <c r="BC73" s="17" t="s">
        <v>164</v>
      </c>
      <c r="BD73" s="17" t="s">
        <v>165</v>
      </c>
      <c r="BE73" s="17" t="s">
        <v>166</v>
      </c>
      <c r="BF73" s="17" t="s">
        <v>167</v>
      </c>
      <c r="BG73" s="17" t="s">
        <v>168</v>
      </c>
      <c r="BS73" s="17" t="s">
        <v>556</v>
      </c>
      <c r="BT73" s="17" t="s">
        <v>459</v>
      </c>
      <c r="BU73" s="17" t="s">
        <v>155</v>
      </c>
      <c r="BV73" s="17" t="s">
        <v>879</v>
      </c>
      <c r="BW73" s="17" t="s">
        <v>465</v>
      </c>
      <c r="BX73" s="17" t="s">
        <v>877</v>
      </c>
      <c r="CE73" s="17" t="s">
        <v>596</v>
      </c>
    </row>
    <row r="74" spans="2:88" x14ac:dyDescent="0.3">
      <c r="Q74" s="15" t="s">
        <v>543</v>
      </c>
      <c r="R74" s="17" t="s">
        <v>599</v>
      </c>
      <c r="S74" s="17" t="s">
        <v>600</v>
      </c>
      <c r="T74" s="17" t="s">
        <v>601</v>
      </c>
      <c r="U74" s="17" t="s">
        <v>600</v>
      </c>
      <c r="V74" s="17" t="s">
        <v>599</v>
      </c>
      <c r="X74" t="s">
        <v>550</v>
      </c>
      <c r="Y74" s="17" t="s">
        <v>155</v>
      </c>
      <c r="Z74" s="17" t="s">
        <v>272</v>
      </c>
      <c r="AA74" s="17" t="s">
        <v>155</v>
      </c>
      <c r="AB74" s="17" t="s">
        <v>272</v>
      </c>
      <c r="AC74" s="17" t="s">
        <v>155</v>
      </c>
      <c r="AF74" s="15" t="s">
        <v>543</v>
      </c>
      <c r="AG74" s="17" t="s">
        <v>599</v>
      </c>
      <c r="AH74" s="17" t="s">
        <v>600</v>
      </c>
      <c r="AI74" s="17" t="s">
        <v>601</v>
      </c>
      <c r="AJ74" s="17" t="s">
        <v>600</v>
      </c>
      <c r="AK74" s="17" t="s">
        <v>599</v>
      </c>
      <c r="AN74" s="17" t="s">
        <v>164</v>
      </c>
      <c r="AO74" s="17" t="s">
        <v>165</v>
      </c>
      <c r="AP74" s="17" t="s">
        <v>166</v>
      </c>
      <c r="AQ74" s="17" t="s">
        <v>167</v>
      </c>
      <c r="AR74" s="17" t="s">
        <v>168</v>
      </c>
      <c r="AU74" s="15" t="s">
        <v>543</v>
      </c>
      <c r="AV74" s="17" t="s">
        <v>599</v>
      </c>
      <c r="AW74" s="17" t="s">
        <v>600</v>
      </c>
      <c r="AX74" s="17" t="s">
        <v>601</v>
      </c>
      <c r="AY74" s="17" t="s">
        <v>600</v>
      </c>
      <c r="AZ74" s="17" t="s">
        <v>599</v>
      </c>
      <c r="BB74" t="s">
        <v>550</v>
      </c>
      <c r="BC74" s="17" t="s">
        <v>155</v>
      </c>
      <c r="BD74" s="17" t="s">
        <v>155</v>
      </c>
      <c r="BE74" s="17" t="s">
        <v>272</v>
      </c>
      <c r="BF74" s="17" t="s">
        <v>155</v>
      </c>
      <c r="BG74" s="17" t="s">
        <v>272</v>
      </c>
      <c r="BS74" s="17" t="s">
        <v>557</v>
      </c>
      <c r="BT74" s="17" t="s">
        <v>459</v>
      </c>
      <c r="BU74" s="17" t="s">
        <v>155</v>
      </c>
      <c r="BV74" s="17" t="s">
        <v>880</v>
      </c>
      <c r="BW74" s="17" t="s">
        <v>465</v>
      </c>
      <c r="BX74" s="17" t="s">
        <v>155</v>
      </c>
      <c r="CE74" s="17" t="s">
        <v>804</v>
      </c>
    </row>
    <row r="75" spans="2:88" x14ac:dyDescent="0.3">
      <c r="Q75" s="15" t="s">
        <v>544</v>
      </c>
      <c r="R75" s="17" t="s">
        <v>599</v>
      </c>
      <c r="S75" s="17" t="s">
        <v>603</v>
      </c>
      <c r="T75" s="17" t="s">
        <v>601</v>
      </c>
      <c r="U75" s="17" t="s">
        <v>600</v>
      </c>
      <c r="V75" s="17" t="s">
        <v>603</v>
      </c>
      <c r="X75" t="s">
        <v>158</v>
      </c>
      <c r="Y75" s="17" t="s">
        <v>155</v>
      </c>
      <c r="Z75" s="17" t="s">
        <v>272</v>
      </c>
      <c r="AA75" s="17" t="s">
        <v>155</v>
      </c>
      <c r="AB75" s="17" t="s">
        <v>272</v>
      </c>
      <c r="AC75" s="17" t="s">
        <v>155</v>
      </c>
      <c r="AF75" s="15" t="s">
        <v>544</v>
      </c>
      <c r="AG75" s="17" t="s">
        <v>599</v>
      </c>
      <c r="AH75" s="17" t="s">
        <v>600</v>
      </c>
      <c r="AI75" s="17" t="s">
        <v>601</v>
      </c>
      <c r="AJ75" s="17" t="s">
        <v>603</v>
      </c>
      <c r="AK75" s="17" t="s">
        <v>599</v>
      </c>
      <c r="AM75" t="s">
        <v>548</v>
      </c>
      <c r="AN75" s="17" t="s">
        <v>155</v>
      </c>
      <c r="AO75" s="17" t="s">
        <v>272</v>
      </c>
      <c r="AP75" s="17" t="s">
        <v>155</v>
      </c>
      <c r="AQ75" s="17" t="s">
        <v>155</v>
      </c>
      <c r="AR75" s="17" t="s">
        <v>155</v>
      </c>
      <c r="AU75" s="15" t="s">
        <v>544</v>
      </c>
      <c r="AV75" s="17" t="s">
        <v>599</v>
      </c>
      <c r="AW75" s="17" t="s">
        <v>600</v>
      </c>
      <c r="AX75" s="17" t="s">
        <v>601</v>
      </c>
      <c r="AY75" s="17" t="s">
        <v>603</v>
      </c>
      <c r="AZ75" s="17" t="s">
        <v>602</v>
      </c>
      <c r="BB75" t="s">
        <v>158</v>
      </c>
      <c r="BC75" s="17" t="s">
        <v>155</v>
      </c>
      <c r="BD75" s="17" t="s">
        <v>155</v>
      </c>
      <c r="BE75" s="17" t="s">
        <v>272</v>
      </c>
      <c r="BF75" s="17" t="s">
        <v>155</v>
      </c>
      <c r="BG75" s="17" t="s">
        <v>272</v>
      </c>
      <c r="BS75" s="17" t="s">
        <v>542</v>
      </c>
      <c r="BT75" s="17" t="s">
        <v>869</v>
      </c>
      <c r="BU75" s="17" t="s">
        <v>155</v>
      </c>
      <c r="BV75" s="17" t="s">
        <v>881</v>
      </c>
      <c r="BW75" s="17" t="s">
        <v>465</v>
      </c>
      <c r="BX75" s="17" t="s">
        <v>155</v>
      </c>
    </row>
    <row r="76" spans="2:88" x14ac:dyDescent="0.3">
      <c r="Q76" s="15" t="s">
        <v>545</v>
      </c>
      <c r="R76" s="17" t="s">
        <v>601</v>
      </c>
      <c r="S76" s="17" t="s">
        <v>603</v>
      </c>
      <c r="T76" s="17" t="s">
        <v>602</v>
      </c>
      <c r="U76" s="17" t="s">
        <v>155</v>
      </c>
      <c r="V76" s="17" t="s">
        <v>603</v>
      </c>
      <c r="X76" t="s">
        <v>159</v>
      </c>
      <c r="Y76" s="17" t="s">
        <v>155</v>
      </c>
      <c r="Z76" s="17" t="s">
        <v>272</v>
      </c>
      <c r="AA76" s="17" t="s">
        <v>155</v>
      </c>
      <c r="AB76" s="17" t="s">
        <v>155</v>
      </c>
      <c r="AC76" s="17" t="s">
        <v>155</v>
      </c>
      <c r="AF76" s="15" t="s">
        <v>545</v>
      </c>
      <c r="AG76" s="17" t="s">
        <v>601</v>
      </c>
      <c r="AH76" s="17" t="s">
        <v>603</v>
      </c>
      <c r="AI76" s="17" t="s">
        <v>602</v>
      </c>
      <c r="AJ76" s="17" t="s">
        <v>603</v>
      </c>
      <c r="AK76" s="17" t="s">
        <v>155</v>
      </c>
      <c r="AM76" t="s">
        <v>549</v>
      </c>
      <c r="AN76" s="17" t="s">
        <v>155</v>
      </c>
      <c r="AO76" s="17" t="s">
        <v>272</v>
      </c>
      <c r="AP76" s="17" t="s">
        <v>155</v>
      </c>
      <c r="AQ76" s="17" t="s">
        <v>155</v>
      </c>
      <c r="AR76" s="17" t="s">
        <v>155</v>
      </c>
      <c r="AU76" s="15" t="s">
        <v>545</v>
      </c>
      <c r="AV76" s="17" t="s">
        <v>601</v>
      </c>
      <c r="AW76" s="17" t="s">
        <v>603</v>
      </c>
      <c r="AX76" s="17" t="s">
        <v>602</v>
      </c>
      <c r="AY76" s="17" t="s">
        <v>603</v>
      </c>
      <c r="AZ76" s="17" t="s">
        <v>155</v>
      </c>
      <c r="BB76" t="s">
        <v>159</v>
      </c>
      <c r="BC76" s="17" t="s">
        <v>155</v>
      </c>
      <c r="BD76" s="17" t="s">
        <v>155</v>
      </c>
      <c r="BE76" s="17" t="s">
        <v>155</v>
      </c>
      <c r="BF76" s="17" t="s">
        <v>155</v>
      </c>
      <c r="BG76" s="17" t="s">
        <v>272</v>
      </c>
      <c r="BS76" s="17" t="s">
        <v>543</v>
      </c>
      <c r="BT76" s="17" t="s">
        <v>882</v>
      </c>
      <c r="BU76" s="17" t="s">
        <v>464</v>
      </c>
      <c r="BV76" s="17" t="s">
        <v>873</v>
      </c>
      <c r="BW76" s="17" t="s">
        <v>464</v>
      </c>
      <c r="BX76" s="17" t="s">
        <v>870</v>
      </c>
      <c r="CE76" s="17" t="s">
        <v>805</v>
      </c>
    </row>
    <row r="77" spans="2:88" x14ac:dyDescent="0.3">
      <c r="Q77" s="15" t="s">
        <v>546</v>
      </c>
      <c r="R77" s="17" t="s">
        <v>601</v>
      </c>
      <c r="S77" s="17" t="s">
        <v>603</v>
      </c>
      <c r="T77" s="17" t="s">
        <v>602</v>
      </c>
      <c r="U77" s="17" t="s">
        <v>155</v>
      </c>
      <c r="V77" s="17" t="s">
        <v>602</v>
      </c>
      <c r="AF77" s="15" t="s">
        <v>546</v>
      </c>
      <c r="AG77" s="17" t="s">
        <v>601</v>
      </c>
      <c r="AH77" s="17" t="s">
        <v>603</v>
      </c>
      <c r="AI77" s="17" t="s">
        <v>602</v>
      </c>
      <c r="AJ77" s="17" t="s">
        <v>603</v>
      </c>
      <c r="AK77" s="17" t="s">
        <v>155</v>
      </c>
      <c r="AM77" t="s">
        <v>550</v>
      </c>
      <c r="AN77" s="17" t="s">
        <v>155</v>
      </c>
      <c r="AO77" s="17" t="s">
        <v>272</v>
      </c>
      <c r="AP77" s="17" t="s">
        <v>155</v>
      </c>
      <c r="AQ77" s="17" t="s">
        <v>155</v>
      </c>
      <c r="AR77" s="17" t="s">
        <v>155</v>
      </c>
      <c r="AU77" s="15" t="s">
        <v>546</v>
      </c>
      <c r="AV77" s="17" t="s">
        <v>601</v>
      </c>
      <c r="AW77" s="17" t="s">
        <v>603</v>
      </c>
      <c r="AX77" s="17" t="s">
        <v>602</v>
      </c>
      <c r="AY77" s="17" t="s">
        <v>603</v>
      </c>
      <c r="AZ77" s="17" t="s">
        <v>155</v>
      </c>
      <c r="BS77" s="17" t="s">
        <v>544</v>
      </c>
      <c r="BT77" s="17" t="s">
        <v>883</v>
      </c>
      <c r="BU77" s="17" t="s">
        <v>464</v>
      </c>
      <c r="BV77" s="17" t="s">
        <v>871</v>
      </c>
      <c r="BW77" s="17" t="s">
        <v>464</v>
      </c>
      <c r="BX77" s="17" t="s">
        <v>870</v>
      </c>
      <c r="CF77" s="17" t="s">
        <v>164</v>
      </c>
      <c r="CG77" s="17" t="s">
        <v>165</v>
      </c>
      <c r="CH77" s="17" t="s">
        <v>166</v>
      </c>
      <c r="CI77" s="17" t="s">
        <v>167</v>
      </c>
      <c r="CJ77" s="17" t="s">
        <v>168</v>
      </c>
    </row>
    <row r="78" spans="2:88" x14ac:dyDescent="0.3">
      <c r="X78" t="s">
        <v>725</v>
      </c>
      <c r="AM78" t="s">
        <v>158</v>
      </c>
      <c r="AN78" s="17" t="s">
        <v>155</v>
      </c>
      <c r="AO78" s="17" t="s">
        <v>155</v>
      </c>
      <c r="AP78" s="17" t="s">
        <v>155</v>
      </c>
      <c r="AQ78" s="17" t="s">
        <v>155</v>
      </c>
      <c r="AR78" s="17" t="s">
        <v>272</v>
      </c>
      <c r="BB78" t="s">
        <v>725</v>
      </c>
      <c r="BS78" s="17" t="s">
        <v>545</v>
      </c>
      <c r="BT78" s="17" t="s">
        <v>155</v>
      </c>
      <c r="BU78" s="17" t="s">
        <v>155</v>
      </c>
      <c r="BV78" s="17" t="s">
        <v>884</v>
      </c>
      <c r="BW78" s="17" t="s">
        <v>155</v>
      </c>
      <c r="BX78" s="17" t="s">
        <v>878</v>
      </c>
      <c r="CE78" s="17" t="s">
        <v>555</v>
      </c>
      <c r="CF78" s="17" t="s">
        <v>656</v>
      </c>
      <c r="CG78" s="17" t="s">
        <v>155</v>
      </c>
      <c r="CH78" s="17" t="s">
        <v>683</v>
      </c>
      <c r="CI78" s="17" t="s">
        <v>459</v>
      </c>
      <c r="CJ78" s="17" t="s">
        <v>656</v>
      </c>
    </row>
    <row r="79" spans="2:88" x14ac:dyDescent="0.3">
      <c r="Q79" s="15" t="s">
        <v>604</v>
      </c>
      <c r="Y79" s="17" t="s">
        <v>164</v>
      </c>
      <c r="Z79" s="17" t="s">
        <v>165</v>
      </c>
      <c r="AA79" s="17" t="s">
        <v>166</v>
      </c>
      <c r="AB79" s="17" t="s">
        <v>167</v>
      </c>
      <c r="AC79" s="17" t="s">
        <v>168</v>
      </c>
      <c r="AF79" s="15" t="s">
        <v>604</v>
      </c>
      <c r="AM79" t="s">
        <v>159</v>
      </c>
      <c r="AN79" s="17" t="s">
        <v>155</v>
      </c>
      <c r="AO79" s="17" t="s">
        <v>155</v>
      </c>
      <c r="AP79" s="17" t="s">
        <v>155</v>
      </c>
      <c r="AQ79" s="17" t="s">
        <v>155</v>
      </c>
      <c r="AR79" s="17" t="s">
        <v>272</v>
      </c>
      <c r="AU79" s="15" t="s">
        <v>604</v>
      </c>
      <c r="BC79" s="17" t="s">
        <v>164</v>
      </c>
      <c r="BD79" s="17" t="s">
        <v>165</v>
      </c>
      <c r="BE79" s="17" t="s">
        <v>166</v>
      </c>
      <c r="BF79" s="17" t="s">
        <v>167</v>
      </c>
      <c r="BG79" s="17" t="s">
        <v>168</v>
      </c>
      <c r="CE79" s="17" t="s">
        <v>556</v>
      </c>
      <c r="CF79" s="17" t="s">
        <v>656</v>
      </c>
      <c r="CG79" s="17" t="s">
        <v>909</v>
      </c>
      <c r="CH79" s="17" t="s">
        <v>683</v>
      </c>
      <c r="CI79" s="17" t="s">
        <v>459</v>
      </c>
      <c r="CJ79" s="17" t="s">
        <v>656</v>
      </c>
    </row>
    <row r="80" spans="2:88" x14ac:dyDescent="0.3">
      <c r="R80" s="17" t="s">
        <v>164</v>
      </c>
      <c r="S80" s="17" t="s">
        <v>165</v>
      </c>
      <c r="T80" s="17" t="s">
        <v>166</v>
      </c>
      <c r="U80" s="17" t="s">
        <v>167</v>
      </c>
      <c r="V80" s="17" t="s">
        <v>168</v>
      </c>
      <c r="X80" t="s">
        <v>549</v>
      </c>
      <c r="Y80" s="17" t="s">
        <v>155</v>
      </c>
      <c r="Z80" s="17" t="s">
        <v>510</v>
      </c>
      <c r="AA80" s="17" t="s">
        <v>510</v>
      </c>
      <c r="AB80" s="17" t="s">
        <v>155</v>
      </c>
      <c r="AC80" s="17" t="s">
        <v>155</v>
      </c>
      <c r="AG80" s="17" t="s">
        <v>164</v>
      </c>
      <c r="AH80" s="17" t="s">
        <v>165</v>
      </c>
      <c r="AI80" s="17" t="s">
        <v>166</v>
      </c>
      <c r="AJ80" s="17" t="s">
        <v>167</v>
      </c>
      <c r="AK80" s="17" t="s">
        <v>168</v>
      </c>
      <c r="AV80" s="17" t="s">
        <v>164</v>
      </c>
      <c r="AW80" s="17" t="s">
        <v>165</v>
      </c>
      <c r="AX80" s="17" t="s">
        <v>166</v>
      </c>
      <c r="AY80" s="17" t="s">
        <v>167</v>
      </c>
      <c r="AZ80" s="17" t="s">
        <v>168</v>
      </c>
      <c r="BB80" t="s">
        <v>549</v>
      </c>
      <c r="BC80" s="17" t="s">
        <v>155</v>
      </c>
      <c r="BD80" s="17" t="s">
        <v>510</v>
      </c>
      <c r="BE80" s="17" t="s">
        <v>510</v>
      </c>
      <c r="BF80" s="17" t="s">
        <v>510</v>
      </c>
      <c r="BG80" s="17" t="s">
        <v>155</v>
      </c>
      <c r="BS80" s="17" t="s">
        <v>818</v>
      </c>
      <c r="CE80" s="17" t="s">
        <v>557</v>
      </c>
      <c r="CF80" s="17" t="s">
        <v>458</v>
      </c>
      <c r="CG80" s="17" t="s">
        <v>910</v>
      </c>
      <c r="CH80" s="17" t="s">
        <v>683</v>
      </c>
      <c r="CI80" s="17" t="s">
        <v>459</v>
      </c>
      <c r="CJ80" s="17" t="s">
        <v>893</v>
      </c>
    </row>
    <row r="81" spans="17:88" x14ac:dyDescent="0.3">
      <c r="Q81" s="15" t="s">
        <v>548</v>
      </c>
      <c r="R81" s="17" t="s">
        <v>155</v>
      </c>
      <c r="S81" s="17" t="s">
        <v>607</v>
      </c>
      <c r="T81" s="17" t="s">
        <v>609</v>
      </c>
      <c r="U81" s="17" t="s">
        <v>606</v>
      </c>
      <c r="V81" s="17" t="s">
        <v>607</v>
      </c>
      <c r="X81" t="s">
        <v>550</v>
      </c>
      <c r="Y81" s="17" t="s">
        <v>155</v>
      </c>
      <c r="Z81" s="17" t="s">
        <v>510</v>
      </c>
      <c r="AA81" s="17" t="s">
        <v>510</v>
      </c>
      <c r="AB81" s="17" t="s">
        <v>510</v>
      </c>
      <c r="AC81" s="17" t="s">
        <v>155</v>
      </c>
      <c r="AF81" s="15" t="s">
        <v>548</v>
      </c>
      <c r="AG81" s="17" t="s">
        <v>155</v>
      </c>
      <c r="AH81" s="17" t="s">
        <v>607</v>
      </c>
      <c r="AI81" s="17" t="s">
        <v>609</v>
      </c>
      <c r="AJ81" s="17" t="s">
        <v>606</v>
      </c>
      <c r="AK81" s="17" t="s">
        <v>607</v>
      </c>
      <c r="AM81" t="s">
        <v>725</v>
      </c>
      <c r="AU81" s="15" t="s">
        <v>548</v>
      </c>
      <c r="AV81" s="17" t="s">
        <v>155</v>
      </c>
      <c r="AW81" s="17" t="s">
        <v>607</v>
      </c>
      <c r="AX81" s="17" t="s">
        <v>609</v>
      </c>
      <c r="AY81" s="17" t="s">
        <v>606</v>
      </c>
      <c r="AZ81" s="17" t="s">
        <v>607</v>
      </c>
      <c r="BB81" t="s">
        <v>550</v>
      </c>
      <c r="BC81" s="17" t="s">
        <v>155</v>
      </c>
      <c r="BD81" s="17" t="s">
        <v>510</v>
      </c>
      <c r="BE81" s="17" t="s">
        <v>510</v>
      </c>
      <c r="BF81" s="17" t="s">
        <v>510</v>
      </c>
      <c r="BG81" s="17" t="s">
        <v>155</v>
      </c>
      <c r="BT81" s="17" t="s">
        <v>164</v>
      </c>
      <c r="BU81" s="17" t="s">
        <v>165</v>
      </c>
      <c r="BV81" s="17" t="s">
        <v>166</v>
      </c>
      <c r="BW81" s="17" t="s">
        <v>167</v>
      </c>
      <c r="BX81" s="17" t="s">
        <v>168</v>
      </c>
      <c r="CE81" s="17" t="s">
        <v>542</v>
      </c>
      <c r="CF81" s="17" t="s">
        <v>458</v>
      </c>
      <c r="CG81" s="17" t="s">
        <v>911</v>
      </c>
      <c r="CH81" s="17" t="s">
        <v>457</v>
      </c>
      <c r="CI81" s="17" t="s">
        <v>458</v>
      </c>
      <c r="CJ81" s="17" t="s">
        <v>893</v>
      </c>
    </row>
    <row r="82" spans="17:88" x14ac:dyDescent="0.3">
      <c r="Q82" s="15" t="s">
        <v>549</v>
      </c>
      <c r="R82" s="17" t="s">
        <v>611</v>
      </c>
      <c r="S82" s="17" t="s">
        <v>607</v>
      </c>
      <c r="T82" s="17" t="s">
        <v>609</v>
      </c>
      <c r="U82" s="17" t="s">
        <v>606</v>
      </c>
      <c r="V82" s="17" t="s">
        <v>607</v>
      </c>
      <c r="X82" t="s">
        <v>158</v>
      </c>
      <c r="Y82" s="17" t="s">
        <v>155</v>
      </c>
      <c r="Z82" s="17" t="s">
        <v>155</v>
      </c>
      <c r="AA82" s="17" t="s">
        <v>155</v>
      </c>
      <c r="AB82" s="17" t="s">
        <v>510</v>
      </c>
      <c r="AC82" s="17" t="s">
        <v>155</v>
      </c>
      <c r="AF82" s="15" t="s">
        <v>549</v>
      </c>
      <c r="AG82" s="17" t="s">
        <v>611</v>
      </c>
      <c r="AH82" s="17" t="s">
        <v>607</v>
      </c>
      <c r="AI82" s="17" t="s">
        <v>609</v>
      </c>
      <c r="AJ82" s="17" t="s">
        <v>606</v>
      </c>
      <c r="AK82" s="17" t="s">
        <v>607</v>
      </c>
      <c r="AN82" s="17" t="s">
        <v>164</v>
      </c>
      <c r="AO82" s="17" t="s">
        <v>165</v>
      </c>
      <c r="AP82" s="17" t="s">
        <v>166</v>
      </c>
      <c r="AQ82" s="17" t="s">
        <v>167</v>
      </c>
      <c r="AR82" s="17" t="s">
        <v>168</v>
      </c>
      <c r="AU82" s="15" t="s">
        <v>549</v>
      </c>
      <c r="AV82" s="17" t="s">
        <v>611</v>
      </c>
      <c r="AW82" s="17" t="s">
        <v>607</v>
      </c>
      <c r="AX82" s="17" t="s">
        <v>609</v>
      </c>
      <c r="AY82" s="17" t="s">
        <v>606</v>
      </c>
      <c r="AZ82" s="17" t="s">
        <v>607</v>
      </c>
      <c r="BB82" t="s">
        <v>556</v>
      </c>
      <c r="BC82" s="17" t="s">
        <v>155</v>
      </c>
      <c r="BD82" s="17" t="s">
        <v>155</v>
      </c>
      <c r="BE82" s="17" t="s">
        <v>510</v>
      </c>
      <c r="BF82" s="17" t="s">
        <v>155</v>
      </c>
      <c r="BG82" s="17" t="s">
        <v>155</v>
      </c>
      <c r="BS82" s="17" t="s">
        <v>555</v>
      </c>
      <c r="BT82" s="17" t="s">
        <v>459</v>
      </c>
      <c r="BU82" s="17" t="s">
        <v>155</v>
      </c>
      <c r="BV82" s="17" t="s">
        <v>877</v>
      </c>
      <c r="BW82" s="17" t="s">
        <v>465</v>
      </c>
      <c r="BX82" s="17" t="s">
        <v>877</v>
      </c>
      <c r="CE82" s="17" t="s">
        <v>543</v>
      </c>
      <c r="CF82" s="17" t="s">
        <v>530</v>
      </c>
      <c r="CG82" s="17" t="s">
        <v>457</v>
      </c>
      <c r="CH82" s="17" t="s">
        <v>457</v>
      </c>
      <c r="CI82" s="17" t="s">
        <v>458</v>
      </c>
      <c r="CJ82" s="17" t="s">
        <v>460</v>
      </c>
    </row>
    <row r="83" spans="17:88" x14ac:dyDescent="0.3">
      <c r="Q83" s="15" t="s">
        <v>550</v>
      </c>
      <c r="R83" s="17" t="s">
        <v>611</v>
      </c>
      <c r="S83" s="17" t="s">
        <v>610</v>
      </c>
      <c r="T83" s="17" t="s">
        <v>611</v>
      </c>
      <c r="U83" s="17" t="s">
        <v>606</v>
      </c>
      <c r="V83" s="17" t="s">
        <v>607</v>
      </c>
      <c r="X83" t="s">
        <v>556</v>
      </c>
      <c r="Y83" s="17" t="s">
        <v>155</v>
      </c>
      <c r="Z83" s="17" t="s">
        <v>155</v>
      </c>
      <c r="AA83" s="17" t="s">
        <v>510</v>
      </c>
      <c r="AB83" s="17" t="s">
        <v>155</v>
      </c>
      <c r="AC83" s="17" t="s">
        <v>155</v>
      </c>
      <c r="AF83" s="15" t="s">
        <v>550</v>
      </c>
      <c r="AG83" s="17" t="s">
        <v>611</v>
      </c>
      <c r="AH83" s="17" t="s">
        <v>610</v>
      </c>
      <c r="AI83" s="17" t="s">
        <v>611</v>
      </c>
      <c r="AJ83" s="17" t="s">
        <v>606</v>
      </c>
      <c r="AK83" s="17" t="s">
        <v>607</v>
      </c>
      <c r="AM83" t="s">
        <v>549</v>
      </c>
      <c r="AN83" s="17" t="s">
        <v>155</v>
      </c>
      <c r="AO83" s="17" t="s">
        <v>510</v>
      </c>
      <c r="AP83" s="17" t="s">
        <v>510</v>
      </c>
      <c r="AQ83" s="17" t="s">
        <v>510</v>
      </c>
      <c r="AR83" s="17" t="s">
        <v>155</v>
      </c>
      <c r="AU83" s="15" t="s">
        <v>550</v>
      </c>
      <c r="AV83" s="17" t="s">
        <v>611</v>
      </c>
      <c r="AW83" s="17" t="s">
        <v>610</v>
      </c>
      <c r="AX83" s="17" t="s">
        <v>611</v>
      </c>
      <c r="AY83" s="17" t="s">
        <v>606</v>
      </c>
      <c r="AZ83" s="17" t="s">
        <v>607</v>
      </c>
      <c r="BB83" t="s">
        <v>557</v>
      </c>
      <c r="BC83" s="17" t="s">
        <v>155</v>
      </c>
      <c r="BD83" s="17" t="s">
        <v>155</v>
      </c>
      <c r="BE83" s="17" t="s">
        <v>510</v>
      </c>
      <c r="BF83" s="17" t="s">
        <v>155</v>
      </c>
      <c r="BG83" s="17" t="s">
        <v>155</v>
      </c>
      <c r="BS83" s="17" t="s">
        <v>556</v>
      </c>
      <c r="BT83" s="17" t="s">
        <v>459</v>
      </c>
      <c r="BU83" s="17" t="s">
        <v>155</v>
      </c>
      <c r="BV83" s="17" t="s">
        <v>879</v>
      </c>
      <c r="BW83" s="17" t="s">
        <v>465</v>
      </c>
      <c r="BX83" s="17" t="s">
        <v>877</v>
      </c>
      <c r="CE83" s="17" t="s">
        <v>544</v>
      </c>
      <c r="CF83" s="17" t="s">
        <v>894</v>
      </c>
      <c r="CG83" s="17" t="s">
        <v>457</v>
      </c>
      <c r="CH83" s="17" t="s">
        <v>460</v>
      </c>
      <c r="CI83" s="17" t="s">
        <v>533</v>
      </c>
      <c r="CJ83" s="17" t="s">
        <v>460</v>
      </c>
    </row>
    <row r="84" spans="17:88" x14ac:dyDescent="0.3">
      <c r="Q84" s="15" t="s">
        <v>158</v>
      </c>
      <c r="R84" s="17" t="s">
        <v>611</v>
      </c>
      <c r="S84" s="17" t="s">
        <v>610</v>
      </c>
      <c r="T84" s="17" t="s">
        <v>611</v>
      </c>
      <c r="U84" s="17" t="s">
        <v>610</v>
      </c>
      <c r="V84" s="17" t="s">
        <v>608</v>
      </c>
      <c r="X84" t="s">
        <v>557</v>
      </c>
      <c r="Y84" s="17" t="s">
        <v>155</v>
      </c>
      <c r="Z84" s="17" t="s">
        <v>155</v>
      </c>
      <c r="AA84" s="17" t="s">
        <v>510</v>
      </c>
      <c r="AB84" s="17" t="s">
        <v>155</v>
      </c>
      <c r="AC84" s="17" t="s">
        <v>155</v>
      </c>
      <c r="AF84" s="15" t="s">
        <v>158</v>
      </c>
      <c r="AG84" s="17" t="s">
        <v>611</v>
      </c>
      <c r="AH84" s="17" t="s">
        <v>610</v>
      </c>
      <c r="AI84" s="17" t="s">
        <v>611</v>
      </c>
      <c r="AJ84" s="17" t="s">
        <v>610</v>
      </c>
      <c r="AK84" s="17" t="s">
        <v>608</v>
      </c>
      <c r="AM84" t="s">
        <v>550</v>
      </c>
      <c r="AN84" s="17" t="s">
        <v>155</v>
      </c>
      <c r="AO84" s="17" t="s">
        <v>510</v>
      </c>
      <c r="AP84" s="17" t="s">
        <v>510</v>
      </c>
      <c r="AQ84" s="17" t="s">
        <v>510</v>
      </c>
      <c r="AR84" s="17" t="s">
        <v>155</v>
      </c>
      <c r="AU84" s="15" t="s">
        <v>158</v>
      </c>
      <c r="AV84" s="17" t="s">
        <v>611</v>
      </c>
      <c r="AW84" s="17" t="s">
        <v>610</v>
      </c>
      <c r="AX84" s="17" t="s">
        <v>611</v>
      </c>
      <c r="AY84" s="17" t="s">
        <v>610</v>
      </c>
      <c r="AZ84" s="17" t="s">
        <v>608</v>
      </c>
      <c r="BS84" s="17" t="s">
        <v>557</v>
      </c>
      <c r="BT84" s="17" t="s">
        <v>459</v>
      </c>
      <c r="BU84" s="17" t="s">
        <v>155</v>
      </c>
      <c r="BV84" s="17" t="s">
        <v>880</v>
      </c>
      <c r="BW84" s="17" t="s">
        <v>465</v>
      </c>
      <c r="BX84" s="17" t="s">
        <v>407</v>
      </c>
      <c r="CE84" s="17" t="s">
        <v>545</v>
      </c>
      <c r="CF84" s="17" t="s">
        <v>533</v>
      </c>
      <c r="CG84" s="17" t="s">
        <v>155</v>
      </c>
      <c r="CH84" s="17" t="s">
        <v>460</v>
      </c>
      <c r="CI84" s="17" t="s">
        <v>533</v>
      </c>
      <c r="CJ84" s="17" t="s">
        <v>460</v>
      </c>
    </row>
    <row r="85" spans="17:88" x14ac:dyDescent="0.3">
      <c r="Q85" s="15" t="s">
        <v>159</v>
      </c>
      <c r="R85" s="17" t="s">
        <v>605</v>
      </c>
      <c r="S85" s="17" t="s">
        <v>608</v>
      </c>
      <c r="T85" s="17" t="s">
        <v>605</v>
      </c>
      <c r="U85" s="17" t="s">
        <v>610</v>
      </c>
      <c r="V85" s="17" t="s">
        <v>608</v>
      </c>
      <c r="AF85" s="15" t="s">
        <v>159</v>
      </c>
      <c r="AG85" s="17" t="s">
        <v>605</v>
      </c>
      <c r="AH85" s="17" t="s">
        <v>608</v>
      </c>
      <c r="AI85" s="17" t="s">
        <v>605</v>
      </c>
      <c r="AJ85" s="17" t="s">
        <v>610</v>
      </c>
      <c r="AK85" s="17" t="s">
        <v>608</v>
      </c>
      <c r="AM85" t="s">
        <v>556</v>
      </c>
      <c r="AN85" s="17" t="s">
        <v>155</v>
      </c>
      <c r="AO85" s="17" t="s">
        <v>155</v>
      </c>
      <c r="AP85" s="17" t="s">
        <v>155</v>
      </c>
      <c r="AQ85" s="17" t="s">
        <v>510</v>
      </c>
      <c r="AR85" s="17" t="s">
        <v>155</v>
      </c>
      <c r="AU85" s="15" t="s">
        <v>159</v>
      </c>
      <c r="AV85" s="17" t="s">
        <v>605</v>
      </c>
      <c r="AW85" s="17" t="s">
        <v>608</v>
      </c>
      <c r="AX85" s="17" t="s">
        <v>605</v>
      </c>
      <c r="AY85" s="17" t="s">
        <v>610</v>
      </c>
      <c r="AZ85" s="17" t="s">
        <v>608</v>
      </c>
      <c r="BB85" t="s">
        <v>822</v>
      </c>
      <c r="BS85" s="17" t="s">
        <v>542</v>
      </c>
      <c r="BT85" s="17" t="s">
        <v>869</v>
      </c>
      <c r="BU85" s="17" t="s">
        <v>155</v>
      </c>
      <c r="BV85" s="17" t="s">
        <v>881</v>
      </c>
      <c r="BW85" s="17" t="s">
        <v>465</v>
      </c>
      <c r="BX85" s="17" t="s">
        <v>407</v>
      </c>
    </row>
    <row r="86" spans="17:88" x14ac:dyDescent="0.3">
      <c r="Q86" s="15" t="s">
        <v>160</v>
      </c>
      <c r="R86" s="17" t="s">
        <v>605</v>
      </c>
      <c r="S86" s="17" t="s">
        <v>608</v>
      </c>
      <c r="T86" s="17" t="s">
        <v>605</v>
      </c>
      <c r="U86" s="17" t="s">
        <v>610</v>
      </c>
      <c r="V86" s="17" t="s">
        <v>608</v>
      </c>
      <c r="X86" t="s">
        <v>822</v>
      </c>
      <c r="AF86" s="15" t="s">
        <v>160</v>
      </c>
      <c r="AG86" s="17" t="s">
        <v>605</v>
      </c>
      <c r="AH86" s="17" t="s">
        <v>608</v>
      </c>
      <c r="AI86" s="17" t="s">
        <v>605</v>
      </c>
      <c r="AJ86" s="17" t="s">
        <v>610</v>
      </c>
      <c r="AK86" s="17" t="s">
        <v>608</v>
      </c>
      <c r="AM86" t="s">
        <v>557</v>
      </c>
      <c r="AN86" s="17" t="s">
        <v>155</v>
      </c>
      <c r="AO86" s="17" t="s">
        <v>155</v>
      </c>
      <c r="AP86" s="17" t="s">
        <v>155</v>
      </c>
      <c r="AQ86" s="17" t="s">
        <v>510</v>
      </c>
      <c r="AR86" s="17" t="s">
        <v>155</v>
      </c>
      <c r="AU86" s="15" t="s">
        <v>160</v>
      </c>
      <c r="AV86" s="17" t="s">
        <v>605</v>
      </c>
      <c r="AW86" s="17" t="s">
        <v>608</v>
      </c>
      <c r="AX86" s="17" t="s">
        <v>605</v>
      </c>
      <c r="AY86" s="17" t="s">
        <v>610</v>
      </c>
      <c r="AZ86" s="17" t="s">
        <v>608</v>
      </c>
      <c r="BC86" s="17" t="s">
        <v>164</v>
      </c>
      <c r="BD86" s="17" t="s">
        <v>165</v>
      </c>
      <c r="BE86" s="17" t="s">
        <v>166</v>
      </c>
      <c r="BF86" s="17" t="s">
        <v>167</v>
      </c>
      <c r="BG86" s="17" t="s">
        <v>168</v>
      </c>
      <c r="BS86" s="17" t="s">
        <v>543</v>
      </c>
      <c r="BT86" s="17" t="s">
        <v>882</v>
      </c>
      <c r="BU86" s="17" t="s">
        <v>407</v>
      </c>
      <c r="BV86" s="17" t="s">
        <v>873</v>
      </c>
      <c r="BW86" s="17" t="s">
        <v>155</v>
      </c>
      <c r="BX86" s="17" t="s">
        <v>870</v>
      </c>
      <c r="CE86" s="17" t="s">
        <v>810</v>
      </c>
    </row>
    <row r="87" spans="17:88" x14ac:dyDescent="0.3">
      <c r="Y87" s="17" t="s">
        <v>164</v>
      </c>
      <c r="Z87" s="17" t="s">
        <v>165</v>
      </c>
      <c r="AA87" s="17" t="s">
        <v>166</v>
      </c>
      <c r="AB87" s="17" t="s">
        <v>167</v>
      </c>
      <c r="AC87" s="17" t="s">
        <v>168</v>
      </c>
      <c r="BB87" t="s">
        <v>557</v>
      </c>
      <c r="BC87" s="17" t="s">
        <v>155</v>
      </c>
      <c r="BD87" s="17" t="s">
        <v>155</v>
      </c>
      <c r="BE87" s="17" t="s">
        <v>155</v>
      </c>
      <c r="BF87" s="17" t="s">
        <v>155</v>
      </c>
      <c r="BG87" s="17" t="s">
        <v>407</v>
      </c>
      <c r="BS87" s="17" t="s">
        <v>544</v>
      </c>
      <c r="BT87" s="17" t="s">
        <v>883</v>
      </c>
      <c r="BU87" s="17" t="s">
        <v>407</v>
      </c>
      <c r="BV87" s="17" t="s">
        <v>871</v>
      </c>
      <c r="BW87" s="17" t="s">
        <v>155</v>
      </c>
      <c r="BX87" s="17" t="s">
        <v>870</v>
      </c>
      <c r="CF87" s="17" t="s">
        <v>164</v>
      </c>
      <c r="CG87" s="17" t="s">
        <v>165</v>
      </c>
      <c r="CH87" s="17" t="s">
        <v>166</v>
      </c>
      <c r="CI87" s="17" t="s">
        <v>167</v>
      </c>
      <c r="CJ87" s="17" t="s">
        <v>168</v>
      </c>
    </row>
    <row r="88" spans="17:88" x14ac:dyDescent="0.3">
      <c r="Q88" s="15" t="s">
        <v>612</v>
      </c>
      <c r="X88" t="s">
        <v>557</v>
      </c>
      <c r="Y88" s="17" t="s">
        <v>155</v>
      </c>
      <c r="Z88" s="17" t="s">
        <v>155</v>
      </c>
      <c r="AA88" s="17" t="s">
        <v>155</v>
      </c>
      <c r="AB88" s="17" t="s">
        <v>155</v>
      </c>
      <c r="AC88" s="17" t="s">
        <v>407</v>
      </c>
      <c r="AF88" s="15" t="s">
        <v>612</v>
      </c>
      <c r="AM88" t="s">
        <v>822</v>
      </c>
      <c r="AU88" s="15" t="s">
        <v>612</v>
      </c>
      <c r="BB88" t="s">
        <v>542</v>
      </c>
      <c r="BC88" s="17" t="s">
        <v>155</v>
      </c>
      <c r="BD88" s="17" t="s">
        <v>155</v>
      </c>
      <c r="BE88" s="17" t="s">
        <v>155</v>
      </c>
      <c r="BF88" s="17" t="s">
        <v>155</v>
      </c>
      <c r="BG88" s="17" t="s">
        <v>407</v>
      </c>
      <c r="BS88" s="17" t="s">
        <v>545</v>
      </c>
      <c r="BT88" s="17" t="s">
        <v>155</v>
      </c>
      <c r="BU88" s="17" t="s">
        <v>155</v>
      </c>
      <c r="BV88" s="17" t="s">
        <v>884</v>
      </c>
      <c r="BW88" s="17" t="s">
        <v>155</v>
      </c>
      <c r="BX88" s="17" t="s">
        <v>878</v>
      </c>
      <c r="CE88" s="17" t="s">
        <v>555</v>
      </c>
      <c r="CF88" s="17" t="s">
        <v>463</v>
      </c>
      <c r="CG88" s="106" t="s">
        <v>398</v>
      </c>
      <c r="CH88" s="106" t="s">
        <v>683</v>
      </c>
      <c r="CI88" s="17" t="s">
        <v>459</v>
      </c>
      <c r="CJ88" s="17" t="s">
        <v>463</v>
      </c>
    </row>
    <row r="89" spans="17:88" x14ac:dyDescent="0.3">
      <c r="R89" s="17" t="s">
        <v>164</v>
      </c>
      <c r="S89" s="17" t="s">
        <v>165</v>
      </c>
      <c r="T89" s="17" t="s">
        <v>166</v>
      </c>
      <c r="U89" s="17" t="s">
        <v>167</v>
      </c>
      <c r="V89" s="17" t="s">
        <v>168</v>
      </c>
      <c r="X89" t="s">
        <v>542</v>
      </c>
      <c r="Y89" s="17" t="s">
        <v>155</v>
      </c>
      <c r="Z89" s="17" t="s">
        <v>155</v>
      </c>
      <c r="AA89" s="17" t="s">
        <v>155</v>
      </c>
      <c r="AB89" s="17" t="s">
        <v>155</v>
      </c>
      <c r="AC89" s="17" t="s">
        <v>407</v>
      </c>
      <c r="AG89" s="17" t="s">
        <v>164</v>
      </c>
      <c r="AH89" s="17" t="s">
        <v>165</v>
      </c>
      <c r="AI89" s="17" t="s">
        <v>166</v>
      </c>
      <c r="AJ89" s="17" t="s">
        <v>167</v>
      </c>
      <c r="AK89" s="17" t="s">
        <v>168</v>
      </c>
      <c r="AN89" s="17" t="s">
        <v>164</v>
      </c>
      <c r="AO89" s="17" t="s">
        <v>165</v>
      </c>
      <c r="AP89" s="17" t="s">
        <v>166</v>
      </c>
      <c r="AQ89" s="17" t="s">
        <v>167</v>
      </c>
      <c r="AR89" s="17" t="s">
        <v>168</v>
      </c>
      <c r="AV89" s="17" t="s">
        <v>164</v>
      </c>
      <c r="AW89" s="17" t="s">
        <v>165</v>
      </c>
      <c r="AX89" s="17" t="s">
        <v>166</v>
      </c>
      <c r="AY89" s="17" t="s">
        <v>167</v>
      </c>
      <c r="AZ89" s="17" t="s">
        <v>168</v>
      </c>
      <c r="BB89" t="s">
        <v>543</v>
      </c>
      <c r="BC89" s="17" t="s">
        <v>155</v>
      </c>
      <c r="BD89" s="17" t="s">
        <v>407</v>
      </c>
      <c r="BE89" s="17" t="s">
        <v>155</v>
      </c>
      <c r="BF89" s="17" t="s">
        <v>155</v>
      </c>
      <c r="BG89" s="17" t="s">
        <v>155</v>
      </c>
      <c r="CE89" s="17" t="s">
        <v>556</v>
      </c>
      <c r="CF89" s="17" t="s">
        <v>463</v>
      </c>
      <c r="CG89" s="106" t="s">
        <v>888</v>
      </c>
      <c r="CH89" s="106" t="s">
        <v>683</v>
      </c>
      <c r="CI89" s="17" t="s">
        <v>459</v>
      </c>
      <c r="CJ89" s="17" t="s">
        <v>463</v>
      </c>
    </row>
    <row r="90" spans="17:88" x14ac:dyDescent="0.3">
      <c r="Q90" s="15" t="s">
        <v>548</v>
      </c>
      <c r="R90" s="17" t="s">
        <v>626</v>
      </c>
      <c r="S90" s="17" t="s">
        <v>613</v>
      </c>
      <c r="T90" s="17" t="s">
        <v>609</v>
      </c>
      <c r="U90" s="17" t="s">
        <v>613</v>
      </c>
      <c r="V90" s="17" t="s">
        <v>616</v>
      </c>
      <c r="X90" t="s">
        <v>543</v>
      </c>
      <c r="Y90" s="17" t="s">
        <v>155</v>
      </c>
      <c r="Z90" s="17" t="s">
        <v>407</v>
      </c>
      <c r="AA90" s="17" t="s">
        <v>155</v>
      </c>
      <c r="AB90" s="17" t="s">
        <v>155</v>
      </c>
      <c r="AC90" s="17" t="s">
        <v>155</v>
      </c>
      <c r="AF90" s="15" t="s">
        <v>548</v>
      </c>
      <c r="AG90" s="17" t="s">
        <v>626</v>
      </c>
      <c r="AH90" s="17" t="s">
        <v>613</v>
      </c>
      <c r="AI90" s="17" t="s">
        <v>609</v>
      </c>
      <c r="AJ90" s="17" t="s">
        <v>613</v>
      </c>
      <c r="AK90" s="17" t="s">
        <v>616</v>
      </c>
      <c r="AM90" t="s">
        <v>557</v>
      </c>
      <c r="AN90" s="17" t="s">
        <v>155</v>
      </c>
      <c r="AO90" s="17" t="s">
        <v>155</v>
      </c>
      <c r="AP90" s="17" t="s">
        <v>155</v>
      </c>
      <c r="AQ90" s="17" t="s">
        <v>155</v>
      </c>
      <c r="AR90" s="17" t="s">
        <v>407</v>
      </c>
      <c r="AU90" s="15" t="s">
        <v>548</v>
      </c>
      <c r="AV90" s="17" t="s">
        <v>626</v>
      </c>
      <c r="AW90" s="17" t="s">
        <v>613</v>
      </c>
      <c r="AX90" s="17" t="s">
        <v>609</v>
      </c>
      <c r="AY90" s="17" t="s">
        <v>613</v>
      </c>
      <c r="AZ90" s="17" t="s">
        <v>616</v>
      </c>
      <c r="BB90" t="s">
        <v>544</v>
      </c>
      <c r="BC90" s="17" t="s">
        <v>155</v>
      </c>
      <c r="BD90" s="17" t="s">
        <v>407</v>
      </c>
      <c r="BE90" s="17" t="s">
        <v>155</v>
      </c>
      <c r="BF90" s="17" t="s">
        <v>155</v>
      </c>
      <c r="BG90" s="17" t="s">
        <v>155</v>
      </c>
      <c r="CE90" s="17" t="s">
        <v>557</v>
      </c>
      <c r="CF90" s="17" t="s">
        <v>463</v>
      </c>
      <c r="CG90" s="17" t="s">
        <v>911</v>
      </c>
      <c r="CH90" s="106" t="s">
        <v>683</v>
      </c>
      <c r="CI90" s="17" t="s">
        <v>459</v>
      </c>
      <c r="CJ90" s="17" t="s">
        <v>461</v>
      </c>
    </row>
    <row r="91" spans="17:88" x14ac:dyDescent="0.3">
      <c r="Q91" s="15" t="s">
        <v>549</v>
      </c>
      <c r="R91" s="17" t="s">
        <v>626</v>
      </c>
      <c r="S91" s="17" t="s">
        <v>613</v>
      </c>
      <c r="T91" s="17" t="s">
        <v>609</v>
      </c>
      <c r="U91" s="17" t="s">
        <v>613</v>
      </c>
      <c r="V91" s="17" t="s">
        <v>616</v>
      </c>
      <c r="X91" t="s">
        <v>544</v>
      </c>
      <c r="Y91" s="17" t="s">
        <v>155</v>
      </c>
      <c r="Z91" s="17" t="s">
        <v>407</v>
      </c>
      <c r="AA91" s="17" t="s">
        <v>155</v>
      </c>
      <c r="AB91" s="17" t="s">
        <v>155</v>
      </c>
      <c r="AC91" s="17" t="s">
        <v>155</v>
      </c>
      <c r="AF91" s="15" t="s">
        <v>549</v>
      </c>
      <c r="AG91" s="17" t="s">
        <v>626</v>
      </c>
      <c r="AH91" s="17" t="s">
        <v>613</v>
      </c>
      <c r="AI91" s="17" t="s">
        <v>609</v>
      </c>
      <c r="AJ91" s="17" t="s">
        <v>613</v>
      </c>
      <c r="AK91" s="17" t="s">
        <v>616</v>
      </c>
      <c r="AM91" t="s">
        <v>542</v>
      </c>
      <c r="AN91" s="17" t="s">
        <v>155</v>
      </c>
      <c r="AO91" s="17" t="s">
        <v>155</v>
      </c>
      <c r="AP91" s="17" t="s">
        <v>155</v>
      </c>
      <c r="AQ91" s="17" t="s">
        <v>155</v>
      </c>
      <c r="AR91" s="17" t="s">
        <v>407</v>
      </c>
      <c r="AU91" s="15" t="s">
        <v>549</v>
      </c>
      <c r="AV91" s="17" t="s">
        <v>626</v>
      </c>
      <c r="AW91" s="17" t="s">
        <v>613</v>
      </c>
      <c r="AX91" s="17" t="s">
        <v>609</v>
      </c>
      <c r="AY91" s="17" t="s">
        <v>613</v>
      </c>
      <c r="AZ91" s="17" t="s">
        <v>616</v>
      </c>
      <c r="CE91" s="17" t="s">
        <v>542</v>
      </c>
      <c r="CF91" s="17" t="s">
        <v>462</v>
      </c>
      <c r="CG91" s="17" t="s">
        <v>911</v>
      </c>
      <c r="CH91" s="17" t="s">
        <v>461</v>
      </c>
      <c r="CI91" s="17" t="s">
        <v>462</v>
      </c>
      <c r="CJ91" s="17" t="s">
        <v>461</v>
      </c>
    </row>
    <row r="92" spans="17:88" x14ac:dyDescent="0.3">
      <c r="Q92" s="15" t="s">
        <v>550</v>
      </c>
      <c r="R92" s="17" t="s">
        <v>626</v>
      </c>
      <c r="S92" s="17" t="s">
        <v>605</v>
      </c>
      <c r="T92" s="17" t="s">
        <v>614</v>
      </c>
      <c r="U92" s="17" t="s">
        <v>613</v>
      </c>
      <c r="V92" s="17" t="s">
        <v>616</v>
      </c>
      <c r="AF92" s="15" t="s">
        <v>550</v>
      </c>
      <c r="AG92" s="17" t="s">
        <v>626</v>
      </c>
      <c r="AH92" s="17" t="s">
        <v>605</v>
      </c>
      <c r="AI92" s="17" t="s">
        <v>614</v>
      </c>
      <c r="AJ92" s="17" t="s">
        <v>613</v>
      </c>
      <c r="AK92" s="17" t="s">
        <v>616</v>
      </c>
      <c r="AM92" t="s">
        <v>543</v>
      </c>
      <c r="AN92" s="17" t="s">
        <v>155</v>
      </c>
      <c r="AO92" s="17" t="s">
        <v>407</v>
      </c>
      <c r="AP92" s="17" t="s">
        <v>155</v>
      </c>
      <c r="AQ92" s="17" t="s">
        <v>155</v>
      </c>
      <c r="AR92" s="17" t="s">
        <v>155</v>
      </c>
      <c r="AU92" s="15" t="s">
        <v>550</v>
      </c>
      <c r="AV92" s="17" t="s">
        <v>626</v>
      </c>
      <c r="AW92" s="17" t="s">
        <v>605</v>
      </c>
      <c r="AX92" s="17" t="s">
        <v>614</v>
      </c>
      <c r="AY92" s="17" t="s">
        <v>613</v>
      </c>
      <c r="AZ92" s="17" t="s">
        <v>616</v>
      </c>
      <c r="BB92" t="s">
        <v>696</v>
      </c>
      <c r="CE92" s="17" t="s">
        <v>543</v>
      </c>
      <c r="CF92" s="17" t="s">
        <v>462</v>
      </c>
      <c r="CG92" s="106" t="s">
        <v>655</v>
      </c>
      <c r="CH92" s="17" t="s">
        <v>461</v>
      </c>
      <c r="CI92" s="17" t="s">
        <v>462</v>
      </c>
      <c r="CJ92" s="106" t="s">
        <v>402</v>
      </c>
    </row>
    <row r="93" spans="17:88" x14ac:dyDescent="0.3">
      <c r="Q93" s="15" t="s">
        <v>158</v>
      </c>
      <c r="R93" s="17" t="s">
        <v>614</v>
      </c>
      <c r="S93" s="17" t="s">
        <v>605</v>
      </c>
      <c r="T93" s="17" t="s">
        <v>614</v>
      </c>
      <c r="U93" s="17" t="s">
        <v>626</v>
      </c>
      <c r="V93" s="17" t="s">
        <v>608</v>
      </c>
      <c r="X93" t="s">
        <v>696</v>
      </c>
      <c r="AF93" s="15" t="s">
        <v>158</v>
      </c>
      <c r="AG93" s="17" t="s">
        <v>614</v>
      </c>
      <c r="AH93" s="17" t="s">
        <v>605</v>
      </c>
      <c r="AI93" s="17" t="s">
        <v>614</v>
      </c>
      <c r="AJ93" s="17" t="s">
        <v>626</v>
      </c>
      <c r="AK93" s="17" t="s">
        <v>608</v>
      </c>
      <c r="AM93" t="s">
        <v>544</v>
      </c>
      <c r="AN93" s="17" t="s">
        <v>155</v>
      </c>
      <c r="AO93" s="17" t="s">
        <v>407</v>
      </c>
      <c r="AP93" s="17" t="s">
        <v>155</v>
      </c>
      <c r="AQ93" s="17" t="s">
        <v>155</v>
      </c>
      <c r="AR93" s="17" t="s">
        <v>155</v>
      </c>
      <c r="AU93" s="15" t="s">
        <v>158</v>
      </c>
      <c r="AV93" s="17" t="s">
        <v>614</v>
      </c>
      <c r="AW93" s="17" t="s">
        <v>605</v>
      </c>
      <c r="AX93" s="17" t="s">
        <v>614</v>
      </c>
      <c r="AY93" s="17" t="s">
        <v>626</v>
      </c>
      <c r="AZ93" s="17" t="s">
        <v>608</v>
      </c>
      <c r="BC93" s="17" t="s">
        <v>164</v>
      </c>
      <c r="BD93" s="17" t="s">
        <v>165</v>
      </c>
      <c r="BE93" s="17" t="s">
        <v>166</v>
      </c>
      <c r="BF93" s="17" t="s">
        <v>167</v>
      </c>
      <c r="BG93" s="17" t="s">
        <v>168</v>
      </c>
      <c r="CE93" s="17" t="s">
        <v>544</v>
      </c>
      <c r="CF93" s="106" t="s">
        <v>402</v>
      </c>
      <c r="CG93" s="106" t="s">
        <v>655</v>
      </c>
      <c r="CH93" s="106" t="s">
        <v>398</v>
      </c>
      <c r="CI93" s="17" t="s">
        <v>462</v>
      </c>
      <c r="CJ93" s="106" t="s">
        <v>402</v>
      </c>
    </row>
    <row r="94" spans="17:88" x14ac:dyDescent="0.3">
      <c r="Q94" s="15" t="s">
        <v>159</v>
      </c>
      <c r="R94" s="17" t="s">
        <v>614</v>
      </c>
      <c r="S94" s="17" t="s">
        <v>608</v>
      </c>
      <c r="T94" s="17" t="s">
        <v>614</v>
      </c>
      <c r="U94" s="17" t="s">
        <v>626</v>
      </c>
      <c r="V94" s="17" t="s">
        <v>608</v>
      </c>
      <c r="Y94" s="17" t="s">
        <v>164</v>
      </c>
      <c r="Z94" s="17" t="s">
        <v>165</v>
      </c>
      <c r="AA94" s="17" t="s">
        <v>166</v>
      </c>
      <c r="AB94" s="17" t="s">
        <v>167</v>
      </c>
      <c r="AC94" s="17" t="s">
        <v>168</v>
      </c>
      <c r="AF94" s="15" t="s">
        <v>159</v>
      </c>
      <c r="AG94" s="17" t="s">
        <v>614</v>
      </c>
      <c r="AH94" s="17" t="s">
        <v>608</v>
      </c>
      <c r="AI94" s="17" t="s">
        <v>614</v>
      </c>
      <c r="AJ94" s="17" t="s">
        <v>626</v>
      </c>
      <c r="AK94" s="17" t="s">
        <v>608</v>
      </c>
      <c r="AU94" s="15" t="s">
        <v>159</v>
      </c>
      <c r="AV94" s="17" t="s">
        <v>614</v>
      </c>
      <c r="AW94" s="17" t="s">
        <v>608</v>
      </c>
      <c r="AX94" s="17" t="s">
        <v>614</v>
      </c>
      <c r="AY94" s="17" t="s">
        <v>626</v>
      </c>
      <c r="AZ94" s="17" t="s">
        <v>608</v>
      </c>
      <c r="BB94" t="s">
        <v>542</v>
      </c>
      <c r="BC94" s="17" t="s">
        <v>242</v>
      </c>
      <c r="BD94" s="17" t="s">
        <v>155</v>
      </c>
      <c r="BE94" s="17" t="s">
        <v>255</v>
      </c>
      <c r="BF94" s="17" t="s">
        <v>155</v>
      </c>
      <c r="BG94" s="17" t="s">
        <v>155</v>
      </c>
      <c r="BS94" s="17" t="s">
        <v>596</v>
      </c>
      <c r="CE94" s="17" t="s">
        <v>545</v>
      </c>
      <c r="CF94" s="106" t="s">
        <v>402</v>
      </c>
      <c r="CG94" s="106" t="s">
        <v>655</v>
      </c>
      <c r="CH94" s="106" t="s">
        <v>398</v>
      </c>
      <c r="CI94" s="17" t="s">
        <v>155</v>
      </c>
      <c r="CJ94" s="106" t="s">
        <v>402</v>
      </c>
    </row>
    <row r="95" spans="17:88" x14ac:dyDescent="0.3">
      <c r="Q95" s="15" t="s">
        <v>160</v>
      </c>
      <c r="R95" s="17" t="s">
        <v>614</v>
      </c>
      <c r="S95" s="17" t="s">
        <v>608</v>
      </c>
      <c r="T95" s="17" t="s">
        <v>155</v>
      </c>
      <c r="U95" s="17" t="s">
        <v>605</v>
      </c>
      <c r="V95" s="17" t="s">
        <v>608</v>
      </c>
      <c r="X95" t="s">
        <v>542</v>
      </c>
      <c r="Y95" s="17" t="s">
        <v>242</v>
      </c>
      <c r="Z95" s="17" t="s">
        <v>155</v>
      </c>
      <c r="AA95" s="17" t="s">
        <v>255</v>
      </c>
      <c r="AB95" s="17" t="s">
        <v>155</v>
      </c>
      <c r="AC95" s="17" t="s">
        <v>155</v>
      </c>
      <c r="AF95" s="15" t="s">
        <v>160</v>
      </c>
      <c r="AG95" s="17" t="s">
        <v>614</v>
      </c>
      <c r="AH95" s="17" t="s">
        <v>608</v>
      </c>
      <c r="AI95" s="17" t="s">
        <v>155</v>
      </c>
      <c r="AJ95" s="17" t="s">
        <v>605</v>
      </c>
      <c r="AK95" s="17" t="s">
        <v>608</v>
      </c>
      <c r="AM95" t="s">
        <v>696</v>
      </c>
      <c r="AU95" s="15" t="s">
        <v>160</v>
      </c>
      <c r="AV95" s="17" t="s">
        <v>614</v>
      </c>
      <c r="AW95" s="17" t="s">
        <v>608</v>
      </c>
      <c r="AX95" s="17" t="s">
        <v>155</v>
      </c>
      <c r="AY95" s="17" t="s">
        <v>605</v>
      </c>
      <c r="AZ95" s="17" t="s">
        <v>608</v>
      </c>
      <c r="BB95" t="s">
        <v>543</v>
      </c>
      <c r="BC95" s="17" t="s">
        <v>242</v>
      </c>
      <c r="BD95" s="17" t="s">
        <v>155</v>
      </c>
      <c r="BE95" s="17" t="s">
        <v>255</v>
      </c>
      <c r="BF95" s="17" t="s">
        <v>155</v>
      </c>
      <c r="BG95" s="17" t="s">
        <v>155</v>
      </c>
      <c r="BS95" s="17" t="s">
        <v>777</v>
      </c>
    </row>
    <row r="96" spans="17:88" x14ac:dyDescent="0.3">
      <c r="X96" t="s">
        <v>543</v>
      </c>
      <c r="Y96" s="17" t="s">
        <v>242</v>
      </c>
      <c r="Z96" s="17" t="s">
        <v>155</v>
      </c>
      <c r="AA96" s="17" t="s">
        <v>255</v>
      </c>
      <c r="AB96" s="17" t="s">
        <v>155</v>
      </c>
      <c r="AC96" s="17" t="s">
        <v>155</v>
      </c>
      <c r="AN96" s="17" t="s">
        <v>164</v>
      </c>
      <c r="AO96" s="17" t="s">
        <v>165</v>
      </c>
      <c r="AP96" s="17" t="s">
        <v>166</v>
      </c>
      <c r="AQ96" s="17" t="s">
        <v>167</v>
      </c>
      <c r="AR96" s="17" t="s">
        <v>168</v>
      </c>
      <c r="BB96" t="s">
        <v>544</v>
      </c>
      <c r="BC96" s="17" t="s">
        <v>242</v>
      </c>
      <c r="BD96" s="17" t="s">
        <v>155</v>
      </c>
      <c r="BE96" s="17" t="s">
        <v>255</v>
      </c>
      <c r="BF96" s="17" t="s">
        <v>155</v>
      </c>
      <c r="BG96" s="17" t="s">
        <v>155</v>
      </c>
      <c r="CE96" s="17" t="s">
        <v>814</v>
      </c>
    </row>
    <row r="97" spans="17:88" x14ac:dyDescent="0.3">
      <c r="Q97" s="15" t="s">
        <v>617</v>
      </c>
      <c r="X97" t="s">
        <v>544</v>
      </c>
      <c r="Y97" s="17" t="s">
        <v>242</v>
      </c>
      <c r="Z97" s="17" t="s">
        <v>155</v>
      </c>
      <c r="AA97" s="17" t="s">
        <v>255</v>
      </c>
      <c r="AB97" s="17" t="s">
        <v>155</v>
      </c>
      <c r="AC97" s="17" t="s">
        <v>155</v>
      </c>
      <c r="AF97" s="15" t="s">
        <v>617</v>
      </c>
      <c r="AM97" t="s">
        <v>542</v>
      </c>
      <c r="AN97" s="17" t="s">
        <v>242</v>
      </c>
      <c r="AO97" s="17" t="s">
        <v>155</v>
      </c>
      <c r="AP97" s="17" t="s">
        <v>255</v>
      </c>
      <c r="AQ97" s="17" t="s">
        <v>155</v>
      </c>
      <c r="AR97" s="17" t="s">
        <v>155</v>
      </c>
      <c r="AU97" s="15" t="s">
        <v>617</v>
      </c>
      <c r="BB97" t="s">
        <v>545</v>
      </c>
      <c r="BC97" s="17" t="s">
        <v>255</v>
      </c>
      <c r="BD97" s="17" t="s">
        <v>155</v>
      </c>
      <c r="BE97" s="17" t="s">
        <v>242</v>
      </c>
      <c r="BF97" s="17" t="s">
        <v>155</v>
      </c>
      <c r="BG97" s="17" t="s">
        <v>155</v>
      </c>
      <c r="BS97" s="17" t="s">
        <v>790</v>
      </c>
      <c r="CF97" s="17" t="s">
        <v>164</v>
      </c>
      <c r="CG97" s="17" t="s">
        <v>165</v>
      </c>
      <c r="CH97" s="17" t="s">
        <v>166</v>
      </c>
      <c r="CI97" s="17" t="s">
        <v>167</v>
      </c>
      <c r="CJ97" s="17" t="s">
        <v>168</v>
      </c>
    </row>
    <row r="98" spans="17:88" x14ac:dyDescent="0.3">
      <c r="R98" s="17" t="s">
        <v>164</v>
      </c>
      <c r="S98" s="17" t="s">
        <v>165</v>
      </c>
      <c r="T98" s="17" t="s">
        <v>166</v>
      </c>
      <c r="U98" s="17" t="s">
        <v>167</v>
      </c>
      <c r="V98" s="17" t="s">
        <v>168</v>
      </c>
      <c r="X98" t="s">
        <v>545</v>
      </c>
      <c r="Y98" s="17" t="s">
        <v>255</v>
      </c>
      <c r="Z98" s="17" t="s">
        <v>155</v>
      </c>
      <c r="AA98" s="17" t="s">
        <v>242</v>
      </c>
      <c r="AB98" s="17" t="s">
        <v>155</v>
      </c>
      <c r="AC98" s="17" t="s">
        <v>155</v>
      </c>
      <c r="AG98" s="17" t="s">
        <v>164</v>
      </c>
      <c r="AH98" s="17" t="s">
        <v>165</v>
      </c>
      <c r="AI98" s="17" t="s">
        <v>166</v>
      </c>
      <c r="AJ98" s="17" t="s">
        <v>167</v>
      </c>
      <c r="AK98" s="17" t="s">
        <v>168</v>
      </c>
      <c r="AM98" t="s">
        <v>543</v>
      </c>
      <c r="AN98" s="17" t="s">
        <v>242</v>
      </c>
      <c r="AO98" s="17" t="s">
        <v>155</v>
      </c>
      <c r="AP98" s="17" t="s">
        <v>255</v>
      </c>
      <c r="AQ98" s="17" t="s">
        <v>155</v>
      </c>
      <c r="AR98" s="17" t="s">
        <v>155</v>
      </c>
      <c r="AV98" s="17" t="s">
        <v>164</v>
      </c>
      <c r="AW98" s="17" t="s">
        <v>165</v>
      </c>
      <c r="AX98" s="17" t="s">
        <v>166</v>
      </c>
      <c r="AY98" s="17" t="s">
        <v>167</v>
      </c>
      <c r="AZ98" s="17" t="s">
        <v>168</v>
      </c>
      <c r="BB98" t="s">
        <v>546</v>
      </c>
      <c r="BC98" s="17" t="s">
        <v>255</v>
      </c>
      <c r="BD98" s="17" t="s">
        <v>155</v>
      </c>
      <c r="BE98" s="17" t="s">
        <v>242</v>
      </c>
      <c r="BF98" s="17" t="s">
        <v>155</v>
      </c>
      <c r="BG98" s="17" t="s">
        <v>155</v>
      </c>
      <c r="BT98" s="17" t="s">
        <v>164</v>
      </c>
      <c r="BU98" s="17" t="s">
        <v>165</v>
      </c>
      <c r="BV98" s="17" t="s">
        <v>166</v>
      </c>
      <c r="BW98" s="17" t="s">
        <v>167</v>
      </c>
      <c r="BX98" s="17" t="s">
        <v>168</v>
      </c>
      <c r="CE98" s="17" t="s">
        <v>555</v>
      </c>
      <c r="CF98" s="17" t="s">
        <v>279</v>
      </c>
      <c r="CG98" s="17" t="s">
        <v>409</v>
      </c>
      <c r="CH98" s="17" t="s">
        <v>683</v>
      </c>
      <c r="CI98" s="17" t="s">
        <v>465</v>
      </c>
      <c r="CJ98" s="17" t="s">
        <v>877</v>
      </c>
    </row>
    <row r="99" spans="17:88" x14ac:dyDescent="0.3">
      <c r="Q99" s="15" t="s">
        <v>548</v>
      </c>
      <c r="R99" s="17" t="s">
        <v>155</v>
      </c>
      <c r="S99" s="17" t="s">
        <v>619</v>
      </c>
      <c r="T99" s="17" t="s">
        <v>607</v>
      </c>
      <c r="U99" s="17" t="s">
        <v>618</v>
      </c>
      <c r="V99" s="17" t="s">
        <v>619</v>
      </c>
      <c r="X99" t="s">
        <v>546</v>
      </c>
      <c r="Y99" s="17" t="s">
        <v>255</v>
      </c>
      <c r="Z99" s="17" t="s">
        <v>155</v>
      </c>
      <c r="AA99" s="17" t="s">
        <v>242</v>
      </c>
      <c r="AB99" s="17" t="s">
        <v>155</v>
      </c>
      <c r="AC99" s="17" t="s">
        <v>155</v>
      </c>
      <c r="AF99" s="15" t="s">
        <v>548</v>
      </c>
      <c r="AG99" s="17" t="s">
        <v>155</v>
      </c>
      <c r="AH99" s="17" t="s">
        <v>619</v>
      </c>
      <c r="AI99" s="17" t="s">
        <v>607</v>
      </c>
      <c r="AJ99" s="17" t="s">
        <v>618</v>
      </c>
      <c r="AK99" s="17" t="s">
        <v>619</v>
      </c>
      <c r="AM99" t="s">
        <v>544</v>
      </c>
      <c r="AN99" s="17" t="s">
        <v>242</v>
      </c>
      <c r="AO99" s="17" t="s">
        <v>155</v>
      </c>
      <c r="AP99" s="17" t="s">
        <v>255</v>
      </c>
      <c r="AQ99" s="17" t="s">
        <v>155</v>
      </c>
      <c r="AR99" s="17" t="s">
        <v>155</v>
      </c>
      <c r="AU99" s="15" t="s">
        <v>548</v>
      </c>
      <c r="AV99" s="17" t="s">
        <v>155</v>
      </c>
      <c r="AW99" s="17" t="s">
        <v>619</v>
      </c>
      <c r="AX99" s="17" t="s">
        <v>607</v>
      </c>
      <c r="AY99" s="17" t="s">
        <v>618</v>
      </c>
      <c r="AZ99" s="17" t="s">
        <v>619</v>
      </c>
      <c r="BS99" s="17" t="s">
        <v>555</v>
      </c>
      <c r="BT99" s="17" t="s">
        <v>395</v>
      </c>
      <c r="BU99" s="17" t="s">
        <v>527</v>
      </c>
      <c r="BV99" s="17" t="s">
        <v>658</v>
      </c>
      <c r="BW99" s="17" t="s">
        <v>527</v>
      </c>
      <c r="BX99" s="17" t="s">
        <v>260</v>
      </c>
      <c r="CE99" s="17" t="s">
        <v>556</v>
      </c>
      <c r="CF99" s="17" t="s">
        <v>279</v>
      </c>
      <c r="CG99" s="17" t="s">
        <v>912</v>
      </c>
      <c r="CH99" s="17" t="s">
        <v>683</v>
      </c>
      <c r="CI99" s="17" t="s">
        <v>465</v>
      </c>
      <c r="CJ99" s="17" t="s">
        <v>877</v>
      </c>
    </row>
    <row r="100" spans="17:88" x14ac:dyDescent="0.3">
      <c r="Q100" s="15" t="s">
        <v>549</v>
      </c>
      <c r="R100" s="17" t="s">
        <v>611</v>
      </c>
      <c r="S100" s="17" t="s">
        <v>619</v>
      </c>
      <c r="T100" s="17" t="s">
        <v>607</v>
      </c>
      <c r="U100" s="17" t="s">
        <v>618</v>
      </c>
      <c r="V100" s="17" t="s">
        <v>619</v>
      </c>
      <c r="AF100" s="15" t="s">
        <v>549</v>
      </c>
      <c r="AG100" s="17" t="s">
        <v>611</v>
      </c>
      <c r="AH100" s="17" t="s">
        <v>619</v>
      </c>
      <c r="AI100" s="17" t="s">
        <v>607</v>
      </c>
      <c r="AJ100" s="17" t="s">
        <v>618</v>
      </c>
      <c r="AK100" s="17" t="s">
        <v>619</v>
      </c>
      <c r="AM100" t="s">
        <v>545</v>
      </c>
      <c r="AN100" s="17" t="s">
        <v>255</v>
      </c>
      <c r="AO100" s="17" t="s">
        <v>155</v>
      </c>
      <c r="AP100" s="17" t="s">
        <v>242</v>
      </c>
      <c r="AQ100" s="17" t="s">
        <v>155</v>
      </c>
      <c r="AR100" s="17" t="s">
        <v>155</v>
      </c>
      <c r="AU100" s="15" t="s">
        <v>549</v>
      </c>
      <c r="AV100" s="17" t="s">
        <v>611</v>
      </c>
      <c r="AW100" s="17" t="s">
        <v>619</v>
      </c>
      <c r="AX100" s="17" t="s">
        <v>607</v>
      </c>
      <c r="AY100" s="17" t="s">
        <v>618</v>
      </c>
      <c r="AZ100" s="17" t="s">
        <v>619</v>
      </c>
      <c r="BB100" t="s">
        <v>742</v>
      </c>
      <c r="BS100" s="17" t="s">
        <v>556</v>
      </c>
      <c r="BT100" s="17" t="s">
        <v>395</v>
      </c>
      <c r="BU100" s="17" t="s">
        <v>527</v>
      </c>
      <c r="BV100" s="17" t="s">
        <v>658</v>
      </c>
      <c r="BW100" s="17" t="s">
        <v>527</v>
      </c>
      <c r="BX100" s="17" t="s">
        <v>260</v>
      </c>
      <c r="CE100" s="17" t="s">
        <v>557</v>
      </c>
      <c r="CF100" s="17" t="s">
        <v>464</v>
      </c>
      <c r="CG100" s="17" t="s">
        <v>911</v>
      </c>
      <c r="CH100" s="17" t="s">
        <v>913</v>
      </c>
      <c r="CI100" s="17" t="s">
        <v>465</v>
      </c>
      <c r="CJ100" s="17" t="s">
        <v>155</v>
      </c>
    </row>
    <row r="101" spans="17:88" x14ac:dyDescent="0.3">
      <c r="Q101" s="15" t="s">
        <v>550</v>
      </c>
      <c r="R101" s="17" t="s">
        <v>611</v>
      </c>
      <c r="S101" s="17" t="s">
        <v>610</v>
      </c>
      <c r="T101" s="17" t="s">
        <v>611</v>
      </c>
      <c r="U101" s="17" t="s">
        <v>618</v>
      </c>
      <c r="V101" s="17" t="s">
        <v>619</v>
      </c>
      <c r="X101" t="s">
        <v>742</v>
      </c>
      <c r="AF101" s="15" t="s">
        <v>550</v>
      </c>
      <c r="AG101" s="17" t="s">
        <v>611</v>
      </c>
      <c r="AH101" s="17" t="s">
        <v>610</v>
      </c>
      <c r="AI101" s="17" t="s">
        <v>611</v>
      </c>
      <c r="AJ101" s="17" t="s">
        <v>618</v>
      </c>
      <c r="AK101" s="17" t="s">
        <v>619</v>
      </c>
      <c r="AM101" t="s">
        <v>546</v>
      </c>
      <c r="AN101" s="17" t="s">
        <v>255</v>
      </c>
      <c r="AO101" s="17" t="s">
        <v>155</v>
      </c>
      <c r="AP101" s="17" t="s">
        <v>242</v>
      </c>
      <c r="AQ101" s="17" t="s">
        <v>155</v>
      </c>
      <c r="AR101" s="17" t="s">
        <v>155</v>
      </c>
      <c r="AU101" s="15" t="s">
        <v>550</v>
      </c>
      <c r="AV101" s="17" t="s">
        <v>611</v>
      </c>
      <c r="AW101" s="17" t="s">
        <v>610</v>
      </c>
      <c r="AX101" s="17" t="s">
        <v>611</v>
      </c>
      <c r="AY101" s="17" t="s">
        <v>618</v>
      </c>
      <c r="AZ101" s="17" t="s">
        <v>619</v>
      </c>
      <c r="BC101" s="17" t="s">
        <v>164</v>
      </c>
      <c r="BD101" s="17" t="s">
        <v>165</v>
      </c>
      <c r="BE101" s="17" t="s">
        <v>166</v>
      </c>
      <c r="BF101" s="17" t="s">
        <v>167</v>
      </c>
      <c r="BG101" s="17" t="s">
        <v>168</v>
      </c>
      <c r="BS101" s="17" t="s">
        <v>557</v>
      </c>
      <c r="BT101" s="17" t="s">
        <v>395</v>
      </c>
      <c r="BU101" s="17" t="s">
        <v>887</v>
      </c>
      <c r="BV101" s="17" t="s">
        <v>658</v>
      </c>
      <c r="BW101" s="17" t="s">
        <v>887</v>
      </c>
      <c r="BX101" s="17" t="s">
        <v>395</v>
      </c>
      <c r="CE101" s="17" t="s">
        <v>542</v>
      </c>
      <c r="CF101" s="17" t="s">
        <v>464</v>
      </c>
      <c r="CG101" s="17" t="s">
        <v>914</v>
      </c>
      <c r="CH101" s="17" t="s">
        <v>915</v>
      </c>
      <c r="CI101" s="17" t="s">
        <v>465</v>
      </c>
      <c r="CJ101" s="17" t="s">
        <v>155</v>
      </c>
    </row>
    <row r="102" spans="17:88" x14ac:dyDescent="0.3">
      <c r="Q102" s="15" t="s">
        <v>158</v>
      </c>
      <c r="R102" s="17" t="s">
        <v>611</v>
      </c>
      <c r="S102" s="17" t="s">
        <v>610</v>
      </c>
      <c r="T102" s="17" t="s">
        <v>611</v>
      </c>
      <c r="U102" s="17" t="s">
        <v>610</v>
      </c>
      <c r="V102" s="17" t="s">
        <v>607</v>
      </c>
      <c r="Y102" s="17" t="s">
        <v>164</v>
      </c>
      <c r="Z102" s="17" t="s">
        <v>165</v>
      </c>
      <c r="AA102" s="17" t="s">
        <v>166</v>
      </c>
      <c r="AB102" s="17" t="s">
        <v>167</v>
      </c>
      <c r="AC102" s="17" t="s">
        <v>168</v>
      </c>
      <c r="AF102" s="15" t="s">
        <v>158</v>
      </c>
      <c r="AG102" s="17" t="s">
        <v>611</v>
      </c>
      <c r="AH102" s="17" t="s">
        <v>610</v>
      </c>
      <c r="AI102" s="17" t="s">
        <v>611</v>
      </c>
      <c r="AJ102" s="17" t="s">
        <v>610</v>
      </c>
      <c r="AK102" s="17" t="s">
        <v>607</v>
      </c>
      <c r="AU102" s="15" t="s">
        <v>158</v>
      </c>
      <c r="AV102" s="17" t="s">
        <v>611</v>
      </c>
      <c r="AW102" s="17" t="s">
        <v>610</v>
      </c>
      <c r="AX102" s="17" t="s">
        <v>611</v>
      </c>
      <c r="AY102" s="17" t="s">
        <v>610</v>
      </c>
      <c r="AZ102" s="17" t="s">
        <v>607</v>
      </c>
      <c r="BB102" t="s">
        <v>550</v>
      </c>
      <c r="BC102" s="17" t="s">
        <v>155</v>
      </c>
      <c r="BD102" s="17" t="s">
        <v>359</v>
      </c>
      <c r="BE102" s="17" t="s">
        <v>155</v>
      </c>
      <c r="BF102" s="17" t="s">
        <v>155</v>
      </c>
      <c r="BG102" s="17" t="s">
        <v>155</v>
      </c>
      <c r="BS102" s="17" t="s">
        <v>542</v>
      </c>
      <c r="BT102" s="17" t="s">
        <v>398</v>
      </c>
      <c r="BU102" s="17" t="s">
        <v>887</v>
      </c>
      <c r="BV102" s="17" t="s">
        <v>658</v>
      </c>
      <c r="BW102" s="17" t="s">
        <v>887</v>
      </c>
      <c r="BX102" s="17" t="s">
        <v>395</v>
      </c>
      <c r="CE102" s="17" t="s">
        <v>543</v>
      </c>
      <c r="CF102" s="17" t="s">
        <v>459</v>
      </c>
      <c r="CG102" s="17" t="s">
        <v>281</v>
      </c>
      <c r="CH102" s="17" t="s">
        <v>916</v>
      </c>
      <c r="CI102" s="17" t="s">
        <v>464</v>
      </c>
      <c r="CJ102" s="17" t="s">
        <v>906</v>
      </c>
    </row>
    <row r="103" spans="17:88" x14ac:dyDescent="0.3">
      <c r="Q103" s="15" t="s">
        <v>159</v>
      </c>
      <c r="R103" s="17" t="s">
        <v>605</v>
      </c>
      <c r="S103" s="17" t="s">
        <v>609</v>
      </c>
      <c r="T103" s="17" t="s">
        <v>605</v>
      </c>
      <c r="U103" s="17" t="s">
        <v>610</v>
      </c>
      <c r="V103" s="17" t="s">
        <v>607</v>
      </c>
      <c r="X103" t="s">
        <v>158</v>
      </c>
      <c r="Y103" s="17" t="s">
        <v>155</v>
      </c>
      <c r="Z103" s="17" t="s">
        <v>155</v>
      </c>
      <c r="AA103" s="17" t="s">
        <v>155</v>
      </c>
      <c r="AB103" s="17" t="s">
        <v>359</v>
      </c>
      <c r="AC103" s="17" t="s">
        <v>155</v>
      </c>
      <c r="AF103" s="15" t="s">
        <v>159</v>
      </c>
      <c r="AG103" s="17" t="s">
        <v>605</v>
      </c>
      <c r="AH103" s="17" t="s">
        <v>609</v>
      </c>
      <c r="AI103" s="17" t="s">
        <v>605</v>
      </c>
      <c r="AJ103" s="17" t="s">
        <v>610</v>
      </c>
      <c r="AK103" s="17" t="s">
        <v>607</v>
      </c>
      <c r="AM103" t="s">
        <v>742</v>
      </c>
      <c r="AU103" s="15" t="s">
        <v>159</v>
      </c>
      <c r="AV103" s="17" t="s">
        <v>605</v>
      </c>
      <c r="AW103" s="17" t="s">
        <v>609</v>
      </c>
      <c r="AX103" s="17" t="s">
        <v>605</v>
      </c>
      <c r="AY103" s="17" t="s">
        <v>610</v>
      </c>
      <c r="AZ103" s="17" t="s">
        <v>607</v>
      </c>
      <c r="BB103" t="s">
        <v>158</v>
      </c>
      <c r="BC103" s="17" t="s">
        <v>155</v>
      </c>
      <c r="BD103" s="17" t="s">
        <v>359</v>
      </c>
      <c r="BE103" s="17" t="s">
        <v>155</v>
      </c>
      <c r="BF103" s="17" t="s">
        <v>359</v>
      </c>
      <c r="BG103" s="17" t="s">
        <v>155</v>
      </c>
      <c r="BS103" s="17" t="s">
        <v>543</v>
      </c>
      <c r="BT103" s="17" t="s">
        <v>398</v>
      </c>
      <c r="BU103" s="17" t="s">
        <v>260</v>
      </c>
      <c r="BV103" s="17" t="s">
        <v>398</v>
      </c>
      <c r="BW103" s="17" t="s">
        <v>528</v>
      </c>
      <c r="BX103" s="17" t="s">
        <v>402</v>
      </c>
      <c r="CE103" s="17" t="s">
        <v>544</v>
      </c>
      <c r="CF103" s="17" t="s">
        <v>459</v>
      </c>
      <c r="CG103" s="17" t="s">
        <v>155</v>
      </c>
      <c r="CH103" s="17" t="s">
        <v>917</v>
      </c>
      <c r="CI103" s="17" t="s">
        <v>464</v>
      </c>
      <c r="CJ103" s="17" t="s">
        <v>906</v>
      </c>
    </row>
    <row r="104" spans="17:88" x14ac:dyDescent="0.3">
      <c r="Q104" s="15" t="s">
        <v>160</v>
      </c>
      <c r="R104" s="17" t="s">
        <v>605</v>
      </c>
      <c r="S104" s="17" t="s">
        <v>609</v>
      </c>
      <c r="T104" s="17" t="s">
        <v>605</v>
      </c>
      <c r="U104" s="17" t="s">
        <v>610</v>
      </c>
      <c r="V104" s="17" t="s">
        <v>607</v>
      </c>
      <c r="X104" t="s">
        <v>159</v>
      </c>
      <c r="Y104" s="17" t="s">
        <v>155</v>
      </c>
      <c r="Z104" s="17" t="s">
        <v>359</v>
      </c>
      <c r="AA104" s="17" t="s">
        <v>155</v>
      </c>
      <c r="AB104" s="17" t="s">
        <v>359</v>
      </c>
      <c r="AC104" s="17" t="s">
        <v>155</v>
      </c>
      <c r="AF104" s="15" t="s">
        <v>160</v>
      </c>
      <c r="AG104" s="17" t="s">
        <v>605</v>
      </c>
      <c r="AH104" s="17" t="s">
        <v>609</v>
      </c>
      <c r="AI104" s="17" t="s">
        <v>605</v>
      </c>
      <c r="AJ104" s="17" t="s">
        <v>610</v>
      </c>
      <c r="AK104" s="17" t="s">
        <v>607</v>
      </c>
      <c r="AN104" s="17" t="s">
        <v>164</v>
      </c>
      <c r="AO104" s="17" t="s">
        <v>165</v>
      </c>
      <c r="AP104" s="17" t="s">
        <v>166</v>
      </c>
      <c r="AQ104" s="17" t="s">
        <v>167</v>
      </c>
      <c r="AR104" s="17" t="s">
        <v>168</v>
      </c>
      <c r="AU104" s="15" t="s">
        <v>160</v>
      </c>
      <c r="AV104" s="17" t="s">
        <v>605</v>
      </c>
      <c r="AW104" s="17" t="s">
        <v>609</v>
      </c>
      <c r="AX104" s="17" t="s">
        <v>605</v>
      </c>
      <c r="AY104" s="17" t="s">
        <v>610</v>
      </c>
      <c r="AZ104" s="17" t="s">
        <v>607</v>
      </c>
      <c r="BB104" t="s">
        <v>159</v>
      </c>
      <c r="BC104" s="17" t="s">
        <v>155</v>
      </c>
      <c r="BD104" s="17" t="s">
        <v>155</v>
      </c>
      <c r="BE104" s="17" t="s">
        <v>155</v>
      </c>
      <c r="BF104" s="17" t="s">
        <v>359</v>
      </c>
      <c r="BG104" s="17" t="s">
        <v>155</v>
      </c>
      <c r="BS104" s="17" t="s">
        <v>544</v>
      </c>
      <c r="BT104" s="17" t="s">
        <v>402</v>
      </c>
      <c r="BU104" s="17" t="s">
        <v>528</v>
      </c>
      <c r="BV104" s="17" t="s">
        <v>398</v>
      </c>
      <c r="BW104" s="17" t="s">
        <v>528</v>
      </c>
      <c r="BX104" s="17" t="s">
        <v>402</v>
      </c>
      <c r="CE104" s="17" t="s">
        <v>545</v>
      </c>
      <c r="CF104" s="17" t="s">
        <v>459</v>
      </c>
      <c r="CG104" s="17" t="s">
        <v>155</v>
      </c>
      <c r="CH104" s="17" t="s">
        <v>661</v>
      </c>
      <c r="CI104" s="17" t="s">
        <v>266</v>
      </c>
      <c r="CJ104" s="17" t="s">
        <v>878</v>
      </c>
    </row>
    <row r="105" spans="17:88" x14ac:dyDescent="0.3">
      <c r="X105" t="s">
        <v>160</v>
      </c>
      <c r="Y105" s="17" t="s">
        <v>155</v>
      </c>
      <c r="Z105" s="17" t="s">
        <v>359</v>
      </c>
      <c r="AA105" s="17" t="s">
        <v>155</v>
      </c>
      <c r="AB105" s="17" t="s">
        <v>155</v>
      </c>
      <c r="AC105" s="17" t="s">
        <v>155</v>
      </c>
      <c r="AM105" t="s">
        <v>550</v>
      </c>
      <c r="AN105" s="17" t="s">
        <v>155</v>
      </c>
      <c r="AO105" s="17" t="s">
        <v>155</v>
      </c>
      <c r="AP105" s="17" t="s">
        <v>155</v>
      </c>
      <c r="AQ105" s="17" t="s">
        <v>359</v>
      </c>
      <c r="AR105" s="17" t="s">
        <v>155</v>
      </c>
      <c r="BS105" s="17" t="s">
        <v>545</v>
      </c>
      <c r="BT105" s="17" t="s">
        <v>402</v>
      </c>
      <c r="BU105" s="17" t="s">
        <v>528</v>
      </c>
      <c r="BV105" s="17" t="s">
        <v>398</v>
      </c>
      <c r="BW105" s="17" t="s">
        <v>155</v>
      </c>
      <c r="BX105" s="17" t="s">
        <v>402</v>
      </c>
    </row>
    <row r="106" spans="17:88" x14ac:dyDescent="0.3">
      <c r="Q106" s="15" t="s">
        <v>620</v>
      </c>
      <c r="AF106" s="15" t="s">
        <v>620</v>
      </c>
      <c r="AM106" t="s">
        <v>158</v>
      </c>
      <c r="AN106" s="17" t="s">
        <v>155</v>
      </c>
      <c r="AO106" s="17" t="s">
        <v>155</v>
      </c>
      <c r="AP106" s="17" t="s">
        <v>155</v>
      </c>
      <c r="AQ106" s="17" t="s">
        <v>359</v>
      </c>
      <c r="AR106" s="17" t="s">
        <v>155</v>
      </c>
      <c r="AU106" s="15" t="s">
        <v>620</v>
      </c>
      <c r="BB106" t="s">
        <v>731</v>
      </c>
      <c r="CE106" s="17" t="s">
        <v>818</v>
      </c>
    </row>
    <row r="107" spans="17:88" x14ac:dyDescent="0.3">
      <c r="R107" s="17" t="s">
        <v>164</v>
      </c>
      <c r="S107" s="17" t="s">
        <v>165</v>
      </c>
      <c r="T107" s="17" t="s">
        <v>166</v>
      </c>
      <c r="U107" s="17" t="s">
        <v>167</v>
      </c>
      <c r="V107" s="17" t="s">
        <v>168</v>
      </c>
      <c r="X107" t="s">
        <v>731</v>
      </c>
      <c r="AG107" s="17" t="s">
        <v>164</v>
      </c>
      <c r="AH107" s="17" t="s">
        <v>165</v>
      </c>
      <c r="AI107" s="17" t="s">
        <v>166</v>
      </c>
      <c r="AJ107" s="17" t="s">
        <v>167</v>
      </c>
      <c r="AK107" s="17" t="s">
        <v>168</v>
      </c>
      <c r="AM107" t="s">
        <v>159</v>
      </c>
      <c r="AN107" s="17" t="s">
        <v>155</v>
      </c>
      <c r="AO107" s="17" t="s">
        <v>359</v>
      </c>
      <c r="AP107" s="17" t="s">
        <v>155</v>
      </c>
      <c r="AQ107" s="17" t="s">
        <v>155</v>
      </c>
      <c r="AR107" s="17" t="s">
        <v>155</v>
      </c>
      <c r="AV107" s="17" t="s">
        <v>164</v>
      </c>
      <c r="AW107" s="17" t="s">
        <v>165</v>
      </c>
      <c r="AX107" s="17" t="s">
        <v>166</v>
      </c>
      <c r="AY107" s="17" t="s">
        <v>167</v>
      </c>
      <c r="AZ107" s="17" t="s">
        <v>168</v>
      </c>
      <c r="BC107" s="17" t="s">
        <v>164</v>
      </c>
      <c r="BD107" s="17" t="s">
        <v>165</v>
      </c>
      <c r="BE107" s="17" t="s">
        <v>166</v>
      </c>
      <c r="BF107" s="17" t="s">
        <v>167</v>
      </c>
      <c r="BG107" s="17" t="s">
        <v>168</v>
      </c>
      <c r="BS107" s="17" t="s">
        <v>596</v>
      </c>
      <c r="CF107" s="17" t="s">
        <v>164</v>
      </c>
      <c r="CG107" s="17" t="s">
        <v>165</v>
      </c>
      <c r="CH107" s="17" t="s">
        <v>166</v>
      </c>
      <c r="CI107" s="17" t="s">
        <v>167</v>
      </c>
      <c r="CJ107" s="17" t="s">
        <v>168</v>
      </c>
    </row>
    <row r="108" spans="17:88" x14ac:dyDescent="0.3">
      <c r="Q108" s="15" t="s">
        <v>548</v>
      </c>
      <c r="R108" s="17" t="s">
        <v>626</v>
      </c>
      <c r="S108" s="17" t="s">
        <v>613</v>
      </c>
      <c r="T108" s="17" t="s">
        <v>625</v>
      </c>
      <c r="U108" s="17" t="s">
        <v>613</v>
      </c>
      <c r="V108" s="17" t="s">
        <v>625</v>
      </c>
      <c r="Y108" s="17" t="s">
        <v>164</v>
      </c>
      <c r="Z108" s="17" t="s">
        <v>165</v>
      </c>
      <c r="AA108" s="17" t="s">
        <v>166</v>
      </c>
      <c r="AB108" s="17" t="s">
        <v>167</v>
      </c>
      <c r="AC108" s="17" t="s">
        <v>168</v>
      </c>
      <c r="AF108" s="15" t="s">
        <v>548</v>
      </c>
      <c r="AG108" s="17" t="s">
        <v>626</v>
      </c>
      <c r="AH108" s="17" t="s">
        <v>613</v>
      </c>
      <c r="AI108" s="17" t="s">
        <v>625</v>
      </c>
      <c r="AJ108" s="17" t="s">
        <v>613</v>
      </c>
      <c r="AK108" s="17" t="s">
        <v>625</v>
      </c>
      <c r="AM108" t="s">
        <v>160</v>
      </c>
      <c r="AN108" s="17" t="s">
        <v>155</v>
      </c>
      <c r="AO108" s="17" t="s">
        <v>359</v>
      </c>
      <c r="AP108" s="17" t="s">
        <v>155</v>
      </c>
      <c r="AQ108" s="17" t="s">
        <v>155</v>
      </c>
      <c r="AR108" s="17" t="s">
        <v>155</v>
      </c>
      <c r="AU108" s="15" t="s">
        <v>548</v>
      </c>
      <c r="AV108" s="17" t="s">
        <v>626</v>
      </c>
      <c r="AW108" s="17" t="s">
        <v>613</v>
      </c>
      <c r="AX108" s="17" t="s">
        <v>621</v>
      </c>
      <c r="AY108" s="17" t="s">
        <v>613</v>
      </c>
      <c r="AZ108" s="17" t="s">
        <v>622</v>
      </c>
      <c r="BB108" t="s">
        <v>548</v>
      </c>
      <c r="BC108" s="17" t="s">
        <v>155</v>
      </c>
      <c r="BD108" s="17" t="s">
        <v>333</v>
      </c>
      <c r="BE108" s="17" t="s">
        <v>333</v>
      </c>
      <c r="BF108" s="17" t="s">
        <v>155</v>
      </c>
      <c r="BG108" s="17" t="s">
        <v>333</v>
      </c>
      <c r="BS108" s="17" t="s">
        <v>804</v>
      </c>
      <c r="CE108" s="17" t="s">
        <v>555</v>
      </c>
      <c r="CF108" s="17" t="s">
        <v>279</v>
      </c>
      <c r="CG108" s="17" t="s">
        <v>409</v>
      </c>
      <c r="CH108" s="17" t="s">
        <v>683</v>
      </c>
      <c r="CI108" s="17" t="s">
        <v>465</v>
      </c>
      <c r="CJ108" s="17" t="s">
        <v>877</v>
      </c>
    </row>
    <row r="109" spans="17:88" x14ac:dyDescent="0.3">
      <c r="Q109" s="15" t="s">
        <v>549</v>
      </c>
      <c r="R109" s="17" t="s">
        <v>626</v>
      </c>
      <c r="S109" s="17" t="s">
        <v>613</v>
      </c>
      <c r="T109" s="17" t="s">
        <v>625</v>
      </c>
      <c r="U109" s="17" t="s">
        <v>613</v>
      </c>
      <c r="V109" s="17" t="s">
        <v>625</v>
      </c>
      <c r="X109" t="s">
        <v>548</v>
      </c>
      <c r="Y109" s="17" t="s">
        <v>155</v>
      </c>
      <c r="Z109" s="17" t="s">
        <v>333</v>
      </c>
      <c r="AA109" s="17" t="s">
        <v>333</v>
      </c>
      <c r="AB109" s="17" t="s">
        <v>155</v>
      </c>
      <c r="AC109" s="17" t="s">
        <v>333</v>
      </c>
      <c r="AF109" s="15" t="s">
        <v>549</v>
      </c>
      <c r="AG109" s="17" t="s">
        <v>626</v>
      </c>
      <c r="AH109" s="17" t="s">
        <v>613</v>
      </c>
      <c r="AI109" s="17" t="s">
        <v>625</v>
      </c>
      <c r="AJ109" s="17" t="s">
        <v>613</v>
      </c>
      <c r="AK109" s="17" t="s">
        <v>625</v>
      </c>
      <c r="AU109" s="15" t="s">
        <v>549</v>
      </c>
      <c r="AV109" s="17" t="s">
        <v>626</v>
      </c>
      <c r="AW109" s="17" t="s">
        <v>613</v>
      </c>
      <c r="AX109" s="17" t="s">
        <v>621</v>
      </c>
      <c r="AY109" s="17" t="s">
        <v>613</v>
      </c>
      <c r="AZ109" s="17" t="s">
        <v>622</v>
      </c>
      <c r="BB109" t="s">
        <v>549</v>
      </c>
      <c r="BC109" s="17" t="s">
        <v>155</v>
      </c>
      <c r="BD109" s="17" t="s">
        <v>333</v>
      </c>
      <c r="BE109" s="17" t="s">
        <v>333</v>
      </c>
      <c r="BF109" s="17" t="s">
        <v>155</v>
      </c>
      <c r="BG109" s="17" t="s">
        <v>333</v>
      </c>
      <c r="CE109" s="17" t="s">
        <v>556</v>
      </c>
      <c r="CF109" s="17" t="s">
        <v>279</v>
      </c>
      <c r="CG109" s="17" t="s">
        <v>912</v>
      </c>
      <c r="CH109" s="17" t="s">
        <v>683</v>
      </c>
      <c r="CI109" s="17" t="s">
        <v>465</v>
      </c>
      <c r="CJ109" s="17" t="s">
        <v>877</v>
      </c>
    </row>
    <row r="110" spans="17:88" x14ac:dyDescent="0.3">
      <c r="Q110" s="15" t="s">
        <v>550</v>
      </c>
      <c r="R110" s="17" t="s">
        <v>626</v>
      </c>
      <c r="S110" s="17" t="s">
        <v>605</v>
      </c>
      <c r="T110" s="17" t="s">
        <v>614</v>
      </c>
      <c r="U110" s="17" t="s">
        <v>613</v>
      </c>
      <c r="V110" s="17" t="s">
        <v>625</v>
      </c>
      <c r="X110" t="s">
        <v>549</v>
      </c>
      <c r="Y110" s="17" t="s">
        <v>155</v>
      </c>
      <c r="Z110" s="17" t="s">
        <v>333</v>
      </c>
      <c r="AA110" s="17" t="s">
        <v>333</v>
      </c>
      <c r="AB110" s="17" t="s">
        <v>155</v>
      </c>
      <c r="AC110" s="17" t="s">
        <v>333</v>
      </c>
      <c r="AF110" s="15" t="s">
        <v>550</v>
      </c>
      <c r="AG110" s="17" t="s">
        <v>626</v>
      </c>
      <c r="AH110" s="17" t="s">
        <v>605</v>
      </c>
      <c r="AI110" s="17" t="s">
        <v>614</v>
      </c>
      <c r="AJ110" s="17" t="s">
        <v>613</v>
      </c>
      <c r="AK110" s="17" t="s">
        <v>625</v>
      </c>
      <c r="AM110" t="s">
        <v>731</v>
      </c>
      <c r="AU110" s="15" t="s">
        <v>550</v>
      </c>
      <c r="AV110" s="17" t="s">
        <v>626</v>
      </c>
      <c r="AW110" s="17" t="s">
        <v>605</v>
      </c>
      <c r="AX110" s="17" t="s">
        <v>614</v>
      </c>
      <c r="AY110" s="17" t="s">
        <v>613</v>
      </c>
      <c r="AZ110" s="17" t="s">
        <v>621</v>
      </c>
      <c r="BB110" t="s">
        <v>550</v>
      </c>
      <c r="BC110" s="17" t="s">
        <v>155</v>
      </c>
      <c r="BD110" s="17" t="s">
        <v>155</v>
      </c>
      <c r="BE110" s="17" t="s">
        <v>155</v>
      </c>
      <c r="BF110" s="17" t="s">
        <v>155</v>
      </c>
      <c r="BG110" s="17" t="s">
        <v>333</v>
      </c>
      <c r="BS110" s="17" t="s">
        <v>810</v>
      </c>
      <c r="CE110" s="17" t="s">
        <v>557</v>
      </c>
      <c r="CF110" s="17" t="s">
        <v>155</v>
      </c>
      <c r="CG110" s="17" t="s">
        <v>911</v>
      </c>
      <c r="CH110" s="17" t="s">
        <v>913</v>
      </c>
      <c r="CI110" s="17" t="s">
        <v>465</v>
      </c>
      <c r="CJ110" s="17" t="s">
        <v>407</v>
      </c>
    </row>
    <row r="111" spans="17:88" x14ac:dyDescent="0.3">
      <c r="Q111" s="15" t="s">
        <v>158</v>
      </c>
      <c r="R111" s="17" t="s">
        <v>614</v>
      </c>
      <c r="S111" s="17" t="s">
        <v>605</v>
      </c>
      <c r="T111" s="17" t="s">
        <v>614</v>
      </c>
      <c r="U111" s="17" t="s">
        <v>626</v>
      </c>
      <c r="V111" s="17" t="s">
        <v>622</v>
      </c>
      <c r="X111" t="s">
        <v>550</v>
      </c>
      <c r="Y111" s="17" t="s">
        <v>155</v>
      </c>
      <c r="Z111" s="17" t="s">
        <v>155</v>
      </c>
      <c r="AA111" s="17" t="s">
        <v>155</v>
      </c>
      <c r="AB111" s="17" t="s">
        <v>155</v>
      </c>
      <c r="AC111" s="17" t="s">
        <v>333</v>
      </c>
      <c r="AF111" s="15" t="s">
        <v>158</v>
      </c>
      <c r="AG111" s="17" t="s">
        <v>614</v>
      </c>
      <c r="AH111" s="17" t="s">
        <v>605</v>
      </c>
      <c r="AI111" s="17" t="s">
        <v>614</v>
      </c>
      <c r="AJ111" s="17" t="s">
        <v>626</v>
      </c>
      <c r="AK111" s="17" t="s">
        <v>622</v>
      </c>
      <c r="AN111" s="17" t="s">
        <v>164</v>
      </c>
      <c r="AO111" s="17" t="s">
        <v>165</v>
      </c>
      <c r="AP111" s="17" t="s">
        <v>166</v>
      </c>
      <c r="AQ111" s="17" t="s">
        <v>167</v>
      </c>
      <c r="AR111" s="17" t="s">
        <v>168</v>
      </c>
      <c r="AU111" s="15" t="s">
        <v>158</v>
      </c>
      <c r="AV111" s="17" t="s">
        <v>614</v>
      </c>
      <c r="AW111" s="17" t="s">
        <v>605</v>
      </c>
      <c r="AX111" s="17" t="s">
        <v>614</v>
      </c>
      <c r="AY111" s="17" t="s">
        <v>626</v>
      </c>
      <c r="AZ111" s="17" t="s">
        <v>621</v>
      </c>
      <c r="BB111" t="s">
        <v>158</v>
      </c>
      <c r="BC111" s="17" t="s">
        <v>155</v>
      </c>
      <c r="BD111" s="17" t="s">
        <v>155</v>
      </c>
      <c r="BE111" s="17" t="s">
        <v>155</v>
      </c>
      <c r="BF111" s="17" t="s">
        <v>155</v>
      </c>
      <c r="BG111" s="17" t="s">
        <v>333</v>
      </c>
      <c r="BT111" s="17" t="s">
        <v>164</v>
      </c>
      <c r="BU111" s="17" t="s">
        <v>165</v>
      </c>
      <c r="BV111" s="17" t="s">
        <v>166</v>
      </c>
      <c r="BW111" s="17" t="s">
        <v>167</v>
      </c>
      <c r="BX111" s="17" t="s">
        <v>168</v>
      </c>
      <c r="CE111" s="17" t="s">
        <v>542</v>
      </c>
      <c r="CF111" s="17" t="s">
        <v>155</v>
      </c>
      <c r="CG111" s="17" t="s">
        <v>914</v>
      </c>
      <c r="CH111" s="17" t="s">
        <v>915</v>
      </c>
      <c r="CI111" s="17" t="s">
        <v>465</v>
      </c>
      <c r="CJ111" s="17" t="s">
        <v>407</v>
      </c>
    </row>
    <row r="112" spans="17:88" x14ac:dyDescent="0.3">
      <c r="Q112" s="15" t="s">
        <v>159</v>
      </c>
      <c r="R112" s="17" t="s">
        <v>614</v>
      </c>
      <c r="S112" s="17" t="s">
        <v>622</v>
      </c>
      <c r="T112" s="17" t="s">
        <v>614</v>
      </c>
      <c r="U112" s="17" t="s">
        <v>626</v>
      </c>
      <c r="V112" s="17" t="s">
        <v>622</v>
      </c>
      <c r="X112" t="s">
        <v>158</v>
      </c>
      <c r="Y112" s="17" t="s">
        <v>155</v>
      </c>
      <c r="Z112" s="17" t="s">
        <v>155</v>
      </c>
      <c r="AA112" s="17" t="s">
        <v>155</v>
      </c>
      <c r="AB112" s="17" t="s">
        <v>155</v>
      </c>
      <c r="AC112" s="17" t="s">
        <v>333</v>
      </c>
      <c r="AF112" s="15" t="s">
        <v>159</v>
      </c>
      <c r="AG112" s="17" t="s">
        <v>614</v>
      </c>
      <c r="AH112" s="17" t="s">
        <v>622</v>
      </c>
      <c r="AI112" s="17" t="s">
        <v>614</v>
      </c>
      <c r="AJ112" s="17" t="s">
        <v>626</v>
      </c>
      <c r="AK112" s="17" t="s">
        <v>622</v>
      </c>
      <c r="AM112" t="s">
        <v>548</v>
      </c>
      <c r="AN112" s="17" t="s">
        <v>155</v>
      </c>
      <c r="AO112" s="17" t="s">
        <v>333</v>
      </c>
      <c r="AP112" s="17" t="s">
        <v>333</v>
      </c>
      <c r="AQ112" s="17" t="s">
        <v>155</v>
      </c>
      <c r="AR112" s="17" t="s">
        <v>333</v>
      </c>
      <c r="AU112" s="15" t="s">
        <v>159</v>
      </c>
      <c r="AV112" s="17" t="s">
        <v>614</v>
      </c>
      <c r="AW112" s="17" t="s">
        <v>622</v>
      </c>
      <c r="AX112" s="17" t="s">
        <v>614</v>
      </c>
      <c r="AY112" s="17" t="s">
        <v>626</v>
      </c>
      <c r="AZ112" s="17" t="s">
        <v>621</v>
      </c>
      <c r="BB112" t="s">
        <v>159</v>
      </c>
      <c r="BC112" s="17" t="s">
        <v>155</v>
      </c>
      <c r="BD112" s="17" t="s">
        <v>155</v>
      </c>
      <c r="BE112" s="17" t="s">
        <v>155</v>
      </c>
      <c r="BF112" s="17" t="s">
        <v>155</v>
      </c>
      <c r="BG112" s="17" t="s">
        <v>333</v>
      </c>
      <c r="BS112" s="17" t="s">
        <v>555</v>
      </c>
      <c r="BT112" s="17" t="s">
        <v>398</v>
      </c>
      <c r="BU112" s="17" t="s">
        <v>155</v>
      </c>
      <c r="BV112" s="17" t="s">
        <v>463</v>
      </c>
      <c r="BW112" s="17" t="s">
        <v>459</v>
      </c>
      <c r="BX112" s="17" t="s">
        <v>463</v>
      </c>
      <c r="CE112" s="17" t="s">
        <v>543</v>
      </c>
      <c r="CF112" s="17" t="s">
        <v>459</v>
      </c>
      <c r="CG112" s="17" t="s">
        <v>281</v>
      </c>
      <c r="CH112" s="17" t="s">
        <v>916</v>
      </c>
      <c r="CI112" s="17" t="s">
        <v>155</v>
      </c>
      <c r="CJ112" s="17" t="s">
        <v>906</v>
      </c>
    </row>
    <row r="113" spans="2:88" x14ac:dyDescent="0.3">
      <c r="Q113" s="15" t="s">
        <v>160</v>
      </c>
      <c r="R113" s="17" t="s">
        <v>614</v>
      </c>
      <c r="S113" s="17" t="s">
        <v>622</v>
      </c>
      <c r="T113" s="17" t="s">
        <v>623</v>
      </c>
      <c r="U113" s="17" t="s">
        <v>605</v>
      </c>
      <c r="V113" s="17" t="s">
        <v>155</v>
      </c>
      <c r="X113" t="s">
        <v>159</v>
      </c>
      <c r="Y113" s="17" t="s">
        <v>155</v>
      </c>
      <c r="Z113" s="17" t="s">
        <v>155</v>
      </c>
      <c r="AA113" s="17" t="s">
        <v>155</v>
      </c>
      <c r="AB113" s="17" t="s">
        <v>155</v>
      </c>
      <c r="AC113" s="17" t="s">
        <v>333</v>
      </c>
      <c r="AF113" s="15" t="s">
        <v>160</v>
      </c>
      <c r="AG113" s="17" t="s">
        <v>614</v>
      </c>
      <c r="AH113" s="17" t="s">
        <v>622</v>
      </c>
      <c r="AI113" s="17" t="s">
        <v>155</v>
      </c>
      <c r="AJ113" s="17" t="s">
        <v>605</v>
      </c>
      <c r="AK113" s="17" t="s">
        <v>623</v>
      </c>
      <c r="AM113" t="s">
        <v>549</v>
      </c>
      <c r="AN113" s="17" t="s">
        <v>155</v>
      </c>
      <c r="AO113" s="17" t="s">
        <v>333</v>
      </c>
      <c r="AP113" s="17" t="s">
        <v>333</v>
      </c>
      <c r="AQ113" s="17" t="s">
        <v>155</v>
      </c>
      <c r="AR113" s="17" t="s">
        <v>333</v>
      </c>
      <c r="AU113" s="15" t="s">
        <v>160</v>
      </c>
      <c r="AV113" s="17" t="s">
        <v>614</v>
      </c>
      <c r="AW113" s="17" t="s">
        <v>622</v>
      </c>
      <c r="AX113" s="17" t="s">
        <v>155</v>
      </c>
      <c r="AY113" s="17" t="s">
        <v>605</v>
      </c>
      <c r="AZ113" s="17" t="s">
        <v>623</v>
      </c>
      <c r="BB113" t="s">
        <v>160</v>
      </c>
      <c r="BC113" s="17" t="s">
        <v>155</v>
      </c>
      <c r="BD113" s="17" t="s">
        <v>155</v>
      </c>
      <c r="BE113" s="17" t="s">
        <v>155</v>
      </c>
      <c r="BF113" s="17" t="s">
        <v>155</v>
      </c>
      <c r="BG113" s="17" t="s">
        <v>333</v>
      </c>
      <c r="BS113" s="17" t="s">
        <v>556</v>
      </c>
      <c r="BT113" s="17" t="s">
        <v>888</v>
      </c>
      <c r="BU113" s="17" t="s">
        <v>462</v>
      </c>
      <c r="BV113" s="17" t="s">
        <v>463</v>
      </c>
      <c r="BW113" s="17" t="s">
        <v>459</v>
      </c>
      <c r="BX113" s="17" t="s">
        <v>463</v>
      </c>
      <c r="CE113" s="17" t="s">
        <v>544</v>
      </c>
      <c r="CF113" s="17" t="s">
        <v>459</v>
      </c>
      <c r="CG113" s="17" t="s">
        <v>407</v>
      </c>
      <c r="CH113" s="17" t="s">
        <v>917</v>
      </c>
      <c r="CI113" s="17" t="s">
        <v>155</v>
      </c>
      <c r="CJ113" s="17" t="s">
        <v>906</v>
      </c>
    </row>
    <row r="114" spans="2:88" x14ac:dyDescent="0.3">
      <c r="X114" t="s">
        <v>160</v>
      </c>
      <c r="Y114" s="17" t="s">
        <v>155</v>
      </c>
      <c r="Z114" s="17" t="s">
        <v>155</v>
      </c>
      <c r="AA114" s="17" t="s">
        <v>155</v>
      </c>
      <c r="AB114" s="17" t="s">
        <v>155</v>
      </c>
      <c r="AC114" s="17" t="s">
        <v>333</v>
      </c>
      <c r="AM114" t="s">
        <v>550</v>
      </c>
      <c r="AN114" s="17" t="s">
        <v>155</v>
      </c>
      <c r="AO114" s="17" t="s">
        <v>155</v>
      </c>
      <c r="AP114" s="17" t="s">
        <v>155</v>
      </c>
      <c r="AQ114" s="17" t="s">
        <v>155</v>
      </c>
      <c r="AR114" s="17" t="s">
        <v>333</v>
      </c>
      <c r="BS114" s="17" t="s">
        <v>557</v>
      </c>
      <c r="BT114" s="17" t="s">
        <v>657</v>
      </c>
      <c r="BU114" s="17" t="s">
        <v>462</v>
      </c>
      <c r="BV114" s="17" t="s">
        <v>463</v>
      </c>
      <c r="BW114" s="17" t="s">
        <v>459</v>
      </c>
      <c r="BX114" s="17" t="s">
        <v>461</v>
      </c>
      <c r="CE114" s="17" t="s">
        <v>545</v>
      </c>
      <c r="CF114" s="17" t="s">
        <v>459</v>
      </c>
      <c r="CG114" s="17" t="s">
        <v>407</v>
      </c>
      <c r="CH114" s="17" t="s">
        <v>661</v>
      </c>
      <c r="CI114" s="17" t="s">
        <v>266</v>
      </c>
      <c r="CJ114" s="17" t="s">
        <v>878</v>
      </c>
    </row>
    <row r="115" spans="2:88" x14ac:dyDescent="0.3">
      <c r="Q115" s="15" t="s">
        <v>624</v>
      </c>
      <c r="AF115" s="15" t="s">
        <v>624</v>
      </c>
      <c r="AM115" t="s">
        <v>158</v>
      </c>
      <c r="AN115" s="17" t="s">
        <v>155</v>
      </c>
      <c r="AO115" s="17" t="s">
        <v>155</v>
      </c>
      <c r="AP115" s="17" t="s">
        <v>155</v>
      </c>
      <c r="AQ115" s="17" t="s">
        <v>155</v>
      </c>
      <c r="AR115" s="17" t="s">
        <v>333</v>
      </c>
      <c r="AU115" s="15" t="s">
        <v>624</v>
      </c>
      <c r="BB115" t="s">
        <v>709</v>
      </c>
      <c r="BS115" s="17" t="s">
        <v>542</v>
      </c>
      <c r="BT115" s="17" t="s">
        <v>657</v>
      </c>
      <c r="BU115" s="17" t="s">
        <v>462</v>
      </c>
      <c r="BV115" s="17" t="s">
        <v>461</v>
      </c>
      <c r="BW115" s="17" t="s">
        <v>462</v>
      </c>
      <c r="BX115" s="17" t="s">
        <v>461</v>
      </c>
    </row>
    <row r="116" spans="2:88" x14ac:dyDescent="0.3">
      <c r="R116" s="17" t="s">
        <v>164</v>
      </c>
      <c r="S116" s="17" t="s">
        <v>165</v>
      </c>
      <c r="T116" s="17" t="s">
        <v>166</v>
      </c>
      <c r="U116" s="17" t="s">
        <v>167</v>
      </c>
      <c r="V116" s="17" t="s">
        <v>168</v>
      </c>
      <c r="X116" t="s">
        <v>709</v>
      </c>
      <c r="AG116" s="17" t="s">
        <v>164</v>
      </c>
      <c r="AH116" s="17" t="s">
        <v>165</v>
      </c>
      <c r="AI116" s="17" t="s">
        <v>166</v>
      </c>
      <c r="AJ116" s="17" t="s">
        <v>167</v>
      </c>
      <c r="AK116" s="17" t="s">
        <v>168</v>
      </c>
      <c r="AM116" t="s">
        <v>159</v>
      </c>
      <c r="AN116" s="17" t="s">
        <v>155</v>
      </c>
      <c r="AO116" s="17" t="s">
        <v>155</v>
      </c>
      <c r="AP116" s="17" t="s">
        <v>155</v>
      </c>
      <c r="AQ116" s="17" t="s">
        <v>155</v>
      </c>
      <c r="AR116" s="17" t="s">
        <v>333</v>
      </c>
      <c r="AV116" s="17" t="s">
        <v>164</v>
      </c>
      <c r="AW116" s="17" t="s">
        <v>165</v>
      </c>
      <c r="AX116" s="17" t="s">
        <v>166</v>
      </c>
      <c r="AY116" s="17" t="s">
        <v>167</v>
      </c>
      <c r="AZ116" s="17" t="s">
        <v>168</v>
      </c>
      <c r="BC116" s="17" t="s">
        <v>164</v>
      </c>
      <c r="BD116" s="17" t="s">
        <v>165</v>
      </c>
      <c r="BE116" s="17" t="s">
        <v>166</v>
      </c>
      <c r="BF116" s="17" t="s">
        <v>167</v>
      </c>
      <c r="BG116" s="17" t="s">
        <v>168</v>
      </c>
      <c r="BS116" s="17" t="s">
        <v>543</v>
      </c>
      <c r="BT116" s="17" t="s">
        <v>155</v>
      </c>
      <c r="BU116" s="17" t="s">
        <v>655</v>
      </c>
      <c r="BV116" s="17" t="s">
        <v>461</v>
      </c>
      <c r="BW116" s="17" t="s">
        <v>462</v>
      </c>
      <c r="BX116" s="17" t="s">
        <v>889</v>
      </c>
    </row>
    <row r="117" spans="2:88" x14ac:dyDescent="0.3">
      <c r="Q117" s="15" t="s">
        <v>548</v>
      </c>
      <c r="R117" s="17" t="s">
        <v>615</v>
      </c>
      <c r="S117" s="17" t="s">
        <v>622</v>
      </c>
      <c r="T117" s="17" t="s">
        <v>621</v>
      </c>
      <c r="U117" s="17" t="s">
        <v>615</v>
      </c>
      <c r="V117" s="17" t="s">
        <v>622</v>
      </c>
      <c r="Y117" s="17" t="s">
        <v>164</v>
      </c>
      <c r="Z117" s="17" t="s">
        <v>165</v>
      </c>
      <c r="AA117" s="17" t="s">
        <v>166</v>
      </c>
      <c r="AB117" s="17" t="s">
        <v>167</v>
      </c>
      <c r="AC117" s="17" t="s">
        <v>168</v>
      </c>
      <c r="AF117" s="15" t="s">
        <v>548</v>
      </c>
      <c r="AG117" s="17" t="s">
        <v>615</v>
      </c>
      <c r="AH117" s="17" t="s">
        <v>622</v>
      </c>
      <c r="AI117" s="17" t="s">
        <v>621</v>
      </c>
      <c r="AJ117" s="17" t="s">
        <v>615</v>
      </c>
      <c r="AK117" s="17" t="s">
        <v>622</v>
      </c>
      <c r="AM117" t="s">
        <v>160</v>
      </c>
      <c r="AN117" s="17" t="s">
        <v>155</v>
      </c>
      <c r="AO117" s="17" t="s">
        <v>155</v>
      </c>
      <c r="AP117" s="17" t="s">
        <v>155</v>
      </c>
      <c r="AQ117" s="17" t="s">
        <v>155</v>
      </c>
      <c r="AR117" s="17" t="s">
        <v>333</v>
      </c>
      <c r="AU117" s="15" t="s">
        <v>548</v>
      </c>
      <c r="AV117" s="17" t="s">
        <v>615</v>
      </c>
      <c r="AW117" s="17" t="s">
        <v>622</v>
      </c>
      <c r="AX117" s="17" t="s">
        <v>625</v>
      </c>
      <c r="AY117" s="17" t="s">
        <v>615</v>
      </c>
      <c r="AZ117" s="17" t="s">
        <v>625</v>
      </c>
      <c r="BB117" t="s">
        <v>542</v>
      </c>
      <c r="BC117" s="17" t="s">
        <v>155</v>
      </c>
      <c r="BD117" s="17" t="s">
        <v>90</v>
      </c>
      <c r="BE117" s="17" t="s">
        <v>155</v>
      </c>
      <c r="BF117" s="17" t="s">
        <v>155</v>
      </c>
      <c r="BG117" s="17" t="s">
        <v>155</v>
      </c>
      <c r="BS117" s="17" t="s">
        <v>544</v>
      </c>
      <c r="BT117" s="17" t="s">
        <v>889</v>
      </c>
      <c r="BU117" s="17" t="s">
        <v>655</v>
      </c>
      <c r="BV117" s="17" t="s">
        <v>155</v>
      </c>
      <c r="BW117" s="17" t="s">
        <v>398</v>
      </c>
      <c r="BX117" s="17" t="s">
        <v>889</v>
      </c>
    </row>
    <row r="118" spans="2:88" x14ac:dyDescent="0.3">
      <c r="Q118" s="15" t="s">
        <v>549</v>
      </c>
      <c r="R118" s="17" t="s">
        <v>615</v>
      </c>
      <c r="S118" s="17" t="s">
        <v>622</v>
      </c>
      <c r="T118" s="17" t="s">
        <v>621</v>
      </c>
      <c r="U118" s="17" t="s">
        <v>615</v>
      </c>
      <c r="V118" s="17" t="s">
        <v>622</v>
      </c>
      <c r="X118" t="s">
        <v>542</v>
      </c>
      <c r="Y118" s="17" t="s">
        <v>155</v>
      </c>
      <c r="Z118" s="17" t="s">
        <v>90</v>
      </c>
      <c r="AA118" s="17" t="s">
        <v>155</v>
      </c>
      <c r="AB118" s="17" t="s">
        <v>155</v>
      </c>
      <c r="AC118" s="17" t="s">
        <v>155</v>
      </c>
      <c r="AF118" s="15" t="s">
        <v>549</v>
      </c>
      <c r="AG118" s="17" t="s">
        <v>615</v>
      </c>
      <c r="AH118" s="17" t="s">
        <v>622</v>
      </c>
      <c r="AI118" s="17" t="s">
        <v>621</v>
      </c>
      <c r="AJ118" s="17" t="s">
        <v>615</v>
      </c>
      <c r="AK118" s="17" t="s">
        <v>622</v>
      </c>
      <c r="AU118" s="15" t="s">
        <v>549</v>
      </c>
      <c r="AV118" s="17" t="s">
        <v>615</v>
      </c>
      <c r="AW118" s="17" t="s">
        <v>622</v>
      </c>
      <c r="AX118" s="17" t="s">
        <v>625</v>
      </c>
      <c r="AY118" s="17" t="s">
        <v>615</v>
      </c>
      <c r="AZ118" s="17" t="s">
        <v>625</v>
      </c>
      <c r="BB118" t="s">
        <v>543</v>
      </c>
      <c r="BC118" s="17" t="s">
        <v>408</v>
      </c>
      <c r="BD118" s="17" t="s">
        <v>90</v>
      </c>
      <c r="BE118" s="17" t="s">
        <v>155</v>
      </c>
      <c r="BF118" s="17" t="s">
        <v>155</v>
      </c>
      <c r="BG118" s="17" t="s">
        <v>155</v>
      </c>
      <c r="BS118" s="17" t="s">
        <v>545</v>
      </c>
      <c r="BT118" s="17" t="s">
        <v>889</v>
      </c>
      <c r="BU118" s="17" t="s">
        <v>655</v>
      </c>
      <c r="BV118" s="17" t="s">
        <v>155</v>
      </c>
      <c r="BW118" s="17" t="s">
        <v>398</v>
      </c>
      <c r="BX118" s="17" t="s">
        <v>889</v>
      </c>
    </row>
    <row r="119" spans="2:88" x14ac:dyDescent="0.3">
      <c r="Q119" s="15" t="s">
        <v>550</v>
      </c>
      <c r="R119" s="17" t="s">
        <v>615</v>
      </c>
      <c r="S119" s="17" t="s">
        <v>627</v>
      </c>
      <c r="T119" s="17" t="s">
        <v>689</v>
      </c>
      <c r="U119" s="17" t="s">
        <v>605</v>
      </c>
      <c r="V119" s="17" t="s">
        <v>621</v>
      </c>
      <c r="X119" t="s">
        <v>543</v>
      </c>
      <c r="Y119" s="17" t="s">
        <v>408</v>
      </c>
      <c r="Z119" s="17" t="s">
        <v>90</v>
      </c>
      <c r="AA119" s="17" t="s">
        <v>155</v>
      </c>
      <c r="AB119" s="17" t="s">
        <v>155</v>
      </c>
      <c r="AC119" s="17" t="s">
        <v>155</v>
      </c>
      <c r="AF119" s="15" t="s">
        <v>550</v>
      </c>
      <c r="AG119" s="17" t="s">
        <v>615</v>
      </c>
      <c r="AH119" s="17" t="s">
        <v>627</v>
      </c>
      <c r="AI119" s="17" t="s">
        <v>689</v>
      </c>
      <c r="AJ119" s="17" t="s">
        <v>605</v>
      </c>
      <c r="AK119" s="17" t="s">
        <v>621</v>
      </c>
      <c r="AM119" t="s">
        <v>709</v>
      </c>
      <c r="AU119" s="15" t="s">
        <v>550</v>
      </c>
      <c r="AV119" s="17" t="s">
        <v>615</v>
      </c>
      <c r="AW119" s="17" t="s">
        <v>627</v>
      </c>
      <c r="AX119" s="17" t="s">
        <v>689</v>
      </c>
      <c r="AY119" s="17" t="s">
        <v>605</v>
      </c>
      <c r="AZ119" s="17" t="s">
        <v>625</v>
      </c>
      <c r="BB119" t="s">
        <v>544</v>
      </c>
      <c r="BC119" s="17" t="s">
        <v>408</v>
      </c>
      <c r="BD119" s="17" t="s">
        <v>90</v>
      </c>
      <c r="BE119" s="17" t="s">
        <v>408</v>
      </c>
      <c r="BF119" s="17" t="s">
        <v>155</v>
      </c>
      <c r="BG119" s="17" t="s">
        <v>155</v>
      </c>
    </row>
    <row r="120" spans="2:88" x14ac:dyDescent="0.3">
      <c r="Q120" s="15" t="s">
        <v>158</v>
      </c>
      <c r="R120" s="17" t="s">
        <v>689</v>
      </c>
      <c r="S120" s="17" t="s">
        <v>627</v>
      </c>
      <c r="T120" s="17" t="s">
        <v>689</v>
      </c>
      <c r="U120" s="17" t="s">
        <v>605</v>
      </c>
      <c r="V120" s="17" t="s">
        <v>621</v>
      </c>
      <c r="X120" t="s">
        <v>544</v>
      </c>
      <c r="Y120" s="17" t="s">
        <v>408</v>
      </c>
      <c r="Z120" s="17" t="s">
        <v>90</v>
      </c>
      <c r="AA120" s="17" t="s">
        <v>408</v>
      </c>
      <c r="AB120" s="17" t="s">
        <v>155</v>
      </c>
      <c r="AC120" s="17" t="s">
        <v>155</v>
      </c>
      <c r="AF120" s="15" t="s">
        <v>158</v>
      </c>
      <c r="AG120" s="17" t="s">
        <v>689</v>
      </c>
      <c r="AH120" s="17" t="s">
        <v>627</v>
      </c>
      <c r="AI120" s="17" t="s">
        <v>689</v>
      </c>
      <c r="AJ120" s="17" t="s">
        <v>605</v>
      </c>
      <c r="AK120" s="17" t="s">
        <v>621</v>
      </c>
      <c r="AN120" s="17" t="s">
        <v>164</v>
      </c>
      <c r="AO120" s="17" t="s">
        <v>165</v>
      </c>
      <c r="AP120" s="17" t="s">
        <v>166</v>
      </c>
      <c r="AQ120" s="17" t="s">
        <v>167</v>
      </c>
      <c r="AR120" s="17" t="s">
        <v>168</v>
      </c>
      <c r="AU120" s="15" t="s">
        <v>158</v>
      </c>
      <c r="AV120" s="17" t="s">
        <v>689</v>
      </c>
      <c r="AW120" s="17" t="s">
        <v>627</v>
      </c>
      <c r="AX120" s="17" t="s">
        <v>689</v>
      </c>
      <c r="AY120" s="17" t="s">
        <v>605</v>
      </c>
      <c r="AZ120" s="17" t="s">
        <v>622</v>
      </c>
      <c r="BB120" t="s">
        <v>545</v>
      </c>
      <c r="BC120" s="17" t="s">
        <v>155</v>
      </c>
      <c r="BD120" s="17" t="s">
        <v>155</v>
      </c>
      <c r="BE120" s="17" t="s">
        <v>408</v>
      </c>
      <c r="BF120" s="17" t="s">
        <v>155</v>
      </c>
      <c r="BG120" s="17" t="s">
        <v>155</v>
      </c>
    </row>
    <row r="121" spans="2:88" x14ac:dyDescent="0.3">
      <c r="Q121" s="15" t="s">
        <v>159</v>
      </c>
      <c r="R121" s="17" t="s">
        <v>689</v>
      </c>
      <c r="S121" s="17" t="s">
        <v>627</v>
      </c>
      <c r="T121" s="17" t="s">
        <v>689</v>
      </c>
      <c r="U121" s="17" t="s">
        <v>627</v>
      </c>
      <c r="V121" s="17" t="s">
        <v>621</v>
      </c>
      <c r="X121" t="s">
        <v>545</v>
      </c>
      <c r="Y121" s="17" t="s">
        <v>155</v>
      </c>
      <c r="Z121" s="17" t="s">
        <v>155</v>
      </c>
      <c r="AA121" s="17" t="s">
        <v>408</v>
      </c>
      <c r="AB121" s="17" t="s">
        <v>155</v>
      </c>
      <c r="AC121" s="17" t="s">
        <v>155</v>
      </c>
      <c r="AF121" s="15" t="s">
        <v>159</v>
      </c>
      <c r="AG121" s="17" t="s">
        <v>689</v>
      </c>
      <c r="AH121" s="17" t="s">
        <v>627</v>
      </c>
      <c r="AI121" s="17" t="s">
        <v>689</v>
      </c>
      <c r="AJ121" s="17" t="s">
        <v>627</v>
      </c>
      <c r="AK121" s="17" t="s">
        <v>621</v>
      </c>
      <c r="AM121" t="s">
        <v>542</v>
      </c>
      <c r="AN121" s="17" t="s">
        <v>155</v>
      </c>
      <c r="AO121" s="17" t="s">
        <v>90</v>
      </c>
      <c r="AP121" s="17" t="s">
        <v>155</v>
      </c>
      <c r="AQ121" s="17" t="s">
        <v>155</v>
      </c>
      <c r="AR121" s="17" t="s">
        <v>155</v>
      </c>
      <c r="AU121" s="15" t="s">
        <v>159</v>
      </c>
      <c r="AV121" s="17" t="s">
        <v>689</v>
      </c>
      <c r="AW121" s="17" t="s">
        <v>627</v>
      </c>
      <c r="AX121" s="17" t="s">
        <v>689</v>
      </c>
      <c r="AY121" s="17" t="s">
        <v>627</v>
      </c>
      <c r="AZ121" s="17" t="s">
        <v>622</v>
      </c>
    </row>
    <row r="122" spans="2:88" x14ac:dyDescent="0.3">
      <c r="Q122" s="15" t="s">
        <v>160</v>
      </c>
      <c r="R122" s="17" t="s">
        <v>689</v>
      </c>
      <c r="S122" s="17" t="s">
        <v>605</v>
      </c>
      <c r="T122" s="17" t="s">
        <v>155</v>
      </c>
      <c r="U122" s="17" t="s">
        <v>627</v>
      </c>
      <c r="V122" s="17" t="s">
        <v>623</v>
      </c>
      <c r="AF122" s="15" t="s">
        <v>160</v>
      </c>
      <c r="AG122" s="17" t="s">
        <v>689</v>
      </c>
      <c r="AH122" s="17" t="s">
        <v>605</v>
      </c>
      <c r="AI122" s="17" t="s">
        <v>623</v>
      </c>
      <c r="AJ122" s="17" t="s">
        <v>627</v>
      </c>
      <c r="AK122" s="17" t="s">
        <v>155</v>
      </c>
      <c r="AM122" t="s">
        <v>543</v>
      </c>
      <c r="AN122" s="17" t="s">
        <v>408</v>
      </c>
      <c r="AO122" s="17" t="s">
        <v>90</v>
      </c>
      <c r="AP122" s="17" t="s">
        <v>155</v>
      </c>
      <c r="AQ122" s="17" t="s">
        <v>155</v>
      </c>
      <c r="AR122" s="17" t="s">
        <v>155</v>
      </c>
      <c r="AU122" s="15" t="s">
        <v>160</v>
      </c>
      <c r="AV122" s="17" t="s">
        <v>689</v>
      </c>
      <c r="AW122" s="17" t="s">
        <v>605</v>
      </c>
      <c r="AX122" s="17" t="s">
        <v>623</v>
      </c>
      <c r="AY122" s="17" t="s">
        <v>627</v>
      </c>
      <c r="AZ122" s="17" t="s">
        <v>155</v>
      </c>
      <c r="BB122" t="s">
        <v>823</v>
      </c>
    </row>
    <row r="123" spans="2:88" x14ac:dyDescent="0.3">
      <c r="X123" t="s">
        <v>823</v>
      </c>
      <c r="AM123" t="s">
        <v>544</v>
      </c>
      <c r="AN123" s="17" t="s">
        <v>408</v>
      </c>
      <c r="AO123" s="17" t="s">
        <v>90</v>
      </c>
      <c r="AP123" s="17" t="s">
        <v>408</v>
      </c>
      <c r="AQ123" s="17" t="s">
        <v>155</v>
      </c>
      <c r="AR123" s="17" t="s">
        <v>155</v>
      </c>
      <c r="BC123" s="17" t="s">
        <v>164</v>
      </c>
      <c r="BD123" s="17" t="s">
        <v>165</v>
      </c>
      <c r="BE123" s="17" t="s">
        <v>166</v>
      </c>
      <c r="BF123" s="17" t="s">
        <v>167</v>
      </c>
      <c r="BG123" s="17" t="s">
        <v>168</v>
      </c>
    </row>
    <row r="124" spans="2:88" x14ac:dyDescent="0.3">
      <c r="B124" s="29"/>
      <c r="Q124" s="29" t="s">
        <v>596</v>
      </c>
      <c r="Y124" s="17" t="s">
        <v>164</v>
      </c>
      <c r="Z124" s="17" t="s">
        <v>165</v>
      </c>
      <c r="AA124" s="17" t="s">
        <v>166</v>
      </c>
      <c r="AB124" s="17" t="s">
        <v>167</v>
      </c>
      <c r="AC124" s="17" t="s">
        <v>168</v>
      </c>
      <c r="AF124" s="29" t="s">
        <v>596</v>
      </c>
      <c r="AM124" t="s">
        <v>545</v>
      </c>
      <c r="AN124" s="17" t="s">
        <v>155</v>
      </c>
      <c r="AO124" s="17" t="s">
        <v>155</v>
      </c>
      <c r="AP124" s="17" t="s">
        <v>408</v>
      </c>
      <c r="AQ124" s="17" t="s">
        <v>155</v>
      </c>
      <c r="AR124" s="17" t="s">
        <v>155</v>
      </c>
      <c r="AU124" s="29" t="s">
        <v>596</v>
      </c>
      <c r="BB124" t="s">
        <v>555</v>
      </c>
      <c r="BC124" s="17" t="s">
        <v>155</v>
      </c>
      <c r="BD124" s="17" t="s">
        <v>410</v>
      </c>
      <c r="BE124" s="17" t="s">
        <v>155</v>
      </c>
      <c r="BF124" s="17" t="s">
        <v>155</v>
      </c>
      <c r="BG124" s="17" t="s">
        <v>155</v>
      </c>
      <c r="BH124" s="29"/>
    </row>
    <row r="125" spans="2:88" x14ac:dyDescent="0.3">
      <c r="B125" s="71"/>
      <c r="Q125" s="71" t="s">
        <v>628</v>
      </c>
      <c r="X125" t="s">
        <v>555</v>
      </c>
      <c r="Y125" s="17" t="s">
        <v>155</v>
      </c>
      <c r="Z125" s="17" t="s">
        <v>410</v>
      </c>
      <c r="AA125" s="17" t="s">
        <v>155</v>
      </c>
      <c r="AB125" s="17" t="s">
        <v>155</v>
      </c>
      <c r="AC125" s="17" t="s">
        <v>155</v>
      </c>
      <c r="AF125" s="71" t="s">
        <v>628</v>
      </c>
      <c r="AU125" s="71" t="s">
        <v>628</v>
      </c>
      <c r="BB125" t="s">
        <v>556</v>
      </c>
      <c r="BC125" s="17" t="s">
        <v>155</v>
      </c>
      <c r="BD125" s="17" t="s">
        <v>410</v>
      </c>
      <c r="BE125" s="17" t="s">
        <v>155</v>
      </c>
      <c r="BF125" s="17" t="s">
        <v>155</v>
      </c>
      <c r="BG125" s="17" t="s">
        <v>155</v>
      </c>
      <c r="BH125" s="71"/>
    </row>
    <row r="126" spans="2:88" x14ac:dyDescent="0.3">
      <c r="X126" t="s">
        <v>556</v>
      </c>
      <c r="Y126" s="17" t="s">
        <v>155</v>
      </c>
      <c r="Z126" s="17" t="s">
        <v>410</v>
      </c>
      <c r="AA126" s="17" t="s">
        <v>155</v>
      </c>
      <c r="AB126" s="17" t="s">
        <v>155</v>
      </c>
      <c r="AC126" s="17" t="s">
        <v>155</v>
      </c>
      <c r="AM126" t="s">
        <v>823</v>
      </c>
      <c r="BB126" t="s">
        <v>557</v>
      </c>
      <c r="BC126" s="17" t="s">
        <v>155</v>
      </c>
      <c r="BD126" s="17" t="s">
        <v>410</v>
      </c>
      <c r="BE126" s="17" t="s">
        <v>155</v>
      </c>
      <c r="BF126" s="17" t="s">
        <v>465</v>
      </c>
      <c r="BG126" s="17" t="s">
        <v>155</v>
      </c>
      <c r="BU126" s="137">
        <v>0</v>
      </c>
      <c r="BV126" s="137">
        <v>0</v>
      </c>
      <c r="BW126" s="137">
        <v>0</v>
      </c>
    </row>
    <row r="127" spans="2:88" x14ac:dyDescent="0.3">
      <c r="Q127" s="15" t="s">
        <v>629</v>
      </c>
      <c r="X127" t="s">
        <v>557</v>
      </c>
      <c r="Y127" s="17" t="s">
        <v>155</v>
      </c>
      <c r="Z127" s="17" t="s">
        <v>410</v>
      </c>
      <c r="AA127" s="17" t="s">
        <v>155</v>
      </c>
      <c r="AB127" s="17" t="s">
        <v>465</v>
      </c>
      <c r="AC127" s="17" t="s">
        <v>155</v>
      </c>
      <c r="AF127" s="15" t="s">
        <v>629</v>
      </c>
      <c r="AN127" s="17" t="s">
        <v>164</v>
      </c>
      <c r="AO127" s="17" t="s">
        <v>165</v>
      </c>
      <c r="AP127" s="17" t="s">
        <v>166</v>
      </c>
      <c r="AQ127" s="17" t="s">
        <v>167</v>
      </c>
      <c r="AR127" s="17" t="s">
        <v>168</v>
      </c>
      <c r="AU127" s="15" t="s">
        <v>629</v>
      </c>
      <c r="BB127" t="s">
        <v>542</v>
      </c>
      <c r="BC127" s="17" t="s">
        <v>155</v>
      </c>
      <c r="BD127" s="17" t="s">
        <v>410</v>
      </c>
      <c r="BE127" s="17" t="s">
        <v>155</v>
      </c>
      <c r="BF127" s="17" t="s">
        <v>465</v>
      </c>
      <c r="BG127" s="17" t="s">
        <v>155</v>
      </c>
      <c r="BU127" s="137">
        <v>1</v>
      </c>
      <c r="BV127" s="137">
        <v>0</v>
      </c>
      <c r="BW127" s="137">
        <v>1</v>
      </c>
    </row>
    <row r="128" spans="2:88" x14ac:dyDescent="0.3">
      <c r="R128" s="17" t="s">
        <v>164</v>
      </c>
      <c r="S128" s="17" t="s">
        <v>165</v>
      </c>
      <c r="T128" s="17" t="s">
        <v>166</v>
      </c>
      <c r="U128" s="17" t="s">
        <v>167</v>
      </c>
      <c r="V128" s="17" t="s">
        <v>168</v>
      </c>
      <c r="X128" t="s">
        <v>542</v>
      </c>
      <c r="Y128" s="17" t="s">
        <v>155</v>
      </c>
      <c r="Z128" s="17" t="s">
        <v>410</v>
      </c>
      <c r="AA128" s="17" t="s">
        <v>155</v>
      </c>
      <c r="AB128" s="17" t="s">
        <v>465</v>
      </c>
      <c r="AC128" s="17" t="s">
        <v>155</v>
      </c>
      <c r="AG128" s="17" t="s">
        <v>164</v>
      </c>
      <c r="AH128" s="17" t="s">
        <v>165</v>
      </c>
      <c r="AI128" s="17" t="s">
        <v>166</v>
      </c>
      <c r="AJ128" s="17" t="s">
        <v>167</v>
      </c>
      <c r="AK128" s="17" t="s">
        <v>168</v>
      </c>
      <c r="AM128" t="s">
        <v>555</v>
      </c>
      <c r="AN128" s="17" t="s">
        <v>155</v>
      </c>
      <c r="AO128" s="17" t="s">
        <v>410</v>
      </c>
      <c r="AP128" s="17" t="s">
        <v>155</v>
      </c>
      <c r="AQ128" s="17" t="s">
        <v>155</v>
      </c>
      <c r="AR128" s="17" t="s">
        <v>155</v>
      </c>
      <c r="AV128" s="17" t="s">
        <v>164</v>
      </c>
      <c r="AW128" s="17" t="s">
        <v>165</v>
      </c>
      <c r="AX128" s="17" t="s">
        <v>166</v>
      </c>
      <c r="AY128" s="17" t="s">
        <v>167</v>
      </c>
      <c r="AZ128" s="17" t="s">
        <v>168</v>
      </c>
      <c r="BB128" t="s">
        <v>543</v>
      </c>
      <c r="BC128" s="17" t="s">
        <v>155</v>
      </c>
      <c r="BD128" s="17" t="s">
        <v>155</v>
      </c>
      <c r="BE128" s="17" t="s">
        <v>155</v>
      </c>
      <c r="BF128" s="17" t="s">
        <v>465</v>
      </c>
      <c r="BG128" s="17" t="s">
        <v>155</v>
      </c>
      <c r="BU128" s="137">
        <v>1</v>
      </c>
      <c r="BV128" s="137">
        <v>0</v>
      </c>
      <c r="BW128" s="137">
        <v>1</v>
      </c>
    </row>
    <row r="129" spans="17:76" x14ac:dyDescent="0.3">
      <c r="Q129" s="15" t="s">
        <v>542</v>
      </c>
      <c r="R129" s="17" t="s">
        <v>631</v>
      </c>
      <c r="S129" s="17" t="s">
        <v>775</v>
      </c>
      <c r="T129" s="17" t="s">
        <v>630</v>
      </c>
      <c r="U129" s="17" t="s">
        <v>632</v>
      </c>
      <c r="V129" s="17" t="s">
        <v>630</v>
      </c>
      <c r="X129" t="s">
        <v>543</v>
      </c>
      <c r="Y129" s="17" t="s">
        <v>155</v>
      </c>
      <c r="Z129" s="17" t="s">
        <v>155</v>
      </c>
      <c r="AA129" s="17" t="s">
        <v>155</v>
      </c>
      <c r="AB129" s="17" t="s">
        <v>465</v>
      </c>
      <c r="AC129" s="17" t="s">
        <v>155</v>
      </c>
      <c r="AF129" s="15" t="s">
        <v>542</v>
      </c>
      <c r="AG129" s="17" t="s">
        <v>631</v>
      </c>
      <c r="AH129" s="17" t="s">
        <v>775</v>
      </c>
      <c r="AI129" s="17" t="s">
        <v>630</v>
      </c>
      <c r="AJ129" s="17" t="s">
        <v>632</v>
      </c>
      <c r="AK129" s="17" t="s">
        <v>630</v>
      </c>
      <c r="AM129" t="s">
        <v>556</v>
      </c>
      <c r="AN129" s="17" t="s">
        <v>155</v>
      </c>
      <c r="AO129" s="17" t="s">
        <v>410</v>
      </c>
      <c r="AP129" s="17" t="s">
        <v>155</v>
      </c>
      <c r="AQ129" s="17" t="s">
        <v>465</v>
      </c>
      <c r="AR129" s="17" t="s">
        <v>155</v>
      </c>
      <c r="AU129" s="15" t="s">
        <v>542</v>
      </c>
      <c r="AV129" s="17" t="s">
        <v>631</v>
      </c>
      <c r="AW129" s="17" t="s">
        <v>775</v>
      </c>
      <c r="AX129" s="17" t="s">
        <v>630</v>
      </c>
      <c r="AY129" s="17" t="s">
        <v>632</v>
      </c>
      <c r="AZ129" s="17" t="s">
        <v>630</v>
      </c>
      <c r="BB129" t="s">
        <v>544</v>
      </c>
      <c r="BC129" s="17" t="s">
        <v>155</v>
      </c>
      <c r="BD129" s="17" t="s">
        <v>155</v>
      </c>
      <c r="BE129" s="17" t="s">
        <v>155</v>
      </c>
      <c r="BF129" s="17" t="s">
        <v>465</v>
      </c>
      <c r="BG129" s="17" t="s">
        <v>155</v>
      </c>
      <c r="BU129" s="137">
        <v>2</v>
      </c>
      <c r="BV129" s="137">
        <v>0</v>
      </c>
      <c r="BW129" s="137">
        <v>2</v>
      </c>
    </row>
    <row r="130" spans="17:76" x14ac:dyDescent="0.3">
      <c r="Q130" s="15" t="s">
        <v>543</v>
      </c>
      <c r="R130" s="17" t="s">
        <v>631</v>
      </c>
      <c r="S130" s="17" t="s">
        <v>775</v>
      </c>
      <c r="T130" s="17" t="s">
        <v>630</v>
      </c>
      <c r="U130" s="17" t="s">
        <v>632</v>
      </c>
      <c r="V130" s="17" t="s">
        <v>630</v>
      </c>
      <c r="X130" t="s">
        <v>544</v>
      </c>
      <c r="Y130" s="17" t="s">
        <v>155</v>
      </c>
      <c r="Z130" s="17" t="s">
        <v>155</v>
      </c>
      <c r="AA130" s="17" t="s">
        <v>155</v>
      </c>
      <c r="AB130" s="17" t="s">
        <v>465</v>
      </c>
      <c r="AC130" s="17" t="s">
        <v>155</v>
      </c>
      <c r="AF130" s="15" t="s">
        <v>543</v>
      </c>
      <c r="AG130" s="17" t="s">
        <v>631</v>
      </c>
      <c r="AH130" s="17" t="s">
        <v>775</v>
      </c>
      <c r="AI130" s="17" t="s">
        <v>630</v>
      </c>
      <c r="AJ130" s="17" t="s">
        <v>632</v>
      </c>
      <c r="AK130" s="17" t="s">
        <v>630</v>
      </c>
      <c r="AM130" t="s">
        <v>557</v>
      </c>
      <c r="AN130" s="17" t="s">
        <v>155</v>
      </c>
      <c r="AO130" s="17" t="s">
        <v>410</v>
      </c>
      <c r="AP130" s="17" t="s">
        <v>155</v>
      </c>
      <c r="AQ130" s="17" t="s">
        <v>465</v>
      </c>
      <c r="AR130" s="17" t="s">
        <v>155</v>
      </c>
      <c r="AU130" s="15" t="s">
        <v>543</v>
      </c>
      <c r="AV130" s="17" t="s">
        <v>631</v>
      </c>
      <c r="AW130" s="17" t="s">
        <v>775</v>
      </c>
      <c r="AX130" s="17" t="s">
        <v>630</v>
      </c>
      <c r="AY130" s="17" t="s">
        <v>632</v>
      </c>
      <c r="AZ130" s="17" t="s">
        <v>630</v>
      </c>
    </row>
    <row r="131" spans="17:76" x14ac:dyDescent="0.3">
      <c r="Q131" s="15" t="s">
        <v>544</v>
      </c>
      <c r="R131" s="17" t="s">
        <v>634</v>
      </c>
      <c r="S131" s="17" t="s">
        <v>775</v>
      </c>
      <c r="T131" s="17" t="s">
        <v>635</v>
      </c>
      <c r="U131" s="17" t="s">
        <v>634</v>
      </c>
      <c r="V131" s="17" t="s">
        <v>776</v>
      </c>
      <c r="AF131" s="15" t="s">
        <v>544</v>
      </c>
      <c r="AG131" s="17" t="s">
        <v>634</v>
      </c>
      <c r="AH131" s="17" t="s">
        <v>775</v>
      </c>
      <c r="AI131" s="17" t="s">
        <v>635</v>
      </c>
      <c r="AJ131" s="17" t="s">
        <v>634</v>
      </c>
      <c r="AK131" s="17" t="s">
        <v>776</v>
      </c>
      <c r="AM131" t="s">
        <v>542</v>
      </c>
      <c r="AN131" s="17" t="s">
        <v>155</v>
      </c>
      <c r="AO131" s="17" t="s">
        <v>410</v>
      </c>
      <c r="AP131" s="17" t="s">
        <v>155</v>
      </c>
      <c r="AQ131" s="17" t="s">
        <v>465</v>
      </c>
      <c r="AR131" s="17" t="s">
        <v>155</v>
      </c>
      <c r="AU131" s="15" t="s">
        <v>544</v>
      </c>
      <c r="AV131" s="17" t="s">
        <v>634</v>
      </c>
      <c r="AW131" s="17" t="s">
        <v>775</v>
      </c>
      <c r="AX131" s="17" t="s">
        <v>635</v>
      </c>
      <c r="AY131" s="17" t="s">
        <v>634</v>
      </c>
      <c r="AZ131" s="17" t="s">
        <v>776</v>
      </c>
      <c r="BB131" t="s">
        <v>743</v>
      </c>
    </row>
    <row r="132" spans="17:76" x14ac:dyDescent="0.3">
      <c r="Q132" s="15" t="s">
        <v>545</v>
      </c>
      <c r="R132" s="17" t="s">
        <v>634</v>
      </c>
      <c r="S132" s="17" t="s">
        <v>633</v>
      </c>
      <c r="T132" s="17" t="s">
        <v>635</v>
      </c>
      <c r="U132" s="17" t="s">
        <v>634</v>
      </c>
      <c r="V132" s="17" t="s">
        <v>776</v>
      </c>
      <c r="X132" t="s">
        <v>743</v>
      </c>
      <c r="AF132" s="15" t="s">
        <v>545</v>
      </c>
      <c r="AG132" s="17" t="s">
        <v>634</v>
      </c>
      <c r="AH132" s="17" t="s">
        <v>633</v>
      </c>
      <c r="AI132" s="17" t="s">
        <v>635</v>
      </c>
      <c r="AJ132" s="17" t="s">
        <v>634</v>
      </c>
      <c r="AK132" s="17" t="s">
        <v>776</v>
      </c>
      <c r="AM132" t="s">
        <v>543</v>
      </c>
      <c r="AN132" s="17" t="s">
        <v>155</v>
      </c>
      <c r="AO132" s="17" t="s">
        <v>155</v>
      </c>
      <c r="AP132" s="17" t="s">
        <v>155</v>
      </c>
      <c r="AQ132" s="17" t="s">
        <v>465</v>
      </c>
      <c r="AR132" s="17" t="s">
        <v>155</v>
      </c>
      <c r="AU132" s="15" t="s">
        <v>545</v>
      </c>
      <c r="AV132" s="17" t="s">
        <v>634</v>
      </c>
      <c r="AW132" s="17" t="s">
        <v>633</v>
      </c>
      <c r="AX132" s="17" t="s">
        <v>635</v>
      </c>
      <c r="AY132" s="17" t="s">
        <v>634</v>
      </c>
      <c r="AZ132" s="17" t="s">
        <v>776</v>
      </c>
      <c r="BC132" s="17" t="s">
        <v>164</v>
      </c>
      <c r="BD132" s="17" t="s">
        <v>165</v>
      </c>
      <c r="BE132" s="17" t="s">
        <v>166</v>
      </c>
      <c r="BF132" s="17" t="s">
        <v>167</v>
      </c>
      <c r="BG132" s="17" t="s">
        <v>168</v>
      </c>
    </row>
    <row r="133" spans="17:76" x14ac:dyDescent="0.3">
      <c r="Q133" s="15" t="s">
        <v>546</v>
      </c>
      <c r="R133" s="17" t="s">
        <v>155</v>
      </c>
      <c r="S133" s="17" t="s">
        <v>633</v>
      </c>
      <c r="T133" s="17" t="s">
        <v>635</v>
      </c>
      <c r="U133" s="17" t="s">
        <v>155</v>
      </c>
      <c r="V133" s="17" t="s">
        <v>155</v>
      </c>
      <c r="Y133" s="17" t="s">
        <v>164</v>
      </c>
      <c r="Z133" s="17" t="s">
        <v>165</v>
      </c>
      <c r="AA133" s="17" t="s">
        <v>166</v>
      </c>
      <c r="AB133" s="17" t="s">
        <v>167</v>
      </c>
      <c r="AC133" s="17" t="s">
        <v>168</v>
      </c>
      <c r="AF133" s="15" t="s">
        <v>546</v>
      </c>
      <c r="AG133" s="17" t="s">
        <v>155</v>
      </c>
      <c r="AH133" s="17" t="s">
        <v>633</v>
      </c>
      <c r="AI133" s="17" t="s">
        <v>635</v>
      </c>
      <c r="AJ133" s="17" t="s">
        <v>155</v>
      </c>
      <c r="AK133" s="17" t="s">
        <v>155</v>
      </c>
      <c r="AU133" s="15" t="s">
        <v>546</v>
      </c>
      <c r="AV133" s="17" t="s">
        <v>155</v>
      </c>
      <c r="AW133" s="17" t="s">
        <v>633</v>
      </c>
      <c r="AX133" s="17" t="s">
        <v>635</v>
      </c>
      <c r="AY133" s="17" t="s">
        <v>155</v>
      </c>
      <c r="AZ133" s="17" t="s">
        <v>155</v>
      </c>
      <c r="BB133" t="s">
        <v>550</v>
      </c>
      <c r="BC133" s="17" t="s">
        <v>155</v>
      </c>
      <c r="BD133" s="17" t="s">
        <v>359</v>
      </c>
      <c r="BE133" s="17" t="s">
        <v>155</v>
      </c>
      <c r="BF133" s="17" t="s">
        <v>359</v>
      </c>
      <c r="BG133" s="17" t="s">
        <v>155</v>
      </c>
    </row>
    <row r="134" spans="17:76" x14ac:dyDescent="0.3">
      <c r="X134" t="s">
        <v>550</v>
      </c>
      <c r="Y134" s="17" t="s">
        <v>155</v>
      </c>
      <c r="Z134" s="17" t="s">
        <v>359</v>
      </c>
      <c r="AA134" s="17" t="s">
        <v>155</v>
      </c>
      <c r="AB134" s="17" t="s">
        <v>359</v>
      </c>
      <c r="AC134" s="17" t="s">
        <v>155</v>
      </c>
      <c r="AM134" t="s">
        <v>743</v>
      </c>
      <c r="BB134" t="s">
        <v>158</v>
      </c>
      <c r="BC134" s="17" t="s">
        <v>155</v>
      </c>
      <c r="BD134" s="17" t="s">
        <v>359</v>
      </c>
      <c r="BE134" s="17" t="s">
        <v>155</v>
      </c>
      <c r="BF134" s="17" t="s">
        <v>359</v>
      </c>
      <c r="BG134" s="17" t="s">
        <v>155</v>
      </c>
    </row>
    <row r="135" spans="17:76" x14ac:dyDescent="0.3">
      <c r="Q135" s="15" t="s">
        <v>560</v>
      </c>
      <c r="X135" t="s">
        <v>158</v>
      </c>
      <c r="Y135" s="17" t="s">
        <v>155</v>
      </c>
      <c r="Z135" s="17" t="s">
        <v>359</v>
      </c>
      <c r="AA135" s="17" t="s">
        <v>155</v>
      </c>
      <c r="AB135" s="17" t="s">
        <v>359</v>
      </c>
      <c r="AC135" s="17" t="s">
        <v>155</v>
      </c>
      <c r="AF135" s="15" t="s">
        <v>560</v>
      </c>
      <c r="AN135" s="17" t="s">
        <v>164</v>
      </c>
      <c r="AO135" s="17" t="s">
        <v>165</v>
      </c>
      <c r="AP135" s="17" t="s">
        <v>166</v>
      </c>
      <c r="AQ135" s="17" t="s">
        <v>167</v>
      </c>
      <c r="AR135" s="17" t="s">
        <v>168</v>
      </c>
      <c r="AU135" s="15" t="s">
        <v>560</v>
      </c>
    </row>
    <row r="136" spans="17:76" x14ac:dyDescent="0.3">
      <c r="R136" s="17" t="s">
        <v>164</v>
      </c>
      <c r="S136" s="17" t="s">
        <v>165</v>
      </c>
      <c r="T136" s="17" t="s">
        <v>166</v>
      </c>
      <c r="U136" s="17" t="s">
        <v>167</v>
      </c>
      <c r="V136" s="17" t="s">
        <v>168</v>
      </c>
      <c r="AG136" s="17" t="s">
        <v>164</v>
      </c>
      <c r="AH136" s="17" t="s">
        <v>165</v>
      </c>
      <c r="AI136" s="17" t="s">
        <v>166</v>
      </c>
      <c r="AJ136" s="17" t="s">
        <v>167</v>
      </c>
      <c r="AK136" s="17" t="s">
        <v>168</v>
      </c>
      <c r="AM136" t="s">
        <v>550</v>
      </c>
      <c r="AN136" s="17" t="s">
        <v>155</v>
      </c>
      <c r="AO136" s="17" t="s">
        <v>359</v>
      </c>
      <c r="AP136" s="17" t="s">
        <v>155</v>
      </c>
      <c r="AQ136" s="17" t="s">
        <v>155</v>
      </c>
      <c r="AR136" s="17" t="s">
        <v>155</v>
      </c>
      <c r="AV136" s="17" t="s">
        <v>164</v>
      </c>
      <c r="AW136" s="17" t="s">
        <v>165</v>
      </c>
      <c r="AX136" s="17" t="s">
        <v>166</v>
      </c>
      <c r="AY136" s="17" t="s">
        <v>167</v>
      </c>
      <c r="AZ136" s="17" t="s">
        <v>168</v>
      </c>
      <c r="BB136" t="s">
        <v>704</v>
      </c>
      <c r="BT136" s="137">
        <v>1</v>
      </c>
      <c r="BU136" s="137">
        <v>0</v>
      </c>
      <c r="BV136" s="137">
        <v>1</v>
      </c>
      <c r="BW136" s="137">
        <v>0</v>
      </c>
      <c r="BX136" s="137">
        <v>0</v>
      </c>
    </row>
    <row r="137" spans="17:76" x14ac:dyDescent="0.3">
      <c r="Q137" s="15" t="s">
        <v>548</v>
      </c>
      <c r="R137" s="17" t="s">
        <v>636</v>
      </c>
      <c r="S137" s="17" t="s">
        <v>562</v>
      </c>
      <c r="T137" s="17" t="s">
        <v>155</v>
      </c>
      <c r="U137" s="17" t="s">
        <v>562</v>
      </c>
      <c r="V137" s="17" t="s">
        <v>691</v>
      </c>
      <c r="X137" t="s">
        <v>704</v>
      </c>
      <c r="AF137" s="15" t="s">
        <v>548</v>
      </c>
      <c r="AG137" s="17" t="s">
        <v>636</v>
      </c>
      <c r="AH137" s="17" t="s">
        <v>562</v>
      </c>
      <c r="AI137" s="17" t="s">
        <v>155</v>
      </c>
      <c r="AJ137" s="17" t="s">
        <v>562</v>
      </c>
      <c r="AK137" s="17" t="s">
        <v>691</v>
      </c>
      <c r="AM137" t="s">
        <v>158</v>
      </c>
      <c r="AN137" s="17" t="s">
        <v>155</v>
      </c>
      <c r="AO137" s="17" t="s">
        <v>359</v>
      </c>
      <c r="AP137" s="17" t="s">
        <v>155</v>
      </c>
      <c r="AQ137" s="17" t="s">
        <v>359</v>
      </c>
      <c r="AR137" s="17" t="s">
        <v>155</v>
      </c>
      <c r="AU137" s="15" t="s">
        <v>548</v>
      </c>
      <c r="AV137" s="17" t="s">
        <v>636</v>
      </c>
      <c r="AW137" s="17" t="s">
        <v>562</v>
      </c>
      <c r="AX137" s="17" t="s">
        <v>155</v>
      </c>
      <c r="AY137" s="17" t="s">
        <v>562</v>
      </c>
      <c r="AZ137" s="17" t="s">
        <v>691</v>
      </c>
      <c r="BC137" s="17" t="s">
        <v>164</v>
      </c>
      <c r="BD137" s="17" t="s">
        <v>165</v>
      </c>
      <c r="BE137" s="17" t="s">
        <v>166</v>
      </c>
      <c r="BF137" s="17" t="s">
        <v>167</v>
      </c>
      <c r="BG137" s="17" t="s">
        <v>168</v>
      </c>
      <c r="BT137" s="137">
        <v>1</v>
      </c>
      <c r="BU137" s="137">
        <v>0</v>
      </c>
      <c r="BV137" s="137">
        <v>1</v>
      </c>
      <c r="BW137" s="137">
        <v>0</v>
      </c>
      <c r="BX137" s="137">
        <v>0</v>
      </c>
    </row>
    <row r="138" spans="17:76" x14ac:dyDescent="0.3">
      <c r="Q138" s="15" t="s">
        <v>549</v>
      </c>
      <c r="R138" s="17" t="s">
        <v>636</v>
      </c>
      <c r="S138" s="17" t="s">
        <v>562</v>
      </c>
      <c r="T138" s="17" t="s">
        <v>565</v>
      </c>
      <c r="U138" s="17" t="s">
        <v>562</v>
      </c>
      <c r="V138" s="17" t="s">
        <v>691</v>
      </c>
      <c r="Y138" s="17" t="s">
        <v>164</v>
      </c>
      <c r="Z138" s="17" t="s">
        <v>165</v>
      </c>
      <c r="AA138" s="17" t="s">
        <v>166</v>
      </c>
      <c r="AB138" s="17" t="s">
        <v>167</v>
      </c>
      <c r="AC138" s="17" t="s">
        <v>168</v>
      </c>
      <c r="AF138" s="15" t="s">
        <v>549</v>
      </c>
      <c r="AG138" s="17" t="s">
        <v>636</v>
      </c>
      <c r="AH138" s="17" t="s">
        <v>562</v>
      </c>
      <c r="AI138" s="17" t="s">
        <v>565</v>
      </c>
      <c r="AJ138" s="17" t="s">
        <v>562</v>
      </c>
      <c r="AK138" s="17" t="s">
        <v>691</v>
      </c>
      <c r="AM138" t="s">
        <v>159</v>
      </c>
      <c r="AN138" s="17" t="s">
        <v>155</v>
      </c>
      <c r="AO138" s="17" t="s">
        <v>155</v>
      </c>
      <c r="AP138" s="17" t="s">
        <v>155</v>
      </c>
      <c r="AQ138" s="17" t="s">
        <v>359</v>
      </c>
      <c r="AR138" s="17" t="s">
        <v>155</v>
      </c>
      <c r="AU138" s="15" t="s">
        <v>549</v>
      </c>
      <c r="AV138" s="17" t="s">
        <v>636</v>
      </c>
      <c r="AW138" s="17" t="s">
        <v>562</v>
      </c>
      <c r="AX138" s="17" t="s">
        <v>565</v>
      </c>
      <c r="AY138" s="17" t="s">
        <v>562</v>
      </c>
      <c r="AZ138" s="17" t="s">
        <v>691</v>
      </c>
      <c r="BB138" t="s">
        <v>550</v>
      </c>
      <c r="BC138" s="17" t="s">
        <v>155</v>
      </c>
      <c r="BD138" s="17" t="s">
        <v>353</v>
      </c>
      <c r="BE138" s="17" t="s">
        <v>155</v>
      </c>
      <c r="BF138" s="17" t="s">
        <v>155</v>
      </c>
      <c r="BG138" s="17" t="s">
        <v>155</v>
      </c>
      <c r="BT138" s="138">
        <v>2</v>
      </c>
      <c r="BU138" s="138">
        <v>2</v>
      </c>
      <c r="BV138" s="138">
        <v>2</v>
      </c>
      <c r="BW138" s="138">
        <v>2</v>
      </c>
      <c r="BX138" s="138">
        <v>0</v>
      </c>
    </row>
    <row r="139" spans="17:76" x14ac:dyDescent="0.3">
      <c r="Q139" s="15" t="s">
        <v>550</v>
      </c>
      <c r="R139" s="17" t="s">
        <v>636</v>
      </c>
      <c r="S139" s="17" t="s">
        <v>649</v>
      </c>
      <c r="T139" s="17" t="s">
        <v>565</v>
      </c>
      <c r="U139" s="17" t="s">
        <v>649</v>
      </c>
      <c r="V139" s="17" t="s">
        <v>564</v>
      </c>
      <c r="X139" t="s">
        <v>550</v>
      </c>
      <c r="Y139" s="17" t="s">
        <v>155</v>
      </c>
      <c r="Z139" s="17" t="s">
        <v>353</v>
      </c>
      <c r="AA139" s="17" t="s">
        <v>155</v>
      </c>
      <c r="AB139" s="17" t="s">
        <v>155</v>
      </c>
      <c r="AC139" s="17" t="s">
        <v>155</v>
      </c>
      <c r="AF139" s="15" t="s">
        <v>550</v>
      </c>
      <c r="AG139" s="17" t="s">
        <v>636</v>
      </c>
      <c r="AH139" s="17" t="s">
        <v>563</v>
      </c>
      <c r="AI139" s="17" t="s">
        <v>565</v>
      </c>
      <c r="AJ139" s="17" t="s">
        <v>641</v>
      </c>
      <c r="AK139" s="17" t="s">
        <v>564</v>
      </c>
      <c r="AU139" s="15" t="s">
        <v>550</v>
      </c>
      <c r="AV139" s="17" t="s">
        <v>636</v>
      </c>
      <c r="AW139" s="17" t="s">
        <v>649</v>
      </c>
      <c r="AX139" s="17" t="s">
        <v>565</v>
      </c>
      <c r="AY139" s="17" t="s">
        <v>649</v>
      </c>
      <c r="AZ139" s="17" t="s">
        <v>564</v>
      </c>
      <c r="BB139" t="s">
        <v>158</v>
      </c>
      <c r="BC139" s="17" t="s">
        <v>155</v>
      </c>
      <c r="BD139" s="17" t="s">
        <v>353</v>
      </c>
      <c r="BE139" s="17" t="s">
        <v>155</v>
      </c>
      <c r="BF139" s="17" t="s">
        <v>155</v>
      </c>
      <c r="BG139" s="17" t="s">
        <v>155</v>
      </c>
      <c r="BT139" s="138">
        <v>2</v>
      </c>
      <c r="BU139" s="138">
        <v>2</v>
      </c>
      <c r="BV139" s="138">
        <v>2</v>
      </c>
      <c r="BW139" s="138">
        <v>2</v>
      </c>
      <c r="BX139" s="138">
        <v>0</v>
      </c>
    </row>
    <row r="140" spans="17:76" x14ac:dyDescent="0.3">
      <c r="Q140" s="15" t="s">
        <v>158</v>
      </c>
      <c r="R140" s="17" t="s">
        <v>636</v>
      </c>
      <c r="S140" s="17" t="s">
        <v>649</v>
      </c>
      <c r="T140" s="17" t="s">
        <v>565</v>
      </c>
      <c r="U140" s="17" t="s">
        <v>649</v>
      </c>
      <c r="V140" s="17" t="s">
        <v>564</v>
      </c>
      <c r="X140" t="s">
        <v>158</v>
      </c>
      <c r="Y140" s="17" t="s">
        <v>155</v>
      </c>
      <c r="Z140" s="17" t="s">
        <v>353</v>
      </c>
      <c r="AA140" s="17" t="s">
        <v>155</v>
      </c>
      <c r="AB140" s="17" t="s">
        <v>155</v>
      </c>
      <c r="AC140" s="17" t="s">
        <v>155</v>
      </c>
      <c r="AF140" s="15" t="s">
        <v>158</v>
      </c>
      <c r="AG140" s="17" t="s">
        <v>636</v>
      </c>
      <c r="AH140" s="17" t="s">
        <v>563</v>
      </c>
      <c r="AI140" s="17" t="s">
        <v>565</v>
      </c>
      <c r="AJ140" s="17" t="s">
        <v>641</v>
      </c>
      <c r="AK140" s="17" t="s">
        <v>564</v>
      </c>
      <c r="AM140" t="s">
        <v>704</v>
      </c>
      <c r="AU140" s="15" t="s">
        <v>158</v>
      </c>
      <c r="AV140" s="17" t="s">
        <v>636</v>
      </c>
      <c r="AW140" s="17" t="s">
        <v>649</v>
      </c>
      <c r="AX140" s="17" t="s">
        <v>565</v>
      </c>
      <c r="AY140" s="17" t="s">
        <v>649</v>
      </c>
      <c r="AZ140" s="17" t="s">
        <v>564</v>
      </c>
      <c r="BB140" t="s">
        <v>159</v>
      </c>
      <c r="BC140" s="17" t="s">
        <v>155</v>
      </c>
      <c r="BD140" s="17" t="s">
        <v>353</v>
      </c>
      <c r="BE140" s="17" t="s">
        <v>155</v>
      </c>
      <c r="BF140" s="17" t="s">
        <v>353</v>
      </c>
      <c r="BG140" s="17" t="s">
        <v>155</v>
      </c>
      <c r="BT140" s="138">
        <v>0</v>
      </c>
      <c r="BU140" s="138">
        <v>3</v>
      </c>
      <c r="BV140" s="138">
        <v>3</v>
      </c>
      <c r="BW140" s="138">
        <v>3</v>
      </c>
      <c r="BX140" s="138">
        <v>0</v>
      </c>
    </row>
    <row r="141" spans="17:76" x14ac:dyDescent="0.3">
      <c r="Q141" s="15" t="s">
        <v>159</v>
      </c>
      <c r="R141" s="17" t="s">
        <v>636</v>
      </c>
      <c r="S141" s="17" t="s">
        <v>563</v>
      </c>
      <c r="T141" s="17" t="s">
        <v>564</v>
      </c>
      <c r="U141" s="17" t="s">
        <v>563</v>
      </c>
      <c r="V141" s="17" t="s">
        <v>564</v>
      </c>
      <c r="X141" t="s">
        <v>159</v>
      </c>
      <c r="Y141" s="17" t="s">
        <v>155</v>
      </c>
      <c r="Z141" s="17" t="s">
        <v>353</v>
      </c>
      <c r="AA141" s="17" t="s">
        <v>155</v>
      </c>
      <c r="AB141" s="17" t="s">
        <v>353</v>
      </c>
      <c r="AC141" s="17" t="s">
        <v>155</v>
      </c>
      <c r="AF141" s="15" t="s">
        <v>159</v>
      </c>
      <c r="AG141" s="17" t="s">
        <v>636</v>
      </c>
      <c r="AH141" s="17" t="s">
        <v>641</v>
      </c>
      <c r="AI141" s="17" t="s">
        <v>564</v>
      </c>
      <c r="AJ141" s="17" t="s">
        <v>155</v>
      </c>
      <c r="AK141" s="17" t="s">
        <v>564</v>
      </c>
      <c r="AN141" s="17" t="s">
        <v>164</v>
      </c>
      <c r="AO141" s="17" t="s">
        <v>165</v>
      </c>
      <c r="AP141" s="17" t="s">
        <v>166</v>
      </c>
      <c r="AQ141" s="17" t="s">
        <v>167</v>
      </c>
      <c r="AR141" s="17" t="s">
        <v>168</v>
      </c>
      <c r="AU141" s="15" t="s">
        <v>159</v>
      </c>
      <c r="AV141" s="17" t="s">
        <v>636</v>
      </c>
      <c r="AW141" s="17" t="s">
        <v>563</v>
      </c>
      <c r="AX141" s="17" t="s">
        <v>564</v>
      </c>
      <c r="AY141" s="17" t="s">
        <v>563</v>
      </c>
      <c r="AZ141" s="17" t="s">
        <v>564</v>
      </c>
      <c r="BB141" t="s">
        <v>160</v>
      </c>
      <c r="BC141" s="17" t="s">
        <v>155</v>
      </c>
      <c r="BD141" s="17" t="s">
        <v>155</v>
      </c>
      <c r="BE141" s="17" t="s">
        <v>155</v>
      </c>
      <c r="BF141" s="17" t="s">
        <v>353</v>
      </c>
      <c r="BG141" s="17" t="s">
        <v>155</v>
      </c>
      <c r="BT141" s="138">
        <v>0</v>
      </c>
      <c r="BU141" s="138">
        <v>3</v>
      </c>
      <c r="BV141" s="138">
        <v>0</v>
      </c>
      <c r="BW141" s="138">
        <v>3</v>
      </c>
      <c r="BX141" s="138">
        <v>0</v>
      </c>
    </row>
    <row r="142" spans="17:76" x14ac:dyDescent="0.3">
      <c r="Q142" s="15" t="s">
        <v>160</v>
      </c>
      <c r="R142" s="17" t="s">
        <v>636</v>
      </c>
      <c r="S142" s="17" t="s">
        <v>563</v>
      </c>
      <c r="T142" s="17" t="s">
        <v>564</v>
      </c>
      <c r="U142" s="17" t="s">
        <v>155</v>
      </c>
      <c r="V142" s="17" t="s">
        <v>155</v>
      </c>
      <c r="X142" t="s">
        <v>160</v>
      </c>
      <c r="Y142" s="17" t="s">
        <v>155</v>
      </c>
      <c r="Z142" s="17" t="s">
        <v>155</v>
      </c>
      <c r="AA142" s="17" t="s">
        <v>155</v>
      </c>
      <c r="AB142" s="17" t="s">
        <v>353</v>
      </c>
      <c r="AC142" s="17" t="s">
        <v>155</v>
      </c>
      <c r="AF142" s="15" t="s">
        <v>160</v>
      </c>
      <c r="AG142" s="17" t="s">
        <v>636</v>
      </c>
      <c r="AH142" s="17" t="s">
        <v>641</v>
      </c>
      <c r="AI142" s="17" t="s">
        <v>564</v>
      </c>
      <c r="AJ142" s="17" t="s">
        <v>155</v>
      </c>
      <c r="AK142" s="17" t="s">
        <v>563</v>
      </c>
      <c r="AM142" t="s">
        <v>550</v>
      </c>
      <c r="AN142" s="17" t="s">
        <v>155</v>
      </c>
      <c r="AO142" s="17" t="s">
        <v>353</v>
      </c>
      <c r="AP142" s="17" t="s">
        <v>155</v>
      </c>
      <c r="AQ142" s="17" t="s">
        <v>155</v>
      </c>
      <c r="AR142" s="17" t="s">
        <v>155</v>
      </c>
      <c r="AU142" s="15" t="s">
        <v>160</v>
      </c>
      <c r="AV142" s="17" t="s">
        <v>636</v>
      </c>
      <c r="AW142" s="17" t="s">
        <v>563</v>
      </c>
      <c r="AX142" s="17" t="s">
        <v>564</v>
      </c>
      <c r="AY142" s="17" t="s">
        <v>155</v>
      </c>
      <c r="AZ142" s="17" t="s">
        <v>155</v>
      </c>
      <c r="BB142" t="s">
        <v>542</v>
      </c>
      <c r="BC142" s="17" t="s">
        <v>155</v>
      </c>
      <c r="BD142" s="17" t="s">
        <v>102</v>
      </c>
      <c r="BE142" s="17" t="s">
        <v>155</v>
      </c>
      <c r="BF142" s="17" t="s">
        <v>102</v>
      </c>
      <c r="BG142" s="17" t="s">
        <v>155</v>
      </c>
      <c r="BT142" s="138">
        <v>0</v>
      </c>
      <c r="BU142" s="138">
        <v>3</v>
      </c>
      <c r="BV142" s="138">
        <v>0</v>
      </c>
      <c r="BW142" s="138">
        <v>3</v>
      </c>
      <c r="BX142" s="138">
        <v>0</v>
      </c>
    </row>
    <row r="143" spans="17:76" x14ac:dyDescent="0.3">
      <c r="X143" t="s">
        <v>542</v>
      </c>
      <c r="Y143" s="17" t="s">
        <v>155</v>
      </c>
      <c r="Z143" s="17" t="s">
        <v>102</v>
      </c>
      <c r="AA143" s="17" t="s">
        <v>155</v>
      </c>
      <c r="AB143" s="17" t="s">
        <v>102</v>
      </c>
      <c r="AC143" s="17" t="s">
        <v>155</v>
      </c>
      <c r="AM143" t="s">
        <v>158</v>
      </c>
      <c r="AN143" s="17" t="s">
        <v>155</v>
      </c>
      <c r="AO143" s="17" t="s">
        <v>353</v>
      </c>
      <c r="AP143" s="17" t="s">
        <v>155</v>
      </c>
      <c r="AQ143" s="17" t="s">
        <v>155</v>
      </c>
      <c r="AR143" s="17" t="s">
        <v>155</v>
      </c>
      <c r="BB143" t="s">
        <v>543</v>
      </c>
      <c r="BC143" s="17" t="s">
        <v>155</v>
      </c>
      <c r="BD143" s="17" t="s">
        <v>102</v>
      </c>
      <c r="BE143" s="17" t="s">
        <v>155</v>
      </c>
      <c r="BF143" s="17" t="s">
        <v>102</v>
      </c>
      <c r="BG143" s="17" t="s">
        <v>155</v>
      </c>
    </row>
    <row r="144" spans="17:76" x14ac:dyDescent="0.3">
      <c r="Q144" s="15" t="s">
        <v>561</v>
      </c>
      <c r="X144" t="s">
        <v>543</v>
      </c>
      <c r="Y144" s="17" t="s">
        <v>155</v>
      </c>
      <c r="Z144" s="17" t="s">
        <v>102</v>
      </c>
      <c r="AA144" s="17" t="s">
        <v>155</v>
      </c>
      <c r="AB144" s="17" t="s">
        <v>102</v>
      </c>
      <c r="AC144" s="17" t="s">
        <v>155</v>
      </c>
      <c r="AF144" s="15" t="s">
        <v>561</v>
      </c>
      <c r="AM144" t="s">
        <v>159</v>
      </c>
      <c r="AN144" s="17" t="s">
        <v>155</v>
      </c>
      <c r="AO144" s="17" t="s">
        <v>353</v>
      </c>
      <c r="AP144" s="17" t="s">
        <v>155</v>
      </c>
      <c r="AQ144" s="17" t="s">
        <v>353</v>
      </c>
      <c r="AR144" s="17" t="s">
        <v>155</v>
      </c>
      <c r="AU144" s="15" t="s">
        <v>561</v>
      </c>
      <c r="BB144" t="s">
        <v>544</v>
      </c>
      <c r="BC144" s="17" t="s">
        <v>155</v>
      </c>
      <c r="BD144" s="17" t="s">
        <v>102</v>
      </c>
      <c r="BE144" s="17" t="s">
        <v>155</v>
      </c>
      <c r="BF144" s="17" t="s">
        <v>155</v>
      </c>
      <c r="BG144" s="17" t="s">
        <v>155</v>
      </c>
    </row>
    <row r="145" spans="17:59" x14ac:dyDescent="0.3">
      <c r="R145" s="17" t="s">
        <v>164</v>
      </c>
      <c r="S145" s="17" t="s">
        <v>165</v>
      </c>
      <c r="T145" s="17" t="s">
        <v>166</v>
      </c>
      <c r="U145" s="17" t="s">
        <v>167</v>
      </c>
      <c r="V145" s="17" t="s">
        <v>168</v>
      </c>
      <c r="X145" t="s">
        <v>544</v>
      </c>
      <c r="Y145" s="17" t="s">
        <v>155</v>
      </c>
      <c r="Z145" s="17" t="s">
        <v>155</v>
      </c>
      <c r="AA145" s="17" t="s">
        <v>155</v>
      </c>
      <c r="AB145" s="17" t="s">
        <v>102</v>
      </c>
      <c r="AC145" s="17" t="s">
        <v>155</v>
      </c>
      <c r="AG145" s="17" t="s">
        <v>164</v>
      </c>
      <c r="AH145" s="17" t="s">
        <v>165</v>
      </c>
      <c r="AI145" s="17" t="s">
        <v>166</v>
      </c>
      <c r="AJ145" s="17" t="s">
        <v>167</v>
      </c>
      <c r="AK145" s="17" t="s">
        <v>168</v>
      </c>
      <c r="AM145" t="s">
        <v>160</v>
      </c>
      <c r="AN145" s="17" t="s">
        <v>155</v>
      </c>
      <c r="AO145" s="17" t="s">
        <v>155</v>
      </c>
      <c r="AP145" s="17" t="s">
        <v>155</v>
      </c>
      <c r="AQ145" s="17" t="s">
        <v>353</v>
      </c>
      <c r="AR145" s="17" t="s">
        <v>155</v>
      </c>
      <c r="AV145" s="17" t="s">
        <v>164</v>
      </c>
      <c r="AW145" s="17" t="s">
        <v>165</v>
      </c>
      <c r="AX145" s="17" t="s">
        <v>166</v>
      </c>
      <c r="AY145" s="17" t="s">
        <v>167</v>
      </c>
      <c r="AZ145" s="17" t="s">
        <v>168</v>
      </c>
    </row>
    <row r="146" spans="17:59" x14ac:dyDescent="0.3">
      <c r="Q146" s="15" t="s">
        <v>548</v>
      </c>
      <c r="R146" s="17" t="s">
        <v>692</v>
      </c>
      <c r="S146" s="17" t="s">
        <v>562</v>
      </c>
      <c r="T146" s="17" t="s">
        <v>566</v>
      </c>
      <c r="U146" s="17" t="s">
        <v>562</v>
      </c>
      <c r="V146" s="17" t="s">
        <v>566</v>
      </c>
      <c r="AF146" s="15" t="s">
        <v>548</v>
      </c>
      <c r="AG146" s="17" t="s">
        <v>692</v>
      </c>
      <c r="AH146" s="17" t="s">
        <v>562</v>
      </c>
      <c r="AI146" s="17" t="s">
        <v>566</v>
      </c>
      <c r="AJ146" s="17" t="s">
        <v>562</v>
      </c>
      <c r="AK146" s="17" t="s">
        <v>566</v>
      </c>
      <c r="AM146" t="s">
        <v>542</v>
      </c>
      <c r="AN146" s="17" t="s">
        <v>155</v>
      </c>
      <c r="AO146" s="17" t="s">
        <v>102</v>
      </c>
      <c r="AP146" s="17" t="s">
        <v>155</v>
      </c>
      <c r="AQ146" s="17" t="s">
        <v>102</v>
      </c>
      <c r="AR146" s="17" t="s">
        <v>155</v>
      </c>
      <c r="AU146" s="15" t="s">
        <v>548</v>
      </c>
      <c r="AV146" s="17" t="s">
        <v>155</v>
      </c>
      <c r="AW146" s="17" t="s">
        <v>562</v>
      </c>
      <c r="AX146" s="17" t="s">
        <v>566</v>
      </c>
      <c r="AY146" s="17" t="s">
        <v>562</v>
      </c>
      <c r="AZ146" s="17" t="s">
        <v>566</v>
      </c>
      <c r="BB146" t="s">
        <v>824</v>
      </c>
    </row>
    <row r="147" spans="17:59" x14ac:dyDescent="0.3">
      <c r="Q147" s="15" t="s">
        <v>549</v>
      </c>
      <c r="R147" s="17" t="s">
        <v>692</v>
      </c>
      <c r="S147" s="17" t="s">
        <v>562</v>
      </c>
      <c r="T147" s="17" t="s">
        <v>566</v>
      </c>
      <c r="U147" s="17" t="s">
        <v>562</v>
      </c>
      <c r="V147" s="17" t="s">
        <v>566</v>
      </c>
      <c r="X147" t="s">
        <v>824</v>
      </c>
      <c r="AF147" s="15" t="s">
        <v>549</v>
      </c>
      <c r="AG147" s="17" t="s">
        <v>692</v>
      </c>
      <c r="AH147" s="17" t="s">
        <v>562</v>
      </c>
      <c r="AI147" s="17" t="s">
        <v>566</v>
      </c>
      <c r="AJ147" s="17" t="s">
        <v>562</v>
      </c>
      <c r="AK147" s="17" t="s">
        <v>566</v>
      </c>
      <c r="AM147" t="s">
        <v>543</v>
      </c>
      <c r="AN147" s="17" t="s">
        <v>155</v>
      </c>
      <c r="AO147" s="17" t="s">
        <v>102</v>
      </c>
      <c r="AP147" s="17" t="s">
        <v>155</v>
      </c>
      <c r="AQ147" s="17" t="s">
        <v>102</v>
      </c>
      <c r="AR147" s="17" t="s">
        <v>155</v>
      </c>
      <c r="AU147" s="15" t="s">
        <v>549</v>
      </c>
      <c r="AV147" s="17" t="s">
        <v>692</v>
      </c>
      <c r="AW147" s="17" t="s">
        <v>562</v>
      </c>
      <c r="AX147" s="17" t="s">
        <v>566</v>
      </c>
      <c r="AY147" s="17" t="s">
        <v>562</v>
      </c>
      <c r="AZ147" s="17" t="s">
        <v>566</v>
      </c>
      <c r="BC147" s="17" t="s">
        <v>164</v>
      </c>
      <c r="BD147" s="17" t="s">
        <v>165</v>
      </c>
      <c r="BE147" s="17" t="s">
        <v>166</v>
      </c>
      <c r="BF147" s="17" t="s">
        <v>167</v>
      </c>
      <c r="BG147" s="17" t="s">
        <v>168</v>
      </c>
    </row>
    <row r="148" spans="17:59" x14ac:dyDescent="0.3">
      <c r="Q148" s="15" t="s">
        <v>550</v>
      </c>
      <c r="R148" s="17" t="s">
        <v>567</v>
      </c>
      <c r="S148" s="17" t="s">
        <v>649</v>
      </c>
      <c r="T148" s="17" t="s">
        <v>566</v>
      </c>
      <c r="U148" s="17" t="s">
        <v>649</v>
      </c>
      <c r="V148" s="17" t="s">
        <v>566</v>
      </c>
      <c r="Y148" s="17" t="s">
        <v>164</v>
      </c>
      <c r="Z148" s="17" t="s">
        <v>165</v>
      </c>
      <c r="AA148" s="17" t="s">
        <v>166</v>
      </c>
      <c r="AB148" s="17" t="s">
        <v>167</v>
      </c>
      <c r="AC148" s="17" t="s">
        <v>168</v>
      </c>
      <c r="AF148" s="15" t="s">
        <v>550</v>
      </c>
      <c r="AG148" s="17" t="s">
        <v>567</v>
      </c>
      <c r="AH148" s="17" t="s">
        <v>563</v>
      </c>
      <c r="AI148" s="17" t="s">
        <v>566</v>
      </c>
      <c r="AJ148" s="17" t="s">
        <v>641</v>
      </c>
      <c r="AK148" s="17" t="s">
        <v>566</v>
      </c>
      <c r="AM148" t="s">
        <v>544</v>
      </c>
      <c r="AN148" s="17" t="s">
        <v>155</v>
      </c>
      <c r="AO148" s="17" t="s">
        <v>102</v>
      </c>
      <c r="AP148" s="17" t="s">
        <v>155</v>
      </c>
      <c r="AQ148" s="17" t="s">
        <v>155</v>
      </c>
      <c r="AR148" s="17" t="s">
        <v>155</v>
      </c>
      <c r="AU148" s="15" t="s">
        <v>550</v>
      </c>
      <c r="AV148" s="17" t="s">
        <v>692</v>
      </c>
      <c r="AW148" s="17" t="s">
        <v>649</v>
      </c>
      <c r="AX148" s="17" t="s">
        <v>566</v>
      </c>
      <c r="AY148" s="17" t="s">
        <v>649</v>
      </c>
      <c r="AZ148" s="17" t="s">
        <v>566</v>
      </c>
      <c r="BB148" t="s">
        <v>555</v>
      </c>
      <c r="BC148" s="17" t="s">
        <v>155</v>
      </c>
      <c r="BD148" s="17" t="s">
        <v>658</v>
      </c>
      <c r="BE148" s="17" t="s">
        <v>155</v>
      </c>
      <c r="BF148" s="17" t="s">
        <v>155</v>
      </c>
      <c r="BG148" s="17" t="s">
        <v>155</v>
      </c>
    </row>
    <row r="149" spans="17:59" x14ac:dyDescent="0.3">
      <c r="Q149" s="15" t="s">
        <v>158</v>
      </c>
      <c r="R149" s="17" t="s">
        <v>567</v>
      </c>
      <c r="S149" s="17" t="s">
        <v>649</v>
      </c>
      <c r="T149" s="17" t="s">
        <v>567</v>
      </c>
      <c r="U149" s="17" t="s">
        <v>649</v>
      </c>
      <c r="V149" s="17" t="s">
        <v>692</v>
      </c>
      <c r="X149" t="s">
        <v>555</v>
      </c>
      <c r="Y149" s="17" t="s">
        <v>155</v>
      </c>
      <c r="Z149" s="17" t="s">
        <v>658</v>
      </c>
      <c r="AA149" s="17" t="s">
        <v>155</v>
      </c>
      <c r="AB149" s="17" t="s">
        <v>155</v>
      </c>
      <c r="AC149" s="17" t="s">
        <v>155</v>
      </c>
      <c r="AF149" s="15" t="s">
        <v>158</v>
      </c>
      <c r="AG149" s="17" t="s">
        <v>567</v>
      </c>
      <c r="AH149" s="17" t="s">
        <v>563</v>
      </c>
      <c r="AI149" s="17" t="s">
        <v>567</v>
      </c>
      <c r="AJ149" s="17" t="s">
        <v>641</v>
      </c>
      <c r="AK149" s="17" t="s">
        <v>692</v>
      </c>
      <c r="AU149" s="15" t="s">
        <v>158</v>
      </c>
      <c r="AV149" s="17" t="s">
        <v>567</v>
      </c>
      <c r="AW149" s="17" t="s">
        <v>649</v>
      </c>
      <c r="AX149" s="17" t="s">
        <v>692</v>
      </c>
      <c r="AY149" s="17" t="s">
        <v>649</v>
      </c>
      <c r="AZ149" s="17" t="s">
        <v>567</v>
      </c>
      <c r="BB149" t="s">
        <v>556</v>
      </c>
      <c r="BC149" s="17" t="s">
        <v>155</v>
      </c>
      <c r="BD149" s="17" t="s">
        <v>658</v>
      </c>
      <c r="BE149" s="17" t="s">
        <v>155</v>
      </c>
      <c r="BF149" s="17" t="s">
        <v>155</v>
      </c>
      <c r="BG149" s="17" t="s">
        <v>155</v>
      </c>
    </row>
    <row r="150" spans="17:59" x14ac:dyDescent="0.3">
      <c r="Q150" s="15" t="s">
        <v>159</v>
      </c>
      <c r="R150" s="17" t="s">
        <v>567</v>
      </c>
      <c r="S150" s="17" t="s">
        <v>563</v>
      </c>
      <c r="T150" s="17" t="s">
        <v>567</v>
      </c>
      <c r="U150" s="17" t="s">
        <v>563</v>
      </c>
      <c r="V150" s="17" t="s">
        <v>692</v>
      </c>
      <c r="X150" t="s">
        <v>556</v>
      </c>
      <c r="Y150" s="17" t="s">
        <v>155</v>
      </c>
      <c r="Z150" s="17" t="s">
        <v>658</v>
      </c>
      <c r="AA150" s="17" t="s">
        <v>155</v>
      </c>
      <c r="AB150" s="17" t="s">
        <v>155</v>
      </c>
      <c r="AC150" s="17" t="s">
        <v>155</v>
      </c>
      <c r="AF150" s="15" t="s">
        <v>159</v>
      </c>
      <c r="AG150" s="17" t="s">
        <v>567</v>
      </c>
      <c r="AH150" s="17" t="s">
        <v>641</v>
      </c>
      <c r="AI150" s="17" t="s">
        <v>567</v>
      </c>
      <c r="AJ150" s="17" t="s">
        <v>155</v>
      </c>
      <c r="AK150" s="17" t="s">
        <v>692</v>
      </c>
      <c r="AM150" t="s">
        <v>824</v>
      </c>
      <c r="AU150" s="15" t="s">
        <v>159</v>
      </c>
      <c r="AV150" s="17" t="s">
        <v>567</v>
      </c>
      <c r="AW150" s="17" t="s">
        <v>563</v>
      </c>
      <c r="AX150" s="17" t="s">
        <v>692</v>
      </c>
      <c r="AY150" s="17" t="s">
        <v>563</v>
      </c>
      <c r="AZ150" s="17" t="s">
        <v>567</v>
      </c>
      <c r="BB150" t="s">
        <v>557</v>
      </c>
      <c r="BC150" s="17" t="s">
        <v>155</v>
      </c>
      <c r="BD150" s="17" t="s">
        <v>658</v>
      </c>
      <c r="BE150" s="17" t="s">
        <v>155</v>
      </c>
      <c r="BF150" s="17" t="s">
        <v>155</v>
      </c>
      <c r="BG150" s="17" t="s">
        <v>155</v>
      </c>
    </row>
    <row r="151" spans="17:59" x14ac:dyDescent="0.3">
      <c r="Q151" s="15" t="s">
        <v>160</v>
      </c>
      <c r="R151" s="17" t="s">
        <v>155</v>
      </c>
      <c r="S151" s="17" t="s">
        <v>563</v>
      </c>
      <c r="T151" s="17" t="s">
        <v>567</v>
      </c>
      <c r="U151" s="17" t="s">
        <v>155</v>
      </c>
      <c r="V151" s="17" t="s">
        <v>155</v>
      </c>
      <c r="X151" t="s">
        <v>557</v>
      </c>
      <c r="Y151" s="17" t="s">
        <v>155</v>
      </c>
      <c r="Z151" s="17" t="s">
        <v>658</v>
      </c>
      <c r="AA151" s="17" t="s">
        <v>155</v>
      </c>
      <c r="AB151" s="17" t="s">
        <v>155</v>
      </c>
      <c r="AC151" s="17" t="s">
        <v>155</v>
      </c>
      <c r="AF151" s="15" t="s">
        <v>160</v>
      </c>
      <c r="AG151" s="17" t="s">
        <v>155</v>
      </c>
      <c r="AH151" s="17" t="s">
        <v>641</v>
      </c>
      <c r="AI151" s="17" t="s">
        <v>567</v>
      </c>
      <c r="AJ151" s="17" t="s">
        <v>155</v>
      </c>
      <c r="AK151" s="17" t="s">
        <v>563</v>
      </c>
      <c r="AN151" s="17" t="s">
        <v>164</v>
      </c>
      <c r="AO151" s="17" t="s">
        <v>165</v>
      </c>
      <c r="AP151" s="17" t="s">
        <v>166</v>
      </c>
      <c r="AQ151" s="17" t="s">
        <v>167</v>
      </c>
      <c r="AR151" s="17" t="s">
        <v>168</v>
      </c>
      <c r="AU151" s="15" t="s">
        <v>160</v>
      </c>
      <c r="AV151" s="17" t="s">
        <v>567</v>
      </c>
      <c r="AW151" s="17" t="s">
        <v>563</v>
      </c>
      <c r="AX151" s="17" t="s">
        <v>155</v>
      </c>
      <c r="AY151" s="17" t="s">
        <v>155</v>
      </c>
      <c r="AZ151" s="17" t="s">
        <v>567</v>
      </c>
      <c r="BB151" t="s">
        <v>542</v>
      </c>
      <c r="BC151" s="17" t="s">
        <v>155</v>
      </c>
      <c r="BD151" s="17" t="s">
        <v>658</v>
      </c>
      <c r="BE151" s="17" t="s">
        <v>155</v>
      </c>
      <c r="BF151" s="17" t="s">
        <v>155</v>
      </c>
      <c r="BG151" s="17" t="s">
        <v>155</v>
      </c>
    </row>
    <row r="152" spans="17:59" x14ac:dyDescent="0.3">
      <c r="X152" t="s">
        <v>542</v>
      </c>
      <c r="Y152" s="17" t="s">
        <v>155</v>
      </c>
      <c r="Z152" s="17" t="s">
        <v>658</v>
      </c>
      <c r="AA152" s="17" t="s">
        <v>155</v>
      </c>
      <c r="AB152" s="17" t="s">
        <v>155</v>
      </c>
      <c r="AC152" s="17" t="s">
        <v>155</v>
      </c>
      <c r="AM152" t="s">
        <v>556</v>
      </c>
      <c r="AN152" s="17" t="s">
        <v>155</v>
      </c>
      <c r="AO152" s="17" t="s">
        <v>658</v>
      </c>
      <c r="AP152" s="17" t="s">
        <v>155</v>
      </c>
      <c r="AQ152" s="17" t="s">
        <v>155</v>
      </c>
      <c r="AR152" s="17" t="s">
        <v>155</v>
      </c>
    </row>
    <row r="153" spans="17:59" x14ac:dyDescent="0.3">
      <c r="Q153" s="15" t="s">
        <v>637</v>
      </c>
      <c r="AF153" s="15" t="s">
        <v>637</v>
      </c>
      <c r="AM153" t="s">
        <v>557</v>
      </c>
      <c r="AN153" s="17" t="s">
        <v>155</v>
      </c>
      <c r="AO153" s="17" t="s">
        <v>658</v>
      </c>
      <c r="AP153" s="17" t="s">
        <v>155</v>
      </c>
      <c r="AQ153" s="17" t="s">
        <v>155</v>
      </c>
      <c r="AR153" s="17" t="s">
        <v>155</v>
      </c>
      <c r="AU153" s="15" t="s">
        <v>637</v>
      </c>
      <c r="BB153" t="s">
        <v>695</v>
      </c>
    </row>
    <row r="154" spans="17:59" x14ac:dyDescent="0.3">
      <c r="R154" s="17" t="s">
        <v>164</v>
      </c>
      <c r="S154" s="17" t="s">
        <v>165</v>
      </c>
      <c r="T154" s="17" t="s">
        <v>166</v>
      </c>
      <c r="U154" s="17" t="s">
        <v>167</v>
      </c>
      <c r="V154" s="17" t="s">
        <v>168</v>
      </c>
      <c r="X154" t="s">
        <v>695</v>
      </c>
      <c r="AG154" s="17" t="s">
        <v>164</v>
      </c>
      <c r="AH154" s="17" t="s">
        <v>165</v>
      </c>
      <c r="AI154" s="17" t="s">
        <v>166</v>
      </c>
      <c r="AJ154" s="17" t="s">
        <v>167</v>
      </c>
      <c r="AK154" s="17" t="s">
        <v>168</v>
      </c>
      <c r="AM154" t="s">
        <v>542</v>
      </c>
      <c r="AN154" s="17" t="s">
        <v>155</v>
      </c>
      <c r="AO154" s="17" t="s">
        <v>658</v>
      </c>
      <c r="AP154" s="17" t="s">
        <v>155</v>
      </c>
      <c r="AQ154" s="17" t="s">
        <v>155</v>
      </c>
      <c r="AR154" s="17" t="s">
        <v>155</v>
      </c>
      <c r="AV154" s="17" t="s">
        <v>164</v>
      </c>
      <c r="AW154" s="17" t="s">
        <v>165</v>
      </c>
      <c r="AX154" s="17" t="s">
        <v>166</v>
      </c>
      <c r="AY154" s="17" t="s">
        <v>167</v>
      </c>
      <c r="AZ154" s="17" t="s">
        <v>168</v>
      </c>
      <c r="BC154" s="17" t="s">
        <v>164</v>
      </c>
      <c r="BD154" s="17" t="s">
        <v>165</v>
      </c>
      <c r="BE154" s="17" t="s">
        <v>166</v>
      </c>
      <c r="BF154" s="17" t="s">
        <v>167</v>
      </c>
      <c r="BG154" s="17" t="s">
        <v>168</v>
      </c>
    </row>
    <row r="155" spans="17:59" x14ac:dyDescent="0.3">
      <c r="Q155" s="15" t="s">
        <v>548</v>
      </c>
      <c r="R155" s="17" t="s">
        <v>638</v>
      </c>
      <c r="S155" s="17" t="s">
        <v>639</v>
      </c>
      <c r="T155" s="17" t="s">
        <v>640</v>
      </c>
      <c r="U155" s="17" t="s">
        <v>639</v>
      </c>
      <c r="V155" s="17" t="s">
        <v>638</v>
      </c>
      <c r="Y155" s="17" t="s">
        <v>164</v>
      </c>
      <c r="Z155" s="17" t="s">
        <v>165</v>
      </c>
      <c r="AA155" s="17" t="s">
        <v>166</v>
      </c>
      <c r="AB155" s="17" t="s">
        <v>167</v>
      </c>
      <c r="AC155" s="17" t="s">
        <v>168</v>
      </c>
      <c r="AF155" s="15" t="s">
        <v>548</v>
      </c>
      <c r="AG155" s="17" t="s">
        <v>638</v>
      </c>
      <c r="AH155" s="17" t="s">
        <v>639</v>
      </c>
      <c r="AI155" s="17" t="s">
        <v>155</v>
      </c>
      <c r="AJ155" s="17" t="s">
        <v>639</v>
      </c>
      <c r="AK155" s="17" t="s">
        <v>638</v>
      </c>
      <c r="AM155" t="s">
        <v>543</v>
      </c>
      <c r="AN155" s="17" t="s">
        <v>155</v>
      </c>
      <c r="AO155" s="17" t="s">
        <v>658</v>
      </c>
      <c r="AP155" s="17" t="s">
        <v>155</v>
      </c>
      <c r="AQ155" s="17" t="s">
        <v>155</v>
      </c>
      <c r="AR155" s="17" t="s">
        <v>155</v>
      </c>
      <c r="AU155" s="15" t="s">
        <v>548</v>
      </c>
      <c r="AV155" s="17" t="s">
        <v>563</v>
      </c>
      <c r="AW155" s="17" t="s">
        <v>639</v>
      </c>
      <c r="AX155" s="17" t="s">
        <v>646</v>
      </c>
      <c r="AY155" s="17" t="s">
        <v>639</v>
      </c>
      <c r="AZ155" s="17" t="s">
        <v>640</v>
      </c>
      <c r="BB155" t="s">
        <v>550</v>
      </c>
      <c r="BC155" s="17" t="s">
        <v>155</v>
      </c>
      <c r="BD155" s="17" t="s">
        <v>155</v>
      </c>
      <c r="BE155" s="17" t="s">
        <v>155</v>
      </c>
      <c r="BF155" s="17" t="s">
        <v>155</v>
      </c>
      <c r="BG155" s="17" t="s">
        <v>6</v>
      </c>
    </row>
    <row r="156" spans="17:59" x14ac:dyDescent="0.3">
      <c r="Q156" s="15" t="s">
        <v>549</v>
      </c>
      <c r="R156" s="17" t="s">
        <v>638</v>
      </c>
      <c r="S156" s="17" t="s">
        <v>639</v>
      </c>
      <c r="T156" s="17" t="s">
        <v>640</v>
      </c>
      <c r="U156" s="17" t="s">
        <v>639</v>
      </c>
      <c r="V156" s="17" t="s">
        <v>638</v>
      </c>
      <c r="X156" t="s">
        <v>550</v>
      </c>
      <c r="Y156" s="17" t="s">
        <v>155</v>
      </c>
      <c r="Z156" s="17" t="s">
        <v>155</v>
      </c>
      <c r="AA156" s="17" t="s">
        <v>155</v>
      </c>
      <c r="AB156" s="17" t="s">
        <v>155</v>
      </c>
      <c r="AC156" s="17" t="s">
        <v>6</v>
      </c>
      <c r="AF156" s="15" t="s">
        <v>549</v>
      </c>
      <c r="AG156" s="17" t="s">
        <v>638</v>
      </c>
      <c r="AH156" s="17" t="s">
        <v>639</v>
      </c>
      <c r="AI156" s="17" t="s">
        <v>640</v>
      </c>
      <c r="AJ156" s="17" t="s">
        <v>639</v>
      </c>
      <c r="AK156" s="17" t="s">
        <v>638</v>
      </c>
      <c r="AU156" s="15" t="s">
        <v>549</v>
      </c>
      <c r="AV156" s="17" t="s">
        <v>646</v>
      </c>
      <c r="AW156" s="17" t="s">
        <v>639</v>
      </c>
      <c r="AX156" s="17" t="s">
        <v>646</v>
      </c>
      <c r="AY156" s="17" t="s">
        <v>639</v>
      </c>
      <c r="AZ156" s="17" t="s">
        <v>640</v>
      </c>
      <c r="BB156" t="s">
        <v>158</v>
      </c>
      <c r="BC156" s="17" t="s">
        <v>155</v>
      </c>
      <c r="BD156" s="17" t="s">
        <v>155</v>
      </c>
      <c r="BE156" s="17" t="s">
        <v>6</v>
      </c>
      <c r="BF156" s="17" t="s">
        <v>155</v>
      </c>
      <c r="BG156" s="17" t="s">
        <v>6</v>
      </c>
    </row>
    <row r="157" spans="17:59" x14ac:dyDescent="0.3">
      <c r="Q157" s="15" t="s">
        <v>550</v>
      </c>
      <c r="R157" s="17" t="s">
        <v>567</v>
      </c>
      <c r="S157" s="17" t="s">
        <v>563</v>
      </c>
      <c r="T157" s="17" t="s">
        <v>640</v>
      </c>
      <c r="U157" s="17" t="s">
        <v>639</v>
      </c>
      <c r="V157" s="17" t="s">
        <v>640</v>
      </c>
      <c r="X157" t="s">
        <v>158</v>
      </c>
      <c r="Y157" s="17" t="s">
        <v>155</v>
      </c>
      <c r="Z157" s="17" t="s">
        <v>155</v>
      </c>
      <c r="AA157" s="17" t="s">
        <v>6</v>
      </c>
      <c r="AB157" s="17" t="s">
        <v>155</v>
      </c>
      <c r="AC157" s="17" t="s">
        <v>6</v>
      </c>
      <c r="AF157" s="15" t="s">
        <v>550</v>
      </c>
      <c r="AG157" s="17" t="s">
        <v>567</v>
      </c>
      <c r="AH157" s="17" t="s">
        <v>649</v>
      </c>
      <c r="AI157" s="17" t="s">
        <v>640</v>
      </c>
      <c r="AJ157" s="17" t="s">
        <v>639</v>
      </c>
      <c r="AK157" s="17" t="s">
        <v>563</v>
      </c>
      <c r="AM157" t="s">
        <v>695</v>
      </c>
      <c r="AU157" s="15" t="s">
        <v>550</v>
      </c>
      <c r="AV157" s="17" t="s">
        <v>646</v>
      </c>
      <c r="AW157" s="17" t="s">
        <v>641</v>
      </c>
      <c r="AX157" s="17" t="s">
        <v>563</v>
      </c>
      <c r="AY157" s="17" t="s">
        <v>639</v>
      </c>
      <c r="AZ157" s="17" t="s">
        <v>640</v>
      </c>
      <c r="BB157" t="s">
        <v>159</v>
      </c>
      <c r="BC157" s="17" t="s">
        <v>155</v>
      </c>
      <c r="BD157" s="17" t="s">
        <v>155</v>
      </c>
      <c r="BE157" s="17" t="s">
        <v>6</v>
      </c>
      <c r="BF157" s="17" t="s">
        <v>155</v>
      </c>
      <c r="BG157" s="17" t="s">
        <v>155</v>
      </c>
    </row>
    <row r="158" spans="17:59" x14ac:dyDescent="0.3">
      <c r="Q158" s="15" t="s">
        <v>158</v>
      </c>
      <c r="R158" s="17" t="s">
        <v>567</v>
      </c>
      <c r="S158" s="17" t="s">
        <v>563</v>
      </c>
      <c r="T158" s="17" t="s">
        <v>567</v>
      </c>
      <c r="U158" s="17" t="s">
        <v>641</v>
      </c>
      <c r="V158" s="17" t="s">
        <v>640</v>
      </c>
      <c r="X158" t="s">
        <v>159</v>
      </c>
      <c r="Y158" s="17" t="s">
        <v>155</v>
      </c>
      <c r="Z158" s="17" t="s">
        <v>155</v>
      </c>
      <c r="AA158" s="17" t="s">
        <v>6</v>
      </c>
      <c r="AB158" s="17" t="s">
        <v>155</v>
      </c>
      <c r="AC158" s="17" t="s">
        <v>155</v>
      </c>
      <c r="AF158" s="15" t="s">
        <v>158</v>
      </c>
      <c r="AG158" s="17" t="s">
        <v>567</v>
      </c>
      <c r="AH158" s="17" t="s">
        <v>649</v>
      </c>
      <c r="AI158" s="17" t="s">
        <v>567</v>
      </c>
      <c r="AJ158" s="17" t="s">
        <v>649</v>
      </c>
      <c r="AK158" s="17" t="s">
        <v>640</v>
      </c>
      <c r="AN158" s="17" t="s">
        <v>164</v>
      </c>
      <c r="AO158" s="17" t="s">
        <v>165</v>
      </c>
      <c r="AP158" s="17" t="s">
        <v>166</v>
      </c>
      <c r="AQ158" s="17" t="s">
        <v>167</v>
      </c>
      <c r="AR158" s="17" t="s">
        <v>168</v>
      </c>
      <c r="AU158" s="15" t="s">
        <v>158</v>
      </c>
      <c r="AV158" s="17" t="s">
        <v>567</v>
      </c>
      <c r="AW158" s="17" t="s">
        <v>641</v>
      </c>
      <c r="AX158" s="17" t="s">
        <v>563</v>
      </c>
      <c r="AY158" s="17" t="s">
        <v>641</v>
      </c>
      <c r="AZ158" s="17" t="s">
        <v>567</v>
      </c>
      <c r="BB158" t="s">
        <v>160</v>
      </c>
      <c r="BC158" s="17" t="s">
        <v>155</v>
      </c>
      <c r="BD158" s="17" t="s">
        <v>155</v>
      </c>
      <c r="BE158" s="17" t="s">
        <v>6</v>
      </c>
      <c r="BF158" s="17" t="s">
        <v>155</v>
      </c>
      <c r="BG158" s="17" t="s">
        <v>155</v>
      </c>
    </row>
    <row r="159" spans="17:59" x14ac:dyDescent="0.3">
      <c r="Q159" s="15" t="s">
        <v>159</v>
      </c>
      <c r="R159" s="17" t="s">
        <v>567</v>
      </c>
      <c r="S159" s="17" t="s">
        <v>641</v>
      </c>
      <c r="T159" s="17" t="s">
        <v>567</v>
      </c>
      <c r="U159" s="17" t="s">
        <v>641</v>
      </c>
      <c r="V159" s="17" t="s">
        <v>155</v>
      </c>
      <c r="X159" t="s">
        <v>160</v>
      </c>
      <c r="Y159" s="17" t="s">
        <v>155</v>
      </c>
      <c r="Z159" s="17" t="s">
        <v>155</v>
      </c>
      <c r="AA159" s="17" t="s">
        <v>6</v>
      </c>
      <c r="AB159" s="17" t="s">
        <v>155</v>
      </c>
      <c r="AC159" s="17" t="s">
        <v>155</v>
      </c>
      <c r="AF159" s="15" t="s">
        <v>159</v>
      </c>
      <c r="AG159" s="17" t="s">
        <v>567</v>
      </c>
      <c r="AH159" s="17" t="s">
        <v>563</v>
      </c>
      <c r="AI159" s="17" t="s">
        <v>567</v>
      </c>
      <c r="AJ159" s="17" t="s">
        <v>649</v>
      </c>
      <c r="AK159" s="17" t="s">
        <v>640</v>
      </c>
      <c r="AM159" t="s">
        <v>550</v>
      </c>
      <c r="AN159" s="17" t="s">
        <v>155</v>
      </c>
      <c r="AO159" s="17" t="s">
        <v>155</v>
      </c>
      <c r="AP159" s="17" t="s">
        <v>155</v>
      </c>
      <c r="AQ159" s="17" t="s">
        <v>155</v>
      </c>
      <c r="AR159" s="17" t="s">
        <v>6</v>
      </c>
      <c r="AU159" s="15" t="s">
        <v>159</v>
      </c>
      <c r="AV159" s="17" t="s">
        <v>567</v>
      </c>
      <c r="AW159" s="17" t="s">
        <v>155</v>
      </c>
      <c r="AX159" s="17" t="s">
        <v>640</v>
      </c>
      <c r="AY159" s="17" t="s">
        <v>641</v>
      </c>
      <c r="AZ159" s="17" t="s">
        <v>567</v>
      </c>
      <c r="BB159" t="s">
        <v>542</v>
      </c>
      <c r="BC159" s="17" t="s">
        <v>155</v>
      </c>
      <c r="BD159" s="17" t="s">
        <v>155</v>
      </c>
      <c r="BE159" s="17" t="s">
        <v>241</v>
      </c>
      <c r="BF159" s="17" t="s">
        <v>155</v>
      </c>
      <c r="BG159" s="17" t="s">
        <v>241</v>
      </c>
    </row>
    <row r="160" spans="17:59" x14ac:dyDescent="0.3">
      <c r="Q160" s="15" t="s">
        <v>160</v>
      </c>
      <c r="R160" s="17" t="s">
        <v>155</v>
      </c>
      <c r="S160" s="17" t="s">
        <v>641</v>
      </c>
      <c r="T160" s="17" t="s">
        <v>567</v>
      </c>
      <c r="U160" s="17" t="s">
        <v>563</v>
      </c>
      <c r="V160" s="17" t="s">
        <v>155</v>
      </c>
      <c r="X160" t="s">
        <v>542</v>
      </c>
      <c r="Y160" s="17" t="s">
        <v>155</v>
      </c>
      <c r="Z160" s="17" t="s">
        <v>155</v>
      </c>
      <c r="AA160" s="17" t="s">
        <v>241</v>
      </c>
      <c r="AB160" s="17" t="s">
        <v>155</v>
      </c>
      <c r="AC160" s="17" t="s">
        <v>241</v>
      </c>
      <c r="AF160" s="15" t="s">
        <v>160</v>
      </c>
      <c r="AG160" s="17" t="s">
        <v>155</v>
      </c>
      <c r="AH160" s="17" t="s">
        <v>563</v>
      </c>
      <c r="AI160" s="17" t="s">
        <v>567</v>
      </c>
      <c r="AJ160" s="17" t="s">
        <v>155</v>
      </c>
      <c r="AK160" s="17" t="s">
        <v>640</v>
      </c>
      <c r="AM160" t="s">
        <v>158</v>
      </c>
      <c r="AN160" s="17" t="s">
        <v>155</v>
      </c>
      <c r="AO160" s="17" t="s">
        <v>155</v>
      </c>
      <c r="AP160" s="17" t="s">
        <v>6</v>
      </c>
      <c r="AQ160" s="17" t="s">
        <v>155</v>
      </c>
      <c r="AR160" s="17" t="s">
        <v>6</v>
      </c>
      <c r="AU160" s="15" t="s">
        <v>160</v>
      </c>
      <c r="AV160" s="17" t="s">
        <v>567</v>
      </c>
      <c r="AW160" s="17" t="s">
        <v>155</v>
      </c>
      <c r="AX160" s="17" t="s">
        <v>640</v>
      </c>
      <c r="AY160" s="17" t="s">
        <v>155</v>
      </c>
      <c r="AZ160" s="17" t="s">
        <v>567</v>
      </c>
      <c r="BB160" t="s">
        <v>543</v>
      </c>
      <c r="BC160" s="17" t="s">
        <v>155</v>
      </c>
      <c r="BD160" s="17" t="s">
        <v>155</v>
      </c>
      <c r="BE160" s="17" t="s">
        <v>241</v>
      </c>
      <c r="BF160" s="17" t="s">
        <v>155</v>
      </c>
      <c r="BG160" s="17" t="s">
        <v>241</v>
      </c>
    </row>
    <row r="161" spans="17:59" x14ac:dyDescent="0.3">
      <c r="X161" t="s">
        <v>543</v>
      </c>
      <c r="Y161" s="17" t="s">
        <v>155</v>
      </c>
      <c r="Z161" s="17" t="s">
        <v>155</v>
      </c>
      <c r="AA161" s="17" t="s">
        <v>241</v>
      </c>
      <c r="AB161" s="17" t="s">
        <v>155</v>
      </c>
      <c r="AC161" s="17" t="s">
        <v>241</v>
      </c>
      <c r="AM161" t="s">
        <v>159</v>
      </c>
      <c r="AN161" s="17" t="s">
        <v>155</v>
      </c>
      <c r="AO161" s="17" t="s">
        <v>155</v>
      </c>
      <c r="AP161" s="17" t="s">
        <v>6</v>
      </c>
      <c r="AQ161" s="17" t="s">
        <v>155</v>
      </c>
      <c r="AR161" s="17" t="s">
        <v>155</v>
      </c>
      <c r="BB161" t="s">
        <v>544</v>
      </c>
      <c r="BC161" s="17" t="s">
        <v>155</v>
      </c>
      <c r="BD161" s="17" t="s">
        <v>155</v>
      </c>
      <c r="BE161" s="17" t="s">
        <v>241</v>
      </c>
      <c r="BF161" s="17" t="s">
        <v>155</v>
      </c>
      <c r="BG161" s="17" t="s">
        <v>241</v>
      </c>
    </row>
    <row r="162" spans="17:59" x14ac:dyDescent="0.3">
      <c r="Q162" s="15" t="s">
        <v>642</v>
      </c>
      <c r="X162" t="s">
        <v>544</v>
      </c>
      <c r="Y162" s="17" t="s">
        <v>155</v>
      </c>
      <c r="Z162" s="17" t="s">
        <v>155</v>
      </c>
      <c r="AA162" s="17" t="s">
        <v>241</v>
      </c>
      <c r="AB162" s="17" t="s">
        <v>155</v>
      </c>
      <c r="AC162" s="17" t="s">
        <v>241</v>
      </c>
      <c r="AF162" s="15" t="s">
        <v>642</v>
      </c>
      <c r="AM162" t="s">
        <v>160</v>
      </c>
      <c r="AN162" s="17" t="s">
        <v>155</v>
      </c>
      <c r="AO162" s="17" t="s">
        <v>155</v>
      </c>
      <c r="AP162" s="17" t="s">
        <v>6</v>
      </c>
      <c r="AQ162" s="17" t="s">
        <v>155</v>
      </c>
      <c r="AR162" s="17" t="s">
        <v>155</v>
      </c>
      <c r="AU162" s="15" t="s">
        <v>642</v>
      </c>
    </row>
    <row r="163" spans="17:59" x14ac:dyDescent="0.3">
      <c r="R163" s="17" t="s">
        <v>164</v>
      </c>
      <c r="S163" s="17" t="s">
        <v>165</v>
      </c>
      <c r="T163" s="17" t="s">
        <v>166</v>
      </c>
      <c r="U163" s="17" t="s">
        <v>167</v>
      </c>
      <c r="V163" s="17" t="s">
        <v>168</v>
      </c>
      <c r="AG163" s="17" t="s">
        <v>164</v>
      </c>
      <c r="AH163" s="17" t="s">
        <v>165</v>
      </c>
      <c r="AI163" s="17" t="s">
        <v>166</v>
      </c>
      <c r="AJ163" s="17" t="s">
        <v>167</v>
      </c>
      <c r="AK163" s="17" t="s">
        <v>168</v>
      </c>
      <c r="AM163" t="s">
        <v>542</v>
      </c>
      <c r="AN163" s="17" t="s">
        <v>155</v>
      </c>
      <c r="AO163" s="17" t="s">
        <v>155</v>
      </c>
      <c r="AP163" s="17" t="s">
        <v>241</v>
      </c>
      <c r="AQ163" s="17" t="s">
        <v>155</v>
      </c>
      <c r="AR163" s="17" t="s">
        <v>241</v>
      </c>
      <c r="AV163" s="17" t="s">
        <v>164</v>
      </c>
      <c r="AW163" s="17" t="s">
        <v>165</v>
      </c>
      <c r="AX163" s="17" t="s">
        <v>166</v>
      </c>
      <c r="AY163" s="17" t="s">
        <v>167</v>
      </c>
      <c r="AZ163" s="17" t="s">
        <v>168</v>
      </c>
      <c r="BB163" t="s">
        <v>748</v>
      </c>
    </row>
    <row r="164" spans="17:59" x14ac:dyDescent="0.3">
      <c r="Q164" s="15" t="s">
        <v>548</v>
      </c>
      <c r="R164" s="17" t="s">
        <v>638</v>
      </c>
      <c r="S164" s="17" t="s">
        <v>647</v>
      </c>
      <c r="T164" s="17" t="s">
        <v>640</v>
      </c>
      <c r="U164" s="17" t="s">
        <v>647</v>
      </c>
      <c r="V164" s="17" t="s">
        <v>638</v>
      </c>
      <c r="X164" t="s">
        <v>748</v>
      </c>
      <c r="AF164" s="15" t="s">
        <v>548</v>
      </c>
      <c r="AG164" s="17" t="s">
        <v>638</v>
      </c>
      <c r="AH164" s="17" t="s">
        <v>647</v>
      </c>
      <c r="AI164" s="17" t="s">
        <v>155</v>
      </c>
      <c r="AJ164" s="17" t="s">
        <v>647</v>
      </c>
      <c r="AK164" s="17" t="s">
        <v>638</v>
      </c>
      <c r="AM164" t="s">
        <v>543</v>
      </c>
      <c r="AN164" s="17" t="s">
        <v>155</v>
      </c>
      <c r="AO164" s="17" t="s">
        <v>155</v>
      </c>
      <c r="AP164" s="17" t="s">
        <v>241</v>
      </c>
      <c r="AQ164" s="17" t="s">
        <v>155</v>
      </c>
      <c r="AR164" s="17" t="s">
        <v>241</v>
      </c>
      <c r="AU164" s="15" t="s">
        <v>548</v>
      </c>
      <c r="AV164" s="17" t="s">
        <v>563</v>
      </c>
      <c r="AW164" s="17" t="s">
        <v>647</v>
      </c>
      <c r="AX164" s="17" t="s">
        <v>646</v>
      </c>
      <c r="AY164" s="17" t="s">
        <v>647</v>
      </c>
      <c r="AZ164" s="17" t="s">
        <v>640</v>
      </c>
      <c r="BC164" s="17" t="s">
        <v>164</v>
      </c>
      <c r="BD164" s="17" t="s">
        <v>165</v>
      </c>
      <c r="BE164" s="17" t="s">
        <v>166</v>
      </c>
      <c r="BF164" s="17" t="s">
        <v>167</v>
      </c>
      <c r="BG164" s="17" t="s">
        <v>168</v>
      </c>
    </row>
    <row r="165" spans="17:59" x14ac:dyDescent="0.3">
      <c r="Q165" s="15" t="s">
        <v>549</v>
      </c>
      <c r="R165" s="17" t="s">
        <v>638</v>
      </c>
      <c r="S165" s="17" t="s">
        <v>647</v>
      </c>
      <c r="T165" s="17" t="s">
        <v>640</v>
      </c>
      <c r="U165" s="17" t="s">
        <v>647</v>
      </c>
      <c r="V165" s="17" t="s">
        <v>638</v>
      </c>
      <c r="Y165" s="17" t="s">
        <v>164</v>
      </c>
      <c r="Z165" s="17" t="s">
        <v>165</v>
      </c>
      <c r="AA165" s="17" t="s">
        <v>166</v>
      </c>
      <c r="AB165" s="17" t="s">
        <v>167</v>
      </c>
      <c r="AC165" s="17" t="s">
        <v>168</v>
      </c>
      <c r="AF165" s="15" t="s">
        <v>549</v>
      </c>
      <c r="AG165" s="17" t="s">
        <v>638</v>
      </c>
      <c r="AH165" s="17" t="s">
        <v>647</v>
      </c>
      <c r="AI165" s="17" t="s">
        <v>640</v>
      </c>
      <c r="AJ165" s="17" t="s">
        <v>647</v>
      </c>
      <c r="AK165" s="17" t="s">
        <v>638</v>
      </c>
      <c r="AM165" t="s">
        <v>544</v>
      </c>
      <c r="AN165" s="17" t="s">
        <v>155</v>
      </c>
      <c r="AO165" s="17" t="s">
        <v>155</v>
      </c>
      <c r="AP165" s="17" t="s">
        <v>241</v>
      </c>
      <c r="AQ165" s="17" t="s">
        <v>155</v>
      </c>
      <c r="AR165" s="17" t="s">
        <v>241</v>
      </c>
      <c r="AU165" s="15" t="s">
        <v>549</v>
      </c>
      <c r="AV165" s="17" t="s">
        <v>646</v>
      </c>
      <c r="AW165" s="17" t="s">
        <v>647</v>
      </c>
      <c r="AX165" s="17" t="s">
        <v>646</v>
      </c>
      <c r="AY165" s="17" t="s">
        <v>647</v>
      </c>
      <c r="AZ165" s="17" t="s">
        <v>640</v>
      </c>
      <c r="BB165" t="s">
        <v>548</v>
      </c>
      <c r="BC165" s="17" t="s">
        <v>372</v>
      </c>
      <c r="BD165" s="17" t="s">
        <v>155</v>
      </c>
      <c r="BE165" s="17" t="s">
        <v>155</v>
      </c>
      <c r="BF165" s="17" t="s">
        <v>155</v>
      </c>
      <c r="BG165" s="17" t="s">
        <v>155</v>
      </c>
    </row>
    <row r="166" spans="17:59" x14ac:dyDescent="0.3">
      <c r="Q166" s="15" t="s">
        <v>550</v>
      </c>
      <c r="R166" s="17" t="s">
        <v>155</v>
      </c>
      <c r="S166" s="17" t="s">
        <v>563</v>
      </c>
      <c r="T166" s="17" t="s">
        <v>640</v>
      </c>
      <c r="U166" s="17" t="s">
        <v>647</v>
      </c>
      <c r="V166" s="17" t="s">
        <v>640</v>
      </c>
      <c r="X166" t="s">
        <v>548</v>
      </c>
      <c r="Y166" s="17" t="s">
        <v>372</v>
      </c>
      <c r="Z166" s="17" t="s">
        <v>155</v>
      </c>
      <c r="AA166" s="17" t="s">
        <v>155</v>
      </c>
      <c r="AB166" s="17" t="s">
        <v>155</v>
      </c>
      <c r="AC166" s="17" t="s">
        <v>155</v>
      </c>
      <c r="AF166" s="15" t="s">
        <v>550</v>
      </c>
      <c r="AG166" s="17" t="s">
        <v>693</v>
      </c>
      <c r="AH166" s="17" t="s">
        <v>649</v>
      </c>
      <c r="AI166" s="17" t="s">
        <v>640</v>
      </c>
      <c r="AJ166" s="17" t="s">
        <v>647</v>
      </c>
      <c r="AK166" s="17" t="s">
        <v>563</v>
      </c>
      <c r="AU166" s="15" t="s">
        <v>550</v>
      </c>
      <c r="AV166" s="17" t="s">
        <v>646</v>
      </c>
      <c r="AW166" s="17" t="s">
        <v>641</v>
      </c>
      <c r="AX166" s="17" t="s">
        <v>563</v>
      </c>
      <c r="AY166" s="17" t="s">
        <v>647</v>
      </c>
      <c r="AZ166" s="17" t="s">
        <v>640</v>
      </c>
      <c r="BB166" t="s">
        <v>549</v>
      </c>
      <c r="BC166" s="17" t="s">
        <v>372</v>
      </c>
      <c r="BD166" s="17" t="s">
        <v>155</v>
      </c>
      <c r="BE166" s="17" t="s">
        <v>155</v>
      </c>
      <c r="BF166" s="17" t="s">
        <v>155</v>
      </c>
      <c r="BG166" s="17" t="s">
        <v>155</v>
      </c>
    </row>
    <row r="167" spans="17:59" x14ac:dyDescent="0.3">
      <c r="Q167" s="15" t="s">
        <v>158</v>
      </c>
      <c r="R167" s="17" t="s">
        <v>155</v>
      </c>
      <c r="S167" s="17" t="s">
        <v>563</v>
      </c>
      <c r="T167" s="17" t="s">
        <v>693</v>
      </c>
      <c r="U167" s="17" t="s">
        <v>641</v>
      </c>
      <c r="V167" s="17" t="s">
        <v>640</v>
      </c>
      <c r="X167" t="s">
        <v>549</v>
      </c>
      <c r="Y167" s="17" t="s">
        <v>372</v>
      </c>
      <c r="Z167" s="17" t="s">
        <v>155</v>
      </c>
      <c r="AA167" s="17" t="s">
        <v>155</v>
      </c>
      <c r="AB167" s="17" t="s">
        <v>155</v>
      </c>
      <c r="AC167" s="17" t="s">
        <v>155</v>
      </c>
      <c r="AF167" s="15" t="s">
        <v>158</v>
      </c>
      <c r="AG167" s="17" t="s">
        <v>693</v>
      </c>
      <c r="AH167" s="17" t="s">
        <v>649</v>
      </c>
      <c r="AI167" s="17" t="s">
        <v>693</v>
      </c>
      <c r="AJ167" s="17" t="s">
        <v>649</v>
      </c>
      <c r="AK167" s="17" t="s">
        <v>640</v>
      </c>
      <c r="AM167" t="s">
        <v>748</v>
      </c>
      <c r="AU167" s="15" t="s">
        <v>158</v>
      </c>
      <c r="AV167" s="17" t="s">
        <v>155</v>
      </c>
      <c r="AW167" s="17" t="s">
        <v>641</v>
      </c>
      <c r="AX167" s="17" t="s">
        <v>563</v>
      </c>
      <c r="AY167" s="17" t="s">
        <v>641</v>
      </c>
      <c r="AZ167" s="17" t="s">
        <v>693</v>
      </c>
      <c r="BB167" t="s">
        <v>550</v>
      </c>
      <c r="BC167" s="17" t="s">
        <v>372</v>
      </c>
      <c r="BD167" s="17" t="s">
        <v>155</v>
      </c>
      <c r="BE167" s="17" t="s">
        <v>155</v>
      </c>
      <c r="BF167" s="17" t="s">
        <v>155</v>
      </c>
      <c r="BG167" s="17" t="s">
        <v>155</v>
      </c>
    </row>
    <row r="168" spans="17:59" x14ac:dyDescent="0.3">
      <c r="Q168" s="15" t="s">
        <v>159</v>
      </c>
      <c r="R168" s="17" t="s">
        <v>155</v>
      </c>
      <c r="S168" s="17" t="s">
        <v>641</v>
      </c>
      <c r="T168" s="17" t="s">
        <v>693</v>
      </c>
      <c r="U168" s="17" t="s">
        <v>641</v>
      </c>
      <c r="V168" s="17" t="s">
        <v>693</v>
      </c>
      <c r="X168" t="s">
        <v>550</v>
      </c>
      <c r="Y168" s="17" t="s">
        <v>372</v>
      </c>
      <c r="Z168" s="17" t="s">
        <v>155</v>
      </c>
      <c r="AA168" s="17" t="s">
        <v>155</v>
      </c>
      <c r="AB168" s="17" t="s">
        <v>155</v>
      </c>
      <c r="AC168" s="17" t="s">
        <v>155</v>
      </c>
      <c r="AF168" s="15" t="s">
        <v>159</v>
      </c>
      <c r="AG168" s="17" t="s">
        <v>155</v>
      </c>
      <c r="AH168" s="17" t="s">
        <v>563</v>
      </c>
      <c r="AI168" s="17" t="s">
        <v>693</v>
      </c>
      <c r="AJ168" s="17" t="s">
        <v>649</v>
      </c>
      <c r="AK168" s="17" t="s">
        <v>640</v>
      </c>
      <c r="AN168" s="17" t="s">
        <v>164</v>
      </c>
      <c r="AO168" s="17" t="s">
        <v>165</v>
      </c>
      <c r="AP168" s="17" t="s">
        <v>166</v>
      </c>
      <c r="AQ168" s="17" t="s">
        <v>167</v>
      </c>
      <c r="AR168" s="17" t="s">
        <v>168</v>
      </c>
      <c r="AU168" s="15" t="s">
        <v>159</v>
      </c>
      <c r="AV168" s="17" t="s">
        <v>155</v>
      </c>
      <c r="AW168" s="17" t="s">
        <v>693</v>
      </c>
      <c r="AX168" s="17" t="s">
        <v>640</v>
      </c>
      <c r="AY168" s="17" t="s">
        <v>641</v>
      </c>
      <c r="AZ168" s="17" t="s">
        <v>693</v>
      </c>
      <c r="BB168" t="s">
        <v>158</v>
      </c>
      <c r="BC168" s="17" t="s">
        <v>372</v>
      </c>
      <c r="BD168" s="17" t="s">
        <v>155</v>
      </c>
      <c r="BE168" s="17" t="s">
        <v>155</v>
      </c>
      <c r="BF168" s="17" t="s">
        <v>155</v>
      </c>
      <c r="BG168" s="17" t="s">
        <v>155</v>
      </c>
    </row>
    <row r="169" spans="17:59" x14ac:dyDescent="0.3">
      <c r="Q169" s="15" t="s">
        <v>160</v>
      </c>
      <c r="R169" s="17" t="s">
        <v>155</v>
      </c>
      <c r="S169" s="17" t="s">
        <v>641</v>
      </c>
      <c r="T169" s="17" t="s">
        <v>155</v>
      </c>
      <c r="U169" s="17" t="s">
        <v>563</v>
      </c>
      <c r="V169" s="17" t="s">
        <v>693</v>
      </c>
      <c r="X169" t="s">
        <v>158</v>
      </c>
      <c r="Y169" s="17" t="s">
        <v>372</v>
      </c>
      <c r="Z169" s="17" t="s">
        <v>155</v>
      </c>
      <c r="AA169" s="17" t="s">
        <v>155</v>
      </c>
      <c r="AB169" s="17" t="s">
        <v>155</v>
      </c>
      <c r="AC169" s="17" t="s">
        <v>155</v>
      </c>
      <c r="AF169" s="15" t="s">
        <v>160</v>
      </c>
      <c r="AG169" s="17" t="s">
        <v>155</v>
      </c>
      <c r="AH169" s="17" t="s">
        <v>563</v>
      </c>
      <c r="AI169" s="17" t="s">
        <v>155</v>
      </c>
      <c r="AJ169" s="17" t="s">
        <v>155</v>
      </c>
      <c r="AK169" s="17" t="s">
        <v>640</v>
      </c>
      <c r="AM169" t="s">
        <v>548</v>
      </c>
      <c r="AN169" s="17" t="s">
        <v>372</v>
      </c>
      <c r="AO169" s="17" t="s">
        <v>155</v>
      </c>
      <c r="AP169" s="17" t="s">
        <v>155</v>
      </c>
      <c r="AQ169" s="17" t="s">
        <v>155</v>
      </c>
      <c r="AR169" s="17" t="s">
        <v>155</v>
      </c>
      <c r="AU169" s="15" t="s">
        <v>160</v>
      </c>
      <c r="AV169" s="17" t="s">
        <v>155</v>
      </c>
      <c r="AW169" s="17" t="s">
        <v>693</v>
      </c>
      <c r="AX169" s="17" t="s">
        <v>640</v>
      </c>
      <c r="AY169" s="17" t="s">
        <v>155</v>
      </c>
      <c r="AZ169" s="17" t="s">
        <v>155</v>
      </c>
      <c r="BB169" t="s">
        <v>159</v>
      </c>
      <c r="BC169" s="17" t="s">
        <v>372</v>
      </c>
      <c r="BD169" s="17" t="s">
        <v>155</v>
      </c>
      <c r="BE169" s="17" t="s">
        <v>155</v>
      </c>
      <c r="BF169" s="17" t="s">
        <v>155</v>
      </c>
      <c r="BG169" s="17" t="s">
        <v>155</v>
      </c>
    </row>
    <row r="170" spans="17:59" x14ac:dyDescent="0.3">
      <c r="X170" t="s">
        <v>159</v>
      </c>
      <c r="Y170" s="17" t="s">
        <v>372</v>
      </c>
      <c r="Z170" s="17" t="s">
        <v>155</v>
      </c>
      <c r="AA170" s="17" t="s">
        <v>155</v>
      </c>
      <c r="AB170" s="17" t="s">
        <v>155</v>
      </c>
      <c r="AC170" s="17" t="s">
        <v>155</v>
      </c>
      <c r="AM170" t="s">
        <v>549</v>
      </c>
      <c r="AN170" s="17" t="s">
        <v>372</v>
      </c>
      <c r="AO170" s="17" t="s">
        <v>155</v>
      </c>
      <c r="AP170" s="17" t="s">
        <v>155</v>
      </c>
      <c r="AQ170" s="17" t="s">
        <v>155</v>
      </c>
      <c r="AR170" s="17" t="s">
        <v>155</v>
      </c>
      <c r="BB170" t="s">
        <v>160</v>
      </c>
      <c r="BC170" s="17" t="s">
        <v>372</v>
      </c>
      <c r="BD170" s="17" t="s">
        <v>155</v>
      </c>
      <c r="BE170" s="17" t="s">
        <v>155</v>
      </c>
      <c r="BF170" s="17" t="s">
        <v>155</v>
      </c>
      <c r="BG170" s="17" t="s">
        <v>155</v>
      </c>
    </row>
    <row r="171" spans="17:59" x14ac:dyDescent="0.3">
      <c r="Q171" s="15" t="s">
        <v>645</v>
      </c>
      <c r="X171" t="s">
        <v>160</v>
      </c>
      <c r="Y171" s="17" t="s">
        <v>372</v>
      </c>
      <c r="Z171" s="17" t="s">
        <v>155</v>
      </c>
      <c r="AA171" s="17" t="s">
        <v>155</v>
      </c>
      <c r="AB171" s="17" t="s">
        <v>155</v>
      </c>
      <c r="AC171" s="17" t="s">
        <v>155</v>
      </c>
      <c r="AF171" s="15" t="s">
        <v>645</v>
      </c>
      <c r="AM171" t="s">
        <v>550</v>
      </c>
      <c r="AN171" s="17" t="s">
        <v>372</v>
      </c>
      <c r="AO171" s="17" t="s">
        <v>155</v>
      </c>
      <c r="AP171" s="17" t="s">
        <v>155</v>
      </c>
      <c r="AQ171" s="17" t="s">
        <v>155</v>
      </c>
      <c r="AR171" s="17" t="s">
        <v>155</v>
      </c>
      <c r="AU171" s="15" t="s">
        <v>645</v>
      </c>
    </row>
    <row r="172" spans="17:59" x14ac:dyDescent="0.3">
      <c r="R172" s="17" t="s">
        <v>164</v>
      </c>
      <c r="S172" s="17" t="s">
        <v>165</v>
      </c>
      <c r="T172" s="17" t="s">
        <v>166</v>
      </c>
      <c r="U172" s="17" t="s">
        <v>167</v>
      </c>
      <c r="V172" s="17" t="s">
        <v>168</v>
      </c>
      <c r="AG172" s="17" t="s">
        <v>164</v>
      </c>
      <c r="AH172" s="17" t="s">
        <v>165</v>
      </c>
      <c r="AI172" s="17" t="s">
        <v>166</v>
      </c>
      <c r="AJ172" s="17" t="s">
        <v>167</v>
      </c>
      <c r="AK172" s="17" t="s">
        <v>168</v>
      </c>
      <c r="AM172" t="s">
        <v>158</v>
      </c>
      <c r="AN172" s="17" t="s">
        <v>372</v>
      </c>
      <c r="AO172" s="17" t="s">
        <v>155</v>
      </c>
      <c r="AP172" s="17" t="s">
        <v>155</v>
      </c>
      <c r="AQ172" s="17" t="s">
        <v>155</v>
      </c>
      <c r="AR172" s="17" t="s">
        <v>155</v>
      </c>
      <c r="AV172" s="17" t="s">
        <v>164</v>
      </c>
      <c r="AW172" s="17" t="s">
        <v>165</v>
      </c>
      <c r="AX172" s="17" t="s">
        <v>166</v>
      </c>
      <c r="AY172" s="17" t="s">
        <v>167</v>
      </c>
      <c r="AZ172" s="17" t="s">
        <v>168</v>
      </c>
      <c r="BB172" t="s">
        <v>825</v>
      </c>
    </row>
    <row r="173" spans="17:59" x14ac:dyDescent="0.3">
      <c r="Q173" s="15" t="s">
        <v>548</v>
      </c>
      <c r="R173" s="17" t="s">
        <v>643</v>
      </c>
      <c r="S173" s="17" t="s">
        <v>694</v>
      </c>
      <c r="T173" s="17" t="s">
        <v>646</v>
      </c>
      <c r="U173" s="17" t="s">
        <v>643</v>
      </c>
      <c r="V173" s="17" t="s">
        <v>155</v>
      </c>
      <c r="X173" t="s">
        <v>825</v>
      </c>
      <c r="AF173" s="15" t="s">
        <v>548</v>
      </c>
      <c r="AG173" s="17" t="s">
        <v>643</v>
      </c>
      <c r="AH173" s="17" t="s">
        <v>644</v>
      </c>
      <c r="AI173" s="17" t="s">
        <v>646</v>
      </c>
      <c r="AJ173" s="17" t="s">
        <v>643</v>
      </c>
      <c r="AK173" s="17" t="s">
        <v>155</v>
      </c>
      <c r="AM173" t="s">
        <v>159</v>
      </c>
      <c r="AN173" s="17" t="s">
        <v>372</v>
      </c>
      <c r="AO173" s="17" t="s">
        <v>155</v>
      </c>
      <c r="AP173" s="17" t="s">
        <v>155</v>
      </c>
      <c r="AQ173" s="17" t="s">
        <v>155</v>
      </c>
      <c r="AR173" s="17" t="s">
        <v>155</v>
      </c>
      <c r="AU173" s="15" t="s">
        <v>548</v>
      </c>
      <c r="AV173" s="17" t="s">
        <v>643</v>
      </c>
      <c r="AW173" s="17" t="s">
        <v>155</v>
      </c>
      <c r="AX173" s="17" t="s">
        <v>694</v>
      </c>
      <c r="AY173" s="17" t="s">
        <v>643</v>
      </c>
      <c r="AZ173" s="17" t="s">
        <v>638</v>
      </c>
      <c r="BC173" s="17" t="s">
        <v>164</v>
      </c>
      <c r="BD173" s="17" t="s">
        <v>165</v>
      </c>
      <c r="BE173" s="17" t="s">
        <v>166</v>
      </c>
      <c r="BF173" s="17" t="s">
        <v>167</v>
      </c>
      <c r="BG173" s="17" t="s">
        <v>168</v>
      </c>
    </row>
    <row r="174" spans="17:59" x14ac:dyDescent="0.3">
      <c r="Q174" s="15" t="s">
        <v>549</v>
      </c>
      <c r="R174" s="17" t="s">
        <v>643</v>
      </c>
      <c r="S174" s="17" t="s">
        <v>694</v>
      </c>
      <c r="T174" s="17" t="s">
        <v>646</v>
      </c>
      <c r="U174" s="17" t="s">
        <v>643</v>
      </c>
      <c r="V174" s="17" t="s">
        <v>646</v>
      </c>
      <c r="Y174" s="17" t="s">
        <v>164</v>
      </c>
      <c r="Z174" s="17" t="s">
        <v>165</v>
      </c>
      <c r="AA174" s="17" t="s">
        <v>166</v>
      </c>
      <c r="AB174" s="17" t="s">
        <v>167</v>
      </c>
      <c r="AC174" s="17" t="s">
        <v>168</v>
      </c>
      <c r="AF174" s="15" t="s">
        <v>549</v>
      </c>
      <c r="AG174" s="17" t="s">
        <v>643</v>
      </c>
      <c r="AH174" s="17" t="s">
        <v>644</v>
      </c>
      <c r="AI174" s="17" t="s">
        <v>646</v>
      </c>
      <c r="AJ174" s="17" t="s">
        <v>643</v>
      </c>
      <c r="AK174" s="17" t="s">
        <v>646</v>
      </c>
      <c r="AM174" t="s">
        <v>160</v>
      </c>
      <c r="AN174" s="17" t="s">
        <v>372</v>
      </c>
      <c r="AO174" s="17" t="s">
        <v>155</v>
      </c>
      <c r="AP174" s="17" t="s">
        <v>155</v>
      </c>
      <c r="AQ174" s="17" t="s">
        <v>155</v>
      </c>
      <c r="AR174" s="17" t="s">
        <v>155</v>
      </c>
      <c r="AU174" s="15" t="s">
        <v>549</v>
      </c>
      <c r="AV174" s="17" t="s">
        <v>643</v>
      </c>
      <c r="AW174" s="17" t="s">
        <v>563</v>
      </c>
      <c r="AX174" s="17" t="s">
        <v>694</v>
      </c>
      <c r="AY174" s="17" t="s">
        <v>643</v>
      </c>
      <c r="AZ174" s="17" t="s">
        <v>638</v>
      </c>
      <c r="BB174" t="s">
        <v>557</v>
      </c>
      <c r="BC174" s="17" t="s">
        <v>761</v>
      </c>
      <c r="BD174" s="17" t="s">
        <v>155</v>
      </c>
      <c r="BE174" s="17" t="s">
        <v>155</v>
      </c>
      <c r="BF174" s="17" t="s">
        <v>761</v>
      </c>
      <c r="BG174" s="17" t="s">
        <v>155</v>
      </c>
    </row>
    <row r="175" spans="17:59" x14ac:dyDescent="0.3">
      <c r="Q175" s="15" t="s">
        <v>550</v>
      </c>
      <c r="R175" s="17" t="s">
        <v>563</v>
      </c>
      <c r="S175" s="17" t="s">
        <v>644</v>
      </c>
      <c r="T175" s="17" t="s">
        <v>563</v>
      </c>
      <c r="U175" s="17" t="s">
        <v>644</v>
      </c>
      <c r="V175" s="17" t="s">
        <v>646</v>
      </c>
      <c r="X175" t="s">
        <v>557</v>
      </c>
      <c r="Y175" s="17" t="s">
        <v>761</v>
      </c>
      <c r="Z175" s="17" t="s">
        <v>155</v>
      </c>
      <c r="AA175" s="17" t="s">
        <v>155</v>
      </c>
      <c r="AB175" s="17" t="s">
        <v>761</v>
      </c>
      <c r="AC175" s="17" t="s">
        <v>155</v>
      </c>
      <c r="AF175" s="15" t="s">
        <v>550</v>
      </c>
      <c r="AG175" s="17" t="s">
        <v>563</v>
      </c>
      <c r="AH175" s="17" t="s">
        <v>644</v>
      </c>
      <c r="AI175" s="17" t="s">
        <v>563</v>
      </c>
      <c r="AJ175" s="17" t="s">
        <v>648</v>
      </c>
      <c r="AK175" s="17" t="s">
        <v>646</v>
      </c>
      <c r="AU175" s="15" t="s">
        <v>550</v>
      </c>
      <c r="AV175" s="17" t="s">
        <v>638</v>
      </c>
      <c r="AW175" s="17" t="s">
        <v>563</v>
      </c>
      <c r="AX175" s="17" t="s">
        <v>644</v>
      </c>
      <c r="AY175" s="17" t="s">
        <v>648</v>
      </c>
      <c r="AZ175" s="17" t="s">
        <v>644</v>
      </c>
      <c r="BB175" t="s">
        <v>542</v>
      </c>
      <c r="BC175" s="17" t="s">
        <v>761</v>
      </c>
      <c r="BD175" s="17" t="s">
        <v>155</v>
      </c>
      <c r="BE175" s="17" t="s">
        <v>155</v>
      </c>
      <c r="BF175" s="17" t="s">
        <v>761</v>
      </c>
      <c r="BG175" s="17" t="s">
        <v>155</v>
      </c>
    </row>
    <row r="176" spans="17:59" x14ac:dyDescent="0.3">
      <c r="Q176" s="15" t="s">
        <v>158</v>
      </c>
      <c r="R176" s="17" t="s">
        <v>648</v>
      </c>
      <c r="S176" s="17" t="s">
        <v>644</v>
      </c>
      <c r="T176" s="17" t="s">
        <v>563</v>
      </c>
      <c r="U176" s="17" t="s">
        <v>644</v>
      </c>
      <c r="V176" s="17" t="s">
        <v>648</v>
      </c>
      <c r="X176" t="s">
        <v>542</v>
      </c>
      <c r="Y176" s="17" t="s">
        <v>761</v>
      </c>
      <c r="Z176" s="17" t="s">
        <v>155</v>
      </c>
      <c r="AA176" s="17" t="s">
        <v>155</v>
      </c>
      <c r="AB176" s="17" t="s">
        <v>761</v>
      </c>
      <c r="AC176" s="17" t="s">
        <v>155</v>
      </c>
      <c r="AF176" s="15" t="s">
        <v>158</v>
      </c>
      <c r="AG176" s="17" t="s">
        <v>563</v>
      </c>
      <c r="AH176" s="17" t="s">
        <v>648</v>
      </c>
      <c r="AI176" s="17" t="s">
        <v>694</v>
      </c>
      <c r="AJ176" s="17" t="s">
        <v>648</v>
      </c>
      <c r="AK176" s="17" t="s">
        <v>644</v>
      </c>
      <c r="AM176" t="s">
        <v>825</v>
      </c>
      <c r="AU176" s="15" t="s">
        <v>158</v>
      </c>
      <c r="AV176" s="17" t="s">
        <v>638</v>
      </c>
      <c r="AW176" s="17" t="s">
        <v>648</v>
      </c>
      <c r="AX176" s="17" t="s">
        <v>644</v>
      </c>
      <c r="AY176" s="17" t="s">
        <v>648</v>
      </c>
      <c r="AZ176" s="17" t="s">
        <v>644</v>
      </c>
    </row>
    <row r="177" spans="2:60" x14ac:dyDescent="0.3">
      <c r="Q177" s="15" t="s">
        <v>159</v>
      </c>
      <c r="R177" s="17" t="s">
        <v>648</v>
      </c>
      <c r="S177" s="17" t="s">
        <v>644</v>
      </c>
      <c r="T177" s="17" t="s">
        <v>155</v>
      </c>
      <c r="U177" s="17" t="s">
        <v>694</v>
      </c>
      <c r="V177" s="17" t="s">
        <v>648</v>
      </c>
      <c r="AF177" s="15" t="s">
        <v>159</v>
      </c>
      <c r="AG177" s="17" t="s">
        <v>694</v>
      </c>
      <c r="AH177" s="17" t="s">
        <v>648</v>
      </c>
      <c r="AI177" s="17" t="s">
        <v>694</v>
      </c>
      <c r="AJ177" s="17" t="s">
        <v>648</v>
      </c>
      <c r="AK177" s="17" t="s">
        <v>644</v>
      </c>
      <c r="AN177" s="17" t="s">
        <v>164</v>
      </c>
      <c r="AO177" s="17" t="s">
        <v>165</v>
      </c>
      <c r="AP177" s="17" t="s">
        <v>166</v>
      </c>
      <c r="AQ177" s="17" t="s">
        <v>167</v>
      </c>
      <c r="AR177" s="17" t="s">
        <v>168</v>
      </c>
      <c r="AU177" s="15" t="s">
        <v>159</v>
      </c>
      <c r="AV177" s="17" t="s">
        <v>694</v>
      </c>
      <c r="AW177" s="17" t="s">
        <v>648</v>
      </c>
      <c r="AX177" s="17" t="s">
        <v>155</v>
      </c>
      <c r="AY177" s="17" t="s">
        <v>648</v>
      </c>
      <c r="AZ177" s="17" t="s">
        <v>644</v>
      </c>
      <c r="BB177" t="s">
        <v>732</v>
      </c>
    </row>
    <row r="178" spans="2:60" x14ac:dyDescent="0.3">
      <c r="Q178" s="15" t="s">
        <v>160</v>
      </c>
      <c r="R178" s="17" t="s">
        <v>155</v>
      </c>
      <c r="S178" s="17" t="s">
        <v>155</v>
      </c>
      <c r="T178" s="17" t="s">
        <v>155</v>
      </c>
      <c r="U178" s="17" t="s">
        <v>694</v>
      </c>
      <c r="V178" s="17" t="s">
        <v>648</v>
      </c>
      <c r="X178" t="s">
        <v>732</v>
      </c>
      <c r="AF178" s="15" t="s">
        <v>160</v>
      </c>
      <c r="AG178" s="17" t="s">
        <v>694</v>
      </c>
      <c r="AH178" s="17" t="s">
        <v>155</v>
      </c>
      <c r="AI178" s="17" t="s">
        <v>155</v>
      </c>
      <c r="AJ178" s="17" t="s">
        <v>155</v>
      </c>
      <c r="AK178" s="17" t="s">
        <v>155</v>
      </c>
      <c r="AM178" t="s">
        <v>557</v>
      </c>
      <c r="AN178" s="17" t="s">
        <v>761</v>
      </c>
      <c r="AO178" s="17" t="s">
        <v>155</v>
      </c>
      <c r="AP178" s="17" t="s">
        <v>155</v>
      </c>
      <c r="AQ178" s="17" t="s">
        <v>761</v>
      </c>
      <c r="AR178" s="17" t="s">
        <v>155</v>
      </c>
      <c r="AU178" s="15" t="s">
        <v>160</v>
      </c>
      <c r="AV178" s="17" t="s">
        <v>694</v>
      </c>
      <c r="AW178" s="17" t="s">
        <v>155</v>
      </c>
      <c r="AX178" s="17" t="s">
        <v>155</v>
      </c>
      <c r="AY178" s="17" t="s">
        <v>155</v>
      </c>
      <c r="AZ178" s="17" t="s">
        <v>563</v>
      </c>
      <c r="BC178" s="17" t="s">
        <v>164</v>
      </c>
      <c r="BD178" s="17" t="s">
        <v>165</v>
      </c>
      <c r="BE178" s="17" t="s">
        <v>166</v>
      </c>
      <c r="BF178" s="17" t="s">
        <v>167</v>
      </c>
      <c r="BG178" s="17" t="s">
        <v>168</v>
      </c>
    </row>
    <row r="179" spans="2:60" x14ac:dyDescent="0.3">
      <c r="Y179" s="17" t="s">
        <v>164</v>
      </c>
      <c r="Z179" s="17" t="s">
        <v>165</v>
      </c>
      <c r="AA179" s="17" t="s">
        <v>166</v>
      </c>
      <c r="AB179" s="17" t="s">
        <v>167</v>
      </c>
      <c r="AC179" s="17" t="s">
        <v>168</v>
      </c>
      <c r="AM179" t="s">
        <v>542</v>
      </c>
      <c r="AN179" s="17" t="s">
        <v>761</v>
      </c>
      <c r="AO179" s="17" t="s">
        <v>155</v>
      </c>
      <c r="AP179" s="17" t="s">
        <v>155</v>
      </c>
      <c r="AQ179" s="17" t="s">
        <v>761</v>
      </c>
      <c r="AR179" s="17" t="s">
        <v>155</v>
      </c>
      <c r="BB179" t="s">
        <v>548</v>
      </c>
      <c r="BC179" s="17" t="s">
        <v>155</v>
      </c>
      <c r="BD179" s="17" t="s">
        <v>155</v>
      </c>
      <c r="BE179" s="17" t="s">
        <v>155</v>
      </c>
      <c r="BF179" s="17" t="s">
        <v>336</v>
      </c>
      <c r="BG179" s="17" t="s">
        <v>155</v>
      </c>
    </row>
    <row r="180" spans="2:60" x14ac:dyDescent="0.3">
      <c r="B180" s="29"/>
      <c r="Q180" s="29" t="s">
        <v>596</v>
      </c>
      <c r="X180" t="s">
        <v>548</v>
      </c>
      <c r="Y180" s="17" t="s">
        <v>155</v>
      </c>
      <c r="Z180" s="17" t="s">
        <v>155</v>
      </c>
      <c r="AA180" s="17" t="s">
        <v>155</v>
      </c>
      <c r="AB180" s="17" t="s">
        <v>336</v>
      </c>
      <c r="AC180" s="17" t="s">
        <v>155</v>
      </c>
      <c r="AF180" s="29" t="s">
        <v>596</v>
      </c>
      <c r="AU180" s="29" t="s">
        <v>596</v>
      </c>
      <c r="BB180" t="s">
        <v>549</v>
      </c>
      <c r="BC180" s="17" t="s">
        <v>155</v>
      </c>
      <c r="BD180" s="17" t="s">
        <v>155</v>
      </c>
      <c r="BE180" s="17" t="s">
        <v>155</v>
      </c>
      <c r="BF180" s="17" t="s">
        <v>336</v>
      </c>
      <c r="BG180" s="17" t="s">
        <v>155</v>
      </c>
      <c r="BH180" s="29"/>
    </row>
    <row r="181" spans="2:60" x14ac:dyDescent="0.3">
      <c r="B181" s="71"/>
      <c r="Q181" s="71" t="s">
        <v>777</v>
      </c>
      <c r="X181" t="s">
        <v>549</v>
      </c>
      <c r="Y181" s="17" t="s">
        <v>155</v>
      </c>
      <c r="Z181" s="17" t="s">
        <v>155</v>
      </c>
      <c r="AA181" s="17" t="s">
        <v>155</v>
      </c>
      <c r="AB181" s="17" t="s">
        <v>336</v>
      </c>
      <c r="AC181" s="17" t="s">
        <v>155</v>
      </c>
      <c r="AF181" s="71" t="s">
        <v>777</v>
      </c>
      <c r="AM181" t="s">
        <v>732</v>
      </c>
      <c r="AU181" s="71" t="s">
        <v>777</v>
      </c>
      <c r="BB181" t="s">
        <v>550</v>
      </c>
      <c r="BC181" s="17" t="s">
        <v>155</v>
      </c>
      <c r="BD181" s="17" t="s">
        <v>155</v>
      </c>
      <c r="BE181" s="17" t="s">
        <v>155</v>
      </c>
      <c r="BF181" s="17" t="s">
        <v>336</v>
      </c>
      <c r="BG181" s="17" t="s">
        <v>155</v>
      </c>
      <c r="BH181" s="71"/>
    </row>
    <row r="182" spans="2:60" x14ac:dyDescent="0.3">
      <c r="X182" t="s">
        <v>550</v>
      </c>
      <c r="Y182" s="17" t="s">
        <v>155</v>
      </c>
      <c r="Z182" s="17" t="s">
        <v>155</v>
      </c>
      <c r="AA182" s="17" t="s">
        <v>155</v>
      </c>
      <c r="AB182" s="17" t="s">
        <v>336</v>
      </c>
      <c r="AC182" s="17" t="s">
        <v>155</v>
      </c>
      <c r="AN182" s="17" t="s">
        <v>164</v>
      </c>
      <c r="AO182" s="17" t="s">
        <v>165</v>
      </c>
      <c r="AP182" s="17" t="s">
        <v>166</v>
      </c>
      <c r="AQ182" s="17" t="s">
        <v>167</v>
      </c>
      <c r="AR182" s="17" t="s">
        <v>168</v>
      </c>
    </row>
    <row r="183" spans="2:60" x14ac:dyDescent="0.3">
      <c r="Q183" s="15" t="s">
        <v>778</v>
      </c>
      <c r="AF183" s="15" t="s">
        <v>778</v>
      </c>
      <c r="AM183" t="s">
        <v>548</v>
      </c>
      <c r="AN183" s="17" t="s">
        <v>155</v>
      </c>
      <c r="AO183" s="17" t="s">
        <v>155</v>
      </c>
      <c r="AP183" s="17" t="s">
        <v>155</v>
      </c>
      <c r="AQ183" s="17" t="s">
        <v>336</v>
      </c>
      <c r="AR183" s="17" t="s">
        <v>155</v>
      </c>
      <c r="AU183" s="15" t="s">
        <v>778</v>
      </c>
      <c r="BB183" t="s">
        <v>740</v>
      </c>
    </row>
    <row r="184" spans="2:60" x14ac:dyDescent="0.3">
      <c r="R184" s="17" t="s">
        <v>164</v>
      </c>
      <c r="S184" s="17" t="s">
        <v>165</v>
      </c>
      <c r="T184" s="17" t="s">
        <v>166</v>
      </c>
      <c r="U184" s="17" t="s">
        <v>167</v>
      </c>
      <c r="V184" s="17" t="s">
        <v>168</v>
      </c>
      <c r="X184" t="s">
        <v>740</v>
      </c>
      <c r="AG184" s="17" t="s">
        <v>164</v>
      </c>
      <c r="AH184" s="17" t="s">
        <v>165</v>
      </c>
      <c r="AI184" s="17" t="s">
        <v>166</v>
      </c>
      <c r="AJ184" s="17" t="s">
        <v>167</v>
      </c>
      <c r="AK184" s="17" t="s">
        <v>168</v>
      </c>
      <c r="AM184" t="s">
        <v>549</v>
      </c>
      <c r="AN184" s="17" t="s">
        <v>155</v>
      </c>
      <c r="AO184" s="17" t="s">
        <v>155</v>
      </c>
      <c r="AP184" s="17" t="s">
        <v>155</v>
      </c>
      <c r="AQ184" s="17" t="s">
        <v>336</v>
      </c>
      <c r="AR184" s="17" t="s">
        <v>155</v>
      </c>
      <c r="AV184" s="17" t="s">
        <v>164</v>
      </c>
      <c r="AW184" s="17" t="s">
        <v>165</v>
      </c>
      <c r="AX184" s="17" t="s">
        <v>166</v>
      </c>
      <c r="AY184" s="17" t="s">
        <v>167</v>
      </c>
      <c r="AZ184" s="17" t="s">
        <v>168</v>
      </c>
      <c r="BC184" s="17" t="s">
        <v>164</v>
      </c>
      <c r="BD184" s="17" t="s">
        <v>165</v>
      </c>
      <c r="BE184" s="17" t="s">
        <v>166</v>
      </c>
      <c r="BF184" s="17" t="s">
        <v>167</v>
      </c>
      <c r="BG184" s="17" t="s">
        <v>168</v>
      </c>
    </row>
    <row r="185" spans="2:60" x14ac:dyDescent="0.3">
      <c r="Q185" s="15" t="s">
        <v>542</v>
      </c>
      <c r="R185" s="17" t="s">
        <v>779</v>
      </c>
      <c r="S185" s="17" t="s">
        <v>155</v>
      </c>
      <c r="T185" s="17" t="s">
        <v>780</v>
      </c>
      <c r="U185" s="17" t="s">
        <v>779</v>
      </c>
      <c r="V185" s="17" t="s">
        <v>780</v>
      </c>
      <c r="Y185" s="17" t="s">
        <v>164</v>
      </c>
      <c r="Z185" s="17" t="s">
        <v>165</v>
      </c>
      <c r="AA185" s="17" t="s">
        <v>166</v>
      </c>
      <c r="AB185" s="17" t="s">
        <v>167</v>
      </c>
      <c r="AC185" s="17" t="s">
        <v>168</v>
      </c>
      <c r="AF185" s="15" t="s">
        <v>542</v>
      </c>
      <c r="AG185" s="17" t="s">
        <v>779</v>
      </c>
      <c r="AH185" s="17" t="s">
        <v>782</v>
      </c>
      <c r="AI185" s="17" t="s">
        <v>780</v>
      </c>
      <c r="AJ185" s="17" t="s">
        <v>779</v>
      </c>
      <c r="AK185" s="17" t="s">
        <v>780</v>
      </c>
      <c r="AM185" t="s">
        <v>550</v>
      </c>
      <c r="AN185" s="17" t="s">
        <v>155</v>
      </c>
      <c r="AO185" s="17" t="s">
        <v>155</v>
      </c>
      <c r="AP185" s="17" t="s">
        <v>155</v>
      </c>
      <c r="AQ185" s="17" t="s">
        <v>336</v>
      </c>
      <c r="AR185" s="17" t="s">
        <v>155</v>
      </c>
      <c r="AU185" s="15" t="s">
        <v>542</v>
      </c>
      <c r="AV185" s="17" t="s">
        <v>779</v>
      </c>
      <c r="AW185" s="17" t="s">
        <v>155</v>
      </c>
      <c r="AX185" s="17" t="s">
        <v>780</v>
      </c>
      <c r="AY185" s="17" t="s">
        <v>779</v>
      </c>
      <c r="AZ185" s="17" t="s">
        <v>780</v>
      </c>
      <c r="BB185" t="s">
        <v>548</v>
      </c>
      <c r="BC185" s="17" t="s">
        <v>257</v>
      </c>
      <c r="BD185" s="17" t="s">
        <v>155</v>
      </c>
      <c r="BE185" s="17" t="s">
        <v>155</v>
      </c>
      <c r="BF185" s="17" t="s">
        <v>257</v>
      </c>
      <c r="BG185" s="17" t="s">
        <v>155</v>
      </c>
    </row>
    <row r="186" spans="2:60" x14ac:dyDescent="0.3">
      <c r="Q186" s="15" t="s">
        <v>543</v>
      </c>
      <c r="R186" s="17" t="s">
        <v>779</v>
      </c>
      <c r="S186" s="17" t="s">
        <v>781</v>
      </c>
      <c r="T186" s="17" t="s">
        <v>780</v>
      </c>
      <c r="U186" s="17" t="s">
        <v>779</v>
      </c>
      <c r="V186" s="17" t="s">
        <v>780</v>
      </c>
      <c r="X186" t="s">
        <v>548</v>
      </c>
      <c r="Y186" s="17" t="s">
        <v>257</v>
      </c>
      <c r="Z186" s="17" t="s">
        <v>155</v>
      </c>
      <c r="AA186" s="17" t="s">
        <v>155</v>
      </c>
      <c r="AB186" s="17" t="s">
        <v>257</v>
      </c>
      <c r="AC186" s="17" t="s">
        <v>155</v>
      </c>
      <c r="AF186" s="15" t="s">
        <v>543</v>
      </c>
      <c r="AG186" s="17" t="s">
        <v>779</v>
      </c>
      <c r="AH186" s="17" t="s">
        <v>781</v>
      </c>
      <c r="AI186" s="17" t="s">
        <v>780</v>
      </c>
      <c r="AJ186" s="17" t="s">
        <v>779</v>
      </c>
      <c r="AK186" s="17" t="s">
        <v>780</v>
      </c>
      <c r="AU186" s="15" t="s">
        <v>543</v>
      </c>
      <c r="AV186" s="17" t="s">
        <v>779</v>
      </c>
      <c r="AW186" s="17" t="s">
        <v>781</v>
      </c>
      <c r="AX186" s="17" t="s">
        <v>780</v>
      </c>
      <c r="AY186" s="17" t="s">
        <v>779</v>
      </c>
      <c r="AZ186" s="17" t="s">
        <v>780</v>
      </c>
      <c r="BB186" t="s">
        <v>549</v>
      </c>
      <c r="BC186" s="17" t="s">
        <v>257</v>
      </c>
      <c r="BD186" s="17" t="s">
        <v>155</v>
      </c>
      <c r="BE186" s="17" t="s">
        <v>155</v>
      </c>
      <c r="BF186" s="17" t="s">
        <v>257</v>
      </c>
      <c r="BG186" s="17" t="s">
        <v>155</v>
      </c>
    </row>
    <row r="187" spans="2:60" x14ac:dyDescent="0.3">
      <c r="Q187" s="15" t="s">
        <v>544</v>
      </c>
      <c r="R187" s="17" t="s">
        <v>779</v>
      </c>
      <c r="S187" s="17" t="s">
        <v>781</v>
      </c>
      <c r="T187" s="17" t="s">
        <v>155</v>
      </c>
      <c r="U187" s="17" t="s">
        <v>155</v>
      </c>
      <c r="V187" s="17" t="s">
        <v>782</v>
      </c>
      <c r="X187" t="s">
        <v>549</v>
      </c>
      <c r="Y187" s="17" t="s">
        <v>257</v>
      </c>
      <c r="Z187" s="17" t="s">
        <v>155</v>
      </c>
      <c r="AA187" s="17" t="s">
        <v>155</v>
      </c>
      <c r="AB187" s="17" t="s">
        <v>257</v>
      </c>
      <c r="AC187" s="17" t="s">
        <v>155</v>
      </c>
      <c r="AF187" s="15" t="s">
        <v>544</v>
      </c>
      <c r="AG187" s="17" t="s">
        <v>779</v>
      </c>
      <c r="AH187" s="17" t="s">
        <v>781</v>
      </c>
      <c r="AI187" s="17" t="s">
        <v>155</v>
      </c>
      <c r="AJ187" s="17" t="s">
        <v>155</v>
      </c>
      <c r="AK187" s="17" t="s">
        <v>782</v>
      </c>
      <c r="AM187" t="s">
        <v>740</v>
      </c>
      <c r="AU187" s="15" t="s">
        <v>544</v>
      </c>
      <c r="AV187" s="17" t="s">
        <v>779</v>
      </c>
      <c r="AW187" s="17" t="s">
        <v>781</v>
      </c>
      <c r="AX187" s="17" t="s">
        <v>155</v>
      </c>
      <c r="AY187" s="17" t="s">
        <v>782</v>
      </c>
      <c r="AZ187" s="17" t="s">
        <v>155</v>
      </c>
      <c r="BB187" t="s">
        <v>550</v>
      </c>
      <c r="BC187" s="17" t="s">
        <v>257</v>
      </c>
      <c r="BD187" s="17" t="s">
        <v>155</v>
      </c>
      <c r="BE187" s="17" t="s">
        <v>155</v>
      </c>
      <c r="BF187" s="17" t="s">
        <v>155</v>
      </c>
      <c r="BG187" s="17" t="s">
        <v>155</v>
      </c>
    </row>
    <row r="188" spans="2:60" x14ac:dyDescent="0.3">
      <c r="Q188" s="15" t="s">
        <v>545</v>
      </c>
      <c r="R188" s="17" t="s">
        <v>782</v>
      </c>
      <c r="S188" s="17" t="s">
        <v>781</v>
      </c>
      <c r="T188" s="17" t="s">
        <v>155</v>
      </c>
      <c r="U188" s="17" t="s">
        <v>155</v>
      </c>
      <c r="V188" s="17" t="s">
        <v>782</v>
      </c>
      <c r="X188" t="s">
        <v>550</v>
      </c>
      <c r="Y188" s="17" t="s">
        <v>257</v>
      </c>
      <c r="Z188" s="17" t="s">
        <v>155</v>
      </c>
      <c r="AA188" s="17" t="s">
        <v>155</v>
      </c>
      <c r="AB188" s="17" t="s">
        <v>155</v>
      </c>
      <c r="AC188" s="17" t="s">
        <v>155</v>
      </c>
      <c r="AF188" s="15" t="s">
        <v>545</v>
      </c>
      <c r="AG188" s="17" t="s">
        <v>155</v>
      </c>
      <c r="AH188" s="17" t="s">
        <v>781</v>
      </c>
      <c r="AI188" s="17" t="s">
        <v>155</v>
      </c>
      <c r="AJ188" s="17" t="s">
        <v>155</v>
      </c>
      <c r="AK188" s="17" t="s">
        <v>782</v>
      </c>
      <c r="AN188" s="17" t="s">
        <v>164</v>
      </c>
      <c r="AO188" s="17" t="s">
        <v>165</v>
      </c>
      <c r="AP188" s="17" t="s">
        <v>166</v>
      </c>
      <c r="AQ188" s="17" t="s">
        <v>167</v>
      </c>
      <c r="AR188" s="17" t="s">
        <v>168</v>
      </c>
      <c r="AU188" s="15" t="s">
        <v>545</v>
      </c>
      <c r="AV188" s="17" t="s">
        <v>782</v>
      </c>
      <c r="AW188" s="17" t="s">
        <v>781</v>
      </c>
      <c r="AX188" s="17" t="s">
        <v>155</v>
      </c>
      <c r="AY188" s="17" t="s">
        <v>155</v>
      </c>
      <c r="AZ188" s="17" t="s">
        <v>155</v>
      </c>
    </row>
    <row r="189" spans="2:60" x14ac:dyDescent="0.3">
      <c r="Q189" s="15" t="s">
        <v>546</v>
      </c>
      <c r="R189" s="17" t="s">
        <v>155</v>
      </c>
      <c r="S189" s="17" t="s">
        <v>155</v>
      </c>
      <c r="T189" s="17" t="s">
        <v>155</v>
      </c>
      <c r="U189" s="17" t="s">
        <v>155</v>
      </c>
      <c r="V189" s="17" t="s">
        <v>155</v>
      </c>
      <c r="AF189" s="15" t="s">
        <v>546</v>
      </c>
      <c r="AG189" s="17" t="s">
        <v>155</v>
      </c>
      <c r="AH189" s="17" t="s">
        <v>155</v>
      </c>
      <c r="AI189" s="17" t="s">
        <v>155</v>
      </c>
      <c r="AJ189" s="17" t="s">
        <v>155</v>
      </c>
      <c r="AK189" s="17" t="s">
        <v>155</v>
      </c>
      <c r="AM189" t="s">
        <v>548</v>
      </c>
      <c r="AN189" s="17" t="s">
        <v>257</v>
      </c>
      <c r="AO189" s="17" t="s">
        <v>155</v>
      </c>
      <c r="AP189" s="17" t="s">
        <v>155</v>
      </c>
      <c r="AQ189" s="17" t="s">
        <v>257</v>
      </c>
      <c r="AR189" s="17" t="s">
        <v>155</v>
      </c>
      <c r="AU189" s="15" t="s">
        <v>546</v>
      </c>
      <c r="AV189" s="17" t="s">
        <v>782</v>
      </c>
      <c r="AW189" s="17" t="s">
        <v>155</v>
      </c>
      <c r="AX189" s="17" t="s">
        <v>155</v>
      </c>
      <c r="AY189" s="17" t="s">
        <v>155</v>
      </c>
      <c r="AZ189" s="17" t="s">
        <v>155</v>
      </c>
      <c r="BB189" t="s">
        <v>730</v>
      </c>
    </row>
    <row r="190" spans="2:60" x14ac:dyDescent="0.3">
      <c r="X190" t="s">
        <v>730</v>
      </c>
      <c r="AM190" t="s">
        <v>549</v>
      </c>
      <c r="AN190" s="17" t="s">
        <v>257</v>
      </c>
      <c r="AO190" s="17" t="s">
        <v>155</v>
      </c>
      <c r="AP190" s="17" t="s">
        <v>155</v>
      </c>
      <c r="AQ190" s="17" t="s">
        <v>257</v>
      </c>
      <c r="AR190" s="17" t="s">
        <v>155</v>
      </c>
      <c r="BC190" s="17" t="s">
        <v>164</v>
      </c>
      <c r="BD190" s="17" t="s">
        <v>165</v>
      </c>
      <c r="BE190" s="17" t="s">
        <v>166</v>
      </c>
      <c r="BF190" s="17" t="s">
        <v>167</v>
      </c>
      <c r="BG190" s="17" t="s">
        <v>168</v>
      </c>
    </row>
    <row r="191" spans="2:60" x14ac:dyDescent="0.3">
      <c r="Q191" s="15" t="s">
        <v>783</v>
      </c>
      <c r="Y191" s="17" t="s">
        <v>164</v>
      </c>
      <c r="Z191" s="17" t="s">
        <v>165</v>
      </c>
      <c r="AA191" s="17" t="s">
        <v>166</v>
      </c>
      <c r="AB191" s="17" t="s">
        <v>167</v>
      </c>
      <c r="AC191" s="17" t="s">
        <v>168</v>
      </c>
      <c r="AF191" s="15" t="s">
        <v>783</v>
      </c>
      <c r="AM191" t="s">
        <v>550</v>
      </c>
      <c r="AN191" s="17" t="s">
        <v>257</v>
      </c>
      <c r="AO191" s="17" t="s">
        <v>155</v>
      </c>
      <c r="AP191" s="17" t="s">
        <v>155</v>
      </c>
      <c r="AQ191" s="17" t="s">
        <v>155</v>
      </c>
      <c r="AR191" s="17" t="s">
        <v>155</v>
      </c>
      <c r="AU191" s="15" t="s">
        <v>783</v>
      </c>
      <c r="BB191" t="s">
        <v>550</v>
      </c>
      <c r="BC191" s="17" t="s">
        <v>155</v>
      </c>
      <c r="BD191" s="17" t="s">
        <v>331</v>
      </c>
      <c r="BE191" s="17" t="s">
        <v>155</v>
      </c>
      <c r="BF191" s="17" t="s">
        <v>155</v>
      </c>
      <c r="BG191" s="17" t="s">
        <v>155</v>
      </c>
    </row>
    <row r="192" spans="2:60" x14ac:dyDescent="0.3">
      <c r="R192" s="17" t="s">
        <v>164</v>
      </c>
      <c r="S192" s="17" t="s">
        <v>165</v>
      </c>
      <c r="T192" s="17" t="s">
        <v>166</v>
      </c>
      <c r="U192" s="17" t="s">
        <v>167</v>
      </c>
      <c r="V192" s="17" t="s">
        <v>168</v>
      </c>
      <c r="X192" t="s">
        <v>550</v>
      </c>
      <c r="Y192" s="17" t="s">
        <v>373</v>
      </c>
      <c r="Z192" s="17" t="s">
        <v>331</v>
      </c>
      <c r="AA192" s="17" t="s">
        <v>155</v>
      </c>
      <c r="AB192" s="17" t="s">
        <v>155</v>
      </c>
      <c r="AC192" s="17" t="s">
        <v>155</v>
      </c>
      <c r="AG192" s="17" t="s">
        <v>164</v>
      </c>
      <c r="AH192" s="17" t="s">
        <v>165</v>
      </c>
      <c r="AI192" s="17" t="s">
        <v>166</v>
      </c>
      <c r="AJ192" s="17" t="s">
        <v>167</v>
      </c>
      <c r="AK192" s="17" t="s">
        <v>168</v>
      </c>
      <c r="AV192" s="17" t="s">
        <v>164</v>
      </c>
      <c r="AW192" s="17" t="s">
        <v>165</v>
      </c>
      <c r="AX192" s="17" t="s">
        <v>166</v>
      </c>
      <c r="AY192" s="17" t="s">
        <v>167</v>
      </c>
      <c r="AZ192" s="17" t="s">
        <v>168</v>
      </c>
      <c r="BB192" t="s">
        <v>158</v>
      </c>
      <c r="BC192" s="17" t="s">
        <v>373</v>
      </c>
      <c r="BD192" s="17" t="s">
        <v>331</v>
      </c>
      <c r="BE192" s="17" t="s">
        <v>155</v>
      </c>
      <c r="BF192" s="17" t="s">
        <v>331</v>
      </c>
      <c r="BG192" s="17" t="s">
        <v>373</v>
      </c>
    </row>
    <row r="193" spans="17:59" x14ac:dyDescent="0.3">
      <c r="Q193" s="15" t="s">
        <v>555</v>
      </c>
      <c r="R193" s="17" t="s">
        <v>155</v>
      </c>
      <c r="S193" s="17" t="s">
        <v>155</v>
      </c>
      <c r="T193" s="17" t="s">
        <v>155</v>
      </c>
      <c r="U193" s="17" t="s">
        <v>155</v>
      </c>
      <c r="V193" s="17" t="s">
        <v>155</v>
      </c>
      <c r="X193" t="s">
        <v>158</v>
      </c>
      <c r="Y193" s="17" t="s">
        <v>373</v>
      </c>
      <c r="Z193" s="17" t="s">
        <v>331</v>
      </c>
      <c r="AA193" s="17" t="s">
        <v>373</v>
      </c>
      <c r="AB193" s="17" t="s">
        <v>331</v>
      </c>
      <c r="AC193" s="17" t="s">
        <v>155</v>
      </c>
      <c r="AF193" s="15" t="s">
        <v>555</v>
      </c>
      <c r="AG193" s="17" t="s">
        <v>155</v>
      </c>
      <c r="AH193" s="17" t="s">
        <v>155</v>
      </c>
      <c r="AI193" s="17" t="s">
        <v>155</v>
      </c>
      <c r="AJ193" s="17" t="s">
        <v>155</v>
      </c>
      <c r="AK193" s="17" t="s">
        <v>155</v>
      </c>
      <c r="AM193" t="s">
        <v>730</v>
      </c>
      <c r="AU193" s="15" t="s">
        <v>555</v>
      </c>
      <c r="AV193" s="17" t="s">
        <v>155</v>
      </c>
      <c r="AW193" s="17" t="s">
        <v>155</v>
      </c>
      <c r="AX193" s="17" t="s">
        <v>155</v>
      </c>
      <c r="AY193" s="17" t="s">
        <v>155</v>
      </c>
      <c r="AZ193" s="17" t="s">
        <v>155</v>
      </c>
      <c r="BB193" t="s">
        <v>159</v>
      </c>
      <c r="BC193" s="17" t="s">
        <v>373</v>
      </c>
      <c r="BD193" s="17" t="s">
        <v>155</v>
      </c>
      <c r="BE193" s="17" t="s">
        <v>155</v>
      </c>
      <c r="BF193" s="17" t="s">
        <v>331</v>
      </c>
      <c r="BG193" s="17" t="s">
        <v>373</v>
      </c>
    </row>
    <row r="194" spans="17:59" x14ac:dyDescent="0.3">
      <c r="Q194" s="15" t="s">
        <v>556</v>
      </c>
      <c r="R194" s="17" t="s">
        <v>155</v>
      </c>
      <c r="S194" s="17" t="s">
        <v>155</v>
      </c>
      <c r="T194" s="17" t="s">
        <v>784</v>
      </c>
      <c r="U194" s="17" t="s">
        <v>155</v>
      </c>
      <c r="V194" s="17" t="s">
        <v>155</v>
      </c>
      <c r="X194" t="s">
        <v>159</v>
      </c>
      <c r="Y194" s="17" t="s">
        <v>373</v>
      </c>
      <c r="Z194" s="17" t="s">
        <v>155</v>
      </c>
      <c r="AA194" s="17" t="s">
        <v>373</v>
      </c>
      <c r="AB194" s="17" t="s">
        <v>331</v>
      </c>
      <c r="AC194" s="17" t="s">
        <v>155</v>
      </c>
      <c r="AF194" s="15" t="s">
        <v>556</v>
      </c>
      <c r="AG194" s="17" t="s">
        <v>155</v>
      </c>
      <c r="AH194" s="17" t="s">
        <v>155</v>
      </c>
      <c r="AI194" s="17" t="s">
        <v>784</v>
      </c>
      <c r="AJ194" s="17" t="s">
        <v>155</v>
      </c>
      <c r="AK194" s="17" t="s">
        <v>155</v>
      </c>
      <c r="AN194" s="17" t="s">
        <v>164</v>
      </c>
      <c r="AO194" s="17" t="s">
        <v>165</v>
      </c>
      <c r="AP194" s="17" t="s">
        <v>166</v>
      </c>
      <c r="AQ194" s="17" t="s">
        <v>167</v>
      </c>
      <c r="AR194" s="17" t="s">
        <v>168</v>
      </c>
      <c r="AU194" s="15" t="s">
        <v>556</v>
      </c>
      <c r="AV194" s="17" t="s">
        <v>155</v>
      </c>
      <c r="AW194" s="17" t="s">
        <v>155</v>
      </c>
      <c r="AX194" s="17" t="s">
        <v>784</v>
      </c>
      <c r="AY194" s="17" t="s">
        <v>155</v>
      </c>
      <c r="AZ194" s="17" t="s">
        <v>155</v>
      </c>
      <c r="BB194" t="s">
        <v>160</v>
      </c>
      <c r="BC194" s="17" t="s">
        <v>373</v>
      </c>
      <c r="BD194" s="17" t="s">
        <v>155</v>
      </c>
      <c r="BE194" s="17" t="s">
        <v>155</v>
      </c>
      <c r="BF194" s="17" t="s">
        <v>331</v>
      </c>
      <c r="BG194" s="17" t="s">
        <v>373</v>
      </c>
    </row>
    <row r="195" spans="17:59" x14ac:dyDescent="0.3">
      <c r="Q195" s="15" t="s">
        <v>557</v>
      </c>
      <c r="R195" s="17" t="s">
        <v>785</v>
      </c>
      <c r="S195" s="17" t="s">
        <v>786</v>
      </c>
      <c r="T195" s="17" t="s">
        <v>784</v>
      </c>
      <c r="U195" s="17" t="s">
        <v>785</v>
      </c>
      <c r="V195" s="17" t="s">
        <v>787</v>
      </c>
      <c r="X195" t="s">
        <v>160</v>
      </c>
      <c r="Y195" s="17" t="s">
        <v>155</v>
      </c>
      <c r="Z195" s="17" t="s">
        <v>155</v>
      </c>
      <c r="AA195" s="17" t="s">
        <v>373</v>
      </c>
      <c r="AB195" s="17" t="s">
        <v>331</v>
      </c>
      <c r="AC195" s="17" t="s">
        <v>155</v>
      </c>
      <c r="AF195" s="15" t="s">
        <v>557</v>
      </c>
      <c r="AG195" s="17" t="s">
        <v>785</v>
      </c>
      <c r="AH195" s="17" t="s">
        <v>786</v>
      </c>
      <c r="AI195" s="17" t="s">
        <v>784</v>
      </c>
      <c r="AJ195" s="17" t="s">
        <v>785</v>
      </c>
      <c r="AK195" s="17" t="s">
        <v>787</v>
      </c>
      <c r="AM195" t="s">
        <v>550</v>
      </c>
      <c r="AN195" s="17" t="s">
        <v>373</v>
      </c>
      <c r="AO195" s="17" t="s">
        <v>331</v>
      </c>
      <c r="AP195" s="17" t="s">
        <v>155</v>
      </c>
      <c r="AQ195" s="17" t="s">
        <v>155</v>
      </c>
      <c r="AR195" s="17" t="s">
        <v>155</v>
      </c>
      <c r="AU195" s="15" t="s">
        <v>557</v>
      </c>
      <c r="AV195" s="17" t="s">
        <v>785</v>
      </c>
      <c r="AW195" s="17" t="s">
        <v>155</v>
      </c>
      <c r="AX195" s="17" t="s">
        <v>784</v>
      </c>
      <c r="AY195" s="17" t="s">
        <v>785</v>
      </c>
      <c r="AZ195" s="17" t="s">
        <v>787</v>
      </c>
    </row>
    <row r="196" spans="17:59" x14ac:dyDescent="0.3">
      <c r="Q196" s="15" t="s">
        <v>542</v>
      </c>
      <c r="R196" s="17" t="s">
        <v>785</v>
      </c>
      <c r="S196" s="17" t="s">
        <v>786</v>
      </c>
      <c r="T196" s="17" t="s">
        <v>784</v>
      </c>
      <c r="U196" s="17" t="s">
        <v>785</v>
      </c>
      <c r="V196" s="17" t="s">
        <v>787</v>
      </c>
      <c r="AF196" s="15" t="s">
        <v>542</v>
      </c>
      <c r="AG196" s="17" t="s">
        <v>785</v>
      </c>
      <c r="AH196" s="17" t="s">
        <v>786</v>
      </c>
      <c r="AI196" s="17" t="s">
        <v>784</v>
      </c>
      <c r="AJ196" s="17" t="s">
        <v>785</v>
      </c>
      <c r="AK196" s="17" t="s">
        <v>787</v>
      </c>
      <c r="AM196" t="s">
        <v>158</v>
      </c>
      <c r="AN196" s="17" t="s">
        <v>373</v>
      </c>
      <c r="AO196" s="17" t="s">
        <v>331</v>
      </c>
      <c r="AP196" s="17" t="s">
        <v>373</v>
      </c>
      <c r="AQ196" s="17" t="s">
        <v>331</v>
      </c>
      <c r="AR196" s="17" t="s">
        <v>155</v>
      </c>
      <c r="AU196" s="15" t="s">
        <v>542</v>
      </c>
      <c r="AV196" s="17" t="s">
        <v>785</v>
      </c>
      <c r="AW196" s="17" t="s">
        <v>786</v>
      </c>
      <c r="AX196" s="17" t="s">
        <v>784</v>
      </c>
      <c r="AY196" s="17" t="s">
        <v>785</v>
      </c>
      <c r="AZ196" s="17" t="s">
        <v>787</v>
      </c>
      <c r="BB196" t="s">
        <v>758</v>
      </c>
    </row>
    <row r="197" spans="17:59" x14ac:dyDescent="0.3">
      <c r="Q197" s="15" t="s">
        <v>543</v>
      </c>
      <c r="R197" s="17" t="s">
        <v>788</v>
      </c>
      <c r="S197" s="17" t="s">
        <v>786</v>
      </c>
      <c r="T197" s="17" t="s">
        <v>789</v>
      </c>
      <c r="U197" s="17" t="s">
        <v>788</v>
      </c>
      <c r="V197" s="17" t="s">
        <v>787</v>
      </c>
      <c r="X197" t="s">
        <v>758</v>
      </c>
      <c r="AF197" s="15" t="s">
        <v>543</v>
      </c>
      <c r="AG197" s="17" t="s">
        <v>788</v>
      </c>
      <c r="AH197" s="17" t="s">
        <v>786</v>
      </c>
      <c r="AI197" s="17" t="s">
        <v>789</v>
      </c>
      <c r="AJ197" s="17" t="s">
        <v>788</v>
      </c>
      <c r="AK197" s="17" t="s">
        <v>787</v>
      </c>
      <c r="AM197" t="s">
        <v>159</v>
      </c>
      <c r="AN197" s="17" t="s">
        <v>373</v>
      </c>
      <c r="AO197" s="17" t="s">
        <v>155</v>
      </c>
      <c r="AP197" s="17" t="s">
        <v>373</v>
      </c>
      <c r="AQ197" s="17" t="s">
        <v>331</v>
      </c>
      <c r="AR197" s="17" t="s">
        <v>155</v>
      </c>
      <c r="AU197" s="15" t="s">
        <v>543</v>
      </c>
      <c r="AV197" s="17" t="s">
        <v>788</v>
      </c>
      <c r="AW197" s="17" t="s">
        <v>786</v>
      </c>
      <c r="AX197" s="17" t="s">
        <v>789</v>
      </c>
      <c r="AY197" s="17" t="s">
        <v>788</v>
      </c>
      <c r="AZ197" s="17" t="s">
        <v>787</v>
      </c>
      <c r="BC197" s="17" t="s">
        <v>164</v>
      </c>
      <c r="BD197" s="17" t="s">
        <v>165</v>
      </c>
      <c r="BE197" s="17" t="s">
        <v>166</v>
      </c>
      <c r="BF197" s="17" t="s">
        <v>167</v>
      </c>
      <c r="BG197" s="17" t="s">
        <v>168</v>
      </c>
    </row>
    <row r="198" spans="17:59" x14ac:dyDescent="0.3">
      <c r="Q198" s="15" t="s">
        <v>544</v>
      </c>
      <c r="R198" s="17" t="s">
        <v>788</v>
      </c>
      <c r="S198" s="17" t="s">
        <v>155</v>
      </c>
      <c r="T198" s="17" t="s">
        <v>789</v>
      </c>
      <c r="U198" s="17" t="s">
        <v>788</v>
      </c>
      <c r="V198" s="17" t="s">
        <v>155</v>
      </c>
      <c r="Y198" s="17" t="s">
        <v>164</v>
      </c>
      <c r="Z198" s="17" t="s">
        <v>165</v>
      </c>
      <c r="AA198" s="17" t="s">
        <v>166</v>
      </c>
      <c r="AB198" s="17" t="s">
        <v>167</v>
      </c>
      <c r="AC198" s="17" t="s">
        <v>168</v>
      </c>
      <c r="AF198" s="15" t="s">
        <v>544</v>
      </c>
      <c r="AG198" s="17" t="s">
        <v>788</v>
      </c>
      <c r="AH198" s="17" t="s">
        <v>155</v>
      </c>
      <c r="AI198" s="17" t="s">
        <v>789</v>
      </c>
      <c r="AJ198" s="17" t="s">
        <v>788</v>
      </c>
      <c r="AK198" s="17" t="s">
        <v>155</v>
      </c>
      <c r="AM198" t="s">
        <v>160</v>
      </c>
      <c r="AN198" s="17" t="s">
        <v>155</v>
      </c>
      <c r="AO198" s="17" t="s">
        <v>155</v>
      </c>
      <c r="AP198" s="17" t="s">
        <v>373</v>
      </c>
      <c r="AQ198" s="17" t="s">
        <v>331</v>
      </c>
      <c r="AR198" s="17" t="s">
        <v>155</v>
      </c>
      <c r="AU198" s="15" t="s">
        <v>544</v>
      </c>
      <c r="AV198" s="17" t="s">
        <v>788</v>
      </c>
      <c r="AW198" s="17" t="s">
        <v>786</v>
      </c>
      <c r="AX198" s="17" t="s">
        <v>789</v>
      </c>
      <c r="AY198" s="17" t="s">
        <v>788</v>
      </c>
      <c r="AZ198" s="17" t="s">
        <v>155</v>
      </c>
      <c r="BB198" t="s">
        <v>548</v>
      </c>
      <c r="BC198" s="17" t="s">
        <v>155</v>
      </c>
      <c r="BD198" s="17" t="s">
        <v>155</v>
      </c>
      <c r="BE198" s="17" t="s">
        <v>383</v>
      </c>
      <c r="BF198" s="17" t="s">
        <v>155</v>
      </c>
      <c r="BG198" s="17" t="s">
        <v>155</v>
      </c>
    </row>
    <row r="199" spans="17:59" x14ac:dyDescent="0.3">
      <c r="Q199" s="15" t="s">
        <v>545</v>
      </c>
      <c r="R199" s="17" t="s">
        <v>155</v>
      </c>
      <c r="S199" s="17" t="s">
        <v>155</v>
      </c>
      <c r="T199" s="17" t="s">
        <v>155</v>
      </c>
      <c r="U199" s="17" t="s">
        <v>155</v>
      </c>
      <c r="V199" s="17" t="s">
        <v>155</v>
      </c>
      <c r="X199" t="s">
        <v>548</v>
      </c>
      <c r="Y199" s="17" t="s">
        <v>155</v>
      </c>
      <c r="Z199" s="17" t="s">
        <v>155</v>
      </c>
      <c r="AA199" s="17" t="s">
        <v>383</v>
      </c>
      <c r="AB199" s="17" t="s">
        <v>155</v>
      </c>
      <c r="AC199" s="17" t="s">
        <v>155</v>
      </c>
      <c r="AF199" s="15" t="s">
        <v>545</v>
      </c>
      <c r="AG199" s="17" t="s">
        <v>155</v>
      </c>
      <c r="AH199" s="17" t="s">
        <v>155</v>
      </c>
      <c r="AI199" s="17" t="s">
        <v>155</v>
      </c>
      <c r="AJ199" s="17" t="s">
        <v>155</v>
      </c>
      <c r="AK199" s="17" t="s">
        <v>155</v>
      </c>
      <c r="AU199" s="15" t="s">
        <v>545</v>
      </c>
      <c r="AV199" s="17" t="s">
        <v>155</v>
      </c>
      <c r="AW199" s="17" t="s">
        <v>155</v>
      </c>
      <c r="AX199" s="17" t="s">
        <v>155</v>
      </c>
      <c r="AY199" s="17" t="s">
        <v>155</v>
      </c>
      <c r="AZ199" s="17" t="s">
        <v>155</v>
      </c>
      <c r="BB199" t="s">
        <v>549</v>
      </c>
      <c r="BC199" s="17" t="s">
        <v>383</v>
      </c>
      <c r="BD199" s="17" t="s">
        <v>155</v>
      </c>
      <c r="BE199" s="17" t="s">
        <v>383</v>
      </c>
      <c r="BF199" s="17" t="s">
        <v>155</v>
      </c>
      <c r="BG199" s="17" t="s">
        <v>155</v>
      </c>
    </row>
    <row r="200" spans="17:59" x14ac:dyDescent="0.3">
      <c r="X200" t="s">
        <v>549</v>
      </c>
      <c r="Y200" s="17" t="s">
        <v>155</v>
      </c>
      <c r="Z200" s="17" t="s">
        <v>155</v>
      </c>
      <c r="AA200" s="17" t="s">
        <v>383</v>
      </c>
      <c r="AB200" s="17" t="s">
        <v>155</v>
      </c>
      <c r="AC200" s="17" t="s">
        <v>383</v>
      </c>
      <c r="AM200" t="s">
        <v>758</v>
      </c>
      <c r="BB200" t="s">
        <v>550</v>
      </c>
      <c r="BC200" s="17" t="s">
        <v>383</v>
      </c>
      <c r="BD200" s="17" t="s">
        <v>155</v>
      </c>
      <c r="BE200" s="17" t="s">
        <v>155</v>
      </c>
      <c r="BF200" s="17" t="s">
        <v>155</v>
      </c>
      <c r="BG200" s="17" t="s">
        <v>155</v>
      </c>
    </row>
    <row r="201" spans="17:59" x14ac:dyDescent="0.3">
      <c r="Q201" s="15" t="s">
        <v>790</v>
      </c>
      <c r="X201" t="s">
        <v>550</v>
      </c>
      <c r="Y201" s="17" t="s">
        <v>155</v>
      </c>
      <c r="Z201" s="17" t="s">
        <v>155</v>
      </c>
      <c r="AA201" s="17" t="s">
        <v>155</v>
      </c>
      <c r="AB201" s="17" t="s">
        <v>155</v>
      </c>
      <c r="AC201" s="17" t="s">
        <v>383</v>
      </c>
      <c r="AF201" s="15" t="s">
        <v>790</v>
      </c>
      <c r="AN201" s="17" t="s">
        <v>164</v>
      </c>
      <c r="AO201" s="17" t="s">
        <v>165</v>
      </c>
      <c r="AP201" s="17" t="s">
        <v>166</v>
      </c>
      <c r="AQ201" s="17" t="s">
        <v>167</v>
      </c>
      <c r="AR201" s="17" t="s">
        <v>168</v>
      </c>
      <c r="AU201" s="15" t="s">
        <v>790</v>
      </c>
    </row>
    <row r="202" spans="17:59" x14ac:dyDescent="0.3">
      <c r="R202" s="17" t="s">
        <v>164</v>
      </c>
      <c r="S202" s="17" t="s">
        <v>165</v>
      </c>
      <c r="T202" s="17" t="s">
        <v>166</v>
      </c>
      <c r="U202" s="17" t="s">
        <v>167</v>
      </c>
      <c r="V202" s="17" t="s">
        <v>168</v>
      </c>
      <c r="AG202" s="17" t="s">
        <v>164</v>
      </c>
      <c r="AH202" s="17" t="s">
        <v>165</v>
      </c>
      <c r="AI202" s="17" t="s">
        <v>166</v>
      </c>
      <c r="AJ202" s="17" t="s">
        <v>167</v>
      </c>
      <c r="AK202" s="17" t="s">
        <v>168</v>
      </c>
      <c r="AM202" t="s">
        <v>548</v>
      </c>
      <c r="AN202" s="17" t="s">
        <v>155</v>
      </c>
      <c r="AO202" s="17" t="s">
        <v>155</v>
      </c>
      <c r="AP202" s="17" t="s">
        <v>383</v>
      </c>
      <c r="AQ202" s="17" t="s">
        <v>155</v>
      </c>
      <c r="AR202" s="17" t="s">
        <v>155</v>
      </c>
      <c r="AV202" s="17" t="s">
        <v>164</v>
      </c>
      <c r="AW202" s="17" t="s">
        <v>165</v>
      </c>
      <c r="AX202" s="17" t="s">
        <v>166</v>
      </c>
      <c r="AY202" s="17" t="s">
        <v>167</v>
      </c>
      <c r="AZ202" s="17" t="s">
        <v>168</v>
      </c>
      <c r="BB202" t="s">
        <v>713</v>
      </c>
    </row>
    <row r="203" spans="17:59" x14ac:dyDescent="0.3">
      <c r="Q203" s="15" t="s">
        <v>555</v>
      </c>
      <c r="R203" s="17" t="s">
        <v>791</v>
      </c>
      <c r="S203" s="17" t="s">
        <v>792</v>
      </c>
      <c r="T203" s="17" t="s">
        <v>155</v>
      </c>
      <c r="U203" s="17" t="s">
        <v>155</v>
      </c>
      <c r="V203" s="17" t="s">
        <v>791</v>
      </c>
      <c r="X203" t="s">
        <v>713</v>
      </c>
      <c r="AF203" s="15" t="s">
        <v>555</v>
      </c>
      <c r="AG203" s="17" t="s">
        <v>791</v>
      </c>
      <c r="AH203" s="17" t="s">
        <v>155</v>
      </c>
      <c r="AI203" s="17" t="s">
        <v>155</v>
      </c>
      <c r="AJ203" s="17" t="s">
        <v>155</v>
      </c>
      <c r="AK203" s="17" t="s">
        <v>791</v>
      </c>
      <c r="AM203" t="s">
        <v>549</v>
      </c>
      <c r="AN203" s="17" t="s">
        <v>155</v>
      </c>
      <c r="AO203" s="17" t="s">
        <v>155</v>
      </c>
      <c r="AP203" s="17" t="s">
        <v>383</v>
      </c>
      <c r="AQ203" s="17" t="s">
        <v>155</v>
      </c>
      <c r="AR203" s="17" t="s">
        <v>383</v>
      </c>
      <c r="AU203" s="15" t="s">
        <v>555</v>
      </c>
      <c r="AV203" s="17" t="s">
        <v>791</v>
      </c>
      <c r="AW203" s="17" t="s">
        <v>792</v>
      </c>
      <c r="AX203" s="17" t="s">
        <v>155</v>
      </c>
      <c r="AY203" s="17" t="s">
        <v>155</v>
      </c>
      <c r="AZ203" s="17" t="s">
        <v>791</v>
      </c>
      <c r="BC203" s="17" t="s">
        <v>164</v>
      </c>
      <c r="BD203" s="17" t="s">
        <v>165</v>
      </c>
      <c r="BE203" s="17" t="s">
        <v>166</v>
      </c>
      <c r="BF203" s="17" t="s">
        <v>167</v>
      </c>
      <c r="BG203" s="17" t="s">
        <v>168</v>
      </c>
    </row>
    <row r="204" spans="17:59" x14ac:dyDescent="0.3">
      <c r="Q204" s="15" t="s">
        <v>556</v>
      </c>
      <c r="R204" s="17" t="s">
        <v>791</v>
      </c>
      <c r="S204" s="17" t="s">
        <v>792</v>
      </c>
      <c r="T204" s="17" t="s">
        <v>784</v>
      </c>
      <c r="U204" s="17" t="s">
        <v>155</v>
      </c>
      <c r="V204" s="17" t="s">
        <v>791</v>
      </c>
      <c r="Y204" s="17" t="s">
        <v>164</v>
      </c>
      <c r="Z204" s="17" t="s">
        <v>165</v>
      </c>
      <c r="AA204" s="17" t="s">
        <v>166</v>
      </c>
      <c r="AB204" s="17" t="s">
        <v>167</v>
      </c>
      <c r="AC204" s="17" t="s">
        <v>168</v>
      </c>
      <c r="AF204" s="15" t="s">
        <v>556</v>
      </c>
      <c r="AG204" s="17" t="s">
        <v>791</v>
      </c>
      <c r="AH204" s="17" t="s">
        <v>792</v>
      </c>
      <c r="AI204" s="17" t="s">
        <v>784</v>
      </c>
      <c r="AJ204" s="17" t="s">
        <v>155</v>
      </c>
      <c r="AK204" s="17" t="s">
        <v>791</v>
      </c>
      <c r="AM204" t="s">
        <v>550</v>
      </c>
      <c r="AN204" s="17" t="s">
        <v>155</v>
      </c>
      <c r="AO204" s="17" t="s">
        <v>155</v>
      </c>
      <c r="AP204" s="17" t="s">
        <v>155</v>
      </c>
      <c r="AQ204" s="17" t="s">
        <v>155</v>
      </c>
      <c r="AR204" s="17" t="s">
        <v>383</v>
      </c>
      <c r="AU204" s="15" t="s">
        <v>556</v>
      </c>
      <c r="AV204" s="17" t="s">
        <v>791</v>
      </c>
      <c r="AW204" s="17" t="s">
        <v>792</v>
      </c>
      <c r="AX204" s="17" t="s">
        <v>784</v>
      </c>
      <c r="AY204" s="17" t="s">
        <v>155</v>
      </c>
      <c r="AZ204" s="17" t="s">
        <v>791</v>
      </c>
      <c r="BB204" t="s">
        <v>550</v>
      </c>
      <c r="BC204" s="17" t="s">
        <v>155</v>
      </c>
      <c r="BD204" s="17" t="s">
        <v>155</v>
      </c>
      <c r="BE204" s="17" t="s">
        <v>155</v>
      </c>
      <c r="BF204" s="17" t="s">
        <v>8</v>
      </c>
      <c r="BG204" s="17" t="s">
        <v>155</v>
      </c>
    </row>
    <row r="205" spans="17:59" x14ac:dyDescent="0.3">
      <c r="Q205" s="15" t="s">
        <v>557</v>
      </c>
      <c r="R205" s="17" t="s">
        <v>785</v>
      </c>
      <c r="S205" s="17" t="s">
        <v>792</v>
      </c>
      <c r="T205" s="17" t="s">
        <v>784</v>
      </c>
      <c r="U205" s="17" t="s">
        <v>785</v>
      </c>
      <c r="V205" s="17" t="s">
        <v>791</v>
      </c>
      <c r="X205" t="s">
        <v>158</v>
      </c>
      <c r="Y205" s="17" t="s">
        <v>155</v>
      </c>
      <c r="Z205" s="17" t="s">
        <v>8</v>
      </c>
      <c r="AA205" s="17" t="s">
        <v>155</v>
      </c>
      <c r="AB205" s="17" t="s">
        <v>155</v>
      </c>
      <c r="AC205" s="17" t="s">
        <v>155</v>
      </c>
      <c r="AF205" s="15" t="s">
        <v>557</v>
      </c>
      <c r="AG205" s="17" t="s">
        <v>785</v>
      </c>
      <c r="AH205" s="17" t="s">
        <v>792</v>
      </c>
      <c r="AI205" s="17" t="s">
        <v>784</v>
      </c>
      <c r="AJ205" s="17" t="s">
        <v>785</v>
      </c>
      <c r="AK205" s="17" t="s">
        <v>791</v>
      </c>
      <c r="AU205" s="15" t="s">
        <v>557</v>
      </c>
      <c r="AV205" s="17" t="s">
        <v>785</v>
      </c>
      <c r="AW205" s="17" t="s">
        <v>792</v>
      </c>
      <c r="AX205" s="17" t="s">
        <v>784</v>
      </c>
      <c r="AY205" s="17" t="s">
        <v>785</v>
      </c>
      <c r="AZ205" s="17" t="s">
        <v>791</v>
      </c>
      <c r="BB205" t="s">
        <v>158</v>
      </c>
      <c r="BC205" s="17" t="s">
        <v>155</v>
      </c>
      <c r="BD205" s="17" t="s">
        <v>8</v>
      </c>
      <c r="BE205" s="17" t="s">
        <v>155</v>
      </c>
      <c r="BF205" s="17" t="s">
        <v>8</v>
      </c>
      <c r="BG205" s="17" t="s">
        <v>155</v>
      </c>
    </row>
    <row r="206" spans="17:59" x14ac:dyDescent="0.3">
      <c r="Q206" s="15" t="s">
        <v>542</v>
      </c>
      <c r="R206" s="17" t="s">
        <v>785</v>
      </c>
      <c r="S206" s="17" t="s">
        <v>792</v>
      </c>
      <c r="T206" s="17" t="s">
        <v>784</v>
      </c>
      <c r="U206" s="17" t="s">
        <v>785</v>
      </c>
      <c r="V206" s="17" t="s">
        <v>793</v>
      </c>
      <c r="X206" t="s">
        <v>159</v>
      </c>
      <c r="Y206" s="17" t="s">
        <v>155</v>
      </c>
      <c r="Z206" s="17" t="s">
        <v>8</v>
      </c>
      <c r="AA206" s="17" t="s">
        <v>155</v>
      </c>
      <c r="AB206" s="17" t="s">
        <v>8</v>
      </c>
      <c r="AC206" s="17" t="s">
        <v>155</v>
      </c>
      <c r="AF206" s="15" t="s">
        <v>542</v>
      </c>
      <c r="AG206" s="17" t="s">
        <v>785</v>
      </c>
      <c r="AH206" s="17" t="s">
        <v>792</v>
      </c>
      <c r="AI206" s="17" t="s">
        <v>784</v>
      </c>
      <c r="AJ206" s="17" t="s">
        <v>785</v>
      </c>
      <c r="AK206" s="17" t="s">
        <v>793</v>
      </c>
      <c r="AM206" t="s">
        <v>713</v>
      </c>
      <c r="AU206" s="15" t="s">
        <v>542</v>
      </c>
      <c r="AV206" s="17" t="s">
        <v>785</v>
      </c>
      <c r="AW206" s="17" t="s">
        <v>792</v>
      </c>
      <c r="AX206" s="17" t="s">
        <v>784</v>
      </c>
      <c r="AY206" s="17" t="s">
        <v>785</v>
      </c>
      <c r="AZ206" s="17" t="s">
        <v>793</v>
      </c>
      <c r="BB206" t="s">
        <v>159</v>
      </c>
      <c r="BC206" s="17" t="s">
        <v>155</v>
      </c>
      <c r="BD206" s="17" t="s">
        <v>8</v>
      </c>
      <c r="BE206" s="17" t="s">
        <v>155</v>
      </c>
      <c r="BF206" s="17" t="s">
        <v>155</v>
      </c>
      <c r="BG206" s="17" t="s">
        <v>155</v>
      </c>
    </row>
    <row r="207" spans="17:59" x14ac:dyDescent="0.3">
      <c r="Q207" s="15" t="s">
        <v>543</v>
      </c>
      <c r="R207" s="17" t="s">
        <v>793</v>
      </c>
      <c r="S207" s="17" t="s">
        <v>155</v>
      </c>
      <c r="T207" s="17" t="s">
        <v>155</v>
      </c>
      <c r="U207" s="17" t="s">
        <v>155</v>
      </c>
      <c r="V207" s="17" t="s">
        <v>793</v>
      </c>
      <c r="X207" t="s">
        <v>160</v>
      </c>
      <c r="Y207" s="17" t="s">
        <v>155</v>
      </c>
      <c r="Z207" s="17" t="s">
        <v>8</v>
      </c>
      <c r="AA207" s="17" t="s">
        <v>155</v>
      </c>
      <c r="AB207" s="17" t="s">
        <v>8</v>
      </c>
      <c r="AC207" s="17" t="s">
        <v>155</v>
      </c>
      <c r="AF207" s="15" t="s">
        <v>543</v>
      </c>
      <c r="AG207" s="17" t="s">
        <v>793</v>
      </c>
      <c r="AH207" s="17" t="s">
        <v>792</v>
      </c>
      <c r="AI207" s="17" t="s">
        <v>155</v>
      </c>
      <c r="AJ207" s="17" t="s">
        <v>155</v>
      </c>
      <c r="AK207" s="17" t="s">
        <v>793</v>
      </c>
      <c r="AN207" s="17" t="s">
        <v>164</v>
      </c>
      <c r="AO207" s="17" t="s">
        <v>165</v>
      </c>
      <c r="AP207" s="17" t="s">
        <v>166</v>
      </c>
      <c r="AQ207" s="17" t="s">
        <v>167</v>
      </c>
      <c r="AR207" s="17" t="s">
        <v>168</v>
      </c>
      <c r="AU207" s="15" t="s">
        <v>543</v>
      </c>
      <c r="AV207" s="17" t="s">
        <v>793</v>
      </c>
      <c r="AW207" s="17" t="s">
        <v>155</v>
      </c>
      <c r="AX207" s="17" t="s">
        <v>155</v>
      </c>
      <c r="AY207" s="17" t="s">
        <v>155</v>
      </c>
      <c r="AZ207" s="17" t="s">
        <v>793</v>
      </c>
      <c r="BB207" t="s">
        <v>160</v>
      </c>
      <c r="BC207" s="17" t="s">
        <v>155</v>
      </c>
      <c r="BD207" s="17" t="s">
        <v>8</v>
      </c>
      <c r="BE207" s="17" t="s">
        <v>155</v>
      </c>
      <c r="BF207" s="17" t="s">
        <v>155</v>
      </c>
      <c r="BG207" s="17" t="s">
        <v>155</v>
      </c>
    </row>
    <row r="208" spans="17:59" x14ac:dyDescent="0.3">
      <c r="Q208" s="15" t="s">
        <v>544</v>
      </c>
      <c r="R208" s="17" t="s">
        <v>793</v>
      </c>
      <c r="S208" s="17" t="s">
        <v>155</v>
      </c>
      <c r="T208" s="17" t="s">
        <v>155</v>
      </c>
      <c r="U208" s="17" t="s">
        <v>155</v>
      </c>
      <c r="V208" s="17" t="s">
        <v>793</v>
      </c>
      <c r="X208" t="s">
        <v>554</v>
      </c>
      <c r="Y208" s="17" t="s">
        <v>155</v>
      </c>
      <c r="Z208" s="17" t="s">
        <v>22</v>
      </c>
      <c r="AA208" s="17" t="s">
        <v>155</v>
      </c>
      <c r="AB208" s="17" t="s">
        <v>22</v>
      </c>
      <c r="AC208" s="17" t="s">
        <v>155</v>
      </c>
      <c r="AF208" s="15" t="s">
        <v>544</v>
      </c>
      <c r="AG208" s="17" t="s">
        <v>793</v>
      </c>
      <c r="AH208" s="17" t="s">
        <v>155</v>
      </c>
      <c r="AI208" s="17" t="s">
        <v>155</v>
      </c>
      <c r="AJ208" s="17" t="s">
        <v>155</v>
      </c>
      <c r="AK208" s="17" t="s">
        <v>793</v>
      </c>
      <c r="AM208" t="s">
        <v>550</v>
      </c>
      <c r="AN208" s="17" t="s">
        <v>155</v>
      </c>
      <c r="AO208" s="17" t="s">
        <v>155</v>
      </c>
      <c r="AP208" s="17" t="s">
        <v>155</v>
      </c>
      <c r="AQ208" s="17" t="s">
        <v>8</v>
      </c>
      <c r="AR208" s="17" t="s">
        <v>155</v>
      </c>
      <c r="AU208" s="15" t="s">
        <v>544</v>
      </c>
      <c r="AV208" s="17" t="s">
        <v>793</v>
      </c>
      <c r="AW208" s="17" t="s">
        <v>155</v>
      </c>
      <c r="AX208" s="17" t="s">
        <v>155</v>
      </c>
      <c r="AY208" s="17" t="s">
        <v>155</v>
      </c>
      <c r="AZ208" s="17" t="s">
        <v>793</v>
      </c>
      <c r="BB208" t="s">
        <v>554</v>
      </c>
      <c r="BC208" s="17" t="s">
        <v>155</v>
      </c>
      <c r="BD208" s="17" t="s">
        <v>22</v>
      </c>
      <c r="BE208" s="17" t="s">
        <v>155</v>
      </c>
      <c r="BF208" s="17" t="s">
        <v>22</v>
      </c>
      <c r="BG208" s="17" t="s">
        <v>155</v>
      </c>
    </row>
    <row r="209" spans="17:59" x14ac:dyDescent="0.3">
      <c r="Q209" s="15" t="s">
        <v>545</v>
      </c>
      <c r="R209" s="17" t="s">
        <v>155</v>
      </c>
      <c r="S209" s="17" t="s">
        <v>155</v>
      </c>
      <c r="T209" s="17" t="s">
        <v>155</v>
      </c>
      <c r="U209" s="17" t="s">
        <v>155</v>
      </c>
      <c r="V209" s="17" t="s">
        <v>155</v>
      </c>
      <c r="X209" t="s">
        <v>555</v>
      </c>
      <c r="Y209" s="17" t="s">
        <v>155</v>
      </c>
      <c r="Z209" s="17" t="s">
        <v>22</v>
      </c>
      <c r="AA209" s="17" t="s">
        <v>155</v>
      </c>
      <c r="AB209" s="17" t="s">
        <v>22</v>
      </c>
      <c r="AC209" s="17" t="s">
        <v>155</v>
      </c>
      <c r="AF209" s="15" t="s">
        <v>545</v>
      </c>
      <c r="AG209" s="17" t="s">
        <v>155</v>
      </c>
      <c r="AH209" s="17" t="s">
        <v>155</v>
      </c>
      <c r="AI209" s="17" t="s">
        <v>155</v>
      </c>
      <c r="AJ209" s="17" t="s">
        <v>155</v>
      </c>
      <c r="AK209" s="17" t="s">
        <v>155</v>
      </c>
      <c r="AM209" t="s">
        <v>158</v>
      </c>
      <c r="AN209" s="17" t="s">
        <v>155</v>
      </c>
      <c r="AO209" s="17" t="s">
        <v>8</v>
      </c>
      <c r="AP209" s="17" t="s">
        <v>155</v>
      </c>
      <c r="AQ209" s="17" t="s">
        <v>8</v>
      </c>
      <c r="AR209" s="17" t="s">
        <v>155</v>
      </c>
      <c r="AU209" s="15" t="s">
        <v>545</v>
      </c>
      <c r="AV209" s="17" t="s">
        <v>155</v>
      </c>
      <c r="AW209" s="17" t="s">
        <v>155</v>
      </c>
      <c r="AX209" s="17" t="s">
        <v>155</v>
      </c>
      <c r="AY209" s="17" t="s">
        <v>155</v>
      </c>
      <c r="AZ209" s="17" t="s">
        <v>155</v>
      </c>
      <c r="BB209" t="s">
        <v>555</v>
      </c>
      <c r="BC209" s="17" t="s">
        <v>155</v>
      </c>
      <c r="BD209" s="17" t="s">
        <v>22</v>
      </c>
      <c r="BE209" s="17" t="s">
        <v>155</v>
      </c>
      <c r="BF209" s="17" t="s">
        <v>22</v>
      </c>
      <c r="BG209" s="17" t="s">
        <v>155</v>
      </c>
    </row>
    <row r="210" spans="17:59" x14ac:dyDescent="0.3">
      <c r="X210" t="s">
        <v>556</v>
      </c>
      <c r="Y210" s="17" t="s">
        <v>155</v>
      </c>
      <c r="Z210" s="17" t="s">
        <v>23</v>
      </c>
      <c r="AA210" s="17" t="s">
        <v>155</v>
      </c>
      <c r="AB210" s="17" t="s">
        <v>22</v>
      </c>
      <c r="AC210" s="17" t="s">
        <v>155</v>
      </c>
      <c r="AM210" t="s">
        <v>159</v>
      </c>
      <c r="AN210" s="17" t="s">
        <v>155</v>
      </c>
      <c r="AO210" s="17" t="s">
        <v>8</v>
      </c>
      <c r="AP210" s="17" t="s">
        <v>155</v>
      </c>
      <c r="AQ210" s="17" t="s">
        <v>155</v>
      </c>
      <c r="AR210" s="17" t="s">
        <v>155</v>
      </c>
      <c r="BB210" t="s">
        <v>556</v>
      </c>
      <c r="BC210" s="17" t="s">
        <v>155</v>
      </c>
      <c r="BD210" s="17" t="s">
        <v>23</v>
      </c>
      <c r="BE210" s="17" t="s">
        <v>155</v>
      </c>
      <c r="BF210" s="17" t="s">
        <v>22</v>
      </c>
      <c r="BG210" s="17" t="s">
        <v>155</v>
      </c>
    </row>
    <row r="211" spans="17:59" x14ac:dyDescent="0.3">
      <c r="Q211" s="15" t="s">
        <v>794</v>
      </c>
      <c r="X211" t="s">
        <v>557</v>
      </c>
      <c r="Y211" s="17" t="s">
        <v>155</v>
      </c>
      <c r="Z211" s="17" t="s">
        <v>23</v>
      </c>
      <c r="AA211" s="17" t="s">
        <v>155</v>
      </c>
      <c r="AB211" s="17" t="s">
        <v>155</v>
      </c>
      <c r="AC211" s="17" t="s">
        <v>155</v>
      </c>
      <c r="AF211" s="15" t="s">
        <v>794</v>
      </c>
      <c r="AM211" t="s">
        <v>160</v>
      </c>
      <c r="AN211" s="17" t="s">
        <v>155</v>
      </c>
      <c r="AO211" s="17" t="s">
        <v>8</v>
      </c>
      <c r="AP211" s="17" t="s">
        <v>155</v>
      </c>
      <c r="AQ211" s="17" t="s">
        <v>155</v>
      </c>
      <c r="AR211" s="17" t="s">
        <v>155</v>
      </c>
      <c r="AU211" s="15" t="s">
        <v>794</v>
      </c>
      <c r="BB211" t="s">
        <v>557</v>
      </c>
      <c r="BC211" s="17" t="s">
        <v>155</v>
      </c>
      <c r="BD211" s="17" t="s">
        <v>23</v>
      </c>
      <c r="BE211" s="17" t="s">
        <v>155</v>
      </c>
      <c r="BF211" s="17" t="s">
        <v>155</v>
      </c>
      <c r="BG211" s="17" t="s">
        <v>155</v>
      </c>
    </row>
    <row r="212" spans="17:59" x14ac:dyDescent="0.3">
      <c r="R212" s="17" t="s">
        <v>164</v>
      </c>
      <c r="S212" s="17" t="s">
        <v>165</v>
      </c>
      <c r="T212" s="17" t="s">
        <v>166</v>
      </c>
      <c r="U212" s="17" t="s">
        <v>167</v>
      </c>
      <c r="V212" s="17" t="s">
        <v>168</v>
      </c>
      <c r="AG212" s="17" t="s">
        <v>164</v>
      </c>
      <c r="AH212" s="17" t="s">
        <v>165</v>
      </c>
      <c r="AI212" s="17" t="s">
        <v>166</v>
      </c>
      <c r="AJ212" s="17" t="s">
        <v>167</v>
      </c>
      <c r="AK212" s="17" t="s">
        <v>168</v>
      </c>
      <c r="AM212" t="s">
        <v>554</v>
      </c>
      <c r="AN212" s="17" t="s">
        <v>155</v>
      </c>
      <c r="AO212" s="17" t="s">
        <v>22</v>
      </c>
      <c r="AP212" s="17" t="s">
        <v>155</v>
      </c>
      <c r="AQ212" s="17" t="s">
        <v>23</v>
      </c>
      <c r="AR212" s="17" t="s">
        <v>155</v>
      </c>
      <c r="AV212" s="17" t="s">
        <v>164</v>
      </c>
      <c r="AW212" s="17" t="s">
        <v>165</v>
      </c>
      <c r="AX212" s="17" t="s">
        <v>166</v>
      </c>
      <c r="AY212" s="17" t="s">
        <v>167</v>
      </c>
      <c r="AZ212" s="17" t="s">
        <v>168</v>
      </c>
    </row>
    <row r="213" spans="17:59" x14ac:dyDescent="0.3">
      <c r="Q213" s="15" t="s">
        <v>555</v>
      </c>
      <c r="R213" s="17" t="s">
        <v>155</v>
      </c>
      <c r="S213" s="17" t="s">
        <v>795</v>
      </c>
      <c r="T213" s="17" t="s">
        <v>155</v>
      </c>
      <c r="U213" s="17" t="s">
        <v>155</v>
      </c>
      <c r="V213" s="17" t="s">
        <v>155</v>
      </c>
      <c r="X213" t="s">
        <v>826</v>
      </c>
      <c r="AF213" s="15" t="s">
        <v>555</v>
      </c>
      <c r="AG213" s="17" t="s">
        <v>155</v>
      </c>
      <c r="AH213" s="17" t="s">
        <v>795</v>
      </c>
      <c r="AI213" s="17" t="s">
        <v>155</v>
      </c>
      <c r="AJ213" s="17" t="s">
        <v>155</v>
      </c>
      <c r="AK213" s="17" t="s">
        <v>155</v>
      </c>
      <c r="AM213" t="s">
        <v>555</v>
      </c>
      <c r="AN213" s="17" t="s">
        <v>155</v>
      </c>
      <c r="AO213" s="17" t="s">
        <v>22</v>
      </c>
      <c r="AP213" s="17" t="s">
        <v>155</v>
      </c>
      <c r="AQ213" s="17" t="s">
        <v>23</v>
      </c>
      <c r="AR213" s="17" t="s">
        <v>155</v>
      </c>
      <c r="AU213" s="15" t="s">
        <v>555</v>
      </c>
      <c r="AV213" s="17" t="s">
        <v>155</v>
      </c>
      <c r="AW213" s="17" t="s">
        <v>795</v>
      </c>
      <c r="AX213" s="17" t="s">
        <v>155</v>
      </c>
      <c r="AY213" s="17" t="s">
        <v>155</v>
      </c>
      <c r="AZ213" s="17" t="s">
        <v>155</v>
      </c>
      <c r="BB213" t="s">
        <v>826</v>
      </c>
    </row>
    <row r="214" spans="17:59" x14ac:dyDescent="0.3">
      <c r="Q214" s="15" t="s">
        <v>556</v>
      </c>
      <c r="R214" s="17" t="s">
        <v>155</v>
      </c>
      <c r="S214" s="17" t="s">
        <v>795</v>
      </c>
      <c r="T214" s="17" t="s">
        <v>784</v>
      </c>
      <c r="U214" s="17" t="s">
        <v>155</v>
      </c>
      <c r="V214" s="17" t="s">
        <v>155</v>
      </c>
      <c r="Y214" s="17" t="s">
        <v>164</v>
      </c>
      <c r="Z214" s="17" t="s">
        <v>165</v>
      </c>
      <c r="AA214" s="17" t="s">
        <v>166</v>
      </c>
      <c r="AB214" s="17" t="s">
        <v>167</v>
      </c>
      <c r="AC214" s="17" t="s">
        <v>168</v>
      </c>
      <c r="AF214" s="15" t="s">
        <v>556</v>
      </c>
      <c r="AG214" s="17" t="s">
        <v>155</v>
      </c>
      <c r="AH214" s="17" t="s">
        <v>795</v>
      </c>
      <c r="AI214" s="17" t="s">
        <v>784</v>
      </c>
      <c r="AJ214" s="17" t="s">
        <v>155</v>
      </c>
      <c r="AK214" s="17" t="s">
        <v>155</v>
      </c>
      <c r="AM214" t="s">
        <v>556</v>
      </c>
      <c r="AN214" s="17" t="s">
        <v>155</v>
      </c>
      <c r="AO214" s="17" t="s">
        <v>22</v>
      </c>
      <c r="AP214" s="17" t="s">
        <v>155</v>
      </c>
      <c r="AQ214" s="17" t="s">
        <v>22</v>
      </c>
      <c r="AR214" s="17" t="s">
        <v>155</v>
      </c>
      <c r="AU214" s="15" t="s">
        <v>556</v>
      </c>
      <c r="AV214" s="17" t="s">
        <v>155</v>
      </c>
      <c r="AW214" s="17" t="s">
        <v>795</v>
      </c>
      <c r="AX214" s="17" t="s">
        <v>784</v>
      </c>
      <c r="AY214" s="17" t="s">
        <v>155</v>
      </c>
      <c r="AZ214" s="17" t="s">
        <v>155</v>
      </c>
      <c r="BC214" s="17" t="s">
        <v>164</v>
      </c>
      <c r="BD214" s="17" t="s">
        <v>165</v>
      </c>
      <c r="BE214" s="17" t="s">
        <v>166</v>
      </c>
      <c r="BF214" s="17" t="s">
        <v>167</v>
      </c>
      <c r="BG214" s="17" t="s">
        <v>168</v>
      </c>
    </row>
    <row r="215" spans="17:59" x14ac:dyDescent="0.3">
      <c r="Q215" s="15" t="s">
        <v>557</v>
      </c>
      <c r="R215" s="17" t="s">
        <v>785</v>
      </c>
      <c r="S215" s="17" t="s">
        <v>795</v>
      </c>
      <c r="T215" s="17" t="s">
        <v>784</v>
      </c>
      <c r="U215" s="17" t="s">
        <v>785</v>
      </c>
      <c r="V215" s="17" t="s">
        <v>796</v>
      </c>
      <c r="X215" t="s">
        <v>557</v>
      </c>
      <c r="Y215" s="17" t="s">
        <v>458</v>
      </c>
      <c r="Z215" s="17" t="s">
        <v>155</v>
      </c>
      <c r="AA215" s="17" t="s">
        <v>155</v>
      </c>
      <c r="AB215" s="17" t="s">
        <v>458</v>
      </c>
      <c r="AC215" s="17" t="s">
        <v>155</v>
      </c>
      <c r="AF215" s="15" t="s">
        <v>557</v>
      </c>
      <c r="AG215" s="17" t="s">
        <v>785</v>
      </c>
      <c r="AH215" s="17" t="s">
        <v>795</v>
      </c>
      <c r="AI215" s="17" t="s">
        <v>784</v>
      </c>
      <c r="AJ215" s="17" t="s">
        <v>785</v>
      </c>
      <c r="AK215" s="17" t="s">
        <v>796</v>
      </c>
      <c r="AM215" t="s">
        <v>557</v>
      </c>
      <c r="AN215" s="17" t="s">
        <v>155</v>
      </c>
      <c r="AO215" s="17" t="s">
        <v>155</v>
      </c>
      <c r="AP215" s="17" t="s">
        <v>155</v>
      </c>
      <c r="AQ215" s="17" t="s">
        <v>22</v>
      </c>
      <c r="AR215" s="17" t="s">
        <v>155</v>
      </c>
      <c r="AU215" s="15" t="s">
        <v>557</v>
      </c>
      <c r="AV215" s="17" t="s">
        <v>785</v>
      </c>
      <c r="AW215" s="17" t="s">
        <v>795</v>
      </c>
      <c r="AX215" s="17" t="s">
        <v>784</v>
      </c>
      <c r="AY215" s="17" t="s">
        <v>785</v>
      </c>
      <c r="AZ215" s="17" t="s">
        <v>796</v>
      </c>
      <c r="BB215" t="s">
        <v>557</v>
      </c>
      <c r="BC215" s="17" t="s">
        <v>458</v>
      </c>
      <c r="BD215" s="17" t="s">
        <v>155</v>
      </c>
      <c r="BE215" s="17" t="s">
        <v>155</v>
      </c>
      <c r="BF215" s="17" t="s">
        <v>155</v>
      </c>
      <c r="BG215" s="17" t="s">
        <v>155</v>
      </c>
    </row>
    <row r="216" spans="17:59" x14ac:dyDescent="0.3">
      <c r="Q216" s="15" t="s">
        <v>542</v>
      </c>
      <c r="R216" s="17" t="s">
        <v>785</v>
      </c>
      <c r="S216" s="17" t="s">
        <v>795</v>
      </c>
      <c r="T216" s="17" t="s">
        <v>784</v>
      </c>
      <c r="U216" s="17" t="s">
        <v>785</v>
      </c>
      <c r="V216" s="17" t="s">
        <v>796</v>
      </c>
      <c r="X216" t="s">
        <v>542</v>
      </c>
      <c r="Y216" s="17" t="s">
        <v>458</v>
      </c>
      <c r="Z216" s="17" t="s">
        <v>155</v>
      </c>
      <c r="AA216" s="17" t="s">
        <v>155</v>
      </c>
      <c r="AB216" s="17" t="s">
        <v>458</v>
      </c>
      <c r="AC216" s="17" t="s">
        <v>155</v>
      </c>
      <c r="AF216" s="15" t="s">
        <v>542</v>
      </c>
      <c r="AG216" s="17" t="s">
        <v>785</v>
      </c>
      <c r="AH216" s="17" t="s">
        <v>795</v>
      </c>
      <c r="AI216" s="17" t="s">
        <v>784</v>
      </c>
      <c r="AJ216" s="17" t="s">
        <v>785</v>
      </c>
      <c r="AK216" s="17" t="s">
        <v>796</v>
      </c>
      <c r="AU216" s="15" t="s">
        <v>542</v>
      </c>
      <c r="AV216" s="17" t="s">
        <v>785</v>
      </c>
      <c r="AW216" s="17" t="s">
        <v>795</v>
      </c>
      <c r="AX216" s="17" t="s">
        <v>784</v>
      </c>
      <c r="AY216" s="17" t="s">
        <v>785</v>
      </c>
      <c r="AZ216" s="17" t="s">
        <v>796</v>
      </c>
      <c r="BB216" t="s">
        <v>542</v>
      </c>
      <c r="BC216" s="17" t="s">
        <v>458</v>
      </c>
      <c r="BD216" s="17" t="s">
        <v>155</v>
      </c>
      <c r="BE216" s="17" t="s">
        <v>155</v>
      </c>
      <c r="BF216" s="17" t="s">
        <v>458</v>
      </c>
      <c r="BG216" s="17" t="s">
        <v>155</v>
      </c>
    </row>
    <row r="217" spans="17:59" x14ac:dyDescent="0.3">
      <c r="Q217" s="15" t="s">
        <v>543</v>
      </c>
      <c r="R217" s="17" t="s">
        <v>797</v>
      </c>
      <c r="S217" s="17" t="s">
        <v>796</v>
      </c>
      <c r="T217" s="17" t="s">
        <v>798</v>
      </c>
      <c r="U217" s="17" t="s">
        <v>797</v>
      </c>
      <c r="V217" s="17" t="s">
        <v>798</v>
      </c>
      <c r="AF217" s="15" t="s">
        <v>543</v>
      </c>
      <c r="AG217" s="17" t="s">
        <v>797</v>
      </c>
      <c r="AH217" s="17" t="s">
        <v>796</v>
      </c>
      <c r="AI217" s="17" t="s">
        <v>798</v>
      </c>
      <c r="AJ217" s="17" t="s">
        <v>797</v>
      </c>
      <c r="AK217" s="17" t="s">
        <v>798</v>
      </c>
      <c r="AM217" t="s">
        <v>826</v>
      </c>
      <c r="AU217" s="15" t="s">
        <v>543</v>
      </c>
      <c r="AV217" s="17" t="s">
        <v>797</v>
      </c>
      <c r="AW217" s="17" t="s">
        <v>796</v>
      </c>
      <c r="AX217" s="17" t="s">
        <v>798</v>
      </c>
      <c r="AY217" s="17" t="s">
        <v>797</v>
      </c>
      <c r="AZ217" s="17" t="s">
        <v>798</v>
      </c>
      <c r="BB217" t="s">
        <v>543</v>
      </c>
      <c r="BC217" s="17" t="s">
        <v>155</v>
      </c>
      <c r="BD217" s="17" t="s">
        <v>155</v>
      </c>
      <c r="BE217" s="17" t="s">
        <v>155</v>
      </c>
      <c r="BF217" s="17" t="s">
        <v>458</v>
      </c>
      <c r="BG217" s="17" t="s">
        <v>155</v>
      </c>
    </row>
    <row r="218" spans="17:59" x14ac:dyDescent="0.3">
      <c r="Q218" s="15" t="s">
        <v>544</v>
      </c>
      <c r="R218" s="17" t="s">
        <v>797</v>
      </c>
      <c r="S218" s="17" t="s">
        <v>796</v>
      </c>
      <c r="T218" s="17" t="s">
        <v>798</v>
      </c>
      <c r="U218" s="17" t="s">
        <v>797</v>
      </c>
      <c r="V218" s="17" t="s">
        <v>798</v>
      </c>
      <c r="X218" t="s">
        <v>744</v>
      </c>
      <c r="AF218" s="15" t="s">
        <v>544</v>
      </c>
      <c r="AG218" s="17" t="s">
        <v>797</v>
      </c>
      <c r="AH218" s="17" t="s">
        <v>796</v>
      </c>
      <c r="AI218" s="17" t="s">
        <v>798</v>
      </c>
      <c r="AJ218" s="17" t="s">
        <v>797</v>
      </c>
      <c r="AK218" s="17" t="s">
        <v>798</v>
      </c>
      <c r="AN218" s="17" t="s">
        <v>164</v>
      </c>
      <c r="AO218" s="17" t="s">
        <v>165</v>
      </c>
      <c r="AP218" s="17" t="s">
        <v>166</v>
      </c>
      <c r="AQ218" s="17" t="s">
        <v>167</v>
      </c>
      <c r="AR218" s="17" t="s">
        <v>168</v>
      </c>
      <c r="AU218" s="15" t="s">
        <v>544</v>
      </c>
      <c r="AV218" s="17" t="s">
        <v>797</v>
      </c>
      <c r="AW218" s="17" t="s">
        <v>796</v>
      </c>
      <c r="AX218" s="17" t="s">
        <v>798</v>
      </c>
      <c r="AY218" s="17" t="s">
        <v>797</v>
      </c>
      <c r="AZ218" s="17" t="s">
        <v>798</v>
      </c>
    </row>
    <row r="219" spans="17:59" x14ac:dyDescent="0.3">
      <c r="Q219" s="15" t="s">
        <v>545</v>
      </c>
      <c r="R219" s="17" t="s">
        <v>797</v>
      </c>
      <c r="S219" s="17" t="s">
        <v>155</v>
      </c>
      <c r="T219" s="17" t="s">
        <v>155</v>
      </c>
      <c r="U219" s="17" t="s">
        <v>155</v>
      </c>
      <c r="V219" s="17" t="s">
        <v>798</v>
      </c>
      <c r="Y219" s="17" t="s">
        <v>164</v>
      </c>
      <c r="Z219" s="17" t="s">
        <v>165</v>
      </c>
      <c r="AA219" s="17" t="s">
        <v>166</v>
      </c>
      <c r="AB219" s="17" t="s">
        <v>167</v>
      </c>
      <c r="AC219" s="17" t="s">
        <v>168</v>
      </c>
      <c r="AF219" s="15" t="s">
        <v>545</v>
      </c>
      <c r="AG219" s="17" t="s">
        <v>155</v>
      </c>
      <c r="AH219" s="17" t="s">
        <v>155</v>
      </c>
      <c r="AI219" s="17" t="s">
        <v>798</v>
      </c>
      <c r="AJ219" s="17" t="s">
        <v>797</v>
      </c>
      <c r="AK219" s="17" t="s">
        <v>155</v>
      </c>
      <c r="AM219" t="s">
        <v>557</v>
      </c>
      <c r="AN219" s="17" t="s">
        <v>458</v>
      </c>
      <c r="AO219" s="17" t="s">
        <v>155</v>
      </c>
      <c r="AP219" s="17" t="s">
        <v>155</v>
      </c>
      <c r="AQ219" s="17" t="s">
        <v>458</v>
      </c>
      <c r="AR219" s="17" t="s">
        <v>155</v>
      </c>
      <c r="AU219" s="15" t="s">
        <v>545</v>
      </c>
      <c r="AV219" s="17" t="s">
        <v>797</v>
      </c>
      <c r="AW219" s="17" t="s">
        <v>155</v>
      </c>
      <c r="AX219" s="17" t="s">
        <v>798</v>
      </c>
      <c r="AY219" s="17" t="s">
        <v>155</v>
      </c>
      <c r="AZ219" s="17" t="s">
        <v>155</v>
      </c>
      <c r="BB219" t="s">
        <v>744</v>
      </c>
    </row>
    <row r="220" spans="17:59" x14ac:dyDescent="0.3">
      <c r="X220" t="s">
        <v>548</v>
      </c>
      <c r="Y220" s="17" t="s">
        <v>155</v>
      </c>
      <c r="Z220" s="17" t="s">
        <v>367</v>
      </c>
      <c r="AA220" s="17" t="s">
        <v>155</v>
      </c>
      <c r="AB220" s="17" t="s">
        <v>367</v>
      </c>
      <c r="AC220" s="17" t="s">
        <v>155</v>
      </c>
      <c r="AM220" t="s">
        <v>542</v>
      </c>
      <c r="AN220" s="17" t="s">
        <v>458</v>
      </c>
      <c r="AO220" s="17" t="s">
        <v>155</v>
      </c>
      <c r="AP220" s="17" t="s">
        <v>155</v>
      </c>
      <c r="AQ220" s="17" t="s">
        <v>458</v>
      </c>
      <c r="AR220" s="17" t="s">
        <v>155</v>
      </c>
      <c r="BC220" s="17" t="s">
        <v>164</v>
      </c>
      <c r="BD220" s="17" t="s">
        <v>165</v>
      </c>
      <c r="BE220" s="17" t="s">
        <v>166</v>
      </c>
      <c r="BF220" s="17" t="s">
        <v>167</v>
      </c>
      <c r="BG220" s="17" t="s">
        <v>168</v>
      </c>
    </row>
    <row r="221" spans="17:59" x14ac:dyDescent="0.3">
      <c r="Q221" s="15" t="s">
        <v>799</v>
      </c>
      <c r="X221" t="s">
        <v>549</v>
      </c>
      <c r="Y221" s="17" t="s">
        <v>155</v>
      </c>
      <c r="Z221" s="17" t="s">
        <v>367</v>
      </c>
      <c r="AA221" s="17" t="s">
        <v>155</v>
      </c>
      <c r="AB221" s="17" t="s">
        <v>367</v>
      </c>
      <c r="AC221" s="17" t="s">
        <v>155</v>
      </c>
      <c r="AF221" s="15" t="s">
        <v>799</v>
      </c>
      <c r="AU221" s="15" t="s">
        <v>799</v>
      </c>
      <c r="BB221" t="s">
        <v>548</v>
      </c>
      <c r="BC221" s="17" t="s">
        <v>155</v>
      </c>
      <c r="BD221" s="17" t="s">
        <v>367</v>
      </c>
      <c r="BE221" s="17" t="s">
        <v>155</v>
      </c>
      <c r="BF221" s="17" t="s">
        <v>367</v>
      </c>
      <c r="BG221" s="17" t="s">
        <v>155</v>
      </c>
    </row>
    <row r="222" spans="17:59" x14ac:dyDescent="0.3">
      <c r="R222" s="17" t="s">
        <v>164</v>
      </c>
      <c r="S222" s="17" t="s">
        <v>165</v>
      </c>
      <c r="T222" s="17" t="s">
        <v>166</v>
      </c>
      <c r="U222" s="17" t="s">
        <v>167</v>
      </c>
      <c r="V222" s="17" t="s">
        <v>168</v>
      </c>
      <c r="AG222" s="17" t="s">
        <v>164</v>
      </c>
      <c r="AH222" s="17" t="s">
        <v>165</v>
      </c>
      <c r="AI222" s="17" t="s">
        <v>166</v>
      </c>
      <c r="AJ222" s="17" t="s">
        <v>167</v>
      </c>
      <c r="AK222" s="17" t="s">
        <v>168</v>
      </c>
      <c r="AM222" t="s">
        <v>744</v>
      </c>
      <c r="AV222" s="17" t="s">
        <v>164</v>
      </c>
      <c r="AW222" s="17" t="s">
        <v>165</v>
      </c>
      <c r="AX222" s="17" t="s">
        <v>166</v>
      </c>
      <c r="AY222" s="17" t="s">
        <v>167</v>
      </c>
      <c r="AZ222" s="17" t="s">
        <v>168</v>
      </c>
      <c r="BB222" t="s">
        <v>549</v>
      </c>
      <c r="BC222" s="17" t="s">
        <v>155</v>
      </c>
      <c r="BD222" s="17" t="s">
        <v>367</v>
      </c>
      <c r="BE222" s="17" t="s">
        <v>155</v>
      </c>
      <c r="BF222" s="17" t="s">
        <v>367</v>
      </c>
      <c r="BG222" s="17" t="s">
        <v>155</v>
      </c>
    </row>
    <row r="223" spans="17:59" x14ac:dyDescent="0.3">
      <c r="Q223" s="15" t="s">
        <v>555</v>
      </c>
      <c r="R223" s="17" t="s">
        <v>800</v>
      </c>
      <c r="S223" s="17" t="s">
        <v>795</v>
      </c>
      <c r="T223" s="17" t="s">
        <v>635</v>
      </c>
      <c r="U223" s="17" t="s">
        <v>155</v>
      </c>
      <c r="V223" s="17" t="s">
        <v>155</v>
      </c>
      <c r="X223" t="s">
        <v>827</v>
      </c>
      <c r="AF223" s="15" t="s">
        <v>555</v>
      </c>
      <c r="AG223" s="17" t="s">
        <v>800</v>
      </c>
      <c r="AH223" s="17" t="s">
        <v>795</v>
      </c>
      <c r="AI223" s="17" t="s">
        <v>635</v>
      </c>
      <c r="AJ223" s="17" t="s">
        <v>155</v>
      </c>
      <c r="AK223" s="17" t="s">
        <v>800</v>
      </c>
      <c r="AN223" s="17" t="s">
        <v>164</v>
      </c>
      <c r="AO223" s="17" t="s">
        <v>165</v>
      </c>
      <c r="AP223" s="17" t="s">
        <v>166</v>
      </c>
      <c r="AQ223" s="17" t="s">
        <v>167</v>
      </c>
      <c r="AR223" s="17" t="s">
        <v>168</v>
      </c>
      <c r="AU223" s="15" t="s">
        <v>555</v>
      </c>
      <c r="AV223" s="17" t="s">
        <v>800</v>
      </c>
      <c r="AW223" s="17" t="s">
        <v>795</v>
      </c>
      <c r="AX223" s="17" t="s">
        <v>635</v>
      </c>
      <c r="AY223" s="17" t="s">
        <v>800</v>
      </c>
      <c r="AZ223" s="17" t="s">
        <v>155</v>
      </c>
    </row>
    <row r="224" spans="17:59" x14ac:dyDescent="0.3">
      <c r="Q224" s="15" t="s">
        <v>556</v>
      </c>
      <c r="R224" s="17" t="s">
        <v>800</v>
      </c>
      <c r="S224" s="17" t="s">
        <v>795</v>
      </c>
      <c r="T224" s="17" t="s">
        <v>635</v>
      </c>
      <c r="U224" s="17" t="s">
        <v>155</v>
      </c>
      <c r="V224" s="17" t="s">
        <v>155</v>
      </c>
      <c r="Y224" s="17" t="s">
        <v>164</v>
      </c>
      <c r="Z224" s="17" t="s">
        <v>165</v>
      </c>
      <c r="AA224" s="17" t="s">
        <v>166</v>
      </c>
      <c r="AB224" s="17" t="s">
        <v>167</v>
      </c>
      <c r="AC224" s="17" t="s">
        <v>168</v>
      </c>
      <c r="AF224" s="15" t="s">
        <v>556</v>
      </c>
      <c r="AG224" s="17" t="s">
        <v>800</v>
      </c>
      <c r="AH224" s="17" t="s">
        <v>795</v>
      </c>
      <c r="AI224" s="17" t="s">
        <v>635</v>
      </c>
      <c r="AJ224" s="17" t="s">
        <v>155</v>
      </c>
      <c r="AK224" s="17" t="s">
        <v>800</v>
      </c>
      <c r="AM224" t="s">
        <v>548</v>
      </c>
      <c r="AN224" s="17" t="s">
        <v>155</v>
      </c>
      <c r="AO224" s="17" t="s">
        <v>367</v>
      </c>
      <c r="AP224" s="17" t="s">
        <v>155</v>
      </c>
      <c r="AQ224" s="17" t="s">
        <v>367</v>
      </c>
      <c r="AR224" s="17" t="s">
        <v>155</v>
      </c>
      <c r="AU224" s="15" t="s">
        <v>556</v>
      </c>
      <c r="AV224" s="17" t="s">
        <v>800</v>
      </c>
      <c r="AW224" s="17" t="s">
        <v>795</v>
      </c>
      <c r="AX224" s="17" t="s">
        <v>635</v>
      </c>
      <c r="AY224" s="17" t="s">
        <v>800</v>
      </c>
      <c r="AZ224" s="17" t="s">
        <v>155</v>
      </c>
      <c r="BB224" t="s">
        <v>827</v>
      </c>
    </row>
    <row r="225" spans="17:59" x14ac:dyDescent="0.3">
      <c r="Q225" s="15" t="s">
        <v>557</v>
      </c>
      <c r="R225" s="17" t="s">
        <v>785</v>
      </c>
      <c r="S225" s="17" t="s">
        <v>795</v>
      </c>
      <c r="T225" s="17" t="s">
        <v>635</v>
      </c>
      <c r="U225" s="17" t="s">
        <v>785</v>
      </c>
      <c r="V225" s="17" t="s">
        <v>801</v>
      </c>
      <c r="X225" t="s">
        <v>557</v>
      </c>
      <c r="Y225" s="17" t="s">
        <v>155</v>
      </c>
      <c r="Z225" s="17" t="s">
        <v>155</v>
      </c>
      <c r="AA225" s="17" t="s">
        <v>155</v>
      </c>
      <c r="AB225" s="17" t="s">
        <v>155</v>
      </c>
      <c r="AC225" s="17" t="s">
        <v>407</v>
      </c>
      <c r="AF225" s="15" t="s">
        <v>557</v>
      </c>
      <c r="AG225" s="17" t="s">
        <v>785</v>
      </c>
      <c r="AH225" s="17" t="s">
        <v>795</v>
      </c>
      <c r="AI225" s="17" t="s">
        <v>635</v>
      </c>
      <c r="AJ225" s="17" t="s">
        <v>785</v>
      </c>
      <c r="AK225" s="17" t="s">
        <v>801</v>
      </c>
      <c r="AM225" t="s">
        <v>549</v>
      </c>
      <c r="AN225" s="17" t="s">
        <v>155</v>
      </c>
      <c r="AO225" s="17" t="s">
        <v>367</v>
      </c>
      <c r="AP225" s="17" t="s">
        <v>155</v>
      </c>
      <c r="AQ225" s="17" t="s">
        <v>367</v>
      </c>
      <c r="AR225" s="17" t="s">
        <v>155</v>
      </c>
      <c r="AU225" s="15" t="s">
        <v>557</v>
      </c>
      <c r="AV225" s="17" t="s">
        <v>785</v>
      </c>
      <c r="AW225" s="17" t="s">
        <v>795</v>
      </c>
      <c r="AX225" s="17" t="s">
        <v>635</v>
      </c>
      <c r="AY225" s="17" t="s">
        <v>785</v>
      </c>
      <c r="AZ225" s="17" t="s">
        <v>801</v>
      </c>
      <c r="BC225" s="17" t="s">
        <v>164</v>
      </c>
      <c r="BD225" s="17" t="s">
        <v>165</v>
      </c>
      <c r="BE225" s="17" t="s">
        <v>166</v>
      </c>
      <c r="BF225" s="17" t="s">
        <v>167</v>
      </c>
      <c r="BG225" s="17" t="s">
        <v>168</v>
      </c>
    </row>
    <row r="226" spans="17:59" x14ac:dyDescent="0.3">
      <c r="Q226" s="15" t="s">
        <v>542</v>
      </c>
      <c r="R226" s="17" t="s">
        <v>785</v>
      </c>
      <c r="S226" s="17" t="s">
        <v>795</v>
      </c>
      <c r="T226" s="17" t="s">
        <v>801</v>
      </c>
      <c r="U226" s="17" t="s">
        <v>785</v>
      </c>
      <c r="V226" s="17" t="s">
        <v>801</v>
      </c>
      <c r="X226" t="s">
        <v>542</v>
      </c>
      <c r="Y226" s="17" t="s">
        <v>155</v>
      </c>
      <c r="Z226" s="17" t="s">
        <v>155</v>
      </c>
      <c r="AA226" s="17" t="s">
        <v>407</v>
      </c>
      <c r="AB226" s="17" t="s">
        <v>155</v>
      </c>
      <c r="AC226" s="17" t="s">
        <v>407</v>
      </c>
      <c r="AF226" s="15" t="s">
        <v>542</v>
      </c>
      <c r="AG226" s="17" t="s">
        <v>785</v>
      </c>
      <c r="AH226" s="17" t="s">
        <v>795</v>
      </c>
      <c r="AI226" s="17" t="s">
        <v>801</v>
      </c>
      <c r="AJ226" s="17" t="s">
        <v>785</v>
      </c>
      <c r="AK226" s="17" t="s">
        <v>801</v>
      </c>
      <c r="AU226" s="15" t="s">
        <v>542</v>
      </c>
      <c r="AV226" s="17" t="s">
        <v>785</v>
      </c>
      <c r="AW226" s="17" t="s">
        <v>795</v>
      </c>
      <c r="AX226" s="17" t="s">
        <v>801</v>
      </c>
      <c r="AY226" s="17" t="s">
        <v>785</v>
      </c>
      <c r="AZ226" s="17" t="s">
        <v>801</v>
      </c>
      <c r="BB226" t="s">
        <v>557</v>
      </c>
      <c r="BC226" s="17" t="s">
        <v>155</v>
      </c>
      <c r="BD226" s="17" t="s">
        <v>155</v>
      </c>
      <c r="BE226" s="17" t="s">
        <v>155</v>
      </c>
      <c r="BF226" s="17" t="s">
        <v>155</v>
      </c>
      <c r="BG226" s="17" t="s">
        <v>407</v>
      </c>
    </row>
    <row r="227" spans="17:59" x14ac:dyDescent="0.3">
      <c r="Q227" s="15" t="s">
        <v>543</v>
      </c>
      <c r="R227" s="17" t="s">
        <v>802</v>
      </c>
      <c r="S227" s="17" t="s">
        <v>633</v>
      </c>
      <c r="T227" s="17" t="s">
        <v>801</v>
      </c>
      <c r="U227" s="17" t="s">
        <v>800</v>
      </c>
      <c r="V227" s="17" t="s">
        <v>155</v>
      </c>
      <c r="X227" t="s">
        <v>543</v>
      </c>
      <c r="Y227" s="17" t="s">
        <v>155</v>
      </c>
      <c r="Z227" s="17" t="s">
        <v>155</v>
      </c>
      <c r="AA227" s="17" t="s">
        <v>407</v>
      </c>
      <c r="AB227" s="17" t="s">
        <v>155</v>
      </c>
      <c r="AC227" s="17" t="s">
        <v>155</v>
      </c>
      <c r="AF227" s="15" t="s">
        <v>543</v>
      </c>
      <c r="AG227" s="17" t="s">
        <v>802</v>
      </c>
      <c r="AH227" s="17" t="s">
        <v>633</v>
      </c>
      <c r="AI227" s="17" t="s">
        <v>801</v>
      </c>
      <c r="AJ227" s="17" t="s">
        <v>155</v>
      </c>
      <c r="AK227" s="17" t="s">
        <v>155</v>
      </c>
      <c r="AM227" t="s">
        <v>827</v>
      </c>
      <c r="AU227" s="15" t="s">
        <v>543</v>
      </c>
      <c r="AV227" s="17" t="s">
        <v>802</v>
      </c>
      <c r="AW227" s="17" t="s">
        <v>633</v>
      </c>
      <c r="AX227" s="17" t="s">
        <v>801</v>
      </c>
      <c r="AY227" s="17" t="s">
        <v>155</v>
      </c>
      <c r="AZ227" s="17" t="s">
        <v>155</v>
      </c>
      <c r="BB227" t="s">
        <v>542</v>
      </c>
      <c r="BC227" s="17" t="s">
        <v>155</v>
      </c>
      <c r="BD227" s="17" t="s">
        <v>155</v>
      </c>
      <c r="BE227" s="17" t="s">
        <v>407</v>
      </c>
      <c r="BF227" s="17" t="s">
        <v>155</v>
      </c>
      <c r="BG227" s="17" t="s">
        <v>407</v>
      </c>
    </row>
    <row r="228" spans="17:59" x14ac:dyDescent="0.3">
      <c r="Q228" s="15" t="s">
        <v>544</v>
      </c>
      <c r="R228" s="17" t="s">
        <v>802</v>
      </c>
      <c r="S228" s="17" t="s">
        <v>633</v>
      </c>
      <c r="T228" s="17" t="s">
        <v>802</v>
      </c>
      <c r="U228" s="17" t="s">
        <v>800</v>
      </c>
      <c r="V228" s="17" t="s">
        <v>155</v>
      </c>
      <c r="AF228" s="15" t="s">
        <v>544</v>
      </c>
      <c r="AG228" s="17" t="s">
        <v>802</v>
      </c>
      <c r="AH228" s="17" t="s">
        <v>633</v>
      </c>
      <c r="AI228" s="17" t="s">
        <v>802</v>
      </c>
      <c r="AJ228" s="17" t="s">
        <v>155</v>
      </c>
      <c r="AK228" s="17" t="s">
        <v>155</v>
      </c>
      <c r="AN228" s="17" t="s">
        <v>164</v>
      </c>
      <c r="AO228" s="17" t="s">
        <v>165</v>
      </c>
      <c r="AP228" s="17" t="s">
        <v>166</v>
      </c>
      <c r="AQ228" s="17" t="s">
        <v>167</v>
      </c>
      <c r="AR228" s="17" t="s">
        <v>168</v>
      </c>
      <c r="AU228" s="15" t="s">
        <v>544</v>
      </c>
      <c r="AV228" s="17" t="s">
        <v>802</v>
      </c>
      <c r="AW228" s="17" t="s">
        <v>633</v>
      </c>
      <c r="AX228" s="17" t="s">
        <v>802</v>
      </c>
      <c r="AY228" s="17" t="s">
        <v>155</v>
      </c>
      <c r="AZ228" s="17" t="s">
        <v>155</v>
      </c>
      <c r="BB228" t="s">
        <v>543</v>
      </c>
      <c r="BC228" s="17" t="s">
        <v>155</v>
      </c>
      <c r="BD228" s="17" t="s">
        <v>155</v>
      </c>
      <c r="BE228" s="17" t="s">
        <v>407</v>
      </c>
      <c r="BF228" s="17" t="s">
        <v>155</v>
      </c>
      <c r="BG228" s="17" t="s">
        <v>155</v>
      </c>
    </row>
    <row r="229" spans="17:59" x14ac:dyDescent="0.3">
      <c r="Q229" s="15" t="s">
        <v>545</v>
      </c>
      <c r="R229" s="17" t="s">
        <v>155</v>
      </c>
      <c r="S229" s="17" t="s">
        <v>155</v>
      </c>
      <c r="T229" s="17" t="s">
        <v>802</v>
      </c>
      <c r="U229" s="17" t="s">
        <v>155</v>
      </c>
      <c r="V229" s="17" t="s">
        <v>155</v>
      </c>
      <c r="X229" t="s">
        <v>828</v>
      </c>
      <c r="AF229" s="15" t="s">
        <v>545</v>
      </c>
      <c r="AG229" s="17" t="s">
        <v>155</v>
      </c>
      <c r="AH229" s="17" t="s">
        <v>155</v>
      </c>
      <c r="AI229" s="17" t="s">
        <v>802</v>
      </c>
      <c r="AJ229" s="17" t="s">
        <v>155</v>
      </c>
      <c r="AK229" s="17" t="s">
        <v>155</v>
      </c>
      <c r="AM229" t="s">
        <v>557</v>
      </c>
      <c r="AN229" s="17" t="s">
        <v>155</v>
      </c>
      <c r="AO229" s="17" t="s">
        <v>155</v>
      </c>
      <c r="AP229" s="17" t="s">
        <v>155</v>
      </c>
      <c r="AQ229" s="17" t="s">
        <v>155</v>
      </c>
      <c r="AR229" s="17" t="s">
        <v>407</v>
      </c>
      <c r="AU229" s="15" t="s">
        <v>545</v>
      </c>
      <c r="AV229" s="17" t="s">
        <v>155</v>
      </c>
      <c r="AW229" s="17" t="s">
        <v>155</v>
      </c>
      <c r="AX229" s="17" t="s">
        <v>802</v>
      </c>
      <c r="AY229" s="17" t="s">
        <v>155</v>
      </c>
      <c r="AZ229" s="17" t="s">
        <v>155</v>
      </c>
    </row>
    <row r="230" spans="17:59" x14ac:dyDescent="0.3">
      <c r="Y230" s="17" t="s">
        <v>164</v>
      </c>
      <c r="Z230" s="17" t="s">
        <v>165</v>
      </c>
      <c r="AA230" s="17" t="s">
        <v>166</v>
      </c>
      <c r="AB230" s="17" t="s">
        <v>167</v>
      </c>
      <c r="AC230" s="17" t="s">
        <v>168</v>
      </c>
      <c r="AM230" t="s">
        <v>542</v>
      </c>
      <c r="AN230" s="17" t="s">
        <v>155</v>
      </c>
      <c r="AO230" s="17" t="s">
        <v>155</v>
      </c>
      <c r="AP230" s="17" t="s">
        <v>407</v>
      </c>
      <c r="AQ230" s="17" t="s">
        <v>155</v>
      </c>
      <c r="AR230" s="17" t="s">
        <v>407</v>
      </c>
      <c r="BB230" t="s">
        <v>828</v>
      </c>
    </row>
    <row r="231" spans="17:59" x14ac:dyDescent="0.3">
      <c r="Q231" s="15" t="s">
        <v>803</v>
      </c>
      <c r="X231" t="s">
        <v>543</v>
      </c>
      <c r="Y231" s="17" t="s">
        <v>155</v>
      </c>
      <c r="Z231" s="17" t="s">
        <v>155</v>
      </c>
      <c r="AA231" s="17" t="s">
        <v>155</v>
      </c>
      <c r="AB231" s="17" t="s">
        <v>155</v>
      </c>
      <c r="AC231" s="17" t="s">
        <v>460</v>
      </c>
      <c r="AF231" s="15" t="s">
        <v>803</v>
      </c>
      <c r="AM231" t="s">
        <v>543</v>
      </c>
      <c r="AN231" s="17" t="s">
        <v>155</v>
      </c>
      <c r="AO231" s="17" t="s">
        <v>155</v>
      </c>
      <c r="AP231" s="17" t="s">
        <v>407</v>
      </c>
      <c r="AQ231" s="17" t="s">
        <v>155</v>
      </c>
      <c r="AR231" s="17" t="s">
        <v>155</v>
      </c>
      <c r="AU231" s="15" t="s">
        <v>803</v>
      </c>
      <c r="BC231" s="17" t="s">
        <v>164</v>
      </c>
      <c r="BD231" s="17" t="s">
        <v>165</v>
      </c>
      <c r="BE231" s="17" t="s">
        <v>166</v>
      </c>
      <c r="BF231" s="17" t="s">
        <v>167</v>
      </c>
      <c r="BG231" s="17" t="s">
        <v>168</v>
      </c>
    </row>
    <row r="232" spans="17:59" x14ac:dyDescent="0.3">
      <c r="R232" s="17" t="s">
        <v>164</v>
      </c>
      <c r="S232" s="17" t="s">
        <v>165</v>
      </c>
      <c r="T232" s="17" t="s">
        <v>166</v>
      </c>
      <c r="U232" s="17" t="s">
        <v>167</v>
      </c>
      <c r="V232" s="17" t="s">
        <v>168</v>
      </c>
      <c r="X232" t="s">
        <v>544</v>
      </c>
      <c r="Y232" s="17" t="s">
        <v>155</v>
      </c>
      <c r="Z232" s="17" t="s">
        <v>155</v>
      </c>
      <c r="AA232" s="17" t="s">
        <v>460</v>
      </c>
      <c r="AB232" s="17" t="s">
        <v>155</v>
      </c>
      <c r="AC232" s="17" t="s">
        <v>460</v>
      </c>
      <c r="AG232" s="17" t="s">
        <v>164</v>
      </c>
      <c r="AH232" s="17" t="s">
        <v>165</v>
      </c>
      <c r="AI232" s="17" t="s">
        <v>166</v>
      </c>
      <c r="AJ232" s="17" t="s">
        <v>167</v>
      </c>
      <c r="AK232" s="17" t="s">
        <v>168</v>
      </c>
      <c r="AV232" s="17" t="s">
        <v>164</v>
      </c>
      <c r="AW232" s="17" t="s">
        <v>165</v>
      </c>
      <c r="AX232" s="17" t="s">
        <v>166</v>
      </c>
      <c r="AY232" s="17" t="s">
        <v>167</v>
      </c>
      <c r="AZ232" s="17" t="s">
        <v>168</v>
      </c>
      <c r="BB232" t="s">
        <v>543</v>
      </c>
      <c r="BC232" s="17" t="s">
        <v>155</v>
      </c>
      <c r="BD232" s="17" t="s">
        <v>155</v>
      </c>
      <c r="BE232" s="17" t="s">
        <v>155</v>
      </c>
      <c r="BF232" s="17" t="s">
        <v>155</v>
      </c>
      <c r="BG232" s="17" t="s">
        <v>460</v>
      </c>
    </row>
    <row r="233" spans="17:59" x14ac:dyDescent="0.3">
      <c r="Q233" s="15" t="s">
        <v>555</v>
      </c>
      <c r="R233" s="17" t="s">
        <v>800</v>
      </c>
      <c r="S233" s="17" t="s">
        <v>795</v>
      </c>
      <c r="T233" s="17" t="s">
        <v>635</v>
      </c>
      <c r="U233" s="17" t="s">
        <v>155</v>
      </c>
      <c r="V233" s="17" t="s">
        <v>155</v>
      </c>
      <c r="X233" t="s">
        <v>545</v>
      </c>
      <c r="Y233" s="17" t="s">
        <v>155</v>
      </c>
      <c r="Z233" s="17" t="s">
        <v>155</v>
      </c>
      <c r="AA233" s="17" t="s">
        <v>460</v>
      </c>
      <c r="AB233" s="17" t="s">
        <v>155</v>
      </c>
      <c r="AC233" s="17" t="s">
        <v>460</v>
      </c>
      <c r="AF233" s="15" t="s">
        <v>555</v>
      </c>
      <c r="AG233" s="17" t="s">
        <v>800</v>
      </c>
      <c r="AH233" s="17" t="s">
        <v>795</v>
      </c>
      <c r="AI233" s="17" t="s">
        <v>635</v>
      </c>
      <c r="AJ233" s="17" t="s">
        <v>155</v>
      </c>
      <c r="AK233" s="17" t="s">
        <v>800</v>
      </c>
      <c r="AM233" t="s">
        <v>828</v>
      </c>
      <c r="AU233" s="15" t="s">
        <v>555</v>
      </c>
      <c r="AV233" s="17" t="s">
        <v>800</v>
      </c>
      <c r="AW233" s="17" t="s">
        <v>795</v>
      </c>
      <c r="AX233" s="17" t="s">
        <v>635</v>
      </c>
      <c r="AY233" s="17" t="s">
        <v>800</v>
      </c>
      <c r="AZ233" s="17" t="s">
        <v>155</v>
      </c>
      <c r="BB233" t="s">
        <v>544</v>
      </c>
      <c r="BC233" s="17" t="s">
        <v>155</v>
      </c>
      <c r="BD233" s="17" t="s">
        <v>155</v>
      </c>
      <c r="BE233" s="17" t="s">
        <v>460</v>
      </c>
      <c r="BF233" s="17" t="s">
        <v>155</v>
      </c>
      <c r="BG233" s="17" t="s">
        <v>460</v>
      </c>
    </row>
    <row r="234" spans="17:59" x14ac:dyDescent="0.3">
      <c r="Q234" s="15" t="s">
        <v>556</v>
      </c>
      <c r="R234" s="17" t="s">
        <v>800</v>
      </c>
      <c r="S234" s="17" t="s">
        <v>795</v>
      </c>
      <c r="T234" s="17" t="s">
        <v>635</v>
      </c>
      <c r="U234" s="17" t="s">
        <v>155</v>
      </c>
      <c r="V234" s="17" t="s">
        <v>155</v>
      </c>
      <c r="AF234" s="15" t="s">
        <v>556</v>
      </c>
      <c r="AG234" s="17" t="s">
        <v>800</v>
      </c>
      <c r="AH234" s="17" t="s">
        <v>795</v>
      </c>
      <c r="AI234" s="17" t="s">
        <v>635</v>
      </c>
      <c r="AJ234" s="17" t="s">
        <v>155</v>
      </c>
      <c r="AK234" s="17" t="s">
        <v>800</v>
      </c>
      <c r="AN234" s="17" t="s">
        <v>164</v>
      </c>
      <c r="AO234" s="17" t="s">
        <v>165</v>
      </c>
      <c r="AP234" s="17" t="s">
        <v>166</v>
      </c>
      <c r="AQ234" s="17" t="s">
        <v>167</v>
      </c>
      <c r="AR234" s="17" t="s">
        <v>168</v>
      </c>
      <c r="AU234" s="15" t="s">
        <v>556</v>
      </c>
      <c r="AV234" s="17" t="s">
        <v>800</v>
      </c>
      <c r="AW234" s="17" t="s">
        <v>795</v>
      </c>
      <c r="AX234" s="17" t="s">
        <v>635</v>
      </c>
      <c r="AY234" s="17" t="s">
        <v>800</v>
      </c>
      <c r="AZ234" s="17" t="s">
        <v>155</v>
      </c>
      <c r="BB234" t="s">
        <v>545</v>
      </c>
      <c r="BC234" s="17" t="s">
        <v>155</v>
      </c>
      <c r="BD234" s="17" t="s">
        <v>155</v>
      </c>
      <c r="BE234" s="17" t="s">
        <v>460</v>
      </c>
      <c r="BF234" s="17" t="s">
        <v>155</v>
      </c>
      <c r="BG234" s="17" t="s">
        <v>460</v>
      </c>
    </row>
    <row r="235" spans="17:59" x14ac:dyDescent="0.3">
      <c r="Q235" s="15" t="s">
        <v>557</v>
      </c>
      <c r="R235" s="17" t="s">
        <v>785</v>
      </c>
      <c r="S235" s="17" t="s">
        <v>795</v>
      </c>
      <c r="T235" s="17" t="s">
        <v>635</v>
      </c>
      <c r="U235" s="17" t="s">
        <v>785</v>
      </c>
      <c r="V235" s="17" t="s">
        <v>801</v>
      </c>
      <c r="X235" t="s">
        <v>754</v>
      </c>
      <c r="AF235" s="15" t="s">
        <v>557</v>
      </c>
      <c r="AG235" s="17" t="s">
        <v>785</v>
      </c>
      <c r="AH235" s="17" t="s">
        <v>795</v>
      </c>
      <c r="AI235" s="17" t="s">
        <v>635</v>
      </c>
      <c r="AJ235" s="17" t="s">
        <v>785</v>
      </c>
      <c r="AK235" s="17" t="s">
        <v>801</v>
      </c>
      <c r="AM235" t="s">
        <v>543</v>
      </c>
      <c r="AN235" s="17" t="s">
        <v>155</v>
      </c>
      <c r="AO235" s="17" t="s">
        <v>155</v>
      </c>
      <c r="AP235" s="17" t="s">
        <v>155</v>
      </c>
      <c r="AQ235" s="17" t="s">
        <v>155</v>
      </c>
      <c r="AR235" s="17" t="s">
        <v>460</v>
      </c>
      <c r="AU235" s="15" t="s">
        <v>557</v>
      </c>
      <c r="AV235" s="17" t="s">
        <v>785</v>
      </c>
      <c r="AW235" s="17" t="s">
        <v>795</v>
      </c>
      <c r="AX235" s="17" t="s">
        <v>635</v>
      </c>
      <c r="AY235" s="17" t="s">
        <v>785</v>
      </c>
      <c r="AZ235" s="17" t="s">
        <v>801</v>
      </c>
    </row>
    <row r="236" spans="17:59" x14ac:dyDescent="0.3">
      <c r="Q236" s="15" t="s">
        <v>542</v>
      </c>
      <c r="R236" s="17" t="s">
        <v>785</v>
      </c>
      <c r="S236" s="17" t="s">
        <v>795</v>
      </c>
      <c r="T236" s="17" t="s">
        <v>801</v>
      </c>
      <c r="U236" s="17" t="s">
        <v>785</v>
      </c>
      <c r="V236" s="17" t="s">
        <v>801</v>
      </c>
      <c r="Y236" s="17" t="s">
        <v>164</v>
      </c>
      <c r="Z236" s="17" t="s">
        <v>165</v>
      </c>
      <c r="AA236" s="17" t="s">
        <v>166</v>
      </c>
      <c r="AB236" s="17" t="s">
        <v>167</v>
      </c>
      <c r="AC236" s="17" t="s">
        <v>168</v>
      </c>
      <c r="AF236" s="15" t="s">
        <v>542</v>
      </c>
      <c r="AG236" s="17" t="s">
        <v>785</v>
      </c>
      <c r="AH236" s="17" t="s">
        <v>795</v>
      </c>
      <c r="AI236" s="17" t="s">
        <v>801</v>
      </c>
      <c r="AJ236" s="17" t="s">
        <v>785</v>
      </c>
      <c r="AK236" s="17" t="s">
        <v>801</v>
      </c>
      <c r="AM236" t="s">
        <v>544</v>
      </c>
      <c r="AN236" s="17" t="s">
        <v>155</v>
      </c>
      <c r="AO236" s="17" t="s">
        <v>155</v>
      </c>
      <c r="AP236" s="17" t="s">
        <v>460</v>
      </c>
      <c r="AQ236" s="17" t="s">
        <v>155</v>
      </c>
      <c r="AR236" s="17" t="s">
        <v>460</v>
      </c>
      <c r="AU236" s="15" t="s">
        <v>542</v>
      </c>
      <c r="AV236" s="17" t="s">
        <v>785</v>
      </c>
      <c r="AW236" s="17" t="s">
        <v>795</v>
      </c>
      <c r="AX236" s="17" t="s">
        <v>801</v>
      </c>
      <c r="AY236" s="17" t="s">
        <v>785</v>
      </c>
      <c r="AZ236" s="17" t="s">
        <v>801</v>
      </c>
      <c r="BB236" t="s">
        <v>754</v>
      </c>
    </row>
    <row r="237" spans="17:59" x14ac:dyDescent="0.3">
      <c r="Q237" s="15" t="s">
        <v>543</v>
      </c>
      <c r="R237" s="17" t="s">
        <v>802</v>
      </c>
      <c r="S237" s="17" t="s">
        <v>633</v>
      </c>
      <c r="T237" s="17" t="s">
        <v>801</v>
      </c>
      <c r="U237" s="17" t="s">
        <v>800</v>
      </c>
      <c r="V237" s="17" t="s">
        <v>155</v>
      </c>
      <c r="X237" t="s">
        <v>158</v>
      </c>
      <c r="Y237" s="17" t="s">
        <v>377</v>
      </c>
      <c r="Z237" s="17" t="s">
        <v>155</v>
      </c>
      <c r="AA237" s="17" t="s">
        <v>155</v>
      </c>
      <c r="AB237" s="17" t="s">
        <v>155</v>
      </c>
      <c r="AC237" s="17" t="s">
        <v>377</v>
      </c>
      <c r="AF237" s="15" t="s">
        <v>543</v>
      </c>
      <c r="AG237" s="17" t="s">
        <v>802</v>
      </c>
      <c r="AH237" s="17" t="s">
        <v>633</v>
      </c>
      <c r="AI237" s="17" t="s">
        <v>801</v>
      </c>
      <c r="AJ237" s="17" t="s">
        <v>155</v>
      </c>
      <c r="AK237" s="17" t="s">
        <v>155</v>
      </c>
      <c r="AM237" t="s">
        <v>545</v>
      </c>
      <c r="AN237" s="17" t="s">
        <v>155</v>
      </c>
      <c r="AO237" s="17" t="s">
        <v>155</v>
      </c>
      <c r="AP237" s="17" t="s">
        <v>460</v>
      </c>
      <c r="AQ237" s="17" t="s">
        <v>155</v>
      </c>
      <c r="AR237" s="17" t="s">
        <v>460</v>
      </c>
      <c r="AU237" s="15" t="s">
        <v>543</v>
      </c>
      <c r="AV237" s="17" t="s">
        <v>802</v>
      </c>
      <c r="AW237" s="17" t="s">
        <v>633</v>
      </c>
      <c r="AX237" s="17" t="s">
        <v>801</v>
      </c>
      <c r="AY237" s="17" t="s">
        <v>155</v>
      </c>
      <c r="AZ237" s="17" t="s">
        <v>155</v>
      </c>
      <c r="BC237" s="17" t="s">
        <v>164</v>
      </c>
      <c r="BD237" s="17" t="s">
        <v>165</v>
      </c>
      <c r="BE237" s="17" t="s">
        <v>166</v>
      </c>
      <c r="BF237" s="17" t="s">
        <v>167</v>
      </c>
      <c r="BG237" s="17" t="s">
        <v>168</v>
      </c>
    </row>
    <row r="238" spans="17:59" x14ac:dyDescent="0.3">
      <c r="Q238" s="15" t="s">
        <v>544</v>
      </c>
      <c r="R238" s="17" t="s">
        <v>802</v>
      </c>
      <c r="S238" s="17" t="s">
        <v>633</v>
      </c>
      <c r="T238" s="17" t="s">
        <v>802</v>
      </c>
      <c r="U238" s="17" t="s">
        <v>800</v>
      </c>
      <c r="V238" s="17" t="s">
        <v>155</v>
      </c>
      <c r="X238" t="s">
        <v>159</v>
      </c>
      <c r="Y238" s="17" t="s">
        <v>377</v>
      </c>
      <c r="Z238" s="17" t="s">
        <v>155</v>
      </c>
      <c r="AA238" s="17" t="s">
        <v>155</v>
      </c>
      <c r="AB238" s="17" t="s">
        <v>155</v>
      </c>
      <c r="AC238" s="17" t="s">
        <v>377</v>
      </c>
      <c r="AF238" s="15" t="s">
        <v>544</v>
      </c>
      <c r="AG238" s="17" t="s">
        <v>802</v>
      </c>
      <c r="AH238" s="17" t="s">
        <v>633</v>
      </c>
      <c r="AI238" s="17" t="s">
        <v>802</v>
      </c>
      <c r="AJ238" s="17" t="s">
        <v>155</v>
      </c>
      <c r="AK238" s="17" t="s">
        <v>155</v>
      </c>
      <c r="AU238" s="15" t="s">
        <v>544</v>
      </c>
      <c r="AV238" s="17" t="s">
        <v>802</v>
      </c>
      <c r="AW238" s="17" t="s">
        <v>633</v>
      </c>
      <c r="AX238" s="17" t="s">
        <v>802</v>
      </c>
      <c r="AY238" s="17" t="s">
        <v>155</v>
      </c>
      <c r="AZ238" s="17" t="s">
        <v>155</v>
      </c>
      <c r="BB238" t="s">
        <v>550</v>
      </c>
      <c r="BC238" s="17" t="s">
        <v>155</v>
      </c>
      <c r="BD238" s="17" t="s">
        <v>155</v>
      </c>
      <c r="BE238" s="17" t="s">
        <v>155</v>
      </c>
      <c r="BF238" s="17" t="s">
        <v>377</v>
      </c>
      <c r="BG238" s="17" t="s">
        <v>155</v>
      </c>
    </row>
    <row r="239" spans="17:59" x14ac:dyDescent="0.3">
      <c r="Q239" s="15" t="s">
        <v>545</v>
      </c>
      <c r="R239" s="17" t="s">
        <v>155</v>
      </c>
      <c r="S239" s="17" t="s">
        <v>155</v>
      </c>
      <c r="T239" s="17" t="s">
        <v>802</v>
      </c>
      <c r="U239" s="17" t="s">
        <v>155</v>
      </c>
      <c r="V239" s="17" t="s">
        <v>155</v>
      </c>
      <c r="X239" t="s">
        <v>160</v>
      </c>
      <c r="Y239" s="17" t="s">
        <v>155</v>
      </c>
      <c r="Z239" s="17" t="s">
        <v>155</v>
      </c>
      <c r="AA239" s="17" t="s">
        <v>155</v>
      </c>
      <c r="AB239" s="17" t="s">
        <v>155</v>
      </c>
      <c r="AC239" s="17" t="s">
        <v>377</v>
      </c>
      <c r="AF239" s="15" t="s">
        <v>545</v>
      </c>
      <c r="AG239" s="17" t="s">
        <v>155</v>
      </c>
      <c r="AH239" s="17" t="s">
        <v>155</v>
      </c>
      <c r="AI239" s="17" t="s">
        <v>802</v>
      </c>
      <c r="AJ239" s="17" t="s">
        <v>155</v>
      </c>
      <c r="AK239" s="17" t="s">
        <v>155</v>
      </c>
      <c r="AM239" t="s">
        <v>754</v>
      </c>
      <c r="AU239" s="15" t="s">
        <v>545</v>
      </c>
      <c r="AV239" s="17" t="s">
        <v>155</v>
      </c>
      <c r="AW239" s="17" t="s">
        <v>155</v>
      </c>
      <c r="AX239" s="17" t="s">
        <v>802</v>
      </c>
      <c r="AY239" s="17" t="s">
        <v>155</v>
      </c>
      <c r="AZ239" s="17" t="s">
        <v>155</v>
      </c>
      <c r="BB239" t="s">
        <v>158</v>
      </c>
      <c r="BC239" s="17" t="s">
        <v>155</v>
      </c>
      <c r="BD239" s="17" t="s">
        <v>377</v>
      </c>
      <c r="BE239" s="17" t="s">
        <v>155</v>
      </c>
      <c r="BF239" s="17" t="s">
        <v>377</v>
      </c>
      <c r="BG239" s="17" t="s">
        <v>155</v>
      </c>
    </row>
    <row r="240" spans="17:59" x14ac:dyDescent="0.3">
      <c r="AN240" s="17" t="s">
        <v>164</v>
      </c>
      <c r="AO240" s="17" t="s">
        <v>165</v>
      </c>
      <c r="AP240" s="17" t="s">
        <v>166</v>
      </c>
      <c r="AQ240" s="17" t="s">
        <v>167</v>
      </c>
      <c r="AR240" s="17" t="s">
        <v>168</v>
      </c>
      <c r="BB240" t="s">
        <v>159</v>
      </c>
      <c r="BC240" s="17" t="s">
        <v>155</v>
      </c>
      <c r="BD240" s="17" t="s">
        <v>377</v>
      </c>
      <c r="BE240" s="17" t="s">
        <v>155</v>
      </c>
      <c r="BF240" s="17" t="s">
        <v>377</v>
      </c>
      <c r="BG240" s="17" t="s">
        <v>155</v>
      </c>
    </row>
    <row r="241" spans="2:60" x14ac:dyDescent="0.3">
      <c r="B241" s="29"/>
      <c r="Q241" s="29" t="s">
        <v>596</v>
      </c>
      <c r="X241" t="s">
        <v>700</v>
      </c>
      <c r="AF241" s="29" t="s">
        <v>596</v>
      </c>
      <c r="AM241" t="s">
        <v>550</v>
      </c>
      <c r="AN241" s="17" t="s">
        <v>155</v>
      </c>
      <c r="AO241" s="17" t="s">
        <v>155</v>
      </c>
      <c r="AP241" s="17" t="s">
        <v>155</v>
      </c>
      <c r="AQ241" s="17" t="s">
        <v>377</v>
      </c>
      <c r="AR241" s="17" t="s">
        <v>155</v>
      </c>
      <c r="AU241" s="29" t="s">
        <v>596</v>
      </c>
      <c r="BH241" s="29"/>
    </row>
    <row r="242" spans="2:60" x14ac:dyDescent="0.3">
      <c r="B242" s="71"/>
      <c r="Q242" s="71" t="s">
        <v>804</v>
      </c>
      <c r="Y242" s="17" t="s">
        <v>164</v>
      </c>
      <c r="Z242" s="17" t="s">
        <v>165</v>
      </c>
      <c r="AA242" s="17" t="s">
        <v>166</v>
      </c>
      <c r="AB242" s="17" t="s">
        <v>167</v>
      </c>
      <c r="AC242" s="17" t="s">
        <v>168</v>
      </c>
      <c r="AF242" s="71" t="s">
        <v>804</v>
      </c>
      <c r="AM242" t="s">
        <v>158</v>
      </c>
      <c r="AN242" s="17" t="s">
        <v>155</v>
      </c>
      <c r="AO242" s="17" t="s">
        <v>377</v>
      </c>
      <c r="AP242" s="17" t="s">
        <v>155</v>
      </c>
      <c r="AQ242" s="17" t="s">
        <v>377</v>
      </c>
      <c r="AR242" s="17" t="s">
        <v>155</v>
      </c>
      <c r="AU242" s="71" t="s">
        <v>804</v>
      </c>
      <c r="BB242" t="s">
        <v>700</v>
      </c>
      <c r="BH242" s="71"/>
    </row>
    <row r="243" spans="2:60" x14ac:dyDescent="0.3">
      <c r="X243" t="s">
        <v>548</v>
      </c>
      <c r="Y243" s="17" t="s">
        <v>155</v>
      </c>
      <c r="Z243" s="17" t="s">
        <v>382</v>
      </c>
      <c r="AA243" s="17" t="s">
        <v>155</v>
      </c>
      <c r="AB243" s="17" t="s">
        <v>382</v>
      </c>
      <c r="AC243" s="17" t="s">
        <v>155</v>
      </c>
      <c r="AM243" t="s">
        <v>159</v>
      </c>
      <c r="AN243" s="17" t="s">
        <v>155</v>
      </c>
      <c r="AO243" s="17" t="s">
        <v>377</v>
      </c>
      <c r="AP243" s="17" t="s">
        <v>155</v>
      </c>
      <c r="AQ243" s="17" t="s">
        <v>377</v>
      </c>
      <c r="AR243" s="17" t="s">
        <v>155</v>
      </c>
      <c r="BC243" s="17" t="s">
        <v>164</v>
      </c>
      <c r="BD243" s="17" t="s">
        <v>165</v>
      </c>
      <c r="BE243" s="17" t="s">
        <v>166</v>
      </c>
      <c r="BF243" s="17" t="s">
        <v>167</v>
      </c>
      <c r="BG243" s="17" t="s">
        <v>168</v>
      </c>
    </row>
    <row r="244" spans="2:60" x14ac:dyDescent="0.3">
      <c r="Q244" s="15" t="s">
        <v>805</v>
      </c>
      <c r="X244" t="s">
        <v>549</v>
      </c>
      <c r="Y244" s="17" t="s">
        <v>155</v>
      </c>
      <c r="Z244" s="17" t="s">
        <v>382</v>
      </c>
      <c r="AA244" s="17" t="s">
        <v>155</v>
      </c>
      <c r="AB244" s="17" t="s">
        <v>382</v>
      </c>
      <c r="AC244" s="17" t="s">
        <v>155</v>
      </c>
      <c r="AF244" s="15" t="s">
        <v>805</v>
      </c>
      <c r="AU244" s="15" t="s">
        <v>805</v>
      </c>
      <c r="BB244" t="s">
        <v>548</v>
      </c>
      <c r="BC244" s="17" t="s">
        <v>155</v>
      </c>
      <c r="BD244" s="17" t="s">
        <v>382</v>
      </c>
      <c r="BE244" s="17" t="s">
        <v>155</v>
      </c>
      <c r="BF244" s="17" t="s">
        <v>382</v>
      </c>
      <c r="BG244" s="17" t="s">
        <v>155</v>
      </c>
    </row>
    <row r="245" spans="2:60" x14ac:dyDescent="0.3">
      <c r="R245" s="17" t="s">
        <v>164</v>
      </c>
      <c r="S245" s="17" t="s">
        <v>165</v>
      </c>
      <c r="T245" s="17" t="s">
        <v>166</v>
      </c>
      <c r="U245" s="17" t="s">
        <v>167</v>
      </c>
      <c r="V245" s="17" t="s">
        <v>168</v>
      </c>
      <c r="X245" t="s">
        <v>550</v>
      </c>
      <c r="Y245" s="17" t="s">
        <v>155</v>
      </c>
      <c r="Z245" s="17" t="s">
        <v>155</v>
      </c>
      <c r="AA245" s="17" t="s">
        <v>155</v>
      </c>
      <c r="AB245" s="17" t="s">
        <v>382</v>
      </c>
      <c r="AC245" s="17" t="s">
        <v>155</v>
      </c>
      <c r="AG245" s="17" t="s">
        <v>164</v>
      </c>
      <c r="AH245" s="17" t="s">
        <v>165</v>
      </c>
      <c r="AI245" s="17" t="s">
        <v>166</v>
      </c>
      <c r="AJ245" s="17" t="s">
        <v>167</v>
      </c>
      <c r="AK245" s="17" t="s">
        <v>168</v>
      </c>
      <c r="AM245" t="s">
        <v>700</v>
      </c>
      <c r="AV245" s="17" t="s">
        <v>164</v>
      </c>
      <c r="AW245" s="17" t="s">
        <v>165</v>
      </c>
      <c r="AX245" s="17" t="s">
        <v>166</v>
      </c>
      <c r="AY245" s="17" t="s">
        <v>167</v>
      </c>
      <c r="AZ245" s="17" t="s">
        <v>168</v>
      </c>
      <c r="BB245" t="s">
        <v>549</v>
      </c>
      <c r="BC245" s="17" t="s">
        <v>155</v>
      </c>
      <c r="BD245" s="17" t="s">
        <v>382</v>
      </c>
      <c r="BE245" s="17" t="s">
        <v>155</v>
      </c>
      <c r="BF245" s="17" t="s">
        <v>382</v>
      </c>
      <c r="BG245" s="17" t="s">
        <v>155</v>
      </c>
    </row>
    <row r="246" spans="2:60" x14ac:dyDescent="0.3">
      <c r="Q246" s="15" t="s">
        <v>555</v>
      </c>
      <c r="R246" s="17" t="s">
        <v>155</v>
      </c>
      <c r="S246" s="17" t="s">
        <v>155</v>
      </c>
      <c r="T246" s="17" t="s">
        <v>155</v>
      </c>
      <c r="U246" s="17" t="s">
        <v>155</v>
      </c>
      <c r="V246" s="17" t="s">
        <v>155</v>
      </c>
      <c r="X246" t="s">
        <v>544</v>
      </c>
      <c r="Y246" s="17" t="s">
        <v>155</v>
      </c>
      <c r="Z246" s="17" t="s">
        <v>79</v>
      </c>
      <c r="AA246" s="17" t="s">
        <v>155</v>
      </c>
      <c r="AB246" s="17" t="s">
        <v>155</v>
      </c>
      <c r="AC246" s="17" t="s">
        <v>79</v>
      </c>
      <c r="AF246" s="15" t="s">
        <v>555</v>
      </c>
      <c r="AG246" s="17" t="s">
        <v>155</v>
      </c>
      <c r="AH246" s="17" t="s">
        <v>155</v>
      </c>
      <c r="AI246" s="17" t="s">
        <v>155</v>
      </c>
      <c r="AJ246" s="17" t="s">
        <v>155</v>
      </c>
      <c r="AK246" s="17" t="s">
        <v>155</v>
      </c>
      <c r="AN246" s="17" t="s">
        <v>164</v>
      </c>
      <c r="AO246" s="17" t="s">
        <v>165</v>
      </c>
      <c r="AP246" s="17" t="s">
        <v>166</v>
      </c>
      <c r="AQ246" s="17" t="s">
        <v>167</v>
      </c>
      <c r="AR246" s="17" t="s">
        <v>168</v>
      </c>
      <c r="AU246" s="15" t="s">
        <v>555</v>
      </c>
      <c r="AV246" s="17" t="s">
        <v>155</v>
      </c>
      <c r="AW246" s="17" t="s">
        <v>155</v>
      </c>
      <c r="AX246" s="17" t="s">
        <v>155</v>
      </c>
      <c r="AY246" s="17" t="s">
        <v>155</v>
      </c>
      <c r="AZ246" s="17" t="s">
        <v>155</v>
      </c>
      <c r="BB246" t="s">
        <v>550</v>
      </c>
      <c r="BC246" s="17" t="s">
        <v>155</v>
      </c>
      <c r="BD246" s="17" t="s">
        <v>155</v>
      </c>
      <c r="BE246" s="17" t="s">
        <v>155</v>
      </c>
      <c r="BF246" s="17" t="s">
        <v>382</v>
      </c>
      <c r="BG246" s="17" t="s">
        <v>155</v>
      </c>
    </row>
    <row r="247" spans="2:60" x14ac:dyDescent="0.3">
      <c r="Q247" s="15" t="s">
        <v>556</v>
      </c>
      <c r="R247" s="17" t="s">
        <v>155</v>
      </c>
      <c r="S247" s="17" t="s">
        <v>155</v>
      </c>
      <c r="T247" s="17" t="s">
        <v>155</v>
      </c>
      <c r="U247" s="17" t="s">
        <v>155</v>
      </c>
      <c r="V247" s="17" t="s">
        <v>155</v>
      </c>
      <c r="X247" t="s">
        <v>545</v>
      </c>
      <c r="Y247" s="17" t="s">
        <v>155</v>
      </c>
      <c r="Z247" s="17" t="s">
        <v>79</v>
      </c>
      <c r="AA247" s="17" t="s">
        <v>155</v>
      </c>
      <c r="AB247" s="17" t="s">
        <v>155</v>
      </c>
      <c r="AC247" s="17" t="s">
        <v>79</v>
      </c>
      <c r="AF247" s="15" t="s">
        <v>556</v>
      </c>
      <c r="AG247" s="17" t="s">
        <v>155</v>
      </c>
      <c r="AH247" s="17" t="s">
        <v>155</v>
      </c>
      <c r="AI247" s="17" t="s">
        <v>155</v>
      </c>
      <c r="AJ247" s="17" t="s">
        <v>155</v>
      </c>
      <c r="AK247" s="17" t="s">
        <v>155</v>
      </c>
      <c r="AM247" t="s">
        <v>548</v>
      </c>
      <c r="AN247" s="17" t="s">
        <v>155</v>
      </c>
      <c r="AO247" s="17" t="s">
        <v>382</v>
      </c>
      <c r="AP247" s="17" t="s">
        <v>155</v>
      </c>
      <c r="AQ247" s="17" t="s">
        <v>382</v>
      </c>
      <c r="AR247" s="17" t="s">
        <v>155</v>
      </c>
      <c r="AU247" s="15" t="s">
        <v>556</v>
      </c>
      <c r="AV247" s="17" t="s">
        <v>155</v>
      </c>
      <c r="AW247" s="17" t="s">
        <v>155</v>
      </c>
      <c r="AX247" s="17" t="s">
        <v>155</v>
      </c>
      <c r="AY247" s="17" t="s">
        <v>155</v>
      </c>
      <c r="AZ247" s="17" t="s">
        <v>155</v>
      </c>
      <c r="BB247" t="s">
        <v>544</v>
      </c>
      <c r="BC247" s="17" t="s">
        <v>155</v>
      </c>
      <c r="BD247" s="17" t="s">
        <v>155</v>
      </c>
      <c r="BE247" s="17" t="s">
        <v>155</v>
      </c>
      <c r="BF247" s="17" t="s">
        <v>79</v>
      </c>
      <c r="BG247" s="17" t="s">
        <v>155</v>
      </c>
    </row>
    <row r="248" spans="2:60" x14ac:dyDescent="0.3">
      <c r="Q248" s="15" t="s">
        <v>557</v>
      </c>
      <c r="R248" s="17" t="s">
        <v>806</v>
      </c>
      <c r="S248" s="17" t="s">
        <v>155</v>
      </c>
      <c r="T248" s="17" t="s">
        <v>155</v>
      </c>
      <c r="U248" s="17" t="s">
        <v>806</v>
      </c>
      <c r="V248" s="17" t="s">
        <v>155</v>
      </c>
      <c r="X248" t="s">
        <v>546</v>
      </c>
      <c r="Y248" s="17" t="s">
        <v>155</v>
      </c>
      <c r="Z248" s="17" t="s">
        <v>79</v>
      </c>
      <c r="AA248" s="17" t="s">
        <v>155</v>
      </c>
      <c r="AB248" s="17" t="s">
        <v>155</v>
      </c>
      <c r="AC248" s="17" t="s">
        <v>155</v>
      </c>
      <c r="AF248" s="15" t="s">
        <v>557</v>
      </c>
      <c r="AG248" s="17" t="s">
        <v>806</v>
      </c>
      <c r="AH248" s="17" t="s">
        <v>155</v>
      </c>
      <c r="AI248" s="17" t="s">
        <v>155</v>
      </c>
      <c r="AJ248" s="17" t="s">
        <v>806</v>
      </c>
      <c r="AK248" s="17" t="s">
        <v>155</v>
      </c>
      <c r="AM248" t="s">
        <v>549</v>
      </c>
      <c r="AN248" s="17" t="s">
        <v>155</v>
      </c>
      <c r="AO248" s="17" t="s">
        <v>382</v>
      </c>
      <c r="AP248" s="17" t="s">
        <v>155</v>
      </c>
      <c r="AQ248" s="17" t="s">
        <v>382</v>
      </c>
      <c r="AR248" s="17" t="s">
        <v>155</v>
      </c>
      <c r="AU248" s="15" t="s">
        <v>557</v>
      </c>
      <c r="AV248" s="17" t="s">
        <v>806</v>
      </c>
      <c r="AW248" s="17" t="s">
        <v>155</v>
      </c>
      <c r="AX248" s="17" t="s">
        <v>155</v>
      </c>
      <c r="AY248" s="17" t="s">
        <v>155</v>
      </c>
      <c r="AZ248" s="17" t="s">
        <v>155</v>
      </c>
      <c r="BB248" t="s">
        <v>545</v>
      </c>
      <c r="BC248" s="17" t="s">
        <v>155</v>
      </c>
      <c r="BD248" s="17" t="s">
        <v>79</v>
      </c>
      <c r="BE248" s="17" t="s">
        <v>155</v>
      </c>
      <c r="BF248" s="17" t="s">
        <v>79</v>
      </c>
      <c r="BG248" s="17" t="s">
        <v>155</v>
      </c>
    </row>
    <row r="249" spans="2:60" x14ac:dyDescent="0.3">
      <c r="Q249" s="15" t="s">
        <v>542</v>
      </c>
      <c r="R249" s="17" t="s">
        <v>806</v>
      </c>
      <c r="S249" s="17" t="s">
        <v>807</v>
      </c>
      <c r="T249" s="17" t="s">
        <v>807</v>
      </c>
      <c r="U249" s="17" t="s">
        <v>806</v>
      </c>
      <c r="V249" s="17" t="s">
        <v>155</v>
      </c>
      <c r="AF249" s="15" t="s">
        <v>542</v>
      </c>
      <c r="AG249" s="17" t="s">
        <v>806</v>
      </c>
      <c r="AH249" s="17" t="s">
        <v>155</v>
      </c>
      <c r="AI249" s="17" t="s">
        <v>807</v>
      </c>
      <c r="AJ249" s="17" t="s">
        <v>806</v>
      </c>
      <c r="AK249" s="17" t="s">
        <v>155</v>
      </c>
      <c r="AM249" t="s">
        <v>550</v>
      </c>
      <c r="AN249" s="17" t="s">
        <v>155</v>
      </c>
      <c r="AO249" s="17" t="s">
        <v>155</v>
      </c>
      <c r="AP249" s="17" t="s">
        <v>155</v>
      </c>
      <c r="AQ249" s="17" t="s">
        <v>382</v>
      </c>
      <c r="AR249" s="17" t="s">
        <v>155</v>
      </c>
      <c r="AU249" s="15" t="s">
        <v>542</v>
      </c>
      <c r="AV249" s="17" t="s">
        <v>806</v>
      </c>
      <c r="AW249" s="17" t="s">
        <v>807</v>
      </c>
      <c r="AX249" s="17" t="s">
        <v>807</v>
      </c>
      <c r="AY249" s="17" t="s">
        <v>806</v>
      </c>
      <c r="AZ249" s="17" t="s">
        <v>155</v>
      </c>
      <c r="BB249" t="s">
        <v>546</v>
      </c>
      <c r="BC249" s="17" t="s">
        <v>155</v>
      </c>
      <c r="BD249" s="17" t="s">
        <v>79</v>
      </c>
      <c r="BE249" s="17" t="s">
        <v>155</v>
      </c>
      <c r="BF249" s="17" t="s">
        <v>79</v>
      </c>
      <c r="BG249" s="17" t="s">
        <v>155</v>
      </c>
    </row>
    <row r="250" spans="2:60" x14ac:dyDescent="0.3">
      <c r="Q250" s="15" t="s">
        <v>543</v>
      </c>
      <c r="R250" s="17" t="s">
        <v>808</v>
      </c>
      <c r="S250" s="17" t="s">
        <v>807</v>
      </c>
      <c r="T250" s="17" t="s">
        <v>807</v>
      </c>
      <c r="U250" s="17" t="s">
        <v>155</v>
      </c>
      <c r="V250" s="17" t="s">
        <v>809</v>
      </c>
      <c r="X250" t="s">
        <v>733</v>
      </c>
      <c r="AF250" s="15" t="s">
        <v>543</v>
      </c>
      <c r="AG250" s="17" t="s">
        <v>808</v>
      </c>
      <c r="AH250" s="17" t="s">
        <v>807</v>
      </c>
      <c r="AI250" s="17" t="s">
        <v>807</v>
      </c>
      <c r="AJ250" s="17" t="s">
        <v>155</v>
      </c>
      <c r="AK250" s="17" t="s">
        <v>809</v>
      </c>
      <c r="AM250" t="s">
        <v>544</v>
      </c>
      <c r="AN250" s="17" t="s">
        <v>155</v>
      </c>
      <c r="AO250" s="17" t="s">
        <v>155</v>
      </c>
      <c r="AP250" s="17" t="s">
        <v>155</v>
      </c>
      <c r="AQ250" s="17" t="s">
        <v>79</v>
      </c>
      <c r="AR250" s="17" t="s">
        <v>155</v>
      </c>
      <c r="AU250" s="15" t="s">
        <v>543</v>
      </c>
      <c r="AV250" s="17" t="s">
        <v>808</v>
      </c>
      <c r="AW250" s="17" t="s">
        <v>807</v>
      </c>
      <c r="AX250" s="17" t="s">
        <v>807</v>
      </c>
      <c r="AY250" s="17" t="s">
        <v>806</v>
      </c>
      <c r="AZ250" s="17" t="s">
        <v>809</v>
      </c>
    </row>
    <row r="251" spans="2:60" x14ac:dyDescent="0.3">
      <c r="Q251" s="15" t="s">
        <v>544</v>
      </c>
      <c r="R251" s="17" t="s">
        <v>808</v>
      </c>
      <c r="S251" s="17" t="s">
        <v>155</v>
      </c>
      <c r="T251" s="17" t="s">
        <v>809</v>
      </c>
      <c r="U251" s="17" t="s">
        <v>155</v>
      </c>
      <c r="V251" s="17" t="s">
        <v>809</v>
      </c>
      <c r="Y251" s="17" t="s">
        <v>164</v>
      </c>
      <c r="Z251" s="17" t="s">
        <v>165</v>
      </c>
      <c r="AA251" s="17" t="s">
        <v>166</v>
      </c>
      <c r="AB251" s="17" t="s">
        <v>167</v>
      </c>
      <c r="AC251" s="17" t="s">
        <v>168</v>
      </c>
      <c r="AF251" s="15" t="s">
        <v>544</v>
      </c>
      <c r="AG251" s="17" t="s">
        <v>808</v>
      </c>
      <c r="AH251" s="17" t="s">
        <v>807</v>
      </c>
      <c r="AI251" s="17" t="s">
        <v>809</v>
      </c>
      <c r="AJ251" s="17" t="s">
        <v>155</v>
      </c>
      <c r="AK251" s="17" t="s">
        <v>809</v>
      </c>
      <c r="AM251" t="s">
        <v>545</v>
      </c>
      <c r="AN251" s="17" t="s">
        <v>155</v>
      </c>
      <c r="AO251" s="17" t="s">
        <v>79</v>
      </c>
      <c r="AP251" s="17" t="s">
        <v>155</v>
      </c>
      <c r="AQ251" s="17" t="s">
        <v>79</v>
      </c>
      <c r="AR251" s="17" t="s">
        <v>155</v>
      </c>
      <c r="AU251" s="15" t="s">
        <v>544</v>
      </c>
      <c r="AV251" s="17" t="s">
        <v>808</v>
      </c>
      <c r="AW251" s="17" t="s">
        <v>155</v>
      </c>
      <c r="AX251" s="17" t="s">
        <v>809</v>
      </c>
      <c r="AY251" s="17" t="s">
        <v>155</v>
      </c>
      <c r="AZ251" s="17" t="s">
        <v>809</v>
      </c>
      <c r="BB251" t="s">
        <v>733</v>
      </c>
    </row>
    <row r="252" spans="2:60" x14ac:dyDescent="0.3">
      <c r="Q252" s="15" t="s">
        <v>545</v>
      </c>
      <c r="R252" s="17" t="s">
        <v>808</v>
      </c>
      <c r="S252" s="17" t="s">
        <v>155</v>
      </c>
      <c r="T252" s="17" t="s">
        <v>809</v>
      </c>
      <c r="U252" s="17" t="s">
        <v>155</v>
      </c>
      <c r="V252" s="17" t="s">
        <v>809</v>
      </c>
      <c r="X252" t="s">
        <v>550</v>
      </c>
      <c r="Y252" s="17" t="s">
        <v>155</v>
      </c>
      <c r="Z252" s="17" t="s">
        <v>339</v>
      </c>
      <c r="AA252" s="17" t="s">
        <v>155</v>
      </c>
      <c r="AB252" s="17" t="s">
        <v>339</v>
      </c>
      <c r="AC252" s="17" t="s">
        <v>155</v>
      </c>
      <c r="AF252" s="15" t="s">
        <v>545</v>
      </c>
      <c r="AG252" s="17" t="s">
        <v>808</v>
      </c>
      <c r="AH252" s="17" t="s">
        <v>155</v>
      </c>
      <c r="AI252" s="17" t="s">
        <v>809</v>
      </c>
      <c r="AJ252" s="17" t="s">
        <v>155</v>
      </c>
      <c r="AK252" s="17" t="s">
        <v>809</v>
      </c>
      <c r="AM252" t="s">
        <v>546</v>
      </c>
      <c r="AN252" s="17" t="s">
        <v>155</v>
      </c>
      <c r="AO252" s="17" t="s">
        <v>79</v>
      </c>
      <c r="AP252" s="17" t="s">
        <v>155</v>
      </c>
      <c r="AQ252" s="17" t="s">
        <v>79</v>
      </c>
      <c r="AR252" s="17" t="s">
        <v>155</v>
      </c>
      <c r="AU252" s="15" t="s">
        <v>545</v>
      </c>
      <c r="AV252" s="17" t="s">
        <v>808</v>
      </c>
      <c r="AW252" s="17" t="s">
        <v>155</v>
      </c>
      <c r="AX252" s="17" t="s">
        <v>809</v>
      </c>
      <c r="AY252" s="17" t="s">
        <v>155</v>
      </c>
      <c r="AZ252" s="17" t="s">
        <v>809</v>
      </c>
      <c r="BC252" s="17" t="s">
        <v>164</v>
      </c>
      <c r="BD252" s="17" t="s">
        <v>165</v>
      </c>
      <c r="BE252" s="17" t="s">
        <v>166</v>
      </c>
      <c r="BF252" s="17" t="s">
        <v>167</v>
      </c>
      <c r="BG252" s="17" t="s">
        <v>168</v>
      </c>
    </row>
    <row r="253" spans="2:60" x14ac:dyDescent="0.3">
      <c r="X253" t="s">
        <v>158</v>
      </c>
      <c r="Y253" s="17" t="s">
        <v>155</v>
      </c>
      <c r="Z253" s="17" t="s">
        <v>339</v>
      </c>
      <c r="AA253" s="17" t="s">
        <v>155</v>
      </c>
      <c r="AB253" s="17" t="s">
        <v>339</v>
      </c>
      <c r="AC253" s="17" t="s">
        <v>155</v>
      </c>
      <c r="BB253" t="s">
        <v>550</v>
      </c>
      <c r="BC253" s="17" t="s">
        <v>155</v>
      </c>
      <c r="BD253" s="17" t="s">
        <v>339</v>
      </c>
      <c r="BE253" s="17" t="s">
        <v>155</v>
      </c>
      <c r="BF253" s="17" t="s">
        <v>339</v>
      </c>
      <c r="BG253" s="17" t="s">
        <v>155</v>
      </c>
    </row>
    <row r="254" spans="2:60" x14ac:dyDescent="0.3">
      <c r="Q254" s="15" t="s">
        <v>810</v>
      </c>
      <c r="X254" t="s">
        <v>159</v>
      </c>
      <c r="Y254" s="17" t="s">
        <v>339</v>
      </c>
      <c r="Z254" s="17" t="s">
        <v>155</v>
      </c>
      <c r="AA254" s="17" t="s">
        <v>339</v>
      </c>
      <c r="AB254" s="17" t="s">
        <v>155</v>
      </c>
      <c r="AC254" s="17" t="s">
        <v>155</v>
      </c>
      <c r="AF254" s="15" t="s">
        <v>810</v>
      </c>
      <c r="AM254" t="s">
        <v>733</v>
      </c>
      <c r="AU254" s="15" t="s">
        <v>810</v>
      </c>
      <c r="BB254" t="s">
        <v>158</v>
      </c>
      <c r="BC254" s="17" t="s">
        <v>155</v>
      </c>
      <c r="BD254" s="17" t="s">
        <v>339</v>
      </c>
      <c r="BE254" s="17" t="s">
        <v>155</v>
      </c>
      <c r="BF254" s="17" t="s">
        <v>339</v>
      </c>
      <c r="BG254" s="17" t="s">
        <v>155</v>
      </c>
    </row>
    <row r="255" spans="2:60" x14ac:dyDescent="0.3">
      <c r="R255" s="17" t="s">
        <v>164</v>
      </c>
      <c r="S255" s="17" t="s">
        <v>165</v>
      </c>
      <c r="T255" s="17" t="s">
        <v>166</v>
      </c>
      <c r="U255" s="17" t="s">
        <v>167</v>
      </c>
      <c r="V255" s="17" t="s">
        <v>168</v>
      </c>
      <c r="X255" t="s">
        <v>160</v>
      </c>
      <c r="Y255" s="17" t="s">
        <v>339</v>
      </c>
      <c r="Z255" s="17" t="s">
        <v>339</v>
      </c>
      <c r="AA255" s="17" t="s">
        <v>339</v>
      </c>
      <c r="AB255" s="17" t="s">
        <v>339</v>
      </c>
      <c r="AC255" s="17" t="s">
        <v>155</v>
      </c>
      <c r="AG255" s="17" t="s">
        <v>164</v>
      </c>
      <c r="AH255" s="17" t="s">
        <v>165</v>
      </c>
      <c r="AI255" s="17" t="s">
        <v>166</v>
      </c>
      <c r="AJ255" s="17" t="s">
        <v>167</v>
      </c>
      <c r="AK255" s="17" t="s">
        <v>168</v>
      </c>
      <c r="AN255" s="17" t="s">
        <v>164</v>
      </c>
      <c r="AO255" s="17" t="s">
        <v>165</v>
      </c>
      <c r="AP255" s="17" t="s">
        <v>166</v>
      </c>
      <c r="AQ255" s="17" t="s">
        <v>167</v>
      </c>
      <c r="AR255" s="17" t="s">
        <v>168</v>
      </c>
      <c r="AV255" s="17" t="s">
        <v>164</v>
      </c>
      <c r="AW255" s="17" t="s">
        <v>165</v>
      </c>
      <c r="AX255" s="17" t="s">
        <v>166</v>
      </c>
      <c r="AY255" s="17" t="s">
        <v>167</v>
      </c>
      <c r="AZ255" s="17" t="s">
        <v>168</v>
      </c>
      <c r="BB255" t="s">
        <v>159</v>
      </c>
      <c r="BC255" s="17" t="s">
        <v>339</v>
      </c>
      <c r="BD255" s="17" t="s">
        <v>155</v>
      </c>
      <c r="BE255" s="17" t="s">
        <v>339</v>
      </c>
      <c r="BF255" s="17" t="s">
        <v>155</v>
      </c>
      <c r="BG255" s="17" t="s">
        <v>155</v>
      </c>
    </row>
    <row r="256" spans="2:60" x14ac:dyDescent="0.3">
      <c r="Q256" s="15" t="s">
        <v>555</v>
      </c>
      <c r="R256" s="17" t="s">
        <v>155</v>
      </c>
      <c r="S256" s="17" t="s">
        <v>155</v>
      </c>
      <c r="T256" s="17" t="s">
        <v>155</v>
      </c>
      <c r="U256" s="17" t="s">
        <v>155</v>
      </c>
      <c r="V256" s="17" t="s">
        <v>811</v>
      </c>
      <c r="AF256" s="15" t="s">
        <v>555</v>
      </c>
      <c r="AG256" s="17" t="s">
        <v>155</v>
      </c>
      <c r="AH256" s="17" t="s">
        <v>155</v>
      </c>
      <c r="AI256" s="17" t="s">
        <v>155</v>
      </c>
      <c r="AJ256" s="17" t="s">
        <v>155</v>
      </c>
      <c r="AK256" s="17" t="s">
        <v>811</v>
      </c>
      <c r="AM256" t="s">
        <v>550</v>
      </c>
      <c r="AN256" s="17" t="s">
        <v>155</v>
      </c>
      <c r="AO256" s="17" t="s">
        <v>339</v>
      </c>
      <c r="AP256" s="17" t="s">
        <v>155</v>
      </c>
      <c r="AQ256" s="17" t="s">
        <v>339</v>
      </c>
      <c r="AR256" s="17" t="s">
        <v>155</v>
      </c>
      <c r="AU256" s="15" t="s">
        <v>555</v>
      </c>
      <c r="AV256" s="17" t="s">
        <v>811</v>
      </c>
      <c r="AW256" s="17" t="s">
        <v>155</v>
      </c>
      <c r="AX256" s="17" t="s">
        <v>811</v>
      </c>
      <c r="AY256" s="17" t="s">
        <v>155</v>
      </c>
      <c r="AZ256" s="17" t="s">
        <v>155</v>
      </c>
      <c r="BB256" t="s">
        <v>160</v>
      </c>
      <c r="BC256" s="17" t="s">
        <v>339</v>
      </c>
      <c r="BD256" s="17" t="s">
        <v>339</v>
      </c>
      <c r="BE256" s="17" t="s">
        <v>339</v>
      </c>
      <c r="BF256" s="17" t="s">
        <v>339</v>
      </c>
      <c r="BG256" s="17" t="s">
        <v>155</v>
      </c>
    </row>
    <row r="257" spans="17:59" x14ac:dyDescent="0.3">
      <c r="Q257" s="15" t="s">
        <v>556</v>
      </c>
      <c r="R257" s="17" t="s">
        <v>155</v>
      </c>
      <c r="S257" s="17" t="s">
        <v>812</v>
      </c>
      <c r="T257" s="17" t="s">
        <v>811</v>
      </c>
      <c r="U257" s="17" t="s">
        <v>155</v>
      </c>
      <c r="V257" s="17" t="s">
        <v>811</v>
      </c>
      <c r="X257" t="s">
        <v>755</v>
      </c>
      <c r="AF257" s="15" t="s">
        <v>556</v>
      </c>
      <c r="AG257" s="17" t="s">
        <v>155</v>
      </c>
      <c r="AH257" s="17" t="s">
        <v>812</v>
      </c>
      <c r="AI257" s="17" t="s">
        <v>811</v>
      </c>
      <c r="AJ257" s="17" t="s">
        <v>812</v>
      </c>
      <c r="AK257" s="17" t="s">
        <v>811</v>
      </c>
      <c r="AM257" t="s">
        <v>158</v>
      </c>
      <c r="AN257" s="17" t="s">
        <v>155</v>
      </c>
      <c r="AO257" s="17" t="s">
        <v>339</v>
      </c>
      <c r="AP257" s="17" t="s">
        <v>155</v>
      </c>
      <c r="AQ257" s="17" t="s">
        <v>339</v>
      </c>
      <c r="AR257" s="17" t="s">
        <v>155</v>
      </c>
      <c r="AU257" s="15" t="s">
        <v>556</v>
      </c>
      <c r="AV257" s="17" t="s">
        <v>811</v>
      </c>
      <c r="AW257" s="17" t="s">
        <v>812</v>
      </c>
      <c r="AX257" s="17" t="s">
        <v>811</v>
      </c>
      <c r="AY257" s="17" t="s">
        <v>812</v>
      </c>
      <c r="AZ257" s="17" t="s">
        <v>155</v>
      </c>
    </row>
    <row r="258" spans="17:59" x14ac:dyDescent="0.3">
      <c r="Q258" s="15" t="s">
        <v>557</v>
      </c>
      <c r="R258" s="17" t="s">
        <v>813</v>
      </c>
      <c r="S258" s="17" t="s">
        <v>812</v>
      </c>
      <c r="T258" s="17" t="s">
        <v>811</v>
      </c>
      <c r="U258" s="17" t="s">
        <v>812</v>
      </c>
      <c r="V258" s="17" t="s">
        <v>813</v>
      </c>
      <c r="Y258" s="17" t="s">
        <v>164</v>
      </c>
      <c r="Z258" s="17" t="s">
        <v>165</v>
      </c>
      <c r="AA258" s="17" t="s">
        <v>166</v>
      </c>
      <c r="AB258" s="17" t="s">
        <v>167</v>
      </c>
      <c r="AC258" s="17" t="s">
        <v>168</v>
      </c>
      <c r="AF258" s="15" t="s">
        <v>557</v>
      </c>
      <c r="AG258" s="17" t="s">
        <v>813</v>
      </c>
      <c r="AH258" s="17" t="s">
        <v>812</v>
      </c>
      <c r="AI258" s="17" t="s">
        <v>811</v>
      </c>
      <c r="AJ258" s="17" t="s">
        <v>812</v>
      </c>
      <c r="AK258" s="17" t="s">
        <v>813</v>
      </c>
      <c r="AM258" t="s">
        <v>159</v>
      </c>
      <c r="AN258" s="17" t="s">
        <v>339</v>
      </c>
      <c r="AO258" s="17" t="s">
        <v>155</v>
      </c>
      <c r="AP258" s="17" t="s">
        <v>339</v>
      </c>
      <c r="AQ258" s="17" t="s">
        <v>155</v>
      </c>
      <c r="AR258" s="17" t="s">
        <v>155</v>
      </c>
      <c r="AU258" s="15" t="s">
        <v>557</v>
      </c>
      <c r="AV258" s="17" t="s">
        <v>813</v>
      </c>
      <c r="AW258" s="17" t="s">
        <v>812</v>
      </c>
      <c r="AX258" s="17" t="s">
        <v>811</v>
      </c>
      <c r="AY258" s="17" t="s">
        <v>812</v>
      </c>
      <c r="AZ258" s="17" t="s">
        <v>813</v>
      </c>
      <c r="BB258" t="s">
        <v>755</v>
      </c>
    </row>
    <row r="259" spans="17:59" x14ac:dyDescent="0.3">
      <c r="Q259" s="15" t="s">
        <v>542</v>
      </c>
      <c r="R259" s="17" t="s">
        <v>813</v>
      </c>
      <c r="S259" s="17" t="s">
        <v>812</v>
      </c>
      <c r="T259" s="17" t="s">
        <v>811</v>
      </c>
      <c r="U259" s="17" t="s">
        <v>812</v>
      </c>
      <c r="V259" s="17" t="s">
        <v>813</v>
      </c>
      <c r="X259" t="s">
        <v>548</v>
      </c>
      <c r="Y259" s="17" t="s">
        <v>155</v>
      </c>
      <c r="Z259" s="17" t="s">
        <v>155</v>
      </c>
      <c r="AA259" s="17" t="s">
        <v>377</v>
      </c>
      <c r="AB259" s="17" t="s">
        <v>155</v>
      </c>
      <c r="AC259" s="17" t="s">
        <v>155</v>
      </c>
      <c r="AF259" s="15" t="s">
        <v>542</v>
      </c>
      <c r="AG259" s="17" t="s">
        <v>813</v>
      </c>
      <c r="AH259" s="17" t="s">
        <v>812</v>
      </c>
      <c r="AI259" s="17" t="s">
        <v>811</v>
      </c>
      <c r="AJ259" s="17" t="s">
        <v>155</v>
      </c>
      <c r="AK259" s="17" t="s">
        <v>813</v>
      </c>
      <c r="AM259" t="s">
        <v>160</v>
      </c>
      <c r="AN259" s="17" t="s">
        <v>339</v>
      </c>
      <c r="AO259" s="17" t="s">
        <v>339</v>
      </c>
      <c r="AP259" s="17" t="s">
        <v>339</v>
      </c>
      <c r="AQ259" s="17" t="s">
        <v>339</v>
      </c>
      <c r="AR259" s="17" t="s">
        <v>155</v>
      </c>
      <c r="AU259" s="15" t="s">
        <v>542</v>
      </c>
      <c r="AV259" s="17" t="s">
        <v>813</v>
      </c>
      <c r="AW259" s="17" t="s">
        <v>155</v>
      </c>
      <c r="AX259" s="17" t="s">
        <v>155</v>
      </c>
      <c r="AY259" s="17" t="s">
        <v>812</v>
      </c>
      <c r="AZ259" s="17" t="s">
        <v>813</v>
      </c>
      <c r="BC259" s="17" t="s">
        <v>164</v>
      </c>
      <c r="BD259" s="17" t="s">
        <v>165</v>
      </c>
      <c r="BE259" s="17" t="s">
        <v>166</v>
      </c>
      <c r="BF259" s="17" t="s">
        <v>167</v>
      </c>
      <c r="BG259" s="17" t="s">
        <v>168</v>
      </c>
    </row>
    <row r="260" spans="17:59" x14ac:dyDescent="0.3">
      <c r="Q260" s="15" t="s">
        <v>543</v>
      </c>
      <c r="R260" s="17" t="s">
        <v>808</v>
      </c>
      <c r="S260" s="17" t="s">
        <v>155</v>
      </c>
      <c r="T260" s="17" t="s">
        <v>155</v>
      </c>
      <c r="U260" s="17" t="s">
        <v>155</v>
      </c>
      <c r="V260" s="17" t="s">
        <v>155</v>
      </c>
      <c r="X260" t="s">
        <v>549</v>
      </c>
      <c r="Y260" s="17" t="s">
        <v>155</v>
      </c>
      <c r="Z260" s="17" t="s">
        <v>155</v>
      </c>
      <c r="AA260" s="17" t="s">
        <v>377</v>
      </c>
      <c r="AB260" s="17" t="s">
        <v>155</v>
      </c>
      <c r="AC260" s="17" t="s">
        <v>155</v>
      </c>
      <c r="AF260" s="15" t="s">
        <v>543</v>
      </c>
      <c r="AG260" s="17" t="s">
        <v>808</v>
      </c>
      <c r="AH260" s="17" t="s">
        <v>155</v>
      </c>
      <c r="AI260" s="17" t="s">
        <v>155</v>
      </c>
      <c r="AJ260" s="17" t="s">
        <v>155</v>
      </c>
      <c r="AK260" s="17" t="s">
        <v>155</v>
      </c>
      <c r="AU260" s="15" t="s">
        <v>543</v>
      </c>
      <c r="AV260" s="17" t="s">
        <v>808</v>
      </c>
      <c r="AW260" s="17" t="s">
        <v>155</v>
      </c>
      <c r="AX260" s="17" t="s">
        <v>155</v>
      </c>
      <c r="AY260" s="17" t="s">
        <v>155</v>
      </c>
      <c r="AZ260" s="17" t="s">
        <v>155</v>
      </c>
      <c r="BB260" t="s">
        <v>548</v>
      </c>
      <c r="BC260" s="17" t="s">
        <v>155</v>
      </c>
      <c r="BD260" s="17" t="s">
        <v>155</v>
      </c>
      <c r="BE260" s="17" t="s">
        <v>155</v>
      </c>
      <c r="BF260" s="17" t="s">
        <v>155</v>
      </c>
      <c r="BG260" s="17" t="s">
        <v>377</v>
      </c>
    </row>
    <row r="261" spans="17:59" x14ac:dyDescent="0.3">
      <c r="Q261" s="15" t="s">
        <v>544</v>
      </c>
      <c r="R261" s="17" t="s">
        <v>808</v>
      </c>
      <c r="S261" s="17" t="s">
        <v>155</v>
      </c>
      <c r="T261" s="17" t="s">
        <v>155</v>
      </c>
      <c r="U261" s="17" t="s">
        <v>155</v>
      </c>
      <c r="V261" s="17" t="s">
        <v>155</v>
      </c>
      <c r="X261" t="s">
        <v>550</v>
      </c>
      <c r="Y261" s="17" t="s">
        <v>155</v>
      </c>
      <c r="Z261" s="17" t="s">
        <v>155</v>
      </c>
      <c r="AA261" s="17" t="s">
        <v>377</v>
      </c>
      <c r="AB261" s="17" t="s">
        <v>155</v>
      </c>
      <c r="AC261" s="17" t="s">
        <v>377</v>
      </c>
      <c r="AF261" s="15" t="s">
        <v>544</v>
      </c>
      <c r="AG261" s="17" t="s">
        <v>808</v>
      </c>
      <c r="AH261" s="17" t="s">
        <v>155</v>
      </c>
      <c r="AI261" s="17" t="s">
        <v>155</v>
      </c>
      <c r="AJ261" s="17" t="s">
        <v>155</v>
      </c>
      <c r="AK261" s="17" t="s">
        <v>155</v>
      </c>
      <c r="AM261" t="s">
        <v>755</v>
      </c>
      <c r="AU261" s="15" t="s">
        <v>544</v>
      </c>
      <c r="AV261" s="17" t="s">
        <v>808</v>
      </c>
      <c r="AW261" s="17" t="s">
        <v>155</v>
      </c>
      <c r="AX261" s="17" t="s">
        <v>155</v>
      </c>
      <c r="AY261" s="17" t="s">
        <v>155</v>
      </c>
      <c r="AZ261" s="17" t="s">
        <v>155</v>
      </c>
      <c r="BB261" t="s">
        <v>549</v>
      </c>
      <c r="BC261" s="17" t="s">
        <v>155</v>
      </c>
      <c r="BD261" s="17" t="s">
        <v>155</v>
      </c>
      <c r="BE261" s="17" t="s">
        <v>155</v>
      </c>
      <c r="BF261" s="17" t="s">
        <v>155</v>
      </c>
      <c r="BG261" s="17" t="s">
        <v>377</v>
      </c>
    </row>
    <row r="262" spans="17:59" x14ac:dyDescent="0.3">
      <c r="Q262" s="15" t="s">
        <v>545</v>
      </c>
      <c r="R262" s="17" t="s">
        <v>808</v>
      </c>
      <c r="S262" s="17" t="s">
        <v>155</v>
      </c>
      <c r="T262" s="17" t="s">
        <v>155</v>
      </c>
      <c r="U262" s="17" t="s">
        <v>155</v>
      </c>
      <c r="V262" s="17" t="s">
        <v>155</v>
      </c>
      <c r="X262" t="s">
        <v>158</v>
      </c>
      <c r="Y262" s="17" t="s">
        <v>155</v>
      </c>
      <c r="Z262" s="17" t="s">
        <v>155</v>
      </c>
      <c r="AA262" s="17" t="s">
        <v>155</v>
      </c>
      <c r="AB262" s="17" t="s">
        <v>155</v>
      </c>
      <c r="AC262" s="17" t="s">
        <v>377</v>
      </c>
      <c r="AF262" s="15" t="s">
        <v>545</v>
      </c>
      <c r="AG262" s="17" t="s">
        <v>808</v>
      </c>
      <c r="AH262" s="17" t="s">
        <v>155</v>
      </c>
      <c r="AI262" s="17" t="s">
        <v>155</v>
      </c>
      <c r="AJ262" s="17" t="s">
        <v>155</v>
      </c>
      <c r="AK262" s="17" t="s">
        <v>155</v>
      </c>
      <c r="AN262" s="17" t="s">
        <v>164</v>
      </c>
      <c r="AO262" s="17" t="s">
        <v>165</v>
      </c>
      <c r="AP262" s="17" t="s">
        <v>166</v>
      </c>
      <c r="AQ262" s="17" t="s">
        <v>167</v>
      </c>
      <c r="AR262" s="17" t="s">
        <v>168</v>
      </c>
      <c r="AU262" s="15" t="s">
        <v>545</v>
      </c>
      <c r="AV262" s="17" t="s">
        <v>808</v>
      </c>
      <c r="AW262" s="17" t="s">
        <v>155</v>
      </c>
      <c r="AX262" s="17" t="s">
        <v>155</v>
      </c>
      <c r="AY262" s="17" t="s">
        <v>155</v>
      </c>
      <c r="AZ262" s="17" t="s">
        <v>155</v>
      </c>
      <c r="BB262" t="s">
        <v>550</v>
      </c>
      <c r="BC262" s="17" t="s">
        <v>155</v>
      </c>
      <c r="BD262" s="17" t="s">
        <v>155</v>
      </c>
      <c r="BE262" s="17" t="s">
        <v>155</v>
      </c>
      <c r="BF262" s="17" t="s">
        <v>155</v>
      </c>
      <c r="BG262" s="17" t="s">
        <v>377</v>
      </c>
    </row>
    <row r="263" spans="17:59" x14ac:dyDescent="0.3">
      <c r="AM263" t="s">
        <v>549</v>
      </c>
      <c r="AN263" s="17" t="s">
        <v>155</v>
      </c>
      <c r="AO263" s="17" t="s">
        <v>155</v>
      </c>
      <c r="AP263" s="17" t="s">
        <v>377</v>
      </c>
      <c r="AQ263" s="17" t="s">
        <v>155</v>
      </c>
      <c r="AR263" s="17" t="s">
        <v>155</v>
      </c>
      <c r="BB263" t="s">
        <v>159</v>
      </c>
      <c r="BC263" s="17" t="s">
        <v>155</v>
      </c>
      <c r="BD263" s="17" t="s">
        <v>155</v>
      </c>
      <c r="BE263" s="17" t="s">
        <v>377</v>
      </c>
      <c r="BF263" s="17" t="s">
        <v>155</v>
      </c>
      <c r="BG263" s="17" t="s">
        <v>155</v>
      </c>
    </row>
    <row r="264" spans="17:59" x14ac:dyDescent="0.3">
      <c r="Q264" s="15" t="s">
        <v>814</v>
      </c>
      <c r="X264" t="s">
        <v>829</v>
      </c>
      <c r="AF264" s="15" t="s">
        <v>814</v>
      </c>
      <c r="AM264" t="s">
        <v>550</v>
      </c>
      <c r="AN264" s="17" t="s">
        <v>155</v>
      </c>
      <c r="AO264" s="17" t="s">
        <v>155</v>
      </c>
      <c r="AP264" s="17" t="s">
        <v>377</v>
      </c>
      <c r="AQ264" s="17" t="s">
        <v>155</v>
      </c>
      <c r="AR264" s="17" t="s">
        <v>155</v>
      </c>
      <c r="AU264" s="15" t="s">
        <v>814</v>
      </c>
      <c r="BB264" t="s">
        <v>160</v>
      </c>
      <c r="BC264" s="17" t="s">
        <v>155</v>
      </c>
      <c r="BD264" s="17" t="s">
        <v>155</v>
      </c>
      <c r="BE264" s="17" t="s">
        <v>377</v>
      </c>
      <c r="BF264" s="17" t="s">
        <v>155</v>
      </c>
      <c r="BG264" s="17" t="s">
        <v>155</v>
      </c>
    </row>
    <row r="265" spans="17:59" x14ac:dyDescent="0.3">
      <c r="R265" s="17" t="s">
        <v>164</v>
      </c>
      <c r="S265" s="17" t="s">
        <v>165</v>
      </c>
      <c r="T265" s="17" t="s">
        <v>166</v>
      </c>
      <c r="U265" s="17" t="s">
        <v>167</v>
      </c>
      <c r="V265" s="17" t="s">
        <v>168</v>
      </c>
      <c r="Y265" s="17" t="s">
        <v>164</v>
      </c>
      <c r="Z265" s="17" t="s">
        <v>165</v>
      </c>
      <c r="AA265" s="17" t="s">
        <v>166</v>
      </c>
      <c r="AB265" s="17" t="s">
        <v>167</v>
      </c>
      <c r="AC265" s="17" t="s">
        <v>168</v>
      </c>
      <c r="AG265" s="17" t="s">
        <v>164</v>
      </c>
      <c r="AH265" s="17" t="s">
        <v>165</v>
      </c>
      <c r="AI265" s="17" t="s">
        <v>166</v>
      </c>
      <c r="AJ265" s="17" t="s">
        <v>167</v>
      </c>
      <c r="AK265" s="17" t="s">
        <v>168</v>
      </c>
      <c r="AM265" t="s">
        <v>158</v>
      </c>
      <c r="AN265" s="17" t="s">
        <v>155</v>
      </c>
      <c r="AO265" s="17" t="s">
        <v>155</v>
      </c>
      <c r="AP265" s="17" t="s">
        <v>155</v>
      </c>
      <c r="AQ265" s="17" t="s">
        <v>155</v>
      </c>
      <c r="AR265" s="17" t="s">
        <v>377</v>
      </c>
      <c r="AV265" s="17" t="s">
        <v>164</v>
      </c>
      <c r="AW265" s="17" t="s">
        <v>165</v>
      </c>
      <c r="AX265" s="17" t="s">
        <v>166</v>
      </c>
      <c r="AY265" s="17" t="s">
        <v>167</v>
      </c>
      <c r="AZ265" s="17" t="s">
        <v>168</v>
      </c>
    </row>
    <row r="266" spans="17:59" x14ac:dyDescent="0.3">
      <c r="Q266" s="15" t="s">
        <v>555</v>
      </c>
      <c r="R266" s="17" t="s">
        <v>815</v>
      </c>
      <c r="S266" s="17" t="s">
        <v>155</v>
      </c>
      <c r="T266" s="17" t="s">
        <v>155</v>
      </c>
      <c r="U266" s="17" t="s">
        <v>155</v>
      </c>
      <c r="V266" s="17" t="s">
        <v>155</v>
      </c>
      <c r="X266" t="s">
        <v>556</v>
      </c>
      <c r="Y266" s="17" t="s">
        <v>155</v>
      </c>
      <c r="Z266" s="17" t="s">
        <v>462</v>
      </c>
      <c r="AA266" s="17" t="s">
        <v>155</v>
      </c>
      <c r="AB266" s="17" t="s">
        <v>155</v>
      </c>
      <c r="AC266" s="17" t="s">
        <v>155</v>
      </c>
      <c r="AF266" s="15" t="s">
        <v>555</v>
      </c>
      <c r="AG266" s="17" t="s">
        <v>815</v>
      </c>
      <c r="AH266" s="17" t="s">
        <v>155</v>
      </c>
      <c r="AI266" s="17" t="s">
        <v>155</v>
      </c>
      <c r="AJ266" s="17" t="s">
        <v>155</v>
      </c>
      <c r="AK266" s="17" t="s">
        <v>155</v>
      </c>
      <c r="AM266" t="s">
        <v>159</v>
      </c>
      <c r="AN266" s="17" t="s">
        <v>155</v>
      </c>
      <c r="AO266" s="17" t="s">
        <v>155</v>
      </c>
      <c r="AP266" s="17" t="s">
        <v>155</v>
      </c>
      <c r="AQ266" s="17" t="s">
        <v>155</v>
      </c>
      <c r="AR266" s="17" t="s">
        <v>377</v>
      </c>
      <c r="AU266" s="15" t="s">
        <v>555</v>
      </c>
      <c r="AV266" s="17" t="s">
        <v>815</v>
      </c>
      <c r="AW266" s="17" t="s">
        <v>155</v>
      </c>
      <c r="AX266" s="17" t="s">
        <v>155</v>
      </c>
      <c r="AY266" s="17" t="s">
        <v>155</v>
      </c>
      <c r="AZ266" s="17" t="s">
        <v>155</v>
      </c>
      <c r="BB266" t="s">
        <v>829</v>
      </c>
    </row>
    <row r="267" spans="17:59" x14ac:dyDescent="0.3">
      <c r="Q267" s="15" t="s">
        <v>556</v>
      </c>
      <c r="R267" s="17" t="s">
        <v>815</v>
      </c>
      <c r="S267" s="17" t="s">
        <v>155</v>
      </c>
      <c r="T267" s="17" t="s">
        <v>155</v>
      </c>
      <c r="U267" s="17" t="s">
        <v>155</v>
      </c>
      <c r="V267" s="17" t="s">
        <v>155</v>
      </c>
      <c r="X267" t="s">
        <v>557</v>
      </c>
      <c r="Y267" s="17" t="s">
        <v>155</v>
      </c>
      <c r="Z267" s="17" t="s">
        <v>462</v>
      </c>
      <c r="AA267" s="17" t="s">
        <v>155</v>
      </c>
      <c r="AB267" s="17" t="s">
        <v>462</v>
      </c>
      <c r="AC267" s="17" t="s">
        <v>155</v>
      </c>
      <c r="AF267" s="15" t="s">
        <v>556</v>
      </c>
      <c r="AG267" s="17" t="s">
        <v>815</v>
      </c>
      <c r="AH267" s="17" t="s">
        <v>155</v>
      </c>
      <c r="AI267" s="17" t="s">
        <v>155</v>
      </c>
      <c r="AJ267" s="17" t="s">
        <v>816</v>
      </c>
      <c r="AK267" s="17" t="s">
        <v>155</v>
      </c>
      <c r="AM267" t="s">
        <v>160</v>
      </c>
      <c r="AN267" s="17" t="s">
        <v>155</v>
      </c>
      <c r="AO267" s="17" t="s">
        <v>155</v>
      </c>
      <c r="AP267" s="17" t="s">
        <v>155</v>
      </c>
      <c r="AQ267" s="17" t="s">
        <v>155</v>
      </c>
      <c r="AR267" s="17" t="s">
        <v>377</v>
      </c>
      <c r="AU267" s="15" t="s">
        <v>556</v>
      </c>
      <c r="AV267" s="17" t="s">
        <v>815</v>
      </c>
      <c r="AW267" s="17" t="s">
        <v>155</v>
      </c>
      <c r="AX267" s="17" t="s">
        <v>155</v>
      </c>
      <c r="AY267" s="17" t="s">
        <v>155</v>
      </c>
      <c r="AZ267" s="17" t="s">
        <v>155</v>
      </c>
      <c r="BC267" s="17" t="s">
        <v>164</v>
      </c>
      <c r="BD267" s="17" t="s">
        <v>165</v>
      </c>
      <c r="BE267" s="17" t="s">
        <v>166</v>
      </c>
      <c r="BF267" s="17" t="s">
        <v>167</v>
      </c>
      <c r="BG267" s="17" t="s">
        <v>168</v>
      </c>
    </row>
    <row r="268" spans="17:59" x14ac:dyDescent="0.3">
      <c r="Q268" s="15" t="s">
        <v>557</v>
      </c>
      <c r="R268" s="17" t="s">
        <v>815</v>
      </c>
      <c r="S268" s="17" t="s">
        <v>155</v>
      </c>
      <c r="T268" s="17" t="s">
        <v>155</v>
      </c>
      <c r="U268" s="17" t="s">
        <v>816</v>
      </c>
      <c r="V268" s="17" t="s">
        <v>155</v>
      </c>
      <c r="X268" t="s">
        <v>542</v>
      </c>
      <c r="Y268" s="17" t="s">
        <v>155</v>
      </c>
      <c r="Z268" s="17" t="s">
        <v>462</v>
      </c>
      <c r="AA268" s="17" t="s">
        <v>155</v>
      </c>
      <c r="AB268" s="17" t="s">
        <v>462</v>
      </c>
      <c r="AC268" s="17" t="s">
        <v>155</v>
      </c>
      <c r="AF268" s="15" t="s">
        <v>557</v>
      </c>
      <c r="AG268" s="17" t="s">
        <v>815</v>
      </c>
      <c r="AH268" s="17" t="s">
        <v>155</v>
      </c>
      <c r="AI268" s="17" t="s">
        <v>155</v>
      </c>
      <c r="AJ268" s="17" t="s">
        <v>816</v>
      </c>
      <c r="AK268" s="17" t="s">
        <v>155</v>
      </c>
      <c r="AU268" s="15" t="s">
        <v>557</v>
      </c>
      <c r="AV268" s="17" t="s">
        <v>815</v>
      </c>
      <c r="AW268" s="17" t="s">
        <v>155</v>
      </c>
      <c r="AX268" s="17" t="s">
        <v>155</v>
      </c>
      <c r="AY268" s="17" t="s">
        <v>816</v>
      </c>
      <c r="AZ268" s="17" t="s">
        <v>155</v>
      </c>
      <c r="BB268" t="s">
        <v>556</v>
      </c>
      <c r="BC268" s="17" t="s">
        <v>155</v>
      </c>
      <c r="BD268" s="17" t="s">
        <v>462</v>
      </c>
      <c r="BE268" s="17" t="s">
        <v>155</v>
      </c>
      <c r="BF268" s="17" t="s">
        <v>462</v>
      </c>
      <c r="BG268" s="17" t="s">
        <v>155</v>
      </c>
    </row>
    <row r="269" spans="17:59" x14ac:dyDescent="0.3">
      <c r="Q269" s="15" t="s">
        <v>542</v>
      </c>
      <c r="R269" s="17" t="s">
        <v>817</v>
      </c>
      <c r="S269" s="17" t="s">
        <v>155</v>
      </c>
      <c r="T269" s="17" t="s">
        <v>817</v>
      </c>
      <c r="U269" s="17" t="s">
        <v>816</v>
      </c>
      <c r="V269" s="17" t="s">
        <v>155</v>
      </c>
      <c r="AF269" s="15" t="s">
        <v>542</v>
      </c>
      <c r="AG269" s="17" t="s">
        <v>817</v>
      </c>
      <c r="AH269" s="17" t="s">
        <v>155</v>
      </c>
      <c r="AI269" s="17" t="s">
        <v>817</v>
      </c>
      <c r="AJ269" s="17" t="s">
        <v>816</v>
      </c>
      <c r="AK269" s="17" t="s">
        <v>155</v>
      </c>
      <c r="AM269" t="s">
        <v>829</v>
      </c>
      <c r="AU269" s="15" t="s">
        <v>542</v>
      </c>
      <c r="AV269" s="17" t="s">
        <v>817</v>
      </c>
      <c r="AW269" s="17" t="s">
        <v>155</v>
      </c>
      <c r="AX269" s="17" t="s">
        <v>817</v>
      </c>
      <c r="AY269" s="17" t="s">
        <v>816</v>
      </c>
      <c r="AZ269" s="17" t="s">
        <v>155</v>
      </c>
      <c r="BB269" t="s">
        <v>557</v>
      </c>
      <c r="BC269" s="17" t="s">
        <v>155</v>
      </c>
      <c r="BD269" s="17" t="s">
        <v>462</v>
      </c>
      <c r="BE269" s="17" t="s">
        <v>155</v>
      </c>
      <c r="BF269" s="17" t="s">
        <v>462</v>
      </c>
      <c r="BG269" s="17" t="s">
        <v>155</v>
      </c>
    </row>
    <row r="270" spans="17:59" x14ac:dyDescent="0.3">
      <c r="Q270" s="15" t="s">
        <v>543</v>
      </c>
      <c r="R270" s="17" t="s">
        <v>817</v>
      </c>
      <c r="S270" s="17" t="s">
        <v>155</v>
      </c>
      <c r="T270" s="17" t="s">
        <v>817</v>
      </c>
      <c r="U270" s="17" t="s">
        <v>816</v>
      </c>
      <c r="V270" s="17" t="s">
        <v>155</v>
      </c>
      <c r="X270" t="s">
        <v>705</v>
      </c>
      <c r="AF270" s="15" t="s">
        <v>543</v>
      </c>
      <c r="AG270" s="17" t="s">
        <v>817</v>
      </c>
      <c r="AH270" s="17" t="s">
        <v>155</v>
      </c>
      <c r="AI270" s="17" t="s">
        <v>817</v>
      </c>
      <c r="AJ270" s="17" t="s">
        <v>816</v>
      </c>
      <c r="AK270" s="17" t="s">
        <v>155</v>
      </c>
      <c r="AN270" s="17" t="s">
        <v>164</v>
      </c>
      <c r="AO270" s="17" t="s">
        <v>165</v>
      </c>
      <c r="AP270" s="17" t="s">
        <v>166</v>
      </c>
      <c r="AQ270" s="17" t="s">
        <v>167</v>
      </c>
      <c r="AR270" s="17" t="s">
        <v>168</v>
      </c>
      <c r="AU270" s="15" t="s">
        <v>543</v>
      </c>
      <c r="AV270" s="17" t="s">
        <v>817</v>
      </c>
      <c r="AW270" s="17" t="s">
        <v>155</v>
      </c>
      <c r="AX270" s="17" t="s">
        <v>817</v>
      </c>
      <c r="AY270" s="17" t="s">
        <v>816</v>
      </c>
      <c r="AZ270" s="17" t="s">
        <v>155</v>
      </c>
      <c r="BB270" t="s">
        <v>542</v>
      </c>
      <c r="BC270" s="17" t="s">
        <v>155</v>
      </c>
      <c r="BD270" s="17" t="s">
        <v>155</v>
      </c>
      <c r="BE270" s="17" t="s">
        <v>155</v>
      </c>
      <c r="BF270" s="17" t="s">
        <v>462</v>
      </c>
      <c r="BG270" s="17" t="s">
        <v>155</v>
      </c>
    </row>
    <row r="271" spans="17:59" x14ac:dyDescent="0.3">
      <c r="Q271" s="15" t="s">
        <v>544</v>
      </c>
      <c r="R271" s="17" t="s">
        <v>155</v>
      </c>
      <c r="S271" s="17" t="s">
        <v>155</v>
      </c>
      <c r="T271" s="17" t="s">
        <v>155</v>
      </c>
      <c r="U271" s="17" t="s">
        <v>816</v>
      </c>
      <c r="V271" s="17" t="s">
        <v>155</v>
      </c>
      <c r="Y271" s="17" t="s">
        <v>164</v>
      </c>
      <c r="Z271" s="17" t="s">
        <v>165</v>
      </c>
      <c r="AA271" s="17" t="s">
        <v>166</v>
      </c>
      <c r="AB271" s="17" t="s">
        <v>167</v>
      </c>
      <c r="AC271" s="17" t="s">
        <v>168</v>
      </c>
      <c r="AF271" s="15" t="s">
        <v>544</v>
      </c>
      <c r="AG271" s="17" t="s">
        <v>155</v>
      </c>
      <c r="AH271" s="17" t="s">
        <v>155</v>
      </c>
      <c r="AI271" s="17" t="s">
        <v>155</v>
      </c>
      <c r="AJ271" s="17" t="s">
        <v>155</v>
      </c>
      <c r="AK271" s="17" t="s">
        <v>155</v>
      </c>
      <c r="AM271" t="s">
        <v>556</v>
      </c>
      <c r="AN271" s="17" t="s">
        <v>155</v>
      </c>
      <c r="AO271" s="17" t="s">
        <v>462</v>
      </c>
      <c r="AP271" s="17" t="s">
        <v>155</v>
      </c>
      <c r="AQ271" s="17" t="s">
        <v>462</v>
      </c>
      <c r="AR271" s="17" t="s">
        <v>155</v>
      </c>
      <c r="AU271" s="15" t="s">
        <v>544</v>
      </c>
      <c r="AV271" s="17" t="s">
        <v>155</v>
      </c>
      <c r="AW271" s="17" t="s">
        <v>155</v>
      </c>
      <c r="AX271" s="17" t="s">
        <v>155</v>
      </c>
      <c r="AY271" s="17" t="s">
        <v>816</v>
      </c>
      <c r="AZ271" s="17" t="s">
        <v>155</v>
      </c>
    </row>
    <row r="272" spans="17:59" x14ac:dyDescent="0.3">
      <c r="Q272" s="15" t="s">
        <v>545</v>
      </c>
      <c r="R272" s="17" t="s">
        <v>155</v>
      </c>
      <c r="S272" s="17" t="s">
        <v>633</v>
      </c>
      <c r="T272" s="17" t="s">
        <v>155</v>
      </c>
      <c r="U272" s="17" t="s">
        <v>155</v>
      </c>
      <c r="V272" s="17" t="s">
        <v>155</v>
      </c>
      <c r="X272" t="s">
        <v>544</v>
      </c>
      <c r="Y272" s="17" t="s">
        <v>155</v>
      </c>
      <c r="Z272" s="17" t="s">
        <v>155</v>
      </c>
      <c r="AA272" s="17" t="s">
        <v>155</v>
      </c>
      <c r="AB272" s="17" t="s">
        <v>155</v>
      </c>
      <c r="AC272" s="17" t="s">
        <v>274</v>
      </c>
      <c r="AF272" s="15" t="s">
        <v>545</v>
      </c>
      <c r="AG272" s="17" t="s">
        <v>155</v>
      </c>
      <c r="AH272" s="17" t="s">
        <v>633</v>
      </c>
      <c r="AI272" s="17" t="s">
        <v>155</v>
      </c>
      <c r="AJ272" s="17" t="s">
        <v>155</v>
      </c>
      <c r="AK272" s="17" t="s">
        <v>155</v>
      </c>
      <c r="AM272" t="s">
        <v>557</v>
      </c>
      <c r="AN272" s="17" t="s">
        <v>155</v>
      </c>
      <c r="AO272" s="17" t="s">
        <v>462</v>
      </c>
      <c r="AP272" s="17" t="s">
        <v>155</v>
      </c>
      <c r="AQ272" s="17" t="s">
        <v>462</v>
      </c>
      <c r="AR272" s="17" t="s">
        <v>155</v>
      </c>
      <c r="AU272" s="15" t="s">
        <v>545</v>
      </c>
      <c r="AV272" s="17" t="s">
        <v>155</v>
      </c>
      <c r="AW272" s="17" t="s">
        <v>633</v>
      </c>
      <c r="AX272" s="17" t="s">
        <v>155</v>
      </c>
      <c r="AY272" s="17" t="s">
        <v>155</v>
      </c>
      <c r="AZ272" s="17" t="s">
        <v>155</v>
      </c>
      <c r="BB272" t="s">
        <v>705</v>
      </c>
    </row>
    <row r="273" spans="17:71" x14ac:dyDescent="0.3">
      <c r="X273" t="s">
        <v>545</v>
      </c>
      <c r="Y273" s="17" t="s">
        <v>274</v>
      </c>
      <c r="Z273" s="17" t="s">
        <v>155</v>
      </c>
      <c r="AA273" s="17" t="s">
        <v>259</v>
      </c>
      <c r="AB273" s="17" t="s">
        <v>155</v>
      </c>
      <c r="AC273" s="17" t="s">
        <v>274</v>
      </c>
      <c r="AM273" t="s">
        <v>542</v>
      </c>
      <c r="AN273" s="17" t="s">
        <v>155</v>
      </c>
      <c r="AO273" s="17" t="s">
        <v>462</v>
      </c>
      <c r="AP273" s="17" t="s">
        <v>155</v>
      </c>
      <c r="AQ273" s="17" t="s">
        <v>155</v>
      </c>
      <c r="AR273" s="17" t="s">
        <v>155</v>
      </c>
      <c r="BC273" s="17" t="s">
        <v>164</v>
      </c>
      <c r="BD273" s="17" t="s">
        <v>165</v>
      </c>
      <c r="BE273" s="17" t="s">
        <v>166</v>
      </c>
      <c r="BF273" s="17" t="s">
        <v>167</v>
      </c>
      <c r="BG273" s="17" t="s">
        <v>168</v>
      </c>
    </row>
    <row r="274" spans="17:71" x14ac:dyDescent="0.3">
      <c r="Q274" s="15" t="s">
        <v>818</v>
      </c>
      <c r="X274" t="s">
        <v>546</v>
      </c>
      <c r="Y274" s="17" t="s">
        <v>155</v>
      </c>
      <c r="Z274" s="17" t="s">
        <v>155</v>
      </c>
      <c r="AA274" s="17" t="s">
        <v>259</v>
      </c>
      <c r="AB274" s="17" t="s">
        <v>155</v>
      </c>
      <c r="AC274" s="17" t="s">
        <v>259</v>
      </c>
      <c r="AF274" s="15" t="s">
        <v>818</v>
      </c>
      <c r="AU274" s="15" t="s">
        <v>818</v>
      </c>
      <c r="BB274" t="s">
        <v>544</v>
      </c>
      <c r="BC274" s="17" t="s">
        <v>155</v>
      </c>
      <c r="BD274" s="17" t="s">
        <v>155</v>
      </c>
      <c r="BE274" s="17" t="s">
        <v>155</v>
      </c>
      <c r="BF274" s="17" t="s">
        <v>274</v>
      </c>
      <c r="BG274" s="17" t="s">
        <v>259</v>
      </c>
      <c r="BN274" s="17" t="s">
        <v>596</v>
      </c>
    </row>
    <row r="275" spans="17:71" x14ac:dyDescent="0.3">
      <c r="R275" s="17" t="s">
        <v>164</v>
      </c>
      <c r="S275" s="17" t="s">
        <v>165</v>
      </c>
      <c r="T275" s="17" t="s">
        <v>166</v>
      </c>
      <c r="U275" s="17" t="s">
        <v>167</v>
      </c>
      <c r="V275" s="17" t="s">
        <v>168</v>
      </c>
      <c r="AG275" s="17" t="s">
        <v>164</v>
      </c>
      <c r="AH275" s="17" t="s">
        <v>165</v>
      </c>
      <c r="AI275" s="17" t="s">
        <v>166</v>
      </c>
      <c r="AJ275" s="17" t="s">
        <v>167</v>
      </c>
      <c r="AK275" s="17" t="s">
        <v>168</v>
      </c>
      <c r="AM275" t="s">
        <v>705</v>
      </c>
      <c r="AV275" s="17" t="s">
        <v>164</v>
      </c>
      <c r="AW275" s="17" t="s">
        <v>165</v>
      </c>
      <c r="AX275" s="17" t="s">
        <v>166</v>
      </c>
      <c r="AY275" s="17" t="s">
        <v>167</v>
      </c>
      <c r="AZ275" s="17" t="s">
        <v>168</v>
      </c>
      <c r="BB275" t="s">
        <v>545</v>
      </c>
      <c r="BC275" s="17" t="s">
        <v>274</v>
      </c>
      <c r="BD275" s="17" t="s">
        <v>155</v>
      </c>
      <c r="BE275" s="17" t="s">
        <v>259</v>
      </c>
      <c r="BF275" s="17" t="s">
        <v>155</v>
      </c>
      <c r="BG275" s="17" t="s">
        <v>155</v>
      </c>
      <c r="BN275" s="17" t="s">
        <v>804</v>
      </c>
    </row>
    <row r="276" spans="17:71" x14ac:dyDescent="0.3">
      <c r="Q276" s="15" t="s">
        <v>555</v>
      </c>
      <c r="R276" s="17" t="s">
        <v>815</v>
      </c>
      <c r="S276" s="17" t="s">
        <v>155</v>
      </c>
      <c r="T276" s="17" t="s">
        <v>155</v>
      </c>
      <c r="U276" s="17" t="s">
        <v>155</v>
      </c>
      <c r="V276" s="17" t="s">
        <v>155</v>
      </c>
      <c r="X276" t="s">
        <v>750</v>
      </c>
      <c r="AF276" s="15" t="s">
        <v>555</v>
      </c>
      <c r="AG276" s="17" t="s">
        <v>815</v>
      </c>
      <c r="AH276" s="17" t="s">
        <v>155</v>
      </c>
      <c r="AI276" s="17" t="s">
        <v>155</v>
      </c>
      <c r="AJ276" s="17" t="s">
        <v>155</v>
      </c>
      <c r="AK276" s="17" t="s">
        <v>155</v>
      </c>
      <c r="AN276" s="17" t="s">
        <v>164</v>
      </c>
      <c r="AO276" s="17" t="s">
        <v>165</v>
      </c>
      <c r="AP276" s="17" t="s">
        <v>166</v>
      </c>
      <c r="AQ276" s="17" t="s">
        <v>167</v>
      </c>
      <c r="AR276" s="17" t="s">
        <v>168</v>
      </c>
      <c r="AU276" s="15" t="s">
        <v>555</v>
      </c>
      <c r="AV276" s="17" t="s">
        <v>815</v>
      </c>
      <c r="AW276" s="17" t="s">
        <v>155</v>
      </c>
      <c r="AX276" s="17" t="s">
        <v>155</v>
      </c>
      <c r="AY276" s="17" t="s">
        <v>155</v>
      </c>
      <c r="AZ276" s="17" t="s">
        <v>155</v>
      </c>
      <c r="BB276" t="s">
        <v>546</v>
      </c>
      <c r="BC276" s="17" t="s">
        <v>274</v>
      </c>
      <c r="BD276" s="17" t="s">
        <v>155</v>
      </c>
      <c r="BE276" s="17" t="s">
        <v>259</v>
      </c>
      <c r="BF276" s="17" t="s">
        <v>155</v>
      </c>
      <c r="BG276" s="17" t="s">
        <v>155</v>
      </c>
    </row>
    <row r="277" spans="17:71" x14ac:dyDescent="0.3">
      <c r="Q277" s="15" t="s">
        <v>556</v>
      </c>
      <c r="R277" s="17" t="s">
        <v>815</v>
      </c>
      <c r="S277" s="17" t="s">
        <v>155</v>
      </c>
      <c r="T277" s="17" t="s">
        <v>155</v>
      </c>
      <c r="U277" s="17" t="s">
        <v>155</v>
      </c>
      <c r="V277" s="17" t="s">
        <v>155</v>
      </c>
      <c r="Y277" s="17" t="s">
        <v>164</v>
      </c>
      <c r="Z277" s="17" t="s">
        <v>165</v>
      </c>
      <c r="AA277" s="17" t="s">
        <v>166</v>
      </c>
      <c r="AB277" s="17" t="s">
        <v>167</v>
      </c>
      <c r="AC277" s="17" t="s">
        <v>168</v>
      </c>
      <c r="AF277" s="15" t="s">
        <v>556</v>
      </c>
      <c r="AG277" s="17" t="s">
        <v>815</v>
      </c>
      <c r="AH277" s="17" t="s">
        <v>155</v>
      </c>
      <c r="AI277" s="17" t="s">
        <v>155</v>
      </c>
      <c r="AJ277" s="17" t="s">
        <v>816</v>
      </c>
      <c r="AK277" s="17" t="s">
        <v>155</v>
      </c>
      <c r="AM277" t="s">
        <v>542</v>
      </c>
      <c r="AN277" s="17" t="s">
        <v>155</v>
      </c>
      <c r="AO277" s="17" t="s">
        <v>274</v>
      </c>
      <c r="AP277" s="17" t="s">
        <v>155</v>
      </c>
      <c r="AQ277" s="17" t="s">
        <v>155</v>
      </c>
      <c r="AR277" s="17" t="s">
        <v>259</v>
      </c>
      <c r="AU277" s="15" t="s">
        <v>556</v>
      </c>
      <c r="AV277" s="17" t="s">
        <v>815</v>
      </c>
      <c r="AW277" s="17" t="s">
        <v>155</v>
      </c>
      <c r="AX277" s="17" t="s">
        <v>155</v>
      </c>
      <c r="AY277" s="17" t="s">
        <v>155</v>
      </c>
      <c r="AZ277" s="17" t="s">
        <v>155</v>
      </c>
      <c r="BN277" s="17" t="s">
        <v>805</v>
      </c>
    </row>
    <row r="278" spans="17:71" x14ac:dyDescent="0.3">
      <c r="Q278" s="15" t="s">
        <v>557</v>
      </c>
      <c r="R278" s="17" t="s">
        <v>815</v>
      </c>
      <c r="S278" s="17" t="s">
        <v>155</v>
      </c>
      <c r="T278" s="17" t="s">
        <v>155</v>
      </c>
      <c r="U278" s="17" t="s">
        <v>816</v>
      </c>
      <c r="V278" s="17" t="s">
        <v>796</v>
      </c>
      <c r="X278" t="s">
        <v>550</v>
      </c>
      <c r="Y278" s="17" t="s">
        <v>274</v>
      </c>
      <c r="Z278" s="17" t="s">
        <v>274</v>
      </c>
      <c r="AA278" s="17" t="s">
        <v>274</v>
      </c>
      <c r="AB278" s="17" t="s">
        <v>155</v>
      </c>
      <c r="AC278" s="17" t="s">
        <v>155</v>
      </c>
      <c r="AF278" s="15" t="s">
        <v>557</v>
      </c>
      <c r="AG278" s="17" t="s">
        <v>815</v>
      </c>
      <c r="AH278" s="17" t="s">
        <v>155</v>
      </c>
      <c r="AI278" s="17" t="s">
        <v>155</v>
      </c>
      <c r="AJ278" s="17" t="s">
        <v>816</v>
      </c>
      <c r="AK278" s="17" t="s">
        <v>796</v>
      </c>
      <c r="AM278" t="s">
        <v>544</v>
      </c>
      <c r="AN278" s="17" t="s">
        <v>155</v>
      </c>
      <c r="AO278" s="17" t="s">
        <v>155</v>
      </c>
      <c r="AP278" s="17" t="s">
        <v>155</v>
      </c>
      <c r="AQ278" s="17" t="s">
        <v>155</v>
      </c>
      <c r="AR278" s="17" t="s">
        <v>274</v>
      </c>
      <c r="AU278" s="15" t="s">
        <v>557</v>
      </c>
      <c r="AV278" s="17" t="s">
        <v>815</v>
      </c>
      <c r="AW278" s="17" t="s">
        <v>155</v>
      </c>
      <c r="AX278" s="17" t="s">
        <v>155</v>
      </c>
      <c r="AY278" s="17" t="s">
        <v>816</v>
      </c>
      <c r="AZ278" s="17" t="s">
        <v>796</v>
      </c>
      <c r="BB278" t="s">
        <v>750</v>
      </c>
      <c r="BO278" s="17" t="s">
        <v>164</v>
      </c>
      <c r="BP278" s="17" t="s">
        <v>165</v>
      </c>
      <c r="BQ278" s="17" t="s">
        <v>166</v>
      </c>
      <c r="BR278" s="17" t="s">
        <v>167</v>
      </c>
      <c r="BS278" s="17" t="s">
        <v>168</v>
      </c>
    </row>
    <row r="279" spans="17:71" x14ac:dyDescent="0.3">
      <c r="Q279" s="15" t="s">
        <v>542</v>
      </c>
      <c r="R279" s="17" t="s">
        <v>155</v>
      </c>
      <c r="S279" s="17" t="s">
        <v>155</v>
      </c>
      <c r="T279" s="17" t="s">
        <v>155</v>
      </c>
      <c r="U279" s="17" t="s">
        <v>816</v>
      </c>
      <c r="V279" s="17" t="s">
        <v>796</v>
      </c>
      <c r="X279" t="s">
        <v>158</v>
      </c>
      <c r="Y279" s="17" t="s">
        <v>155</v>
      </c>
      <c r="Z279" s="17" t="s">
        <v>274</v>
      </c>
      <c r="AA279" s="17" t="s">
        <v>274</v>
      </c>
      <c r="AB279" s="17" t="s">
        <v>155</v>
      </c>
      <c r="AC279" s="17" t="s">
        <v>155</v>
      </c>
      <c r="AF279" s="15" t="s">
        <v>542</v>
      </c>
      <c r="AG279" s="17" t="s">
        <v>155</v>
      </c>
      <c r="AH279" s="17" t="s">
        <v>155</v>
      </c>
      <c r="AI279" s="17" t="s">
        <v>155</v>
      </c>
      <c r="AJ279" s="17" t="s">
        <v>816</v>
      </c>
      <c r="AK279" s="17" t="s">
        <v>796</v>
      </c>
      <c r="AM279" t="s">
        <v>545</v>
      </c>
      <c r="AN279" s="17" t="s">
        <v>155</v>
      </c>
      <c r="AO279" s="17" t="s">
        <v>155</v>
      </c>
      <c r="AP279" s="17" t="s">
        <v>259</v>
      </c>
      <c r="AQ279" s="17" t="s">
        <v>155</v>
      </c>
      <c r="AR279" s="17" t="s">
        <v>274</v>
      </c>
      <c r="AU279" s="15" t="s">
        <v>542</v>
      </c>
      <c r="AV279" s="17" t="s">
        <v>155</v>
      </c>
      <c r="AW279" s="17" t="s">
        <v>155</v>
      </c>
      <c r="AX279" s="17" t="s">
        <v>155</v>
      </c>
      <c r="AY279" s="17" t="s">
        <v>816</v>
      </c>
      <c r="AZ279" s="17" t="s">
        <v>796</v>
      </c>
      <c r="BC279" s="17" t="s">
        <v>164</v>
      </c>
      <c r="BD279" s="17" t="s">
        <v>165</v>
      </c>
      <c r="BE279" s="17" t="s">
        <v>166</v>
      </c>
      <c r="BF279" s="17" t="s">
        <v>167</v>
      </c>
      <c r="BG279" s="17" t="s">
        <v>168</v>
      </c>
      <c r="BN279" s="17" t="s">
        <v>555</v>
      </c>
      <c r="BO279" s="17" t="s">
        <v>155</v>
      </c>
      <c r="BP279" s="106" t="s">
        <v>656</v>
      </c>
      <c r="BQ279" s="106" t="s">
        <v>656</v>
      </c>
      <c r="BR279" s="17" t="s">
        <v>459</v>
      </c>
      <c r="BS279" s="17" t="s">
        <v>155</v>
      </c>
    </row>
    <row r="280" spans="17:71" x14ac:dyDescent="0.3">
      <c r="Q280" s="15" t="s">
        <v>543</v>
      </c>
      <c r="R280" s="17" t="s">
        <v>155</v>
      </c>
      <c r="S280" s="17" t="s">
        <v>796</v>
      </c>
      <c r="T280" s="17" t="s">
        <v>155</v>
      </c>
      <c r="U280" s="17" t="s">
        <v>816</v>
      </c>
      <c r="V280" s="17" t="s">
        <v>155</v>
      </c>
      <c r="X280" t="s">
        <v>159</v>
      </c>
      <c r="Y280" s="17" t="s">
        <v>155</v>
      </c>
      <c r="Z280" s="17" t="s">
        <v>274</v>
      </c>
      <c r="AA280" s="17" t="s">
        <v>155</v>
      </c>
      <c r="AB280" s="17" t="s">
        <v>274</v>
      </c>
      <c r="AC280" s="17" t="s">
        <v>155</v>
      </c>
      <c r="AF280" s="15" t="s">
        <v>543</v>
      </c>
      <c r="AG280" s="17" t="s">
        <v>155</v>
      </c>
      <c r="AH280" s="17" t="s">
        <v>796</v>
      </c>
      <c r="AI280" s="17" t="s">
        <v>155</v>
      </c>
      <c r="AJ280" s="17" t="s">
        <v>816</v>
      </c>
      <c r="AK280" s="17" t="s">
        <v>155</v>
      </c>
      <c r="AM280" t="s">
        <v>546</v>
      </c>
      <c r="AN280" s="17" t="s">
        <v>155</v>
      </c>
      <c r="AO280" s="17" t="s">
        <v>155</v>
      </c>
      <c r="AP280" s="17" t="s">
        <v>259</v>
      </c>
      <c r="AQ280" s="17" t="s">
        <v>155</v>
      </c>
      <c r="AR280" s="17" t="s">
        <v>155</v>
      </c>
      <c r="AU280" s="15" t="s">
        <v>543</v>
      </c>
      <c r="AV280" s="17" t="s">
        <v>155</v>
      </c>
      <c r="AW280" s="17" t="s">
        <v>796</v>
      </c>
      <c r="AX280" s="17" t="s">
        <v>155</v>
      </c>
      <c r="AY280" s="17" t="s">
        <v>816</v>
      </c>
      <c r="AZ280" s="17" t="s">
        <v>155</v>
      </c>
      <c r="BB280" t="s">
        <v>548</v>
      </c>
      <c r="BC280" s="17" t="s">
        <v>274</v>
      </c>
      <c r="BD280" s="17" t="s">
        <v>155</v>
      </c>
      <c r="BE280" s="17" t="s">
        <v>155</v>
      </c>
      <c r="BF280" s="17" t="s">
        <v>155</v>
      </c>
      <c r="BG280" s="17" t="s">
        <v>155</v>
      </c>
      <c r="BN280" s="17" t="s">
        <v>556</v>
      </c>
      <c r="BO280" s="17" t="s">
        <v>657</v>
      </c>
      <c r="BP280" s="106" t="s">
        <v>656</v>
      </c>
      <c r="BQ280" s="106" t="s">
        <v>656</v>
      </c>
      <c r="BR280" s="17" t="s">
        <v>459</v>
      </c>
      <c r="BS280" s="17" t="s">
        <v>683</v>
      </c>
    </row>
    <row r="281" spans="17:71" x14ac:dyDescent="0.3">
      <c r="Q281" s="15" t="s">
        <v>544</v>
      </c>
      <c r="R281" s="17" t="s">
        <v>155</v>
      </c>
      <c r="S281" s="17" t="s">
        <v>796</v>
      </c>
      <c r="T281" s="17" t="s">
        <v>155</v>
      </c>
      <c r="U281" s="17" t="s">
        <v>816</v>
      </c>
      <c r="V281" s="17" t="s">
        <v>155</v>
      </c>
      <c r="X281" t="s">
        <v>160</v>
      </c>
      <c r="Y281" s="17" t="s">
        <v>155</v>
      </c>
      <c r="Z281" s="17" t="s">
        <v>274</v>
      </c>
      <c r="AA281" s="17" t="s">
        <v>155</v>
      </c>
      <c r="AB281" s="17" t="s">
        <v>274</v>
      </c>
      <c r="AC281" s="17" t="s">
        <v>155</v>
      </c>
      <c r="AF281" s="15" t="s">
        <v>544</v>
      </c>
      <c r="AG281" s="17" t="s">
        <v>155</v>
      </c>
      <c r="AH281" s="17" t="s">
        <v>796</v>
      </c>
      <c r="AI281" s="17" t="s">
        <v>155</v>
      </c>
      <c r="AJ281" s="17" t="s">
        <v>155</v>
      </c>
      <c r="AK281" s="17" t="s">
        <v>155</v>
      </c>
      <c r="AU281" s="15" t="s">
        <v>544</v>
      </c>
      <c r="AV281" s="17" t="s">
        <v>155</v>
      </c>
      <c r="AW281" s="17" t="s">
        <v>796</v>
      </c>
      <c r="AX281" s="17" t="s">
        <v>155</v>
      </c>
      <c r="AY281" s="17" t="s">
        <v>816</v>
      </c>
      <c r="AZ281" s="17" t="s">
        <v>155</v>
      </c>
      <c r="BB281" t="s">
        <v>549</v>
      </c>
      <c r="BC281" s="17" t="s">
        <v>155</v>
      </c>
      <c r="BD281" s="17" t="s">
        <v>274</v>
      </c>
      <c r="BE281" s="17" t="s">
        <v>155</v>
      </c>
      <c r="BF281" s="17" t="s">
        <v>155</v>
      </c>
      <c r="BG281" s="17" t="s">
        <v>155</v>
      </c>
      <c r="BN281" s="17" t="s">
        <v>557</v>
      </c>
      <c r="BO281" s="17" t="s">
        <v>890</v>
      </c>
      <c r="BP281" s="17" t="s">
        <v>458</v>
      </c>
      <c r="BQ281" s="17" t="s">
        <v>155</v>
      </c>
      <c r="BR281" s="17" t="s">
        <v>459</v>
      </c>
      <c r="BS281" s="17" t="s">
        <v>891</v>
      </c>
    </row>
    <row r="282" spans="17:71" x14ac:dyDescent="0.3">
      <c r="Q282" s="15" t="s">
        <v>545</v>
      </c>
      <c r="R282" s="17" t="s">
        <v>155</v>
      </c>
      <c r="S282" s="17" t="s">
        <v>633</v>
      </c>
      <c r="T282" s="17" t="s">
        <v>155</v>
      </c>
      <c r="U282" s="17" t="s">
        <v>155</v>
      </c>
      <c r="V282" s="17" t="s">
        <v>155</v>
      </c>
      <c r="AF282" s="15" t="s">
        <v>545</v>
      </c>
      <c r="AG282" s="17" t="s">
        <v>155</v>
      </c>
      <c r="AH282" s="17" t="s">
        <v>633</v>
      </c>
      <c r="AI282" s="17" t="s">
        <v>155</v>
      </c>
      <c r="AJ282" s="17" t="s">
        <v>155</v>
      </c>
      <c r="AK282" s="17" t="s">
        <v>155</v>
      </c>
      <c r="AM282" t="s">
        <v>750</v>
      </c>
      <c r="AU282" s="15" t="s">
        <v>545</v>
      </c>
      <c r="AV282" s="17" t="s">
        <v>155</v>
      </c>
      <c r="AW282" s="17" t="s">
        <v>633</v>
      </c>
      <c r="AX282" s="17" t="s">
        <v>155</v>
      </c>
      <c r="AY282" s="17" t="s">
        <v>155</v>
      </c>
      <c r="AZ282" s="17" t="s">
        <v>155</v>
      </c>
      <c r="BB282" t="s">
        <v>550</v>
      </c>
      <c r="BC282" s="17" t="s">
        <v>155</v>
      </c>
      <c r="BD282" s="17" t="s">
        <v>274</v>
      </c>
      <c r="BE282" s="17" t="s">
        <v>274</v>
      </c>
      <c r="BF282" s="17" t="s">
        <v>155</v>
      </c>
      <c r="BG282" s="17" t="s">
        <v>155</v>
      </c>
      <c r="BN282" s="17" t="s">
        <v>542</v>
      </c>
      <c r="BO282" s="17" t="s">
        <v>892</v>
      </c>
      <c r="BP282" s="17" t="s">
        <v>458</v>
      </c>
      <c r="BQ282" s="17" t="s">
        <v>457</v>
      </c>
      <c r="BR282" s="17" t="s">
        <v>458</v>
      </c>
      <c r="BS282" s="17" t="s">
        <v>891</v>
      </c>
    </row>
    <row r="283" spans="17:71" x14ac:dyDescent="0.3">
      <c r="X283" t="s">
        <v>707</v>
      </c>
      <c r="AN283" s="17" t="s">
        <v>164</v>
      </c>
      <c r="AO283" s="17" t="s">
        <v>165</v>
      </c>
      <c r="AP283" s="17" t="s">
        <v>166</v>
      </c>
      <c r="AQ283" s="17" t="s">
        <v>167</v>
      </c>
      <c r="AR283" s="17" t="s">
        <v>168</v>
      </c>
      <c r="BB283" t="s">
        <v>158</v>
      </c>
      <c r="BC283" s="17" t="s">
        <v>155</v>
      </c>
      <c r="BD283" s="17" t="s">
        <v>155</v>
      </c>
      <c r="BE283" s="17" t="s">
        <v>274</v>
      </c>
      <c r="BF283" s="17" t="s">
        <v>155</v>
      </c>
      <c r="BG283" s="17" t="s">
        <v>155</v>
      </c>
      <c r="BN283" s="17" t="s">
        <v>543</v>
      </c>
      <c r="BO283" s="17" t="s">
        <v>893</v>
      </c>
      <c r="BP283" s="17" t="s">
        <v>457</v>
      </c>
      <c r="BQ283" s="17" t="s">
        <v>457</v>
      </c>
      <c r="BR283" s="17" t="s">
        <v>458</v>
      </c>
      <c r="BS283" s="17" t="s">
        <v>460</v>
      </c>
    </row>
    <row r="284" spans="17:71" x14ac:dyDescent="0.3">
      <c r="Y284" s="17" t="s">
        <v>164</v>
      </c>
      <c r="Z284" s="17" t="s">
        <v>165</v>
      </c>
      <c r="AA284" s="17" t="s">
        <v>166</v>
      </c>
      <c r="AB284" s="17" t="s">
        <v>167</v>
      </c>
      <c r="AC284" s="17" t="s">
        <v>168</v>
      </c>
      <c r="AM284" t="s">
        <v>550</v>
      </c>
      <c r="AN284" s="17" t="s">
        <v>274</v>
      </c>
      <c r="AO284" s="17" t="s">
        <v>274</v>
      </c>
      <c r="AP284" s="17" t="s">
        <v>274</v>
      </c>
      <c r="AQ284" s="17" t="s">
        <v>155</v>
      </c>
      <c r="AR284" s="17" t="s">
        <v>274</v>
      </c>
      <c r="BB284" t="s">
        <v>159</v>
      </c>
      <c r="BC284" s="17" t="s">
        <v>155</v>
      </c>
      <c r="BD284" s="17" t="s">
        <v>274</v>
      </c>
      <c r="BE284" s="17" t="s">
        <v>155</v>
      </c>
      <c r="BF284" s="17" t="s">
        <v>274</v>
      </c>
      <c r="BG284" s="17" t="s">
        <v>155</v>
      </c>
      <c r="BN284" s="17" t="s">
        <v>544</v>
      </c>
      <c r="BO284" s="17" t="s">
        <v>460</v>
      </c>
      <c r="BP284" s="17" t="s">
        <v>457</v>
      </c>
      <c r="BQ284" s="17" t="s">
        <v>530</v>
      </c>
      <c r="BR284" s="17" t="s">
        <v>533</v>
      </c>
      <c r="BS284" s="17" t="s">
        <v>460</v>
      </c>
    </row>
    <row r="285" spans="17:71" x14ac:dyDescent="0.3">
      <c r="X285" t="s">
        <v>555</v>
      </c>
      <c r="Y285" s="17" t="s">
        <v>155</v>
      </c>
      <c r="Z285" s="17" t="s">
        <v>155</v>
      </c>
      <c r="AA285" s="17" t="s">
        <v>260</v>
      </c>
      <c r="AB285" s="17" t="s">
        <v>155</v>
      </c>
      <c r="AC285" s="17" t="s">
        <v>155</v>
      </c>
      <c r="AM285" t="s">
        <v>158</v>
      </c>
      <c r="AN285" s="17" t="s">
        <v>274</v>
      </c>
      <c r="AO285" s="17" t="s">
        <v>274</v>
      </c>
      <c r="AP285" s="17" t="s">
        <v>155</v>
      </c>
      <c r="AQ285" s="17" t="s">
        <v>155</v>
      </c>
      <c r="AR285" s="17" t="s">
        <v>155</v>
      </c>
      <c r="BB285" t="s">
        <v>160</v>
      </c>
      <c r="BC285" s="17" t="s">
        <v>155</v>
      </c>
      <c r="BD285" s="17" t="s">
        <v>274</v>
      </c>
      <c r="BE285" s="17" t="s">
        <v>155</v>
      </c>
      <c r="BF285" s="17" t="s">
        <v>155</v>
      </c>
      <c r="BG285" s="17" t="s">
        <v>274</v>
      </c>
      <c r="BN285" s="17" t="s">
        <v>545</v>
      </c>
      <c r="BO285" s="17" t="s">
        <v>460</v>
      </c>
      <c r="BP285" s="17" t="s">
        <v>155</v>
      </c>
      <c r="BQ285" s="17" t="s">
        <v>530</v>
      </c>
      <c r="BR285" s="17" t="s">
        <v>533</v>
      </c>
      <c r="BS285" s="17" t="s">
        <v>460</v>
      </c>
    </row>
    <row r="286" spans="17:71" x14ac:dyDescent="0.3">
      <c r="X286" t="s">
        <v>556</v>
      </c>
      <c r="Y286" s="17" t="s">
        <v>155</v>
      </c>
      <c r="Z286" s="17" t="s">
        <v>155</v>
      </c>
      <c r="AA286" s="17" t="s">
        <v>260</v>
      </c>
      <c r="AB286" s="17" t="s">
        <v>155</v>
      </c>
      <c r="AC286" s="17" t="s">
        <v>155</v>
      </c>
      <c r="AM286" t="s">
        <v>159</v>
      </c>
      <c r="AN286" s="17" t="s">
        <v>155</v>
      </c>
      <c r="AO286" s="17" t="s">
        <v>274</v>
      </c>
      <c r="AP286" s="17" t="s">
        <v>155</v>
      </c>
      <c r="AQ286" s="17" t="s">
        <v>155</v>
      </c>
      <c r="AR286" s="17" t="s">
        <v>155</v>
      </c>
    </row>
    <row r="287" spans="17:71" x14ac:dyDescent="0.3">
      <c r="X287" t="s">
        <v>557</v>
      </c>
      <c r="Y287" s="17" t="s">
        <v>155</v>
      </c>
      <c r="Z287" s="17" t="s">
        <v>155</v>
      </c>
      <c r="AA287" s="17" t="s">
        <v>260</v>
      </c>
      <c r="AB287" s="17" t="s">
        <v>155</v>
      </c>
      <c r="AC287" s="17" t="s">
        <v>155</v>
      </c>
      <c r="AM287" t="s">
        <v>160</v>
      </c>
      <c r="AN287" s="17" t="s">
        <v>155</v>
      </c>
      <c r="AO287" s="17" t="s">
        <v>274</v>
      </c>
      <c r="AP287" s="17" t="s">
        <v>155</v>
      </c>
      <c r="AQ287" s="17" t="s">
        <v>155</v>
      </c>
      <c r="AR287" s="17" t="s">
        <v>274</v>
      </c>
      <c r="BB287" t="s">
        <v>707</v>
      </c>
    </row>
    <row r="288" spans="17:71" x14ac:dyDescent="0.3">
      <c r="X288" t="s">
        <v>544</v>
      </c>
      <c r="Y288" s="17" t="s">
        <v>155</v>
      </c>
      <c r="Z288" s="17" t="s">
        <v>155</v>
      </c>
      <c r="AA288" s="17" t="s">
        <v>260</v>
      </c>
      <c r="AB288" s="17" t="s">
        <v>155</v>
      </c>
      <c r="AC288" s="17" t="s">
        <v>155</v>
      </c>
      <c r="BC288" s="17" t="s">
        <v>164</v>
      </c>
      <c r="BD288" s="17" t="s">
        <v>165</v>
      </c>
      <c r="BE288" s="17" t="s">
        <v>166</v>
      </c>
      <c r="BF288" s="17" t="s">
        <v>167</v>
      </c>
      <c r="BG288" s="17" t="s">
        <v>168</v>
      </c>
    </row>
    <row r="289" spans="24:79" x14ac:dyDescent="0.3">
      <c r="X289" t="s">
        <v>545</v>
      </c>
      <c r="Y289" s="17" t="s">
        <v>155</v>
      </c>
      <c r="Z289" s="17" t="s">
        <v>155</v>
      </c>
      <c r="AA289" s="17" t="s">
        <v>260</v>
      </c>
      <c r="AB289" s="17" t="s">
        <v>155</v>
      </c>
      <c r="AC289" s="17" t="s">
        <v>155</v>
      </c>
      <c r="AM289" t="s">
        <v>707</v>
      </c>
      <c r="BB289" t="s">
        <v>555</v>
      </c>
      <c r="BC289" s="17" t="s">
        <v>155</v>
      </c>
      <c r="BD289" s="17" t="s">
        <v>155</v>
      </c>
      <c r="BE289" s="17" t="s">
        <v>260</v>
      </c>
      <c r="BF289" s="17" t="s">
        <v>155</v>
      </c>
      <c r="BG289" s="17" t="s">
        <v>155</v>
      </c>
    </row>
    <row r="290" spans="24:79" x14ac:dyDescent="0.3">
      <c r="X290" t="s">
        <v>546</v>
      </c>
      <c r="Y290" s="17" t="s">
        <v>155</v>
      </c>
      <c r="Z290" s="17" t="s">
        <v>155</v>
      </c>
      <c r="AA290" s="17" t="s">
        <v>260</v>
      </c>
      <c r="AB290" s="17" t="s">
        <v>155</v>
      </c>
      <c r="AC290" s="17" t="s">
        <v>155</v>
      </c>
      <c r="AN290" s="17" t="s">
        <v>164</v>
      </c>
      <c r="AO290" s="17" t="s">
        <v>165</v>
      </c>
      <c r="AP290" s="17" t="s">
        <v>166</v>
      </c>
      <c r="AQ290" s="17" t="s">
        <v>167</v>
      </c>
      <c r="AR290" s="17" t="s">
        <v>168</v>
      </c>
      <c r="BB290" t="s">
        <v>556</v>
      </c>
      <c r="BC290" s="17" t="s">
        <v>155</v>
      </c>
      <c r="BD290" s="17" t="s">
        <v>155</v>
      </c>
      <c r="BE290" s="17" t="s">
        <v>260</v>
      </c>
      <c r="BF290" s="17" t="s">
        <v>155</v>
      </c>
      <c r="BG290" s="17" t="s">
        <v>155</v>
      </c>
    </row>
    <row r="291" spans="24:79" x14ac:dyDescent="0.3">
      <c r="AM291" t="s">
        <v>555</v>
      </c>
      <c r="AN291" s="17" t="s">
        <v>155</v>
      </c>
      <c r="AO291" s="17" t="s">
        <v>155</v>
      </c>
      <c r="AP291" s="17" t="s">
        <v>260</v>
      </c>
      <c r="AQ291" s="17" t="s">
        <v>155</v>
      </c>
      <c r="AR291" s="17" t="s">
        <v>155</v>
      </c>
      <c r="BB291" t="s">
        <v>557</v>
      </c>
      <c r="BC291" s="17" t="s">
        <v>155</v>
      </c>
      <c r="BD291" s="17" t="s">
        <v>155</v>
      </c>
      <c r="BE291" s="17" t="s">
        <v>260</v>
      </c>
      <c r="BF291" s="17" t="s">
        <v>155</v>
      </c>
      <c r="BG291" s="17" t="s">
        <v>155</v>
      </c>
    </row>
    <row r="292" spans="24:79" x14ac:dyDescent="0.3">
      <c r="X292" t="s">
        <v>711</v>
      </c>
      <c r="AM292" t="s">
        <v>556</v>
      </c>
      <c r="AN292" s="17" t="s">
        <v>155</v>
      </c>
      <c r="AO292" s="17" t="s">
        <v>155</v>
      </c>
      <c r="AP292" s="17" t="s">
        <v>260</v>
      </c>
      <c r="AQ292" s="17" t="s">
        <v>155</v>
      </c>
      <c r="AR292" s="17" t="s">
        <v>155</v>
      </c>
      <c r="BB292" t="s">
        <v>544</v>
      </c>
      <c r="BC292" s="17" t="s">
        <v>155</v>
      </c>
      <c r="BD292" s="17" t="s">
        <v>155</v>
      </c>
      <c r="BE292" s="17" t="s">
        <v>260</v>
      </c>
      <c r="BF292" s="17" t="s">
        <v>155</v>
      </c>
      <c r="BG292" s="17" t="s">
        <v>155</v>
      </c>
    </row>
    <row r="293" spans="24:79" x14ac:dyDescent="0.3">
      <c r="Y293" s="17" t="s">
        <v>164</v>
      </c>
      <c r="Z293" s="17" t="s">
        <v>165</v>
      </c>
      <c r="AA293" s="17" t="s">
        <v>166</v>
      </c>
      <c r="AB293" s="17" t="s">
        <v>167</v>
      </c>
      <c r="AC293" s="17" t="s">
        <v>168</v>
      </c>
      <c r="AM293" t="s">
        <v>557</v>
      </c>
      <c r="AN293" s="17" t="s">
        <v>155</v>
      </c>
      <c r="AO293" s="17" t="s">
        <v>155</v>
      </c>
      <c r="AP293" s="17" t="s">
        <v>260</v>
      </c>
      <c r="AQ293" s="17" t="s">
        <v>155</v>
      </c>
      <c r="AR293" s="17" t="s">
        <v>155</v>
      </c>
      <c r="BB293" t="s">
        <v>545</v>
      </c>
      <c r="BC293" s="17" t="s">
        <v>155</v>
      </c>
      <c r="BD293" s="17" t="s">
        <v>155</v>
      </c>
      <c r="BE293" s="17" t="s">
        <v>260</v>
      </c>
      <c r="BF293" s="17" t="s">
        <v>155</v>
      </c>
      <c r="BG293" s="17" t="s">
        <v>155</v>
      </c>
      <c r="BN293" s="17" t="s">
        <v>596</v>
      </c>
      <c r="BP293" s="17" t="s">
        <v>896</v>
      </c>
    </row>
    <row r="294" spans="24:79" x14ac:dyDescent="0.3">
      <c r="X294" t="s">
        <v>542</v>
      </c>
      <c r="Y294" s="17" t="s">
        <v>77</v>
      </c>
      <c r="Z294" s="17" t="s">
        <v>155</v>
      </c>
      <c r="AA294" s="17" t="s">
        <v>155</v>
      </c>
      <c r="AB294" s="17" t="s">
        <v>155</v>
      </c>
      <c r="AC294" s="17" t="s">
        <v>155</v>
      </c>
      <c r="AM294" t="s">
        <v>544</v>
      </c>
      <c r="AN294" s="17" t="s">
        <v>155</v>
      </c>
      <c r="AO294" s="17" t="s">
        <v>155</v>
      </c>
      <c r="AP294" s="17" t="s">
        <v>260</v>
      </c>
      <c r="AQ294" s="17" t="s">
        <v>155</v>
      </c>
      <c r="AR294" s="17" t="s">
        <v>155</v>
      </c>
      <c r="BB294" t="s">
        <v>546</v>
      </c>
      <c r="BC294" s="17" t="s">
        <v>155</v>
      </c>
      <c r="BD294" s="17" t="s">
        <v>155</v>
      </c>
      <c r="BE294" s="17" t="s">
        <v>260</v>
      </c>
      <c r="BF294" s="17" t="s">
        <v>155</v>
      </c>
      <c r="BG294" s="17" t="s">
        <v>155</v>
      </c>
      <c r="BN294" s="17" t="s">
        <v>783</v>
      </c>
    </row>
    <row r="295" spans="24:79" x14ac:dyDescent="0.3">
      <c r="X295" t="s">
        <v>543</v>
      </c>
      <c r="Y295" s="17" t="s">
        <v>77</v>
      </c>
      <c r="Z295" s="17" t="s">
        <v>155</v>
      </c>
      <c r="AA295" s="17" t="s">
        <v>155</v>
      </c>
      <c r="AB295" s="17" t="s">
        <v>155</v>
      </c>
      <c r="AC295" s="17" t="s">
        <v>155</v>
      </c>
      <c r="AM295" t="s">
        <v>545</v>
      </c>
      <c r="AN295" s="17" t="s">
        <v>155</v>
      </c>
      <c r="AO295" s="17" t="s">
        <v>155</v>
      </c>
      <c r="AP295" s="17" t="s">
        <v>260</v>
      </c>
      <c r="AQ295" s="17" t="s">
        <v>155</v>
      </c>
      <c r="AR295" s="17" t="s">
        <v>155</v>
      </c>
      <c r="BO295" s="17" t="s">
        <v>164</v>
      </c>
      <c r="BP295" s="17" t="s">
        <v>165</v>
      </c>
      <c r="BQ295" s="17" t="s">
        <v>166</v>
      </c>
      <c r="BR295" s="17" t="s">
        <v>167</v>
      </c>
      <c r="BS295" s="17" t="s">
        <v>168</v>
      </c>
    </row>
    <row r="296" spans="24:79" x14ac:dyDescent="0.3">
      <c r="AM296" t="s">
        <v>546</v>
      </c>
      <c r="AN296" s="17" t="s">
        <v>155</v>
      </c>
      <c r="AO296" s="17" t="s">
        <v>155</v>
      </c>
      <c r="AP296" s="17" t="s">
        <v>260</v>
      </c>
      <c r="AQ296" s="17" t="s">
        <v>155</v>
      </c>
      <c r="AR296" s="17" t="s">
        <v>155</v>
      </c>
      <c r="BB296" t="s">
        <v>711</v>
      </c>
      <c r="BN296" s="17" t="s">
        <v>555</v>
      </c>
      <c r="BO296" s="131" t="s">
        <v>260</v>
      </c>
      <c r="BP296" s="17" t="s">
        <v>529</v>
      </c>
      <c r="BQ296" s="17" t="s">
        <v>155</v>
      </c>
      <c r="BR296" s="17" t="s">
        <v>155</v>
      </c>
      <c r="BS296" s="17" t="s">
        <v>155</v>
      </c>
      <c r="BU296" s="17" t="s">
        <v>531</v>
      </c>
    </row>
    <row r="297" spans="24:79" x14ac:dyDescent="0.3">
      <c r="X297" t="s">
        <v>716</v>
      </c>
      <c r="BC297" s="17" t="s">
        <v>164</v>
      </c>
      <c r="BD297" s="17" t="s">
        <v>165</v>
      </c>
      <c r="BE297" s="17" t="s">
        <v>166</v>
      </c>
      <c r="BF297" s="17" t="s">
        <v>167</v>
      </c>
      <c r="BG297" s="17" t="s">
        <v>168</v>
      </c>
      <c r="BN297" s="17" t="s">
        <v>556</v>
      </c>
      <c r="BO297" s="131" t="s">
        <v>260</v>
      </c>
      <c r="BP297" s="17" t="s">
        <v>529</v>
      </c>
      <c r="BQ297" s="17" t="s">
        <v>155</v>
      </c>
      <c r="BR297" s="17" t="s">
        <v>260</v>
      </c>
      <c r="BS297" s="17" t="s">
        <v>155</v>
      </c>
      <c r="BT297" s="17" t="s">
        <v>556</v>
      </c>
      <c r="BU297" s="137">
        <v>3</v>
      </c>
      <c r="BV297" s="137">
        <v>3</v>
      </c>
      <c r="BW297" s="137">
        <v>0</v>
      </c>
      <c r="BX297" s="137">
        <v>3</v>
      </c>
      <c r="BY297" s="51">
        <v>3</v>
      </c>
    </row>
    <row r="298" spans="24:79" x14ac:dyDescent="0.3">
      <c r="Y298" s="17" t="s">
        <v>164</v>
      </c>
      <c r="Z298" s="17" t="s">
        <v>165</v>
      </c>
      <c r="AA298" s="17" t="s">
        <v>166</v>
      </c>
      <c r="AB298" s="17" t="s">
        <v>167</v>
      </c>
      <c r="AC298" s="17" t="s">
        <v>168</v>
      </c>
      <c r="AM298" t="s">
        <v>711</v>
      </c>
      <c r="BB298" t="s">
        <v>542</v>
      </c>
      <c r="BC298" s="17" t="s">
        <v>77</v>
      </c>
      <c r="BD298" s="17" t="s">
        <v>155</v>
      </c>
      <c r="BE298" s="17" t="s">
        <v>155</v>
      </c>
      <c r="BF298" s="17" t="s">
        <v>155</v>
      </c>
      <c r="BG298" s="17" t="s">
        <v>155</v>
      </c>
      <c r="BN298" s="17" t="s">
        <v>557</v>
      </c>
      <c r="BO298" s="106" t="s">
        <v>887</v>
      </c>
      <c r="BP298" s="131" t="s">
        <v>392</v>
      </c>
      <c r="BQ298" s="106" t="s">
        <v>887</v>
      </c>
      <c r="BR298" s="131" t="s">
        <v>392</v>
      </c>
      <c r="BS298" s="17" t="s">
        <v>155</v>
      </c>
      <c r="BT298" s="17" t="s">
        <v>557</v>
      </c>
      <c r="BU298" s="137">
        <v>1</v>
      </c>
      <c r="BV298" s="137">
        <v>1</v>
      </c>
      <c r="BW298" s="137">
        <v>0</v>
      </c>
      <c r="BX298" s="137">
        <v>1</v>
      </c>
      <c r="BY298" s="51">
        <v>1</v>
      </c>
    </row>
    <row r="299" spans="24:79" x14ac:dyDescent="0.3">
      <c r="X299" t="s">
        <v>548</v>
      </c>
      <c r="Y299" s="17" t="s">
        <v>155</v>
      </c>
      <c r="Z299" s="17" t="s">
        <v>322</v>
      </c>
      <c r="AA299" s="17" t="s">
        <v>155</v>
      </c>
      <c r="AB299" s="17" t="s">
        <v>155</v>
      </c>
      <c r="AC299" s="17" t="s">
        <v>322</v>
      </c>
      <c r="AN299" s="17" t="s">
        <v>164</v>
      </c>
      <c r="AO299" s="17" t="s">
        <v>165</v>
      </c>
      <c r="AP299" s="17" t="s">
        <v>166</v>
      </c>
      <c r="AQ299" s="17" t="s">
        <v>167</v>
      </c>
      <c r="AR299" s="17" t="s">
        <v>168</v>
      </c>
      <c r="BB299" t="s">
        <v>543</v>
      </c>
      <c r="BC299" s="17" t="s">
        <v>77</v>
      </c>
      <c r="BD299" s="17" t="s">
        <v>155</v>
      </c>
      <c r="BE299" s="17" t="s">
        <v>155</v>
      </c>
      <c r="BF299" s="17" t="s">
        <v>155</v>
      </c>
      <c r="BG299" s="17" t="s">
        <v>155</v>
      </c>
      <c r="BN299" s="17" t="s">
        <v>542</v>
      </c>
      <c r="BO299" s="106" t="s">
        <v>887</v>
      </c>
      <c r="BP299" s="106" t="s">
        <v>392</v>
      </c>
      <c r="BQ299" s="106" t="s">
        <v>887</v>
      </c>
      <c r="BR299" s="131" t="s">
        <v>392</v>
      </c>
      <c r="BS299" s="131" t="s">
        <v>391</v>
      </c>
      <c r="BT299" s="17" t="s">
        <v>542</v>
      </c>
      <c r="BU299" s="138">
        <v>1</v>
      </c>
      <c r="BV299" s="138">
        <v>1</v>
      </c>
      <c r="BW299" s="138">
        <v>0</v>
      </c>
      <c r="BX299" s="138">
        <v>1</v>
      </c>
      <c r="BY299" s="52">
        <v>1</v>
      </c>
    </row>
    <row r="300" spans="24:79" x14ac:dyDescent="0.3">
      <c r="X300" t="s">
        <v>549</v>
      </c>
      <c r="Y300" s="17" t="s">
        <v>155</v>
      </c>
      <c r="Z300" s="17" t="s">
        <v>322</v>
      </c>
      <c r="AA300" s="17" t="s">
        <v>155</v>
      </c>
      <c r="AB300" s="17" t="s">
        <v>155</v>
      </c>
      <c r="AC300" s="17" t="s">
        <v>322</v>
      </c>
      <c r="AM300" t="s">
        <v>542</v>
      </c>
      <c r="AN300" s="17" t="s">
        <v>77</v>
      </c>
      <c r="AO300" s="17" t="s">
        <v>155</v>
      </c>
      <c r="AP300" s="17" t="s">
        <v>155</v>
      </c>
      <c r="AQ300" s="17" t="s">
        <v>155</v>
      </c>
      <c r="AR300" s="17" t="s">
        <v>155</v>
      </c>
      <c r="BN300" s="17" t="s">
        <v>543</v>
      </c>
      <c r="BO300" s="17" t="s">
        <v>529</v>
      </c>
      <c r="BP300" s="106" t="s">
        <v>392</v>
      </c>
      <c r="BQ300" s="131" t="s">
        <v>391</v>
      </c>
      <c r="BR300" s="131" t="s">
        <v>392</v>
      </c>
      <c r="BS300" s="131" t="s">
        <v>391</v>
      </c>
      <c r="BT300" s="17" t="s">
        <v>543</v>
      </c>
      <c r="BU300" s="139">
        <v>2</v>
      </c>
      <c r="BV300" s="139">
        <v>2</v>
      </c>
      <c r="BW300" s="138">
        <v>0</v>
      </c>
      <c r="BX300" s="139">
        <v>2</v>
      </c>
      <c r="BY300" s="62">
        <v>2</v>
      </c>
    </row>
    <row r="301" spans="24:79" x14ac:dyDescent="0.3">
      <c r="X301" t="s">
        <v>550</v>
      </c>
      <c r="Y301" s="17" t="s">
        <v>155</v>
      </c>
      <c r="Z301" s="17" t="s">
        <v>155</v>
      </c>
      <c r="AA301" s="17" t="s">
        <v>155</v>
      </c>
      <c r="AB301" s="17" t="s">
        <v>155</v>
      </c>
      <c r="AC301" s="17" t="s">
        <v>322</v>
      </c>
      <c r="AM301" t="s">
        <v>543</v>
      </c>
      <c r="AN301" s="17" t="s">
        <v>77</v>
      </c>
      <c r="AO301" s="17" t="s">
        <v>155</v>
      </c>
      <c r="AP301" s="17" t="s">
        <v>155</v>
      </c>
      <c r="AQ301" s="17" t="s">
        <v>155</v>
      </c>
      <c r="AR301" s="17" t="s">
        <v>155</v>
      </c>
      <c r="BB301" t="s">
        <v>716</v>
      </c>
      <c r="BN301" s="17" t="s">
        <v>544</v>
      </c>
      <c r="BO301" s="17" t="s">
        <v>895</v>
      </c>
      <c r="BP301" s="17" t="s">
        <v>533</v>
      </c>
      <c r="BQ301" s="131" t="s">
        <v>391</v>
      </c>
      <c r="BR301" s="131" t="s">
        <v>664</v>
      </c>
      <c r="BS301" s="17" t="s">
        <v>530</v>
      </c>
      <c r="CA301" t="s">
        <v>904</v>
      </c>
    </row>
    <row r="302" spans="24:79" x14ac:dyDescent="0.3">
      <c r="X302" t="s">
        <v>554</v>
      </c>
      <c r="Y302" s="17" t="s">
        <v>8</v>
      </c>
      <c r="Z302" s="17" t="s">
        <v>155</v>
      </c>
      <c r="AA302" s="17" t="s">
        <v>8</v>
      </c>
      <c r="AB302" s="17" t="s">
        <v>155</v>
      </c>
      <c r="AC302" s="17" t="s">
        <v>155</v>
      </c>
      <c r="BC302" s="17" t="s">
        <v>164</v>
      </c>
      <c r="BD302" s="17" t="s">
        <v>165</v>
      </c>
      <c r="BE302" s="17" t="s">
        <v>166</v>
      </c>
      <c r="BF302" s="17" t="s">
        <v>167</v>
      </c>
      <c r="BG302" s="17" t="s">
        <v>168</v>
      </c>
      <c r="BN302" s="17" t="s">
        <v>545</v>
      </c>
      <c r="BO302" s="17" t="s">
        <v>894</v>
      </c>
      <c r="BP302" s="17" t="s">
        <v>533</v>
      </c>
      <c r="BQ302" s="17" t="s">
        <v>155</v>
      </c>
      <c r="BR302" s="131" t="s">
        <v>664</v>
      </c>
      <c r="BS302" s="17" t="s">
        <v>530</v>
      </c>
    </row>
    <row r="303" spans="24:79" x14ac:dyDescent="0.3">
      <c r="X303" t="s">
        <v>555</v>
      </c>
      <c r="Y303" s="17" t="s">
        <v>8</v>
      </c>
      <c r="Z303" s="17" t="s">
        <v>155</v>
      </c>
      <c r="AA303" s="17" t="s">
        <v>8</v>
      </c>
      <c r="AB303" s="17" t="s">
        <v>155</v>
      </c>
      <c r="AC303" s="17" t="s">
        <v>155</v>
      </c>
      <c r="AM303" t="s">
        <v>716</v>
      </c>
      <c r="BB303" t="s">
        <v>548</v>
      </c>
      <c r="BC303" s="17" t="s">
        <v>155</v>
      </c>
      <c r="BD303" s="17" t="s">
        <v>322</v>
      </c>
      <c r="BE303" s="17" t="s">
        <v>155</v>
      </c>
      <c r="BF303" s="17" t="s">
        <v>155</v>
      </c>
      <c r="BG303" s="17" t="s">
        <v>322</v>
      </c>
      <c r="CA303" t="s">
        <v>905</v>
      </c>
    </row>
    <row r="304" spans="24:79" x14ac:dyDescent="0.3">
      <c r="X304" t="s">
        <v>556</v>
      </c>
      <c r="Y304" s="17" t="s">
        <v>8</v>
      </c>
      <c r="Z304" s="17" t="s">
        <v>155</v>
      </c>
      <c r="AA304" s="17" t="s">
        <v>155</v>
      </c>
      <c r="AB304" s="17" t="s">
        <v>155</v>
      </c>
      <c r="AC304" s="17" t="s">
        <v>155</v>
      </c>
      <c r="AN304" s="17" t="s">
        <v>164</v>
      </c>
      <c r="AO304" s="17" t="s">
        <v>165</v>
      </c>
      <c r="AP304" s="17" t="s">
        <v>166</v>
      </c>
      <c r="AQ304" s="17" t="s">
        <v>167</v>
      </c>
      <c r="AR304" s="17" t="s">
        <v>168</v>
      </c>
      <c r="BB304" t="s">
        <v>549</v>
      </c>
      <c r="BC304" s="17" t="s">
        <v>155</v>
      </c>
      <c r="BD304" s="17" t="s">
        <v>322</v>
      </c>
      <c r="BE304" s="17" t="s">
        <v>155</v>
      </c>
      <c r="BF304" s="17" t="s">
        <v>155</v>
      </c>
      <c r="BG304" s="17" t="s">
        <v>322</v>
      </c>
    </row>
    <row r="305" spans="24:77" x14ac:dyDescent="0.3">
      <c r="AM305" t="s">
        <v>548</v>
      </c>
      <c r="AN305" s="17" t="s">
        <v>155</v>
      </c>
      <c r="AO305" s="17" t="s">
        <v>322</v>
      </c>
      <c r="AP305" s="17" t="s">
        <v>155</v>
      </c>
      <c r="AQ305" s="17" t="s">
        <v>155</v>
      </c>
      <c r="AR305" s="17" t="s">
        <v>322</v>
      </c>
      <c r="BB305" t="s">
        <v>550</v>
      </c>
      <c r="BC305" s="17" t="s">
        <v>155</v>
      </c>
      <c r="BD305" s="17" t="s">
        <v>155</v>
      </c>
      <c r="BE305" s="17" t="s">
        <v>155</v>
      </c>
      <c r="BF305" s="17" t="s">
        <v>155</v>
      </c>
      <c r="BG305" s="17" t="s">
        <v>322</v>
      </c>
      <c r="BN305" s="17" t="s">
        <v>596</v>
      </c>
      <c r="BP305" s="17" t="s">
        <v>900</v>
      </c>
    </row>
    <row r="306" spans="24:77" x14ac:dyDescent="0.3">
      <c r="X306" t="s">
        <v>757</v>
      </c>
      <c r="AM306" t="s">
        <v>549</v>
      </c>
      <c r="AN306" s="17" t="s">
        <v>155</v>
      </c>
      <c r="AO306" s="17" t="s">
        <v>322</v>
      </c>
      <c r="AP306" s="17" t="s">
        <v>155</v>
      </c>
      <c r="AQ306" s="17" t="s">
        <v>155</v>
      </c>
      <c r="AR306" s="17" t="s">
        <v>322</v>
      </c>
      <c r="BB306" t="s">
        <v>554</v>
      </c>
      <c r="BC306" s="17" t="s">
        <v>8</v>
      </c>
      <c r="BD306" s="17" t="s">
        <v>155</v>
      </c>
      <c r="BE306" s="17" t="s">
        <v>8</v>
      </c>
      <c r="BF306" s="17" t="s">
        <v>155</v>
      </c>
      <c r="BG306" s="17" t="s">
        <v>155</v>
      </c>
      <c r="BN306" s="17" t="s">
        <v>783</v>
      </c>
    </row>
    <row r="307" spans="24:77" x14ac:dyDescent="0.3">
      <c r="Y307" s="17" t="s">
        <v>164</v>
      </c>
      <c r="Z307" s="17" t="s">
        <v>165</v>
      </c>
      <c r="AA307" s="17" t="s">
        <v>166</v>
      </c>
      <c r="AB307" s="17" t="s">
        <v>167</v>
      </c>
      <c r="AC307" s="17" t="s">
        <v>168</v>
      </c>
      <c r="AM307" t="s">
        <v>550</v>
      </c>
      <c r="AN307" s="17" t="s">
        <v>155</v>
      </c>
      <c r="AO307" s="17" t="s">
        <v>155</v>
      </c>
      <c r="AP307" s="17" t="s">
        <v>155</v>
      </c>
      <c r="AQ307" s="17" t="s">
        <v>155</v>
      </c>
      <c r="AR307" s="17" t="s">
        <v>322</v>
      </c>
      <c r="BB307" t="s">
        <v>555</v>
      </c>
      <c r="BC307" s="17" t="s">
        <v>8</v>
      </c>
      <c r="BD307" s="17" t="s">
        <v>155</v>
      </c>
      <c r="BE307" s="17" t="s">
        <v>8</v>
      </c>
      <c r="BF307" s="17" t="s">
        <v>155</v>
      </c>
      <c r="BG307" s="17" t="s">
        <v>155</v>
      </c>
      <c r="BO307" s="17" t="s">
        <v>164</v>
      </c>
      <c r="BP307" s="17" t="s">
        <v>165</v>
      </c>
      <c r="BQ307" s="17" t="s">
        <v>166</v>
      </c>
      <c r="BR307" s="17" t="s">
        <v>167</v>
      </c>
      <c r="BS307" s="17" t="s">
        <v>168</v>
      </c>
    </row>
    <row r="308" spans="24:77" x14ac:dyDescent="0.3">
      <c r="X308" t="s">
        <v>548</v>
      </c>
      <c r="Y308" s="17" t="s">
        <v>383</v>
      </c>
      <c r="Z308" s="17" t="s">
        <v>155</v>
      </c>
      <c r="AA308" s="17" t="s">
        <v>155</v>
      </c>
      <c r="AB308" s="17" t="s">
        <v>155</v>
      </c>
      <c r="AC308" s="17" t="s">
        <v>383</v>
      </c>
      <c r="AM308" t="s">
        <v>554</v>
      </c>
      <c r="AN308" s="17" t="s">
        <v>155</v>
      </c>
      <c r="AO308" s="17" t="s">
        <v>8</v>
      </c>
      <c r="AP308" s="17" t="s">
        <v>155</v>
      </c>
      <c r="AQ308" s="17" t="s">
        <v>8</v>
      </c>
      <c r="AR308" s="17" t="s">
        <v>155</v>
      </c>
      <c r="BB308" t="s">
        <v>556</v>
      </c>
      <c r="BC308" s="17" t="s">
        <v>8</v>
      </c>
      <c r="BD308" s="17" t="s">
        <v>155</v>
      </c>
      <c r="BE308" s="17" t="s">
        <v>155</v>
      </c>
      <c r="BF308" s="17" t="s">
        <v>155</v>
      </c>
      <c r="BG308" s="17" t="s">
        <v>155</v>
      </c>
      <c r="BN308" s="17" t="s">
        <v>555</v>
      </c>
      <c r="BO308" s="131" t="s">
        <v>260</v>
      </c>
      <c r="BP308" s="17" t="s">
        <v>155</v>
      </c>
      <c r="BQ308" s="17" t="s">
        <v>155</v>
      </c>
      <c r="BR308" s="17" t="s">
        <v>155</v>
      </c>
      <c r="BS308" s="17" t="s">
        <v>529</v>
      </c>
    </row>
    <row r="309" spans="24:77" x14ac:dyDescent="0.3">
      <c r="X309" t="s">
        <v>549</v>
      </c>
      <c r="Y309" s="17" t="s">
        <v>383</v>
      </c>
      <c r="Z309" s="17" t="s">
        <v>155</v>
      </c>
      <c r="AA309" s="17" t="s">
        <v>155</v>
      </c>
      <c r="AB309" s="17" t="s">
        <v>155</v>
      </c>
      <c r="AC309" s="17" t="s">
        <v>383</v>
      </c>
      <c r="AM309" t="s">
        <v>555</v>
      </c>
      <c r="AN309" s="17" t="s">
        <v>155</v>
      </c>
      <c r="AO309" s="17" t="s">
        <v>8</v>
      </c>
      <c r="AP309" s="17" t="s">
        <v>155</v>
      </c>
      <c r="AQ309" s="17" t="s">
        <v>8</v>
      </c>
      <c r="AR309" s="17" t="s">
        <v>155</v>
      </c>
      <c r="BN309" s="17" t="s">
        <v>556</v>
      </c>
      <c r="BO309" s="131" t="s">
        <v>260</v>
      </c>
      <c r="BP309" s="17" t="s">
        <v>531</v>
      </c>
      <c r="BQ309" s="17" t="s">
        <v>155</v>
      </c>
      <c r="BR309" s="17" t="s">
        <v>155</v>
      </c>
      <c r="BS309" s="17" t="s">
        <v>529</v>
      </c>
      <c r="BU309" s="17" t="s">
        <v>903</v>
      </c>
    </row>
    <row r="310" spans="24:77" x14ac:dyDescent="0.3">
      <c r="AM310" t="s">
        <v>556</v>
      </c>
      <c r="AN310" s="17" t="s">
        <v>155</v>
      </c>
      <c r="AO310" s="17" t="s">
        <v>8</v>
      </c>
      <c r="AP310" s="17" t="s">
        <v>155</v>
      </c>
      <c r="AQ310" s="17" t="s">
        <v>155</v>
      </c>
      <c r="AR310" s="17" t="s">
        <v>155</v>
      </c>
      <c r="BB310" t="s">
        <v>757</v>
      </c>
      <c r="BN310" s="17" t="s">
        <v>557</v>
      </c>
      <c r="BO310" s="106" t="s">
        <v>887</v>
      </c>
      <c r="BP310" s="17" t="s">
        <v>531</v>
      </c>
      <c r="BQ310" s="106" t="s">
        <v>887</v>
      </c>
      <c r="BR310" s="17" t="s">
        <v>531</v>
      </c>
      <c r="BS310" s="131" t="s">
        <v>392</v>
      </c>
      <c r="BT310" s="17" t="s">
        <v>557</v>
      </c>
      <c r="BU310" s="106">
        <v>3</v>
      </c>
      <c r="BV310" s="137">
        <v>0</v>
      </c>
      <c r="BW310" s="106">
        <v>3</v>
      </c>
      <c r="BX310" s="137">
        <v>0</v>
      </c>
      <c r="BY310" s="55">
        <v>3</v>
      </c>
    </row>
    <row r="311" spans="24:77" x14ac:dyDescent="0.3">
      <c r="X311" t="s">
        <v>720</v>
      </c>
      <c r="BC311" s="17" t="s">
        <v>164</v>
      </c>
      <c r="BD311" s="17" t="s">
        <v>165</v>
      </c>
      <c r="BE311" s="17" t="s">
        <v>166</v>
      </c>
      <c r="BF311" s="17" t="s">
        <v>167</v>
      </c>
      <c r="BG311" s="17" t="s">
        <v>168</v>
      </c>
      <c r="BN311" s="17" t="s">
        <v>542</v>
      </c>
      <c r="BO311" s="106" t="s">
        <v>887</v>
      </c>
      <c r="BP311" s="106" t="s">
        <v>392</v>
      </c>
      <c r="BQ311" s="106" t="s">
        <v>887</v>
      </c>
      <c r="BR311" s="17" t="s">
        <v>897</v>
      </c>
      <c r="BS311" s="131" t="s">
        <v>392</v>
      </c>
      <c r="BT311" s="17" t="s">
        <v>542</v>
      </c>
      <c r="BU311" s="138">
        <v>1</v>
      </c>
      <c r="BV311" s="138">
        <v>0</v>
      </c>
      <c r="BW311" s="138">
        <v>1</v>
      </c>
      <c r="BX311" s="138">
        <v>0</v>
      </c>
      <c r="BY311" s="52">
        <v>2</v>
      </c>
    </row>
    <row r="312" spans="24:77" x14ac:dyDescent="0.3">
      <c r="Y312" s="17" t="s">
        <v>164</v>
      </c>
      <c r="Z312" s="17" t="s">
        <v>165</v>
      </c>
      <c r="AA312" s="17" t="s">
        <v>166</v>
      </c>
      <c r="AB312" s="17" t="s">
        <v>167</v>
      </c>
      <c r="AC312" s="17" t="s">
        <v>168</v>
      </c>
      <c r="AM312" t="s">
        <v>757</v>
      </c>
      <c r="BB312" t="s">
        <v>548</v>
      </c>
      <c r="BC312" s="17" t="s">
        <v>155</v>
      </c>
      <c r="BD312" s="17" t="s">
        <v>155</v>
      </c>
      <c r="BE312" s="17" t="s">
        <v>155</v>
      </c>
      <c r="BF312" s="17" t="s">
        <v>155</v>
      </c>
      <c r="BG312" s="17" t="s">
        <v>383</v>
      </c>
      <c r="BN312" s="17" t="s">
        <v>543</v>
      </c>
      <c r="BO312" s="17" t="s">
        <v>529</v>
      </c>
      <c r="BP312" s="106" t="s">
        <v>392</v>
      </c>
      <c r="BQ312" s="131" t="s">
        <v>391</v>
      </c>
      <c r="BR312" s="17" t="s">
        <v>533</v>
      </c>
      <c r="BS312" s="131" t="s">
        <v>392</v>
      </c>
      <c r="BT312" s="17" t="s">
        <v>543</v>
      </c>
      <c r="BU312" s="138">
        <v>1</v>
      </c>
      <c r="BV312" s="138">
        <v>0</v>
      </c>
      <c r="BW312" s="138">
        <v>1</v>
      </c>
      <c r="BX312" s="138">
        <v>0</v>
      </c>
      <c r="BY312" s="52">
        <v>2</v>
      </c>
    </row>
    <row r="313" spans="24:77" x14ac:dyDescent="0.3">
      <c r="X313" t="s">
        <v>548</v>
      </c>
      <c r="Y313" s="17" t="s">
        <v>155</v>
      </c>
      <c r="Z313" s="17" t="s">
        <v>155</v>
      </c>
      <c r="AA313" s="17" t="s">
        <v>155</v>
      </c>
      <c r="AB313" s="17" t="s">
        <v>155</v>
      </c>
      <c r="AC313" s="17" t="s">
        <v>7</v>
      </c>
      <c r="AN313" s="17" t="s">
        <v>164</v>
      </c>
      <c r="AO313" s="17" t="s">
        <v>165</v>
      </c>
      <c r="AP313" s="17" t="s">
        <v>166</v>
      </c>
      <c r="AQ313" s="17" t="s">
        <v>167</v>
      </c>
      <c r="AR313" s="17" t="s">
        <v>168</v>
      </c>
      <c r="BB313" t="s">
        <v>549</v>
      </c>
      <c r="BC313" s="17" t="s">
        <v>155</v>
      </c>
      <c r="BD313" s="17" t="s">
        <v>155</v>
      </c>
      <c r="BE313" s="17" t="s">
        <v>155</v>
      </c>
      <c r="BF313" s="17" t="s">
        <v>155</v>
      </c>
      <c r="BG313" s="17" t="s">
        <v>383</v>
      </c>
      <c r="BN313" s="17" t="s">
        <v>544</v>
      </c>
      <c r="BO313" s="17" t="s">
        <v>898</v>
      </c>
      <c r="BP313" s="131" t="s">
        <v>392</v>
      </c>
      <c r="BQ313" s="131" t="s">
        <v>391</v>
      </c>
      <c r="BR313" s="131" t="s">
        <v>664</v>
      </c>
      <c r="BS313" s="131" t="s">
        <v>391</v>
      </c>
      <c r="BT313" s="17" t="s">
        <v>544</v>
      </c>
      <c r="BU313" s="138">
        <v>2</v>
      </c>
      <c r="BV313" s="138">
        <v>0</v>
      </c>
      <c r="BW313" s="138">
        <v>2</v>
      </c>
      <c r="BX313" s="138">
        <v>0</v>
      </c>
      <c r="BY313" s="52">
        <v>2</v>
      </c>
    </row>
    <row r="314" spans="24:77" x14ac:dyDescent="0.3">
      <c r="X314" t="s">
        <v>549</v>
      </c>
      <c r="Y314" s="17" t="s">
        <v>155</v>
      </c>
      <c r="Z314" s="17" t="s">
        <v>155</v>
      </c>
      <c r="AA314" s="17" t="s">
        <v>155</v>
      </c>
      <c r="AB314" s="17" t="s">
        <v>155</v>
      </c>
      <c r="AC314" s="17" t="s">
        <v>7</v>
      </c>
      <c r="AM314" t="s">
        <v>548</v>
      </c>
      <c r="AN314" s="17" t="s">
        <v>383</v>
      </c>
      <c r="AO314" s="17" t="s">
        <v>155</v>
      </c>
      <c r="AP314" s="17" t="s">
        <v>155</v>
      </c>
      <c r="AQ314" s="17" t="s">
        <v>155</v>
      </c>
      <c r="AR314" s="17" t="s">
        <v>383</v>
      </c>
      <c r="BB314" t="s">
        <v>550</v>
      </c>
      <c r="BC314" s="17" t="s">
        <v>383</v>
      </c>
      <c r="BD314" s="17" t="s">
        <v>155</v>
      </c>
      <c r="BE314" s="17" t="s">
        <v>155</v>
      </c>
      <c r="BF314" s="17" t="s">
        <v>155</v>
      </c>
      <c r="BG314" s="17" t="s">
        <v>155</v>
      </c>
      <c r="BN314" s="17" t="s">
        <v>545</v>
      </c>
      <c r="BO314" s="17" t="s">
        <v>533</v>
      </c>
      <c r="BP314" s="131" t="s">
        <v>260</v>
      </c>
      <c r="BQ314" s="17" t="s">
        <v>155</v>
      </c>
      <c r="BR314" s="131" t="s">
        <v>664</v>
      </c>
      <c r="BS314" s="131" t="s">
        <v>391</v>
      </c>
      <c r="BT314" s="17" t="s">
        <v>545</v>
      </c>
      <c r="BU314" s="138">
        <v>3</v>
      </c>
      <c r="BV314" s="138">
        <v>0</v>
      </c>
      <c r="BW314" s="138">
        <v>3</v>
      </c>
      <c r="BX314" s="138">
        <v>0</v>
      </c>
      <c r="BY314" s="52">
        <v>3</v>
      </c>
    </row>
    <row r="315" spans="24:77" x14ac:dyDescent="0.3">
      <c r="X315" t="s">
        <v>550</v>
      </c>
      <c r="Y315" s="17" t="s">
        <v>155</v>
      </c>
      <c r="Z315" s="17" t="s">
        <v>155</v>
      </c>
      <c r="AA315" s="17" t="s">
        <v>155</v>
      </c>
      <c r="AB315" s="17" t="s">
        <v>155</v>
      </c>
      <c r="AC315" s="17" t="s">
        <v>7</v>
      </c>
      <c r="AM315" t="s">
        <v>549</v>
      </c>
      <c r="AN315" s="17" t="s">
        <v>383</v>
      </c>
      <c r="AO315" s="17" t="s">
        <v>155</v>
      </c>
      <c r="AP315" s="17" t="s">
        <v>155</v>
      </c>
      <c r="AQ315" s="17" t="s">
        <v>155</v>
      </c>
      <c r="AR315" s="17" t="s">
        <v>383</v>
      </c>
      <c r="BB315" t="s">
        <v>158</v>
      </c>
      <c r="BC315" s="17" t="s">
        <v>383</v>
      </c>
      <c r="BD315" s="17" t="s">
        <v>155</v>
      </c>
      <c r="BE315" s="17" t="s">
        <v>155</v>
      </c>
      <c r="BF315" s="17" t="s">
        <v>155</v>
      </c>
      <c r="BG315" s="17" t="s">
        <v>155</v>
      </c>
    </row>
    <row r="316" spans="24:77" x14ac:dyDescent="0.3">
      <c r="X316" t="s">
        <v>158</v>
      </c>
      <c r="Y316" s="17" t="s">
        <v>155</v>
      </c>
      <c r="Z316" s="17" t="s">
        <v>155</v>
      </c>
      <c r="AA316" s="17" t="s">
        <v>155</v>
      </c>
      <c r="AB316" s="17" t="s">
        <v>155</v>
      </c>
      <c r="AC316" s="17" t="s">
        <v>7</v>
      </c>
    </row>
    <row r="317" spans="24:77" x14ac:dyDescent="0.3">
      <c r="X317" t="s">
        <v>159</v>
      </c>
      <c r="Y317" s="17" t="s">
        <v>155</v>
      </c>
      <c r="Z317" s="17" t="s">
        <v>155</v>
      </c>
      <c r="AA317" s="17" t="s">
        <v>155</v>
      </c>
      <c r="AB317" s="17" t="s">
        <v>155</v>
      </c>
      <c r="AC317" s="17" t="s">
        <v>7</v>
      </c>
      <c r="AM317" t="s">
        <v>720</v>
      </c>
      <c r="BB317" t="s">
        <v>720</v>
      </c>
      <c r="BN317" s="17" t="s">
        <v>596</v>
      </c>
      <c r="BP317" s="17" t="s">
        <v>899</v>
      </c>
    </row>
    <row r="318" spans="24:77" x14ac:dyDescent="0.3">
      <c r="X318" t="s">
        <v>160</v>
      </c>
      <c r="Y318" s="17" t="s">
        <v>155</v>
      </c>
      <c r="Z318" s="17" t="s">
        <v>155</v>
      </c>
      <c r="AA318" s="17" t="s">
        <v>155</v>
      </c>
      <c r="AB318" s="17" t="s">
        <v>155</v>
      </c>
      <c r="AC318" s="17" t="s">
        <v>7</v>
      </c>
      <c r="AN318" s="17" t="s">
        <v>164</v>
      </c>
      <c r="AO318" s="17" t="s">
        <v>165</v>
      </c>
      <c r="AP318" s="17" t="s">
        <v>166</v>
      </c>
      <c r="AQ318" s="17" t="s">
        <v>167</v>
      </c>
      <c r="AR318" s="17" t="s">
        <v>168</v>
      </c>
      <c r="BC318" s="17" t="s">
        <v>164</v>
      </c>
      <c r="BD318" s="17" t="s">
        <v>165</v>
      </c>
      <c r="BE318" s="17" t="s">
        <v>166</v>
      </c>
      <c r="BF318" s="17" t="s">
        <v>167</v>
      </c>
      <c r="BG318" s="17" t="s">
        <v>168</v>
      </c>
      <c r="BN318" s="17" t="s">
        <v>783</v>
      </c>
    </row>
    <row r="319" spans="24:77" x14ac:dyDescent="0.3">
      <c r="X319" t="s">
        <v>554</v>
      </c>
      <c r="Y319" s="17" t="s">
        <v>155</v>
      </c>
      <c r="Z319" s="17" t="s">
        <v>155</v>
      </c>
      <c r="AA319" s="17" t="s">
        <v>155</v>
      </c>
      <c r="AB319" s="17" t="s">
        <v>155</v>
      </c>
      <c r="AC319" s="17" t="s">
        <v>7</v>
      </c>
      <c r="AM319" t="s">
        <v>548</v>
      </c>
      <c r="AN319" s="17" t="s">
        <v>155</v>
      </c>
      <c r="AO319" s="17" t="s">
        <v>155</v>
      </c>
      <c r="AP319" s="17" t="s">
        <v>155</v>
      </c>
      <c r="AQ319" s="17" t="s">
        <v>155</v>
      </c>
      <c r="AR319" s="17" t="s">
        <v>7</v>
      </c>
      <c r="BB319" t="s">
        <v>548</v>
      </c>
      <c r="BC319" s="17" t="s">
        <v>155</v>
      </c>
      <c r="BD319" s="17" t="s">
        <v>155</v>
      </c>
      <c r="BE319" s="17" t="s">
        <v>155</v>
      </c>
      <c r="BF319" s="17" t="s">
        <v>155</v>
      </c>
      <c r="BG319" s="17" t="s">
        <v>7</v>
      </c>
      <c r="BO319" s="17" t="s">
        <v>164</v>
      </c>
      <c r="BP319" s="17" t="s">
        <v>165</v>
      </c>
      <c r="BQ319" s="17" t="s">
        <v>166</v>
      </c>
      <c r="BR319" s="17" t="s">
        <v>167</v>
      </c>
      <c r="BS319" s="17" t="s">
        <v>168</v>
      </c>
    </row>
    <row r="320" spans="24:77" x14ac:dyDescent="0.3">
      <c r="X320" t="s">
        <v>555</v>
      </c>
      <c r="Y320" s="17" t="s">
        <v>155</v>
      </c>
      <c r="Z320" s="17" t="s">
        <v>155</v>
      </c>
      <c r="AA320" s="17" t="s">
        <v>155</v>
      </c>
      <c r="AB320" s="17" t="s">
        <v>155</v>
      </c>
      <c r="AC320" s="17" t="s">
        <v>7</v>
      </c>
      <c r="AM320" t="s">
        <v>549</v>
      </c>
      <c r="AN320" s="17" t="s">
        <v>155</v>
      </c>
      <c r="AO320" s="17" t="s">
        <v>155</v>
      </c>
      <c r="AP320" s="17" t="s">
        <v>155</v>
      </c>
      <c r="AQ320" s="17" t="s">
        <v>155</v>
      </c>
      <c r="AR320" s="17" t="s">
        <v>7</v>
      </c>
      <c r="BB320" t="s">
        <v>549</v>
      </c>
      <c r="BC320" s="17" t="s">
        <v>155</v>
      </c>
      <c r="BD320" s="17" t="s">
        <v>155</v>
      </c>
      <c r="BE320" s="17" t="s">
        <v>155</v>
      </c>
      <c r="BF320" s="17" t="s">
        <v>155</v>
      </c>
      <c r="BG320" s="17" t="s">
        <v>7</v>
      </c>
      <c r="BN320" s="17" t="s">
        <v>555</v>
      </c>
      <c r="BO320" s="17" t="s">
        <v>529</v>
      </c>
      <c r="BP320" s="17" t="s">
        <v>155</v>
      </c>
      <c r="BQ320" s="17" t="s">
        <v>529</v>
      </c>
      <c r="BR320" s="131" t="s">
        <v>260</v>
      </c>
      <c r="BS320" s="17" t="s">
        <v>155</v>
      </c>
    </row>
    <row r="321" spans="24:77" x14ac:dyDescent="0.3">
      <c r="AM321" t="s">
        <v>550</v>
      </c>
      <c r="AN321" s="17" t="s">
        <v>155</v>
      </c>
      <c r="AO321" s="17" t="s">
        <v>155</v>
      </c>
      <c r="AP321" s="17" t="s">
        <v>155</v>
      </c>
      <c r="AQ321" s="17" t="s">
        <v>155</v>
      </c>
      <c r="AR321" s="17" t="s">
        <v>7</v>
      </c>
      <c r="BB321" t="s">
        <v>550</v>
      </c>
      <c r="BC321" s="17" t="s">
        <v>155</v>
      </c>
      <c r="BD321" s="17" t="s">
        <v>155</v>
      </c>
      <c r="BE321" s="17" t="s">
        <v>155</v>
      </c>
      <c r="BF321" s="17" t="s">
        <v>155</v>
      </c>
      <c r="BG321" s="17" t="s">
        <v>7</v>
      </c>
      <c r="BN321" s="17" t="s">
        <v>556</v>
      </c>
      <c r="BO321" s="17" t="s">
        <v>529</v>
      </c>
      <c r="BP321" s="17" t="s">
        <v>531</v>
      </c>
      <c r="BQ321" s="17" t="s">
        <v>529</v>
      </c>
      <c r="BR321" s="131" t="s">
        <v>260</v>
      </c>
      <c r="BS321" s="17" t="s">
        <v>531</v>
      </c>
      <c r="BU321" s="17" t="s">
        <v>533</v>
      </c>
    </row>
    <row r="322" spans="24:77" x14ac:dyDescent="0.3">
      <c r="X322" t="s">
        <v>710</v>
      </c>
      <c r="AM322" t="s">
        <v>158</v>
      </c>
      <c r="AN322" s="17" t="s">
        <v>155</v>
      </c>
      <c r="AO322" s="17" t="s">
        <v>155</v>
      </c>
      <c r="AP322" s="17" t="s">
        <v>155</v>
      </c>
      <c r="AQ322" s="17" t="s">
        <v>155</v>
      </c>
      <c r="AR322" s="17" t="s">
        <v>7</v>
      </c>
      <c r="BB322" t="s">
        <v>158</v>
      </c>
      <c r="BC322" s="17" t="s">
        <v>155</v>
      </c>
      <c r="BD322" s="17" t="s">
        <v>155</v>
      </c>
      <c r="BE322" s="17" t="s">
        <v>155</v>
      </c>
      <c r="BF322" s="17" t="s">
        <v>155</v>
      </c>
      <c r="BG322" s="17" t="s">
        <v>7</v>
      </c>
      <c r="BN322" s="17" t="s">
        <v>557</v>
      </c>
      <c r="BO322" s="106" t="s">
        <v>887</v>
      </c>
      <c r="BP322" s="17" t="s">
        <v>531</v>
      </c>
      <c r="BQ322" s="106" t="s">
        <v>887</v>
      </c>
      <c r="BR322" s="131" t="s">
        <v>392</v>
      </c>
      <c r="BS322" s="17" t="s">
        <v>531</v>
      </c>
      <c r="BT322" s="17" t="s">
        <v>557</v>
      </c>
      <c r="BU322" s="137">
        <v>1</v>
      </c>
      <c r="BV322" s="137">
        <v>1</v>
      </c>
      <c r="BW322" s="137">
        <v>0</v>
      </c>
      <c r="BX322" s="137">
        <v>1</v>
      </c>
      <c r="BY322" s="51">
        <v>0</v>
      </c>
    </row>
    <row r="323" spans="24:77" x14ac:dyDescent="0.3">
      <c r="Y323" s="17" t="s">
        <v>164</v>
      </c>
      <c r="Z323" s="17" t="s">
        <v>165</v>
      </c>
      <c r="AA323" s="17" t="s">
        <v>166</v>
      </c>
      <c r="AB323" s="17" t="s">
        <v>167</v>
      </c>
      <c r="AC323" s="17" t="s">
        <v>168</v>
      </c>
      <c r="AM323" t="s">
        <v>159</v>
      </c>
      <c r="AN323" s="17" t="s">
        <v>155</v>
      </c>
      <c r="AO323" s="17" t="s">
        <v>155</v>
      </c>
      <c r="AP323" s="17" t="s">
        <v>155</v>
      </c>
      <c r="AQ323" s="17" t="s">
        <v>155</v>
      </c>
      <c r="AR323" s="17" t="s">
        <v>7</v>
      </c>
      <c r="BB323" t="s">
        <v>159</v>
      </c>
      <c r="BC323" s="17" t="s">
        <v>155</v>
      </c>
      <c r="BD323" s="17" t="s">
        <v>155</v>
      </c>
      <c r="BE323" s="17" t="s">
        <v>155</v>
      </c>
      <c r="BF323" s="17" t="s">
        <v>155</v>
      </c>
      <c r="BG323" s="17" t="s">
        <v>7</v>
      </c>
      <c r="BN323" s="17" t="s">
        <v>542</v>
      </c>
      <c r="BO323" s="106" t="s">
        <v>887</v>
      </c>
      <c r="BP323" s="106" t="s">
        <v>392</v>
      </c>
      <c r="BQ323" s="106" t="s">
        <v>887</v>
      </c>
      <c r="BR323" s="131" t="s">
        <v>392</v>
      </c>
      <c r="BS323" s="131" t="s">
        <v>664</v>
      </c>
      <c r="BT323" s="17" t="s">
        <v>542</v>
      </c>
      <c r="BU323" s="138">
        <v>1</v>
      </c>
      <c r="BV323" s="138">
        <v>1</v>
      </c>
      <c r="BW323" s="138">
        <v>0</v>
      </c>
      <c r="BX323" s="138">
        <v>1</v>
      </c>
      <c r="BY323" s="52">
        <v>0</v>
      </c>
    </row>
    <row r="324" spans="24:77" x14ac:dyDescent="0.3">
      <c r="X324" t="s">
        <v>544</v>
      </c>
      <c r="Y324" s="17" t="s">
        <v>155</v>
      </c>
      <c r="Z324" s="17" t="s">
        <v>155</v>
      </c>
      <c r="AA324" s="17" t="s">
        <v>155</v>
      </c>
      <c r="AB324" s="17" t="s">
        <v>155</v>
      </c>
      <c r="AC324" s="17" t="s">
        <v>90</v>
      </c>
      <c r="AM324" t="s">
        <v>160</v>
      </c>
      <c r="AN324" s="17" t="s">
        <v>155</v>
      </c>
      <c r="AO324" s="17" t="s">
        <v>155</v>
      </c>
      <c r="AP324" s="17" t="s">
        <v>155</v>
      </c>
      <c r="AQ324" s="17" t="s">
        <v>155</v>
      </c>
      <c r="AR324" s="17" t="s">
        <v>7</v>
      </c>
      <c r="BB324" t="s">
        <v>160</v>
      </c>
      <c r="BC324" s="17" t="s">
        <v>155</v>
      </c>
      <c r="BD324" s="17" t="s">
        <v>155</v>
      </c>
      <c r="BE324" s="17" t="s">
        <v>155</v>
      </c>
      <c r="BF324" s="17" t="s">
        <v>155</v>
      </c>
      <c r="BG324" s="17" t="s">
        <v>7</v>
      </c>
      <c r="BN324" s="17" t="s">
        <v>543</v>
      </c>
      <c r="BO324" s="131" t="s">
        <v>391</v>
      </c>
      <c r="BP324" s="106" t="s">
        <v>392</v>
      </c>
      <c r="BQ324" s="17" t="s">
        <v>530</v>
      </c>
      <c r="BR324" s="131" t="s">
        <v>392</v>
      </c>
      <c r="BS324" s="131" t="s">
        <v>664</v>
      </c>
      <c r="BT324" s="17" t="s">
        <v>543</v>
      </c>
      <c r="BU324" s="138">
        <v>2</v>
      </c>
      <c r="BV324" s="138">
        <v>2</v>
      </c>
      <c r="BW324" s="138">
        <v>0</v>
      </c>
      <c r="BX324" s="138">
        <v>2</v>
      </c>
      <c r="BY324" s="52">
        <v>0</v>
      </c>
    </row>
    <row r="325" spans="24:77" x14ac:dyDescent="0.3">
      <c r="X325" t="s">
        <v>545</v>
      </c>
      <c r="Y325" s="17" t="s">
        <v>155</v>
      </c>
      <c r="Z325" s="17" t="s">
        <v>155</v>
      </c>
      <c r="AA325" s="17" t="s">
        <v>155</v>
      </c>
      <c r="AB325" s="17" t="s">
        <v>155</v>
      </c>
      <c r="AC325" s="17" t="s">
        <v>90</v>
      </c>
      <c r="AM325" t="s">
        <v>556</v>
      </c>
      <c r="AN325" s="17" t="s">
        <v>155</v>
      </c>
      <c r="AO325" s="17" t="s">
        <v>155</v>
      </c>
      <c r="AP325" s="17" t="s">
        <v>155</v>
      </c>
      <c r="AQ325" s="17" t="s">
        <v>155</v>
      </c>
      <c r="AR325" s="17" t="s">
        <v>7</v>
      </c>
      <c r="BB325" t="s">
        <v>554</v>
      </c>
      <c r="BC325" s="17" t="s">
        <v>155</v>
      </c>
      <c r="BD325" s="17" t="s">
        <v>155</v>
      </c>
      <c r="BE325" s="17" t="s">
        <v>155</v>
      </c>
      <c r="BF325" s="17" t="s">
        <v>155</v>
      </c>
      <c r="BG325" s="17" t="s">
        <v>7</v>
      </c>
      <c r="BN325" s="17" t="s">
        <v>544</v>
      </c>
      <c r="BO325" s="131" t="s">
        <v>391</v>
      </c>
      <c r="BP325" s="106" t="s">
        <v>392</v>
      </c>
      <c r="BQ325" s="17" t="s">
        <v>530</v>
      </c>
      <c r="BR325" s="131" t="s">
        <v>391</v>
      </c>
      <c r="BS325" s="17" t="s">
        <v>530</v>
      </c>
      <c r="BT325" s="17" t="s">
        <v>544</v>
      </c>
      <c r="BU325" s="138">
        <v>2</v>
      </c>
      <c r="BV325" s="138">
        <v>2</v>
      </c>
      <c r="BW325" s="138">
        <v>0</v>
      </c>
      <c r="BX325" s="138">
        <v>2</v>
      </c>
      <c r="BY325" s="52">
        <v>0</v>
      </c>
    </row>
    <row r="326" spans="24:77" x14ac:dyDescent="0.3">
      <c r="AM326" t="s">
        <v>557</v>
      </c>
      <c r="AN326" s="17" t="s">
        <v>155</v>
      </c>
      <c r="AO326" s="17" t="s">
        <v>155</v>
      </c>
      <c r="AP326" s="17" t="s">
        <v>155</v>
      </c>
      <c r="AQ326" s="17" t="s">
        <v>155</v>
      </c>
      <c r="AR326" s="17" t="s">
        <v>7</v>
      </c>
      <c r="BB326" t="s">
        <v>555</v>
      </c>
      <c r="BC326" s="17" t="s">
        <v>155</v>
      </c>
      <c r="BD326" s="17" t="s">
        <v>155</v>
      </c>
      <c r="BE326" s="17" t="s">
        <v>155</v>
      </c>
      <c r="BF326" s="17" t="s">
        <v>155</v>
      </c>
      <c r="BG326" s="17" t="s">
        <v>7</v>
      </c>
      <c r="BN326" s="17" t="s">
        <v>545</v>
      </c>
      <c r="BO326" s="131" t="s">
        <v>260</v>
      </c>
      <c r="BP326" s="17" t="s">
        <v>155</v>
      </c>
      <c r="BQ326" s="17" t="s">
        <v>155</v>
      </c>
      <c r="BR326" s="131" t="s">
        <v>391</v>
      </c>
      <c r="BS326" s="17" t="s">
        <v>530</v>
      </c>
      <c r="BT326" s="17" t="s">
        <v>545</v>
      </c>
      <c r="BU326" s="138">
        <v>3</v>
      </c>
      <c r="BV326" s="138">
        <v>3</v>
      </c>
      <c r="BW326" s="138">
        <v>0</v>
      </c>
      <c r="BX326" s="138">
        <v>3</v>
      </c>
      <c r="BY326" s="52">
        <v>0</v>
      </c>
    </row>
    <row r="327" spans="24:77" x14ac:dyDescent="0.3">
      <c r="X327" t="s">
        <v>756</v>
      </c>
    </row>
    <row r="328" spans="24:77" x14ac:dyDescent="0.3">
      <c r="Y328" s="17" t="s">
        <v>164</v>
      </c>
      <c r="Z328" s="17" t="s">
        <v>165</v>
      </c>
      <c r="AA328" s="17" t="s">
        <v>166</v>
      </c>
      <c r="AB328" s="17" t="s">
        <v>167</v>
      </c>
      <c r="AC328" s="17" t="s">
        <v>168</v>
      </c>
      <c r="AM328" t="s">
        <v>710</v>
      </c>
      <c r="BB328" t="s">
        <v>710</v>
      </c>
    </row>
    <row r="329" spans="24:77" x14ac:dyDescent="0.3">
      <c r="X329" t="s">
        <v>548</v>
      </c>
      <c r="Y329" s="17" t="s">
        <v>269</v>
      </c>
      <c r="Z329" s="17" t="s">
        <v>155</v>
      </c>
      <c r="AA329" s="17" t="s">
        <v>155</v>
      </c>
      <c r="AB329" s="17" t="s">
        <v>269</v>
      </c>
      <c r="AC329" s="17" t="s">
        <v>155</v>
      </c>
      <c r="AN329" s="17" t="s">
        <v>164</v>
      </c>
      <c r="AO329" s="17" t="s">
        <v>165</v>
      </c>
      <c r="AP329" s="17" t="s">
        <v>166</v>
      </c>
      <c r="AQ329" s="17" t="s">
        <v>167</v>
      </c>
      <c r="AR329" s="17" t="s">
        <v>168</v>
      </c>
      <c r="BC329" s="17" t="s">
        <v>164</v>
      </c>
      <c r="BD329" s="17" t="s">
        <v>165</v>
      </c>
      <c r="BE329" s="17" t="s">
        <v>166</v>
      </c>
      <c r="BF329" s="17" t="s">
        <v>167</v>
      </c>
      <c r="BG329" s="17" t="s">
        <v>168</v>
      </c>
    </row>
    <row r="330" spans="24:77" x14ac:dyDescent="0.3">
      <c r="X330" t="s">
        <v>549</v>
      </c>
      <c r="Y330" s="17" t="s">
        <v>269</v>
      </c>
      <c r="Z330" s="17" t="s">
        <v>155</v>
      </c>
      <c r="AA330" s="17" t="s">
        <v>155</v>
      </c>
      <c r="AB330" s="17" t="s">
        <v>269</v>
      </c>
      <c r="AC330" s="17" t="s">
        <v>155</v>
      </c>
      <c r="AM330" t="s">
        <v>544</v>
      </c>
      <c r="AN330" s="17" t="s">
        <v>155</v>
      </c>
      <c r="AO330" s="17" t="s">
        <v>155</v>
      </c>
      <c r="AP330" s="17" t="s">
        <v>155</v>
      </c>
      <c r="AQ330" s="17" t="s">
        <v>155</v>
      </c>
      <c r="AR330" s="17" t="s">
        <v>90</v>
      </c>
      <c r="BB330" t="s">
        <v>544</v>
      </c>
      <c r="BC330" s="17" t="s">
        <v>155</v>
      </c>
      <c r="BD330" s="17" t="s">
        <v>155</v>
      </c>
      <c r="BE330" s="17" t="s">
        <v>155</v>
      </c>
      <c r="BF330" s="17" t="s">
        <v>155</v>
      </c>
      <c r="BG330" s="17" t="s">
        <v>90</v>
      </c>
      <c r="BU330" s="17" t="s">
        <v>529</v>
      </c>
    </row>
    <row r="331" spans="24:77" x14ac:dyDescent="0.3">
      <c r="AM331" t="s">
        <v>545</v>
      </c>
      <c r="AN331" s="17" t="s">
        <v>155</v>
      </c>
      <c r="AO331" s="17" t="s">
        <v>155</v>
      </c>
      <c r="AP331" s="17" t="s">
        <v>155</v>
      </c>
      <c r="AQ331" s="17" t="s">
        <v>155</v>
      </c>
      <c r="AR331" s="17" t="s">
        <v>90</v>
      </c>
      <c r="BB331" t="s">
        <v>545</v>
      </c>
      <c r="BC331" s="17" t="s">
        <v>155</v>
      </c>
      <c r="BD331" s="17" t="s">
        <v>155</v>
      </c>
      <c r="BE331" s="17" t="s">
        <v>155</v>
      </c>
      <c r="BF331" s="17" t="s">
        <v>155</v>
      </c>
      <c r="BG331" s="17" t="s">
        <v>90</v>
      </c>
      <c r="BT331" s="17" t="s">
        <v>555</v>
      </c>
      <c r="BU331" s="137">
        <v>1</v>
      </c>
      <c r="BV331" s="137">
        <v>1</v>
      </c>
      <c r="BW331" s="137">
        <v>1</v>
      </c>
      <c r="BX331" s="137">
        <v>1</v>
      </c>
      <c r="BY331" s="51">
        <v>1</v>
      </c>
    </row>
    <row r="332" spans="24:77" x14ac:dyDescent="0.3">
      <c r="X332" t="s">
        <v>727</v>
      </c>
      <c r="BT332" s="17" t="s">
        <v>556</v>
      </c>
      <c r="BU332" s="137">
        <v>1</v>
      </c>
      <c r="BV332" s="137">
        <v>1</v>
      </c>
      <c r="BW332" s="137">
        <v>1</v>
      </c>
      <c r="BX332" s="137">
        <v>1</v>
      </c>
      <c r="BY332" s="51">
        <v>1</v>
      </c>
    </row>
    <row r="333" spans="24:77" x14ac:dyDescent="0.3">
      <c r="Y333" s="17" t="s">
        <v>164</v>
      </c>
      <c r="Z333" s="17" t="s">
        <v>165</v>
      </c>
      <c r="AA333" s="17" t="s">
        <v>166</v>
      </c>
      <c r="AB333" s="17" t="s">
        <v>167</v>
      </c>
      <c r="AC333" s="17" t="s">
        <v>168</v>
      </c>
      <c r="AM333" t="s">
        <v>756</v>
      </c>
      <c r="BB333" t="s">
        <v>756</v>
      </c>
      <c r="BT333" s="17" t="s">
        <v>557</v>
      </c>
      <c r="BU333" s="137">
        <v>1</v>
      </c>
      <c r="BV333" s="137">
        <v>1</v>
      </c>
      <c r="BW333" s="137">
        <v>1</v>
      </c>
      <c r="BX333" s="137">
        <v>1</v>
      </c>
      <c r="BY333" s="51">
        <v>1</v>
      </c>
    </row>
    <row r="334" spans="24:77" x14ac:dyDescent="0.3">
      <c r="X334" t="s">
        <v>548</v>
      </c>
      <c r="Y334" s="17" t="s">
        <v>155</v>
      </c>
      <c r="Z334" s="17" t="s">
        <v>155</v>
      </c>
      <c r="AA334" s="17" t="s">
        <v>345</v>
      </c>
      <c r="AB334" s="17" t="s">
        <v>155</v>
      </c>
      <c r="AC334" s="17" t="s">
        <v>155</v>
      </c>
      <c r="AN334" s="17" t="s">
        <v>164</v>
      </c>
      <c r="AO334" s="17" t="s">
        <v>165</v>
      </c>
      <c r="AP334" s="17" t="s">
        <v>166</v>
      </c>
      <c r="AQ334" s="17" t="s">
        <v>167</v>
      </c>
      <c r="AR334" s="17" t="s">
        <v>168</v>
      </c>
      <c r="BC334" s="17" t="s">
        <v>164</v>
      </c>
      <c r="BD334" s="17" t="s">
        <v>165</v>
      </c>
      <c r="BE334" s="17" t="s">
        <v>166</v>
      </c>
      <c r="BF334" s="17" t="s">
        <v>167</v>
      </c>
      <c r="BG334" s="17" t="s">
        <v>168</v>
      </c>
      <c r="BT334" s="17" t="s">
        <v>542</v>
      </c>
      <c r="BU334" s="138">
        <v>1</v>
      </c>
      <c r="BV334" s="138">
        <v>1</v>
      </c>
      <c r="BW334" s="138">
        <v>1</v>
      </c>
      <c r="BX334" s="138">
        <v>1</v>
      </c>
      <c r="BY334" s="52">
        <v>1</v>
      </c>
    </row>
    <row r="335" spans="24:77" x14ac:dyDescent="0.3">
      <c r="X335" t="s">
        <v>549</v>
      </c>
      <c r="Y335" s="17" t="s">
        <v>155</v>
      </c>
      <c r="Z335" s="17" t="s">
        <v>155</v>
      </c>
      <c r="AA335" s="17" t="s">
        <v>345</v>
      </c>
      <c r="AB335" s="17" t="s">
        <v>155</v>
      </c>
      <c r="AC335" s="17" t="s">
        <v>155</v>
      </c>
      <c r="AM335" t="s">
        <v>548</v>
      </c>
      <c r="AN335" s="17" t="s">
        <v>269</v>
      </c>
      <c r="AO335" s="17" t="s">
        <v>155</v>
      </c>
      <c r="AP335" s="17" t="s">
        <v>155</v>
      </c>
      <c r="AQ335" s="17" t="s">
        <v>269</v>
      </c>
      <c r="AR335" s="17" t="s">
        <v>155</v>
      </c>
      <c r="BB335" t="s">
        <v>548</v>
      </c>
      <c r="BC335" s="17" t="s">
        <v>269</v>
      </c>
      <c r="BD335" s="17" t="s">
        <v>155</v>
      </c>
      <c r="BE335" s="17" t="s">
        <v>155</v>
      </c>
      <c r="BF335" s="17" t="s">
        <v>269</v>
      </c>
      <c r="BG335" s="17" t="s">
        <v>155</v>
      </c>
      <c r="BT335" s="17" t="s">
        <v>543</v>
      </c>
      <c r="BU335" s="138">
        <v>1</v>
      </c>
      <c r="BV335" s="138">
        <v>1</v>
      </c>
      <c r="BW335" s="138">
        <v>1</v>
      </c>
      <c r="BX335" s="138">
        <v>0</v>
      </c>
      <c r="BY335" s="52">
        <v>0</v>
      </c>
    </row>
    <row r="336" spans="24:77" x14ac:dyDescent="0.3">
      <c r="X336" t="s">
        <v>550</v>
      </c>
      <c r="Y336" s="17" t="s">
        <v>155</v>
      </c>
      <c r="Z336" s="17" t="s">
        <v>155</v>
      </c>
      <c r="AA336" s="17" t="s">
        <v>155</v>
      </c>
      <c r="AB336" s="17" t="s">
        <v>155</v>
      </c>
      <c r="AC336" s="17" t="s">
        <v>345</v>
      </c>
      <c r="AM336" t="s">
        <v>549</v>
      </c>
      <c r="AN336" s="17" t="s">
        <v>269</v>
      </c>
      <c r="AO336" s="17" t="s">
        <v>155</v>
      </c>
      <c r="AP336" s="17" t="s">
        <v>155</v>
      </c>
      <c r="AQ336" s="17" t="s">
        <v>269</v>
      </c>
      <c r="AR336" s="17" t="s">
        <v>155</v>
      </c>
      <c r="BB336" t="s">
        <v>549</v>
      </c>
      <c r="BC336" s="17" t="s">
        <v>269</v>
      </c>
      <c r="BD336" s="17" t="s">
        <v>155</v>
      </c>
      <c r="BE336" s="17" t="s">
        <v>155</v>
      </c>
      <c r="BF336" s="17" t="s">
        <v>269</v>
      </c>
      <c r="BG336" s="17" t="s">
        <v>155</v>
      </c>
      <c r="BT336" s="17" t="s">
        <v>544</v>
      </c>
      <c r="BU336" s="138">
        <v>1</v>
      </c>
      <c r="BV336" s="138">
        <v>1</v>
      </c>
      <c r="BW336" s="138">
        <v>1</v>
      </c>
      <c r="BX336" s="138">
        <v>0</v>
      </c>
      <c r="BY336" s="52">
        <v>0</v>
      </c>
    </row>
    <row r="337" spans="24:66" x14ac:dyDescent="0.3">
      <c r="X337" t="s">
        <v>158</v>
      </c>
      <c r="Y337" s="17" t="s">
        <v>155</v>
      </c>
      <c r="Z337" s="17" t="s">
        <v>155</v>
      </c>
      <c r="AA337" s="17" t="s">
        <v>155</v>
      </c>
      <c r="AB337" s="17" t="s">
        <v>155</v>
      </c>
      <c r="AC337" s="17" t="s">
        <v>345</v>
      </c>
    </row>
    <row r="338" spans="24:66" x14ac:dyDescent="0.3">
      <c r="X338" t="s">
        <v>159</v>
      </c>
      <c r="Y338" s="17" t="s">
        <v>155</v>
      </c>
      <c r="Z338" s="17" t="s">
        <v>155</v>
      </c>
      <c r="AA338" s="17" t="s">
        <v>155</v>
      </c>
      <c r="AB338" s="17" t="s">
        <v>155</v>
      </c>
      <c r="AC338" s="17" t="s">
        <v>345</v>
      </c>
      <c r="AM338" t="s">
        <v>727</v>
      </c>
      <c r="BB338" t="s">
        <v>727</v>
      </c>
    </row>
    <row r="339" spans="24:66" x14ac:dyDescent="0.3">
      <c r="X339" t="s">
        <v>160</v>
      </c>
      <c r="Y339" s="17" t="s">
        <v>155</v>
      </c>
      <c r="Z339" s="17" t="s">
        <v>155</v>
      </c>
      <c r="AA339" s="17" t="s">
        <v>346</v>
      </c>
      <c r="AB339" s="17" t="s">
        <v>155</v>
      </c>
      <c r="AC339" s="17" t="s">
        <v>346</v>
      </c>
      <c r="AN339" s="17" t="s">
        <v>164</v>
      </c>
      <c r="AO339" s="17" t="s">
        <v>165</v>
      </c>
      <c r="AP339" s="17" t="s">
        <v>166</v>
      </c>
      <c r="AQ339" s="17" t="s">
        <v>167</v>
      </c>
      <c r="AR339" s="17" t="s">
        <v>168</v>
      </c>
      <c r="BC339" s="17" t="s">
        <v>164</v>
      </c>
      <c r="BD339" s="17" t="s">
        <v>165</v>
      </c>
      <c r="BE339" s="17" t="s">
        <v>166</v>
      </c>
      <c r="BF339" s="17" t="s">
        <v>167</v>
      </c>
      <c r="BG339" s="17" t="s">
        <v>168</v>
      </c>
    </row>
    <row r="340" spans="24:66" x14ac:dyDescent="0.3">
      <c r="X340" t="s">
        <v>554</v>
      </c>
      <c r="Y340" s="17" t="s">
        <v>155</v>
      </c>
      <c r="Z340" s="17" t="s">
        <v>155</v>
      </c>
      <c r="AA340" s="17" t="s">
        <v>20</v>
      </c>
      <c r="AB340" s="17" t="s">
        <v>155</v>
      </c>
      <c r="AC340" s="17" t="s">
        <v>20</v>
      </c>
      <c r="AM340" t="s">
        <v>548</v>
      </c>
      <c r="AN340" s="17" t="s">
        <v>155</v>
      </c>
      <c r="AO340" s="17" t="s">
        <v>155</v>
      </c>
      <c r="AP340" s="17" t="s">
        <v>345</v>
      </c>
      <c r="AQ340" s="17" t="s">
        <v>155</v>
      </c>
      <c r="AR340" s="17" t="s">
        <v>155</v>
      </c>
      <c r="BB340" t="s">
        <v>548</v>
      </c>
      <c r="BC340" s="17" t="s">
        <v>155</v>
      </c>
      <c r="BD340" s="17" t="s">
        <v>155</v>
      </c>
      <c r="BE340" s="17" t="s">
        <v>345</v>
      </c>
      <c r="BF340" s="17" t="s">
        <v>155</v>
      </c>
      <c r="BG340" s="17" t="s">
        <v>155</v>
      </c>
    </row>
    <row r="341" spans="24:66" x14ac:dyDescent="0.3">
      <c r="X341" t="s">
        <v>555</v>
      </c>
      <c r="Y341" s="17" t="s">
        <v>155</v>
      </c>
      <c r="Z341" s="17" t="s">
        <v>155</v>
      </c>
      <c r="AA341" s="17" t="s">
        <v>20</v>
      </c>
      <c r="AB341" s="17" t="s">
        <v>155</v>
      </c>
      <c r="AC341" s="17" t="s">
        <v>20</v>
      </c>
      <c r="AM341" t="s">
        <v>549</v>
      </c>
      <c r="AN341" s="17" t="s">
        <v>155</v>
      </c>
      <c r="AO341" s="17" t="s">
        <v>155</v>
      </c>
      <c r="AP341" s="17" t="s">
        <v>345</v>
      </c>
      <c r="AQ341" s="17" t="s">
        <v>155</v>
      </c>
      <c r="AR341" s="17" t="s">
        <v>155</v>
      </c>
      <c r="BB341" t="s">
        <v>549</v>
      </c>
      <c r="BC341" s="17" t="s">
        <v>155</v>
      </c>
      <c r="BD341" s="17" t="s">
        <v>155</v>
      </c>
      <c r="BE341" s="17" t="s">
        <v>345</v>
      </c>
      <c r="BF341" s="17" t="s">
        <v>155</v>
      </c>
      <c r="BG341" s="17" t="s">
        <v>155</v>
      </c>
      <c r="BN341" s="17" t="s">
        <v>901</v>
      </c>
    </row>
    <row r="342" spans="24:66" x14ac:dyDescent="0.3">
      <c r="X342" t="s">
        <v>556</v>
      </c>
      <c r="Y342" s="17" t="s">
        <v>155</v>
      </c>
      <c r="Z342" s="17" t="s">
        <v>155</v>
      </c>
      <c r="AA342" s="17" t="s">
        <v>20</v>
      </c>
      <c r="AB342" s="17" t="s">
        <v>155</v>
      </c>
      <c r="AC342" s="17" t="s">
        <v>21</v>
      </c>
      <c r="AM342" t="s">
        <v>550</v>
      </c>
      <c r="AN342" s="17" t="s">
        <v>155</v>
      </c>
      <c r="AO342" s="17" t="s">
        <v>155</v>
      </c>
      <c r="AP342" s="17" t="s">
        <v>155</v>
      </c>
      <c r="AQ342" s="17" t="s">
        <v>155</v>
      </c>
      <c r="AR342" s="17" t="s">
        <v>345</v>
      </c>
      <c r="BB342" t="s">
        <v>550</v>
      </c>
      <c r="BC342" s="17" t="s">
        <v>155</v>
      </c>
      <c r="BD342" s="17" t="s">
        <v>155</v>
      </c>
      <c r="BE342" s="17" t="s">
        <v>155</v>
      </c>
      <c r="BF342" s="17" t="s">
        <v>155</v>
      </c>
      <c r="BG342" s="17" t="s">
        <v>345</v>
      </c>
      <c r="BN342" s="130" t="s">
        <v>902</v>
      </c>
    </row>
    <row r="343" spans="24:66" x14ac:dyDescent="0.3">
      <c r="X343" t="s">
        <v>557</v>
      </c>
      <c r="Y343" s="17" t="s">
        <v>155</v>
      </c>
      <c r="Z343" s="17" t="s">
        <v>155</v>
      </c>
      <c r="AA343" s="17" t="s">
        <v>155</v>
      </c>
      <c r="AB343" s="17" t="s">
        <v>155</v>
      </c>
      <c r="AC343" s="17" t="s">
        <v>21</v>
      </c>
      <c r="AM343" t="s">
        <v>158</v>
      </c>
      <c r="AN343" s="17" t="s">
        <v>155</v>
      </c>
      <c r="AO343" s="17" t="s">
        <v>155</v>
      </c>
      <c r="AP343" s="17" t="s">
        <v>155</v>
      </c>
      <c r="AQ343" s="17" t="s">
        <v>155</v>
      </c>
      <c r="AR343" s="17" t="s">
        <v>345</v>
      </c>
      <c r="BB343" t="s">
        <v>158</v>
      </c>
      <c r="BC343" s="17" t="s">
        <v>155</v>
      </c>
      <c r="BD343" s="17" t="s">
        <v>155</v>
      </c>
      <c r="BE343" s="17" t="s">
        <v>155</v>
      </c>
      <c r="BF343" s="17" t="s">
        <v>155</v>
      </c>
      <c r="BG343" s="17" t="s">
        <v>345</v>
      </c>
    </row>
    <row r="344" spans="24:66" x14ac:dyDescent="0.3">
      <c r="AM344" t="s">
        <v>159</v>
      </c>
      <c r="AN344" s="17" t="s">
        <v>155</v>
      </c>
      <c r="AO344" s="17" t="s">
        <v>155</v>
      </c>
      <c r="AP344" s="17" t="s">
        <v>155</v>
      </c>
      <c r="AQ344" s="17" t="s">
        <v>155</v>
      </c>
      <c r="AR344" s="17" t="s">
        <v>345</v>
      </c>
      <c r="BB344" t="s">
        <v>159</v>
      </c>
      <c r="BC344" s="17" t="s">
        <v>155</v>
      </c>
      <c r="BD344" s="17" t="s">
        <v>155</v>
      </c>
      <c r="BE344" s="17" t="s">
        <v>155</v>
      </c>
      <c r="BF344" s="17" t="s">
        <v>155</v>
      </c>
      <c r="BG344" s="17" t="s">
        <v>345</v>
      </c>
    </row>
    <row r="345" spans="24:66" x14ac:dyDescent="0.3">
      <c r="X345" t="s">
        <v>759</v>
      </c>
      <c r="AM345" t="s">
        <v>160</v>
      </c>
      <c r="AN345" s="17" t="s">
        <v>155</v>
      </c>
      <c r="AO345" s="17" t="s">
        <v>155</v>
      </c>
      <c r="AP345" s="17" t="s">
        <v>346</v>
      </c>
      <c r="AQ345" s="17" t="s">
        <v>155</v>
      </c>
      <c r="AR345" s="17" t="s">
        <v>346</v>
      </c>
      <c r="BB345" t="s">
        <v>160</v>
      </c>
      <c r="BC345" s="17" t="s">
        <v>155</v>
      </c>
      <c r="BD345" s="17" t="s">
        <v>155</v>
      </c>
      <c r="BE345" s="17" t="s">
        <v>346</v>
      </c>
      <c r="BF345" s="17" t="s">
        <v>155</v>
      </c>
      <c r="BG345" s="17" t="s">
        <v>346</v>
      </c>
    </row>
    <row r="346" spans="24:66" x14ac:dyDescent="0.3">
      <c r="Y346" s="17" t="s">
        <v>164</v>
      </c>
      <c r="Z346" s="17" t="s">
        <v>165</v>
      </c>
      <c r="AA346" s="17" t="s">
        <v>166</v>
      </c>
      <c r="AB346" s="17" t="s">
        <v>167</v>
      </c>
      <c r="AC346" s="17" t="s">
        <v>168</v>
      </c>
      <c r="AM346" t="s">
        <v>554</v>
      </c>
      <c r="AN346" s="17" t="s">
        <v>155</v>
      </c>
      <c r="AO346" s="17" t="s">
        <v>155</v>
      </c>
      <c r="AP346" s="17" t="s">
        <v>20</v>
      </c>
      <c r="AQ346" s="17" t="s">
        <v>155</v>
      </c>
      <c r="AR346" s="17" t="s">
        <v>20</v>
      </c>
      <c r="BB346" t="s">
        <v>554</v>
      </c>
      <c r="BC346" s="17" t="s">
        <v>155</v>
      </c>
      <c r="BD346" s="17" t="s">
        <v>155</v>
      </c>
      <c r="BE346" s="17" t="s">
        <v>20</v>
      </c>
      <c r="BF346" s="17" t="s">
        <v>155</v>
      </c>
      <c r="BG346" s="17" t="s">
        <v>20</v>
      </c>
    </row>
    <row r="347" spans="24:66" x14ac:dyDescent="0.3">
      <c r="X347" t="s">
        <v>543</v>
      </c>
      <c r="Y347" s="17" t="s">
        <v>155</v>
      </c>
      <c r="Z347" s="17" t="s">
        <v>266</v>
      </c>
      <c r="AA347" s="17" t="s">
        <v>155</v>
      </c>
      <c r="AB347" s="17" t="s">
        <v>155</v>
      </c>
      <c r="AC347" s="17" t="s">
        <v>155</v>
      </c>
      <c r="AM347" t="s">
        <v>555</v>
      </c>
      <c r="AN347" s="17" t="s">
        <v>155</v>
      </c>
      <c r="AO347" s="17" t="s">
        <v>155</v>
      </c>
      <c r="AP347" s="17" t="s">
        <v>20</v>
      </c>
      <c r="AQ347" s="17" t="s">
        <v>155</v>
      </c>
      <c r="AR347" s="17" t="s">
        <v>20</v>
      </c>
      <c r="BB347" t="s">
        <v>555</v>
      </c>
      <c r="BC347" s="17" t="s">
        <v>155</v>
      </c>
      <c r="BD347" s="17" t="s">
        <v>155</v>
      </c>
      <c r="BE347" s="17" t="s">
        <v>20</v>
      </c>
      <c r="BF347" s="17" t="s">
        <v>155</v>
      </c>
      <c r="BG347" s="17" t="s">
        <v>20</v>
      </c>
    </row>
    <row r="348" spans="24:66" x14ac:dyDescent="0.3">
      <c r="X348" t="s">
        <v>544</v>
      </c>
      <c r="Y348" s="17" t="s">
        <v>155</v>
      </c>
      <c r="Z348" s="17" t="s">
        <v>266</v>
      </c>
      <c r="AA348" s="17" t="s">
        <v>155</v>
      </c>
      <c r="AB348" s="17" t="s">
        <v>155</v>
      </c>
      <c r="AC348" s="17" t="s">
        <v>155</v>
      </c>
      <c r="AM348" t="s">
        <v>556</v>
      </c>
      <c r="AN348" s="17" t="s">
        <v>155</v>
      </c>
      <c r="AO348" s="17" t="s">
        <v>155</v>
      </c>
      <c r="AP348" s="17" t="s">
        <v>21</v>
      </c>
      <c r="AQ348" s="17" t="s">
        <v>155</v>
      </c>
      <c r="AR348" s="17" t="s">
        <v>20</v>
      </c>
      <c r="BB348" t="s">
        <v>556</v>
      </c>
      <c r="BC348" s="17" t="s">
        <v>155</v>
      </c>
      <c r="BD348" s="17" t="s">
        <v>155</v>
      </c>
      <c r="BE348" s="17" t="s">
        <v>20</v>
      </c>
      <c r="BF348" s="17" t="s">
        <v>155</v>
      </c>
      <c r="BG348" s="17" t="s">
        <v>21</v>
      </c>
    </row>
    <row r="349" spans="24:66" x14ac:dyDescent="0.3">
      <c r="X349" t="s">
        <v>545</v>
      </c>
      <c r="Y349" s="17" t="s">
        <v>155</v>
      </c>
      <c r="Z349" s="17" t="s">
        <v>266</v>
      </c>
      <c r="AA349" s="17" t="s">
        <v>155</v>
      </c>
      <c r="AB349" s="17" t="s">
        <v>155</v>
      </c>
      <c r="AC349" s="17" t="s">
        <v>155</v>
      </c>
      <c r="AM349" t="s">
        <v>557</v>
      </c>
      <c r="AN349" s="17" t="s">
        <v>155</v>
      </c>
      <c r="AO349" s="17" t="s">
        <v>155</v>
      </c>
      <c r="AP349" s="17" t="s">
        <v>21</v>
      </c>
      <c r="AQ349" s="17" t="s">
        <v>155</v>
      </c>
      <c r="AR349" s="17" t="s">
        <v>155</v>
      </c>
      <c r="BB349" t="s">
        <v>557</v>
      </c>
      <c r="BC349" s="17" t="s">
        <v>155</v>
      </c>
      <c r="BD349" s="17" t="s">
        <v>155</v>
      </c>
      <c r="BE349" s="17" t="s">
        <v>155</v>
      </c>
      <c r="BF349" s="17" t="s">
        <v>155</v>
      </c>
      <c r="BG349" s="17" t="s">
        <v>21</v>
      </c>
    </row>
    <row r="350" spans="24:66" x14ac:dyDescent="0.3">
      <c r="X350" t="s">
        <v>546</v>
      </c>
      <c r="Y350" s="17" t="s">
        <v>155</v>
      </c>
      <c r="Z350" s="17" t="s">
        <v>266</v>
      </c>
      <c r="AA350" s="17" t="s">
        <v>155</v>
      </c>
      <c r="AB350" s="17" t="s">
        <v>155</v>
      </c>
      <c r="AC350" s="17" t="s">
        <v>155</v>
      </c>
    </row>
    <row r="351" spans="24:66" x14ac:dyDescent="0.3">
      <c r="AM351" t="s">
        <v>759</v>
      </c>
      <c r="BB351" t="s">
        <v>759</v>
      </c>
    </row>
    <row r="352" spans="24:66" x14ac:dyDescent="0.3">
      <c r="X352" t="s">
        <v>830</v>
      </c>
      <c r="AN352" s="17" t="s">
        <v>164</v>
      </c>
      <c r="AO352" s="17" t="s">
        <v>165</v>
      </c>
      <c r="AP352" s="17" t="s">
        <v>166</v>
      </c>
      <c r="AQ352" s="17" t="s">
        <v>167</v>
      </c>
      <c r="AR352" s="17" t="s">
        <v>168</v>
      </c>
      <c r="BC352" s="17" t="s">
        <v>164</v>
      </c>
      <c r="BD352" s="17" t="s">
        <v>165</v>
      </c>
      <c r="BE352" s="17" t="s">
        <v>166</v>
      </c>
      <c r="BF352" s="17" t="s">
        <v>167</v>
      </c>
      <c r="BG352" s="17" t="s">
        <v>168</v>
      </c>
    </row>
    <row r="353" spans="24:59" x14ac:dyDescent="0.3">
      <c r="Y353" s="17" t="s">
        <v>164</v>
      </c>
      <c r="Z353" s="17" t="s">
        <v>165</v>
      </c>
      <c r="AA353" s="17" t="s">
        <v>166</v>
      </c>
      <c r="AB353" s="17" t="s">
        <v>167</v>
      </c>
      <c r="AC353" s="17" t="s">
        <v>168</v>
      </c>
      <c r="AM353" t="s">
        <v>543</v>
      </c>
      <c r="AN353" s="17" t="s">
        <v>155</v>
      </c>
      <c r="AO353" s="17" t="s">
        <v>266</v>
      </c>
      <c r="AP353" s="17" t="s">
        <v>155</v>
      </c>
      <c r="AQ353" s="17" t="s">
        <v>155</v>
      </c>
      <c r="AR353" s="17" t="s">
        <v>155</v>
      </c>
      <c r="BB353" t="s">
        <v>543</v>
      </c>
      <c r="BC353" s="17" t="s">
        <v>155</v>
      </c>
      <c r="BD353" s="17" t="s">
        <v>266</v>
      </c>
      <c r="BE353" s="17" t="s">
        <v>155</v>
      </c>
      <c r="BF353" s="17" t="s">
        <v>155</v>
      </c>
      <c r="BG353" s="17" t="s">
        <v>155</v>
      </c>
    </row>
    <row r="354" spans="24:59" x14ac:dyDescent="0.3">
      <c r="X354" t="s">
        <v>557</v>
      </c>
      <c r="Y354" s="17" t="s">
        <v>458</v>
      </c>
      <c r="Z354" s="17" t="s">
        <v>392</v>
      </c>
      <c r="AA354" s="17" t="s">
        <v>155</v>
      </c>
      <c r="AB354" s="17" t="s">
        <v>458</v>
      </c>
      <c r="AC354" s="17" t="s">
        <v>155</v>
      </c>
      <c r="AM354" t="s">
        <v>544</v>
      </c>
      <c r="AN354" s="17" t="s">
        <v>155</v>
      </c>
      <c r="AO354" s="17" t="s">
        <v>266</v>
      </c>
      <c r="AP354" s="17" t="s">
        <v>155</v>
      </c>
      <c r="AQ354" s="17" t="s">
        <v>155</v>
      </c>
      <c r="AR354" s="17" t="s">
        <v>155</v>
      </c>
      <c r="BB354" t="s">
        <v>544</v>
      </c>
      <c r="BC354" s="17" t="s">
        <v>155</v>
      </c>
      <c r="BD354" s="17" t="s">
        <v>266</v>
      </c>
      <c r="BE354" s="17" t="s">
        <v>155</v>
      </c>
      <c r="BF354" s="17" t="s">
        <v>155</v>
      </c>
      <c r="BG354" s="17" t="s">
        <v>155</v>
      </c>
    </row>
    <row r="355" spans="24:59" x14ac:dyDescent="0.3">
      <c r="X355" t="s">
        <v>542</v>
      </c>
      <c r="Y355" s="17" t="s">
        <v>458</v>
      </c>
      <c r="Z355" s="17" t="s">
        <v>392</v>
      </c>
      <c r="AA355" s="17" t="s">
        <v>155</v>
      </c>
      <c r="AB355" s="17" t="s">
        <v>458</v>
      </c>
      <c r="AC355" s="17" t="s">
        <v>155</v>
      </c>
      <c r="AM355" t="s">
        <v>545</v>
      </c>
      <c r="AN355" s="17" t="s">
        <v>155</v>
      </c>
      <c r="AO355" s="17" t="s">
        <v>266</v>
      </c>
      <c r="AP355" s="17" t="s">
        <v>155</v>
      </c>
      <c r="AQ355" s="17" t="s">
        <v>155</v>
      </c>
      <c r="AR355" s="17" t="s">
        <v>155</v>
      </c>
      <c r="BB355" t="s">
        <v>545</v>
      </c>
      <c r="BC355" s="17" t="s">
        <v>155</v>
      </c>
      <c r="BD355" s="17" t="s">
        <v>266</v>
      </c>
      <c r="BE355" s="17" t="s">
        <v>155</v>
      </c>
      <c r="BF355" s="17" t="s">
        <v>155</v>
      </c>
      <c r="BG355" s="17" t="s">
        <v>155</v>
      </c>
    </row>
    <row r="356" spans="24:59" x14ac:dyDescent="0.3">
      <c r="X356" t="s">
        <v>543</v>
      </c>
      <c r="Y356" s="17" t="s">
        <v>155</v>
      </c>
      <c r="Z356" s="17" t="s">
        <v>392</v>
      </c>
      <c r="AA356" s="17" t="s">
        <v>155</v>
      </c>
      <c r="AB356" s="17" t="s">
        <v>155</v>
      </c>
      <c r="AC356" s="17" t="s">
        <v>155</v>
      </c>
      <c r="AM356" t="s">
        <v>546</v>
      </c>
      <c r="AN356" s="17" t="s">
        <v>155</v>
      </c>
      <c r="AO356" s="17" t="s">
        <v>266</v>
      </c>
      <c r="AP356" s="17" t="s">
        <v>155</v>
      </c>
      <c r="AQ356" s="17" t="s">
        <v>155</v>
      </c>
      <c r="AR356" s="17" t="s">
        <v>155</v>
      </c>
      <c r="BB356" t="s">
        <v>546</v>
      </c>
      <c r="BC356" s="17" t="s">
        <v>155</v>
      </c>
      <c r="BD356" s="17" t="s">
        <v>266</v>
      </c>
      <c r="BE356" s="17" t="s">
        <v>155</v>
      </c>
      <c r="BF356" s="17" t="s">
        <v>155</v>
      </c>
      <c r="BG356" s="17" t="s">
        <v>155</v>
      </c>
    </row>
    <row r="358" spans="24:59" x14ac:dyDescent="0.3">
      <c r="X358" t="s">
        <v>831</v>
      </c>
      <c r="AM358" t="s">
        <v>830</v>
      </c>
      <c r="BB358" t="s">
        <v>830</v>
      </c>
    </row>
    <row r="359" spans="24:59" x14ac:dyDescent="0.3">
      <c r="Y359" s="17" t="s">
        <v>164</v>
      </c>
      <c r="Z359" s="17" t="s">
        <v>165</v>
      </c>
      <c r="AA359" s="17" t="s">
        <v>166</v>
      </c>
      <c r="AB359" s="17" t="s">
        <v>167</v>
      </c>
      <c r="AC359" s="17" t="s">
        <v>168</v>
      </c>
      <c r="AN359" s="17" t="s">
        <v>164</v>
      </c>
      <c r="AO359" s="17" t="s">
        <v>165</v>
      </c>
      <c r="AP359" s="17" t="s">
        <v>166</v>
      </c>
      <c r="AQ359" s="17" t="s">
        <v>167</v>
      </c>
      <c r="AR359" s="17" t="s">
        <v>168</v>
      </c>
      <c r="BC359" s="17" t="s">
        <v>164</v>
      </c>
      <c r="BD359" s="17" t="s">
        <v>165</v>
      </c>
      <c r="BE359" s="17" t="s">
        <v>166</v>
      </c>
      <c r="BF359" s="17" t="s">
        <v>167</v>
      </c>
      <c r="BG359" s="17" t="s">
        <v>168</v>
      </c>
    </row>
    <row r="360" spans="24:59" x14ac:dyDescent="0.3">
      <c r="X360" t="s">
        <v>557</v>
      </c>
      <c r="Y360" s="17" t="s">
        <v>461</v>
      </c>
      <c r="Z360" s="17" t="s">
        <v>155</v>
      </c>
      <c r="AA360" s="17" t="s">
        <v>155</v>
      </c>
      <c r="AB360" s="17" t="s">
        <v>155</v>
      </c>
      <c r="AC360" s="17" t="s">
        <v>461</v>
      </c>
      <c r="AM360" t="s">
        <v>557</v>
      </c>
      <c r="AN360" s="17" t="s">
        <v>458</v>
      </c>
      <c r="AO360" s="17" t="s">
        <v>392</v>
      </c>
      <c r="AP360" s="17" t="s">
        <v>155</v>
      </c>
      <c r="AQ360" s="17" t="s">
        <v>458</v>
      </c>
      <c r="AR360" s="17" t="s">
        <v>155</v>
      </c>
      <c r="BB360" t="s">
        <v>557</v>
      </c>
      <c r="BC360" s="17" t="s">
        <v>458</v>
      </c>
      <c r="BD360" s="17" t="s">
        <v>155</v>
      </c>
      <c r="BE360" s="17" t="s">
        <v>155</v>
      </c>
      <c r="BF360" s="17" t="s">
        <v>155</v>
      </c>
      <c r="BG360" s="17" t="s">
        <v>155</v>
      </c>
    </row>
    <row r="361" spans="24:59" x14ac:dyDescent="0.3">
      <c r="X361" t="s">
        <v>542</v>
      </c>
      <c r="Y361" s="17" t="s">
        <v>461</v>
      </c>
      <c r="Z361" s="17" t="s">
        <v>155</v>
      </c>
      <c r="AA361" s="17" t="s">
        <v>155</v>
      </c>
      <c r="AB361" s="17" t="s">
        <v>155</v>
      </c>
      <c r="AC361" s="17" t="s">
        <v>461</v>
      </c>
      <c r="AM361" t="s">
        <v>542</v>
      </c>
      <c r="AN361" s="17" t="s">
        <v>458</v>
      </c>
      <c r="AO361" s="17" t="s">
        <v>392</v>
      </c>
      <c r="AP361" s="17" t="s">
        <v>155</v>
      </c>
      <c r="AQ361" s="17" t="s">
        <v>458</v>
      </c>
      <c r="AR361" s="17" t="s">
        <v>155</v>
      </c>
      <c r="BB361" t="s">
        <v>542</v>
      </c>
      <c r="BC361" s="17" t="s">
        <v>458</v>
      </c>
      <c r="BD361" s="17" t="s">
        <v>392</v>
      </c>
      <c r="BE361" s="17" t="s">
        <v>155</v>
      </c>
      <c r="BF361" s="17" t="s">
        <v>458</v>
      </c>
      <c r="BG361" s="17" t="s">
        <v>155</v>
      </c>
    </row>
    <row r="362" spans="24:59" x14ac:dyDescent="0.3">
      <c r="AM362" t="s">
        <v>543</v>
      </c>
      <c r="AN362" s="17" t="s">
        <v>155</v>
      </c>
      <c r="AO362" s="17" t="s">
        <v>392</v>
      </c>
      <c r="AP362" s="17" t="s">
        <v>155</v>
      </c>
      <c r="AQ362" s="17" t="s">
        <v>155</v>
      </c>
      <c r="AR362" s="17" t="s">
        <v>155</v>
      </c>
      <c r="BB362" t="s">
        <v>543</v>
      </c>
      <c r="BC362" s="17" t="s">
        <v>155</v>
      </c>
      <c r="BD362" s="17" t="s">
        <v>392</v>
      </c>
      <c r="BE362" s="17" t="s">
        <v>155</v>
      </c>
      <c r="BF362" s="17" t="s">
        <v>458</v>
      </c>
      <c r="BG362" s="17" t="s">
        <v>155</v>
      </c>
    </row>
    <row r="363" spans="24:59" x14ac:dyDescent="0.3">
      <c r="X363" t="s">
        <v>832</v>
      </c>
      <c r="BB363" t="s">
        <v>544</v>
      </c>
      <c r="BC363" s="17" t="s">
        <v>155</v>
      </c>
      <c r="BD363" s="17" t="s">
        <v>392</v>
      </c>
      <c r="BE363" s="17" t="s">
        <v>155</v>
      </c>
      <c r="BF363" s="17" t="s">
        <v>155</v>
      </c>
      <c r="BG363" s="17" t="s">
        <v>155</v>
      </c>
    </row>
    <row r="364" spans="24:59" x14ac:dyDescent="0.3">
      <c r="Y364" s="17" t="s">
        <v>164</v>
      </c>
      <c r="Z364" s="17" t="s">
        <v>165</v>
      </c>
      <c r="AA364" s="17" t="s">
        <v>166</v>
      </c>
      <c r="AB364" s="17" t="s">
        <v>167</v>
      </c>
      <c r="AC364" s="17" t="s">
        <v>168</v>
      </c>
      <c r="AM364" t="s">
        <v>831</v>
      </c>
    </row>
    <row r="365" spans="24:59" x14ac:dyDescent="0.3">
      <c r="X365" t="s">
        <v>543</v>
      </c>
      <c r="Y365" s="17" t="s">
        <v>391</v>
      </c>
      <c r="Z365" s="17" t="s">
        <v>155</v>
      </c>
      <c r="AA365" s="17" t="s">
        <v>664</v>
      </c>
      <c r="AB365" s="17" t="s">
        <v>391</v>
      </c>
      <c r="AC365" s="17" t="s">
        <v>155</v>
      </c>
      <c r="AN365" s="17" t="s">
        <v>164</v>
      </c>
      <c r="AO365" s="17" t="s">
        <v>165</v>
      </c>
      <c r="AP365" s="17" t="s">
        <v>166</v>
      </c>
      <c r="AQ365" s="17" t="s">
        <v>167</v>
      </c>
      <c r="AR365" s="17" t="s">
        <v>168</v>
      </c>
      <c r="BB365" t="s">
        <v>831</v>
      </c>
    </row>
    <row r="366" spans="24:59" x14ac:dyDescent="0.3">
      <c r="X366" t="s">
        <v>544</v>
      </c>
      <c r="Y366" s="17" t="s">
        <v>391</v>
      </c>
      <c r="Z366" s="17" t="s">
        <v>155</v>
      </c>
      <c r="AA366" s="17" t="s">
        <v>664</v>
      </c>
      <c r="AB366" s="17" t="s">
        <v>391</v>
      </c>
      <c r="AC366" s="17" t="s">
        <v>155</v>
      </c>
      <c r="AM366" t="s">
        <v>557</v>
      </c>
      <c r="AN366" s="17" t="s">
        <v>461</v>
      </c>
      <c r="AO366" s="17" t="s">
        <v>155</v>
      </c>
      <c r="AP366" s="17" t="s">
        <v>155</v>
      </c>
      <c r="AQ366" s="17" t="s">
        <v>155</v>
      </c>
      <c r="AR366" s="17" t="s">
        <v>461</v>
      </c>
      <c r="BC366" s="17" t="s">
        <v>164</v>
      </c>
      <c r="BD366" s="17" t="s">
        <v>165</v>
      </c>
      <c r="BE366" s="17" t="s">
        <v>166</v>
      </c>
      <c r="BF366" s="17" t="s">
        <v>167</v>
      </c>
      <c r="BG366" s="17" t="s">
        <v>168</v>
      </c>
    </row>
    <row r="367" spans="24:59" x14ac:dyDescent="0.3">
      <c r="AM367" t="s">
        <v>542</v>
      </c>
      <c r="AN367" s="17" t="s">
        <v>461</v>
      </c>
      <c r="AO367" s="17" t="s">
        <v>155</v>
      </c>
      <c r="AP367" s="17" t="s">
        <v>155</v>
      </c>
      <c r="AQ367" s="17" t="s">
        <v>155</v>
      </c>
      <c r="AR367" s="17" t="s">
        <v>461</v>
      </c>
      <c r="BB367" t="s">
        <v>557</v>
      </c>
      <c r="BC367" s="17" t="s">
        <v>461</v>
      </c>
      <c r="BD367" s="17" t="s">
        <v>155</v>
      </c>
      <c r="BE367" s="17" t="s">
        <v>155</v>
      </c>
      <c r="BF367" s="17" t="s">
        <v>155</v>
      </c>
      <c r="BG367" s="17" t="s">
        <v>461</v>
      </c>
    </row>
    <row r="368" spans="24:59" x14ac:dyDescent="0.3">
      <c r="X368" t="s">
        <v>706</v>
      </c>
      <c r="BB368" t="s">
        <v>542</v>
      </c>
      <c r="BC368" s="17" t="s">
        <v>461</v>
      </c>
      <c r="BD368" s="17" t="s">
        <v>155</v>
      </c>
      <c r="BE368" s="17" t="s">
        <v>155</v>
      </c>
      <c r="BF368" s="17" t="s">
        <v>155</v>
      </c>
      <c r="BG368" s="17" t="s">
        <v>461</v>
      </c>
    </row>
    <row r="369" spans="24:59" x14ac:dyDescent="0.3">
      <c r="Y369" s="17" t="s">
        <v>164</v>
      </c>
      <c r="Z369" s="17" t="s">
        <v>165</v>
      </c>
      <c r="AA369" s="17" t="s">
        <v>166</v>
      </c>
      <c r="AB369" s="17" t="s">
        <v>167</v>
      </c>
      <c r="AC369" s="17" t="s">
        <v>168</v>
      </c>
      <c r="AM369" t="s">
        <v>832</v>
      </c>
    </row>
    <row r="370" spans="24:59" x14ac:dyDescent="0.3">
      <c r="X370" t="s">
        <v>544</v>
      </c>
      <c r="Y370" s="17" t="s">
        <v>91</v>
      </c>
      <c r="Z370" s="17" t="s">
        <v>155</v>
      </c>
      <c r="AA370" s="17" t="s">
        <v>155</v>
      </c>
      <c r="AB370" s="17" t="s">
        <v>91</v>
      </c>
      <c r="AC370" s="17" t="s">
        <v>155</v>
      </c>
      <c r="AN370" s="17" t="s">
        <v>164</v>
      </c>
      <c r="AO370" s="17" t="s">
        <v>165</v>
      </c>
      <c r="AP370" s="17" t="s">
        <v>166</v>
      </c>
      <c r="AQ370" s="17" t="s">
        <v>167</v>
      </c>
      <c r="AR370" s="17" t="s">
        <v>168</v>
      </c>
      <c r="BB370" t="s">
        <v>832</v>
      </c>
    </row>
    <row r="371" spans="24:59" x14ac:dyDescent="0.3">
      <c r="X371" t="s">
        <v>545</v>
      </c>
      <c r="Y371" s="17" t="s">
        <v>91</v>
      </c>
      <c r="Z371" s="17" t="s">
        <v>155</v>
      </c>
      <c r="AA371" s="17" t="s">
        <v>155</v>
      </c>
      <c r="AB371" s="17" t="s">
        <v>91</v>
      </c>
      <c r="AC371" s="17" t="s">
        <v>155</v>
      </c>
      <c r="AM371" t="s">
        <v>543</v>
      </c>
      <c r="AN371" s="17" t="s">
        <v>391</v>
      </c>
      <c r="AO371" s="17" t="s">
        <v>155</v>
      </c>
      <c r="AP371" s="17" t="s">
        <v>664</v>
      </c>
      <c r="AQ371" s="17" t="s">
        <v>391</v>
      </c>
      <c r="AR371" s="17" t="s">
        <v>155</v>
      </c>
      <c r="BC371" s="17" t="s">
        <v>164</v>
      </c>
      <c r="BD371" s="17" t="s">
        <v>165</v>
      </c>
      <c r="BE371" s="17" t="s">
        <v>166</v>
      </c>
      <c r="BF371" s="17" t="s">
        <v>167</v>
      </c>
      <c r="BG371" s="17" t="s">
        <v>168</v>
      </c>
    </row>
    <row r="372" spans="24:59" x14ac:dyDescent="0.3">
      <c r="AM372" t="s">
        <v>544</v>
      </c>
      <c r="AN372" s="17" t="s">
        <v>391</v>
      </c>
      <c r="AO372" s="17" t="s">
        <v>155</v>
      </c>
      <c r="AP372" s="17" t="s">
        <v>664</v>
      </c>
      <c r="AQ372" s="17" t="s">
        <v>391</v>
      </c>
      <c r="AR372" s="17" t="s">
        <v>155</v>
      </c>
      <c r="BB372" t="s">
        <v>543</v>
      </c>
      <c r="BC372" s="17" t="s">
        <v>391</v>
      </c>
      <c r="BD372" s="17" t="s">
        <v>155</v>
      </c>
      <c r="BE372" s="17" t="s">
        <v>664</v>
      </c>
      <c r="BF372" s="17" t="s">
        <v>391</v>
      </c>
      <c r="BG372" s="17" t="s">
        <v>155</v>
      </c>
    </row>
    <row r="373" spans="24:59" x14ac:dyDescent="0.3">
      <c r="X373" t="s">
        <v>728</v>
      </c>
      <c r="BB373" t="s">
        <v>544</v>
      </c>
      <c r="BC373" s="17" t="s">
        <v>391</v>
      </c>
      <c r="BD373" s="17" t="s">
        <v>155</v>
      </c>
      <c r="BE373" s="17" t="s">
        <v>664</v>
      </c>
      <c r="BF373" s="17" t="s">
        <v>391</v>
      </c>
      <c r="BG373" s="17" t="s">
        <v>155</v>
      </c>
    </row>
    <row r="374" spans="24:59" x14ac:dyDescent="0.3">
      <c r="Y374" s="17" t="s">
        <v>164</v>
      </c>
      <c r="Z374" s="17" t="s">
        <v>165</v>
      </c>
      <c r="AA374" s="17" t="s">
        <v>166</v>
      </c>
      <c r="AB374" s="17" t="s">
        <v>167</v>
      </c>
      <c r="AC374" s="17" t="s">
        <v>168</v>
      </c>
      <c r="AM374" t="s">
        <v>706</v>
      </c>
    </row>
    <row r="375" spans="24:59" x14ac:dyDescent="0.3">
      <c r="X375" t="s">
        <v>549</v>
      </c>
      <c r="Y375" s="17" t="s">
        <v>332</v>
      </c>
      <c r="Z375" s="17" t="s">
        <v>155</v>
      </c>
      <c r="AA375" s="17" t="s">
        <v>155</v>
      </c>
      <c r="AB375" s="17" t="s">
        <v>155</v>
      </c>
      <c r="AC375" s="17" t="s">
        <v>155</v>
      </c>
      <c r="AN375" s="17" t="s">
        <v>164</v>
      </c>
      <c r="AO375" s="17" t="s">
        <v>165</v>
      </c>
      <c r="AP375" s="17" t="s">
        <v>166</v>
      </c>
      <c r="AQ375" s="17" t="s">
        <v>167</v>
      </c>
      <c r="AR375" s="17" t="s">
        <v>168</v>
      </c>
      <c r="BB375" t="s">
        <v>706</v>
      </c>
    </row>
    <row r="376" spans="24:59" x14ac:dyDescent="0.3">
      <c r="X376" t="s">
        <v>550</v>
      </c>
      <c r="Y376" s="17" t="s">
        <v>332</v>
      </c>
      <c r="Z376" s="17" t="s">
        <v>155</v>
      </c>
      <c r="AA376" s="17" t="s">
        <v>332</v>
      </c>
      <c r="AB376" s="17" t="s">
        <v>155</v>
      </c>
      <c r="AC376" s="17" t="s">
        <v>155</v>
      </c>
      <c r="AM376" t="s">
        <v>544</v>
      </c>
      <c r="AN376" s="17" t="s">
        <v>91</v>
      </c>
      <c r="AO376" s="17" t="s">
        <v>155</v>
      </c>
      <c r="AP376" s="17" t="s">
        <v>155</v>
      </c>
      <c r="AQ376" s="17" t="s">
        <v>91</v>
      </c>
      <c r="AR376" s="17" t="s">
        <v>155</v>
      </c>
      <c r="BC376" s="17" t="s">
        <v>164</v>
      </c>
      <c r="BD376" s="17" t="s">
        <v>165</v>
      </c>
      <c r="BE376" s="17" t="s">
        <v>166</v>
      </c>
      <c r="BF376" s="17" t="s">
        <v>167</v>
      </c>
      <c r="BG376" s="17" t="s">
        <v>168</v>
      </c>
    </row>
    <row r="377" spans="24:59" x14ac:dyDescent="0.3">
      <c r="X377" t="s">
        <v>158</v>
      </c>
      <c r="Y377" s="17" t="s">
        <v>332</v>
      </c>
      <c r="Z377" s="17" t="s">
        <v>155</v>
      </c>
      <c r="AA377" s="17" t="s">
        <v>332</v>
      </c>
      <c r="AB377" s="17" t="s">
        <v>155</v>
      </c>
      <c r="AC377" s="17" t="s">
        <v>155</v>
      </c>
      <c r="AM377" t="s">
        <v>545</v>
      </c>
      <c r="AN377" s="17" t="s">
        <v>91</v>
      </c>
      <c r="AO377" s="17" t="s">
        <v>155</v>
      </c>
      <c r="AP377" s="17" t="s">
        <v>155</v>
      </c>
      <c r="AQ377" s="17" t="s">
        <v>91</v>
      </c>
      <c r="AR377" s="17" t="s">
        <v>155</v>
      </c>
      <c r="BB377" t="s">
        <v>544</v>
      </c>
      <c r="BC377" s="17" t="s">
        <v>91</v>
      </c>
      <c r="BD377" s="17" t="s">
        <v>155</v>
      </c>
      <c r="BE377" s="17" t="s">
        <v>155</v>
      </c>
      <c r="BF377" s="17" t="s">
        <v>91</v>
      </c>
      <c r="BG377" s="17" t="s">
        <v>155</v>
      </c>
    </row>
    <row r="378" spans="24:59" x14ac:dyDescent="0.3">
      <c r="X378" t="s">
        <v>555</v>
      </c>
      <c r="Y378" s="17" t="s">
        <v>24</v>
      </c>
      <c r="Z378" s="17" t="s">
        <v>155</v>
      </c>
      <c r="AA378" s="17" t="s">
        <v>155</v>
      </c>
      <c r="AB378" s="17" t="s">
        <v>155</v>
      </c>
      <c r="AC378" s="17" t="s">
        <v>155</v>
      </c>
      <c r="BB378" t="s">
        <v>545</v>
      </c>
      <c r="BC378" s="17" t="s">
        <v>91</v>
      </c>
      <c r="BD378" s="17" t="s">
        <v>155</v>
      </c>
      <c r="BE378" s="17" t="s">
        <v>155</v>
      </c>
      <c r="BF378" s="17" t="s">
        <v>91</v>
      </c>
      <c r="BG378" s="17" t="s">
        <v>155</v>
      </c>
    </row>
    <row r="379" spans="24:59" x14ac:dyDescent="0.3">
      <c r="X379" t="s">
        <v>556</v>
      </c>
      <c r="Y379" s="17" t="s">
        <v>24</v>
      </c>
      <c r="Z379" s="17" t="s">
        <v>155</v>
      </c>
      <c r="AA379" s="17" t="s">
        <v>155</v>
      </c>
      <c r="AB379" s="17" t="s">
        <v>155</v>
      </c>
      <c r="AC379" s="17" t="s">
        <v>155</v>
      </c>
      <c r="AM379" t="s">
        <v>728</v>
      </c>
    </row>
    <row r="380" spans="24:59" x14ac:dyDescent="0.3">
      <c r="X380" t="s">
        <v>557</v>
      </c>
      <c r="Y380" s="17" t="s">
        <v>24</v>
      </c>
      <c r="Z380" s="17" t="s">
        <v>155</v>
      </c>
      <c r="AA380" s="17" t="s">
        <v>155</v>
      </c>
      <c r="AB380" s="17" t="s">
        <v>24</v>
      </c>
      <c r="AC380" s="17" t="s">
        <v>155</v>
      </c>
      <c r="AN380" s="17" t="s">
        <v>164</v>
      </c>
      <c r="AO380" s="17" t="s">
        <v>165</v>
      </c>
      <c r="AP380" s="17" t="s">
        <v>166</v>
      </c>
      <c r="AQ380" s="17" t="s">
        <v>167</v>
      </c>
      <c r="AR380" s="17" t="s">
        <v>168</v>
      </c>
      <c r="BB380" t="s">
        <v>728</v>
      </c>
    </row>
    <row r="381" spans="24:59" x14ac:dyDescent="0.3">
      <c r="X381" t="s">
        <v>542</v>
      </c>
      <c r="Y381" s="17" t="s">
        <v>155</v>
      </c>
      <c r="Z381" s="17" t="s">
        <v>155</v>
      </c>
      <c r="AA381" s="17" t="s">
        <v>155</v>
      </c>
      <c r="AB381" s="17" t="s">
        <v>24</v>
      </c>
      <c r="AC381" s="17" t="s">
        <v>155</v>
      </c>
      <c r="AM381" t="s">
        <v>549</v>
      </c>
      <c r="AN381" s="17" t="s">
        <v>332</v>
      </c>
      <c r="AO381" s="17" t="s">
        <v>155</v>
      </c>
      <c r="AP381" s="17" t="s">
        <v>155</v>
      </c>
      <c r="AQ381" s="17" t="s">
        <v>155</v>
      </c>
      <c r="AR381" s="17" t="s">
        <v>155</v>
      </c>
      <c r="BC381" s="17" t="s">
        <v>164</v>
      </c>
      <c r="BD381" s="17" t="s">
        <v>165</v>
      </c>
      <c r="BE381" s="17" t="s">
        <v>166</v>
      </c>
      <c r="BF381" s="17" t="s">
        <v>167</v>
      </c>
      <c r="BG381" s="17" t="s">
        <v>168</v>
      </c>
    </row>
    <row r="382" spans="24:59" x14ac:dyDescent="0.3">
      <c r="AM382" t="s">
        <v>550</v>
      </c>
      <c r="AN382" s="17" t="s">
        <v>332</v>
      </c>
      <c r="AO382" s="17" t="s">
        <v>155</v>
      </c>
      <c r="AP382" s="17" t="s">
        <v>332</v>
      </c>
      <c r="AQ382" s="17" t="s">
        <v>155</v>
      </c>
      <c r="AR382" s="17" t="s">
        <v>155</v>
      </c>
      <c r="BB382" t="s">
        <v>549</v>
      </c>
      <c r="BC382" s="17" t="s">
        <v>332</v>
      </c>
      <c r="BD382" s="17" t="s">
        <v>155</v>
      </c>
      <c r="BE382" s="17" t="s">
        <v>155</v>
      </c>
      <c r="BF382" s="17" t="s">
        <v>155</v>
      </c>
      <c r="BG382" s="17" t="s">
        <v>155</v>
      </c>
    </row>
    <row r="383" spans="24:59" x14ac:dyDescent="0.3">
      <c r="X383" t="s">
        <v>833</v>
      </c>
      <c r="AM383" t="s">
        <v>158</v>
      </c>
      <c r="AN383" s="17" t="s">
        <v>332</v>
      </c>
      <c r="AO383" s="17" t="s">
        <v>155</v>
      </c>
      <c r="AP383" s="17" t="s">
        <v>332</v>
      </c>
      <c r="AQ383" s="17" t="s">
        <v>155</v>
      </c>
      <c r="AR383" s="17" t="s">
        <v>155</v>
      </c>
      <c r="BB383" t="s">
        <v>550</v>
      </c>
      <c r="BC383" s="17" t="s">
        <v>332</v>
      </c>
      <c r="BD383" s="17" t="s">
        <v>155</v>
      </c>
      <c r="BE383" s="17" t="s">
        <v>332</v>
      </c>
      <c r="BF383" s="17" t="s">
        <v>155</v>
      </c>
      <c r="BG383" s="17" t="s">
        <v>155</v>
      </c>
    </row>
    <row r="384" spans="24:59" x14ac:dyDescent="0.3">
      <c r="Y384" s="17" t="s">
        <v>164</v>
      </c>
      <c r="Z384" s="17" t="s">
        <v>165</v>
      </c>
      <c r="AA384" s="17" t="s">
        <v>166</v>
      </c>
      <c r="AB384" s="17" t="s">
        <v>167</v>
      </c>
      <c r="AC384" s="17" t="s">
        <v>168</v>
      </c>
      <c r="AM384" t="s">
        <v>555</v>
      </c>
      <c r="AN384" s="17" t="s">
        <v>24</v>
      </c>
      <c r="AO384" s="17" t="s">
        <v>155</v>
      </c>
      <c r="AP384" s="17" t="s">
        <v>155</v>
      </c>
      <c r="AQ384" s="17" t="s">
        <v>155</v>
      </c>
      <c r="AR384" s="17" t="s">
        <v>155</v>
      </c>
      <c r="BB384" t="s">
        <v>158</v>
      </c>
      <c r="BC384" s="17" t="s">
        <v>332</v>
      </c>
      <c r="BD384" s="17" t="s">
        <v>155</v>
      </c>
      <c r="BE384" s="17" t="s">
        <v>332</v>
      </c>
      <c r="BF384" s="17" t="s">
        <v>155</v>
      </c>
      <c r="BG384" s="17" t="s">
        <v>155</v>
      </c>
    </row>
    <row r="385" spans="24:59" x14ac:dyDescent="0.3">
      <c r="X385" t="s">
        <v>542</v>
      </c>
      <c r="Y385" s="17" t="s">
        <v>464</v>
      </c>
      <c r="Z385" s="17" t="s">
        <v>155</v>
      </c>
      <c r="AA385" s="17" t="s">
        <v>464</v>
      </c>
      <c r="AB385" s="17" t="s">
        <v>155</v>
      </c>
      <c r="AC385" s="17" t="s">
        <v>155</v>
      </c>
      <c r="AM385" t="s">
        <v>556</v>
      </c>
      <c r="AN385" s="17" t="s">
        <v>24</v>
      </c>
      <c r="AO385" s="17" t="s">
        <v>155</v>
      </c>
      <c r="AP385" s="17" t="s">
        <v>155</v>
      </c>
      <c r="AQ385" s="17" t="s">
        <v>155</v>
      </c>
      <c r="AR385" s="17" t="s">
        <v>155</v>
      </c>
      <c r="BB385" t="s">
        <v>555</v>
      </c>
      <c r="BC385" s="17" t="s">
        <v>24</v>
      </c>
      <c r="BD385" s="17" t="s">
        <v>155</v>
      </c>
      <c r="BE385" s="17" t="s">
        <v>155</v>
      </c>
      <c r="BF385" s="17" t="s">
        <v>155</v>
      </c>
      <c r="BG385" s="17" t="s">
        <v>155</v>
      </c>
    </row>
    <row r="386" spans="24:59" x14ac:dyDescent="0.3">
      <c r="X386" t="s">
        <v>543</v>
      </c>
      <c r="Y386" s="17" t="s">
        <v>464</v>
      </c>
      <c r="Z386" s="17" t="s">
        <v>155</v>
      </c>
      <c r="AA386" s="17" t="s">
        <v>464</v>
      </c>
      <c r="AB386" s="17" t="s">
        <v>155</v>
      </c>
      <c r="AC386" s="17" t="s">
        <v>155</v>
      </c>
      <c r="AM386" t="s">
        <v>557</v>
      </c>
      <c r="AN386" s="17" t="s">
        <v>24</v>
      </c>
      <c r="AO386" s="17" t="s">
        <v>155</v>
      </c>
      <c r="AP386" s="17" t="s">
        <v>155</v>
      </c>
      <c r="AQ386" s="17" t="s">
        <v>155</v>
      </c>
      <c r="AR386" s="17" t="s">
        <v>24</v>
      </c>
      <c r="BB386" t="s">
        <v>556</v>
      </c>
      <c r="BC386" s="17" t="s">
        <v>24</v>
      </c>
      <c r="BD386" s="17" t="s">
        <v>155</v>
      </c>
      <c r="BE386" s="17" t="s">
        <v>155</v>
      </c>
      <c r="BF386" s="17" t="s">
        <v>155</v>
      </c>
      <c r="BG386" s="17" t="s">
        <v>155</v>
      </c>
    </row>
    <row r="387" spans="24:59" x14ac:dyDescent="0.3">
      <c r="AM387" t="s">
        <v>542</v>
      </c>
      <c r="AN387" s="17" t="s">
        <v>155</v>
      </c>
      <c r="AO387" s="17" t="s">
        <v>155</v>
      </c>
      <c r="AP387" s="17" t="s">
        <v>155</v>
      </c>
      <c r="AQ387" s="17" t="s">
        <v>155</v>
      </c>
      <c r="AR387" s="17" t="s">
        <v>24</v>
      </c>
      <c r="BB387" t="s">
        <v>557</v>
      </c>
      <c r="BC387" s="17" t="s">
        <v>24</v>
      </c>
      <c r="BD387" s="17" t="s">
        <v>155</v>
      </c>
      <c r="BE387" s="17" t="s">
        <v>155</v>
      </c>
      <c r="BF387" s="17" t="s">
        <v>24</v>
      </c>
      <c r="BG387" s="17" t="s">
        <v>155</v>
      </c>
    </row>
    <row r="388" spans="24:59" x14ac:dyDescent="0.3">
      <c r="X388" t="s">
        <v>697</v>
      </c>
      <c r="BB388" t="s">
        <v>542</v>
      </c>
      <c r="BC388" s="17" t="s">
        <v>155</v>
      </c>
      <c r="BD388" s="17" t="s">
        <v>155</v>
      </c>
      <c r="BE388" s="17" t="s">
        <v>155</v>
      </c>
      <c r="BF388" s="17" t="s">
        <v>24</v>
      </c>
      <c r="BG388" s="17" t="s">
        <v>155</v>
      </c>
    </row>
    <row r="389" spans="24:59" x14ac:dyDescent="0.3">
      <c r="Y389" s="17" t="s">
        <v>164</v>
      </c>
      <c r="Z389" s="17" t="s">
        <v>165</v>
      </c>
      <c r="AA389" s="17" t="s">
        <v>166</v>
      </c>
      <c r="AB389" s="17" t="s">
        <v>167</v>
      </c>
      <c r="AC389" s="17" t="s">
        <v>168</v>
      </c>
      <c r="AM389" t="s">
        <v>833</v>
      </c>
    </row>
    <row r="390" spans="24:59" x14ac:dyDescent="0.3">
      <c r="X390" t="s">
        <v>544</v>
      </c>
      <c r="Y390" s="17" t="s">
        <v>155</v>
      </c>
      <c r="Z390" s="17" t="s">
        <v>243</v>
      </c>
      <c r="AA390" s="17" t="s">
        <v>155</v>
      </c>
      <c r="AB390" s="17" t="s">
        <v>155</v>
      </c>
      <c r="AC390" s="17" t="s">
        <v>155</v>
      </c>
      <c r="AN390" s="17" t="s">
        <v>164</v>
      </c>
      <c r="AO390" s="17" t="s">
        <v>165</v>
      </c>
      <c r="AP390" s="17" t="s">
        <v>166</v>
      </c>
      <c r="AQ390" s="17" t="s">
        <v>167</v>
      </c>
      <c r="AR390" s="17" t="s">
        <v>168</v>
      </c>
      <c r="BB390" t="s">
        <v>833</v>
      </c>
    </row>
    <row r="391" spans="24:59" x14ac:dyDescent="0.3">
      <c r="X391" t="s">
        <v>545</v>
      </c>
      <c r="Y391" s="17" t="s">
        <v>155</v>
      </c>
      <c r="Z391" s="17" t="s">
        <v>243</v>
      </c>
      <c r="AA391" s="17" t="s">
        <v>155</v>
      </c>
      <c r="AB391" s="17" t="s">
        <v>155</v>
      </c>
      <c r="AC391" s="17" t="s">
        <v>155</v>
      </c>
      <c r="AM391" t="s">
        <v>542</v>
      </c>
      <c r="AN391" s="17" t="s">
        <v>464</v>
      </c>
      <c r="AO391" s="17" t="s">
        <v>155</v>
      </c>
      <c r="AP391" s="17" t="s">
        <v>464</v>
      </c>
      <c r="AQ391" s="17" t="s">
        <v>155</v>
      </c>
      <c r="AR391" s="17" t="s">
        <v>155</v>
      </c>
      <c r="BC391" s="17" t="s">
        <v>164</v>
      </c>
      <c r="BD391" s="17" t="s">
        <v>165</v>
      </c>
      <c r="BE391" s="17" t="s">
        <v>166</v>
      </c>
      <c r="BF391" s="17" t="s">
        <v>167</v>
      </c>
      <c r="BG391" s="17" t="s">
        <v>168</v>
      </c>
    </row>
    <row r="392" spans="24:59" x14ac:dyDescent="0.3">
      <c r="AM392" t="s">
        <v>543</v>
      </c>
      <c r="AN392" s="17" t="s">
        <v>464</v>
      </c>
      <c r="AO392" s="17" t="s">
        <v>155</v>
      </c>
      <c r="AP392" s="17" t="s">
        <v>464</v>
      </c>
      <c r="AQ392" s="17" t="s">
        <v>155</v>
      </c>
      <c r="AR392" s="17" t="s">
        <v>155</v>
      </c>
      <c r="BB392" t="s">
        <v>542</v>
      </c>
      <c r="BC392" s="17" t="s">
        <v>464</v>
      </c>
      <c r="BD392" s="17" t="s">
        <v>155</v>
      </c>
      <c r="BE392" s="17" t="s">
        <v>464</v>
      </c>
      <c r="BF392" s="17" t="s">
        <v>155</v>
      </c>
      <c r="BG392" s="17" t="s">
        <v>155</v>
      </c>
    </row>
    <row r="393" spans="24:59" x14ac:dyDescent="0.3">
      <c r="X393" t="s">
        <v>714</v>
      </c>
      <c r="BB393" t="s">
        <v>543</v>
      </c>
      <c r="BC393" s="17" t="s">
        <v>464</v>
      </c>
      <c r="BD393" s="17" t="s">
        <v>155</v>
      </c>
      <c r="BE393" s="17" t="s">
        <v>464</v>
      </c>
      <c r="BF393" s="17" t="s">
        <v>155</v>
      </c>
      <c r="BG393" s="17" t="s">
        <v>155</v>
      </c>
    </row>
    <row r="394" spans="24:59" x14ac:dyDescent="0.3">
      <c r="Y394" s="17" t="s">
        <v>164</v>
      </c>
      <c r="Z394" s="17" t="s">
        <v>165</v>
      </c>
      <c r="AA394" s="17" t="s">
        <v>166</v>
      </c>
      <c r="AB394" s="17" t="s">
        <v>167</v>
      </c>
      <c r="AC394" s="17" t="s">
        <v>168</v>
      </c>
      <c r="AM394" t="s">
        <v>697</v>
      </c>
    </row>
    <row r="395" spans="24:59" x14ac:dyDescent="0.3">
      <c r="X395" t="s">
        <v>550</v>
      </c>
      <c r="Y395" s="17" t="s">
        <v>155</v>
      </c>
      <c r="Z395" s="17" t="s">
        <v>155</v>
      </c>
      <c r="AA395" s="17" t="s">
        <v>155</v>
      </c>
      <c r="AB395" s="17" t="s">
        <v>6</v>
      </c>
      <c r="AC395" s="17" t="s">
        <v>8</v>
      </c>
      <c r="AN395" s="17" t="s">
        <v>164</v>
      </c>
      <c r="AO395" s="17" t="s">
        <v>165</v>
      </c>
      <c r="AP395" s="17" t="s">
        <v>166</v>
      </c>
      <c r="AQ395" s="17" t="s">
        <v>167</v>
      </c>
      <c r="AR395" s="17" t="s">
        <v>168</v>
      </c>
      <c r="BB395" t="s">
        <v>697</v>
      </c>
    </row>
    <row r="396" spans="24:59" x14ac:dyDescent="0.3">
      <c r="X396" t="s">
        <v>158</v>
      </c>
      <c r="Y396" s="17" t="s">
        <v>6</v>
      </c>
      <c r="Z396" s="17" t="s">
        <v>155</v>
      </c>
      <c r="AA396" s="17" t="s">
        <v>8</v>
      </c>
      <c r="AB396" s="17" t="s">
        <v>6</v>
      </c>
      <c r="AC396" s="17" t="s">
        <v>8</v>
      </c>
      <c r="AM396" t="s">
        <v>544</v>
      </c>
      <c r="AN396" s="17" t="s">
        <v>155</v>
      </c>
      <c r="AO396" s="17" t="s">
        <v>243</v>
      </c>
      <c r="AP396" s="17" t="s">
        <v>155</v>
      </c>
      <c r="AQ396" s="17" t="s">
        <v>155</v>
      </c>
      <c r="AR396" s="17" t="s">
        <v>155</v>
      </c>
      <c r="BC396" s="17" t="s">
        <v>164</v>
      </c>
      <c r="BD396" s="17" t="s">
        <v>165</v>
      </c>
      <c r="BE396" s="17" t="s">
        <v>166</v>
      </c>
      <c r="BF396" s="17" t="s">
        <v>167</v>
      </c>
      <c r="BG396" s="17" t="s">
        <v>168</v>
      </c>
    </row>
    <row r="397" spans="24:59" x14ac:dyDescent="0.3">
      <c r="X397" t="s">
        <v>159</v>
      </c>
      <c r="Y397" s="17" t="s">
        <v>6</v>
      </c>
      <c r="Z397" s="17" t="s">
        <v>155</v>
      </c>
      <c r="AA397" s="17" t="s">
        <v>8</v>
      </c>
      <c r="AB397" s="17" t="s">
        <v>155</v>
      </c>
      <c r="AC397" s="17" t="s">
        <v>155</v>
      </c>
      <c r="AM397" t="s">
        <v>545</v>
      </c>
      <c r="AN397" s="17" t="s">
        <v>155</v>
      </c>
      <c r="AO397" s="17" t="s">
        <v>243</v>
      </c>
      <c r="AP397" s="17" t="s">
        <v>155</v>
      </c>
      <c r="AQ397" s="17" t="s">
        <v>155</v>
      </c>
      <c r="AR397" s="17" t="s">
        <v>155</v>
      </c>
      <c r="BB397" t="s">
        <v>544</v>
      </c>
      <c r="BC397" s="17" t="s">
        <v>155</v>
      </c>
      <c r="BD397" s="17" t="s">
        <v>243</v>
      </c>
      <c r="BE397" s="17" t="s">
        <v>155</v>
      </c>
      <c r="BF397" s="17" t="s">
        <v>155</v>
      </c>
      <c r="BG397" s="17" t="s">
        <v>155</v>
      </c>
    </row>
    <row r="398" spans="24:59" x14ac:dyDescent="0.3">
      <c r="X398" t="s">
        <v>160</v>
      </c>
      <c r="Y398" s="17" t="s">
        <v>6</v>
      </c>
      <c r="Z398" s="17" t="s">
        <v>155</v>
      </c>
      <c r="AA398" s="17" t="s">
        <v>8</v>
      </c>
      <c r="AB398" s="17" t="s">
        <v>155</v>
      </c>
      <c r="AC398" s="17" t="s">
        <v>155</v>
      </c>
      <c r="BB398" t="s">
        <v>545</v>
      </c>
      <c r="BC398" s="17" t="s">
        <v>155</v>
      </c>
      <c r="BD398" s="17" t="s">
        <v>243</v>
      </c>
      <c r="BE398" s="17" t="s">
        <v>155</v>
      </c>
      <c r="BF398" s="17" t="s">
        <v>155</v>
      </c>
      <c r="BG398" s="17" t="s">
        <v>155</v>
      </c>
    </row>
    <row r="399" spans="24:59" x14ac:dyDescent="0.3">
      <c r="AM399" t="s">
        <v>714</v>
      </c>
    </row>
    <row r="400" spans="24:59" x14ac:dyDescent="0.3">
      <c r="X400" t="s">
        <v>834</v>
      </c>
      <c r="AN400" s="17" t="s">
        <v>164</v>
      </c>
      <c r="AO400" s="17" t="s">
        <v>165</v>
      </c>
      <c r="AP400" s="17" t="s">
        <v>166</v>
      </c>
      <c r="AQ400" s="17" t="s">
        <v>167</v>
      </c>
      <c r="AR400" s="17" t="s">
        <v>168</v>
      </c>
      <c r="BB400" t="s">
        <v>714</v>
      </c>
    </row>
    <row r="401" spans="24:59" x14ac:dyDescent="0.3">
      <c r="Y401" s="17" t="s">
        <v>164</v>
      </c>
      <c r="Z401" s="17" t="s">
        <v>165</v>
      </c>
      <c r="AA401" s="17" t="s">
        <v>166</v>
      </c>
      <c r="AB401" s="17" t="s">
        <v>167</v>
      </c>
      <c r="AC401" s="17" t="s">
        <v>168</v>
      </c>
      <c r="AM401" t="s">
        <v>550</v>
      </c>
      <c r="AN401" s="17" t="s">
        <v>155</v>
      </c>
      <c r="AO401" s="17" t="s">
        <v>155</v>
      </c>
      <c r="AP401" s="17" t="s">
        <v>155</v>
      </c>
      <c r="AQ401" s="17" t="s">
        <v>155</v>
      </c>
      <c r="AR401" s="17" t="s">
        <v>8</v>
      </c>
      <c r="BC401" s="17" t="s">
        <v>164</v>
      </c>
      <c r="BD401" s="17" t="s">
        <v>165</v>
      </c>
      <c r="BE401" s="17" t="s">
        <v>166</v>
      </c>
      <c r="BF401" s="17" t="s">
        <v>167</v>
      </c>
      <c r="BG401" s="17" t="s">
        <v>168</v>
      </c>
    </row>
    <row r="402" spans="24:59" x14ac:dyDescent="0.3">
      <c r="X402" t="s">
        <v>555</v>
      </c>
      <c r="Y402" s="17" t="s">
        <v>395</v>
      </c>
      <c r="Z402" s="17" t="s">
        <v>155</v>
      </c>
      <c r="AA402" s="17" t="s">
        <v>155</v>
      </c>
      <c r="AB402" s="17" t="s">
        <v>155</v>
      </c>
      <c r="AC402" s="17" t="s">
        <v>395</v>
      </c>
      <c r="AM402" t="s">
        <v>158</v>
      </c>
      <c r="AN402" s="17" t="s">
        <v>6</v>
      </c>
      <c r="AO402" s="17" t="s">
        <v>155</v>
      </c>
      <c r="AP402" s="17" t="s">
        <v>8</v>
      </c>
      <c r="AQ402" s="17" t="s">
        <v>155</v>
      </c>
      <c r="AR402" s="17" t="s">
        <v>8</v>
      </c>
      <c r="BB402" t="s">
        <v>550</v>
      </c>
      <c r="BC402" s="17" t="s">
        <v>155</v>
      </c>
      <c r="BD402" s="17" t="s">
        <v>155</v>
      </c>
      <c r="BE402" s="17" t="s">
        <v>155</v>
      </c>
      <c r="BF402" s="17" t="s">
        <v>155</v>
      </c>
      <c r="BG402" s="17" t="s">
        <v>6</v>
      </c>
    </row>
    <row r="403" spans="24:59" x14ac:dyDescent="0.3">
      <c r="X403" t="s">
        <v>556</v>
      </c>
      <c r="Y403" s="17" t="s">
        <v>395</v>
      </c>
      <c r="Z403" s="17" t="s">
        <v>155</v>
      </c>
      <c r="AA403" s="17" t="s">
        <v>155</v>
      </c>
      <c r="AB403" s="17" t="s">
        <v>155</v>
      </c>
      <c r="AC403" s="17" t="s">
        <v>395</v>
      </c>
      <c r="AM403" t="s">
        <v>159</v>
      </c>
      <c r="AN403" s="17" t="s">
        <v>6</v>
      </c>
      <c r="AO403" s="17" t="s">
        <v>155</v>
      </c>
      <c r="AP403" s="17" t="s">
        <v>8</v>
      </c>
      <c r="AQ403" s="17" t="s">
        <v>6</v>
      </c>
      <c r="AR403" s="17" t="s">
        <v>155</v>
      </c>
      <c r="BB403" t="s">
        <v>158</v>
      </c>
      <c r="BC403" s="17" t="s">
        <v>155</v>
      </c>
      <c r="BD403" s="17" t="s">
        <v>155</v>
      </c>
      <c r="BE403" s="17" t="s">
        <v>6</v>
      </c>
      <c r="BF403" s="17" t="s">
        <v>8</v>
      </c>
      <c r="BG403" s="17" t="s">
        <v>6</v>
      </c>
    </row>
    <row r="404" spans="24:59" x14ac:dyDescent="0.3">
      <c r="X404" t="s">
        <v>557</v>
      </c>
      <c r="Y404" s="17" t="s">
        <v>155</v>
      </c>
      <c r="Z404" s="17" t="s">
        <v>155</v>
      </c>
      <c r="AA404" s="17" t="s">
        <v>155</v>
      </c>
      <c r="AB404" s="17" t="s">
        <v>155</v>
      </c>
      <c r="AC404" s="17" t="s">
        <v>395</v>
      </c>
      <c r="AM404" t="s">
        <v>160</v>
      </c>
      <c r="AN404" s="17" t="s">
        <v>6</v>
      </c>
      <c r="AO404" s="17" t="s">
        <v>155</v>
      </c>
      <c r="AP404" s="17" t="s">
        <v>8</v>
      </c>
      <c r="AQ404" s="17" t="s">
        <v>6</v>
      </c>
      <c r="AR404" s="17" t="s">
        <v>155</v>
      </c>
      <c r="BB404" t="s">
        <v>159</v>
      </c>
      <c r="BC404" s="17" t="s">
        <v>8</v>
      </c>
      <c r="BD404" s="17" t="s">
        <v>155</v>
      </c>
      <c r="BE404" s="17" t="s">
        <v>6</v>
      </c>
      <c r="BF404" s="17" t="s">
        <v>8</v>
      </c>
      <c r="BG404" s="17" t="s">
        <v>155</v>
      </c>
    </row>
    <row r="405" spans="24:59" x14ac:dyDescent="0.3">
      <c r="BB405" t="s">
        <v>160</v>
      </c>
      <c r="BC405" s="17" t="s">
        <v>8</v>
      </c>
      <c r="BD405" s="17" t="s">
        <v>155</v>
      </c>
      <c r="BE405" s="17" t="s">
        <v>6</v>
      </c>
      <c r="BF405" s="17" t="s">
        <v>8</v>
      </c>
      <c r="BG405" s="17" t="s">
        <v>155</v>
      </c>
    </row>
    <row r="406" spans="24:59" x14ac:dyDescent="0.3">
      <c r="X406" t="s">
        <v>712</v>
      </c>
      <c r="AM406" t="s">
        <v>834</v>
      </c>
    </row>
    <row r="407" spans="24:59" x14ac:dyDescent="0.3">
      <c r="Y407" s="17" t="s">
        <v>164</v>
      </c>
      <c r="Z407" s="17" t="s">
        <v>165</v>
      </c>
      <c r="AA407" s="17" t="s">
        <v>166</v>
      </c>
      <c r="AB407" s="17" t="s">
        <v>167</v>
      </c>
      <c r="AC407" s="17" t="s">
        <v>168</v>
      </c>
      <c r="AN407" s="17" t="s">
        <v>164</v>
      </c>
      <c r="AO407" s="17" t="s">
        <v>165</v>
      </c>
      <c r="AP407" s="17" t="s">
        <v>166</v>
      </c>
      <c r="AQ407" s="17" t="s">
        <v>167</v>
      </c>
      <c r="AR407" s="17" t="s">
        <v>168</v>
      </c>
      <c r="BB407" t="s">
        <v>834</v>
      </c>
    </row>
    <row r="408" spans="24:59" x14ac:dyDescent="0.3">
      <c r="X408" t="s">
        <v>542</v>
      </c>
      <c r="Y408" s="17" t="s">
        <v>155</v>
      </c>
      <c r="Z408" s="17" t="s">
        <v>155</v>
      </c>
      <c r="AA408" s="17" t="s">
        <v>155</v>
      </c>
      <c r="AB408" s="17" t="s">
        <v>77</v>
      </c>
      <c r="AC408" s="17" t="s">
        <v>155</v>
      </c>
      <c r="AM408" t="s">
        <v>555</v>
      </c>
      <c r="AN408" s="17" t="s">
        <v>395</v>
      </c>
      <c r="AO408" s="17" t="s">
        <v>155</v>
      </c>
      <c r="AP408" s="17" t="s">
        <v>155</v>
      </c>
      <c r="AQ408" s="17" t="s">
        <v>155</v>
      </c>
      <c r="AR408" s="17" t="s">
        <v>395</v>
      </c>
      <c r="BC408" s="17" t="s">
        <v>164</v>
      </c>
      <c r="BD408" s="17" t="s">
        <v>165</v>
      </c>
      <c r="BE408" s="17" t="s">
        <v>166</v>
      </c>
      <c r="BF408" s="17" t="s">
        <v>167</v>
      </c>
      <c r="BG408" s="17" t="s">
        <v>168</v>
      </c>
    </row>
    <row r="409" spans="24:59" x14ac:dyDescent="0.3">
      <c r="X409" t="s">
        <v>543</v>
      </c>
      <c r="Y409" s="17" t="s">
        <v>155</v>
      </c>
      <c r="Z409" s="17" t="s">
        <v>155</v>
      </c>
      <c r="AA409" s="17" t="s">
        <v>155</v>
      </c>
      <c r="AB409" s="17" t="s">
        <v>77</v>
      </c>
      <c r="AC409" s="17" t="s">
        <v>155</v>
      </c>
      <c r="AM409" t="s">
        <v>556</v>
      </c>
      <c r="AN409" s="17" t="s">
        <v>395</v>
      </c>
      <c r="AO409" s="17" t="s">
        <v>155</v>
      </c>
      <c r="AP409" s="17" t="s">
        <v>155</v>
      </c>
      <c r="AQ409" s="17" t="s">
        <v>155</v>
      </c>
      <c r="AR409" s="17" t="s">
        <v>395</v>
      </c>
      <c r="BB409" t="s">
        <v>555</v>
      </c>
      <c r="BC409" s="17" t="s">
        <v>395</v>
      </c>
      <c r="BD409" s="17" t="s">
        <v>155</v>
      </c>
      <c r="BE409" s="17" t="s">
        <v>155</v>
      </c>
      <c r="BF409" s="17" t="s">
        <v>155</v>
      </c>
      <c r="BG409" s="17" t="s">
        <v>395</v>
      </c>
    </row>
    <row r="410" spans="24:59" x14ac:dyDescent="0.3">
      <c r="AM410" t="s">
        <v>557</v>
      </c>
      <c r="AN410" s="17" t="s">
        <v>155</v>
      </c>
      <c r="AO410" s="17" t="s">
        <v>155</v>
      </c>
      <c r="AP410" s="17" t="s">
        <v>155</v>
      </c>
      <c r="AQ410" s="17" t="s">
        <v>155</v>
      </c>
      <c r="AR410" s="17" t="s">
        <v>395</v>
      </c>
      <c r="BB410" t="s">
        <v>556</v>
      </c>
      <c r="BC410" s="17" t="s">
        <v>395</v>
      </c>
      <c r="BD410" s="17" t="s">
        <v>155</v>
      </c>
      <c r="BE410" s="17" t="s">
        <v>155</v>
      </c>
      <c r="BF410" s="17" t="s">
        <v>155</v>
      </c>
      <c r="BG410" s="17" t="s">
        <v>395</v>
      </c>
    </row>
    <row r="411" spans="24:59" x14ac:dyDescent="0.3">
      <c r="X411" t="s">
        <v>835</v>
      </c>
      <c r="BB411" t="s">
        <v>557</v>
      </c>
      <c r="BC411" s="17" t="s">
        <v>155</v>
      </c>
      <c r="BD411" s="17" t="s">
        <v>155</v>
      </c>
      <c r="BE411" s="17" t="s">
        <v>155</v>
      </c>
      <c r="BF411" s="17" t="s">
        <v>155</v>
      </c>
      <c r="BG411" s="17" t="s">
        <v>395</v>
      </c>
    </row>
    <row r="412" spans="24:59" x14ac:dyDescent="0.3">
      <c r="Y412" s="17" t="s">
        <v>164</v>
      </c>
      <c r="Z412" s="17" t="s">
        <v>165</v>
      </c>
      <c r="AA412" s="17" t="s">
        <v>166</v>
      </c>
      <c r="AB412" s="17" t="s">
        <v>167</v>
      </c>
      <c r="AC412" s="17" t="s">
        <v>168</v>
      </c>
      <c r="AM412" t="s">
        <v>712</v>
      </c>
    </row>
    <row r="413" spans="24:59" x14ac:dyDescent="0.3">
      <c r="X413" t="s">
        <v>556</v>
      </c>
      <c r="Y413" s="17" t="s">
        <v>155</v>
      </c>
      <c r="Z413" s="17" t="s">
        <v>462</v>
      </c>
      <c r="AA413" s="17" t="s">
        <v>155</v>
      </c>
      <c r="AB413" s="17" t="s">
        <v>155</v>
      </c>
      <c r="AC413" s="17" t="s">
        <v>155</v>
      </c>
      <c r="AN413" s="17" t="s">
        <v>164</v>
      </c>
      <c r="AO413" s="17" t="s">
        <v>165</v>
      </c>
      <c r="AP413" s="17" t="s">
        <v>166</v>
      </c>
      <c r="AQ413" s="17" t="s">
        <v>167</v>
      </c>
      <c r="AR413" s="17" t="s">
        <v>168</v>
      </c>
      <c r="BB413" t="s">
        <v>712</v>
      </c>
    </row>
    <row r="414" spans="24:59" x14ac:dyDescent="0.3">
      <c r="X414" t="s">
        <v>557</v>
      </c>
      <c r="Y414" s="17" t="s">
        <v>155</v>
      </c>
      <c r="Z414" s="17" t="s">
        <v>462</v>
      </c>
      <c r="AA414" s="17" t="s">
        <v>155</v>
      </c>
      <c r="AB414" s="17" t="s">
        <v>462</v>
      </c>
      <c r="AC414" s="17" t="s">
        <v>155</v>
      </c>
      <c r="AM414" t="s">
        <v>542</v>
      </c>
      <c r="AN414" s="17" t="s">
        <v>155</v>
      </c>
      <c r="AO414" s="17" t="s">
        <v>155</v>
      </c>
      <c r="AP414" s="17" t="s">
        <v>155</v>
      </c>
      <c r="AQ414" s="17" t="s">
        <v>77</v>
      </c>
      <c r="AR414" s="17" t="s">
        <v>155</v>
      </c>
      <c r="BC414" s="17" t="s">
        <v>164</v>
      </c>
      <c r="BD414" s="17" t="s">
        <v>165</v>
      </c>
      <c r="BE414" s="17" t="s">
        <v>166</v>
      </c>
      <c r="BF414" s="17" t="s">
        <v>167</v>
      </c>
      <c r="BG414" s="17" t="s">
        <v>168</v>
      </c>
    </row>
    <row r="415" spans="24:59" x14ac:dyDescent="0.3">
      <c r="X415" t="s">
        <v>542</v>
      </c>
      <c r="Y415" s="17" t="s">
        <v>155</v>
      </c>
      <c r="Z415" s="17" t="s">
        <v>462</v>
      </c>
      <c r="AA415" s="17" t="s">
        <v>155</v>
      </c>
      <c r="AB415" s="17" t="s">
        <v>462</v>
      </c>
      <c r="AC415" s="17" t="s">
        <v>155</v>
      </c>
      <c r="AM415" t="s">
        <v>543</v>
      </c>
      <c r="AN415" s="17" t="s">
        <v>155</v>
      </c>
      <c r="AO415" s="17" t="s">
        <v>155</v>
      </c>
      <c r="AP415" s="17" t="s">
        <v>155</v>
      </c>
      <c r="AQ415" s="17" t="s">
        <v>77</v>
      </c>
      <c r="AR415" s="17" t="s">
        <v>155</v>
      </c>
      <c r="BB415" t="s">
        <v>542</v>
      </c>
      <c r="BC415" s="17" t="s">
        <v>155</v>
      </c>
      <c r="BD415" s="17" t="s">
        <v>155</v>
      </c>
      <c r="BE415" s="17" t="s">
        <v>155</v>
      </c>
      <c r="BF415" s="17" t="s">
        <v>77</v>
      </c>
      <c r="BG415" s="17" t="s">
        <v>155</v>
      </c>
    </row>
    <row r="416" spans="24:59" x14ac:dyDescent="0.3">
      <c r="BB416" t="s">
        <v>543</v>
      </c>
      <c r="BC416" s="17" t="s">
        <v>155</v>
      </c>
      <c r="BD416" s="17" t="s">
        <v>155</v>
      </c>
      <c r="BE416" s="17" t="s">
        <v>155</v>
      </c>
      <c r="BF416" s="17" t="s">
        <v>77</v>
      </c>
      <c r="BG416" s="17" t="s">
        <v>155</v>
      </c>
    </row>
    <row r="417" spans="24:59" x14ac:dyDescent="0.3">
      <c r="X417" t="s">
        <v>836</v>
      </c>
      <c r="AM417" t="s">
        <v>835</v>
      </c>
    </row>
    <row r="418" spans="24:59" x14ac:dyDescent="0.3">
      <c r="Y418" s="17" t="s">
        <v>164</v>
      </c>
      <c r="Z418" s="17" t="s">
        <v>165</v>
      </c>
      <c r="AA418" s="17" t="s">
        <v>166</v>
      </c>
      <c r="AB418" s="17" t="s">
        <v>167</v>
      </c>
      <c r="AC418" s="17" t="s">
        <v>168</v>
      </c>
      <c r="AN418" s="17" t="s">
        <v>164</v>
      </c>
      <c r="AO418" s="17" t="s">
        <v>165</v>
      </c>
      <c r="AP418" s="17" t="s">
        <v>166</v>
      </c>
      <c r="AQ418" s="17" t="s">
        <v>167</v>
      </c>
      <c r="AR418" s="17" t="s">
        <v>168</v>
      </c>
      <c r="BB418" t="s">
        <v>835</v>
      </c>
    </row>
    <row r="419" spans="24:59" x14ac:dyDescent="0.3">
      <c r="X419" t="s">
        <v>555</v>
      </c>
      <c r="Y419" s="17" t="s">
        <v>459</v>
      </c>
      <c r="Z419" s="17" t="s">
        <v>155</v>
      </c>
      <c r="AA419" s="17" t="s">
        <v>155</v>
      </c>
      <c r="AB419" s="17" t="s">
        <v>155</v>
      </c>
      <c r="AC419" s="17" t="s">
        <v>155</v>
      </c>
      <c r="AM419" t="s">
        <v>556</v>
      </c>
      <c r="AN419" s="17" t="s">
        <v>155</v>
      </c>
      <c r="AO419" s="17" t="s">
        <v>462</v>
      </c>
      <c r="AP419" s="17" t="s">
        <v>155</v>
      </c>
      <c r="AQ419" s="17" t="s">
        <v>462</v>
      </c>
      <c r="AR419" s="17" t="s">
        <v>155</v>
      </c>
      <c r="BC419" s="17" t="s">
        <v>164</v>
      </c>
      <c r="BD419" s="17" t="s">
        <v>165</v>
      </c>
      <c r="BE419" s="17" t="s">
        <v>166</v>
      </c>
      <c r="BF419" s="17" t="s">
        <v>167</v>
      </c>
      <c r="BG419" s="17" t="s">
        <v>168</v>
      </c>
    </row>
    <row r="420" spans="24:59" x14ac:dyDescent="0.3">
      <c r="X420" t="s">
        <v>556</v>
      </c>
      <c r="Y420" s="17" t="s">
        <v>459</v>
      </c>
      <c r="Z420" s="17" t="s">
        <v>155</v>
      </c>
      <c r="AA420" s="17" t="s">
        <v>155</v>
      </c>
      <c r="AB420" s="17" t="s">
        <v>155</v>
      </c>
      <c r="AC420" s="17" t="s">
        <v>155</v>
      </c>
      <c r="AM420" t="s">
        <v>557</v>
      </c>
      <c r="AN420" s="17" t="s">
        <v>155</v>
      </c>
      <c r="AO420" s="17" t="s">
        <v>462</v>
      </c>
      <c r="AP420" s="17" t="s">
        <v>155</v>
      </c>
      <c r="AQ420" s="17" t="s">
        <v>462</v>
      </c>
      <c r="AR420" s="17" t="s">
        <v>155</v>
      </c>
      <c r="BB420" t="s">
        <v>556</v>
      </c>
      <c r="BC420" s="17" t="s">
        <v>155</v>
      </c>
      <c r="BD420" s="17" t="s">
        <v>462</v>
      </c>
      <c r="BE420" s="17" t="s">
        <v>155</v>
      </c>
      <c r="BF420" s="17" t="s">
        <v>462</v>
      </c>
      <c r="BG420" s="17" t="s">
        <v>155</v>
      </c>
    </row>
    <row r="421" spans="24:59" x14ac:dyDescent="0.3">
      <c r="X421" t="s">
        <v>557</v>
      </c>
      <c r="Y421" s="17" t="s">
        <v>459</v>
      </c>
      <c r="Z421" s="17" t="s">
        <v>155</v>
      </c>
      <c r="AA421" s="17" t="s">
        <v>155</v>
      </c>
      <c r="AB421" s="17" t="s">
        <v>155</v>
      </c>
      <c r="AC421" s="17" t="s">
        <v>155</v>
      </c>
      <c r="AM421" t="s">
        <v>542</v>
      </c>
      <c r="AN421" s="17" t="s">
        <v>155</v>
      </c>
      <c r="AO421" s="17" t="s">
        <v>462</v>
      </c>
      <c r="AP421" s="17" t="s">
        <v>155</v>
      </c>
      <c r="AQ421" s="17" t="s">
        <v>155</v>
      </c>
      <c r="AR421" s="17" t="s">
        <v>155</v>
      </c>
      <c r="BB421" t="s">
        <v>557</v>
      </c>
      <c r="BC421" s="17" t="s">
        <v>155</v>
      </c>
      <c r="BD421" s="17" t="s">
        <v>462</v>
      </c>
      <c r="BE421" s="17" t="s">
        <v>155</v>
      </c>
      <c r="BF421" s="17" t="s">
        <v>462</v>
      </c>
      <c r="BG421" s="17" t="s">
        <v>155</v>
      </c>
    </row>
    <row r="422" spans="24:59" x14ac:dyDescent="0.3">
      <c r="BB422" t="s">
        <v>542</v>
      </c>
      <c r="BC422" s="17" t="s">
        <v>155</v>
      </c>
      <c r="BD422" s="17" t="s">
        <v>155</v>
      </c>
      <c r="BE422" s="17" t="s">
        <v>155</v>
      </c>
      <c r="BF422" s="17" t="s">
        <v>462</v>
      </c>
      <c r="BG422" s="17" t="s">
        <v>155</v>
      </c>
    </row>
    <row r="423" spans="24:59" x14ac:dyDescent="0.3">
      <c r="X423" t="s">
        <v>752</v>
      </c>
      <c r="AM423" t="s">
        <v>836</v>
      </c>
    </row>
    <row r="424" spans="24:59" x14ac:dyDescent="0.3">
      <c r="Y424" s="17" t="s">
        <v>164</v>
      </c>
      <c r="Z424" s="17" t="s">
        <v>165</v>
      </c>
      <c r="AA424" s="17" t="s">
        <v>166</v>
      </c>
      <c r="AB424" s="17" t="s">
        <v>167</v>
      </c>
      <c r="AC424" s="17" t="s">
        <v>168</v>
      </c>
      <c r="AN424" s="17" t="s">
        <v>164</v>
      </c>
      <c r="AO424" s="17" t="s">
        <v>165</v>
      </c>
      <c r="AP424" s="17" t="s">
        <v>166</v>
      </c>
      <c r="AQ424" s="17" t="s">
        <v>167</v>
      </c>
      <c r="AR424" s="17" t="s">
        <v>168</v>
      </c>
      <c r="BB424" t="s">
        <v>836</v>
      </c>
    </row>
    <row r="425" spans="24:59" x14ac:dyDescent="0.3">
      <c r="X425" t="s">
        <v>548</v>
      </c>
      <c r="Y425" s="17" t="s">
        <v>155</v>
      </c>
      <c r="Z425" s="17" t="s">
        <v>272</v>
      </c>
      <c r="AA425" s="17" t="s">
        <v>155</v>
      </c>
      <c r="AB425" s="17" t="s">
        <v>272</v>
      </c>
      <c r="AC425" s="17" t="s">
        <v>155</v>
      </c>
      <c r="AM425" t="s">
        <v>555</v>
      </c>
      <c r="AN425" s="17" t="s">
        <v>459</v>
      </c>
      <c r="AO425" s="17" t="s">
        <v>155</v>
      </c>
      <c r="AP425" s="17" t="s">
        <v>155</v>
      </c>
      <c r="AQ425" s="17" t="s">
        <v>155</v>
      </c>
      <c r="AR425" s="17" t="s">
        <v>155</v>
      </c>
      <c r="BC425" s="17" t="s">
        <v>164</v>
      </c>
      <c r="BD425" s="17" t="s">
        <v>165</v>
      </c>
      <c r="BE425" s="17" t="s">
        <v>166</v>
      </c>
      <c r="BF425" s="17" t="s">
        <v>167</v>
      </c>
      <c r="BG425" s="17" t="s">
        <v>168</v>
      </c>
    </row>
    <row r="426" spans="24:59" x14ac:dyDescent="0.3">
      <c r="X426" t="s">
        <v>549</v>
      </c>
      <c r="Y426" s="17" t="s">
        <v>155</v>
      </c>
      <c r="Z426" s="17" t="s">
        <v>272</v>
      </c>
      <c r="AA426" s="17" t="s">
        <v>155</v>
      </c>
      <c r="AB426" s="17" t="s">
        <v>272</v>
      </c>
      <c r="AC426" s="17" t="s">
        <v>155</v>
      </c>
      <c r="AM426" t="s">
        <v>556</v>
      </c>
      <c r="AN426" s="17" t="s">
        <v>459</v>
      </c>
      <c r="AO426" s="17" t="s">
        <v>155</v>
      </c>
      <c r="AP426" s="17" t="s">
        <v>155</v>
      </c>
      <c r="AQ426" s="17" t="s">
        <v>155</v>
      </c>
      <c r="AR426" s="17" t="s">
        <v>155</v>
      </c>
      <c r="BB426" t="s">
        <v>555</v>
      </c>
      <c r="BC426" s="17" t="s">
        <v>459</v>
      </c>
      <c r="BD426" s="17" t="s">
        <v>155</v>
      </c>
      <c r="BE426" s="17" t="s">
        <v>155</v>
      </c>
      <c r="BF426" s="17" t="s">
        <v>155</v>
      </c>
      <c r="BG426" s="17" t="s">
        <v>155</v>
      </c>
    </row>
    <row r="427" spans="24:59" x14ac:dyDescent="0.3">
      <c r="X427" t="s">
        <v>550</v>
      </c>
      <c r="Y427" s="17" t="s">
        <v>155</v>
      </c>
      <c r="Z427" s="17" t="s">
        <v>155</v>
      </c>
      <c r="AA427" s="17" t="s">
        <v>155</v>
      </c>
      <c r="AB427" s="17" t="s">
        <v>272</v>
      </c>
      <c r="AC427" s="17" t="s">
        <v>155</v>
      </c>
      <c r="AM427" t="s">
        <v>557</v>
      </c>
      <c r="AN427" s="17" t="s">
        <v>459</v>
      </c>
      <c r="AO427" s="17" t="s">
        <v>155</v>
      </c>
      <c r="AP427" s="17" t="s">
        <v>155</v>
      </c>
      <c r="AQ427" s="17" t="s">
        <v>155</v>
      </c>
      <c r="AR427" s="17" t="s">
        <v>155</v>
      </c>
      <c r="BB427" t="s">
        <v>556</v>
      </c>
      <c r="BC427" s="17" t="s">
        <v>459</v>
      </c>
      <c r="BD427" s="17" t="s">
        <v>155</v>
      </c>
      <c r="BE427" s="17" t="s">
        <v>155</v>
      </c>
      <c r="BF427" s="17" t="s">
        <v>155</v>
      </c>
      <c r="BG427" s="17" t="s">
        <v>155</v>
      </c>
    </row>
    <row r="428" spans="24:59" x14ac:dyDescent="0.3">
      <c r="BB428" t="s">
        <v>557</v>
      </c>
      <c r="BC428" s="17" t="s">
        <v>459</v>
      </c>
      <c r="BD428" s="17" t="s">
        <v>155</v>
      </c>
      <c r="BE428" s="17" t="s">
        <v>155</v>
      </c>
      <c r="BF428" s="17" t="s">
        <v>155</v>
      </c>
      <c r="BG428" s="17" t="s">
        <v>155</v>
      </c>
    </row>
    <row r="429" spans="24:59" x14ac:dyDescent="0.3">
      <c r="X429" t="s">
        <v>701</v>
      </c>
      <c r="AM429" t="s">
        <v>752</v>
      </c>
    </row>
    <row r="430" spans="24:59" x14ac:dyDescent="0.3">
      <c r="Y430" s="17" t="s">
        <v>164</v>
      </c>
      <c r="Z430" s="17" t="s">
        <v>165</v>
      </c>
      <c r="AA430" s="17" t="s">
        <v>166</v>
      </c>
      <c r="AB430" s="17" t="s">
        <v>167</v>
      </c>
      <c r="AC430" s="17" t="s">
        <v>168</v>
      </c>
      <c r="AN430" s="17" t="s">
        <v>164</v>
      </c>
      <c r="AO430" s="17" t="s">
        <v>165</v>
      </c>
      <c r="AP430" s="17" t="s">
        <v>166</v>
      </c>
      <c r="AQ430" s="17" t="s">
        <v>167</v>
      </c>
      <c r="AR430" s="17" t="s">
        <v>168</v>
      </c>
      <c r="BB430" t="s">
        <v>752</v>
      </c>
    </row>
    <row r="431" spans="24:59" x14ac:dyDescent="0.3">
      <c r="X431" t="s">
        <v>548</v>
      </c>
      <c r="Y431" s="17" t="s">
        <v>155</v>
      </c>
      <c r="Z431" s="17" t="s">
        <v>382</v>
      </c>
      <c r="AA431" s="17" t="s">
        <v>155</v>
      </c>
      <c r="AB431" s="17" t="s">
        <v>382</v>
      </c>
      <c r="AC431" s="17" t="s">
        <v>155</v>
      </c>
      <c r="AM431" t="s">
        <v>548</v>
      </c>
      <c r="AN431" s="17" t="s">
        <v>155</v>
      </c>
      <c r="AO431" s="17" t="s">
        <v>272</v>
      </c>
      <c r="AP431" s="17" t="s">
        <v>155</v>
      </c>
      <c r="AQ431" s="17" t="s">
        <v>272</v>
      </c>
      <c r="AR431" s="17" t="s">
        <v>155</v>
      </c>
      <c r="BC431" s="17" t="s">
        <v>164</v>
      </c>
      <c r="BD431" s="17" t="s">
        <v>165</v>
      </c>
      <c r="BE431" s="17" t="s">
        <v>166</v>
      </c>
      <c r="BF431" s="17" t="s">
        <v>167</v>
      </c>
      <c r="BG431" s="17" t="s">
        <v>168</v>
      </c>
    </row>
    <row r="432" spans="24:59" x14ac:dyDescent="0.3">
      <c r="X432" t="s">
        <v>549</v>
      </c>
      <c r="Y432" s="17" t="s">
        <v>155</v>
      </c>
      <c r="Z432" s="17" t="s">
        <v>382</v>
      </c>
      <c r="AA432" s="17" t="s">
        <v>155</v>
      </c>
      <c r="AB432" s="17" t="s">
        <v>382</v>
      </c>
      <c r="AC432" s="17" t="s">
        <v>155</v>
      </c>
      <c r="AM432" t="s">
        <v>549</v>
      </c>
      <c r="AN432" s="17" t="s">
        <v>155</v>
      </c>
      <c r="AO432" s="17" t="s">
        <v>272</v>
      </c>
      <c r="AP432" s="17" t="s">
        <v>155</v>
      </c>
      <c r="AQ432" s="17" t="s">
        <v>272</v>
      </c>
      <c r="AR432" s="17" t="s">
        <v>155</v>
      </c>
      <c r="BB432" t="s">
        <v>548</v>
      </c>
      <c r="BC432" s="17" t="s">
        <v>155</v>
      </c>
      <c r="BD432" s="17" t="s">
        <v>272</v>
      </c>
      <c r="BE432" s="17" t="s">
        <v>155</v>
      </c>
      <c r="BF432" s="17" t="s">
        <v>272</v>
      </c>
      <c r="BG432" s="17" t="s">
        <v>155</v>
      </c>
    </row>
    <row r="433" spans="24:59" x14ac:dyDescent="0.3">
      <c r="X433" t="s">
        <v>550</v>
      </c>
      <c r="Y433" s="17" t="s">
        <v>155</v>
      </c>
      <c r="Z433" s="17" t="s">
        <v>155</v>
      </c>
      <c r="AA433" s="17" t="s">
        <v>155</v>
      </c>
      <c r="AB433" s="17" t="s">
        <v>382</v>
      </c>
      <c r="AC433" s="17" t="s">
        <v>155</v>
      </c>
      <c r="AM433" t="s">
        <v>550</v>
      </c>
      <c r="AN433" s="17" t="s">
        <v>155</v>
      </c>
      <c r="AO433" s="17" t="s">
        <v>155</v>
      </c>
      <c r="AP433" s="17" t="s">
        <v>155</v>
      </c>
      <c r="AQ433" s="17" t="s">
        <v>272</v>
      </c>
      <c r="AR433" s="17" t="s">
        <v>155</v>
      </c>
      <c r="BB433" t="s">
        <v>549</v>
      </c>
      <c r="BC433" s="17" t="s">
        <v>155</v>
      </c>
      <c r="BD433" s="17" t="s">
        <v>272</v>
      </c>
      <c r="BE433" s="17" t="s">
        <v>155</v>
      </c>
      <c r="BF433" s="17" t="s">
        <v>272</v>
      </c>
      <c r="BG433" s="17" t="s">
        <v>155</v>
      </c>
    </row>
    <row r="434" spans="24:59" x14ac:dyDescent="0.3">
      <c r="X434" t="s">
        <v>544</v>
      </c>
      <c r="Y434" s="17" t="s">
        <v>155</v>
      </c>
      <c r="Z434" s="17" t="s">
        <v>79</v>
      </c>
      <c r="AA434" s="17" t="s">
        <v>155</v>
      </c>
      <c r="AB434" s="17" t="s">
        <v>155</v>
      </c>
      <c r="AC434" s="17" t="s">
        <v>79</v>
      </c>
      <c r="BB434" t="s">
        <v>550</v>
      </c>
      <c r="BC434" s="17" t="s">
        <v>155</v>
      </c>
      <c r="BD434" s="17" t="s">
        <v>155</v>
      </c>
      <c r="BE434" s="17" t="s">
        <v>155</v>
      </c>
      <c r="BF434" s="17" t="s">
        <v>272</v>
      </c>
      <c r="BG434" s="17" t="s">
        <v>155</v>
      </c>
    </row>
    <row r="435" spans="24:59" x14ac:dyDescent="0.3">
      <c r="X435" t="s">
        <v>545</v>
      </c>
      <c r="Y435" s="17" t="s">
        <v>155</v>
      </c>
      <c r="Z435" s="17" t="s">
        <v>79</v>
      </c>
      <c r="AA435" s="17" t="s">
        <v>155</v>
      </c>
      <c r="AB435" s="17" t="s">
        <v>155</v>
      </c>
      <c r="AC435" s="17" t="s">
        <v>79</v>
      </c>
      <c r="AM435" t="s">
        <v>701</v>
      </c>
    </row>
    <row r="436" spans="24:59" x14ac:dyDescent="0.3">
      <c r="X436" t="s">
        <v>546</v>
      </c>
      <c r="Y436" s="17" t="s">
        <v>155</v>
      </c>
      <c r="Z436" s="17" t="s">
        <v>79</v>
      </c>
      <c r="AA436" s="17" t="s">
        <v>155</v>
      </c>
      <c r="AB436" s="17" t="s">
        <v>155</v>
      </c>
      <c r="AC436" s="17" t="s">
        <v>155</v>
      </c>
      <c r="AN436" s="17" t="s">
        <v>164</v>
      </c>
      <c r="AO436" s="17" t="s">
        <v>165</v>
      </c>
      <c r="AP436" s="17" t="s">
        <v>166</v>
      </c>
      <c r="AQ436" s="17" t="s">
        <v>167</v>
      </c>
      <c r="AR436" s="17" t="s">
        <v>168</v>
      </c>
      <c r="BB436" t="s">
        <v>701</v>
      </c>
    </row>
    <row r="437" spans="24:59" x14ac:dyDescent="0.3">
      <c r="AM437" t="s">
        <v>548</v>
      </c>
      <c r="AN437" s="17" t="s">
        <v>155</v>
      </c>
      <c r="AO437" s="17" t="s">
        <v>382</v>
      </c>
      <c r="AP437" s="17" t="s">
        <v>155</v>
      </c>
      <c r="AQ437" s="17" t="s">
        <v>382</v>
      </c>
      <c r="AR437" s="17" t="s">
        <v>155</v>
      </c>
      <c r="BC437" s="17" t="s">
        <v>164</v>
      </c>
      <c r="BD437" s="17" t="s">
        <v>165</v>
      </c>
      <c r="BE437" s="17" t="s">
        <v>166</v>
      </c>
      <c r="BF437" s="17" t="s">
        <v>167</v>
      </c>
      <c r="BG437" s="17" t="s">
        <v>168</v>
      </c>
    </row>
    <row r="438" spans="24:59" x14ac:dyDescent="0.3">
      <c r="X438" t="s">
        <v>837</v>
      </c>
      <c r="AM438" t="s">
        <v>549</v>
      </c>
      <c r="AN438" s="17" t="s">
        <v>155</v>
      </c>
      <c r="AO438" s="17" t="s">
        <v>382</v>
      </c>
      <c r="AP438" s="17" t="s">
        <v>155</v>
      </c>
      <c r="AQ438" s="17" t="s">
        <v>382</v>
      </c>
      <c r="AR438" s="17" t="s">
        <v>155</v>
      </c>
      <c r="BB438" t="s">
        <v>548</v>
      </c>
      <c r="BC438" s="17" t="s">
        <v>155</v>
      </c>
      <c r="BD438" s="17" t="s">
        <v>382</v>
      </c>
      <c r="BE438" s="17" t="s">
        <v>155</v>
      </c>
      <c r="BF438" s="17" t="s">
        <v>382</v>
      </c>
      <c r="BG438" s="17" t="s">
        <v>155</v>
      </c>
    </row>
    <row r="439" spans="24:59" x14ac:dyDescent="0.3">
      <c r="Y439" s="17" t="s">
        <v>164</v>
      </c>
      <c r="Z439" s="17" t="s">
        <v>165</v>
      </c>
      <c r="AA439" s="17" t="s">
        <v>166</v>
      </c>
      <c r="AB439" s="17" t="s">
        <v>167</v>
      </c>
      <c r="AC439" s="17" t="s">
        <v>168</v>
      </c>
      <c r="AM439" t="s">
        <v>550</v>
      </c>
      <c r="AN439" s="17" t="s">
        <v>155</v>
      </c>
      <c r="AO439" s="17" t="s">
        <v>155</v>
      </c>
      <c r="AP439" s="17" t="s">
        <v>155</v>
      </c>
      <c r="AQ439" s="17" t="s">
        <v>382</v>
      </c>
      <c r="AR439" s="17" t="s">
        <v>155</v>
      </c>
      <c r="BB439" t="s">
        <v>549</v>
      </c>
      <c r="BC439" s="17" t="s">
        <v>155</v>
      </c>
      <c r="BD439" s="17" t="s">
        <v>382</v>
      </c>
      <c r="BE439" s="17" t="s">
        <v>155</v>
      </c>
      <c r="BF439" s="17" t="s">
        <v>382</v>
      </c>
      <c r="BG439" s="17" t="s">
        <v>155</v>
      </c>
    </row>
    <row r="440" spans="24:59" x14ac:dyDescent="0.3">
      <c r="X440" t="s">
        <v>557</v>
      </c>
      <c r="Y440" s="17" t="s">
        <v>155</v>
      </c>
      <c r="Z440" s="17" t="s">
        <v>155</v>
      </c>
      <c r="AA440" s="17" t="s">
        <v>155</v>
      </c>
      <c r="AB440" s="17" t="s">
        <v>155</v>
      </c>
      <c r="AC440" s="17" t="s">
        <v>392</v>
      </c>
      <c r="AM440" t="s">
        <v>544</v>
      </c>
      <c r="AN440" s="17" t="s">
        <v>155</v>
      </c>
      <c r="AO440" s="17" t="s">
        <v>155</v>
      </c>
      <c r="AP440" s="17" t="s">
        <v>155</v>
      </c>
      <c r="AQ440" s="17" t="s">
        <v>79</v>
      </c>
      <c r="AR440" s="17" t="s">
        <v>155</v>
      </c>
      <c r="BB440" t="s">
        <v>550</v>
      </c>
      <c r="BC440" s="17" t="s">
        <v>155</v>
      </c>
      <c r="BD440" s="17" t="s">
        <v>155</v>
      </c>
      <c r="BE440" s="17" t="s">
        <v>155</v>
      </c>
      <c r="BF440" s="17" t="s">
        <v>382</v>
      </c>
      <c r="BG440" s="17" t="s">
        <v>155</v>
      </c>
    </row>
    <row r="441" spans="24:59" x14ac:dyDescent="0.3">
      <c r="X441" t="s">
        <v>542</v>
      </c>
      <c r="Y441" s="17" t="s">
        <v>155</v>
      </c>
      <c r="Z441" s="17" t="s">
        <v>155</v>
      </c>
      <c r="AA441" s="17" t="s">
        <v>155</v>
      </c>
      <c r="AB441" s="17" t="s">
        <v>155</v>
      </c>
      <c r="AC441" s="17" t="s">
        <v>392</v>
      </c>
      <c r="AM441" t="s">
        <v>545</v>
      </c>
      <c r="AN441" s="17" t="s">
        <v>155</v>
      </c>
      <c r="AO441" s="17" t="s">
        <v>79</v>
      </c>
      <c r="AP441" s="17" t="s">
        <v>155</v>
      </c>
      <c r="AQ441" s="17" t="s">
        <v>79</v>
      </c>
      <c r="AR441" s="17" t="s">
        <v>155</v>
      </c>
      <c r="BB441" t="s">
        <v>544</v>
      </c>
      <c r="BC441" s="17" t="s">
        <v>155</v>
      </c>
      <c r="BD441" s="17" t="s">
        <v>155</v>
      </c>
      <c r="BE441" s="17" t="s">
        <v>155</v>
      </c>
      <c r="BF441" s="17" t="s">
        <v>79</v>
      </c>
      <c r="BG441" s="17" t="s">
        <v>155</v>
      </c>
    </row>
    <row r="442" spans="24:59" x14ac:dyDescent="0.3">
      <c r="X442" t="s">
        <v>543</v>
      </c>
      <c r="Y442" s="17" t="s">
        <v>155</v>
      </c>
      <c r="Z442" s="17" t="s">
        <v>155</v>
      </c>
      <c r="AA442" s="17" t="s">
        <v>155</v>
      </c>
      <c r="AB442" s="17" t="s">
        <v>155</v>
      </c>
      <c r="AC442" s="17" t="s">
        <v>392</v>
      </c>
      <c r="AM442" t="s">
        <v>546</v>
      </c>
      <c r="AN442" s="17" t="s">
        <v>155</v>
      </c>
      <c r="AO442" s="17" t="s">
        <v>79</v>
      </c>
      <c r="AP442" s="17" t="s">
        <v>155</v>
      </c>
      <c r="AQ442" s="17" t="s">
        <v>79</v>
      </c>
      <c r="AR442" s="17" t="s">
        <v>155</v>
      </c>
      <c r="BB442" t="s">
        <v>545</v>
      </c>
      <c r="BC442" s="17" t="s">
        <v>155</v>
      </c>
      <c r="BD442" s="17" t="s">
        <v>79</v>
      </c>
      <c r="BE442" s="17" t="s">
        <v>155</v>
      </c>
      <c r="BF442" s="17" t="s">
        <v>79</v>
      </c>
      <c r="BG442" s="17" t="s">
        <v>155</v>
      </c>
    </row>
    <row r="443" spans="24:59" x14ac:dyDescent="0.3">
      <c r="BB443" t="s">
        <v>546</v>
      </c>
      <c r="BC443" s="17" t="s">
        <v>155</v>
      </c>
      <c r="BD443" s="17" t="s">
        <v>79</v>
      </c>
      <c r="BE443" s="17" t="s">
        <v>155</v>
      </c>
      <c r="BF443" s="17" t="s">
        <v>79</v>
      </c>
      <c r="BG443" s="17" t="s">
        <v>155</v>
      </c>
    </row>
    <row r="444" spans="24:59" x14ac:dyDescent="0.3">
      <c r="X444" t="s">
        <v>735</v>
      </c>
      <c r="AM444" t="s">
        <v>837</v>
      </c>
    </row>
    <row r="445" spans="24:59" x14ac:dyDescent="0.3">
      <c r="Y445" s="17" t="s">
        <v>164</v>
      </c>
      <c r="Z445" s="17" t="s">
        <v>165</v>
      </c>
      <c r="AA445" s="17" t="s">
        <v>166</v>
      </c>
      <c r="AB445" s="17" t="s">
        <v>167</v>
      </c>
      <c r="AC445" s="17" t="s">
        <v>168</v>
      </c>
      <c r="AN445" s="17" t="s">
        <v>164</v>
      </c>
      <c r="AO445" s="17" t="s">
        <v>165</v>
      </c>
      <c r="AP445" s="17" t="s">
        <v>166</v>
      </c>
      <c r="AQ445" s="17" t="s">
        <v>167</v>
      </c>
      <c r="AR445" s="17" t="s">
        <v>168</v>
      </c>
      <c r="BB445" t="s">
        <v>837</v>
      </c>
    </row>
    <row r="446" spans="24:59" x14ac:dyDescent="0.3">
      <c r="X446" t="s">
        <v>548</v>
      </c>
      <c r="Y446" s="17" t="s">
        <v>155</v>
      </c>
      <c r="Z446" s="17" t="s">
        <v>155</v>
      </c>
      <c r="AA446" s="17" t="s">
        <v>345</v>
      </c>
      <c r="AB446" s="17" t="s">
        <v>155</v>
      </c>
      <c r="AC446" s="17" t="s">
        <v>345</v>
      </c>
      <c r="AM446" t="s">
        <v>557</v>
      </c>
      <c r="AN446" s="17" t="s">
        <v>155</v>
      </c>
      <c r="AO446" s="17" t="s">
        <v>155</v>
      </c>
      <c r="AP446" s="17" t="s">
        <v>155</v>
      </c>
      <c r="AQ446" s="17" t="s">
        <v>155</v>
      </c>
      <c r="AR446" s="17" t="s">
        <v>392</v>
      </c>
      <c r="BC446" s="17" t="s">
        <v>164</v>
      </c>
      <c r="BD446" s="17" t="s">
        <v>165</v>
      </c>
      <c r="BE446" s="17" t="s">
        <v>166</v>
      </c>
      <c r="BF446" s="17" t="s">
        <v>167</v>
      </c>
      <c r="BG446" s="17" t="s">
        <v>168</v>
      </c>
    </row>
    <row r="447" spans="24:59" x14ac:dyDescent="0.3">
      <c r="X447" t="s">
        <v>549</v>
      </c>
      <c r="Y447" s="17" t="s">
        <v>155</v>
      </c>
      <c r="Z447" s="17" t="s">
        <v>155</v>
      </c>
      <c r="AA447" s="17" t="s">
        <v>345</v>
      </c>
      <c r="AB447" s="17" t="s">
        <v>155</v>
      </c>
      <c r="AC447" s="17" t="s">
        <v>345</v>
      </c>
      <c r="AM447" t="s">
        <v>542</v>
      </c>
      <c r="AN447" s="17" t="s">
        <v>155</v>
      </c>
      <c r="AO447" s="17" t="s">
        <v>155</v>
      </c>
      <c r="AP447" s="17" t="s">
        <v>155</v>
      </c>
      <c r="AQ447" s="17" t="s">
        <v>155</v>
      </c>
      <c r="AR447" s="17" t="s">
        <v>392</v>
      </c>
      <c r="BB447" t="s">
        <v>557</v>
      </c>
      <c r="BC447" s="17" t="s">
        <v>155</v>
      </c>
      <c r="BD447" s="17" t="s">
        <v>155</v>
      </c>
      <c r="BE447" s="17" t="s">
        <v>155</v>
      </c>
      <c r="BF447" s="17" t="s">
        <v>155</v>
      </c>
      <c r="BG447" s="17" t="s">
        <v>392</v>
      </c>
    </row>
    <row r="448" spans="24:59" x14ac:dyDescent="0.3">
      <c r="X448" t="s">
        <v>550</v>
      </c>
      <c r="Y448" s="17" t="s">
        <v>155</v>
      </c>
      <c r="Z448" s="17" t="s">
        <v>155</v>
      </c>
      <c r="AA448" s="17" t="s">
        <v>155</v>
      </c>
      <c r="AB448" s="17" t="s">
        <v>155</v>
      </c>
      <c r="AC448" s="17" t="s">
        <v>345</v>
      </c>
      <c r="AM448" t="s">
        <v>543</v>
      </c>
      <c r="AN448" s="17" t="s">
        <v>155</v>
      </c>
      <c r="AO448" s="17" t="s">
        <v>155</v>
      </c>
      <c r="AP448" s="17" t="s">
        <v>155</v>
      </c>
      <c r="AQ448" s="17" t="s">
        <v>155</v>
      </c>
      <c r="AR448" s="17" t="s">
        <v>392</v>
      </c>
      <c r="BB448" t="s">
        <v>542</v>
      </c>
      <c r="BC448" s="17" t="s">
        <v>155</v>
      </c>
      <c r="BD448" s="17" t="s">
        <v>155</v>
      </c>
      <c r="BE448" s="17" t="s">
        <v>155</v>
      </c>
      <c r="BF448" s="17" t="s">
        <v>155</v>
      </c>
      <c r="BG448" s="17" t="s">
        <v>392</v>
      </c>
    </row>
    <row r="449" spans="24:59" x14ac:dyDescent="0.3">
      <c r="BB449" t="s">
        <v>543</v>
      </c>
      <c r="BC449" s="17" t="s">
        <v>155</v>
      </c>
      <c r="BD449" s="17" t="s">
        <v>155</v>
      </c>
      <c r="BE449" s="17" t="s">
        <v>155</v>
      </c>
      <c r="BF449" s="17" t="s">
        <v>155</v>
      </c>
      <c r="BG449" s="17" t="s">
        <v>392</v>
      </c>
    </row>
    <row r="450" spans="24:59" x14ac:dyDescent="0.3">
      <c r="X450" t="s">
        <v>746</v>
      </c>
      <c r="AM450" t="s">
        <v>735</v>
      </c>
    </row>
    <row r="451" spans="24:59" x14ac:dyDescent="0.3">
      <c r="Y451" s="17" t="s">
        <v>164</v>
      </c>
      <c r="Z451" s="17" t="s">
        <v>165</v>
      </c>
      <c r="AA451" s="17" t="s">
        <v>166</v>
      </c>
      <c r="AB451" s="17" t="s">
        <v>167</v>
      </c>
      <c r="AC451" s="17" t="s">
        <v>168</v>
      </c>
      <c r="AN451" s="17" t="s">
        <v>164</v>
      </c>
      <c r="AO451" s="17" t="s">
        <v>165</v>
      </c>
      <c r="AP451" s="17" t="s">
        <v>166</v>
      </c>
      <c r="AQ451" s="17" t="s">
        <v>167</v>
      </c>
      <c r="AR451" s="17" t="s">
        <v>168</v>
      </c>
      <c r="BB451" t="s">
        <v>735</v>
      </c>
    </row>
    <row r="452" spans="24:59" x14ac:dyDescent="0.3">
      <c r="X452" t="s">
        <v>550</v>
      </c>
      <c r="Y452" s="17" t="s">
        <v>155</v>
      </c>
      <c r="Z452" s="17" t="s">
        <v>155</v>
      </c>
      <c r="AA452" s="17" t="s">
        <v>155</v>
      </c>
      <c r="AB452" s="17" t="s">
        <v>155</v>
      </c>
      <c r="AC452" s="17" t="s">
        <v>371</v>
      </c>
      <c r="AM452" t="s">
        <v>548</v>
      </c>
      <c r="AN452" s="17" t="s">
        <v>155</v>
      </c>
      <c r="AO452" s="17" t="s">
        <v>155</v>
      </c>
      <c r="AP452" s="17" t="s">
        <v>345</v>
      </c>
      <c r="AQ452" s="17" t="s">
        <v>155</v>
      </c>
      <c r="AR452" s="17" t="s">
        <v>345</v>
      </c>
      <c r="BC452" s="17" t="s">
        <v>164</v>
      </c>
      <c r="BD452" s="17" t="s">
        <v>165</v>
      </c>
      <c r="BE452" s="17" t="s">
        <v>166</v>
      </c>
      <c r="BF452" s="17" t="s">
        <v>167</v>
      </c>
      <c r="BG452" s="17" t="s">
        <v>168</v>
      </c>
    </row>
    <row r="453" spans="24:59" x14ac:dyDescent="0.3">
      <c r="X453" t="s">
        <v>158</v>
      </c>
      <c r="Y453" s="17" t="s">
        <v>155</v>
      </c>
      <c r="Z453" s="17" t="s">
        <v>155</v>
      </c>
      <c r="AA453" s="17" t="s">
        <v>155</v>
      </c>
      <c r="AB453" s="17" t="s">
        <v>155</v>
      </c>
      <c r="AC453" s="17" t="s">
        <v>371</v>
      </c>
      <c r="AM453" t="s">
        <v>549</v>
      </c>
      <c r="AN453" s="17" t="s">
        <v>155</v>
      </c>
      <c r="AO453" s="17" t="s">
        <v>155</v>
      </c>
      <c r="AP453" s="17" t="s">
        <v>345</v>
      </c>
      <c r="AQ453" s="17" t="s">
        <v>155</v>
      </c>
      <c r="AR453" s="17" t="s">
        <v>345</v>
      </c>
      <c r="BB453" t="s">
        <v>548</v>
      </c>
      <c r="BC453" s="17" t="s">
        <v>155</v>
      </c>
      <c r="BD453" s="17" t="s">
        <v>155</v>
      </c>
      <c r="BE453" s="17" t="s">
        <v>345</v>
      </c>
      <c r="BF453" s="17" t="s">
        <v>155</v>
      </c>
      <c r="BG453" s="17" t="s">
        <v>345</v>
      </c>
    </row>
    <row r="454" spans="24:59" x14ac:dyDescent="0.3">
      <c r="X454" t="s">
        <v>159</v>
      </c>
      <c r="Y454" s="17" t="s">
        <v>155</v>
      </c>
      <c r="Z454" s="17" t="s">
        <v>155</v>
      </c>
      <c r="AA454" s="17" t="s">
        <v>371</v>
      </c>
      <c r="AB454" s="17" t="s">
        <v>155</v>
      </c>
      <c r="AC454" s="17" t="s">
        <v>371</v>
      </c>
      <c r="AM454" t="s">
        <v>550</v>
      </c>
      <c r="AN454" s="17" t="s">
        <v>155</v>
      </c>
      <c r="AO454" s="17" t="s">
        <v>155</v>
      </c>
      <c r="AP454" s="17" t="s">
        <v>155</v>
      </c>
      <c r="AQ454" s="17" t="s">
        <v>155</v>
      </c>
      <c r="AR454" s="17" t="s">
        <v>345</v>
      </c>
      <c r="BB454" t="s">
        <v>549</v>
      </c>
      <c r="BC454" s="17" t="s">
        <v>155</v>
      </c>
      <c r="BD454" s="17" t="s">
        <v>155</v>
      </c>
      <c r="BE454" s="17" t="s">
        <v>345</v>
      </c>
      <c r="BF454" s="17" t="s">
        <v>155</v>
      </c>
      <c r="BG454" s="17" t="s">
        <v>345</v>
      </c>
    </row>
    <row r="455" spans="24:59" x14ac:dyDescent="0.3">
      <c r="X455" t="s">
        <v>160</v>
      </c>
      <c r="Y455" s="17" t="s">
        <v>155</v>
      </c>
      <c r="Z455" s="17" t="s">
        <v>155</v>
      </c>
      <c r="AA455" s="17" t="s">
        <v>371</v>
      </c>
      <c r="AB455" s="17" t="s">
        <v>155</v>
      </c>
      <c r="AC455" s="17" t="s">
        <v>155</v>
      </c>
      <c r="BB455" t="s">
        <v>550</v>
      </c>
      <c r="BC455" s="17" t="s">
        <v>155</v>
      </c>
      <c r="BD455" s="17" t="s">
        <v>155</v>
      </c>
      <c r="BE455" s="17" t="s">
        <v>155</v>
      </c>
      <c r="BF455" s="17" t="s">
        <v>155</v>
      </c>
      <c r="BG455" s="17" t="s">
        <v>345</v>
      </c>
    </row>
    <row r="456" spans="24:59" x14ac:dyDescent="0.3">
      <c r="AM456" t="s">
        <v>746</v>
      </c>
    </row>
    <row r="457" spans="24:59" x14ac:dyDescent="0.3">
      <c r="X457" t="s">
        <v>838</v>
      </c>
      <c r="AN457" s="17" t="s">
        <v>164</v>
      </c>
      <c r="AO457" s="17" t="s">
        <v>165</v>
      </c>
      <c r="AP457" s="17" t="s">
        <v>166</v>
      </c>
      <c r="AQ457" s="17" t="s">
        <v>167</v>
      </c>
      <c r="AR457" s="17" t="s">
        <v>168</v>
      </c>
      <c r="BB457" t="s">
        <v>746</v>
      </c>
    </row>
    <row r="458" spans="24:59" x14ac:dyDescent="0.3">
      <c r="Y458" s="17" t="s">
        <v>164</v>
      </c>
      <c r="Z458" s="17" t="s">
        <v>165</v>
      </c>
      <c r="AA458" s="17" t="s">
        <v>166</v>
      </c>
      <c r="AB458" s="17" t="s">
        <v>167</v>
      </c>
      <c r="AC458" s="17" t="s">
        <v>168</v>
      </c>
      <c r="AM458" t="s">
        <v>550</v>
      </c>
      <c r="AN458" s="17" t="s">
        <v>155</v>
      </c>
      <c r="AO458" s="17" t="s">
        <v>155</v>
      </c>
      <c r="AP458" s="17" t="s">
        <v>155</v>
      </c>
      <c r="AQ458" s="17" t="s">
        <v>155</v>
      </c>
      <c r="AR458" s="17" t="s">
        <v>371</v>
      </c>
      <c r="BC458" s="17" t="s">
        <v>164</v>
      </c>
      <c r="BD458" s="17" t="s">
        <v>165</v>
      </c>
      <c r="BE458" s="17" t="s">
        <v>166</v>
      </c>
      <c r="BF458" s="17" t="s">
        <v>167</v>
      </c>
      <c r="BG458" s="17" t="s">
        <v>168</v>
      </c>
    </row>
    <row r="459" spans="24:59" x14ac:dyDescent="0.3">
      <c r="X459" t="s">
        <v>543</v>
      </c>
      <c r="Y459" s="17" t="s">
        <v>155</v>
      </c>
      <c r="Z459" s="17" t="s">
        <v>155</v>
      </c>
      <c r="AA459" s="17" t="s">
        <v>664</v>
      </c>
      <c r="AB459" s="17" t="s">
        <v>155</v>
      </c>
      <c r="AC459" s="17" t="s">
        <v>155</v>
      </c>
      <c r="AM459" t="s">
        <v>158</v>
      </c>
      <c r="AN459" s="17" t="s">
        <v>155</v>
      </c>
      <c r="AO459" s="17" t="s">
        <v>155</v>
      </c>
      <c r="AP459" s="17" t="s">
        <v>155</v>
      </c>
      <c r="AQ459" s="17" t="s">
        <v>155</v>
      </c>
      <c r="AR459" s="17" t="s">
        <v>371</v>
      </c>
      <c r="BB459" t="s">
        <v>550</v>
      </c>
      <c r="BC459" s="17" t="s">
        <v>155</v>
      </c>
      <c r="BD459" s="17" t="s">
        <v>155</v>
      </c>
      <c r="BE459" s="17" t="s">
        <v>155</v>
      </c>
      <c r="BF459" s="17" t="s">
        <v>155</v>
      </c>
      <c r="BG459" s="17" t="s">
        <v>371</v>
      </c>
    </row>
    <row r="460" spans="24:59" x14ac:dyDescent="0.3">
      <c r="X460" t="s">
        <v>544</v>
      </c>
      <c r="Y460" s="17" t="s">
        <v>155</v>
      </c>
      <c r="Z460" s="17" t="s">
        <v>155</v>
      </c>
      <c r="AA460" s="17" t="s">
        <v>664</v>
      </c>
      <c r="AB460" s="17" t="s">
        <v>155</v>
      </c>
      <c r="AC460" s="17" t="s">
        <v>155</v>
      </c>
      <c r="AM460" t="s">
        <v>159</v>
      </c>
      <c r="AN460" s="17" t="s">
        <v>155</v>
      </c>
      <c r="AO460" s="17" t="s">
        <v>155</v>
      </c>
      <c r="AP460" s="17" t="s">
        <v>371</v>
      </c>
      <c r="AQ460" s="17" t="s">
        <v>155</v>
      </c>
      <c r="AR460" s="17" t="s">
        <v>371</v>
      </c>
      <c r="BB460" t="s">
        <v>158</v>
      </c>
      <c r="BC460" s="17" t="s">
        <v>155</v>
      </c>
      <c r="BD460" s="17" t="s">
        <v>155</v>
      </c>
      <c r="BE460" s="17" t="s">
        <v>155</v>
      </c>
      <c r="BF460" s="17" t="s">
        <v>155</v>
      </c>
      <c r="BG460" s="17" t="s">
        <v>371</v>
      </c>
    </row>
    <row r="461" spans="24:59" x14ac:dyDescent="0.3">
      <c r="AM461" t="s">
        <v>160</v>
      </c>
      <c r="AN461" s="17" t="s">
        <v>155</v>
      </c>
      <c r="AO461" s="17" t="s">
        <v>155</v>
      </c>
      <c r="AP461" s="17" t="s">
        <v>371</v>
      </c>
      <c r="AQ461" s="17" t="s">
        <v>155</v>
      </c>
      <c r="AR461" s="17" t="s">
        <v>155</v>
      </c>
      <c r="BB461" t="s">
        <v>159</v>
      </c>
      <c r="BC461" s="17" t="s">
        <v>155</v>
      </c>
      <c r="BD461" s="17" t="s">
        <v>155</v>
      </c>
      <c r="BE461" s="17" t="s">
        <v>371</v>
      </c>
      <c r="BF461" s="17" t="s">
        <v>155</v>
      </c>
      <c r="BG461" s="17" t="s">
        <v>371</v>
      </c>
    </row>
    <row r="462" spans="24:59" x14ac:dyDescent="0.3">
      <c r="X462" t="s">
        <v>751</v>
      </c>
      <c r="BB462" t="s">
        <v>160</v>
      </c>
      <c r="BC462" s="17" t="s">
        <v>155</v>
      </c>
      <c r="BD462" s="17" t="s">
        <v>155</v>
      </c>
      <c r="BE462" s="17" t="s">
        <v>371</v>
      </c>
      <c r="BF462" s="17" t="s">
        <v>155</v>
      </c>
      <c r="BG462" s="17" t="s">
        <v>155</v>
      </c>
    </row>
    <row r="463" spans="24:59" x14ac:dyDescent="0.3">
      <c r="Y463" s="17" t="s">
        <v>164</v>
      </c>
      <c r="Z463" s="17" t="s">
        <v>165</v>
      </c>
      <c r="AA463" s="17" t="s">
        <v>166</v>
      </c>
      <c r="AB463" s="17" t="s">
        <v>167</v>
      </c>
      <c r="AC463" s="17" t="s">
        <v>168</v>
      </c>
      <c r="AM463" t="s">
        <v>838</v>
      </c>
    </row>
    <row r="464" spans="24:59" x14ac:dyDescent="0.3">
      <c r="X464" t="s">
        <v>548</v>
      </c>
      <c r="Y464" s="17" t="s">
        <v>155</v>
      </c>
      <c r="Z464" s="17" t="s">
        <v>155</v>
      </c>
      <c r="AA464" s="17" t="s">
        <v>421</v>
      </c>
      <c r="AB464" s="17" t="s">
        <v>155</v>
      </c>
      <c r="AC464" s="17" t="s">
        <v>421</v>
      </c>
      <c r="AN464" s="17" t="s">
        <v>164</v>
      </c>
      <c r="AO464" s="17" t="s">
        <v>165</v>
      </c>
      <c r="AP464" s="17" t="s">
        <v>166</v>
      </c>
      <c r="AQ464" s="17" t="s">
        <v>167</v>
      </c>
      <c r="AR464" s="17" t="s">
        <v>168</v>
      </c>
      <c r="BB464" t="s">
        <v>838</v>
      </c>
    </row>
    <row r="465" spans="24:59" x14ac:dyDescent="0.3">
      <c r="X465" t="s">
        <v>549</v>
      </c>
      <c r="Y465" s="17" t="s">
        <v>155</v>
      </c>
      <c r="Z465" s="17" t="s">
        <v>155</v>
      </c>
      <c r="AA465" s="17" t="s">
        <v>421</v>
      </c>
      <c r="AB465" s="17" t="s">
        <v>155</v>
      </c>
      <c r="AC465" s="17" t="s">
        <v>421</v>
      </c>
      <c r="AM465" t="s">
        <v>543</v>
      </c>
      <c r="AN465" s="17" t="s">
        <v>155</v>
      </c>
      <c r="AO465" s="17" t="s">
        <v>155</v>
      </c>
      <c r="AP465" s="17" t="s">
        <v>664</v>
      </c>
      <c r="AQ465" s="17" t="s">
        <v>155</v>
      </c>
      <c r="AR465" s="17" t="s">
        <v>155</v>
      </c>
      <c r="BC465" s="17" t="s">
        <v>164</v>
      </c>
      <c r="BD465" s="17" t="s">
        <v>165</v>
      </c>
      <c r="BE465" s="17" t="s">
        <v>166</v>
      </c>
      <c r="BF465" s="17" t="s">
        <v>167</v>
      </c>
      <c r="BG465" s="17" t="s">
        <v>168</v>
      </c>
    </row>
    <row r="466" spans="24:59" x14ac:dyDescent="0.3">
      <c r="X466" t="s">
        <v>550</v>
      </c>
      <c r="Y466" s="17" t="s">
        <v>155</v>
      </c>
      <c r="Z466" s="17" t="s">
        <v>155</v>
      </c>
      <c r="AA466" s="17" t="s">
        <v>421</v>
      </c>
      <c r="AB466" s="17" t="s">
        <v>155</v>
      </c>
      <c r="AC466" s="17" t="s">
        <v>421</v>
      </c>
      <c r="AM466" t="s">
        <v>544</v>
      </c>
      <c r="AN466" s="17" t="s">
        <v>155</v>
      </c>
      <c r="AO466" s="17" t="s">
        <v>155</v>
      </c>
      <c r="AP466" s="17" t="s">
        <v>664</v>
      </c>
      <c r="AQ466" s="17" t="s">
        <v>155</v>
      </c>
      <c r="AR466" s="17" t="s">
        <v>155</v>
      </c>
      <c r="BB466" t="s">
        <v>543</v>
      </c>
      <c r="BC466" s="17" t="s">
        <v>155</v>
      </c>
      <c r="BD466" s="17" t="s">
        <v>155</v>
      </c>
      <c r="BE466" s="17" t="s">
        <v>664</v>
      </c>
      <c r="BF466" s="17" t="s">
        <v>155</v>
      </c>
      <c r="BG466" s="17" t="s">
        <v>155</v>
      </c>
    </row>
    <row r="467" spans="24:59" x14ac:dyDescent="0.3">
      <c r="BB467" t="s">
        <v>544</v>
      </c>
      <c r="BC467" s="17" t="s">
        <v>155</v>
      </c>
      <c r="BD467" s="17" t="s">
        <v>155</v>
      </c>
      <c r="BE467" s="17" t="s">
        <v>664</v>
      </c>
      <c r="BF467" s="17" t="s">
        <v>155</v>
      </c>
      <c r="BG467" s="17" t="s">
        <v>155</v>
      </c>
    </row>
    <row r="468" spans="24:59" x14ac:dyDescent="0.3">
      <c r="X468" t="s">
        <v>839</v>
      </c>
      <c r="AM468" t="s">
        <v>751</v>
      </c>
    </row>
    <row r="469" spans="24:59" x14ac:dyDescent="0.3">
      <c r="Y469" s="17" t="s">
        <v>164</v>
      </c>
      <c r="Z469" s="17" t="s">
        <v>165</v>
      </c>
      <c r="AA469" s="17" t="s">
        <v>166</v>
      </c>
      <c r="AB469" s="17" t="s">
        <v>167</v>
      </c>
      <c r="AC469" s="17" t="s">
        <v>168</v>
      </c>
      <c r="AN469" s="17" t="s">
        <v>164</v>
      </c>
      <c r="AO469" s="17" t="s">
        <v>165</v>
      </c>
      <c r="AP469" s="17" t="s">
        <v>166</v>
      </c>
      <c r="AQ469" s="17" t="s">
        <v>167</v>
      </c>
      <c r="AR469" s="17" t="s">
        <v>168</v>
      </c>
      <c r="BB469" t="s">
        <v>751</v>
      </c>
    </row>
    <row r="470" spans="24:59" x14ac:dyDescent="0.3">
      <c r="X470" t="s">
        <v>543</v>
      </c>
      <c r="Y470" s="17" t="s">
        <v>459</v>
      </c>
      <c r="Z470" s="17" t="s">
        <v>155</v>
      </c>
      <c r="AA470" s="17" t="s">
        <v>155</v>
      </c>
      <c r="AB470" s="17" t="s">
        <v>155</v>
      </c>
      <c r="AC470" s="17" t="s">
        <v>155</v>
      </c>
      <c r="AM470" t="s">
        <v>548</v>
      </c>
      <c r="AN470" s="17" t="s">
        <v>155</v>
      </c>
      <c r="AO470" s="17" t="s">
        <v>155</v>
      </c>
      <c r="AP470" s="17" t="s">
        <v>421</v>
      </c>
      <c r="AQ470" s="17" t="s">
        <v>155</v>
      </c>
      <c r="AR470" s="17" t="s">
        <v>421</v>
      </c>
      <c r="BC470" s="17" t="s">
        <v>164</v>
      </c>
      <c r="BD470" s="17" t="s">
        <v>165</v>
      </c>
      <c r="BE470" s="17" t="s">
        <v>166</v>
      </c>
      <c r="BF470" s="17" t="s">
        <v>167</v>
      </c>
      <c r="BG470" s="17" t="s">
        <v>168</v>
      </c>
    </row>
    <row r="471" spans="24:59" x14ac:dyDescent="0.3">
      <c r="X471" t="s">
        <v>544</v>
      </c>
      <c r="Y471" s="17" t="s">
        <v>459</v>
      </c>
      <c r="Z471" s="17" t="s">
        <v>155</v>
      </c>
      <c r="AA471" s="17" t="s">
        <v>155</v>
      </c>
      <c r="AB471" s="17" t="s">
        <v>155</v>
      </c>
      <c r="AC471" s="17" t="s">
        <v>155</v>
      </c>
      <c r="AM471" t="s">
        <v>549</v>
      </c>
      <c r="AN471" s="17" t="s">
        <v>155</v>
      </c>
      <c r="AO471" s="17" t="s">
        <v>155</v>
      </c>
      <c r="AP471" s="17" t="s">
        <v>421</v>
      </c>
      <c r="AQ471" s="17" t="s">
        <v>155</v>
      </c>
      <c r="AR471" s="17" t="s">
        <v>421</v>
      </c>
      <c r="BB471" t="s">
        <v>548</v>
      </c>
      <c r="BC471" s="17" t="s">
        <v>155</v>
      </c>
      <c r="BD471" s="17" t="s">
        <v>155</v>
      </c>
      <c r="BE471" s="17" t="s">
        <v>421</v>
      </c>
      <c r="BF471" s="17" t="s">
        <v>155</v>
      </c>
      <c r="BG471" s="17" t="s">
        <v>421</v>
      </c>
    </row>
    <row r="472" spans="24:59" x14ac:dyDescent="0.3">
      <c r="X472" t="s">
        <v>545</v>
      </c>
      <c r="Y472" s="17" t="s">
        <v>459</v>
      </c>
      <c r="Z472" s="17" t="s">
        <v>155</v>
      </c>
      <c r="AA472" s="17" t="s">
        <v>155</v>
      </c>
      <c r="AB472" s="17" t="s">
        <v>155</v>
      </c>
      <c r="AC472" s="17" t="s">
        <v>155</v>
      </c>
      <c r="AM472" t="s">
        <v>550</v>
      </c>
      <c r="AN472" s="17" t="s">
        <v>155</v>
      </c>
      <c r="AO472" s="17" t="s">
        <v>155</v>
      </c>
      <c r="AP472" s="17" t="s">
        <v>421</v>
      </c>
      <c r="AQ472" s="17" t="s">
        <v>155</v>
      </c>
      <c r="AR472" s="17" t="s">
        <v>421</v>
      </c>
      <c r="BB472" t="s">
        <v>549</v>
      </c>
      <c r="BC472" s="17" t="s">
        <v>155</v>
      </c>
      <c r="BD472" s="17" t="s">
        <v>155</v>
      </c>
      <c r="BE472" s="17" t="s">
        <v>421</v>
      </c>
      <c r="BF472" s="17" t="s">
        <v>155</v>
      </c>
      <c r="BG472" s="17" t="s">
        <v>421</v>
      </c>
    </row>
    <row r="473" spans="24:59" x14ac:dyDescent="0.3">
      <c r="BB473" t="s">
        <v>550</v>
      </c>
      <c r="BC473" s="17" t="s">
        <v>155</v>
      </c>
      <c r="BD473" s="17" t="s">
        <v>155</v>
      </c>
      <c r="BE473" s="17" t="s">
        <v>421</v>
      </c>
      <c r="BF473" s="17" t="s">
        <v>155</v>
      </c>
      <c r="BG473" s="17" t="s">
        <v>421</v>
      </c>
    </row>
    <row r="474" spans="24:59" x14ac:dyDescent="0.3">
      <c r="X474" t="s">
        <v>729</v>
      </c>
      <c r="AM474" t="s">
        <v>839</v>
      </c>
    </row>
    <row r="475" spans="24:59" x14ac:dyDescent="0.3">
      <c r="Y475" s="17" t="s">
        <v>164</v>
      </c>
      <c r="Z475" s="17" t="s">
        <v>165</v>
      </c>
      <c r="AA475" s="17" t="s">
        <v>166</v>
      </c>
      <c r="AB475" s="17" t="s">
        <v>167</v>
      </c>
      <c r="AC475" s="17" t="s">
        <v>168</v>
      </c>
      <c r="AN475" s="17" t="s">
        <v>164</v>
      </c>
      <c r="AO475" s="17" t="s">
        <v>165</v>
      </c>
      <c r="AP475" s="17" t="s">
        <v>166</v>
      </c>
      <c r="AQ475" s="17" t="s">
        <v>167</v>
      </c>
      <c r="AR475" s="17" t="s">
        <v>168</v>
      </c>
      <c r="BB475" t="s">
        <v>839</v>
      </c>
    </row>
    <row r="476" spans="24:59" x14ac:dyDescent="0.3">
      <c r="X476" t="s">
        <v>548</v>
      </c>
      <c r="Y476" s="17" t="s">
        <v>155</v>
      </c>
      <c r="Z476" s="17" t="s">
        <v>155</v>
      </c>
      <c r="AA476" s="17" t="s">
        <v>323</v>
      </c>
      <c r="AB476" s="17" t="s">
        <v>155</v>
      </c>
      <c r="AC476" s="17" t="s">
        <v>155</v>
      </c>
      <c r="AM476" t="s">
        <v>543</v>
      </c>
      <c r="AN476" s="17" t="s">
        <v>459</v>
      </c>
      <c r="AO476" s="17" t="s">
        <v>155</v>
      </c>
      <c r="AP476" s="17" t="s">
        <v>155</v>
      </c>
      <c r="AQ476" s="17" t="s">
        <v>155</v>
      </c>
      <c r="AR476" s="17" t="s">
        <v>155</v>
      </c>
      <c r="BC476" s="17" t="s">
        <v>164</v>
      </c>
      <c r="BD476" s="17" t="s">
        <v>165</v>
      </c>
      <c r="BE476" s="17" t="s">
        <v>166</v>
      </c>
      <c r="BF476" s="17" t="s">
        <v>167</v>
      </c>
      <c r="BG476" s="17" t="s">
        <v>168</v>
      </c>
    </row>
    <row r="477" spans="24:59" x14ac:dyDescent="0.3">
      <c r="X477" t="s">
        <v>549</v>
      </c>
      <c r="Y477" s="17" t="s">
        <v>155</v>
      </c>
      <c r="Z477" s="17" t="s">
        <v>155</v>
      </c>
      <c r="AA477" s="17" t="s">
        <v>323</v>
      </c>
      <c r="AB477" s="17" t="s">
        <v>155</v>
      </c>
      <c r="AC477" s="17" t="s">
        <v>155</v>
      </c>
      <c r="AM477" t="s">
        <v>544</v>
      </c>
      <c r="AN477" s="17" t="s">
        <v>459</v>
      </c>
      <c r="AO477" s="17" t="s">
        <v>155</v>
      </c>
      <c r="AP477" s="17" t="s">
        <v>155</v>
      </c>
      <c r="AQ477" s="17" t="s">
        <v>155</v>
      </c>
      <c r="AR477" s="17" t="s">
        <v>155</v>
      </c>
      <c r="BB477" t="s">
        <v>543</v>
      </c>
      <c r="BC477" s="17" t="s">
        <v>459</v>
      </c>
      <c r="BD477" s="17" t="s">
        <v>155</v>
      </c>
      <c r="BE477" s="17" t="s">
        <v>155</v>
      </c>
      <c r="BF477" s="17" t="s">
        <v>155</v>
      </c>
      <c r="BG477" s="17" t="s">
        <v>155</v>
      </c>
    </row>
    <row r="478" spans="24:59" x14ac:dyDescent="0.3">
      <c r="X478" t="s">
        <v>159</v>
      </c>
      <c r="Y478" s="17" t="s">
        <v>155</v>
      </c>
      <c r="Z478" s="17" t="s">
        <v>323</v>
      </c>
      <c r="AA478" s="17" t="s">
        <v>155</v>
      </c>
      <c r="AB478" s="17" t="s">
        <v>155</v>
      </c>
      <c r="AC478" s="17" t="s">
        <v>155</v>
      </c>
      <c r="AM478" t="s">
        <v>545</v>
      </c>
      <c r="AN478" s="17" t="s">
        <v>459</v>
      </c>
      <c r="AO478" s="17" t="s">
        <v>155</v>
      </c>
      <c r="AP478" s="17" t="s">
        <v>155</v>
      </c>
      <c r="AQ478" s="17" t="s">
        <v>155</v>
      </c>
      <c r="AR478" s="17" t="s">
        <v>155</v>
      </c>
      <c r="BB478" t="s">
        <v>544</v>
      </c>
      <c r="BC478" s="17" t="s">
        <v>459</v>
      </c>
      <c r="BD478" s="17" t="s">
        <v>155</v>
      </c>
      <c r="BE478" s="17" t="s">
        <v>155</v>
      </c>
      <c r="BF478" s="17" t="s">
        <v>155</v>
      </c>
      <c r="BG478" s="17" t="s">
        <v>155</v>
      </c>
    </row>
    <row r="479" spans="24:59" x14ac:dyDescent="0.3">
      <c r="X479" t="s">
        <v>160</v>
      </c>
      <c r="Y479" s="17" t="s">
        <v>155</v>
      </c>
      <c r="Z479" s="17" t="s">
        <v>323</v>
      </c>
      <c r="AA479" s="17" t="s">
        <v>155</v>
      </c>
      <c r="AB479" s="17" t="s">
        <v>155</v>
      </c>
      <c r="AC479" s="17" t="s">
        <v>155</v>
      </c>
      <c r="BB479" t="s">
        <v>545</v>
      </c>
      <c r="BC479" s="17" t="s">
        <v>459</v>
      </c>
      <c r="BD479" s="17" t="s">
        <v>155</v>
      </c>
      <c r="BE479" s="17" t="s">
        <v>155</v>
      </c>
      <c r="BF479" s="17" t="s">
        <v>155</v>
      </c>
      <c r="BG479" s="17" t="s">
        <v>155</v>
      </c>
    </row>
    <row r="480" spans="24:59" x14ac:dyDescent="0.3">
      <c r="AM480" t="s">
        <v>729</v>
      </c>
    </row>
    <row r="481" spans="24:59" x14ac:dyDescent="0.3">
      <c r="X481" t="s">
        <v>749</v>
      </c>
      <c r="AN481" s="17" t="s">
        <v>164</v>
      </c>
      <c r="AO481" s="17" t="s">
        <v>165</v>
      </c>
      <c r="AP481" s="17" t="s">
        <v>166</v>
      </c>
      <c r="AQ481" s="17" t="s">
        <v>167</v>
      </c>
      <c r="AR481" s="17" t="s">
        <v>168</v>
      </c>
      <c r="BB481" t="s">
        <v>729</v>
      </c>
    </row>
    <row r="482" spans="24:59" x14ac:dyDescent="0.3">
      <c r="Y482" s="17" t="s">
        <v>164</v>
      </c>
      <c r="Z482" s="17" t="s">
        <v>165</v>
      </c>
      <c r="AA482" s="17" t="s">
        <v>166</v>
      </c>
      <c r="AB482" s="17" t="s">
        <v>167</v>
      </c>
      <c r="AC482" s="17" t="s">
        <v>168</v>
      </c>
      <c r="AM482" t="s">
        <v>548</v>
      </c>
      <c r="AN482" s="17" t="s">
        <v>155</v>
      </c>
      <c r="AO482" s="17" t="s">
        <v>155</v>
      </c>
      <c r="AP482" s="17" t="s">
        <v>323</v>
      </c>
      <c r="AQ482" s="17" t="s">
        <v>155</v>
      </c>
      <c r="AR482" s="17" t="s">
        <v>155</v>
      </c>
      <c r="BC482" s="17" t="s">
        <v>164</v>
      </c>
      <c r="BD482" s="17" t="s">
        <v>165</v>
      </c>
      <c r="BE482" s="17" t="s">
        <v>166</v>
      </c>
      <c r="BF482" s="17" t="s">
        <v>167</v>
      </c>
      <c r="BG482" s="17" t="s">
        <v>168</v>
      </c>
    </row>
    <row r="483" spans="24:59" x14ac:dyDescent="0.3">
      <c r="X483" t="s">
        <v>548</v>
      </c>
      <c r="Y483" s="17" t="s">
        <v>372</v>
      </c>
      <c r="Z483" s="17" t="s">
        <v>155</v>
      </c>
      <c r="AA483" s="17" t="s">
        <v>155</v>
      </c>
      <c r="AB483" s="17" t="s">
        <v>155</v>
      </c>
      <c r="AC483" s="17" t="s">
        <v>155</v>
      </c>
      <c r="AM483" t="s">
        <v>549</v>
      </c>
      <c r="AN483" s="17" t="s">
        <v>155</v>
      </c>
      <c r="AO483" s="17" t="s">
        <v>155</v>
      </c>
      <c r="AP483" s="17" t="s">
        <v>323</v>
      </c>
      <c r="AQ483" s="17" t="s">
        <v>155</v>
      </c>
      <c r="AR483" s="17" t="s">
        <v>155</v>
      </c>
      <c r="BB483" t="s">
        <v>548</v>
      </c>
      <c r="BC483" s="17" t="s">
        <v>155</v>
      </c>
      <c r="BD483" s="17" t="s">
        <v>155</v>
      </c>
      <c r="BE483" s="17" t="s">
        <v>323</v>
      </c>
      <c r="BF483" s="17" t="s">
        <v>155</v>
      </c>
      <c r="BG483" s="17" t="s">
        <v>155</v>
      </c>
    </row>
    <row r="484" spans="24:59" x14ac:dyDescent="0.3">
      <c r="X484" t="s">
        <v>549</v>
      </c>
      <c r="Y484" s="17" t="s">
        <v>372</v>
      </c>
      <c r="Z484" s="17" t="s">
        <v>155</v>
      </c>
      <c r="AA484" s="17" t="s">
        <v>155</v>
      </c>
      <c r="AB484" s="17" t="s">
        <v>155</v>
      </c>
      <c r="AC484" s="17" t="s">
        <v>155</v>
      </c>
      <c r="AM484" t="s">
        <v>159</v>
      </c>
      <c r="AN484" s="17" t="s">
        <v>155</v>
      </c>
      <c r="AO484" s="17" t="s">
        <v>323</v>
      </c>
      <c r="AP484" s="17" t="s">
        <v>155</v>
      </c>
      <c r="AQ484" s="17" t="s">
        <v>155</v>
      </c>
      <c r="AR484" s="17" t="s">
        <v>155</v>
      </c>
      <c r="BB484" t="s">
        <v>549</v>
      </c>
      <c r="BC484" s="17" t="s">
        <v>155</v>
      </c>
      <c r="BD484" s="17" t="s">
        <v>155</v>
      </c>
      <c r="BE484" s="17" t="s">
        <v>323</v>
      </c>
      <c r="BF484" s="17" t="s">
        <v>155</v>
      </c>
      <c r="BG484" s="17" t="s">
        <v>155</v>
      </c>
    </row>
    <row r="485" spans="24:59" x14ac:dyDescent="0.3">
      <c r="X485" t="s">
        <v>550</v>
      </c>
      <c r="Y485" s="17" t="s">
        <v>372</v>
      </c>
      <c r="Z485" s="17" t="s">
        <v>155</v>
      </c>
      <c r="AA485" s="17" t="s">
        <v>155</v>
      </c>
      <c r="AB485" s="17" t="s">
        <v>155</v>
      </c>
      <c r="AC485" s="17" t="s">
        <v>155</v>
      </c>
      <c r="AM485" t="s">
        <v>160</v>
      </c>
      <c r="AN485" s="17" t="s">
        <v>155</v>
      </c>
      <c r="AO485" s="17" t="s">
        <v>323</v>
      </c>
      <c r="AP485" s="17" t="s">
        <v>155</v>
      </c>
      <c r="AQ485" s="17" t="s">
        <v>155</v>
      </c>
      <c r="AR485" s="17" t="s">
        <v>155</v>
      </c>
      <c r="BB485" t="s">
        <v>159</v>
      </c>
      <c r="BC485" s="17" t="s">
        <v>155</v>
      </c>
      <c r="BD485" s="17" t="s">
        <v>323</v>
      </c>
      <c r="BE485" s="17" t="s">
        <v>155</v>
      </c>
      <c r="BF485" s="17" t="s">
        <v>155</v>
      </c>
      <c r="BG485" s="17" t="s">
        <v>155</v>
      </c>
    </row>
    <row r="486" spans="24:59" x14ac:dyDescent="0.3">
      <c r="X486" t="s">
        <v>158</v>
      </c>
      <c r="Y486" s="17" t="s">
        <v>372</v>
      </c>
      <c r="Z486" s="17" t="s">
        <v>155</v>
      </c>
      <c r="AA486" s="17" t="s">
        <v>155</v>
      </c>
      <c r="AB486" s="17" t="s">
        <v>155</v>
      </c>
      <c r="AC486" s="17" t="s">
        <v>155</v>
      </c>
      <c r="BB486" t="s">
        <v>160</v>
      </c>
      <c r="BC486" s="17" t="s">
        <v>155</v>
      </c>
      <c r="BD486" s="17" t="s">
        <v>323</v>
      </c>
      <c r="BE486" s="17" t="s">
        <v>155</v>
      </c>
      <c r="BF486" s="17" t="s">
        <v>155</v>
      </c>
      <c r="BG486" s="17" t="s">
        <v>155</v>
      </c>
    </row>
    <row r="487" spans="24:59" x14ac:dyDescent="0.3">
      <c r="X487" t="s">
        <v>159</v>
      </c>
      <c r="Y487" s="17" t="s">
        <v>372</v>
      </c>
      <c r="Z487" s="17" t="s">
        <v>155</v>
      </c>
      <c r="AA487" s="17" t="s">
        <v>155</v>
      </c>
      <c r="AB487" s="17" t="s">
        <v>155</v>
      </c>
      <c r="AC487" s="17" t="s">
        <v>155</v>
      </c>
      <c r="AM487" t="s">
        <v>749</v>
      </c>
    </row>
    <row r="488" spans="24:59" x14ac:dyDescent="0.3">
      <c r="X488" t="s">
        <v>160</v>
      </c>
      <c r="Y488" s="17" t="s">
        <v>372</v>
      </c>
      <c r="Z488" s="17" t="s">
        <v>155</v>
      </c>
      <c r="AA488" s="17" t="s">
        <v>155</v>
      </c>
      <c r="AB488" s="17" t="s">
        <v>155</v>
      </c>
      <c r="AC488" s="17" t="s">
        <v>155</v>
      </c>
      <c r="AN488" s="17" t="s">
        <v>164</v>
      </c>
      <c r="AO488" s="17" t="s">
        <v>165</v>
      </c>
      <c r="AP488" s="17" t="s">
        <v>166</v>
      </c>
      <c r="AQ488" s="17" t="s">
        <v>167</v>
      </c>
      <c r="AR488" s="17" t="s">
        <v>168</v>
      </c>
      <c r="BB488" t="s">
        <v>749</v>
      </c>
    </row>
    <row r="489" spans="24:59" x14ac:dyDescent="0.3">
      <c r="AM489" t="s">
        <v>548</v>
      </c>
      <c r="AN489" s="17" t="s">
        <v>372</v>
      </c>
      <c r="AO489" s="17" t="s">
        <v>155</v>
      </c>
      <c r="AP489" s="17" t="s">
        <v>155</v>
      </c>
      <c r="AQ489" s="17" t="s">
        <v>155</v>
      </c>
      <c r="AR489" s="17" t="s">
        <v>155</v>
      </c>
      <c r="BC489" s="17" t="s">
        <v>164</v>
      </c>
      <c r="BD489" s="17" t="s">
        <v>165</v>
      </c>
      <c r="BE489" s="17" t="s">
        <v>166</v>
      </c>
      <c r="BF489" s="17" t="s">
        <v>167</v>
      </c>
      <c r="BG489" s="17" t="s">
        <v>168</v>
      </c>
    </row>
    <row r="490" spans="24:59" x14ac:dyDescent="0.3">
      <c r="X490" t="s">
        <v>703</v>
      </c>
      <c r="AM490" t="s">
        <v>549</v>
      </c>
      <c r="AN490" s="17" t="s">
        <v>372</v>
      </c>
      <c r="AO490" s="17" t="s">
        <v>155</v>
      </c>
      <c r="AP490" s="17" t="s">
        <v>155</v>
      </c>
      <c r="AQ490" s="17" t="s">
        <v>155</v>
      </c>
      <c r="AR490" s="17" t="s">
        <v>155</v>
      </c>
      <c r="BB490" t="s">
        <v>548</v>
      </c>
      <c r="BC490" s="17" t="s">
        <v>372</v>
      </c>
      <c r="BD490" s="17" t="s">
        <v>155</v>
      </c>
      <c r="BE490" s="17" t="s">
        <v>155</v>
      </c>
      <c r="BF490" s="17" t="s">
        <v>155</v>
      </c>
      <c r="BG490" s="17" t="s">
        <v>155</v>
      </c>
    </row>
    <row r="491" spans="24:59" x14ac:dyDescent="0.3">
      <c r="Y491" s="17" t="s">
        <v>164</v>
      </c>
      <c r="Z491" s="17" t="s">
        <v>165</v>
      </c>
      <c r="AA491" s="17" t="s">
        <v>166</v>
      </c>
      <c r="AB491" s="17" t="s">
        <v>167</v>
      </c>
      <c r="AC491" s="17" t="s">
        <v>168</v>
      </c>
      <c r="AM491" t="s">
        <v>550</v>
      </c>
      <c r="AN491" s="17" t="s">
        <v>372</v>
      </c>
      <c r="AO491" s="17" t="s">
        <v>155</v>
      </c>
      <c r="AP491" s="17" t="s">
        <v>155</v>
      </c>
      <c r="AQ491" s="17" t="s">
        <v>155</v>
      </c>
      <c r="AR491" s="17" t="s">
        <v>155</v>
      </c>
      <c r="BB491" t="s">
        <v>549</v>
      </c>
      <c r="BC491" s="17" t="s">
        <v>372</v>
      </c>
      <c r="BD491" s="17" t="s">
        <v>155</v>
      </c>
      <c r="BE491" s="17" t="s">
        <v>155</v>
      </c>
      <c r="BF491" s="17" t="s">
        <v>155</v>
      </c>
      <c r="BG491" s="17" t="s">
        <v>155</v>
      </c>
    </row>
    <row r="492" spans="24:59" x14ac:dyDescent="0.3">
      <c r="X492" t="s">
        <v>542</v>
      </c>
      <c r="Y492" s="17" t="s">
        <v>257</v>
      </c>
      <c r="Z492" s="17" t="s">
        <v>155</v>
      </c>
      <c r="AA492" s="17" t="s">
        <v>155</v>
      </c>
      <c r="AB492" s="17" t="s">
        <v>155</v>
      </c>
      <c r="AC492" s="17" t="s">
        <v>257</v>
      </c>
      <c r="AM492" t="s">
        <v>158</v>
      </c>
      <c r="AN492" s="17" t="s">
        <v>372</v>
      </c>
      <c r="AO492" s="17" t="s">
        <v>155</v>
      </c>
      <c r="AP492" s="17" t="s">
        <v>155</v>
      </c>
      <c r="AQ492" s="17" t="s">
        <v>155</v>
      </c>
      <c r="AR492" s="17" t="s">
        <v>155</v>
      </c>
      <c r="BB492" t="s">
        <v>550</v>
      </c>
      <c r="BC492" s="17" t="s">
        <v>372</v>
      </c>
      <c r="BD492" s="17" t="s">
        <v>155</v>
      </c>
      <c r="BE492" s="17" t="s">
        <v>155</v>
      </c>
      <c r="BF492" s="17" t="s">
        <v>155</v>
      </c>
      <c r="BG492" s="17" t="s">
        <v>155</v>
      </c>
    </row>
    <row r="493" spans="24:59" x14ac:dyDescent="0.3">
      <c r="X493" t="s">
        <v>543</v>
      </c>
      <c r="Y493" s="17" t="s">
        <v>257</v>
      </c>
      <c r="Z493" s="17" t="s">
        <v>155</v>
      </c>
      <c r="AA493" s="17" t="s">
        <v>155</v>
      </c>
      <c r="AB493" s="17" t="s">
        <v>155</v>
      </c>
      <c r="AC493" s="17" t="s">
        <v>257</v>
      </c>
      <c r="AM493" t="s">
        <v>159</v>
      </c>
      <c r="AN493" s="17" t="s">
        <v>372</v>
      </c>
      <c r="AO493" s="17" t="s">
        <v>155</v>
      </c>
      <c r="AP493" s="17" t="s">
        <v>155</v>
      </c>
      <c r="AQ493" s="17" t="s">
        <v>155</v>
      </c>
      <c r="AR493" s="17" t="s">
        <v>155</v>
      </c>
      <c r="BB493" t="s">
        <v>158</v>
      </c>
      <c r="BC493" s="17" t="s">
        <v>372</v>
      </c>
      <c r="BD493" s="17" t="s">
        <v>155</v>
      </c>
      <c r="BE493" s="17" t="s">
        <v>155</v>
      </c>
      <c r="BF493" s="17" t="s">
        <v>155</v>
      </c>
      <c r="BG493" s="17" t="s">
        <v>155</v>
      </c>
    </row>
    <row r="494" spans="24:59" x14ac:dyDescent="0.3">
      <c r="X494" t="s">
        <v>544</v>
      </c>
      <c r="Y494" s="17" t="s">
        <v>257</v>
      </c>
      <c r="Z494" s="17" t="s">
        <v>155</v>
      </c>
      <c r="AA494" s="17" t="s">
        <v>155</v>
      </c>
      <c r="AB494" s="17" t="s">
        <v>155</v>
      </c>
      <c r="AC494" s="17" t="s">
        <v>155</v>
      </c>
      <c r="AM494" t="s">
        <v>160</v>
      </c>
      <c r="AN494" s="17" t="s">
        <v>372</v>
      </c>
      <c r="AO494" s="17" t="s">
        <v>155</v>
      </c>
      <c r="AP494" s="17" t="s">
        <v>155</v>
      </c>
      <c r="AQ494" s="17" t="s">
        <v>155</v>
      </c>
      <c r="AR494" s="17" t="s">
        <v>155</v>
      </c>
      <c r="BB494" t="s">
        <v>159</v>
      </c>
      <c r="BC494" s="17" t="s">
        <v>372</v>
      </c>
      <c r="BD494" s="17" t="s">
        <v>155</v>
      </c>
      <c r="BE494" s="17" t="s">
        <v>155</v>
      </c>
      <c r="BF494" s="17" t="s">
        <v>155</v>
      </c>
      <c r="BG494" s="17" t="s">
        <v>155</v>
      </c>
    </row>
    <row r="495" spans="24:59" x14ac:dyDescent="0.3">
      <c r="BB495" t="s">
        <v>160</v>
      </c>
      <c r="BC495" s="17" t="s">
        <v>372</v>
      </c>
      <c r="BD495" s="17" t="s">
        <v>155</v>
      </c>
      <c r="BE495" s="17" t="s">
        <v>155</v>
      </c>
      <c r="BF495" s="17" t="s">
        <v>155</v>
      </c>
      <c r="BG495" s="17" t="s">
        <v>155</v>
      </c>
    </row>
    <row r="496" spans="24:59" x14ac:dyDescent="0.3">
      <c r="X496" t="s">
        <v>840</v>
      </c>
      <c r="AM496" t="s">
        <v>703</v>
      </c>
    </row>
    <row r="497" spans="24:59" x14ac:dyDescent="0.3">
      <c r="Y497" s="17" t="s">
        <v>164</v>
      </c>
      <c r="Z497" s="17" t="s">
        <v>165</v>
      </c>
      <c r="AA497" s="17" t="s">
        <v>166</v>
      </c>
      <c r="AB497" s="17" t="s">
        <v>167</v>
      </c>
      <c r="AC497" s="17" t="s">
        <v>168</v>
      </c>
      <c r="AN497" s="17" t="s">
        <v>164</v>
      </c>
      <c r="AO497" s="17" t="s">
        <v>165</v>
      </c>
      <c r="AP497" s="17" t="s">
        <v>166</v>
      </c>
      <c r="AQ497" s="17" t="s">
        <v>167</v>
      </c>
      <c r="AR497" s="17" t="s">
        <v>168</v>
      </c>
      <c r="BB497" t="s">
        <v>703</v>
      </c>
    </row>
    <row r="498" spans="24:59" x14ac:dyDescent="0.3">
      <c r="X498" t="s">
        <v>555</v>
      </c>
      <c r="Y498" s="17" t="s">
        <v>155</v>
      </c>
      <c r="Z498" s="17" t="s">
        <v>410</v>
      </c>
      <c r="AA498" s="17" t="s">
        <v>155</v>
      </c>
      <c r="AB498" s="17" t="s">
        <v>155</v>
      </c>
      <c r="AC498" s="17" t="s">
        <v>155</v>
      </c>
      <c r="AM498" t="s">
        <v>542</v>
      </c>
      <c r="AN498" s="17" t="s">
        <v>257</v>
      </c>
      <c r="AO498" s="17" t="s">
        <v>155</v>
      </c>
      <c r="AP498" s="17" t="s">
        <v>155</v>
      </c>
      <c r="AQ498" s="17" t="s">
        <v>155</v>
      </c>
      <c r="AR498" s="17" t="s">
        <v>155</v>
      </c>
      <c r="BC498" s="17" t="s">
        <v>164</v>
      </c>
      <c r="BD498" s="17" t="s">
        <v>165</v>
      </c>
      <c r="BE498" s="17" t="s">
        <v>166</v>
      </c>
      <c r="BF498" s="17" t="s">
        <v>167</v>
      </c>
      <c r="BG498" s="17" t="s">
        <v>168</v>
      </c>
    </row>
    <row r="499" spans="24:59" x14ac:dyDescent="0.3">
      <c r="X499" t="s">
        <v>556</v>
      </c>
      <c r="Y499" s="17" t="s">
        <v>155</v>
      </c>
      <c r="Z499" s="17" t="s">
        <v>410</v>
      </c>
      <c r="AA499" s="17" t="s">
        <v>155</v>
      </c>
      <c r="AB499" s="17" t="s">
        <v>155</v>
      </c>
      <c r="AC499" s="17" t="s">
        <v>155</v>
      </c>
      <c r="AM499" t="s">
        <v>543</v>
      </c>
      <c r="AN499" s="17" t="s">
        <v>257</v>
      </c>
      <c r="AO499" s="17" t="s">
        <v>155</v>
      </c>
      <c r="AP499" s="17" t="s">
        <v>155</v>
      </c>
      <c r="AQ499" s="17" t="s">
        <v>155</v>
      </c>
      <c r="AR499" s="17" t="s">
        <v>257</v>
      </c>
      <c r="BB499" t="s">
        <v>542</v>
      </c>
      <c r="BC499" s="17" t="s">
        <v>257</v>
      </c>
      <c r="BD499" s="17" t="s">
        <v>155</v>
      </c>
      <c r="BE499" s="17" t="s">
        <v>155</v>
      </c>
      <c r="BF499" s="17" t="s">
        <v>155</v>
      </c>
      <c r="BG499" s="17" t="s">
        <v>257</v>
      </c>
    </row>
    <row r="500" spans="24:59" x14ac:dyDescent="0.3">
      <c r="X500" t="s">
        <v>557</v>
      </c>
      <c r="Y500" s="17" t="s">
        <v>155</v>
      </c>
      <c r="Z500" s="17" t="s">
        <v>410</v>
      </c>
      <c r="AA500" s="17" t="s">
        <v>155</v>
      </c>
      <c r="AB500" s="17" t="s">
        <v>465</v>
      </c>
      <c r="AC500" s="17" t="s">
        <v>155</v>
      </c>
      <c r="AM500" t="s">
        <v>544</v>
      </c>
      <c r="AN500" s="17" t="s">
        <v>257</v>
      </c>
      <c r="AO500" s="17" t="s">
        <v>155</v>
      </c>
      <c r="AP500" s="17" t="s">
        <v>155</v>
      </c>
      <c r="AQ500" s="17" t="s">
        <v>155</v>
      </c>
      <c r="AR500" s="17" t="s">
        <v>257</v>
      </c>
      <c r="BB500" t="s">
        <v>543</v>
      </c>
      <c r="BC500" s="17" t="s">
        <v>257</v>
      </c>
      <c r="BD500" s="17" t="s">
        <v>155</v>
      </c>
      <c r="BE500" s="17" t="s">
        <v>155</v>
      </c>
      <c r="BF500" s="17" t="s">
        <v>155</v>
      </c>
      <c r="BG500" s="17" t="s">
        <v>257</v>
      </c>
    </row>
    <row r="501" spans="24:59" x14ac:dyDescent="0.3">
      <c r="X501" t="s">
        <v>542</v>
      </c>
      <c r="Y501" s="17" t="s">
        <v>155</v>
      </c>
      <c r="Z501" s="17" t="s">
        <v>410</v>
      </c>
      <c r="AA501" s="17" t="s">
        <v>155</v>
      </c>
      <c r="AB501" s="17" t="s">
        <v>465</v>
      </c>
      <c r="AC501" s="17" t="s">
        <v>155</v>
      </c>
      <c r="BB501" t="s">
        <v>544</v>
      </c>
      <c r="BC501" s="17" t="s">
        <v>257</v>
      </c>
      <c r="BD501" s="17" t="s">
        <v>155</v>
      </c>
      <c r="BE501" s="17" t="s">
        <v>155</v>
      </c>
      <c r="BF501" s="17" t="s">
        <v>155</v>
      </c>
      <c r="BG501" s="17" t="s">
        <v>155</v>
      </c>
    </row>
    <row r="502" spans="24:59" x14ac:dyDescent="0.3">
      <c r="X502" t="s">
        <v>543</v>
      </c>
      <c r="Y502" s="17" t="s">
        <v>155</v>
      </c>
      <c r="Z502" s="17" t="s">
        <v>155</v>
      </c>
      <c r="AA502" s="17" t="s">
        <v>155</v>
      </c>
      <c r="AB502" s="17" t="s">
        <v>465</v>
      </c>
      <c r="AC502" s="17" t="s">
        <v>155</v>
      </c>
      <c r="AM502" t="s">
        <v>840</v>
      </c>
    </row>
    <row r="503" spans="24:59" x14ac:dyDescent="0.3">
      <c r="X503" t="s">
        <v>544</v>
      </c>
      <c r="Y503" s="17" t="s">
        <v>155</v>
      </c>
      <c r="Z503" s="17" t="s">
        <v>155</v>
      </c>
      <c r="AA503" s="17" t="s">
        <v>155</v>
      </c>
      <c r="AB503" s="17" t="s">
        <v>465</v>
      </c>
      <c r="AC503" s="17" t="s">
        <v>155</v>
      </c>
      <c r="AN503" s="17" t="s">
        <v>164</v>
      </c>
      <c r="AO503" s="17" t="s">
        <v>165</v>
      </c>
      <c r="AP503" s="17" t="s">
        <v>166</v>
      </c>
      <c r="AQ503" s="17" t="s">
        <v>167</v>
      </c>
      <c r="AR503" s="17" t="s">
        <v>168</v>
      </c>
      <c r="BB503" t="s">
        <v>840</v>
      </c>
    </row>
    <row r="504" spans="24:59" x14ac:dyDescent="0.3">
      <c r="AM504" t="s">
        <v>555</v>
      </c>
      <c r="AN504" s="17" t="s">
        <v>155</v>
      </c>
      <c r="AO504" s="17" t="s">
        <v>410</v>
      </c>
      <c r="AP504" s="17" t="s">
        <v>155</v>
      </c>
      <c r="AQ504" s="17" t="s">
        <v>155</v>
      </c>
      <c r="AR504" s="17" t="s">
        <v>155</v>
      </c>
      <c r="BC504" s="17" t="s">
        <v>164</v>
      </c>
      <c r="BD504" s="17" t="s">
        <v>165</v>
      </c>
      <c r="BE504" s="17" t="s">
        <v>166</v>
      </c>
      <c r="BF504" s="17" t="s">
        <v>167</v>
      </c>
      <c r="BG504" s="17" t="s">
        <v>168</v>
      </c>
    </row>
    <row r="505" spans="24:59" x14ac:dyDescent="0.3">
      <c r="X505" t="s">
        <v>841</v>
      </c>
      <c r="AM505" t="s">
        <v>556</v>
      </c>
      <c r="AN505" s="17" t="s">
        <v>155</v>
      </c>
      <c r="AO505" s="17" t="s">
        <v>410</v>
      </c>
      <c r="AP505" s="17" t="s">
        <v>155</v>
      </c>
      <c r="AQ505" s="17" t="s">
        <v>465</v>
      </c>
      <c r="AR505" s="17" t="s">
        <v>155</v>
      </c>
      <c r="BB505" t="s">
        <v>555</v>
      </c>
      <c r="BC505" s="17" t="s">
        <v>155</v>
      </c>
      <c r="BD505" s="17" t="s">
        <v>410</v>
      </c>
      <c r="BE505" s="17" t="s">
        <v>155</v>
      </c>
      <c r="BF505" s="17" t="s">
        <v>155</v>
      </c>
      <c r="BG505" s="17" t="s">
        <v>155</v>
      </c>
    </row>
    <row r="506" spans="24:59" x14ac:dyDescent="0.3">
      <c r="Y506" s="17" t="s">
        <v>164</v>
      </c>
      <c r="Z506" s="17" t="s">
        <v>165</v>
      </c>
      <c r="AA506" s="17" t="s">
        <v>166</v>
      </c>
      <c r="AB506" s="17" t="s">
        <v>167</v>
      </c>
      <c r="AC506" s="17" t="s">
        <v>168</v>
      </c>
      <c r="AM506" t="s">
        <v>557</v>
      </c>
      <c r="AN506" s="17" t="s">
        <v>155</v>
      </c>
      <c r="AO506" s="17" t="s">
        <v>410</v>
      </c>
      <c r="AP506" s="17" t="s">
        <v>155</v>
      </c>
      <c r="AQ506" s="17" t="s">
        <v>465</v>
      </c>
      <c r="AR506" s="17" t="s">
        <v>155</v>
      </c>
      <c r="BB506" t="s">
        <v>556</v>
      </c>
      <c r="BC506" s="17" t="s">
        <v>155</v>
      </c>
      <c r="BD506" s="17" t="s">
        <v>410</v>
      </c>
      <c r="BE506" s="17" t="s">
        <v>155</v>
      </c>
      <c r="BF506" s="17" t="s">
        <v>155</v>
      </c>
      <c r="BG506" s="17" t="s">
        <v>155</v>
      </c>
    </row>
    <row r="507" spans="24:59" x14ac:dyDescent="0.3">
      <c r="X507" t="s">
        <v>555</v>
      </c>
      <c r="Y507" s="17" t="s">
        <v>155</v>
      </c>
      <c r="Z507" s="17" t="s">
        <v>155</v>
      </c>
      <c r="AA507" s="17" t="s">
        <v>155</v>
      </c>
      <c r="AB507" s="17" t="s">
        <v>155</v>
      </c>
      <c r="AC507" s="17" t="s">
        <v>463</v>
      </c>
      <c r="AM507" t="s">
        <v>542</v>
      </c>
      <c r="AN507" s="17" t="s">
        <v>155</v>
      </c>
      <c r="AO507" s="17" t="s">
        <v>410</v>
      </c>
      <c r="AP507" s="17" t="s">
        <v>155</v>
      </c>
      <c r="AQ507" s="17" t="s">
        <v>465</v>
      </c>
      <c r="AR507" s="17" t="s">
        <v>155</v>
      </c>
      <c r="BB507" t="s">
        <v>557</v>
      </c>
      <c r="BC507" s="17" t="s">
        <v>155</v>
      </c>
      <c r="BD507" s="17" t="s">
        <v>410</v>
      </c>
      <c r="BE507" s="17" t="s">
        <v>155</v>
      </c>
      <c r="BF507" s="17" t="s">
        <v>465</v>
      </c>
      <c r="BG507" s="17" t="s">
        <v>155</v>
      </c>
    </row>
    <row r="508" spans="24:59" x14ac:dyDescent="0.3">
      <c r="X508" t="s">
        <v>556</v>
      </c>
      <c r="Y508" s="17" t="s">
        <v>155</v>
      </c>
      <c r="Z508" s="17" t="s">
        <v>155</v>
      </c>
      <c r="AA508" s="17" t="s">
        <v>463</v>
      </c>
      <c r="AB508" s="17" t="s">
        <v>155</v>
      </c>
      <c r="AC508" s="17" t="s">
        <v>463</v>
      </c>
      <c r="AM508" t="s">
        <v>543</v>
      </c>
      <c r="AN508" s="17" t="s">
        <v>155</v>
      </c>
      <c r="AO508" s="17" t="s">
        <v>155</v>
      </c>
      <c r="AP508" s="17" t="s">
        <v>155</v>
      </c>
      <c r="AQ508" s="17" t="s">
        <v>465</v>
      </c>
      <c r="AR508" s="17" t="s">
        <v>155</v>
      </c>
      <c r="BB508" t="s">
        <v>542</v>
      </c>
      <c r="BC508" s="17" t="s">
        <v>155</v>
      </c>
      <c r="BD508" s="17" t="s">
        <v>410</v>
      </c>
      <c r="BE508" s="17" t="s">
        <v>155</v>
      </c>
      <c r="BF508" s="17" t="s">
        <v>465</v>
      </c>
      <c r="BG508" s="17" t="s">
        <v>155</v>
      </c>
    </row>
    <row r="509" spans="24:59" x14ac:dyDescent="0.3">
      <c r="X509" t="s">
        <v>557</v>
      </c>
      <c r="Y509" s="17" t="s">
        <v>155</v>
      </c>
      <c r="Z509" s="17" t="s">
        <v>155</v>
      </c>
      <c r="AA509" s="17" t="s">
        <v>463</v>
      </c>
      <c r="AB509" s="17" t="s">
        <v>155</v>
      </c>
      <c r="AC509" s="17" t="s">
        <v>155</v>
      </c>
      <c r="BB509" t="s">
        <v>543</v>
      </c>
      <c r="BC509" s="17" t="s">
        <v>155</v>
      </c>
      <c r="BD509" s="17" t="s">
        <v>155</v>
      </c>
      <c r="BE509" s="17" t="s">
        <v>155</v>
      </c>
      <c r="BF509" s="17" t="s">
        <v>465</v>
      </c>
      <c r="BG509" s="17" t="s">
        <v>155</v>
      </c>
    </row>
    <row r="510" spans="24:59" x14ac:dyDescent="0.3">
      <c r="X510" t="s">
        <v>542</v>
      </c>
      <c r="Y510" s="17" t="s">
        <v>155</v>
      </c>
      <c r="Z510" s="17" t="s">
        <v>155</v>
      </c>
      <c r="AA510" s="17" t="s">
        <v>463</v>
      </c>
      <c r="AB510" s="17" t="s">
        <v>155</v>
      </c>
      <c r="AC510" s="17" t="s">
        <v>155</v>
      </c>
      <c r="AM510" t="s">
        <v>841</v>
      </c>
      <c r="BB510" t="s">
        <v>544</v>
      </c>
      <c r="BC510" s="17" t="s">
        <v>155</v>
      </c>
      <c r="BD510" s="17" t="s">
        <v>155</v>
      </c>
      <c r="BE510" s="17" t="s">
        <v>155</v>
      </c>
      <c r="BF510" s="17" t="s">
        <v>465</v>
      </c>
      <c r="BG510" s="17" t="s">
        <v>155</v>
      </c>
    </row>
    <row r="511" spans="24:59" x14ac:dyDescent="0.3">
      <c r="AN511" s="17" t="s">
        <v>164</v>
      </c>
      <c r="AO511" s="17" t="s">
        <v>165</v>
      </c>
      <c r="AP511" s="17" t="s">
        <v>166</v>
      </c>
      <c r="AQ511" s="17" t="s">
        <v>167</v>
      </c>
      <c r="AR511" s="17" t="s">
        <v>168</v>
      </c>
    </row>
    <row r="512" spans="24:59" x14ac:dyDescent="0.3">
      <c r="X512" t="s">
        <v>722</v>
      </c>
      <c r="AM512" t="s">
        <v>555</v>
      </c>
      <c r="AN512" s="17" t="s">
        <v>155</v>
      </c>
      <c r="AO512" s="17" t="s">
        <v>155</v>
      </c>
      <c r="AP512" s="17" t="s">
        <v>155</v>
      </c>
      <c r="AQ512" s="17" t="s">
        <v>155</v>
      </c>
      <c r="AR512" s="17" t="s">
        <v>463</v>
      </c>
      <c r="BB512" t="s">
        <v>841</v>
      </c>
    </row>
    <row r="513" spans="24:59" x14ac:dyDescent="0.3">
      <c r="Y513" s="17" t="s">
        <v>164</v>
      </c>
      <c r="Z513" s="17" t="s">
        <v>165</v>
      </c>
      <c r="AA513" s="17" t="s">
        <v>166</v>
      </c>
      <c r="AB513" s="17" t="s">
        <v>167</v>
      </c>
      <c r="AC513" s="17" t="s">
        <v>168</v>
      </c>
      <c r="AM513" t="s">
        <v>556</v>
      </c>
      <c r="AN513" s="17" t="s">
        <v>155</v>
      </c>
      <c r="AO513" s="17" t="s">
        <v>155</v>
      </c>
      <c r="AP513" s="17" t="s">
        <v>463</v>
      </c>
      <c r="AQ513" s="17" t="s">
        <v>155</v>
      </c>
      <c r="AR513" s="17" t="s">
        <v>463</v>
      </c>
      <c r="BC513" s="17" t="s">
        <v>164</v>
      </c>
      <c r="BD513" s="17" t="s">
        <v>165</v>
      </c>
      <c r="BE513" s="17" t="s">
        <v>166</v>
      </c>
      <c r="BF513" s="17" t="s">
        <v>167</v>
      </c>
      <c r="BG513" s="17" t="s">
        <v>168</v>
      </c>
    </row>
    <row r="514" spans="24:59" x14ac:dyDescent="0.3">
      <c r="X514" t="s">
        <v>548</v>
      </c>
      <c r="Y514" s="17" t="s">
        <v>312</v>
      </c>
      <c r="Z514" s="17" t="s">
        <v>155</v>
      </c>
      <c r="AA514" s="17" t="s">
        <v>155</v>
      </c>
      <c r="AB514" s="17" t="s">
        <v>312</v>
      </c>
      <c r="AC514" s="17" t="s">
        <v>155</v>
      </c>
      <c r="AM514" t="s">
        <v>557</v>
      </c>
      <c r="AN514" s="17" t="s">
        <v>155</v>
      </c>
      <c r="AO514" s="17" t="s">
        <v>155</v>
      </c>
      <c r="AP514" s="17" t="s">
        <v>463</v>
      </c>
      <c r="AQ514" s="17" t="s">
        <v>155</v>
      </c>
      <c r="AR514" s="17" t="s">
        <v>155</v>
      </c>
      <c r="BB514" t="s">
        <v>555</v>
      </c>
      <c r="BC514" s="17" t="s">
        <v>463</v>
      </c>
      <c r="BD514" s="17" t="s">
        <v>155</v>
      </c>
      <c r="BE514" s="17" t="s">
        <v>463</v>
      </c>
      <c r="BF514" s="17" t="s">
        <v>155</v>
      </c>
      <c r="BG514" s="17" t="s">
        <v>155</v>
      </c>
    </row>
    <row r="515" spans="24:59" x14ac:dyDescent="0.3">
      <c r="X515" t="s">
        <v>549</v>
      </c>
      <c r="Y515" s="17" t="s">
        <v>312</v>
      </c>
      <c r="Z515" s="17" t="s">
        <v>155</v>
      </c>
      <c r="AA515" s="17" t="s">
        <v>155</v>
      </c>
      <c r="AB515" s="17" t="s">
        <v>312</v>
      </c>
      <c r="AC515" s="17" t="s">
        <v>155</v>
      </c>
      <c r="AM515" t="s">
        <v>542</v>
      </c>
      <c r="AN515" s="17" t="s">
        <v>155</v>
      </c>
      <c r="AO515" s="17" t="s">
        <v>155</v>
      </c>
      <c r="AP515" s="17" t="s">
        <v>463</v>
      </c>
      <c r="AQ515" s="17" t="s">
        <v>155</v>
      </c>
      <c r="AR515" s="17" t="s">
        <v>155</v>
      </c>
      <c r="BB515" t="s">
        <v>556</v>
      </c>
      <c r="BC515" s="17" t="s">
        <v>463</v>
      </c>
      <c r="BD515" s="17" t="s">
        <v>155</v>
      </c>
      <c r="BE515" s="17" t="s">
        <v>463</v>
      </c>
      <c r="BF515" s="17" t="s">
        <v>155</v>
      </c>
      <c r="BG515" s="17" t="s">
        <v>155</v>
      </c>
    </row>
    <row r="516" spans="24:59" x14ac:dyDescent="0.3">
      <c r="X516" t="s">
        <v>550</v>
      </c>
      <c r="Y516" s="17" t="s">
        <v>312</v>
      </c>
      <c r="Z516" s="17" t="s">
        <v>155</v>
      </c>
      <c r="AA516" s="17" t="s">
        <v>155</v>
      </c>
      <c r="AB516" s="17" t="s">
        <v>155</v>
      </c>
      <c r="AC516" s="17" t="s">
        <v>155</v>
      </c>
      <c r="BB516" t="s">
        <v>557</v>
      </c>
      <c r="BC516" s="17" t="s">
        <v>155</v>
      </c>
      <c r="BD516" s="17" t="s">
        <v>155</v>
      </c>
      <c r="BE516" s="17" t="s">
        <v>463</v>
      </c>
      <c r="BF516" s="17" t="s">
        <v>155</v>
      </c>
      <c r="BG516" s="17" t="s">
        <v>155</v>
      </c>
    </row>
    <row r="517" spans="24:59" x14ac:dyDescent="0.3">
      <c r="AM517" t="s">
        <v>722</v>
      </c>
    </row>
    <row r="518" spans="24:59" x14ac:dyDescent="0.3">
      <c r="X518" t="s">
        <v>723</v>
      </c>
      <c r="AN518" s="17" t="s">
        <v>164</v>
      </c>
      <c r="AO518" s="17" t="s">
        <v>165</v>
      </c>
      <c r="AP518" s="17" t="s">
        <v>166</v>
      </c>
      <c r="AQ518" s="17" t="s">
        <v>167</v>
      </c>
      <c r="AR518" s="17" t="s">
        <v>168</v>
      </c>
      <c r="BB518" t="s">
        <v>722</v>
      </c>
    </row>
    <row r="519" spans="24:59" x14ac:dyDescent="0.3">
      <c r="Y519" s="17" t="s">
        <v>164</v>
      </c>
      <c r="Z519" s="17" t="s">
        <v>165</v>
      </c>
      <c r="AA519" s="17" t="s">
        <v>166</v>
      </c>
      <c r="AB519" s="17" t="s">
        <v>167</v>
      </c>
      <c r="AC519" s="17" t="s">
        <v>168</v>
      </c>
      <c r="AM519" t="s">
        <v>548</v>
      </c>
      <c r="AN519" s="17" t="s">
        <v>155</v>
      </c>
      <c r="AO519" s="17" t="s">
        <v>155</v>
      </c>
      <c r="AP519" s="17" t="s">
        <v>312</v>
      </c>
      <c r="AQ519" s="17" t="s">
        <v>155</v>
      </c>
      <c r="AR519" s="17" t="s">
        <v>312</v>
      </c>
      <c r="BC519" s="17" t="s">
        <v>164</v>
      </c>
      <c r="BD519" s="17" t="s">
        <v>165</v>
      </c>
      <c r="BE519" s="17" t="s">
        <v>166</v>
      </c>
      <c r="BF519" s="17" t="s">
        <v>167</v>
      </c>
      <c r="BG519" s="17" t="s">
        <v>168</v>
      </c>
    </row>
    <row r="520" spans="24:59" x14ac:dyDescent="0.3">
      <c r="X520" t="s">
        <v>554</v>
      </c>
      <c r="Y520" s="17" t="s">
        <v>155</v>
      </c>
      <c r="Z520" s="17" t="s">
        <v>312</v>
      </c>
      <c r="AA520" s="17" t="s">
        <v>155</v>
      </c>
      <c r="AB520" s="17" t="s">
        <v>155</v>
      </c>
      <c r="AC520" s="17" t="s">
        <v>155</v>
      </c>
      <c r="AM520" t="s">
        <v>549</v>
      </c>
      <c r="AN520" s="17" t="s">
        <v>155</v>
      </c>
      <c r="AO520" s="17" t="s">
        <v>155</v>
      </c>
      <c r="AP520" s="17" t="s">
        <v>312</v>
      </c>
      <c r="AQ520" s="17" t="s">
        <v>155</v>
      </c>
      <c r="AR520" s="17" t="s">
        <v>312</v>
      </c>
      <c r="BB520" t="s">
        <v>548</v>
      </c>
      <c r="BC520" s="17" t="s">
        <v>312</v>
      </c>
      <c r="BD520" s="17" t="s">
        <v>155</v>
      </c>
      <c r="BE520" s="17" t="s">
        <v>155</v>
      </c>
      <c r="BF520" s="17" t="s">
        <v>312</v>
      </c>
      <c r="BG520" s="17" t="s">
        <v>155</v>
      </c>
    </row>
    <row r="521" spans="24:59" x14ac:dyDescent="0.3">
      <c r="X521" t="s">
        <v>555</v>
      </c>
      <c r="Y521" s="17" t="s">
        <v>155</v>
      </c>
      <c r="Z521" s="17" t="s">
        <v>312</v>
      </c>
      <c r="AA521" s="17" t="s">
        <v>155</v>
      </c>
      <c r="AB521" s="17" t="s">
        <v>155</v>
      </c>
      <c r="AC521" s="17" t="s">
        <v>155</v>
      </c>
      <c r="AM521" t="s">
        <v>550</v>
      </c>
      <c r="AN521" s="17" t="s">
        <v>155</v>
      </c>
      <c r="AO521" s="17" t="s">
        <v>155</v>
      </c>
      <c r="AP521" s="17" t="s">
        <v>312</v>
      </c>
      <c r="AQ521" s="17" t="s">
        <v>155</v>
      </c>
      <c r="AR521" s="17" t="s">
        <v>155</v>
      </c>
      <c r="BB521" t="s">
        <v>549</v>
      </c>
      <c r="BC521" s="17" t="s">
        <v>312</v>
      </c>
      <c r="BD521" s="17" t="s">
        <v>155</v>
      </c>
      <c r="BE521" s="17" t="s">
        <v>155</v>
      </c>
      <c r="BF521" s="17" t="s">
        <v>312</v>
      </c>
      <c r="BG521" s="17" t="s">
        <v>155</v>
      </c>
    </row>
    <row r="522" spans="24:59" x14ac:dyDescent="0.3">
      <c r="X522" t="s">
        <v>556</v>
      </c>
      <c r="Y522" s="17" t="s">
        <v>155</v>
      </c>
      <c r="Z522" s="17" t="s">
        <v>312</v>
      </c>
      <c r="AA522" s="17" t="s">
        <v>155</v>
      </c>
      <c r="AB522" s="17" t="s">
        <v>155</v>
      </c>
      <c r="AC522" s="17" t="s">
        <v>155</v>
      </c>
      <c r="BB522" t="s">
        <v>550</v>
      </c>
      <c r="BC522" s="17" t="s">
        <v>155</v>
      </c>
      <c r="BD522" s="17" t="s">
        <v>155</v>
      </c>
      <c r="BE522" s="17" t="s">
        <v>155</v>
      </c>
      <c r="BF522" s="17" t="s">
        <v>312</v>
      </c>
      <c r="BG522" s="17" t="s">
        <v>155</v>
      </c>
    </row>
    <row r="523" spans="24:59" x14ac:dyDescent="0.3">
      <c r="X523" t="s">
        <v>542</v>
      </c>
      <c r="Y523" s="17" t="s">
        <v>155</v>
      </c>
      <c r="Z523" s="17" t="s">
        <v>155</v>
      </c>
      <c r="AA523" s="17" t="s">
        <v>155</v>
      </c>
      <c r="AB523" s="17" t="s">
        <v>155</v>
      </c>
      <c r="AC523" s="17" t="s">
        <v>312</v>
      </c>
      <c r="AM523" t="s">
        <v>723</v>
      </c>
    </row>
    <row r="524" spans="24:59" x14ac:dyDescent="0.3">
      <c r="X524" t="s">
        <v>543</v>
      </c>
      <c r="Y524" s="17" t="s">
        <v>155</v>
      </c>
      <c r="Z524" s="17" t="s">
        <v>155</v>
      </c>
      <c r="AA524" s="17" t="s">
        <v>155</v>
      </c>
      <c r="AB524" s="17" t="s">
        <v>155</v>
      </c>
      <c r="AC524" s="17" t="s">
        <v>312</v>
      </c>
      <c r="AN524" s="17" t="s">
        <v>164</v>
      </c>
      <c r="AO524" s="17" t="s">
        <v>165</v>
      </c>
      <c r="AP524" s="17" t="s">
        <v>166</v>
      </c>
      <c r="AQ524" s="17" t="s">
        <v>167</v>
      </c>
      <c r="AR524" s="17" t="s">
        <v>168</v>
      </c>
      <c r="BB524" t="s">
        <v>723</v>
      </c>
    </row>
    <row r="525" spans="24:59" x14ac:dyDescent="0.3">
      <c r="AM525" t="s">
        <v>554</v>
      </c>
      <c r="AN525" s="17" t="s">
        <v>312</v>
      </c>
      <c r="AO525" s="17" t="s">
        <v>155</v>
      </c>
      <c r="AP525" s="17" t="s">
        <v>155</v>
      </c>
      <c r="AQ525" s="17" t="s">
        <v>155</v>
      </c>
      <c r="AR525" s="17" t="s">
        <v>155</v>
      </c>
      <c r="BC525" s="17" t="s">
        <v>164</v>
      </c>
      <c r="BD525" s="17" t="s">
        <v>165</v>
      </c>
      <c r="BE525" s="17" t="s">
        <v>166</v>
      </c>
      <c r="BF525" s="17" t="s">
        <v>167</v>
      </c>
      <c r="BG525" s="17" t="s">
        <v>168</v>
      </c>
    </row>
    <row r="526" spans="24:59" x14ac:dyDescent="0.3">
      <c r="X526" t="s">
        <v>724</v>
      </c>
      <c r="AM526" t="s">
        <v>555</v>
      </c>
      <c r="AN526" s="17" t="s">
        <v>312</v>
      </c>
      <c r="AO526" s="17" t="s">
        <v>155</v>
      </c>
      <c r="AP526" s="17" t="s">
        <v>155</v>
      </c>
      <c r="AQ526" s="17" t="s">
        <v>155</v>
      </c>
      <c r="AR526" s="17" t="s">
        <v>155</v>
      </c>
      <c r="BB526" t="s">
        <v>556</v>
      </c>
      <c r="BC526" s="17" t="s">
        <v>155</v>
      </c>
      <c r="BD526" s="17" t="s">
        <v>312</v>
      </c>
      <c r="BE526" s="17" t="s">
        <v>155</v>
      </c>
      <c r="BF526" s="17" t="s">
        <v>155</v>
      </c>
      <c r="BG526" s="17" t="s">
        <v>155</v>
      </c>
    </row>
    <row r="527" spans="24:59" x14ac:dyDescent="0.3">
      <c r="Y527" s="17" t="s">
        <v>164</v>
      </c>
      <c r="Z527" s="17" t="s">
        <v>165</v>
      </c>
      <c r="AA527" s="17" t="s">
        <v>166</v>
      </c>
      <c r="AB527" s="17" t="s">
        <v>167</v>
      </c>
      <c r="AC527" s="17" t="s">
        <v>168</v>
      </c>
      <c r="AM527" t="s">
        <v>556</v>
      </c>
      <c r="AN527" s="17" t="s">
        <v>312</v>
      </c>
      <c r="AO527" s="17" t="s">
        <v>155</v>
      </c>
      <c r="AP527" s="17" t="s">
        <v>155</v>
      </c>
      <c r="AQ527" s="17" t="s">
        <v>155</v>
      </c>
      <c r="AR527" s="17" t="s">
        <v>155</v>
      </c>
      <c r="BB527" t="s">
        <v>557</v>
      </c>
      <c r="BC527" s="17" t="s">
        <v>155</v>
      </c>
      <c r="BD527" s="17" t="s">
        <v>312</v>
      </c>
      <c r="BE527" s="17" t="s">
        <v>155</v>
      </c>
      <c r="BF527" s="17" t="s">
        <v>155</v>
      </c>
      <c r="BG527" s="17" t="s">
        <v>155</v>
      </c>
    </row>
    <row r="528" spans="24:59" x14ac:dyDescent="0.3">
      <c r="X528" t="s">
        <v>158</v>
      </c>
      <c r="Y528" s="17" t="s">
        <v>155</v>
      </c>
      <c r="Z528" s="17" t="s">
        <v>155</v>
      </c>
      <c r="AA528" s="17" t="s">
        <v>312</v>
      </c>
      <c r="AB528" s="17" t="s">
        <v>155</v>
      </c>
      <c r="AC528" s="17" t="s">
        <v>155</v>
      </c>
      <c r="AM528" t="s">
        <v>542</v>
      </c>
      <c r="AN528" s="17" t="s">
        <v>155</v>
      </c>
      <c r="AO528" s="17" t="s">
        <v>155</v>
      </c>
      <c r="AP528" s="17" t="s">
        <v>155</v>
      </c>
      <c r="AQ528" s="17" t="s">
        <v>155</v>
      </c>
      <c r="AR528" s="17" t="s">
        <v>312</v>
      </c>
      <c r="BB528" t="s">
        <v>542</v>
      </c>
      <c r="BC528" s="17" t="s">
        <v>155</v>
      </c>
      <c r="BD528" s="17" t="s">
        <v>312</v>
      </c>
      <c r="BE528" s="17" t="s">
        <v>155</v>
      </c>
      <c r="BF528" s="17" t="s">
        <v>155</v>
      </c>
      <c r="BG528" s="17" t="s">
        <v>312</v>
      </c>
    </row>
    <row r="529" spans="24:59" x14ac:dyDescent="0.3">
      <c r="X529" t="s">
        <v>159</v>
      </c>
      <c r="Y529" s="17" t="s">
        <v>155</v>
      </c>
      <c r="Z529" s="17" t="s">
        <v>155</v>
      </c>
      <c r="AA529" s="17" t="s">
        <v>312</v>
      </c>
      <c r="AB529" s="17" t="s">
        <v>155</v>
      </c>
      <c r="AC529" s="17" t="s">
        <v>312</v>
      </c>
      <c r="AM529" t="s">
        <v>543</v>
      </c>
      <c r="AN529" s="17" t="s">
        <v>155</v>
      </c>
      <c r="AO529" s="17" t="s">
        <v>155</v>
      </c>
      <c r="AP529" s="17" t="s">
        <v>155</v>
      </c>
      <c r="AQ529" s="17" t="s">
        <v>155</v>
      </c>
      <c r="AR529" s="17" t="s">
        <v>312</v>
      </c>
      <c r="BB529" t="s">
        <v>543</v>
      </c>
      <c r="BC529" s="17" t="s">
        <v>155</v>
      </c>
      <c r="BD529" s="17" t="s">
        <v>155</v>
      </c>
      <c r="BE529" s="17" t="s">
        <v>155</v>
      </c>
      <c r="BF529" s="17" t="s">
        <v>155</v>
      </c>
      <c r="BG529" s="17" t="s">
        <v>312</v>
      </c>
    </row>
    <row r="530" spans="24:59" x14ac:dyDescent="0.3">
      <c r="X530" t="s">
        <v>160</v>
      </c>
      <c r="Y530" s="17" t="s">
        <v>155</v>
      </c>
      <c r="Z530" s="17" t="s">
        <v>155</v>
      </c>
      <c r="AA530" s="17" t="s">
        <v>312</v>
      </c>
      <c r="AB530" s="17" t="s">
        <v>155</v>
      </c>
      <c r="AC530" s="17" t="s">
        <v>312</v>
      </c>
    </row>
    <row r="531" spans="24:59" x14ac:dyDescent="0.3">
      <c r="AM531" t="s">
        <v>724</v>
      </c>
      <c r="BB531" t="s">
        <v>724</v>
      </c>
    </row>
    <row r="532" spans="24:59" x14ac:dyDescent="0.3">
      <c r="X532" t="s">
        <v>698</v>
      </c>
      <c r="AN532" s="17" t="s">
        <v>164</v>
      </c>
      <c r="AO532" s="17" t="s">
        <v>165</v>
      </c>
      <c r="AP532" s="17" t="s">
        <v>166</v>
      </c>
      <c r="AQ532" s="17" t="s">
        <v>167</v>
      </c>
      <c r="AR532" s="17" t="s">
        <v>168</v>
      </c>
      <c r="BC532" s="17" t="s">
        <v>164</v>
      </c>
      <c r="BD532" s="17" t="s">
        <v>165</v>
      </c>
      <c r="BE532" s="17" t="s">
        <v>166</v>
      </c>
      <c r="BF532" s="17" t="s">
        <v>167</v>
      </c>
      <c r="BG532" s="17" t="s">
        <v>168</v>
      </c>
    </row>
    <row r="533" spans="24:59" x14ac:dyDescent="0.3">
      <c r="Y533" s="17" t="s">
        <v>164</v>
      </c>
      <c r="Z533" s="17" t="s">
        <v>165</v>
      </c>
      <c r="AA533" s="17" t="s">
        <v>166</v>
      </c>
      <c r="AB533" s="17" t="s">
        <v>167</v>
      </c>
      <c r="AC533" s="17" t="s">
        <v>168</v>
      </c>
      <c r="AM533" t="s">
        <v>158</v>
      </c>
      <c r="AN533" s="17" t="s">
        <v>155</v>
      </c>
      <c r="AO533" s="17" t="s">
        <v>155</v>
      </c>
      <c r="AP533" s="17" t="s">
        <v>312</v>
      </c>
      <c r="AQ533" s="17" t="s">
        <v>155</v>
      </c>
      <c r="AR533" s="17" t="s">
        <v>155</v>
      </c>
      <c r="BB533" t="s">
        <v>158</v>
      </c>
      <c r="BC533" s="17" t="s">
        <v>312</v>
      </c>
      <c r="BD533" s="17" t="s">
        <v>155</v>
      </c>
      <c r="BE533" s="17" t="s">
        <v>155</v>
      </c>
      <c r="BF533" s="17" t="s">
        <v>155</v>
      </c>
      <c r="BG533" s="17" t="s">
        <v>155</v>
      </c>
    </row>
    <row r="534" spans="24:59" x14ac:dyDescent="0.3">
      <c r="X534" t="s">
        <v>542</v>
      </c>
      <c r="Y534" s="17" t="s">
        <v>272</v>
      </c>
      <c r="Z534" s="17" t="s">
        <v>155</v>
      </c>
      <c r="AA534" s="17" t="s">
        <v>155</v>
      </c>
      <c r="AB534" s="17" t="s">
        <v>272</v>
      </c>
      <c r="AC534" s="17" t="s">
        <v>155</v>
      </c>
      <c r="AM534" t="s">
        <v>159</v>
      </c>
      <c r="AN534" s="17" t="s">
        <v>155</v>
      </c>
      <c r="AO534" s="17" t="s">
        <v>155</v>
      </c>
      <c r="AP534" s="17" t="s">
        <v>312</v>
      </c>
      <c r="AQ534" s="17" t="s">
        <v>155</v>
      </c>
      <c r="AR534" s="17" t="s">
        <v>312</v>
      </c>
      <c r="BB534" t="s">
        <v>159</v>
      </c>
      <c r="BC534" s="17" t="s">
        <v>312</v>
      </c>
      <c r="BD534" s="17" t="s">
        <v>155</v>
      </c>
      <c r="BE534" s="17" t="s">
        <v>155</v>
      </c>
      <c r="BF534" s="17" t="s">
        <v>155</v>
      </c>
      <c r="BG534" s="17" t="s">
        <v>312</v>
      </c>
    </row>
    <row r="535" spans="24:59" x14ac:dyDescent="0.3">
      <c r="X535" t="s">
        <v>543</v>
      </c>
      <c r="Y535" s="17" t="s">
        <v>272</v>
      </c>
      <c r="Z535" s="17" t="s">
        <v>155</v>
      </c>
      <c r="AA535" s="17" t="s">
        <v>155</v>
      </c>
      <c r="AB535" s="17" t="s">
        <v>272</v>
      </c>
      <c r="AC535" s="17" t="s">
        <v>155</v>
      </c>
      <c r="AM535" t="s">
        <v>160</v>
      </c>
      <c r="AN535" s="17" t="s">
        <v>155</v>
      </c>
      <c r="AO535" s="17" t="s">
        <v>155</v>
      </c>
      <c r="AP535" s="17" t="s">
        <v>312</v>
      </c>
      <c r="AQ535" s="17" t="s">
        <v>155</v>
      </c>
      <c r="AR535" s="17" t="s">
        <v>312</v>
      </c>
      <c r="BB535" t="s">
        <v>160</v>
      </c>
      <c r="BC535" s="17" t="s">
        <v>312</v>
      </c>
      <c r="BD535" s="17" t="s">
        <v>155</v>
      </c>
      <c r="BE535" s="17" t="s">
        <v>155</v>
      </c>
      <c r="BF535" s="17" t="s">
        <v>155</v>
      </c>
      <c r="BG535" s="17" t="s">
        <v>312</v>
      </c>
    </row>
    <row r="536" spans="24:59" x14ac:dyDescent="0.3">
      <c r="X536" t="s">
        <v>544</v>
      </c>
      <c r="Y536" s="17" t="s">
        <v>272</v>
      </c>
      <c r="Z536" s="17" t="s">
        <v>155</v>
      </c>
      <c r="AA536" s="17" t="s">
        <v>155</v>
      </c>
      <c r="AB536" s="17" t="s">
        <v>249</v>
      </c>
      <c r="AC536" s="17" t="s">
        <v>155</v>
      </c>
    </row>
    <row r="537" spans="24:59" x14ac:dyDescent="0.3">
      <c r="X537" t="s">
        <v>545</v>
      </c>
      <c r="Y537" s="17" t="s">
        <v>249</v>
      </c>
      <c r="Z537" s="17" t="s">
        <v>155</v>
      </c>
      <c r="AA537" s="17" t="s">
        <v>155</v>
      </c>
      <c r="AB537" s="17" t="s">
        <v>249</v>
      </c>
      <c r="AC537" s="17" t="s">
        <v>155</v>
      </c>
      <c r="AM537" t="s">
        <v>698</v>
      </c>
      <c r="BB537" t="s">
        <v>698</v>
      </c>
    </row>
    <row r="538" spans="24:59" x14ac:dyDescent="0.3">
      <c r="X538" t="s">
        <v>546</v>
      </c>
      <c r="Y538" s="17" t="s">
        <v>249</v>
      </c>
      <c r="Z538" s="17" t="s">
        <v>155</v>
      </c>
      <c r="AA538" s="17" t="s">
        <v>155</v>
      </c>
      <c r="AB538" s="17" t="s">
        <v>155</v>
      </c>
      <c r="AC538" s="17" t="s">
        <v>155</v>
      </c>
      <c r="AN538" s="17" t="s">
        <v>164</v>
      </c>
      <c r="AO538" s="17" t="s">
        <v>165</v>
      </c>
      <c r="AP538" s="17" t="s">
        <v>166</v>
      </c>
      <c r="AQ538" s="17" t="s">
        <v>167</v>
      </c>
      <c r="AR538" s="17" t="s">
        <v>168</v>
      </c>
      <c r="BC538" s="17" t="s">
        <v>164</v>
      </c>
      <c r="BD538" s="17" t="s">
        <v>165</v>
      </c>
      <c r="BE538" s="17" t="s">
        <v>166</v>
      </c>
      <c r="BF538" s="17" t="s">
        <v>167</v>
      </c>
      <c r="BG538" s="17" t="s">
        <v>168</v>
      </c>
    </row>
    <row r="539" spans="24:59" x14ac:dyDescent="0.3">
      <c r="AM539" t="s">
        <v>542</v>
      </c>
      <c r="AN539" s="17" t="s">
        <v>272</v>
      </c>
      <c r="AO539" s="17" t="s">
        <v>155</v>
      </c>
      <c r="AP539" s="17" t="s">
        <v>155</v>
      </c>
      <c r="AQ539" s="17" t="s">
        <v>272</v>
      </c>
      <c r="AR539" s="17" t="s">
        <v>155</v>
      </c>
      <c r="BB539" t="s">
        <v>542</v>
      </c>
      <c r="BC539" s="17" t="s">
        <v>272</v>
      </c>
      <c r="BD539" s="17" t="s">
        <v>155</v>
      </c>
      <c r="BE539" s="17" t="s">
        <v>155</v>
      </c>
      <c r="BF539" s="17" t="s">
        <v>272</v>
      </c>
      <c r="BG539" s="17" t="s">
        <v>155</v>
      </c>
    </row>
    <row r="540" spans="24:59" x14ac:dyDescent="0.3">
      <c r="X540" t="s">
        <v>736</v>
      </c>
      <c r="AM540" t="s">
        <v>543</v>
      </c>
      <c r="AN540" s="17" t="s">
        <v>272</v>
      </c>
      <c r="AO540" s="17" t="s">
        <v>155</v>
      </c>
      <c r="AP540" s="17" t="s">
        <v>155</v>
      </c>
      <c r="AQ540" s="17" t="s">
        <v>272</v>
      </c>
      <c r="AR540" s="17" t="s">
        <v>155</v>
      </c>
      <c r="BB540" t="s">
        <v>543</v>
      </c>
      <c r="BC540" s="17" t="s">
        <v>272</v>
      </c>
      <c r="BD540" s="17" t="s">
        <v>155</v>
      </c>
      <c r="BE540" s="17" t="s">
        <v>155</v>
      </c>
      <c r="BF540" s="17" t="s">
        <v>272</v>
      </c>
      <c r="BG540" s="17" t="s">
        <v>155</v>
      </c>
    </row>
    <row r="541" spans="24:59" x14ac:dyDescent="0.3">
      <c r="Y541" s="17" t="s">
        <v>164</v>
      </c>
      <c r="Z541" s="17" t="s">
        <v>165</v>
      </c>
      <c r="AA541" s="17" t="s">
        <v>166</v>
      </c>
      <c r="AB541" s="17" t="s">
        <v>167</v>
      </c>
      <c r="AC541" s="17" t="s">
        <v>168</v>
      </c>
      <c r="AM541" t="s">
        <v>544</v>
      </c>
      <c r="AN541" s="17" t="s">
        <v>272</v>
      </c>
      <c r="AO541" s="17" t="s">
        <v>155</v>
      </c>
      <c r="AP541" s="17" t="s">
        <v>155</v>
      </c>
      <c r="AQ541" s="17" t="s">
        <v>249</v>
      </c>
      <c r="AR541" s="17" t="s">
        <v>155</v>
      </c>
      <c r="BB541" t="s">
        <v>544</v>
      </c>
      <c r="BC541" s="17" t="s">
        <v>272</v>
      </c>
      <c r="BD541" s="17" t="s">
        <v>155</v>
      </c>
      <c r="BE541" s="17" t="s">
        <v>155</v>
      </c>
      <c r="BF541" s="17" t="s">
        <v>249</v>
      </c>
      <c r="BG541" s="17" t="s">
        <v>155</v>
      </c>
    </row>
    <row r="542" spans="24:59" x14ac:dyDescent="0.3">
      <c r="X542" t="s">
        <v>548</v>
      </c>
      <c r="Y542" s="17" t="s">
        <v>155</v>
      </c>
      <c r="Z542" s="17" t="s">
        <v>347</v>
      </c>
      <c r="AA542" s="17" t="s">
        <v>155</v>
      </c>
      <c r="AB542" s="17" t="s">
        <v>155</v>
      </c>
      <c r="AC542" s="17" t="s">
        <v>347</v>
      </c>
      <c r="AM542" t="s">
        <v>545</v>
      </c>
      <c r="AN542" s="17" t="s">
        <v>249</v>
      </c>
      <c r="AO542" s="17" t="s">
        <v>155</v>
      </c>
      <c r="AP542" s="17" t="s">
        <v>155</v>
      </c>
      <c r="AQ542" s="17" t="s">
        <v>249</v>
      </c>
      <c r="AR542" s="17" t="s">
        <v>155</v>
      </c>
      <c r="BB542" t="s">
        <v>545</v>
      </c>
      <c r="BC542" s="17" t="s">
        <v>249</v>
      </c>
      <c r="BD542" s="17" t="s">
        <v>155</v>
      </c>
      <c r="BE542" s="17" t="s">
        <v>155</v>
      </c>
      <c r="BF542" s="17" t="s">
        <v>249</v>
      </c>
      <c r="BG542" s="17" t="s">
        <v>155</v>
      </c>
    </row>
    <row r="543" spans="24:59" x14ac:dyDescent="0.3">
      <c r="X543" t="s">
        <v>549</v>
      </c>
      <c r="Y543" s="17" t="s">
        <v>155</v>
      </c>
      <c r="Z543" s="17" t="s">
        <v>347</v>
      </c>
      <c r="AA543" s="17" t="s">
        <v>155</v>
      </c>
      <c r="AB543" s="17" t="s">
        <v>155</v>
      </c>
      <c r="AC543" s="17" t="s">
        <v>347</v>
      </c>
      <c r="AM543" t="s">
        <v>546</v>
      </c>
      <c r="AN543" s="17" t="s">
        <v>249</v>
      </c>
      <c r="AO543" s="17" t="s">
        <v>155</v>
      </c>
      <c r="AP543" s="17" t="s">
        <v>155</v>
      </c>
      <c r="AQ543" s="17" t="s">
        <v>155</v>
      </c>
      <c r="AR543" s="17" t="s">
        <v>155</v>
      </c>
      <c r="BB543" t="s">
        <v>546</v>
      </c>
      <c r="BC543" s="17" t="s">
        <v>249</v>
      </c>
      <c r="BD543" s="17" t="s">
        <v>155</v>
      </c>
      <c r="BE543" s="17" t="s">
        <v>155</v>
      </c>
      <c r="BF543" s="17" t="s">
        <v>155</v>
      </c>
      <c r="BG543" s="17" t="s">
        <v>155</v>
      </c>
    </row>
    <row r="544" spans="24:59" x14ac:dyDescent="0.3">
      <c r="X544" t="s">
        <v>158</v>
      </c>
      <c r="Y544" s="17" t="s">
        <v>155</v>
      </c>
      <c r="Z544" s="17" t="s">
        <v>155</v>
      </c>
      <c r="AA544" s="17" t="s">
        <v>155</v>
      </c>
      <c r="AB544" s="17" t="s">
        <v>155</v>
      </c>
      <c r="AC544" s="17" t="s">
        <v>347</v>
      </c>
    </row>
    <row r="545" spans="24:59" x14ac:dyDescent="0.3">
      <c r="X545" t="s">
        <v>159</v>
      </c>
      <c r="Y545" s="17" t="s">
        <v>155</v>
      </c>
      <c r="Z545" s="17" t="s">
        <v>347</v>
      </c>
      <c r="AA545" s="17" t="s">
        <v>155</v>
      </c>
      <c r="AB545" s="17" t="s">
        <v>155</v>
      </c>
      <c r="AC545" s="17" t="s">
        <v>347</v>
      </c>
      <c r="AM545" t="s">
        <v>736</v>
      </c>
      <c r="BB545" t="s">
        <v>736</v>
      </c>
    </row>
    <row r="546" spans="24:59" x14ac:dyDescent="0.3">
      <c r="X546" t="s">
        <v>160</v>
      </c>
      <c r="Y546" s="17" t="s">
        <v>155</v>
      </c>
      <c r="Z546" s="17" t="s">
        <v>347</v>
      </c>
      <c r="AA546" s="17" t="s">
        <v>155</v>
      </c>
      <c r="AB546" s="17" t="s">
        <v>155</v>
      </c>
      <c r="AC546" s="17" t="s">
        <v>155</v>
      </c>
      <c r="AN546" s="17" t="s">
        <v>164</v>
      </c>
      <c r="AO546" s="17" t="s">
        <v>165</v>
      </c>
      <c r="AP546" s="17" t="s">
        <v>166</v>
      </c>
      <c r="AQ546" s="17" t="s">
        <v>167</v>
      </c>
      <c r="AR546" s="17" t="s">
        <v>168</v>
      </c>
      <c r="BC546" s="17" t="s">
        <v>164</v>
      </c>
      <c r="BD546" s="17" t="s">
        <v>165</v>
      </c>
      <c r="BE546" s="17" t="s">
        <v>166</v>
      </c>
      <c r="BF546" s="17" t="s">
        <v>167</v>
      </c>
      <c r="BG546" s="17" t="s">
        <v>168</v>
      </c>
    </row>
    <row r="547" spans="24:59" x14ac:dyDescent="0.3">
      <c r="AM547" t="s">
        <v>548</v>
      </c>
      <c r="AN547" s="17" t="s">
        <v>155</v>
      </c>
      <c r="AO547" s="17" t="s">
        <v>347</v>
      </c>
      <c r="AP547" s="17" t="s">
        <v>155</v>
      </c>
      <c r="AQ547" s="17" t="s">
        <v>155</v>
      </c>
      <c r="AR547" s="17" t="s">
        <v>347</v>
      </c>
      <c r="BB547" t="s">
        <v>548</v>
      </c>
      <c r="BC547" s="17" t="s">
        <v>155</v>
      </c>
      <c r="BD547" s="17" t="s">
        <v>347</v>
      </c>
      <c r="BE547" s="17" t="s">
        <v>155</v>
      </c>
      <c r="BF547" s="17" t="s">
        <v>155</v>
      </c>
      <c r="BG547" s="17" t="s">
        <v>347</v>
      </c>
    </row>
    <row r="548" spans="24:59" x14ac:dyDescent="0.3">
      <c r="X548" t="s">
        <v>717</v>
      </c>
      <c r="AM548" t="s">
        <v>549</v>
      </c>
      <c r="AN548" s="17" t="s">
        <v>155</v>
      </c>
      <c r="AO548" s="17" t="s">
        <v>347</v>
      </c>
      <c r="AP548" s="17" t="s">
        <v>155</v>
      </c>
      <c r="AQ548" s="17" t="s">
        <v>155</v>
      </c>
      <c r="AR548" s="17" t="s">
        <v>347</v>
      </c>
      <c r="BB548" t="s">
        <v>549</v>
      </c>
      <c r="BC548" s="17" t="s">
        <v>155</v>
      </c>
      <c r="BD548" s="17" t="s">
        <v>347</v>
      </c>
      <c r="BE548" s="17" t="s">
        <v>155</v>
      </c>
      <c r="BF548" s="17" t="s">
        <v>155</v>
      </c>
      <c r="BG548" s="17" t="s">
        <v>347</v>
      </c>
    </row>
    <row r="549" spans="24:59" x14ac:dyDescent="0.3">
      <c r="Y549" s="17" t="s">
        <v>164</v>
      </c>
      <c r="Z549" s="17" t="s">
        <v>165</v>
      </c>
      <c r="AA549" s="17" t="s">
        <v>166</v>
      </c>
      <c r="AB549" s="17" t="s">
        <v>167</v>
      </c>
      <c r="AC549" s="17" t="s">
        <v>168</v>
      </c>
      <c r="AM549" t="s">
        <v>158</v>
      </c>
      <c r="AN549" s="17" t="s">
        <v>155</v>
      </c>
      <c r="AO549" s="17" t="s">
        <v>155</v>
      </c>
      <c r="AP549" s="17" t="s">
        <v>155</v>
      </c>
      <c r="AQ549" s="17" t="s">
        <v>155</v>
      </c>
      <c r="AR549" s="17" t="s">
        <v>347</v>
      </c>
      <c r="BB549" t="s">
        <v>158</v>
      </c>
      <c r="BC549" s="17" t="s">
        <v>155</v>
      </c>
      <c r="BD549" s="17" t="s">
        <v>155</v>
      </c>
      <c r="BE549" s="17" t="s">
        <v>155</v>
      </c>
      <c r="BF549" s="17" t="s">
        <v>155</v>
      </c>
      <c r="BG549" s="17" t="s">
        <v>347</v>
      </c>
    </row>
    <row r="550" spans="24:59" x14ac:dyDescent="0.3">
      <c r="X550" t="s">
        <v>548</v>
      </c>
      <c r="Y550" s="17" t="s">
        <v>155</v>
      </c>
      <c r="Z550" s="17" t="s">
        <v>155</v>
      </c>
      <c r="AA550" s="17" t="s">
        <v>155</v>
      </c>
      <c r="AB550" s="17" t="s">
        <v>155</v>
      </c>
      <c r="AC550" s="17" t="s">
        <v>9</v>
      </c>
      <c r="AM550" t="s">
        <v>159</v>
      </c>
      <c r="AN550" s="17" t="s">
        <v>155</v>
      </c>
      <c r="AO550" s="17" t="s">
        <v>347</v>
      </c>
      <c r="AP550" s="17" t="s">
        <v>155</v>
      </c>
      <c r="AQ550" s="17" t="s">
        <v>155</v>
      </c>
      <c r="AR550" s="17" t="s">
        <v>347</v>
      </c>
      <c r="BB550" t="s">
        <v>159</v>
      </c>
      <c r="BC550" s="17" t="s">
        <v>155</v>
      </c>
      <c r="BD550" s="17" t="s">
        <v>347</v>
      </c>
      <c r="BE550" s="17" t="s">
        <v>155</v>
      </c>
      <c r="BF550" s="17" t="s">
        <v>155</v>
      </c>
      <c r="BG550" s="17" t="s">
        <v>347</v>
      </c>
    </row>
    <row r="551" spans="24:59" x14ac:dyDescent="0.3">
      <c r="X551" t="s">
        <v>549</v>
      </c>
      <c r="Y551" s="17" t="s">
        <v>155</v>
      </c>
      <c r="Z551" s="17" t="s">
        <v>155</v>
      </c>
      <c r="AA551" s="17" t="s">
        <v>155</v>
      </c>
      <c r="AB551" s="17" t="s">
        <v>155</v>
      </c>
      <c r="AC551" s="17" t="s">
        <v>9</v>
      </c>
      <c r="AM551" t="s">
        <v>160</v>
      </c>
      <c r="AN551" s="17" t="s">
        <v>155</v>
      </c>
      <c r="AO551" s="17" t="s">
        <v>347</v>
      </c>
      <c r="AP551" s="17" t="s">
        <v>155</v>
      </c>
      <c r="AQ551" s="17" t="s">
        <v>155</v>
      </c>
      <c r="AR551" s="17" t="s">
        <v>155</v>
      </c>
      <c r="BB551" t="s">
        <v>160</v>
      </c>
      <c r="BC551" s="17" t="s">
        <v>155</v>
      </c>
      <c r="BD551" s="17" t="s">
        <v>347</v>
      </c>
      <c r="BE551" s="17" t="s">
        <v>155</v>
      </c>
      <c r="BF551" s="17" t="s">
        <v>155</v>
      </c>
      <c r="BG551" s="17" t="s">
        <v>155</v>
      </c>
    </row>
    <row r="552" spans="24:59" x14ac:dyDescent="0.3">
      <c r="X552" t="s">
        <v>159</v>
      </c>
      <c r="Y552" s="17" t="s">
        <v>155</v>
      </c>
      <c r="Z552" s="17" t="s">
        <v>155</v>
      </c>
      <c r="AA552" s="17" t="s">
        <v>155</v>
      </c>
      <c r="AB552" s="17" t="s">
        <v>9</v>
      </c>
      <c r="AC552" s="17" t="s">
        <v>9</v>
      </c>
    </row>
    <row r="553" spans="24:59" x14ac:dyDescent="0.3">
      <c r="X553" t="s">
        <v>160</v>
      </c>
      <c r="Y553" s="17" t="s">
        <v>155</v>
      </c>
      <c r="Z553" s="17" t="s">
        <v>155</v>
      </c>
      <c r="AA553" s="17" t="s">
        <v>155</v>
      </c>
      <c r="AB553" s="17" t="s">
        <v>9</v>
      </c>
      <c r="AC553" s="17" t="s">
        <v>9</v>
      </c>
      <c r="AM553" t="s">
        <v>717</v>
      </c>
      <c r="BB553" t="s">
        <v>717</v>
      </c>
    </row>
    <row r="554" spans="24:59" x14ac:dyDescent="0.3">
      <c r="X554" t="s">
        <v>556</v>
      </c>
      <c r="Y554" s="17" t="s">
        <v>155</v>
      </c>
      <c r="Z554" s="17" t="s">
        <v>155</v>
      </c>
      <c r="AA554" s="17" t="s">
        <v>155</v>
      </c>
      <c r="AB554" s="17" t="s">
        <v>155</v>
      </c>
      <c r="AC554" s="17" t="s">
        <v>9</v>
      </c>
      <c r="AN554" s="17" t="s">
        <v>164</v>
      </c>
      <c r="AO554" s="17" t="s">
        <v>165</v>
      </c>
      <c r="AP554" s="17" t="s">
        <v>166</v>
      </c>
      <c r="AQ554" s="17" t="s">
        <v>167</v>
      </c>
      <c r="AR554" s="17" t="s">
        <v>168</v>
      </c>
      <c r="BC554" s="17" t="s">
        <v>164</v>
      </c>
      <c r="BD554" s="17" t="s">
        <v>165</v>
      </c>
      <c r="BE554" s="17" t="s">
        <v>166</v>
      </c>
      <c r="BF554" s="17" t="s">
        <v>167</v>
      </c>
      <c r="BG554" s="17" t="s">
        <v>168</v>
      </c>
    </row>
    <row r="555" spans="24:59" x14ac:dyDescent="0.3">
      <c r="X555" t="s">
        <v>557</v>
      </c>
      <c r="Y555" s="17" t="s">
        <v>155</v>
      </c>
      <c r="Z555" s="17" t="s">
        <v>155</v>
      </c>
      <c r="AA555" s="17" t="s">
        <v>155</v>
      </c>
      <c r="AB555" s="17" t="s">
        <v>155</v>
      </c>
      <c r="AC555" s="17" t="s">
        <v>9</v>
      </c>
      <c r="AM555" t="s">
        <v>548</v>
      </c>
      <c r="AN555" s="17" t="s">
        <v>155</v>
      </c>
      <c r="AO555" s="17" t="s">
        <v>155</v>
      </c>
      <c r="AP555" s="17" t="s">
        <v>155</v>
      </c>
      <c r="AQ555" s="17" t="s">
        <v>155</v>
      </c>
      <c r="AR555" s="17" t="s">
        <v>9</v>
      </c>
      <c r="BB555" t="s">
        <v>548</v>
      </c>
      <c r="BC555" s="17" t="s">
        <v>155</v>
      </c>
      <c r="BD555" s="17" t="s">
        <v>155</v>
      </c>
      <c r="BE555" s="17" t="s">
        <v>155</v>
      </c>
      <c r="BF555" s="17" t="s">
        <v>155</v>
      </c>
      <c r="BG555" s="17" t="s">
        <v>9</v>
      </c>
    </row>
    <row r="556" spans="24:59" x14ac:dyDescent="0.3">
      <c r="AM556" t="s">
        <v>549</v>
      </c>
      <c r="AN556" s="17" t="s">
        <v>155</v>
      </c>
      <c r="AO556" s="17" t="s">
        <v>155</v>
      </c>
      <c r="AP556" s="17" t="s">
        <v>155</v>
      </c>
      <c r="AQ556" s="17" t="s">
        <v>155</v>
      </c>
      <c r="AR556" s="17" t="s">
        <v>9</v>
      </c>
      <c r="BB556" t="s">
        <v>549</v>
      </c>
      <c r="BC556" s="17" t="s">
        <v>155</v>
      </c>
      <c r="BD556" s="17" t="s">
        <v>155</v>
      </c>
      <c r="BE556" s="17" t="s">
        <v>155</v>
      </c>
      <c r="BF556" s="17" t="s">
        <v>155</v>
      </c>
      <c r="BG556" s="17" t="s">
        <v>9</v>
      </c>
    </row>
    <row r="557" spans="24:59" x14ac:dyDescent="0.3">
      <c r="X557" t="s">
        <v>699</v>
      </c>
      <c r="AM557" t="s">
        <v>159</v>
      </c>
      <c r="AN557" s="17" t="s">
        <v>155</v>
      </c>
      <c r="AO557" s="17" t="s">
        <v>155</v>
      </c>
      <c r="AP557" s="17" t="s">
        <v>155</v>
      </c>
      <c r="AQ557" s="17" t="s">
        <v>9</v>
      </c>
      <c r="AR557" s="17" t="s">
        <v>9</v>
      </c>
      <c r="BB557" t="s">
        <v>159</v>
      </c>
      <c r="BC557" s="17" t="s">
        <v>155</v>
      </c>
      <c r="BD557" s="17" t="s">
        <v>155</v>
      </c>
      <c r="BE557" s="17" t="s">
        <v>155</v>
      </c>
      <c r="BF557" s="17" t="s">
        <v>9</v>
      </c>
      <c r="BG557" s="17" t="s">
        <v>9</v>
      </c>
    </row>
    <row r="558" spans="24:59" x14ac:dyDescent="0.3">
      <c r="Y558" s="17" t="s">
        <v>164</v>
      </c>
      <c r="Z558" s="17" t="s">
        <v>165</v>
      </c>
      <c r="AA558" s="17" t="s">
        <v>166</v>
      </c>
      <c r="AB558" s="17" t="s">
        <v>167</v>
      </c>
      <c r="AC558" s="17" t="s">
        <v>168</v>
      </c>
      <c r="AM558" t="s">
        <v>160</v>
      </c>
      <c r="AN558" s="17" t="s">
        <v>155</v>
      </c>
      <c r="AO558" s="17" t="s">
        <v>155</v>
      </c>
      <c r="AP558" s="17" t="s">
        <v>155</v>
      </c>
      <c r="AQ558" s="17" t="s">
        <v>9</v>
      </c>
      <c r="AR558" s="17" t="s">
        <v>9</v>
      </c>
      <c r="BB558" t="s">
        <v>160</v>
      </c>
      <c r="BC558" s="17" t="s">
        <v>155</v>
      </c>
      <c r="BD558" s="17" t="s">
        <v>155</v>
      </c>
      <c r="BE558" s="17" t="s">
        <v>155</v>
      </c>
      <c r="BF558" s="17" t="s">
        <v>9</v>
      </c>
      <c r="BG558" s="17" t="s">
        <v>9</v>
      </c>
    </row>
    <row r="559" spans="24:59" x14ac:dyDescent="0.3">
      <c r="X559" t="s">
        <v>542</v>
      </c>
      <c r="Y559" s="17" t="s">
        <v>155</v>
      </c>
      <c r="Z559" s="17" t="s">
        <v>252</v>
      </c>
      <c r="AA559" s="17" t="s">
        <v>155</v>
      </c>
      <c r="AB559" s="17" t="s">
        <v>252</v>
      </c>
      <c r="AC559" s="17" t="s">
        <v>155</v>
      </c>
      <c r="AM559" t="s">
        <v>554</v>
      </c>
      <c r="AN559" s="17" t="s">
        <v>155</v>
      </c>
      <c r="AO559" s="17" t="s">
        <v>155</v>
      </c>
      <c r="AP559" s="17" t="s">
        <v>155</v>
      </c>
      <c r="AQ559" s="17" t="s">
        <v>155</v>
      </c>
      <c r="AR559" s="17" t="s">
        <v>9</v>
      </c>
      <c r="BB559" t="s">
        <v>556</v>
      </c>
      <c r="BC559" s="17" t="s">
        <v>155</v>
      </c>
      <c r="BD559" s="17" t="s">
        <v>155</v>
      </c>
      <c r="BE559" s="17" t="s">
        <v>155</v>
      </c>
      <c r="BF559" s="17" t="s">
        <v>155</v>
      </c>
      <c r="BG559" s="17" t="s">
        <v>9</v>
      </c>
    </row>
    <row r="560" spans="24:59" x14ac:dyDescent="0.3">
      <c r="X560" t="s">
        <v>543</v>
      </c>
      <c r="Y560" s="17" t="s">
        <v>155</v>
      </c>
      <c r="Z560" s="17" t="s">
        <v>252</v>
      </c>
      <c r="AA560" s="17" t="s">
        <v>155</v>
      </c>
      <c r="AB560" s="17" t="s">
        <v>252</v>
      </c>
      <c r="AC560" s="17" t="s">
        <v>155</v>
      </c>
      <c r="AM560" t="s">
        <v>555</v>
      </c>
      <c r="AN560" s="17" t="s">
        <v>155</v>
      </c>
      <c r="AO560" s="17" t="s">
        <v>155</v>
      </c>
      <c r="AP560" s="17" t="s">
        <v>155</v>
      </c>
      <c r="AQ560" s="17" t="s">
        <v>155</v>
      </c>
      <c r="AR560" s="17" t="s">
        <v>9</v>
      </c>
      <c r="BB560" t="s">
        <v>557</v>
      </c>
      <c r="BC560" s="17" t="s">
        <v>155</v>
      </c>
      <c r="BD560" s="17" t="s">
        <v>155</v>
      </c>
      <c r="BE560" s="17" t="s">
        <v>155</v>
      </c>
      <c r="BF560" s="17" t="s">
        <v>155</v>
      </c>
      <c r="BG560" s="17" t="s">
        <v>9</v>
      </c>
    </row>
    <row r="562" spans="24:59" x14ac:dyDescent="0.3">
      <c r="X562" t="s">
        <v>734</v>
      </c>
      <c r="AM562" t="s">
        <v>699</v>
      </c>
      <c r="BB562" t="s">
        <v>699</v>
      </c>
    </row>
    <row r="563" spans="24:59" x14ac:dyDescent="0.3">
      <c r="Y563" s="17" t="s">
        <v>164</v>
      </c>
      <c r="Z563" s="17" t="s">
        <v>165</v>
      </c>
      <c r="AA563" s="17" t="s">
        <v>166</v>
      </c>
      <c r="AB563" s="17" t="s">
        <v>167</v>
      </c>
      <c r="AC563" s="17" t="s">
        <v>168</v>
      </c>
      <c r="AN563" s="17" t="s">
        <v>164</v>
      </c>
      <c r="AO563" s="17" t="s">
        <v>165</v>
      </c>
      <c r="AP563" s="17" t="s">
        <v>166</v>
      </c>
      <c r="AQ563" s="17" t="s">
        <v>167</v>
      </c>
      <c r="AR563" s="17" t="s">
        <v>168</v>
      </c>
      <c r="BC563" s="17" t="s">
        <v>164</v>
      </c>
      <c r="BD563" s="17" t="s">
        <v>165</v>
      </c>
      <c r="BE563" s="17" t="s">
        <v>166</v>
      </c>
      <c r="BF563" s="17" t="s">
        <v>167</v>
      </c>
      <c r="BG563" s="17" t="s">
        <v>168</v>
      </c>
    </row>
    <row r="564" spans="24:59" x14ac:dyDescent="0.3">
      <c r="X564" t="s">
        <v>548</v>
      </c>
      <c r="Y564" s="17" t="s">
        <v>155</v>
      </c>
      <c r="Z564" s="17" t="s">
        <v>155</v>
      </c>
      <c r="AA564" s="17" t="s">
        <v>155</v>
      </c>
      <c r="AB564" s="17" t="s">
        <v>342</v>
      </c>
      <c r="AC564" s="17" t="s">
        <v>155</v>
      </c>
      <c r="AM564" t="s">
        <v>542</v>
      </c>
      <c r="AN564" s="17" t="s">
        <v>155</v>
      </c>
      <c r="AO564" s="17" t="s">
        <v>252</v>
      </c>
      <c r="AP564" s="17" t="s">
        <v>155</v>
      </c>
      <c r="AQ564" s="17" t="s">
        <v>252</v>
      </c>
      <c r="AR564" s="17" t="s">
        <v>155</v>
      </c>
      <c r="BB564" t="s">
        <v>542</v>
      </c>
      <c r="BC564" s="17" t="s">
        <v>155</v>
      </c>
      <c r="BD564" s="17" t="s">
        <v>252</v>
      </c>
      <c r="BE564" s="17" t="s">
        <v>155</v>
      </c>
      <c r="BF564" s="17" t="s">
        <v>252</v>
      </c>
      <c r="BG564" s="17" t="s">
        <v>155</v>
      </c>
    </row>
    <row r="565" spans="24:59" x14ac:dyDescent="0.3">
      <c r="X565" t="s">
        <v>549</v>
      </c>
      <c r="Y565" s="17" t="s">
        <v>155</v>
      </c>
      <c r="Z565" s="17" t="s">
        <v>155</v>
      </c>
      <c r="AA565" s="17" t="s">
        <v>155</v>
      </c>
      <c r="AB565" s="17" t="s">
        <v>342</v>
      </c>
      <c r="AC565" s="17" t="s">
        <v>155</v>
      </c>
      <c r="AM565" t="s">
        <v>543</v>
      </c>
      <c r="AN565" s="17" t="s">
        <v>155</v>
      </c>
      <c r="AO565" s="17" t="s">
        <v>252</v>
      </c>
      <c r="AP565" s="17" t="s">
        <v>155</v>
      </c>
      <c r="AQ565" s="17" t="s">
        <v>252</v>
      </c>
      <c r="AR565" s="17" t="s">
        <v>155</v>
      </c>
      <c r="BB565" t="s">
        <v>543</v>
      </c>
      <c r="BC565" s="17" t="s">
        <v>155</v>
      </c>
      <c r="BD565" s="17" t="s">
        <v>252</v>
      </c>
      <c r="BE565" s="17" t="s">
        <v>155</v>
      </c>
      <c r="BF565" s="17" t="s">
        <v>252</v>
      </c>
      <c r="BG565" s="17" t="s">
        <v>155</v>
      </c>
    </row>
    <row r="566" spans="24:59" x14ac:dyDescent="0.3">
      <c r="X566" t="s">
        <v>550</v>
      </c>
      <c r="Y566" s="17" t="s">
        <v>155</v>
      </c>
      <c r="Z566" s="17" t="s">
        <v>155</v>
      </c>
      <c r="AA566" s="17" t="s">
        <v>155</v>
      </c>
      <c r="AB566" s="17" t="s">
        <v>342</v>
      </c>
      <c r="AC566" s="17" t="s">
        <v>155</v>
      </c>
    </row>
    <row r="567" spans="24:59" x14ac:dyDescent="0.3">
      <c r="AM567" t="s">
        <v>734</v>
      </c>
      <c r="BB567" t="s">
        <v>734</v>
      </c>
    </row>
    <row r="568" spans="24:59" x14ac:dyDescent="0.3">
      <c r="X568" t="s">
        <v>739</v>
      </c>
      <c r="AN568" s="17" t="s">
        <v>164</v>
      </c>
      <c r="AO568" s="17" t="s">
        <v>165</v>
      </c>
      <c r="AP568" s="17" t="s">
        <v>166</v>
      </c>
      <c r="AQ568" s="17" t="s">
        <v>167</v>
      </c>
      <c r="AR568" s="17" t="s">
        <v>168</v>
      </c>
      <c r="BC568" s="17" t="s">
        <v>164</v>
      </c>
      <c r="BD568" s="17" t="s">
        <v>165</v>
      </c>
      <c r="BE568" s="17" t="s">
        <v>166</v>
      </c>
      <c r="BF568" s="17" t="s">
        <v>167</v>
      </c>
      <c r="BG568" s="17" t="s">
        <v>168</v>
      </c>
    </row>
    <row r="569" spans="24:59" x14ac:dyDescent="0.3">
      <c r="Y569" s="17" t="s">
        <v>164</v>
      </c>
      <c r="Z569" s="17" t="s">
        <v>165</v>
      </c>
      <c r="AA569" s="17" t="s">
        <v>166</v>
      </c>
      <c r="AB569" s="17" t="s">
        <v>167</v>
      </c>
      <c r="AC569" s="17" t="s">
        <v>168</v>
      </c>
      <c r="AM569" t="s">
        <v>548</v>
      </c>
      <c r="AN569" s="17" t="s">
        <v>155</v>
      </c>
      <c r="AO569" s="17" t="s">
        <v>155</v>
      </c>
      <c r="AP569" s="17" t="s">
        <v>155</v>
      </c>
      <c r="AQ569" s="17" t="s">
        <v>342</v>
      </c>
      <c r="AR569" s="17" t="s">
        <v>155</v>
      </c>
      <c r="BB569" t="s">
        <v>548</v>
      </c>
      <c r="BC569" s="17" t="s">
        <v>155</v>
      </c>
      <c r="BD569" s="17" t="s">
        <v>155</v>
      </c>
      <c r="BE569" s="17" t="s">
        <v>155</v>
      </c>
      <c r="BF569" s="17" t="s">
        <v>342</v>
      </c>
      <c r="BG569" s="17" t="s">
        <v>155</v>
      </c>
    </row>
    <row r="570" spans="24:59" x14ac:dyDescent="0.3">
      <c r="X570" t="s">
        <v>548</v>
      </c>
      <c r="Y570" s="17" t="s">
        <v>257</v>
      </c>
      <c r="Z570" s="17" t="s">
        <v>155</v>
      </c>
      <c r="AA570" s="17" t="s">
        <v>155</v>
      </c>
      <c r="AB570" s="17" t="s">
        <v>155</v>
      </c>
      <c r="AC570" s="17" t="s">
        <v>155</v>
      </c>
      <c r="AM570" t="s">
        <v>549</v>
      </c>
      <c r="AN570" s="17" t="s">
        <v>155</v>
      </c>
      <c r="AO570" s="17" t="s">
        <v>155</v>
      </c>
      <c r="AP570" s="17" t="s">
        <v>155</v>
      </c>
      <c r="AQ570" s="17" t="s">
        <v>342</v>
      </c>
      <c r="AR570" s="17" t="s">
        <v>155</v>
      </c>
      <c r="BB570" t="s">
        <v>549</v>
      </c>
      <c r="BC570" s="17" t="s">
        <v>155</v>
      </c>
      <c r="BD570" s="17" t="s">
        <v>155</v>
      </c>
      <c r="BE570" s="17" t="s">
        <v>155</v>
      </c>
      <c r="BF570" s="17" t="s">
        <v>342</v>
      </c>
      <c r="BG570" s="17" t="s">
        <v>155</v>
      </c>
    </row>
    <row r="571" spans="24:59" x14ac:dyDescent="0.3">
      <c r="X571" t="s">
        <v>549</v>
      </c>
      <c r="Y571" s="17" t="s">
        <v>257</v>
      </c>
      <c r="Z571" s="17" t="s">
        <v>155</v>
      </c>
      <c r="AA571" s="17" t="s">
        <v>155</v>
      </c>
      <c r="AB571" s="17" t="s">
        <v>155</v>
      </c>
      <c r="AC571" s="17" t="s">
        <v>155</v>
      </c>
      <c r="AM571" t="s">
        <v>550</v>
      </c>
      <c r="AN571" s="17" t="s">
        <v>155</v>
      </c>
      <c r="AO571" s="17" t="s">
        <v>155</v>
      </c>
      <c r="AP571" s="17" t="s">
        <v>155</v>
      </c>
      <c r="AQ571" s="17" t="s">
        <v>342</v>
      </c>
      <c r="AR571" s="17" t="s">
        <v>155</v>
      </c>
      <c r="BB571" t="s">
        <v>550</v>
      </c>
      <c r="BC571" s="17" t="s">
        <v>155</v>
      </c>
      <c r="BD571" s="17" t="s">
        <v>155</v>
      </c>
      <c r="BE571" s="17" t="s">
        <v>155</v>
      </c>
      <c r="BF571" s="17" t="s">
        <v>342</v>
      </c>
      <c r="BG571" s="17" t="s">
        <v>155</v>
      </c>
    </row>
    <row r="572" spans="24:59" x14ac:dyDescent="0.3">
      <c r="X572" t="s">
        <v>550</v>
      </c>
      <c r="Y572" s="17" t="s">
        <v>257</v>
      </c>
      <c r="Z572" s="17" t="s">
        <v>155</v>
      </c>
      <c r="AA572" s="17" t="s">
        <v>155</v>
      </c>
      <c r="AB572" s="17" t="s">
        <v>155</v>
      </c>
      <c r="AC572" s="17" t="s">
        <v>155</v>
      </c>
    </row>
    <row r="573" spans="24:59" x14ac:dyDescent="0.3">
      <c r="X573" t="s">
        <v>158</v>
      </c>
      <c r="Y573" s="17" t="s">
        <v>155</v>
      </c>
      <c r="Z573" s="17" t="s">
        <v>155</v>
      </c>
      <c r="AA573" s="17" t="s">
        <v>155</v>
      </c>
      <c r="AB573" s="17" t="s">
        <v>257</v>
      </c>
      <c r="AC573" s="17" t="s">
        <v>155</v>
      </c>
      <c r="AM573" t="s">
        <v>739</v>
      </c>
      <c r="BB573" t="s">
        <v>739</v>
      </c>
    </row>
    <row r="574" spans="24:59" x14ac:dyDescent="0.3">
      <c r="X574" t="s">
        <v>159</v>
      </c>
      <c r="Y574" s="17" t="s">
        <v>155</v>
      </c>
      <c r="Z574" s="17" t="s">
        <v>155</v>
      </c>
      <c r="AA574" s="17" t="s">
        <v>155</v>
      </c>
      <c r="AB574" s="17" t="s">
        <v>257</v>
      </c>
      <c r="AC574" s="17" t="s">
        <v>155</v>
      </c>
      <c r="AN574" s="17" t="s">
        <v>164</v>
      </c>
      <c r="AO574" s="17" t="s">
        <v>165</v>
      </c>
      <c r="AP574" s="17" t="s">
        <v>166</v>
      </c>
      <c r="AQ574" s="17" t="s">
        <v>167</v>
      </c>
      <c r="AR574" s="17" t="s">
        <v>168</v>
      </c>
      <c r="BC574" s="17" t="s">
        <v>164</v>
      </c>
      <c r="BD574" s="17" t="s">
        <v>165</v>
      </c>
      <c r="BE574" s="17" t="s">
        <v>166</v>
      </c>
      <c r="BF574" s="17" t="s">
        <v>167</v>
      </c>
      <c r="BG574" s="17" t="s">
        <v>168</v>
      </c>
    </row>
    <row r="575" spans="24:59" x14ac:dyDescent="0.3">
      <c r="AM575" t="s">
        <v>548</v>
      </c>
      <c r="AN575" s="17" t="s">
        <v>257</v>
      </c>
      <c r="AO575" s="17" t="s">
        <v>155</v>
      </c>
      <c r="AP575" s="17" t="s">
        <v>155</v>
      </c>
      <c r="AQ575" s="17" t="s">
        <v>155</v>
      </c>
      <c r="AR575" s="17" t="s">
        <v>155</v>
      </c>
      <c r="BB575" t="s">
        <v>548</v>
      </c>
      <c r="BC575" s="17" t="s">
        <v>257</v>
      </c>
      <c r="BD575" s="17" t="s">
        <v>155</v>
      </c>
      <c r="BE575" s="17" t="s">
        <v>155</v>
      </c>
      <c r="BF575" s="17" t="s">
        <v>155</v>
      </c>
      <c r="BG575" s="17" t="s">
        <v>155</v>
      </c>
    </row>
    <row r="576" spans="24:59" x14ac:dyDescent="0.3">
      <c r="X576" t="s">
        <v>842</v>
      </c>
      <c r="AM576" t="s">
        <v>549</v>
      </c>
      <c r="AN576" s="17" t="s">
        <v>257</v>
      </c>
      <c r="AO576" s="17" t="s">
        <v>155</v>
      </c>
      <c r="AP576" s="17" t="s">
        <v>155</v>
      </c>
      <c r="AQ576" s="17" t="s">
        <v>155</v>
      </c>
      <c r="AR576" s="17" t="s">
        <v>155</v>
      </c>
      <c r="BB576" t="s">
        <v>549</v>
      </c>
      <c r="BC576" s="17" t="s">
        <v>257</v>
      </c>
      <c r="BD576" s="17" t="s">
        <v>155</v>
      </c>
      <c r="BE576" s="17" t="s">
        <v>155</v>
      </c>
      <c r="BF576" s="17" t="s">
        <v>155</v>
      </c>
      <c r="BG576" s="17" t="s">
        <v>155</v>
      </c>
    </row>
    <row r="577" spans="24:59" x14ac:dyDescent="0.3">
      <c r="Y577" s="17" t="s">
        <v>164</v>
      </c>
      <c r="Z577" s="17" t="s">
        <v>165</v>
      </c>
      <c r="AA577" s="17" t="s">
        <v>166</v>
      </c>
      <c r="AB577" s="17" t="s">
        <v>167</v>
      </c>
      <c r="AC577" s="17" t="s">
        <v>168</v>
      </c>
      <c r="AM577" t="s">
        <v>550</v>
      </c>
      <c r="AN577" s="17" t="s">
        <v>257</v>
      </c>
      <c r="AO577" s="17" t="s">
        <v>155</v>
      </c>
      <c r="AP577" s="17" t="s">
        <v>155</v>
      </c>
      <c r="AQ577" s="17" t="s">
        <v>155</v>
      </c>
      <c r="AR577" s="17" t="s">
        <v>155</v>
      </c>
      <c r="BB577" t="s">
        <v>550</v>
      </c>
      <c r="BC577" s="17" t="s">
        <v>257</v>
      </c>
      <c r="BD577" s="17" t="s">
        <v>155</v>
      </c>
      <c r="BE577" s="17" t="s">
        <v>155</v>
      </c>
      <c r="BF577" s="17" t="s">
        <v>155</v>
      </c>
      <c r="BG577" s="17" t="s">
        <v>155</v>
      </c>
    </row>
    <row r="578" spans="24:59" x14ac:dyDescent="0.3">
      <c r="X578" t="s">
        <v>542</v>
      </c>
      <c r="Y578" s="17" t="s">
        <v>155</v>
      </c>
      <c r="Z578" s="17" t="s">
        <v>155</v>
      </c>
      <c r="AA578" s="17" t="s">
        <v>155</v>
      </c>
      <c r="AB578" s="17" t="s">
        <v>155</v>
      </c>
      <c r="AC578" s="17" t="s">
        <v>398</v>
      </c>
      <c r="AM578" t="s">
        <v>158</v>
      </c>
      <c r="AN578" s="17" t="s">
        <v>155</v>
      </c>
      <c r="AO578" s="17" t="s">
        <v>155</v>
      </c>
      <c r="AP578" s="17" t="s">
        <v>155</v>
      </c>
      <c r="AQ578" s="17" t="s">
        <v>257</v>
      </c>
      <c r="AR578" s="17" t="s">
        <v>155</v>
      </c>
      <c r="BB578" t="s">
        <v>158</v>
      </c>
      <c r="BC578" s="17" t="s">
        <v>155</v>
      </c>
      <c r="BD578" s="17" t="s">
        <v>155</v>
      </c>
      <c r="BE578" s="17" t="s">
        <v>155</v>
      </c>
      <c r="BF578" s="17" t="s">
        <v>257</v>
      </c>
      <c r="BG578" s="17" t="s">
        <v>155</v>
      </c>
    </row>
    <row r="579" spans="24:59" x14ac:dyDescent="0.3">
      <c r="X579" t="s">
        <v>543</v>
      </c>
      <c r="Y579" s="17" t="s">
        <v>398</v>
      </c>
      <c r="Z579" s="17" t="s">
        <v>155</v>
      </c>
      <c r="AA579" s="17" t="s">
        <v>155</v>
      </c>
      <c r="AB579" s="17" t="s">
        <v>155</v>
      </c>
      <c r="AC579" s="17" t="s">
        <v>398</v>
      </c>
      <c r="AM579" t="s">
        <v>159</v>
      </c>
      <c r="AN579" s="17" t="s">
        <v>155</v>
      </c>
      <c r="AO579" s="17" t="s">
        <v>155</v>
      </c>
      <c r="AP579" s="17" t="s">
        <v>155</v>
      </c>
      <c r="AQ579" s="17" t="s">
        <v>257</v>
      </c>
      <c r="AR579" s="17" t="s">
        <v>155</v>
      </c>
      <c r="BB579" t="s">
        <v>159</v>
      </c>
      <c r="BC579" s="17" t="s">
        <v>155</v>
      </c>
      <c r="BD579" s="17" t="s">
        <v>155</v>
      </c>
      <c r="BE579" s="17" t="s">
        <v>155</v>
      </c>
      <c r="BF579" s="17" t="s">
        <v>257</v>
      </c>
      <c r="BG579" s="17" t="s">
        <v>155</v>
      </c>
    </row>
    <row r="580" spans="24:59" x14ac:dyDescent="0.3">
      <c r="X580" t="s">
        <v>544</v>
      </c>
      <c r="Y580" s="17" t="s">
        <v>398</v>
      </c>
      <c r="Z580" s="17" t="s">
        <v>155</v>
      </c>
      <c r="AA580" s="17" t="s">
        <v>155</v>
      </c>
      <c r="AB580" s="17" t="s">
        <v>155</v>
      </c>
      <c r="AC580" s="17" t="s">
        <v>398</v>
      </c>
    </row>
    <row r="581" spans="24:59" x14ac:dyDescent="0.3">
      <c r="AM581" t="s">
        <v>842</v>
      </c>
      <c r="BB581" t="s">
        <v>842</v>
      </c>
    </row>
    <row r="582" spans="24:59" x14ac:dyDescent="0.3">
      <c r="X582" t="s">
        <v>843</v>
      </c>
      <c r="AN582" s="17" t="s">
        <v>164</v>
      </c>
      <c r="AO582" s="17" t="s">
        <v>165</v>
      </c>
      <c r="AP582" s="17" t="s">
        <v>166</v>
      </c>
      <c r="AQ582" s="17" t="s">
        <v>167</v>
      </c>
      <c r="AR582" s="17" t="s">
        <v>168</v>
      </c>
      <c r="BC582" s="17" t="s">
        <v>164</v>
      </c>
      <c r="BD582" s="17" t="s">
        <v>165</v>
      </c>
      <c r="BE582" s="17" t="s">
        <v>166</v>
      </c>
      <c r="BF582" s="17" t="s">
        <v>167</v>
      </c>
      <c r="BG582" s="17" t="s">
        <v>168</v>
      </c>
    </row>
    <row r="583" spans="24:59" x14ac:dyDescent="0.3">
      <c r="Y583" s="17" t="s">
        <v>164</v>
      </c>
      <c r="Z583" s="17" t="s">
        <v>165</v>
      </c>
      <c r="AA583" s="17" t="s">
        <v>166</v>
      </c>
      <c r="AB583" s="17" t="s">
        <v>167</v>
      </c>
      <c r="AC583" s="17" t="s">
        <v>168</v>
      </c>
      <c r="AM583" t="s">
        <v>542</v>
      </c>
      <c r="AN583" s="17" t="s">
        <v>155</v>
      </c>
      <c r="AO583" s="17" t="s">
        <v>155</v>
      </c>
      <c r="AP583" s="17" t="s">
        <v>155</v>
      </c>
      <c r="AQ583" s="17" t="s">
        <v>155</v>
      </c>
      <c r="AR583" s="17" t="s">
        <v>398</v>
      </c>
      <c r="BB583" t="s">
        <v>542</v>
      </c>
      <c r="BC583" s="17" t="s">
        <v>155</v>
      </c>
      <c r="BD583" s="17" t="s">
        <v>155</v>
      </c>
      <c r="BE583" s="17" t="s">
        <v>155</v>
      </c>
      <c r="BF583" s="17" t="s">
        <v>155</v>
      </c>
      <c r="BG583" s="17" t="s">
        <v>398</v>
      </c>
    </row>
    <row r="584" spans="24:59" x14ac:dyDescent="0.3">
      <c r="X584" t="s">
        <v>557</v>
      </c>
      <c r="Y584" s="17" t="s">
        <v>762</v>
      </c>
      <c r="Z584" s="17" t="s">
        <v>155</v>
      </c>
      <c r="AA584" s="17" t="s">
        <v>155</v>
      </c>
      <c r="AB584" s="17" t="s">
        <v>762</v>
      </c>
      <c r="AC584" s="17" t="s">
        <v>155</v>
      </c>
      <c r="AM584" t="s">
        <v>543</v>
      </c>
      <c r="AN584" s="17" t="s">
        <v>398</v>
      </c>
      <c r="AO584" s="17" t="s">
        <v>155</v>
      </c>
      <c r="AP584" s="17" t="s">
        <v>155</v>
      </c>
      <c r="AQ584" s="17" t="s">
        <v>155</v>
      </c>
      <c r="AR584" s="17" t="s">
        <v>398</v>
      </c>
      <c r="BB584" t="s">
        <v>543</v>
      </c>
      <c r="BC584" s="17" t="s">
        <v>398</v>
      </c>
      <c r="BD584" s="17" t="s">
        <v>155</v>
      </c>
      <c r="BE584" s="17" t="s">
        <v>155</v>
      </c>
      <c r="BF584" s="17" t="s">
        <v>155</v>
      </c>
      <c r="BG584" s="17" t="s">
        <v>398</v>
      </c>
    </row>
    <row r="585" spans="24:59" x14ac:dyDescent="0.3">
      <c r="X585" t="s">
        <v>542</v>
      </c>
      <c r="Y585" s="17" t="s">
        <v>762</v>
      </c>
      <c r="Z585" s="17" t="s">
        <v>155</v>
      </c>
      <c r="AA585" s="17" t="s">
        <v>155</v>
      </c>
      <c r="AB585" s="17" t="s">
        <v>762</v>
      </c>
      <c r="AC585" s="17" t="s">
        <v>155</v>
      </c>
      <c r="AM585" t="s">
        <v>544</v>
      </c>
      <c r="AN585" s="17" t="s">
        <v>398</v>
      </c>
      <c r="AO585" s="17" t="s">
        <v>155</v>
      </c>
      <c r="AP585" s="17" t="s">
        <v>155</v>
      </c>
      <c r="AQ585" s="17" t="s">
        <v>155</v>
      </c>
      <c r="AR585" s="17" t="s">
        <v>398</v>
      </c>
      <c r="BB585" t="s">
        <v>544</v>
      </c>
      <c r="BC585" s="17" t="s">
        <v>398</v>
      </c>
      <c r="BD585" s="17" t="s">
        <v>155</v>
      </c>
      <c r="BE585" s="17" t="s">
        <v>155</v>
      </c>
      <c r="BF585" s="17" t="s">
        <v>155</v>
      </c>
      <c r="BG585" s="17" t="s">
        <v>398</v>
      </c>
    </row>
    <row r="587" spans="24:59" x14ac:dyDescent="0.3">
      <c r="X587" t="s">
        <v>702</v>
      </c>
      <c r="AM587" t="s">
        <v>843</v>
      </c>
      <c r="BB587" t="s">
        <v>843</v>
      </c>
    </row>
    <row r="588" spans="24:59" x14ac:dyDescent="0.3">
      <c r="Y588" s="17" t="s">
        <v>164</v>
      </c>
      <c r="Z588" s="17" t="s">
        <v>165</v>
      </c>
      <c r="AA588" s="17" t="s">
        <v>166</v>
      </c>
      <c r="AB588" s="17" t="s">
        <v>167</v>
      </c>
      <c r="AC588" s="17" t="s">
        <v>168</v>
      </c>
      <c r="AN588" s="17" t="s">
        <v>164</v>
      </c>
      <c r="AO588" s="17" t="s">
        <v>165</v>
      </c>
      <c r="AP588" s="17" t="s">
        <v>166</v>
      </c>
      <c r="AQ588" s="17" t="s">
        <v>167</v>
      </c>
      <c r="AR588" s="17" t="s">
        <v>168</v>
      </c>
      <c r="BC588" s="17" t="s">
        <v>164</v>
      </c>
      <c r="BD588" s="17" t="s">
        <v>165</v>
      </c>
      <c r="BE588" s="17" t="s">
        <v>166</v>
      </c>
      <c r="BF588" s="17" t="s">
        <v>167</v>
      </c>
      <c r="BG588" s="17" t="s">
        <v>168</v>
      </c>
    </row>
    <row r="589" spans="24:59" x14ac:dyDescent="0.3">
      <c r="X589" t="s">
        <v>548</v>
      </c>
      <c r="Y589" s="17" t="s">
        <v>155</v>
      </c>
      <c r="Z589" s="17" t="s">
        <v>382</v>
      </c>
      <c r="AA589" s="17" t="s">
        <v>155</v>
      </c>
      <c r="AB589" s="17" t="s">
        <v>382</v>
      </c>
      <c r="AC589" s="17" t="s">
        <v>155</v>
      </c>
      <c r="AM589" t="s">
        <v>557</v>
      </c>
      <c r="AN589" s="17" t="s">
        <v>762</v>
      </c>
      <c r="AO589" s="17" t="s">
        <v>155</v>
      </c>
      <c r="AP589" s="17" t="s">
        <v>155</v>
      </c>
      <c r="AQ589" s="17" t="s">
        <v>762</v>
      </c>
      <c r="AR589" s="17" t="s">
        <v>155</v>
      </c>
      <c r="BB589" t="s">
        <v>557</v>
      </c>
      <c r="BC589" s="17" t="s">
        <v>762</v>
      </c>
      <c r="BD589" s="17" t="s">
        <v>155</v>
      </c>
      <c r="BE589" s="17" t="s">
        <v>155</v>
      </c>
      <c r="BF589" s="17" t="s">
        <v>762</v>
      </c>
      <c r="BG589" s="17" t="s">
        <v>155</v>
      </c>
    </row>
    <row r="590" spans="24:59" x14ac:dyDescent="0.3">
      <c r="X590" t="s">
        <v>549</v>
      </c>
      <c r="Y590" s="17" t="s">
        <v>155</v>
      </c>
      <c r="Z590" s="17" t="s">
        <v>382</v>
      </c>
      <c r="AA590" s="17" t="s">
        <v>155</v>
      </c>
      <c r="AB590" s="17" t="s">
        <v>382</v>
      </c>
      <c r="AC590" s="17" t="s">
        <v>155</v>
      </c>
      <c r="AM590" t="s">
        <v>542</v>
      </c>
      <c r="AN590" s="17" t="s">
        <v>762</v>
      </c>
      <c r="AO590" s="17" t="s">
        <v>155</v>
      </c>
      <c r="AP590" s="17" t="s">
        <v>155</v>
      </c>
      <c r="AQ590" s="17" t="s">
        <v>762</v>
      </c>
      <c r="AR590" s="17" t="s">
        <v>155</v>
      </c>
      <c r="BB590" t="s">
        <v>542</v>
      </c>
      <c r="BC590" s="17" t="s">
        <v>762</v>
      </c>
      <c r="BD590" s="17" t="s">
        <v>155</v>
      </c>
      <c r="BE590" s="17" t="s">
        <v>155</v>
      </c>
      <c r="BF590" s="17" t="s">
        <v>762</v>
      </c>
      <c r="BG590" s="17" t="s">
        <v>155</v>
      </c>
    </row>
    <row r="591" spans="24:59" x14ac:dyDescent="0.3">
      <c r="X591" t="s">
        <v>550</v>
      </c>
      <c r="Y591" s="17" t="s">
        <v>155</v>
      </c>
      <c r="Z591" s="17" t="s">
        <v>155</v>
      </c>
      <c r="AA591" s="17" t="s">
        <v>155</v>
      </c>
      <c r="AB591" s="17" t="s">
        <v>382</v>
      </c>
      <c r="AC591" s="17" t="s">
        <v>155</v>
      </c>
    </row>
    <row r="592" spans="24:59" x14ac:dyDescent="0.3">
      <c r="X592" t="s">
        <v>544</v>
      </c>
      <c r="Y592" s="17" t="s">
        <v>155</v>
      </c>
      <c r="Z592" s="17" t="s">
        <v>79</v>
      </c>
      <c r="AA592" s="17" t="s">
        <v>155</v>
      </c>
      <c r="AB592" s="17" t="s">
        <v>155</v>
      </c>
      <c r="AC592" s="17" t="s">
        <v>79</v>
      </c>
      <c r="AM592" t="s">
        <v>702</v>
      </c>
      <c r="BB592" t="s">
        <v>702</v>
      </c>
    </row>
    <row r="593" spans="24:59" x14ac:dyDescent="0.3">
      <c r="X593" t="s">
        <v>545</v>
      </c>
      <c r="Y593" s="17" t="s">
        <v>155</v>
      </c>
      <c r="Z593" s="17" t="s">
        <v>79</v>
      </c>
      <c r="AA593" s="17" t="s">
        <v>155</v>
      </c>
      <c r="AB593" s="17" t="s">
        <v>155</v>
      </c>
      <c r="AC593" s="17" t="s">
        <v>79</v>
      </c>
      <c r="AN593" s="17" t="s">
        <v>164</v>
      </c>
      <c r="AO593" s="17" t="s">
        <v>165</v>
      </c>
      <c r="AP593" s="17" t="s">
        <v>166</v>
      </c>
      <c r="AQ593" s="17" t="s">
        <v>167</v>
      </c>
      <c r="AR593" s="17" t="s">
        <v>168</v>
      </c>
      <c r="BC593" s="17" t="s">
        <v>164</v>
      </c>
      <c r="BD593" s="17" t="s">
        <v>165</v>
      </c>
      <c r="BE593" s="17" t="s">
        <v>166</v>
      </c>
      <c r="BF593" s="17" t="s">
        <v>167</v>
      </c>
      <c r="BG593" s="17" t="s">
        <v>168</v>
      </c>
    </row>
    <row r="594" spans="24:59" x14ac:dyDescent="0.3">
      <c r="X594" t="s">
        <v>546</v>
      </c>
      <c r="Y594" s="17" t="s">
        <v>155</v>
      </c>
      <c r="Z594" s="17" t="s">
        <v>79</v>
      </c>
      <c r="AA594" s="17" t="s">
        <v>155</v>
      </c>
      <c r="AB594" s="17" t="s">
        <v>155</v>
      </c>
      <c r="AC594" s="17" t="s">
        <v>155</v>
      </c>
      <c r="AM594" t="s">
        <v>548</v>
      </c>
      <c r="AN594" s="17" t="s">
        <v>155</v>
      </c>
      <c r="AO594" s="17" t="s">
        <v>382</v>
      </c>
      <c r="AP594" s="17" t="s">
        <v>155</v>
      </c>
      <c r="AQ594" s="17" t="s">
        <v>382</v>
      </c>
      <c r="AR594" s="17" t="s">
        <v>155</v>
      </c>
      <c r="BB594" t="s">
        <v>548</v>
      </c>
      <c r="BC594" s="17" t="s">
        <v>155</v>
      </c>
      <c r="BD594" s="17" t="s">
        <v>382</v>
      </c>
      <c r="BE594" s="17" t="s">
        <v>155</v>
      </c>
      <c r="BF594" s="17" t="s">
        <v>382</v>
      </c>
      <c r="BG594" s="17" t="s">
        <v>155</v>
      </c>
    </row>
    <row r="595" spans="24:59" x14ac:dyDescent="0.3">
      <c r="AM595" t="s">
        <v>549</v>
      </c>
      <c r="AN595" s="17" t="s">
        <v>155</v>
      </c>
      <c r="AO595" s="17" t="s">
        <v>382</v>
      </c>
      <c r="AP595" s="17" t="s">
        <v>155</v>
      </c>
      <c r="AQ595" s="17" t="s">
        <v>382</v>
      </c>
      <c r="AR595" s="17" t="s">
        <v>155</v>
      </c>
      <c r="BB595" t="s">
        <v>549</v>
      </c>
      <c r="BC595" s="17" t="s">
        <v>155</v>
      </c>
      <c r="BD595" s="17" t="s">
        <v>382</v>
      </c>
      <c r="BE595" s="17" t="s">
        <v>155</v>
      </c>
      <c r="BF595" s="17" t="s">
        <v>382</v>
      </c>
      <c r="BG595" s="17" t="s">
        <v>155</v>
      </c>
    </row>
    <row r="596" spans="24:59" x14ac:dyDescent="0.3">
      <c r="X596" t="s">
        <v>738</v>
      </c>
      <c r="AM596" t="s">
        <v>550</v>
      </c>
      <c r="AN596" s="17" t="s">
        <v>155</v>
      </c>
      <c r="AO596" s="17" t="s">
        <v>155</v>
      </c>
      <c r="AP596" s="17" t="s">
        <v>155</v>
      </c>
      <c r="AQ596" s="17" t="s">
        <v>382</v>
      </c>
      <c r="AR596" s="17" t="s">
        <v>155</v>
      </c>
      <c r="BB596" t="s">
        <v>550</v>
      </c>
      <c r="BC596" s="17" t="s">
        <v>155</v>
      </c>
      <c r="BD596" s="17" t="s">
        <v>155</v>
      </c>
      <c r="BE596" s="17" t="s">
        <v>155</v>
      </c>
      <c r="BF596" s="17" t="s">
        <v>382</v>
      </c>
      <c r="BG596" s="17" t="s">
        <v>155</v>
      </c>
    </row>
    <row r="597" spans="24:59" x14ac:dyDescent="0.3">
      <c r="Y597" s="17" t="s">
        <v>164</v>
      </c>
      <c r="Z597" s="17" t="s">
        <v>165</v>
      </c>
      <c r="AA597" s="17" t="s">
        <v>166</v>
      </c>
      <c r="AB597" s="17" t="s">
        <v>167</v>
      </c>
      <c r="AC597" s="17" t="s">
        <v>168</v>
      </c>
      <c r="AM597" t="s">
        <v>544</v>
      </c>
      <c r="AN597" s="17" t="s">
        <v>155</v>
      </c>
      <c r="AO597" s="17" t="s">
        <v>155</v>
      </c>
      <c r="AP597" s="17" t="s">
        <v>155</v>
      </c>
      <c r="AQ597" s="17" t="s">
        <v>79</v>
      </c>
      <c r="AR597" s="17" t="s">
        <v>155</v>
      </c>
      <c r="BB597" t="s">
        <v>544</v>
      </c>
      <c r="BC597" s="17" t="s">
        <v>155</v>
      </c>
      <c r="BD597" s="17" t="s">
        <v>155</v>
      </c>
      <c r="BE597" s="17" t="s">
        <v>155</v>
      </c>
      <c r="BF597" s="17" t="s">
        <v>79</v>
      </c>
      <c r="BG597" s="17" t="s">
        <v>155</v>
      </c>
    </row>
    <row r="598" spans="24:59" x14ac:dyDescent="0.3">
      <c r="X598" t="s">
        <v>548</v>
      </c>
      <c r="Y598" s="17" t="s">
        <v>155</v>
      </c>
      <c r="Z598" s="17" t="s">
        <v>353</v>
      </c>
      <c r="AA598" s="17" t="s">
        <v>155</v>
      </c>
      <c r="AB598" s="17" t="s">
        <v>353</v>
      </c>
      <c r="AC598" s="17" t="s">
        <v>155</v>
      </c>
      <c r="AM598" t="s">
        <v>545</v>
      </c>
      <c r="AN598" s="17" t="s">
        <v>155</v>
      </c>
      <c r="AO598" s="17" t="s">
        <v>79</v>
      </c>
      <c r="AP598" s="17" t="s">
        <v>155</v>
      </c>
      <c r="AQ598" s="17" t="s">
        <v>79</v>
      </c>
      <c r="AR598" s="17" t="s">
        <v>155</v>
      </c>
      <c r="BB598" t="s">
        <v>545</v>
      </c>
      <c r="BC598" s="17" t="s">
        <v>155</v>
      </c>
      <c r="BD598" s="17" t="s">
        <v>79</v>
      </c>
      <c r="BE598" s="17" t="s">
        <v>155</v>
      </c>
      <c r="BF598" s="17" t="s">
        <v>79</v>
      </c>
      <c r="BG598" s="17" t="s">
        <v>155</v>
      </c>
    </row>
    <row r="599" spans="24:59" x14ac:dyDescent="0.3">
      <c r="X599" t="s">
        <v>549</v>
      </c>
      <c r="Y599" s="17" t="s">
        <v>155</v>
      </c>
      <c r="Z599" s="17" t="s">
        <v>353</v>
      </c>
      <c r="AA599" s="17" t="s">
        <v>155</v>
      </c>
      <c r="AB599" s="17" t="s">
        <v>353</v>
      </c>
      <c r="AC599" s="17" t="s">
        <v>155</v>
      </c>
      <c r="AM599" t="s">
        <v>546</v>
      </c>
      <c r="AN599" s="17" t="s">
        <v>155</v>
      </c>
      <c r="AO599" s="17" t="s">
        <v>79</v>
      </c>
      <c r="AP599" s="17" t="s">
        <v>155</v>
      </c>
      <c r="AQ599" s="17" t="s">
        <v>79</v>
      </c>
      <c r="AR599" s="17" t="s">
        <v>155</v>
      </c>
      <c r="BB599" t="s">
        <v>546</v>
      </c>
      <c r="BC599" s="17" t="s">
        <v>155</v>
      </c>
      <c r="BD599" s="17" t="s">
        <v>79</v>
      </c>
      <c r="BE599" s="17" t="s">
        <v>155</v>
      </c>
      <c r="BF599" s="17" t="s">
        <v>79</v>
      </c>
      <c r="BG599" s="17" t="s">
        <v>155</v>
      </c>
    </row>
    <row r="600" spans="24:59" x14ac:dyDescent="0.3">
      <c r="X600" t="s">
        <v>550</v>
      </c>
      <c r="Y600" s="17" t="s">
        <v>155</v>
      </c>
      <c r="Z600" s="17" t="s">
        <v>155</v>
      </c>
      <c r="AA600" s="17" t="s">
        <v>155</v>
      </c>
      <c r="AB600" s="17" t="s">
        <v>353</v>
      </c>
      <c r="AC600" s="17" t="s">
        <v>155</v>
      </c>
    </row>
    <row r="601" spans="24:59" x14ac:dyDescent="0.3">
      <c r="X601" t="s">
        <v>543</v>
      </c>
      <c r="Y601" s="17" t="s">
        <v>418</v>
      </c>
      <c r="Z601" s="17" t="s">
        <v>155</v>
      </c>
      <c r="AA601" s="17" t="s">
        <v>155</v>
      </c>
      <c r="AB601" s="17" t="s">
        <v>418</v>
      </c>
      <c r="AC601" s="17" t="s">
        <v>155</v>
      </c>
      <c r="AM601" t="s">
        <v>738</v>
      </c>
      <c r="BB601" t="s">
        <v>738</v>
      </c>
    </row>
    <row r="602" spans="24:59" x14ac:dyDescent="0.3">
      <c r="X602" t="s">
        <v>544</v>
      </c>
      <c r="Y602" s="17" t="s">
        <v>418</v>
      </c>
      <c r="Z602" s="17" t="s">
        <v>155</v>
      </c>
      <c r="AA602" s="17" t="s">
        <v>155</v>
      </c>
      <c r="AB602" s="17" t="s">
        <v>418</v>
      </c>
      <c r="AC602" s="17" t="s">
        <v>155</v>
      </c>
      <c r="AN602" s="17" t="s">
        <v>164</v>
      </c>
      <c r="AO602" s="17" t="s">
        <v>165</v>
      </c>
      <c r="AP602" s="17" t="s">
        <v>166</v>
      </c>
      <c r="AQ602" s="17" t="s">
        <v>167</v>
      </c>
      <c r="AR602" s="17" t="s">
        <v>168</v>
      </c>
      <c r="BC602" s="17" t="s">
        <v>164</v>
      </c>
      <c r="BD602" s="17" t="s">
        <v>165</v>
      </c>
      <c r="BE602" s="17" t="s">
        <v>166</v>
      </c>
      <c r="BF602" s="17" t="s">
        <v>167</v>
      </c>
      <c r="BG602" s="17" t="s">
        <v>168</v>
      </c>
    </row>
    <row r="603" spans="24:59" x14ac:dyDescent="0.3">
      <c r="X603" t="s">
        <v>545</v>
      </c>
      <c r="Y603" s="17" t="s">
        <v>418</v>
      </c>
      <c r="Z603" s="17" t="s">
        <v>155</v>
      </c>
      <c r="AA603" s="17" t="s">
        <v>155</v>
      </c>
      <c r="AB603" s="17" t="s">
        <v>155</v>
      </c>
      <c r="AC603" s="17" t="s">
        <v>155</v>
      </c>
      <c r="AM603" t="s">
        <v>548</v>
      </c>
      <c r="AN603" s="17" t="s">
        <v>155</v>
      </c>
      <c r="AO603" s="17" t="s">
        <v>353</v>
      </c>
      <c r="AP603" s="17" t="s">
        <v>155</v>
      </c>
      <c r="AQ603" s="17" t="s">
        <v>353</v>
      </c>
      <c r="AR603" s="17" t="s">
        <v>155</v>
      </c>
      <c r="BB603" t="s">
        <v>548</v>
      </c>
      <c r="BC603" s="17" t="s">
        <v>155</v>
      </c>
      <c r="BD603" s="17" t="s">
        <v>353</v>
      </c>
      <c r="BE603" s="17" t="s">
        <v>155</v>
      </c>
      <c r="BF603" s="17" t="s">
        <v>353</v>
      </c>
      <c r="BG603" s="17" t="s">
        <v>155</v>
      </c>
    </row>
    <row r="604" spans="24:59" x14ac:dyDescent="0.3">
      <c r="AM604" t="s">
        <v>549</v>
      </c>
      <c r="AN604" s="17" t="s">
        <v>155</v>
      </c>
      <c r="AO604" s="17" t="s">
        <v>353</v>
      </c>
      <c r="AP604" s="17" t="s">
        <v>155</v>
      </c>
      <c r="AQ604" s="17" t="s">
        <v>353</v>
      </c>
      <c r="AR604" s="17" t="s">
        <v>155</v>
      </c>
      <c r="BB604" t="s">
        <v>549</v>
      </c>
      <c r="BC604" s="17" t="s">
        <v>155</v>
      </c>
      <c r="BD604" s="17" t="s">
        <v>353</v>
      </c>
      <c r="BE604" s="17" t="s">
        <v>155</v>
      </c>
      <c r="BF604" s="17" t="s">
        <v>353</v>
      </c>
      <c r="BG604" s="17" t="s">
        <v>155</v>
      </c>
    </row>
    <row r="605" spans="24:59" x14ac:dyDescent="0.3">
      <c r="X605" t="s">
        <v>747</v>
      </c>
      <c r="AM605" t="s">
        <v>550</v>
      </c>
      <c r="AN605" s="17" t="s">
        <v>155</v>
      </c>
      <c r="AO605" s="17" t="s">
        <v>155</v>
      </c>
      <c r="AP605" s="17" t="s">
        <v>155</v>
      </c>
      <c r="AQ605" s="17" t="s">
        <v>353</v>
      </c>
      <c r="AR605" s="17" t="s">
        <v>155</v>
      </c>
      <c r="BB605" t="s">
        <v>550</v>
      </c>
      <c r="BC605" s="17" t="s">
        <v>155</v>
      </c>
      <c r="BD605" s="17" t="s">
        <v>155</v>
      </c>
      <c r="BE605" s="17" t="s">
        <v>155</v>
      </c>
      <c r="BF605" s="17" t="s">
        <v>353</v>
      </c>
      <c r="BG605" s="17" t="s">
        <v>155</v>
      </c>
    </row>
    <row r="606" spans="24:59" x14ac:dyDescent="0.3">
      <c r="Y606" s="17" t="s">
        <v>164</v>
      </c>
      <c r="Z606" s="17" t="s">
        <v>165</v>
      </c>
      <c r="AA606" s="17" t="s">
        <v>166</v>
      </c>
      <c r="AB606" s="17" t="s">
        <v>167</v>
      </c>
      <c r="AC606" s="17" t="s">
        <v>168</v>
      </c>
      <c r="AM606" t="s">
        <v>543</v>
      </c>
      <c r="AN606" s="17" t="s">
        <v>418</v>
      </c>
      <c r="AO606" s="17" t="s">
        <v>155</v>
      </c>
      <c r="AP606" s="17" t="s">
        <v>155</v>
      </c>
      <c r="AQ606" s="17" t="s">
        <v>418</v>
      </c>
      <c r="AR606" s="17" t="s">
        <v>155</v>
      </c>
      <c r="BB606" t="s">
        <v>543</v>
      </c>
      <c r="BC606" s="17" t="s">
        <v>418</v>
      </c>
      <c r="BD606" s="17" t="s">
        <v>155</v>
      </c>
      <c r="BE606" s="17" t="s">
        <v>155</v>
      </c>
      <c r="BF606" s="17" t="s">
        <v>418</v>
      </c>
      <c r="BG606" s="17" t="s">
        <v>155</v>
      </c>
    </row>
    <row r="607" spans="24:59" x14ac:dyDescent="0.3">
      <c r="X607" t="s">
        <v>550</v>
      </c>
      <c r="Y607" s="17" t="s">
        <v>155</v>
      </c>
      <c r="Z607" s="17" t="s">
        <v>155</v>
      </c>
      <c r="AA607" s="17" t="s">
        <v>155</v>
      </c>
      <c r="AB607" s="17" t="s">
        <v>155</v>
      </c>
      <c r="AC607" s="17" t="s">
        <v>371</v>
      </c>
      <c r="AM607" t="s">
        <v>544</v>
      </c>
      <c r="AN607" s="17" t="s">
        <v>418</v>
      </c>
      <c r="AO607" s="17" t="s">
        <v>155</v>
      </c>
      <c r="AP607" s="17" t="s">
        <v>155</v>
      </c>
      <c r="AQ607" s="17" t="s">
        <v>418</v>
      </c>
      <c r="AR607" s="17" t="s">
        <v>155</v>
      </c>
      <c r="BB607" t="s">
        <v>544</v>
      </c>
      <c r="BC607" s="17" t="s">
        <v>418</v>
      </c>
      <c r="BD607" s="17" t="s">
        <v>155</v>
      </c>
      <c r="BE607" s="17" t="s">
        <v>155</v>
      </c>
      <c r="BF607" s="17" t="s">
        <v>418</v>
      </c>
      <c r="BG607" s="17" t="s">
        <v>155</v>
      </c>
    </row>
    <row r="608" spans="24:59" x14ac:dyDescent="0.3">
      <c r="X608" t="s">
        <v>158</v>
      </c>
      <c r="Y608" s="17" t="s">
        <v>155</v>
      </c>
      <c r="Z608" s="17" t="s">
        <v>155</v>
      </c>
      <c r="AA608" s="17" t="s">
        <v>155</v>
      </c>
      <c r="AB608" s="17" t="s">
        <v>155</v>
      </c>
      <c r="AC608" s="17" t="s">
        <v>371</v>
      </c>
      <c r="AM608" t="s">
        <v>545</v>
      </c>
      <c r="AN608" s="17" t="s">
        <v>155</v>
      </c>
      <c r="AO608" s="17" t="s">
        <v>155</v>
      </c>
      <c r="AP608" s="17" t="s">
        <v>155</v>
      </c>
      <c r="AQ608" s="17" t="s">
        <v>418</v>
      </c>
      <c r="AR608" s="17" t="s">
        <v>155</v>
      </c>
      <c r="BB608" t="s">
        <v>545</v>
      </c>
      <c r="BC608" s="17" t="s">
        <v>418</v>
      </c>
      <c r="BD608" s="17" t="s">
        <v>155</v>
      </c>
      <c r="BE608" s="17" t="s">
        <v>155</v>
      </c>
      <c r="BF608" s="17" t="s">
        <v>155</v>
      </c>
      <c r="BG608" s="17" t="s">
        <v>155</v>
      </c>
    </row>
    <row r="609" spans="24:59" x14ac:dyDescent="0.3">
      <c r="X609" t="s">
        <v>159</v>
      </c>
      <c r="Y609" s="17" t="s">
        <v>155</v>
      </c>
      <c r="Z609" s="17" t="s">
        <v>155</v>
      </c>
      <c r="AA609" s="17" t="s">
        <v>371</v>
      </c>
      <c r="AB609" s="17" t="s">
        <v>155</v>
      </c>
      <c r="AC609" s="17" t="s">
        <v>371</v>
      </c>
    </row>
    <row r="610" spans="24:59" x14ac:dyDescent="0.3">
      <c r="X610" t="s">
        <v>160</v>
      </c>
      <c r="Y610" s="17" t="s">
        <v>155</v>
      </c>
      <c r="Z610" s="17" t="s">
        <v>155</v>
      </c>
      <c r="AA610" s="17" t="s">
        <v>371</v>
      </c>
      <c r="AB610" s="17" t="s">
        <v>155</v>
      </c>
      <c r="AC610" s="17" t="s">
        <v>155</v>
      </c>
      <c r="AM610" t="s">
        <v>747</v>
      </c>
      <c r="BB610" t="s">
        <v>747</v>
      </c>
    </row>
    <row r="611" spans="24:59" x14ac:dyDescent="0.3">
      <c r="AN611" s="17" t="s">
        <v>164</v>
      </c>
      <c r="AO611" s="17" t="s">
        <v>165</v>
      </c>
      <c r="AP611" s="17" t="s">
        <v>166</v>
      </c>
      <c r="AQ611" s="17" t="s">
        <v>167</v>
      </c>
      <c r="AR611" s="17" t="s">
        <v>168</v>
      </c>
      <c r="BC611" s="17" t="s">
        <v>164</v>
      </c>
      <c r="BD611" s="17" t="s">
        <v>165</v>
      </c>
      <c r="BE611" s="17" t="s">
        <v>166</v>
      </c>
      <c r="BF611" s="17" t="s">
        <v>167</v>
      </c>
      <c r="BG611" s="17" t="s">
        <v>168</v>
      </c>
    </row>
    <row r="612" spans="24:59" x14ac:dyDescent="0.3">
      <c r="X612" t="s">
        <v>844</v>
      </c>
      <c r="AM612" t="s">
        <v>550</v>
      </c>
      <c r="AN612" s="17" t="s">
        <v>155</v>
      </c>
      <c r="AO612" s="17" t="s">
        <v>155</v>
      </c>
      <c r="AP612" s="17" t="s">
        <v>155</v>
      </c>
      <c r="AQ612" s="17" t="s">
        <v>155</v>
      </c>
      <c r="AR612" s="17" t="s">
        <v>371</v>
      </c>
      <c r="BB612" t="s">
        <v>550</v>
      </c>
      <c r="BC612" s="17" t="s">
        <v>155</v>
      </c>
      <c r="BD612" s="17" t="s">
        <v>155</v>
      </c>
      <c r="BE612" s="17" t="s">
        <v>155</v>
      </c>
      <c r="BF612" s="17" t="s">
        <v>155</v>
      </c>
      <c r="BG612" s="17" t="s">
        <v>371</v>
      </c>
    </row>
    <row r="613" spans="24:59" x14ac:dyDescent="0.3">
      <c r="Y613" s="17" t="s">
        <v>164</v>
      </c>
      <c r="Z613" s="17" t="s">
        <v>165</v>
      </c>
      <c r="AA613" s="17" t="s">
        <v>166</v>
      </c>
      <c r="AB613" s="17" t="s">
        <v>167</v>
      </c>
      <c r="AC613" s="17" t="s">
        <v>168</v>
      </c>
      <c r="AM613" t="s">
        <v>158</v>
      </c>
      <c r="AN613" s="17" t="s">
        <v>155</v>
      </c>
      <c r="AO613" s="17" t="s">
        <v>155</v>
      </c>
      <c r="AP613" s="17" t="s">
        <v>155</v>
      </c>
      <c r="AQ613" s="17" t="s">
        <v>155</v>
      </c>
      <c r="AR613" s="17" t="s">
        <v>371</v>
      </c>
      <c r="BB613" t="s">
        <v>158</v>
      </c>
      <c r="BC613" s="17" t="s">
        <v>155</v>
      </c>
      <c r="BD613" s="17" t="s">
        <v>155</v>
      </c>
      <c r="BE613" s="17" t="s">
        <v>155</v>
      </c>
      <c r="BF613" s="17" t="s">
        <v>155</v>
      </c>
      <c r="BG613" s="17" t="s">
        <v>371</v>
      </c>
    </row>
    <row r="614" spans="24:59" x14ac:dyDescent="0.3">
      <c r="X614" t="s">
        <v>543</v>
      </c>
      <c r="Y614" s="17" t="s">
        <v>155</v>
      </c>
      <c r="Z614" s="17" t="s">
        <v>92</v>
      </c>
      <c r="AA614" s="17" t="s">
        <v>155</v>
      </c>
      <c r="AB614" s="17" t="s">
        <v>155</v>
      </c>
      <c r="AC614" s="17" t="s">
        <v>155</v>
      </c>
      <c r="AM614" t="s">
        <v>159</v>
      </c>
      <c r="AN614" s="17" t="s">
        <v>155</v>
      </c>
      <c r="AO614" s="17" t="s">
        <v>155</v>
      </c>
      <c r="AP614" s="17" t="s">
        <v>371</v>
      </c>
      <c r="AQ614" s="17" t="s">
        <v>155</v>
      </c>
      <c r="AR614" s="17" t="s">
        <v>371</v>
      </c>
      <c r="BB614" t="s">
        <v>159</v>
      </c>
      <c r="BC614" s="17" t="s">
        <v>155</v>
      </c>
      <c r="BD614" s="17" t="s">
        <v>155</v>
      </c>
      <c r="BE614" s="17" t="s">
        <v>371</v>
      </c>
      <c r="BF614" s="17" t="s">
        <v>155</v>
      </c>
      <c r="BG614" s="17" t="s">
        <v>371</v>
      </c>
    </row>
    <row r="615" spans="24:59" x14ac:dyDescent="0.3">
      <c r="X615" t="s">
        <v>544</v>
      </c>
      <c r="Y615" s="17" t="s">
        <v>155</v>
      </c>
      <c r="Z615" s="17" t="s">
        <v>92</v>
      </c>
      <c r="AA615" s="17" t="s">
        <v>155</v>
      </c>
      <c r="AB615" s="17" t="s">
        <v>155</v>
      </c>
      <c r="AC615" s="17" t="s">
        <v>155</v>
      </c>
      <c r="AM615" t="s">
        <v>160</v>
      </c>
      <c r="AN615" s="17" t="s">
        <v>155</v>
      </c>
      <c r="AO615" s="17" t="s">
        <v>155</v>
      </c>
      <c r="AP615" s="17" t="s">
        <v>371</v>
      </c>
      <c r="AQ615" s="17" t="s">
        <v>155</v>
      </c>
      <c r="AR615" s="17" t="s">
        <v>155</v>
      </c>
      <c r="BB615" t="s">
        <v>160</v>
      </c>
      <c r="BC615" s="17" t="s">
        <v>155</v>
      </c>
      <c r="BD615" s="17" t="s">
        <v>155</v>
      </c>
      <c r="BE615" s="17" t="s">
        <v>371</v>
      </c>
      <c r="BF615" s="17" t="s">
        <v>155</v>
      </c>
      <c r="BG615" s="17" t="s">
        <v>155</v>
      </c>
    </row>
    <row r="616" spans="24:59" x14ac:dyDescent="0.3">
      <c r="X616" t="s">
        <v>545</v>
      </c>
      <c r="Y616" s="17" t="s">
        <v>155</v>
      </c>
      <c r="Z616" s="17" t="s">
        <v>92</v>
      </c>
      <c r="AA616" s="17" t="s">
        <v>155</v>
      </c>
      <c r="AB616" s="17" t="s">
        <v>155</v>
      </c>
      <c r="AC616" s="17" t="s">
        <v>155</v>
      </c>
    </row>
    <row r="617" spans="24:59" x14ac:dyDescent="0.3">
      <c r="AM617" t="s">
        <v>844</v>
      </c>
      <c r="BB617" t="s">
        <v>844</v>
      </c>
    </row>
    <row r="618" spans="24:59" x14ac:dyDescent="0.3">
      <c r="X618" t="s">
        <v>718</v>
      </c>
      <c r="AN618" s="17" t="s">
        <v>164</v>
      </c>
      <c r="AO618" s="17" t="s">
        <v>165</v>
      </c>
      <c r="AP618" s="17" t="s">
        <v>166</v>
      </c>
      <c r="AQ618" s="17" t="s">
        <v>167</v>
      </c>
      <c r="AR618" s="17" t="s">
        <v>168</v>
      </c>
      <c r="BC618" s="17" t="s">
        <v>164</v>
      </c>
      <c r="BD618" s="17" t="s">
        <v>165</v>
      </c>
      <c r="BE618" s="17" t="s">
        <v>166</v>
      </c>
      <c r="BF618" s="17" t="s">
        <v>167</v>
      </c>
      <c r="BG618" s="17" t="s">
        <v>168</v>
      </c>
    </row>
    <row r="619" spans="24:59" x14ac:dyDescent="0.3">
      <c r="Y619" s="17" t="s">
        <v>164</v>
      </c>
      <c r="Z619" s="17" t="s">
        <v>165</v>
      </c>
      <c r="AA619" s="17" t="s">
        <v>166</v>
      </c>
      <c r="AB619" s="17" t="s">
        <v>167</v>
      </c>
      <c r="AC619" s="17" t="s">
        <v>168</v>
      </c>
      <c r="AM619" t="s">
        <v>543</v>
      </c>
      <c r="AN619" s="17" t="s">
        <v>155</v>
      </c>
      <c r="AO619" s="17" t="s">
        <v>92</v>
      </c>
      <c r="AP619" s="17" t="s">
        <v>155</v>
      </c>
      <c r="AQ619" s="17" t="s">
        <v>155</v>
      </c>
      <c r="AR619" s="17" t="s">
        <v>155</v>
      </c>
      <c r="BB619" t="s">
        <v>543</v>
      </c>
      <c r="BC619" s="17" t="s">
        <v>155</v>
      </c>
      <c r="BD619" s="17" t="s">
        <v>92</v>
      </c>
      <c r="BE619" s="17" t="s">
        <v>155</v>
      </c>
      <c r="BF619" s="17" t="s">
        <v>155</v>
      </c>
      <c r="BG619" s="17" t="s">
        <v>155</v>
      </c>
    </row>
    <row r="620" spans="24:59" x14ac:dyDescent="0.3">
      <c r="X620" t="s">
        <v>550</v>
      </c>
      <c r="Y620" s="17" t="s">
        <v>6</v>
      </c>
      <c r="Z620" s="17" t="s">
        <v>155</v>
      </c>
      <c r="AA620" s="17" t="s">
        <v>155</v>
      </c>
      <c r="AB620" s="17" t="s">
        <v>6</v>
      </c>
      <c r="AC620" s="17" t="s">
        <v>155</v>
      </c>
      <c r="AM620" t="s">
        <v>544</v>
      </c>
      <c r="AN620" s="17" t="s">
        <v>155</v>
      </c>
      <c r="AO620" s="17" t="s">
        <v>92</v>
      </c>
      <c r="AP620" s="17" t="s">
        <v>155</v>
      </c>
      <c r="AQ620" s="17" t="s">
        <v>155</v>
      </c>
      <c r="AR620" s="17" t="s">
        <v>155</v>
      </c>
      <c r="BB620" t="s">
        <v>544</v>
      </c>
      <c r="BC620" s="17" t="s">
        <v>155</v>
      </c>
      <c r="BD620" s="17" t="s">
        <v>92</v>
      </c>
      <c r="BE620" s="17" t="s">
        <v>155</v>
      </c>
      <c r="BF620" s="17" t="s">
        <v>155</v>
      </c>
      <c r="BG620" s="17" t="s">
        <v>155</v>
      </c>
    </row>
    <row r="621" spans="24:59" x14ac:dyDescent="0.3">
      <c r="X621" t="s">
        <v>158</v>
      </c>
      <c r="Y621" s="17" t="s">
        <v>6</v>
      </c>
      <c r="Z621" s="17" t="s">
        <v>155</v>
      </c>
      <c r="AA621" s="17" t="s">
        <v>155</v>
      </c>
      <c r="AB621" s="17" t="s">
        <v>6</v>
      </c>
      <c r="AC621" s="17" t="s">
        <v>322</v>
      </c>
      <c r="AM621" t="s">
        <v>545</v>
      </c>
      <c r="AN621" s="17" t="s">
        <v>155</v>
      </c>
      <c r="AO621" s="17" t="s">
        <v>92</v>
      </c>
      <c r="AP621" s="17" t="s">
        <v>155</v>
      </c>
      <c r="AQ621" s="17" t="s">
        <v>155</v>
      </c>
      <c r="AR621" s="17" t="s">
        <v>155</v>
      </c>
      <c r="BB621" t="s">
        <v>545</v>
      </c>
      <c r="BC621" s="17" t="s">
        <v>155</v>
      </c>
      <c r="BD621" s="17" t="s">
        <v>92</v>
      </c>
      <c r="BE621" s="17" t="s">
        <v>155</v>
      </c>
      <c r="BF621" s="17" t="s">
        <v>155</v>
      </c>
      <c r="BG621" s="17" t="s">
        <v>155</v>
      </c>
    </row>
    <row r="622" spans="24:59" x14ac:dyDescent="0.3">
      <c r="X622" t="s">
        <v>159</v>
      </c>
      <c r="Y622" s="17" t="s">
        <v>6</v>
      </c>
      <c r="Z622" s="17" t="s">
        <v>322</v>
      </c>
      <c r="AA622" s="17" t="s">
        <v>155</v>
      </c>
      <c r="AB622" s="17" t="s">
        <v>155</v>
      </c>
      <c r="AC622" s="17" t="s">
        <v>322</v>
      </c>
    </row>
    <row r="623" spans="24:59" x14ac:dyDescent="0.3">
      <c r="X623" t="s">
        <v>160</v>
      </c>
      <c r="Y623" s="17" t="s">
        <v>155</v>
      </c>
      <c r="Z623" s="17" t="s">
        <v>322</v>
      </c>
      <c r="AA623" s="17" t="s">
        <v>155</v>
      </c>
      <c r="AB623" s="17" t="s">
        <v>155</v>
      </c>
      <c r="AC623" s="17" t="s">
        <v>322</v>
      </c>
      <c r="AM623" t="s">
        <v>718</v>
      </c>
      <c r="BB623" t="s">
        <v>718</v>
      </c>
    </row>
    <row r="624" spans="24:59" x14ac:dyDescent="0.3">
      <c r="AN624" s="17" t="s">
        <v>164</v>
      </c>
      <c r="AO624" s="17" t="s">
        <v>165</v>
      </c>
      <c r="AP624" s="17" t="s">
        <v>166</v>
      </c>
      <c r="AQ624" s="17" t="s">
        <v>167</v>
      </c>
      <c r="AR624" s="17" t="s">
        <v>168</v>
      </c>
      <c r="BC624" s="17" t="s">
        <v>164</v>
      </c>
      <c r="BD624" s="17" t="s">
        <v>165</v>
      </c>
      <c r="BE624" s="17" t="s">
        <v>166</v>
      </c>
      <c r="BF624" s="17" t="s">
        <v>167</v>
      </c>
      <c r="BG624" s="17" t="s">
        <v>168</v>
      </c>
    </row>
    <row r="625" spans="24:59" x14ac:dyDescent="0.3">
      <c r="X625" t="s">
        <v>845</v>
      </c>
      <c r="AM625" t="s">
        <v>550</v>
      </c>
      <c r="AN625" s="17" t="s">
        <v>6</v>
      </c>
      <c r="AO625" s="17" t="s">
        <v>155</v>
      </c>
      <c r="AP625" s="17" t="s">
        <v>155</v>
      </c>
      <c r="AQ625" s="17" t="s">
        <v>6</v>
      </c>
      <c r="AR625" s="17" t="s">
        <v>155</v>
      </c>
      <c r="BB625" t="s">
        <v>550</v>
      </c>
      <c r="BC625" s="17" t="s">
        <v>6</v>
      </c>
      <c r="BD625" s="17" t="s">
        <v>155</v>
      </c>
      <c r="BE625" s="17" t="s">
        <v>6</v>
      </c>
      <c r="BF625" s="17" t="s">
        <v>155</v>
      </c>
      <c r="BG625" s="17" t="s">
        <v>155</v>
      </c>
    </row>
    <row r="626" spans="24:59" x14ac:dyDescent="0.3">
      <c r="Y626" s="17" t="s">
        <v>164</v>
      </c>
      <c r="Z626" s="17" t="s">
        <v>165</v>
      </c>
      <c r="AA626" s="17" t="s">
        <v>166</v>
      </c>
      <c r="AB626" s="17" t="s">
        <v>167</v>
      </c>
      <c r="AC626" s="17" t="s">
        <v>168</v>
      </c>
      <c r="AM626" t="s">
        <v>158</v>
      </c>
      <c r="AN626" s="17" t="s">
        <v>6</v>
      </c>
      <c r="AO626" s="17" t="s">
        <v>155</v>
      </c>
      <c r="AP626" s="17" t="s">
        <v>155</v>
      </c>
      <c r="AQ626" s="17" t="s">
        <v>6</v>
      </c>
      <c r="AR626" s="17" t="s">
        <v>322</v>
      </c>
      <c r="BB626" t="s">
        <v>158</v>
      </c>
      <c r="BC626" s="17" t="s">
        <v>6</v>
      </c>
      <c r="BD626" s="17" t="s">
        <v>155</v>
      </c>
      <c r="BE626" s="17" t="s">
        <v>6</v>
      </c>
      <c r="BF626" s="17" t="s">
        <v>155</v>
      </c>
      <c r="BG626" s="17" t="s">
        <v>322</v>
      </c>
    </row>
    <row r="627" spans="24:59" x14ac:dyDescent="0.3">
      <c r="X627" t="s">
        <v>543</v>
      </c>
      <c r="Y627" s="17" t="s">
        <v>155</v>
      </c>
      <c r="Z627" s="17" t="s">
        <v>155</v>
      </c>
      <c r="AA627" s="17" t="s">
        <v>415</v>
      </c>
      <c r="AB627" s="17" t="s">
        <v>155</v>
      </c>
      <c r="AC627" s="17" t="s">
        <v>415</v>
      </c>
      <c r="AM627" t="s">
        <v>159</v>
      </c>
      <c r="AN627" s="17" t="s">
        <v>6</v>
      </c>
      <c r="AO627" s="17" t="s">
        <v>322</v>
      </c>
      <c r="AP627" s="17" t="s">
        <v>155</v>
      </c>
      <c r="AQ627" s="17" t="s">
        <v>155</v>
      </c>
      <c r="AR627" s="17" t="s">
        <v>322</v>
      </c>
      <c r="BB627" t="s">
        <v>159</v>
      </c>
      <c r="BC627" s="17" t="s">
        <v>155</v>
      </c>
      <c r="BD627" s="17" t="s">
        <v>322</v>
      </c>
      <c r="BE627" s="17" t="s">
        <v>6</v>
      </c>
      <c r="BF627" s="17" t="s">
        <v>155</v>
      </c>
      <c r="BG627" s="17" t="s">
        <v>322</v>
      </c>
    </row>
    <row r="628" spans="24:59" x14ac:dyDescent="0.3">
      <c r="X628" t="s">
        <v>544</v>
      </c>
      <c r="Y628" s="17" t="s">
        <v>155</v>
      </c>
      <c r="Z628" s="17" t="s">
        <v>155</v>
      </c>
      <c r="AA628" s="17" t="s">
        <v>415</v>
      </c>
      <c r="AB628" s="17" t="s">
        <v>155</v>
      </c>
      <c r="AC628" s="17" t="s">
        <v>415</v>
      </c>
      <c r="AM628" t="s">
        <v>160</v>
      </c>
      <c r="AN628" s="17" t="s">
        <v>155</v>
      </c>
      <c r="AO628" s="17" t="s">
        <v>322</v>
      </c>
      <c r="AP628" s="17" t="s">
        <v>155</v>
      </c>
      <c r="AQ628" s="17" t="s">
        <v>155</v>
      </c>
      <c r="AR628" s="17" t="s">
        <v>322</v>
      </c>
      <c r="BB628" t="s">
        <v>160</v>
      </c>
      <c r="BC628" s="17" t="s">
        <v>155</v>
      </c>
      <c r="BD628" s="17" t="s">
        <v>322</v>
      </c>
      <c r="BE628" s="17" t="s">
        <v>155</v>
      </c>
      <c r="BF628" s="17" t="s">
        <v>155</v>
      </c>
      <c r="BG628" s="17" t="s">
        <v>322</v>
      </c>
    </row>
    <row r="629" spans="24:59" x14ac:dyDescent="0.3">
      <c r="X629" t="s">
        <v>545</v>
      </c>
      <c r="Y629" s="17" t="s">
        <v>155</v>
      </c>
      <c r="Z629" s="17" t="s">
        <v>155</v>
      </c>
      <c r="AA629" s="17" t="s">
        <v>155</v>
      </c>
      <c r="AB629" s="17" t="s">
        <v>155</v>
      </c>
      <c r="AC629" s="17" t="s">
        <v>415</v>
      </c>
    </row>
    <row r="630" spans="24:59" x14ac:dyDescent="0.3">
      <c r="AM630" t="s">
        <v>845</v>
      </c>
      <c r="BB630" t="s">
        <v>845</v>
      </c>
    </row>
    <row r="631" spans="24:59" x14ac:dyDescent="0.3">
      <c r="X631" t="s">
        <v>721</v>
      </c>
      <c r="AN631" s="17" t="s">
        <v>164</v>
      </c>
      <c r="AO631" s="17" t="s">
        <v>165</v>
      </c>
      <c r="AP631" s="17" t="s">
        <v>166</v>
      </c>
      <c r="AQ631" s="17" t="s">
        <v>167</v>
      </c>
      <c r="AR631" s="17" t="s">
        <v>168</v>
      </c>
      <c r="BC631" s="17" t="s">
        <v>164</v>
      </c>
      <c r="BD631" s="17" t="s">
        <v>165</v>
      </c>
      <c r="BE631" s="17" t="s">
        <v>166</v>
      </c>
      <c r="BF631" s="17" t="s">
        <v>167</v>
      </c>
      <c r="BG631" s="17" t="s">
        <v>168</v>
      </c>
    </row>
    <row r="632" spans="24:59" x14ac:dyDescent="0.3">
      <c r="Y632" s="17" t="s">
        <v>164</v>
      </c>
      <c r="Z632" s="17" t="s">
        <v>165</v>
      </c>
      <c r="AA632" s="17" t="s">
        <v>166</v>
      </c>
      <c r="AB632" s="17" t="s">
        <v>167</v>
      </c>
      <c r="AC632" s="17" t="s">
        <v>168</v>
      </c>
      <c r="AM632" t="s">
        <v>543</v>
      </c>
      <c r="AN632" s="17" t="s">
        <v>155</v>
      </c>
      <c r="AO632" s="17" t="s">
        <v>155</v>
      </c>
      <c r="AP632" s="17" t="s">
        <v>415</v>
      </c>
      <c r="AQ632" s="17" t="s">
        <v>155</v>
      </c>
      <c r="AR632" s="17" t="s">
        <v>415</v>
      </c>
      <c r="BB632" t="s">
        <v>543</v>
      </c>
      <c r="BC632" s="17" t="s">
        <v>155</v>
      </c>
      <c r="BD632" s="17" t="s">
        <v>155</v>
      </c>
      <c r="BE632" s="17" t="s">
        <v>415</v>
      </c>
      <c r="BF632" s="17" t="s">
        <v>155</v>
      </c>
      <c r="BG632" s="17" t="s">
        <v>415</v>
      </c>
    </row>
    <row r="633" spans="24:59" x14ac:dyDescent="0.3">
      <c r="X633" t="s">
        <v>548</v>
      </c>
      <c r="Y633" s="17" t="s">
        <v>155</v>
      </c>
      <c r="Z633" s="17" t="s">
        <v>312</v>
      </c>
      <c r="AA633" s="17" t="s">
        <v>155</v>
      </c>
      <c r="AB633" s="17" t="s">
        <v>155</v>
      </c>
      <c r="AC633" s="17" t="s">
        <v>312</v>
      </c>
      <c r="AM633" t="s">
        <v>544</v>
      </c>
      <c r="AN633" s="17" t="s">
        <v>155</v>
      </c>
      <c r="AO633" s="17" t="s">
        <v>155</v>
      </c>
      <c r="AP633" s="17" t="s">
        <v>415</v>
      </c>
      <c r="AQ633" s="17" t="s">
        <v>155</v>
      </c>
      <c r="AR633" s="17" t="s">
        <v>415</v>
      </c>
      <c r="BB633" t="s">
        <v>544</v>
      </c>
      <c r="BC633" s="17" t="s">
        <v>155</v>
      </c>
      <c r="BD633" s="17" t="s">
        <v>155</v>
      </c>
      <c r="BE633" s="17" t="s">
        <v>415</v>
      </c>
      <c r="BF633" s="17" t="s">
        <v>155</v>
      </c>
      <c r="BG633" s="17" t="s">
        <v>415</v>
      </c>
    </row>
    <row r="634" spans="24:59" x14ac:dyDescent="0.3">
      <c r="X634" t="s">
        <v>549</v>
      </c>
      <c r="Y634" s="17" t="s">
        <v>155</v>
      </c>
      <c r="Z634" s="17" t="s">
        <v>312</v>
      </c>
      <c r="AA634" s="17" t="s">
        <v>155</v>
      </c>
      <c r="AB634" s="17" t="s">
        <v>155</v>
      </c>
      <c r="AC634" s="17" t="s">
        <v>312</v>
      </c>
      <c r="AM634" t="s">
        <v>545</v>
      </c>
      <c r="AN634" s="17" t="s">
        <v>155</v>
      </c>
      <c r="AO634" s="17" t="s">
        <v>155</v>
      </c>
      <c r="AP634" s="17" t="s">
        <v>415</v>
      </c>
      <c r="AQ634" s="17" t="s">
        <v>155</v>
      </c>
      <c r="AR634" s="17" t="s">
        <v>155</v>
      </c>
      <c r="BB634" t="s">
        <v>545</v>
      </c>
      <c r="BC634" s="17" t="s">
        <v>155</v>
      </c>
      <c r="BD634" s="17" t="s">
        <v>155</v>
      </c>
      <c r="BE634" s="17" t="s">
        <v>415</v>
      </c>
      <c r="BF634" s="17" t="s">
        <v>155</v>
      </c>
      <c r="BG634" s="17" t="s">
        <v>155</v>
      </c>
    </row>
    <row r="635" spans="24:59" x14ac:dyDescent="0.3">
      <c r="X635" t="s">
        <v>550</v>
      </c>
      <c r="Y635" s="17" t="s">
        <v>155</v>
      </c>
      <c r="Z635" s="17" t="s">
        <v>312</v>
      </c>
      <c r="AA635" s="17" t="s">
        <v>155</v>
      </c>
      <c r="AB635" s="17" t="s">
        <v>155</v>
      </c>
      <c r="AC635" s="17" t="s">
        <v>155</v>
      </c>
    </row>
    <row r="636" spans="24:59" x14ac:dyDescent="0.3">
      <c r="AM636" t="s">
        <v>721</v>
      </c>
      <c r="BB636" t="s">
        <v>721</v>
      </c>
    </row>
    <row r="637" spans="24:59" x14ac:dyDescent="0.3">
      <c r="X637" t="s">
        <v>847</v>
      </c>
      <c r="AN637" s="17" t="s">
        <v>164</v>
      </c>
      <c r="AO637" s="17" t="s">
        <v>165</v>
      </c>
      <c r="AP637" s="17" t="s">
        <v>166</v>
      </c>
      <c r="AQ637" s="17" t="s">
        <v>167</v>
      </c>
      <c r="AR637" s="17" t="s">
        <v>168</v>
      </c>
      <c r="BC637" s="17" t="s">
        <v>164</v>
      </c>
      <c r="BD637" s="17" t="s">
        <v>165</v>
      </c>
      <c r="BE637" s="17" t="s">
        <v>166</v>
      </c>
      <c r="BF637" s="17" t="s">
        <v>167</v>
      </c>
      <c r="BG637" s="17" t="s">
        <v>168</v>
      </c>
    </row>
    <row r="638" spans="24:59" x14ac:dyDescent="0.3">
      <c r="Y638" s="17" t="s">
        <v>164</v>
      </c>
      <c r="Z638" s="17" t="s">
        <v>165</v>
      </c>
      <c r="AA638" s="17" t="s">
        <v>166</v>
      </c>
      <c r="AB638" s="17" t="s">
        <v>167</v>
      </c>
      <c r="AC638" s="17" t="s">
        <v>168</v>
      </c>
      <c r="AM638" t="s">
        <v>548</v>
      </c>
      <c r="AN638" s="17" t="s">
        <v>312</v>
      </c>
      <c r="AO638" s="17" t="s">
        <v>155</v>
      </c>
      <c r="AP638" s="17" t="s">
        <v>155</v>
      </c>
      <c r="AQ638" s="17" t="s">
        <v>155</v>
      </c>
      <c r="AR638" s="17" t="s">
        <v>155</v>
      </c>
      <c r="BB638" t="s">
        <v>548</v>
      </c>
      <c r="BC638" s="17" t="s">
        <v>312</v>
      </c>
      <c r="BD638" s="17" t="s">
        <v>155</v>
      </c>
      <c r="BE638" s="17" t="s">
        <v>155</v>
      </c>
      <c r="BF638" s="17" t="s">
        <v>155</v>
      </c>
      <c r="BG638" s="17" t="s">
        <v>155</v>
      </c>
    </row>
    <row r="639" spans="24:59" x14ac:dyDescent="0.3">
      <c r="X639" t="s">
        <v>556</v>
      </c>
      <c r="Y639" s="17" t="s">
        <v>155</v>
      </c>
      <c r="Z639" s="17" t="s">
        <v>155</v>
      </c>
      <c r="AA639" s="17" t="s">
        <v>260</v>
      </c>
      <c r="AB639" s="17" t="s">
        <v>155</v>
      </c>
      <c r="AC639" s="17" t="s">
        <v>155</v>
      </c>
      <c r="AM639" t="s">
        <v>549</v>
      </c>
      <c r="AN639" s="17" t="s">
        <v>312</v>
      </c>
      <c r="AO639" s="17" t="s">
        <v>155</v>
      </c>
      <c r="AP639" s="17" t="s">
        <v>312</v>
      </c>
      <c r="AQ639" s="17" t="s">
        <v>155</v>
      </c>
      <c r="AR639" s="17" t="s">
        <v>155</v>
      </c>
      <c r="BB639" t="s">
        <v>549</v>
      </c>
      <c r="BC639" s="17" t="s">
        <v>312</v>
      </c>
      <c r="BD639" s="17" t="s">
        <v>155</v>
      </c>
      <c r="BE639" s="17" t="s">
        <v>312</v>
      </c>
      <c r="BF639" s="17" t="s">
        <v>155</v>
      </c>
      <c r="BG639" s="17" t="s">
        <v>155</v>
      </c>
    </row>
    <row r="640" spans="24:59" x14ac:dyDescent="0.3">
      <c r="X640" t="s">
        <v>557</v>
      </c>
      <c r="Y640" s="17" t="s">
        <v>155</v>
      </c>
      <c r="Z640" s="17" t="s">
        <v>155</v>
      </c>
      <c r="AA640" s="17" t="s">
        <v>260</v>
      </c>
      <c r="AB640" s="17" t="s">
        <v>155</v>
      </c>
      <c r="AC640" s="17" t="s">
        <v>155</v>
      </c>
      <c r="AM640" t="s">
        <v>550</v>
      </c>
      <c r="AN640" s="17" t="s">
        <v>312</v>
      </c>
      <c r="AO640" s="17" t="s">
        <v>155</v>
      </c>
      <c r="AP640" s="17" t="s">
        <v>312</v>
      </c>
      <c r="AQ640" s="17" t="s">
        <v>155</v>
      </c>
      <c r="AR640" s="17" t="s">
        <v>155</v>
      </c>
      <c r="BB640" t="s">
        <v>550</v>
      </c>
      <c r="BC640" s="17" t="s">
        <v>312</v>
      </c>
      <c r="BD640" s="17" t="s">
        <v>155</v>
      </c>
      <c r="BE640" s="17" t="s">
        <v>312</v>
      </c>
      <c r="BF640" s="17" t="s">
        <v>155</v>
      </c>
      <c r="BG640" s="17" t="s">
        <v>155</v>
      </c>
    </row>
    <row r="641" spans="24:59" x14ac:dyDescent="0.3">
      <c r="X641" t="s">
        <v>542</v>
      </c>
      <c r="Y641" s="17" t="s">
        <v>155</v>
      </c>
      <c r="Z641" s="17" t="s">
        <v>155</v>
      </c>
      <c r="AA641" s="17" t="s">
        <v>260</v>
      </c>
      <c r="AB641" s="17" t="s">
        <v>155</v>
      </c>
      <c r="AC641" s="17" t="s">
        <v>155</v>
      </c>
    </row>
    <row r="642" spans="24:59" x14ac:dyDescent="0.3">
      <c r="AM642" t="s">
        <v>847</v>
      </c>
      <c r="BB642" t="s">
        <v>847</v>
      </c>
    </row>
    <row r="643" spans="24:59" x14ac:dyDescent="0.3">
      <c r="AN643" s="17" t="s">
        <v>164</v>
      </c>
      <c r="AO643" s="17" t="s">
        <v>165</v>
      </c>
      <c r="AP643" s="17" t="s">
        <v>166</v>
      </c>
      <c r="AQ643" s="17" t="s">
        <v>167</v>
      </c>
      <c r="AR643" s="17" t="s">
        <v>168</v>
      </c>
      <c r="BC643" s="17" t="s">
        <v>164</v>
      </c>
      <c r="BD643" s="17" t="s">
        <v>165</v>
      </c>
      <c r="BE643" s="17" t="s">
        <v>166</v>
      </c>
      <c r="BF643" s="17" t="s">
        <v>167</v>
      </c>
      <c r="BG643" s="17" t="s">
        <v>168</v>
      </c>
    </row>
    <row r="644" spans="24:59" x14ac:dyDescent="0.3">
      <c r="AM644" t="s">
        <v>556</v>
      </c>
      <c r="AN644" s="17" t="s">
        <v>155</v>
      </c>
      <c r="AO644" s="17" t="s">
        <v>155</v>
      </c>
      <c r="AP644" s="17" t="s">
        <v>260</v>
      </c>
      <c r="AQ644" s="17" t="s">
        <v>155</v>
      </c>
      <c r="AR644" s="17" t="s">
        <v>155</v>
      </c>
      <c r="BB644" t="s">
        <v>556</v>
      </c>
      <c r="BC644" s="17" t="s">
        <v>155</v>
      </c>
      <c r="BD644" s="17" t="s">
        <v>155</v>
      </c>
      <c r="BE644" s="17" t="s">
        <v>260</v>
      </c>
      <c r="BF644" s="17" t="s">
        <v>155</v>
      </c>
      <c r="BG644" s="17" t="s">
        <v>155</v>
      </c>
    </row>
    <row r="645" spans="24:59" x14ac:dyDescent="0.3">
      <c r="AM645" t="s">
        <v>557</v>
      </c>
      <c r="AN645" s="17" t="s">
        <v>155</v>
      </c>
      <c r="AO645" s="17" t="s">
        <v>155</v>
      </c>
      <c r="AP645" s="17" t="s">
        <v>260</v>
      </c>
      <c r="AQ645" s="17" t="s">
        <v>155</v>
      </c>
      <c r="AR645" s="17" t="s">
        <v>155</v>
      </c>
      <c r="BB645" t="s">
        <v>557</v>
      </c>
      <c r="BC645" s="17" t="s">
        <v>155</v>
      </c>
      <c r="BD645" s="17" t="s">
        <v>155</v>
      </c>
      <c r="BE645" s="17" t="s">
        <v>260</v>
      </c>
      <c r="BF645" s="17" t="s">
        <v>155</v>
      </c>
      <c r="BG645" s="17" t="s">
        <v>155</v>
      </c>
    </row>
    <row r="646" spans="24:59" x14ac:dyDescent="0.3">
      <c r="AM646" t="s">
        <v>542</v>
      </c>
      <c r="AN646" s="17" t="s">
        <v>155</v>
      </c>
      <c r="AO646" s="17" t="s">
        <v>155</v>
      </c>
      <c r="AP646" s="17" t="s">
        <v>260</v>
      </c>
      <c r="AQ646" s="17" t="s">
        <v>155</v>
      </c>
      <c r="AR646" s="17" t="s">
        <v>155</v>
      </c>
      <c r="BB646" t="s">
        <v>542</v>
      </c>
      <c r="BC646" s="17" t="s">
        <v>155</v>
      </c>
      <c r="BD646" s="17" t="s">
        <v>155</v>
      </c>
      <c r="BE646" s="17" t="s">
        <v>260</v>
      </c>
      <c r="BF646" s="17" t="s">
        <v>155</v>
      </c>
      <c r="BG646" s="17" t="s">
        <v>155</v>
      </c>
    </row>
  </sheetData>
  <pageMargins left="0.7" right="0.7" top="0.75" bottom="0.75" header="0.3" footer="0.3"/>
  <pageSetup scale="88" fitToHeight="0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H15" sqref="H15"/>
    </sheetView>
  </sheetViews>
  <sheetFormatPr baseColWidth="10" defaultRowHeight="14.4" x14ac:dyDescent="0.3"/>
  <sheetData>
    <row r="1" spans="1:6" x14ac:dyDescent="0.3">
      <c r="A1" s="54" t="s">
        <v>357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3</v>
      </c>
      <c r="C2" s="50">
        <v>1</v>
      </c>
      <c r="D2" s="50">
        <v>0</v>
      </c>
      <c r="E2" s="55">
        <v>3</v>
      </c>
      <c r="F2" s="50">
        <v>1</v>
      </c>
    </row>
    <row r="3" spans="1:6" x14ac:dyDescent="0.3">
      <c r="A3">
        <v>2</v>
      </c>
      <c r="B3" s="50">
        <v>3</v>
      </c>
      <c r="C3" s="50">
        <v>1</v>
      </c>
      <c r="D3" s="50">
        <v>0</v>
      </c>
      <c r="E3" s="55">
        <v>3</v>
      </c>
      <c r="F3" s="50">
        <v>1</v>
      </c>
    </row>
    <row r="4" spans="1:6" x14ac:dyDescent="0.3">
      <c r="A4">
        <v>3</v>
      </c>
      <c r="B4" s="50">
        <v>3</v>
      </c>
      <c r="C4" s="50">
        <v>1</v>
      </c>
      <c r="D4" s="50">
        <v>0</v>
      </c>
      <c r="E4" s="55">
        <v>3</v>
      </c>
      <c r="F4" s="50">
        <v>1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K10" sqref="K10"/>
    </sheetView>
  </sheetViews>
  <sheetFormatPr baseColWidth="10" defaultRowHeight="14.4" x14ac:dyDescent="0.3"/>
  <sheetData>
    <row r="1" spans="1:6" x14ac:dyDescent="0.3">
      <c r="A1" s="54" t="s">
        <v>420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0</v>
      </c>
      <c r="D2" s="50">
        <v>1</v>
      </c>
      <c r="E2" s="50">
        <v>0</v>
      </c>
      <c r="F2" s="50">
        <v>0</v>
      </c>
    </row>
    <row r="3" spans="1:6" x14ac:dyDescent="0.3">
      <c r="A3">
        <v>2</v>
      </c>
      <c r="B3" s="50">
        <v>1</v>
      </c>
      <c r="C3" s="50">
        <v>0</v>
      </c>
      <c r="D3" s="50">
        <v>1</v>
      </c>
      <c r="E3" s="50">
        <v>0</v>
      </c>
      <c r="F3" s="50">
        <v>0</v>
      </c>
    </row>
    <row r="4" spans="1:6" x14ac:dyDescent="0.3">
      <c r="A4">
        <v>3</v>
      </c>
      <c r="B4" s="50">
        <v>1</v>
      </c>
      <c r="C4" s="50">
        <v>1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1</v>
      </c>
      <c r="C5" s="50">
        <v>1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1</v>
      </c>
      <c r="C6" s="50">
        <v>1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1</v>
      </c>
      <c r="C7" s="50">
        <v>1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0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0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0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4" t="s">
        <v>271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</row>
    <row r="14" spans="1:6" x14ac:dyDescent="0.3">
      <c r="A14">
        <v>13</v>
      </c>
      <c r="B14" s="52">
        <v>2</v>
      </c>
      <c r="C14" s="52">
        <v>2</v>
      </c>
      <c r="D14" s="52">
        <v>2</v>
      </c>
      <c r="E14" s="52">
        <v>2</v>
      </c>
      <c r="F14" s="52">
        <v>2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K12" sqref="K12"/>
    </sheetView>
  </sheetViews>
  <sheetFormatPr baseColWidth="10" defaultRowHeight="14.4" x14ac:dyDescent="0.3"/>
  <sheetData>
    <row r="1" spans="1:6" x14ac:dyDescent="0.3">
      <c r="A1" s="54" t="s">
        <v>105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3</v>
      </c>
      <c r="D4" s="50">
        <v>0</v>
      </c>
      <c r="E4" s="50">
        <v>3</v>
      </c>
      <c r="F4" s="50">
        <v>0</v>
      </c>
    </row>
    <row r="5" spans="1:6" x14ac:dyDescent="0.3">
      <c r="A5">
        <v>4</v>
      </c>
      <c r="B5" s="50">
        <v>0</v>
      </c>
      <c r="C5" s="50">
        <v>1</v>
      </c>
      <c r="D5" s="50">
        <v>0</v>
      </c>
      <c r="E5" s="50">
        <v>1</v>
      </c>
      <c r="F5" s="50">
        <v>0</v>
      </c>
    </row>
    <row r="6" spans="1:6" x14ac:dyDescent="0.3">
      <c r="A6">
        <v>5</v>
      </c>
      <c r="B6" s="50">
        <v>0</v>
      </c>
      <c r="C6" s="50">
        <v>1</v>
      </c>
      <c r="D6" s="50">
        <v>0</v>
      </c>
      <c r="E6" s="50">
        <v>1</v>
      </c>
      <c r="F6" s="50">
        <v>0</v>
      </c>
    </row>
    <row r="7" spans="1:6" x14ac:dyDescent="0.3">
      <c r="A7">
        <v>6</v>
      </c>
      <c r="B7" s="50">
        <v>0</v>
      </c>
      <c r="C7" s="50">
        <v>1</v>
      </c>
      <c r="D7" s="50">
        <v>0</v>
      </c>
      <c r="E7" s="50">
        <v>1</v>
      </c>
      <c r="F7" s="50">
        <v>0</v>
      </c>
    </row>
    <row r="8" spans="1:6" x14ac:dyDescent="0.3">
      <c r="A8">
        <v>7</v>
      </c>
      <c r="B8" s="51">
        <v>0</v>
      </c>
      <c r="C8" s="51">
        <v>1</v>
      </c>
      <c r="D8" s="51">
        <v>0</v>
      </c>
      <c r="E8" s="51">
        <v>1</v>
      </c>
      <c r="F8" s="51">
        <v>0</v>
      </c>
    </row>
    <row r="9" spans="1:6" x14ac:dyDescent="0.3">
      <c r="A9">
        <v>8</v>
      </c>
      <c r="B9" s="51">
        <v>0</v>
      </c>
      <c r="C9" s="51">
        <v>1</v>
      </c>
      <c r="D9" s="51">
        <v>0</v>
      </c>
      <c r="E9" s="51">
        <v>1</v>
      </c>
      <c r="F9" s="51">
        <v>0</v>
      </c>
    </row>
    <row r="10" spans="1:6" x14ac:dyDescent="0.3">
      <c r="A10">
        <v>9</v>
      </c>
      <c r="B10" s="51">
        <v>0</v>
      </c>
      <c r="C10" s="51">
        <v>1</v>
      </c>
      <c r="D10" s="51">
        <v>0</v>
      </c>
      <c r="E10" s="51">
        <v>1</v>
      </c>
      <c r="F10" s="51">
        <v>0</v>
      </c>
    </row>
    <row r="11" spans="1:6" x14ac:dyDescent="0.3">
      <c r="A11">
        <v>10</v>
      </c>
      <c r="B11" s="51">
        <v>0</v>
      </c>
      <c r="C11" s="51">
        <v>3</v>
      </c>
      <c r="D11" s="51">
        <v>0</v>
      </c>
      <c r="E11" s="51">
        <v>3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4" t="s">
        <v>352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3</v>
      </c>
      <c r="C5" s="50">
        <v>3</v>
      </c>
      <c r="D5" s="50">
        <v>3</v>
      </c>
      <c r="E5" s="50">
        <v>3</v>
      </c>
      <c r="F5" s="50">
        <v>3</v>
      </c>
    </row>
    <row r="6" spans="1:6" x14ac:dyDescent="0.3">
      <c r="A6">
        <v>5</v>
      </c>
      <c r="B6" s="50">
        <v>3</v>
      </c>
      <c r="C6" s="50">
        <v>3</v>
      </c>
      <c r="D6" s="50">
        <v>3</v>
      </c>
      <c r="E6" s="50">
        <v>3</v>
      </c>
      <c r="F6" s="50">
        <v>3</v>
      </c>
    </row>
    <row r="7" spans="1:6" x14ac:dyDescent="0.3">
      <c r="A7">
        <v>6</v>
      </c>
      <c r="B7" s="50">
        <v>3</v>
      </c>
      <c r="C7" s="50">
        <v>3</v>
      </c>
      <c r="D7" s="50">
        <v>3</v>
      </c>
      <c r="E7" s="50">
        <v>3</v>
      </c>
      <c r="F7" s="50">
        <v>3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62" t="s">
        <v>466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1</v>
      </c>
      <c r="D12" s="52">
        <v>1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1</v>
      </c>
      <c r="D13" s="52">
        <v>1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1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L17" sqref="L17"/>
    </sheetView>
  </sheetViews>
  <sheetFormatPr baseColWidth="10" defaultRowHeight="14.4" x14ac:dyDescent="0.3"/>
  <sheetData>
    <row r="1" spans="1:6" x14ac:dyDescent="0.3">
      <c r="A1" s="54" t="s">
        <v>109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3</v>
      </c>
      <c r="F10" s="51">
        <v>3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54" t="s">
        <v>422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</row>
    <row r="14" spans="1:6" x14ac:dyDescent="0.3">
      <c r="A14">
        <v>13</v>
      </c>
      <c r="B14" s="52">
        <v>2</v>
      </c>
      <c r="C14" s="52">
        <v>2</v>
      </c>
      <c r="D14" s="52">
        <v>2</v>
      </c>
      <c r="E14" s="52">
        <v>2</v>
      </c>
      <c r="F14" s="52">
        <v>2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J9" sqref="J9"/>
    </sheetView>
  </sheetViews>
  <sheetFormatPr baseColWidth="10" defaultRowHeight="14.4" x14ac:dyDescent="0.3"/>
  <sheetData>
    <row r="1" spans="1:6" x14ac:dyDescent="0.3">
      <c r="A1" s="54" t="s">
        <v>423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2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2</v>
      </c>
      <c r="C13" s="52">
        <v>1</v>
      </c>
      <c r="D13" s="52">
        <v>1</v>
      </c>
      <c r="E13" s="52">
        <v>1</v>
      </c>
      <c r="F13" s="52">
        <v>1</v>
      </c>
    </row>
    <row r="14" spans="1:6" x14ac:dyDescent="0.3">
      <c r="A14">
        <v>13</v>
      </c>
      <c r="B14" s="52">
        <v>2</v>
      </c>
      <c r="C14" s="52">
        <v>1</v>
      </c>
      <c r="D14" s="52">
        <v>1</v>
      </c>
      <c r="E14" s="52">
        <v>1</v>
      </c>
      <c r="F14" s="52">
        <v>1</v>
      </c>
    </row>
    <row r="15" spans="1:6" x14ac:dyDescent="0.3">
      <c r="A15">
        <v>14</v>
      </c>
      <c r="B15" s="52">
        <v>2</v>
      </c>
      <c r="C15" s="52">
        <v>2</v>
      </c>
      <c r="D15" s="52">
        <v>2</v>
      </c>
      <c r="E15" s="52">
        <v>2</v>
      </c>
      <c r="F15" s="52">
        <v>2</v>
      </c>
    </row>
    <row r="16" spans="1:6" x14ac:dyDescent="0.3">
      <c r="A16">
        <v>15</v>
      </c>
      <c r="B16" s="52">
        <v>3</v>
      </c>
      <c r="C16" s="52">
        <v>3</v>
      </c>
      <c r="D16" s="52">
        <v>3</v>
      </c>
      <c r="E16" s="52">
        <v>3</v>
      </c>
      <c r="F16" s="52">
        <v>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4" t="s">
        <v>424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1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1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4" t="s">
        <v>246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1</v>
      </c>
      <c r="C12" s="52">
        <v>3</v>
      </c>
      <c r="D12" s="52">
        <v>1</v>
      </c>
      <c r="E12" s="52">
        <v>3</v>
      </c>
      <c r="F12" s="52">
        <v>0</v>
      </c>
    </row>
    <row r="13" spans="1:6" x14ac:dyDescent="0.3">
      <c r="A13">
        <v>12</v>
      </c>
      <c r="B13" s="52">
        <v>1</v>
      </c>
      <c r="C13" s="52">
        <v>3</v>
      </c>
      <c r="D13" s="52">
        <v>1</v>
      </c>
      <c r="E13" s="52">
        <v>3</v>
      </c>
      <c r="F13" s="52">
        <v>0</v>
      </c>
    </row>
    <row r="14" spans="1:6" x14ac:dyDescent="0.3">
      <c r="A14">
        <v>13</v>
      </c>
      <c r="B14" s="52">
        <v>1</v>
      </c>
      <c r="C14" s="52">
        <v>3</v>
      </c>
      <c r="D14" s="52">
        <v>1</v>
      </c>
      <c r="E14" s="52">
        <v>3</v>
      </c>
      <c r="F14" s="52">
        <v>0</v>
      </c>
    </row>
    <row r="15" spans="1:6" x14ac:dyDescent="0.3">
      <c r="A15">
        <v>14</v>
      </c>
      <c r="B15" s="52">
        <v>1</v>
      </c>
      <c r="C15" s="52">
        <v>3</v>
      </c>
      <c r="D15" s="52">
        <v>1</v>
      </c>
      <c r="E15" s="52">
        <v>3</v>
      </c>
      <c r="F15" s="52">
        <v>0</v>
      </c>
    </row>
    <row r="16" spans="1:6" x14ac:dyDescent="0.3">
      <c r="A16">
        <v>15</v>
      </c>
      <c r="B16" s="52">
        <v>1</v>
      </c>
      <c r="C16" s="52">
        <v>3</v>
      </c>
      <c r="D16" s="52">
        <v>1</v>
      </c>
      <c r="E16" s="52">
        <v>3</v>
      </c>
      <c r="F16" s="52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54" t="s">
        <v>360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1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54" t="s">
        <v>335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2</v>
      </c>
      <c r="D2" s="50">
        <v>2</v>
      </c>
      <c r="E2" s="50">
        <v>1</v>
      </c>
      <c r="F2" s="50">
        <v>1</v>
      </c>
    </row>
    <row r="3" spans="1:6" x14ac:dyDescent="0.3">
      <c r="A3">
        <v>2</v>
      </c>
      <c r="B3" s="50">
        <v>0</v>
      </c>
      <c r="C3" s="50">
        <v>2</v>
      </c>
      <c r="D3" s="50">
        <v>2</v>
      </c>
      <c r="E3" s="50">
        <v>1</v>
      </c>
      <c r="F3" s="50">
        <v>1</v>
      </c>
    </row>
    <row r="4" spans="1:6" x14ac:dyDescent="0.3">
      <c r="A4">
        <v>3</v>
      </c>
      <c r="B4" s="50">
        <v>0</v>
      </c>
      <c r="C4" s="50">
        <v>2</v>
      </c>
      <c r="D4" s="50">
        <v>2</v>
      </c>
      <c r="E4" s="50">
        <v>1</v>
      </c>
      <c r="F4" s="50">
        <v>1</v>
      </c>
    </row>
    <row r="5" spans="1:6" x14ac:dyDescent="0.3">
      <c r="A5">
        <v>4</v>
      </c>
      <c r="B5" s="50">
        <v>0</v>
      </c>
      <c r="C5" s="50">
        <v>2</v>
      </c>
      <c r="D5" s="50">
        <v>2</v>
      </c>
      <c r="E5" s="50">
        <v>1</v>
      </c>
      <c r="F5" s="50">
        <v>1</v>
      </c>
    </row>
    <row r="6" spans="1:6" x14ac:dyDescent="0.3">
      <c r="A6">
        <v>5</v>
      </c>
      <c r="B6" s="50">
        <v>0</v>
      </c>
      <c r="C6" s="50">
        <v>3</v>
      </c>
      <c r="D6" s="50">
        <v>3</v>
      </c>
      <c r="E6" s="50">
        <v>3</v>
      </c>
      <c r="F6" s="50">
        <v>3</v>
      </c>
    </row>
    <row r="7" spans="1:6" x14ac:dyDescent="0.3">
      <c r="A7">
        <v>6</v>
      </c>
      <c r="B7" s="50">
        <v>0</v>
      </c>
      <c r="C7" s="50">
        <v>3</v>
      </c>
      <c r="D7" s="50">
        <v>3</v>
      </c>
      <c r="E7" s="50">
        <v>3</v>
      </c>
      <c r="F7" s="50">
        <v>3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J11" sqref="J11"/>
    </sheetView>
  </sheetViews>
  <sheetFormatPr baseColWidth="10" defaultRowHeight="14.4" x14ac:dyDescent="0.3"/>
  <sheetData>
    <row r="1" spans="1:6" x14ac:dyDescent="0.3">
      <c r="A1" s="54" t="s">
        <v>126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0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3</v>
      </c>
      <c r="F13" s="52">
        <v>0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3</v>
      </c>
      <c r="F14" s="52">
        <v>0</v>
      </c>
    </row>
    <row r="15" spans="1:6" x14ac:dyDescent="0.3">
      <c r="A15">
        <v>14</v>
      </c>
      <c r="B15" s="52">
        <v>2</v>
      </c>
      <c r="C15" s="52">
        <v>2</v>
      </c>
      <c r="D15" s="52">
        <v>2</v>
      </c>
      <c r="E15" s="52">
        <v>3</v>
      </c>
      <c r="F15" s="52">
        <v>0</v>
      </c>
    </row>
    <row r="16" spans="1:6" x14ac:dyDescent="0.3">
      <c r="A16">
        <v>15</v>
      </c>
      <c r="B16" s="52">
        <v>2</v>
      </c>
      <c r="C16" s="52">
        <v>2</v>
      </c>
      <c r="D16" s="52">
        <v>2</v>
      </c>
      <c r="E16" s="52">
        <v>3</v>
      </c>
      <c r="F16" s="52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9" sqref="B9:F16"/>
    </sheetView>
  </sheetViews>
  <sheetFormatPr baseColWidth="10" defaultRowHeight="14.4" x14ac:dyDescent="0.3"/>
  <sheetData>
    <row r="1" spans="1:6" x14ac:dyDescent="0.3">
      <c r="A1" s="54" t="s">
        <v>411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1</v>
      </c>
      <c r="D9" s="51">
        <v>0</v>
      </c>
      <c r="E9" s="51">
        <v>1</v>
      </c>
      <c r="F9" s="51">
        <v>0</v>
      </c>
    </row>
    <row r="10" spans="1:6" x14ac:dyDescent="0.3">
      <c r="A10">
        <v>9</v>
      </c>
      <c r="B10" s="51">
        <v>0</v>
      </c>
      <c r="C10" s="51">
        <v>1</v>
      </c>
      <c r="D10" s="51">
        <v>0</v>
      </c>
      <c r="E10" s="51">
        <v>1</v>
      </c>
      <c r="F10" s="51">
        <v>0</v>
      </c>
    </row>
    <row r="11" spans="1:6" x14ac:dyDescent="0.3">
      <c r="A11">
        <v>10</v>
      </c>
      <c r="B11" s="51">
        <v>0</v>
      </c>
      <c r="C11" s="51">
        <v>1</v>
      </c>
      <c r="D11" s="51">
        <v>0</v>
      </c>
      <c r="E11" s="51">
        <v>1</v>
      </c>
      <c r="F11" s="51">
        <v>0</v>
      </c>
    </row>
    <row r="12" spans="1:6" x14ac:dyDescent="0.3">
      <c r="A12">
        <v>11</v>
      </c>
      <c r="B12" s="52">
        <v>0</v>
      </c>
      <c r="C12" s="52">
        <v>1</v>
      </c>
      <c r="D12" s="52">
        <v>0</v>
      </c>
      <c r="E12" s="52">
        <v>1</v>
      </c>
      <c r="F12" s="52">
        <v>0</v>
      </c>
    </row>
    <row r="13" spans="1:6" x14ac:dyDescent="0.3">
      <c r="A13">
        <v>12</v>
      </c>
      <c r="B13" s="52">
        <v>0</v>
      </c>
      <c r="C13" s="52">
        <v>1</v>
      </c>
      <c r="D13" s="52">
        <v>0</v>
      </c>
      <c r="E13" s="52">
        <v>1</v>
      </c>
      <c r="F13" s="52">
        <v>0</v>
      </c>
    </row>
    <row r="14" spans="1:6" x14ac:dyDescent="0.3">
      <c r="A14">
        <v>13</v>
      </c>
      <c r="B14" s="52">
        <v>0</v>
      </c>
      <c r="C14" s="52">
        <v>1</v>
      </c>
      <c r="D14" s="52">
        <v>0</v>
      </c>
      <c r="E14" s="52">
        <v>1</v>
      </c>
      <c r="F14" s="52">
        <v>0</v>
      </c>
    </row>
    <row r="15" spans="1:6" x14ac:dyDescent="0.3">
      <c r="A15">
        <v>14</v>
      </c>
      <c r="B15" s="52">
        <v>0</v>
      </c>
      <c r="C15" s="52">
        <v>1</v>
      </c>
      <c r="D15" s="52">
        <v>0</v>
      </c>
      <c r="E15" s="52">
        <v>1</v>
      </c>
      <c r="F15" s="52">
        <v>0</v>
      </c>
    </row>
    <row r="16" spans="1:6" x14ac:dyDescent="0.3">
      <c r="A16">
        <v>15</v>
      </c>
      <c r="B16" s="52">
        <v>0</v>
      </c>
      <c r="C16" s="52">
        <v>1</v>
      </c>
      <c r="D16" s="52">
        <v>0</v>
      </c>
      <c r="E16" s="52">
        <v>1</v>
      </c>
      <c r="F16" s="52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C4" sqref="C4:E11"/>
    </sheetView>
  </sheetViews>
  <sheetFormatPr baseColWidth="10" defaultRowHeight="14.4" x14ac:dyDescent="0.3"/>
  <sheetData>
    <row r="1" spans="1:6" x14ac:dyDescent="0.3">
      <c r="A1" s="54" t="s">
        <v>149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1</v>
      </c>
      <c r="D4" s="50">
        <v>0</v>
      </c>
      <c r="E4" s="50">
        <v>1</v>
      </c>
      <c r="F4" s="50">
        <v>3</v>
      </c>
    </row>
    <row r="5" spans="1:6" x14ac:dyDescent="0.3">
      <c r="A5">
        <v>4</v>
      </c>
      <c r="B5" s="50">
        <v>0</v>
      </c>
      <c r="C5" s="50">
        <v>1</v>
      </c>
      <c r="D5" s="50">
        <v>0</v>
      </c>
      <c r="E5" s="50">
        <v>1</v>
      </c>
      <c r="F5" s="50">
        <v>3</v>
      </c>
    </row>
    <row r="6" spans="1:6" x14ac:dyDescent="0.3">
      <c r="A6">
        <v>5</v>
      </c>
      <c r="B6" s="50">
        <v>0</v>
      </c>
      <c r="C6" s="50">
        <v>1</v>
      </c>
      <c r="D6" s="50">
        <v>0</v>
      </c>
      <c r="E6" s="50">
        <v>1</v>
      </c>
      <c r="F6" s="50">
        <v>3</v>
      </c>
    </row>
    <row r="7" spans="1:6" x14ac:dyDescent="0.3">
      <c r="A7">
        <v>6</v>
      </c>
      <c r="B7" s="50">
        <v>0</v>
      </c>
      <c r="C7" s="50">
        <v>2</v>
      </c>
      <c r="D7" s="50">
        <v>0</v>
      </c>
      <c r="E7" s="50">
        <v>2</v>
      </c>
      <c r="F7" s="50">
        <v>3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1</v>
      </c>
      <c r="D9" s="51">
        <v>0</v>
      </c>
      <c r="E9" s="51">
        <v>1</v>
      </c>
      <c r="F9" s="51">
        <v>0</v>
      </c>
    </row>
    <row r="10" spans="1:6" x14ac:dyDescent="0.3">
      <c r="A10">
        <v>9</v>
      </c>
      <c r="B10" s="51">
        <v>0</v>
      </c>
      <c r="C10" s="51">
        <v>1</v>
      </c>
      <c r="D10" s="51">
        <v>0</v>
      </c>
      <c r="E10" s="51">
        <v>1</v>
      </c>
      <c r="F10" s="51">
        <v>0</v>
      </c>
    </row>
    <row r="11" spans="1:6" x14ac:dyDescent="0.3">
      <c r="A11">
        <v>10</v>
      </c>
      <c r="B11" s="51">
        <v>0</v>
      </c>
      <c r="C11" s="51">
        <v>2</v>
      </c>
      <c r="D11" s="51">
        <v>0</v>
      </c>
      <c r="E11" s="51">
        <v>2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54" t="s">
        <v>425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2</v>
      </c>
      <c r="D2" s="50">
        <v>2</v>
      </c>
      <c r="E2" s="50">
        <v>2</v>
      </c>
      <c r="F2" s="50">
        <v>0</v>
      </c>
    </row>
    <row r="3" spans="1:6" x14ac:dyDescent="0.3">
      <c r="A3">
        <v>2</v>
      </c>
      <c r="B3" s="50">
        <v>2</v>
      </c>
      <c r="C3" s="50">
        <v>2</v>
      </c>
      <c r="D3" s="50">
        <v>2</v>
      </c>
      <c r="E3" s="50">
        <v>2</v>
      </c>
      <c r="F3" s="50">
        <v>0</v>
      </c>
    </row>
    <row r="4" spans="1:6" x14ac:dyDescent="0.3">
      <c r="A4">
        <v>3</v>
      </c>
      <c r="B4" s="50">
        <v>2</v>
      </c>
      <c r="C4" s="50">
        <v>2</v>
      </c>
      <c r="D4" s="50">
        <v>2</v>
      </c>
      <c r="E4" s="50">
        <v>2</v>
      </c>
      <c r="F4" s="50">
        <v>0</v>
      </c>
    </row>
    <row r="5" spans="1:6" x14ac:dyDescent="0.3">
      <c r="A5">
        <v>4</v>
      </c>
      <c r="B5" s="50">
        <v>3</v>
      </c>
      <c r="C5" s="50">
        <v>1</v>
      </c>
      <c r="D5" s="50">
        <v>1</v>
      </c>
      <c r="E5" s="50">
        <v>1</v>
      </c>
      <c r="F5" s="50">
        <v>0</v>
      </c>
    </row>
    <row r="6" spans="1:6" x14ac:dyDescent="0.3">
      <c r="A6">
        <v>5</v>
      </c>
      <c r="B6" s="50">
        <v>3</v>
      </c>
      <c r="C6" s="50">
        <v>1</v>
      </c>
      <c r="D6" s="50">
        <v>1</v>
      </c>
      <c r="E6" s="50">
        <v>1</v>
      </c>
      <c r="F6" s="50">
        <v>0</v>
      </c>
    </row>
    <row r="7" spans="1:6" x14ac:dyDescent="0.3">
      <c r="A7">
        <v>6</v>
      </c>
      <c r="B7" s="50">
        <v>3</v>
      </c>
      <c r="C7" s="50">
        <v>1</v>
      </c>
      <c r="D7" s="50">
        <v>1</v>
      </c>
      <c r="E7" s="50">
        <v>1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3</v>
      </c>
      <c r="C12" s="52">
        <v>1</v>
      </c>
      <c r="D12" s="52">
        <v>2</v>
      </c>
      <c r="E12" s="52">
        <v>1</v>
      </c>
      <c r="F12" s="52">
        <v>3</v>
      </c>
    </row>
    <row r="13" spans="1:6" x14ac:dyDescent="0.3">
      <c r="A13">
        <v>12</v>
      </c>
      <c r="B13" s="52">
        <v>3</v>
      </c>
      <c r="C13" s="52">
        <v>1</v>
      </c>
      <c r="D13" s="52">
        <v>2</v>
      </c>
      <c r="E13" s="52">
        <v>1</v>
      </c>
      <c r="F13" s="52">
        <v>3</v>
      </c>
    </row>
    <row r="14" spans="1:6" x14ac:dyDescent="0.3">
      <c r="A14">
        <v>13</v>
      </c>
      <c r="B14" s="52">
        <v>3</v>
      </c>
      <c r="C14" s="52">
        <v>1</v>
      </c>
      <c r="D14" s="52">
        <v>2</v>
      </c>
      <c r="E14" s="52">
        <v>1</v>
      </c>
      <c r="F14" s="52">
        <v>3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54" t="s">
        <v>406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0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0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0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0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0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0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0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0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0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0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0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0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54" t="s">
        <v>119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3</v>
      </c>
      <c r="C4" s="50">
        <v>3</v>
      </c>
      <c r="D4" s="50">
        <v>3</v>
      </c>
      <c r="E4" s="50">
        <v>3</v>
      </c>
      <c r="F4" s="50">
        <v>3</v>
      </c>
    </row>
    <row r="5" spans="1:6" x14ac:dyDescent="0.3">
      <c r="A5">
        <v>4</v>
      </c>
      <c r="B5" s="50">
        <v>3</v>
      </c>
      <c r="C5" s="50">
        <v>3</v>
      </c>
      <c r="D5" s="50">
        <v>3</v>
      </c>
      <c r="E5" s="50">
        <v>3</v>
      </c>
      <c r="F5" s="50">
        <v>3</v>
      </c>
    </row>
    <row r="6" spans="1:6" x14ac:dyDescent="0.3">
      <c r="A6">
        <v>5</v>
      </c>
      <c r="B6" s="50">
        <v>3</v>
      </c>
      <c r="C6" s="50">
        <v>3</v>
      </c>
      <c r="D6" s="50">
        <v>3</v>
      </c>
      <c r="E6" s="50">
        <v>3</v>
      </c>
      <c r="F6" s="50">
        <v>3</v>
      </c>
    </row>
    <row r="7" spans="1:6" x14ac:dyDescent="0.3">
      <c r="A7">
        <v>6</v>
      </c>
      <c r="B7" s="50">
        <v>2</v>
      </c>
      <c r="C7" s="50">
        <v>3</v>
      </c>
      <c r="D7" s="50">
        <v>2</v>
      </c>
      <c r="E7" s="50">
        <v>3</v>
      </c>
      <c r="F7" s="50">
        <v>3</v>
      </c>
    </row>
    <row r="8" spans="1:6" x14ac:dyDescent="0.3">
      <c r="A8">
        <v>7</v>
      </c>
      <c r="B8" s="51">
        <v>2</v>
      </c>
      <c r="C8" s="51">
        <v>3</v>
      </c>
      <c r="D8" s="51">
        <v>2</v>
      </c>
      <c r="E8" s="51">
        <v>3</v>
      </c>
      <c r="F8" s="51">
        <v>3</v>
      </c>
    </row>
    <row r="9" spans="1:6" x14ac:dyDescent="0.3">
      <c r="A9">
        <v>8</v>
      </c>
      <c r="B9" s="51">
        <v>2</v>
      </c>
      <c r="C9" s="51">
        <v>3</v>
      </c>
      <c r="D9" s="51">
        <v>2</v>
      </c>
      <c r="E9" s="51">
        <v>3</v>
      </c>
      <c r="F9" s="51">
        <v>3</v>
      </c>
    </row>
    <row r="10" spans="1:6" x14ac:dyDescent="0.3">
      <c r="A10">
        <v>9</v>
      </c>
      <c r="B10" s="51">
        <v>1</v>
      </c>
      <c r="C10" s="51">
        <v>3</v>
      </c>
      <c r="D10" s="51">
        <v>1</v>
      </c>
      <c r="E10" s="51">
        <v>3</v>
      </c>
      <c r="F10" s="51">
        <v>3</v>
      </c>
    </row>
    <row r="11" spans="1:6" x14ac:dyDescent="0.3">
      <c r="A11">
        <v>10</v>
      </c>
      <c r="B11" s="51">
        <v>1</v>
      </c>
      <c r="C11" s="51">
        <v>2</v>
      </c>
      <c r="D11" s="51">
        <v>1</v>
      </c>
      <c r="E11" s="51">
        <v>2</v>
      </c>
      <c r="F11" s="51">
        <v>2</v>
      </c>
    </row>
    <row r="12" spans="1:6" x14ac:dyDescent="0.3">
      <c r="A12">
        <v>11</v>
      </c>
      <c r="B12" s="52">
        <v>1</v>
      </c>
      <c r="C12" s="52">
        <v>2</v>
      </c>
      <c r="D12" s="52">
        <v>1</v>
      </c>
      <c r="E12" s="52">
        <v>2</v>
      </c>
      <c r="F12" s="52">
        <v>2</v>
      </c>
    </row>
    <row r="13" spans="1:6" x14ac:dyDescent="0.3">
      <c r="A13">
        <v>12</v>
      </c>
      <c r="B13" s="52">
        <v>1</v>
      </c>
      <c r="C13" s="52">
        <v>2</v>
      </c>
      <c r="D13" s="52">
        <v>1</v>
      </c>
      <c r="E13" s="52">
        <v>2</v>
      </c>
      <c r="F13" s="52">
        <v>3</v>
      </c>
    </row>
    <row r="14" spans="1:6" x14ac:dyDescent="0.3">
      <c r="A14">
        <v>13</v>
      </c>
      <c r="B14" s="52">
        <v>1</v>
      </c>
      <c r="C14" s="52">
        <v>2</v>
      </c>
      <c r="D14" s="52">
        <v>1</v>
      </c>
      <c r="E14" s="52">
        <v>2</v>
      </c>
      <c r="F14" s="52">
        <v>3</v>
      </c>
    </row>
    <row r="15" spans="1:6" x14ac:dyDescent="0.3">
      <c r="A15">
        <v>14</v>
      </c>
      <c r="B15" s="52">
        <v>2</v>
      </c>
      <c r="C15" s="52">
        <v>3</v>
      </c>
      <c r="D15" s="52">
        <v>2</v>
      </c>
      <c r="E15" s="52">
        <v>3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B8" sqref="B8:F16"/>
    </sheetView>
  </sheetViews>
  <sheetFormatPr baseColWidth="10" defaultRowHeight="14.4" x14ac:dyDescent="0.3"/>
  <sheetData>
    <row r="1" spans="1:6" x14ac:dyDescent="0.3">
      <c r="A1" s="54" t="s">
        <v>148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0</v>
      </c>
      <c r="F13" s="52">
        <v>0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I9" sqref="I9"/>
    </sheetView>
  </sheetViews>
  <sheetFormatPr baseColWidth="10" defaultRowHeight="14.4" x14ac:dyDescent="0.3"/>
  <sheetData>
    <row r="1" spans="1:6" x14ac:dyDescent="0.3">
      <c r="A1" s="54" t="s">
        <v>374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0</v>
      </c>
      <c r="D2" s="50">
        <v>0</v>
      </c>
      <c r="E2" s="50">
        <v>0</v>
      </c>
      <c r="F2" s="50">
        <v>3</v>
      </c>
    </row>
    <row r="3" spans="1:6" x14ac:dyDescent="0.3">
      <c r="A3">
        <v>2</v>
      </c>
      <c r="B3" s="50">
        <v>1</v>
      </c>
      <c r="C3" s="50">
        <v>0</v>
      </c>
      <c r="D3" s="50">
        <v>0</v>
      </c>
      <c r="E3" s="50">
        <v>0</v>
      </c>
      <c r="F3" s="50">
        <v>3</v>
      </c>
    </row>
    <row r="4" spans="1:6" x14ac:dyDescent="0.3">
      <c r="A4">
        <v>3</v>
      </c>
      <c r="B4" s="50">
        <v>2</v>
      </c>
      <c r="C4" s="50">
        <v>0</v>
      </c>
      <c r="D4" s="50">
        <v>0</v>
      </c>
      <c r="E4" s="50">
        <v>0</v>
      </c>
      <c r="F4" s="50">
        <v>3</v>
      </c>
    </row>
    <row r="5" spans="1:6" x14ac:dyDescent="0.3">
      <c r="A5">
        <v>4</v>
      </c>
      <c r="B5" s="50">
        <v>2</v>
      </c>
      <c r="C5" s="50">
        <v>0</v>
      </c>
      <c r="D5" s="50">
        <v>0</v>
      </c>
      <c r="E5" s="50">
        <v>0</v>
      </c>
      <c r="F5" s="50">
        <v>3</v>
      </c>
    </row>
    <row r="6" spans="1:6" x14ac:dyDescent="0.3">
      <c r="A6">
        <v>5</v>
      </c>
      <c r="B6" s="62">
        <v>3</v>
      </c>
      <c r="C6" s="50">
        <v>0</v>
      </c>
      <c r="D6" s="50">
        <v>0</v>
      </c>
      <c r="E6" s="50">
        <v>0</v>
      </c>
      <c r="F6" s="62">
        <v>3</v>
      </c>
    </row>
    <row r="7" spans="1:6" x14ac:dyDescent="0.3">
      <c r="A7">
        <v>6</v>
      </c>
      <c r="B7" s="62">
        <v>3</v>
      </c>
      <c r="C7" s="50">
        <v>0</v>
      </c>
      <c r="D7" s="50">
        <v>0</v>
      </c>
      <c r="E7" s="50">
        <v>0</v>
      </c>
      <c r="F7" s="62">
        <v>3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RowHeight="14.4" x14ac:dyDescent="0.3"/>
  <sheetData>
    <row r="1" spans="1:6" x14ac:dyDescent="0.3">
      <c r="A1" s="54" t="s">
        <v>337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0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0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0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0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0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54" t="s">
        <v>403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3</v>
      </c>
      <c r="C12" s="52">
        <v>3</v>
      </c>
      <c r="D12" s="52">
        <v>3</v>
      </c>
      <c r="E12" s="52">
        <v>3</v>
      </c>
      <c r="F12" s="52">
        <v>3</v>
      </c>
    </row>
    <row r="13" spans="1:6" x14ac:dyDescent="0.3">
      <c r="A13">
        <v>12</v>
      </c>
      <c r="B13" s="52">
        <v>1</v>
      </c>
      <c r="C13" s="52">
        <v>3</v>
      </c>
      <c r="D13" s="52">
        <v>3</v>
      </c>
      <c r="E13" s="52">
        <v>1</v>
      </c>
      <c r="F13" s="52">
        <v>3</v>
      </c>
    </row>
    <row r="14" spans="1:6" x14ac:dyDescent="0.3">
      <c r="A14">
        <v>13</v>
      </c>
      <c r="B14" s="52">
        <v>1</v>
      </c>
      <c r="C14" s="52">
        <v>3</v>
      </c>
      <c r="D14" s="52">
        <v>3</v>
      </c>
      <c r="E14" s="52">
        <v>1</v>
      </c>
      <c r="F14" s="52">
        <v>3</v>
      </c>
    </row>
    <row r="15" spans="1:6" x14ac:dyDescent="0.3">
      <c r="A15">
        <v>14</v>
      </c>
      <c r="B15" s="52">
        <v>1</v>
      </c>
      <c r="C15" s="52">
        <v>3</v>
      </c>
      <c r="D15" s="52">
        <v>3</v>
      </c>
      <c r="E15" s="52">
        <v>1</v>
      </c>
      <c r="F15" s="52">
        <v>3</v>
      </c>
    </row>
    <row r="16" spans="1:6" x14ac:dyDescent="0.3">
      <c r="A16">
        <v>15</v>
      </c>
      <c r="B16" s="52">
        <v>3</v>
      </c>
      <c r="C16" s="52">
        <v>3</v>
      </c>
      <c r="D16" s="52">
        <v>3</v>
      </c>
      <c r="E16" s="52">
        <v>3</v>
      </c>
      <c r="F16" s="52">
        <v>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54" t="s">
        <v>354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0</v>
      </c>
      <c r="E2" s="50">
        <v>1</v>
      </c>
      <c r="F2" s="50">
        <v>0</v>
      </c>
    </row>
    <row r="3" spans="1:6" x14ac:dyDescent="0.3">
      <c r="A3">
        <v>2</v>
      </c>
      <c r="B3" s="50">
        <v>1</v>
      </c>
      <c r="C3" s="50">
        <v>1</v>
      </c>
      <c r="D3" s="50">
        <v>0</v>
      </c>
      <c r="E3" s="50">
        <v>1</v>
      </c>
      <c r="F3" s="50">
        <v>0</v>
      </c>
    </row>
    <row r="4" spans="1:6" x14ac:dyDescent="0.3">
      <c r="A4">
        <v>3</v>
      </c>
      <c r="B4" s="50">
        <v>2</v>
      </c>
      <c r="C4" s="50">
        <v>2</v>
      </c>
      <c r="D4" s="50">
        <v>2</v>
      </c>
      <c r="E4" s="50">
        <v>2</v>
      </c>
      <c r="F4" s="50">
        <v>2</v>
      </c>
    </row>
    <row r="5" spans="1:6" x14ac:dyDescent="0.3">
      <c r="A5">
        <v>4</v>
      </c>
      <c r="B5" s="50">
        <v>2</v>
      </c>
      <c r="C5" s="50">
        <v>2</v>
      </c>
      <c r="D5" s="50">
        <v>2</v>
      </c>
      <c r="E5" s="50">
        <v>2</v>
      </c>
      <c r="F5" s="50">
        <v>2</v>
      </c>
    </row>
    <row r="6" spans="1:6" x14ac:dyDescent="0.3">
      <c r="A6">
        <v>5</v>
      </c>
      <c r="B6" s="50">
        <v>3</v>
      </c>
      <c r="C6" s="50">
        <v>3</v>
      </c>
      <c r="D6" s="50">
        <v>3</v>
      </c>
      <c r="E6" s="50">
        <v>3</v>
      </c>
      <c r="F6" s="50">
        <v>0</v>
      </c>
    </row>
    <row r="7" spans="1:6" x14ac:dyDescent="0.3">
      <c r="A7">
        <v>6</v>
      </c>
      <c r="B7" s="50">
        <v>3</v>
      </c>
      <c r="C7" s="50">
        <v>3</v>
      </c>
      <c r="D7" s="50">
        <v>3</v>
      </c>
      <c r="E7" s="50">
        <v>3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4" t="s">
        <v>112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1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54" t="s">
        <v>384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1</v>
      </c>
      <c r="D2" s="50">
        <v>1</v>
      </c>
      <c r="E2" s="50">
        <v>1</v>
      </c>
      <c r="F2" s="50">
        <v>0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2</v>
      </c>
      <c r="C4" s="50">
        <v>2</v>
      </c>
      <c r="D4" s="50">
        <v>2</v>
      </c>
      <c r="E4" s="50">
        <v>2</v>
      </c>
      <c r="F4" s="50">
        <v>2</v>
      </c>
    </row>
    <row r="5" spans="1:6" x14ac:dyDescent="0.3">
      <c r="A5">
        <v>4</v>
      </c>
      <c r="B5" s="50">
        <v>2</v>
      </c>
      <c r="C5" s="50">
        <v>2</v>
      </c>
      <c r="D5" s="50">
        <v>2</v>
      </c>
      <c r="E5" s="50">
        <v>2</v>
      </c>
      <c r="F5" s="50">
        <v>2</v>
      </c>
    </row>
    <row r="6" spans="1:6" x14ac:dyDescent="0.3">
      <c r="A6">
        <v>5</v>
      </c>
      <c r="B6" s="50">
        <v>3</v>
      </c>
      <c r="C6" s="50">
        <v>3</v>
      </c>
      <c r="D6" s="50">
        <v>3</v>
      </c>
      <c r="E6" s="50">
        <v>3</v>
      </c>
      <c r="F6" s="50">
        <v>3</v>
      </c>
    </row>
    <row r="7" spans="1:6" x14ac:dyDescent="0.3">
      <c r="A7">
        <v>6</v>
      </c>
      <c r="B7" s="50">
        <v>3</v>
      </c>
      <c r="C7" s="50">
        <v>3</v>
      </c>
      <c r="D7" s="50">
        <v>3</v>
      </c>
      <c r="E7" s="50">
        <v>3</v>
      </c>
      <c r="F7" s="50">
        <v>3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G23" sqref="G23"/>
    </sheetView>
  </sheetViews>
  <sheetFormatPr baseColWidth="10" defaultRowHeight="14.4" x14ac:dyDescent="0.3"/>
  <sheetData>
    <row r="1" spans="1:6" x14ac:dyDescent="0.3">
      <c r="A1" s="54" t="s">
        <v>104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3</v>
      </c>
      <c r="D2" s="50">
        <v>0</v>
      </c>
      <c r="E2" s="50">
        <v>3</v>
      </c>
      <c r="F2" s="50">
        <v>0</v>
      </c>
    </row>
    <row r="3" spans="1:6" x14ac:dyDescent="0.3">
      <c r="A3">
        <v>2</v>
      </c>
      <c r="B3" s="50">
        <v>0</v>
      </c>
      <c r="C3" s="50">
        <v>3</v>
      </c>
      <c r="D3" s="50">
        <v>0</v>
      </c>
      <c r="E3" s="50">
        <v>3</v>
      </c>
      <c r="F3" s="50">
        <v>0</v>
      </c>
    </row>
    <row r="4" spans="1:6" x14ac:dyDescent="0.3">
      <c r="A4">
        <v>3</v>
      </c>
      <c r="B4" s="50">
        <v>0</v>
      </c>
      <c r="C4" s="50">
        <v>2</v>
      </c>
      <c r="D4" s="50">
        <v>0</v>
      </c>
      <c r="E4" s="50">
        <v>2</v>
      </c>
      <c r="F4" s="50">
        <v>0</v>
      </c>
    </row>
    <row r="5" spans="1:6" x14ac:dyDescent="0.3">
      <c r="A5">
        <v>4</v>
      </c>
      <c r="B5" s="50">
        <v>0</v>
      </c>
      <c r="C5" s="50">
        <v>1</v>
      </c>
      <c r="D5" s="50">
        <v>0</v>
      </c>
      <c r="E5" s="50">
        <v>1</v>
      </c>
      <c r="F5" s="50">
        <v>0</v>
      </c>
    </row>
    <row r="6" spans="1:6" x14ac:dyDescent="0.3">
      <c r="A6">
        <v>5</v>
      </c>
      <c r="B6" s="50">
        <v>0</v>
      </c>
      <c r="C6" s="50">
        <v>1</v>
      </c>
      <c r="D6" s="50">
        <v>0</v>
      </c>
      <c r="E6" s="50">
        <v>1</v>
      </c>
      <c r="F6" s="50">
        <v>0</v>
      </c>
    </row>
    <row r="7" spans="1:6" x14ac:dyDescent="0.3">
      <c r="A7">
        <v>6</v>
      </c>
      <c r="B7" s="50">
        <v>0</v>
      </c>
      <c r="C7" s="50">
        <v>1</v>
      </c>
      <c r="D7" s="50">
        <v>0</v>
      </c>
      <c r="E7" s="50">
        <v>1</v>
      </c>
      <c r="F7" s="50">
        <v>0</v>
      </c>
    </row>
    <row r="8" spans="1:6" x14ac:dyDescent="0.3">
      <c r="A8">
        <v>7</v>
      </c>
      <c r="B8" s="51">
        <v>0</v>
      </c>
      <c r="C8" s="51">
        <v>1</v>
      </c>
      <c r="D8" s="51">
        <v>0</v>
      </c>
      <c r="E8" s="51">
        <v>1</v>
      </c>
      <c r="F8" s="51">
        <v>0</v>
      </c>
    </row>
    <row r="9" spans="1:6" x14ac:dyDescent="0.3">
      <c r="A9">
        <v>8</v>
      </c>
      <c r="B9" s="51">
        <v>0</v>
      </c>
      <c r="C9" s="51">
        <v>1</v>
      </c>
      <c r="D9" s="51">
        <v>0</v>
      </c>
      <c r="E9" s="51">
        <v>1</v>
      </c>
      <c r="F9" s="51">
        <v>0</v>
      </c>
    </row>
    <row r="10" spans="1:6" x14ac:dyDescent="0.3">
      <c r="A10">
        <v>9</v>
      </c>
      <c r="B10" s="51">
        <v>0</v>
      </c>
      <c r="C10" s="51">
        <v>1</v>
      </c>
      <c r="D10" s="51">
        <v>0</v>
      </c>
      <c r="E10" s="51">
        <v>1</v>
      </c>
      <c r="F10" s="51">
        <v>0</v>
      </c>
    </row>
    <row r="11" spans="1:6" x14ac:dyDescent="0.3">
      <c r="A11">
        <v>10</v>
      </c>
      <c r="B11" s="51">
        <v>0</v>
      </c>
      <c r="C11" s="51">
        <v>2</v>
      </c>
      <c r="D11" s="51">
        <v>0</v>
      </c>
      <c r="E11" s="51">
        <v>2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RowHeight="14.4" x14ac:dyDescent="0.3"/>
  <sheetData>
    <row r="1" spans="1:6" x14ac:dyDescent="0.3">
      <c r="A1" s="54" t="s">
        <v>368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0</v>
      </c>
    </row>
    <row r="3" spans="1:6" x14ac:dyDescent="0.3">
      <c r="A3">
        <v>2</v>
      </c>
      <c r="B3" s="50">
        <v>1</v>
      </c>
      <c r="C3" s="50">
        <v>2</v>
      </c>
      <c r="D3" s="50">
        <v>2</v>
      </c>
      <c r="E3" s="50">
        <v>1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3</v>
      </c>
      <c r="C7" s="50">
        <v>3</v>
      </c>
      <c r="D7" s="50">
        <v>3</v>
      </c>
      <c r="E7" s="50">
        <v>3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54" t="s">
        <v>484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1</v>
      </c>
      <c r="C11" s="51">
        <v>0</v>
      </c>
      <c r="D11" s="51">
        <v>3</v>
      </c>
      <c r="E11" s="51">
        <v>1</v>
      </c>
      <c r="F11" s="51">
        <v>1</v>
      </c>
    </row>
    <row r="12" spans="1:6" x14ac:dyDescent="0.3">
      <c r="A12">
        <v>11</v>
      </c>
      <c r="B12" s="52">
        <v>1</v>
      </c>
      <c r="C12" s="52">
        <v>0</v>
      </c>
      <c r="D12" s="52">
        <v>3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0</v>
      </c>
      <c r="D13" s="52">
        <v>3</v>
      </c>
      <c r="E13" s="52">
        <v>1</v>
      </c>
      <c r="F13" s="52">
        <v>1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H14" sqref="H14"/>
    </sheetView>
  </sheetViews>
  <sheetFormatPr baseColWidth="10" defaultRowHeight="14.4" x14ac:dyDescent="0.3"/>
  <sheetData>
    <row r="1" spans="1:6" x14ac:dyDescent="0.3">
      <c r="A1" s="54" t="s">
        <v>474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2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54" t="s">
        <v>378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3</v>
      </c>
      <c r="C4" s="50">
        <v>3</v>
      </c>
      <c r="D4" s="50">
        <v>3</v>
      </c>
      <c r="E4" s="50">
        <v>3</v>
      </c>
      <c r="F4" s="50">
        <v>3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2</v>
      </c>
      <c r="C6" s="50">
        <v>2</v>
      </c>
      <c r="D6" s="50">
        <v>2</v>
      </c>
      <c r="E6" s="50">
        <v>2</v>
      </c>
      <c r="F6" s="50">
        <v>2</v>
      </c>
    </row>
    <row r="7" spans="1:6" x14ac:dyDescent="0.3">
      <c r="A7">
        <v>6</v>
      </c>
      <c r="B7" s="50">
        <v>3</v>
      </c>
      <c r="C7" s="50">
        <v>3</v>
      </c>
      <c r="D7" s="50">
        <v>3</v>
      </c>
      <c r="E7" s="50">
        <v>3</v>
      </c>
      <c r="F7" s="50">
        <v>3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RowHeight="14.4" x14ac:dyDescent="0.3"/>
  <sheetData>
    <row r="1" spans="1:6" x14ac:dyDescent="0.3">
      <c r="A1" t="s">
        <v>113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4" t="s">
        <v>122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2</v>
      </c>
      <c r="C2" s="50">
        <v>1</v>
      </c>
      <c r="D2" s="50">
        <v>2</v>
      </c>
      <c r="E2" s="50">
        <v>1</v>
      </c>
      <c r="F2" s="50">
        <v>1</v>
      </c>
    </row>
    <row r="3" spans="1:6" x14ac:dyDescent="0.3">
      <c r="A3">
        <v>2</v>
      </c>
      <c r="B3" s="50">
        <v>2</v>
      </c>
      <c r="C3" s="50">
        <v>1</v>
      </c>
      <c r="D3" s="50">
        <v>2</v>
      </c>
      <c r="E3" s="50">
        <v>1</v>
      </c>
      <c r="F3" s="50">
        <v>1</v>
      </c>
    </row>
    <row r="4" spans="1:6" x14ac:dyDescent="0.3">
      <c r="A4">
        <v>3</v>
      </c>
      <c r="B4" s="50">
        <v>0</v>
      </c>
      <c r="C4" s="50">
        <v>3</v>
      </c>
      <c r="D4" s="50">
        <v>3</v>
      </c>
      <c r="E4" s="50">
        <v>2</v>
      </c>
      <c r="F4" s="50">
        <v>2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3</v>
      </c>
      <c r="C12" s="52">
        <v>0</v>
      </c>
      <c r="D12" s="52">
        <v>3</v>
      </c>
      <c r="E12" s="52">
        <v>0</v>
      </c>
      <c r="F12" s="52">
        <v>0</v>
      </c>
    </row>
    <row r="13" spans="1:6" x14ac:dyDescent="0.3">
      <c r="A13">
        <v>12</v>
      </c>
      <c r="B13" s="52">
        <v>1</v>
      </c>
      <c r="C13" s="52">
        <v>0</v>
      </c>
      <c r="D13" s="52">
        <v>1</v>
      </c>
      <c r="E13" s="52">
        <v>0</v>
      </c>
      <c r="F13" s="52">
        <v>0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>
      <selection activeCell="G7" sqref="G7"/>
    </sheetView>
  </sheetViews>
  <sheetFormatPr baseColWidth="10" defaultRowHeight="14.4" x14ac:dyDescent="0.3"/>
  <sheetData>
    <row r="1" spans="1:6" x14ac:dyDescent="0.3">
      <c r="A1" s="54" t="s">
        <v>340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3</v>
      </c>
      <c r="C4" s="50">
        <v>1</v>
      </c>
      <c r="D4" s="50">
        <v>3</v>
      </c>
      <c r="E4" s="50">
        <v>1</v>
      </c>
      <c r="F4" s="50">
        <v>0</v>
      </c>
    </row>
    <row r="5" spans="1:6" x14ac:dyDescent="0.3">
      <c r="A5">
        <v>4</v>
      </c>
      <c r="B5" s="50">
        <v>2</v>
      </c>
      <c r="C5" s="50">
        <v>2</v>
      </c>
      <c r="D5" s="50">
        <v>2</v>
      </c>
      <c r="E5" s="50">
        <v>2</v>
      </c>
      <c r="F5" s="50">
        <v>0</v>
      </c>
    </row>
    <row r="6" spans="1:6" x14ac:dyDescent="0.3">
      <c r="A6">
        <v>5</v>
      </c>
      <c r="B6" s="50">
        <v>1</v>
      </c>
      <c r="C6" s="50">
        <v>3</v>
      </c>
      <c r="D6" s="50">
        <v>1</v>
      </c>
      <c r="E6" s="50">
        <v>3</v>
      </c>
      <c r="F6" s="50">
        <v>0</v>
      </c>
    </row>
    <row r="7" spans="1:6" x14ac:dyDescent="0.3">
      <c r="A7">
        <v>6</v>
      </c>
      <c r="B7" s="62">
        <v>3</v>
      </c>
      <c r="C7" s="62">
        <v>3</v>
      </c>
      <c r="D7" s="62">
        <v>3</v>
      </c>
      <c r="E7" s="62">
        <v>3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54" t="s">
        <v>380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1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1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4" t="s">
        <v>177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1</v>
      </c>
      <c r="C12" s="52">
        <v>0</v>
      </c>
      <c r="D12" s="52">
        <v>1</v>
      </c>
      <c r="E12" s="52">
        <v>0</v>
      </c>
      <c r="F12" s="52">
        <v>0</v>
      </c>
    </row>
    <row r="13" spans="1:6" x14ac:dyDescent="0.3">
      <c r="A13">
        <v>12</v>
      </c>
      <c r="B13" s="52">
        <v>1</v>
      </c>
      <c r="C13" s="52">
        <v>0</v>
      </c>
      <c r="D13" s="52">
        <v>1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B2" sqref="B2"/>
    </sheetView>
  </sheetViews>
  <sheetFormatPr baseColWidth="10" defaultRowHeight="14.4" x14ac:dyDescent="0.3"/>
  <sheetData>
    <row r="1" spans="1:6" x14ac:dyDescent="0.3">
      <c r="A1" s="54" t="s">
        <v>426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3</v>
      </c>
      <c r="C2" s="50">
        <v>3</v>
      </c>
      <c r="D2" s="50">
        <v>3</v>
      </c>
      <c r="E2" s="50">
        <v>3</v>
      </c>
      <c r="F2" s="50">
        <v>3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1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1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3</v>
      </c>
      <c r="C10" s="51">
        <v>3</v>
      </c>
      <c r="D10" s="51">
        <v>3</v>
      </c>
      <c r="E10" s="51">
        <v>3</v>
      </c>
      <c r="F10" s="51">
        <v>3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54" t="s">
        <v>427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0</v>
      </c>
      <c r="D2" s="50">
        <v>0</v>
      </c>
      <c r="E2" s="50">
        <v>3</v>
      </c>
      <c r="F2" s="50">
        <v>1</v>
      </c>
    </row>
    <row r="3" spans="1:6" x14ac:dyDescent="0.3">
      <c r="A3">
        <v>2</v>
      </c>
      <c r="B3" s="50">
        <v>1</v>
      </c>
      <c r="C3" s="50">
        <v>0</v>
      </c>
      <c r="D3" s="50">
        <v>0</v>
      </c>
      <c r="E3" s="50">
        <v>3</v>
      </c>
      <c r="F3" s="50">
        <v>1</v>
      </c>
    </row>
    <row r="4" spans="1:6" x14ac:dyDescent="0.3">
      <c r="A4">
        <v>3</v>
      </c>
      <c r="B4" s="50">
        <v>2</v>
      </c>
      <c r="C4" s="50">
        <v>0</v>
      </c>
      <c r="D4" s="50">
        <v>0</v>
      </c>
      <c r="E4" s="50">
        <v>3</v>
      </c>
      <c r="F4" s="50">
        <v>2</v>
      </c>
    </row>
    <row r="5" spans="1:6" x14ac:dyDescent="0.3">
      <c r="A5">
        <v>4</v>
      </c>
      <c r="B5" s="50">
        <v>2</v>
      </c>
      <c r="C5" s="50">
        <v>0</v>
      </c>
      <c r="D5" s="50">
        <v>0</v>
      </c>
      <c r="E5" s="50">
        <v>3</v>
      </c>
      <c r="F5" s="50">
        <v>2</v>
      </c>
    </row>
    <row r="6" spans="1:6" x14ac:dyDescent="0.3">
      <c r="A6">
        <v>5</v>
      </c>
      <c r="B6" s="50">
        <v>2</v>
      </c>
      <c r="C6" s="50">
        <v>0</v>
      </c>
      <c r="D6" s="50">
        <v>0</v>
      </c>
      <c r="E6" s="50">
        <v>3</v>
      </c>
      <c r="F6" s="50">
        <v>2</v>
      </c>
    </row>
    <row r="7" spans="1:6" x14ac:dyDescent="0.3">
      <c r="A7">
        <v>6</v>
      </c>
      <c r="B7" s="50">
        <v>2</v>
      </c>
      <c r="C7" s="50">
        <v>0</v>
      </c>
      <c r="D7" s="50">
        <v>0</v>
      </c>
      <c r="E7" s="50">
        <v>3</v>
      </c>
      <c r="F7" s="50">
        <v>2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1</v>
      </c>
      <c r="C12" s="52">
        <v>2</v>
      </c>
      <c r="D12" s="52">
        <v>3</v>
      </c>
      <c r="E12" s="52">
        <v>3</v>
      </c>
      <c r="F12" s="52">
        <v>1</v>
      </c>
    </row>
    <row r="13" spans="1:6" x14ac:dyDescent="0.3">
      <c r="A13">
        <v>12</v>
      </c>
      <c r="B13" s="52">
        <v>1</v>
      </c>
      <c r="C13" s="52">
        <v>2</v>
      </c>
      <c r="D13" s="52">
        <v>3</v>
      </c>
      <c r="E13" s="52">
        <v>3</v>
      </c>
      <c r="F13" s="52">
        <v>1</v>
      </c>
    </row>
    <row r="14" spans="1:6" x14ac:dyDescent="0.3">
      <c r="A14">
        <v>13</v>
      </c>
      <c r="B14" s="52">
        <v>1</v>
      </c>
      <c r="C14" s="52">
        <v>2</v>
      </c>
      <c r="D14" s="52">
        <v>3</v>
      </c>
      <c r="E14" s="52">
        <v>1</v>
      </c>
      <c r="F14" s="52">
        <v>1</v>
      </c>
    </row>
    <row r="15" spans="1:6" x14ac:dyDescent="0.3">
      <c r="A15">
        <v>14</v>
      </c>
      <c r="B15" s="52">
        <v>1</v>
      </c>
      <c r="C15" s="52">
        <v>2</v>
      </c>
      <c r="D15" s="52">
        <v>3</v>
      </c>
      <c r="E15" s="52">
        <v>1</v>
      </c>
      <c r="F15" s="52">
        <v>2</v>
      </c>
    </row>
    <row r="16" spans="1:6" x14ac:dyDescent="0.3">
      <c r="A16">
        <v>15</v>
      </c>
      <c r="B16" s="52">
        <v>1</v>
      </c>
      <c r="C16" s="52">
        <v>2</v>
      </c>
      <c r="D16" s="52">
        <v>3</v>
      </c>
      <c r="E16" s="52">
        <v>1</v>
      </c>
      <c r="F16" s="52">
        <v>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54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1</v>
      </c>
      <c r="D2" s="50">
        <v>0</v>
      </c>
      <c r="E2" s="50">
        <v>1</v>
      </c>
      <c r="F2" s="50">
        <v>1</v>
      </c>
    </row>
    <row r="3" spans="1:6" x14ac:dyDescent="0.3">
      <c r="A3">
        <v>2</v>
      </c>
      <c r="B3" s="50">
        <v>0</v>
      </c>
      <c r="C3" s="50">
        <v>1</v>
      </c>
      <c r="D3" s="50">
        <v>0</v>
      </c>
      <c r="E3" s="50">
        <v>1</v>
      </c>
      <c r="F3" s="50">
        <v>1</v>
      </c>
    </row>
    <row r="4" spans="1:6" x14ac:dyDescent="0.3">
      <c r="A4">
        <v>3</v>
      </c>
      <c r="B4" s="50">
        <v>0</v>
      </c>
      <c r="C4" s="50">
        <v>1</v>
      </c>
      <c r="D4" s="50">
        <v>0</v>
      </c>
      <c r="E4" s="50">
        <v>1</v>
      </c>
      <c r="F4" s="50">
        <v>1</v>
      </c>
    </row>
    <row r="5" spans="1:6" x14ac:dyDescent="0.3">
      <c r="A5">
        <v>4</v>
      </c>
      <c r="B5" s="50">
        <v>0</v>
      </c>
      <c r="C5" s="50">
        <v>1</v>
      </c>
      <c r="D5" s="50">
        <v>0</v>
      </c>
      <c r="E5" s="50">
        <v>1</v>
      </c>
      <c r="F5" s="50">
        <v>1</v>
      </c>
    </row>
    <row r="6" spans="1:6" x14ac:dyDescent="0.3">
      <c r="A6">
        <v>5</v>
      </c>
      <c r="B6" s="50">
        <v>0</v>
      </c>
      <c r="C6" s="50">
        <v>1</v>
      </c>
      <c r="D6" s="50">
        <v>0</v>
      </c>
      <c r="E6" s="50">
        <v>1</v>
      </c>
      <c r="F6" s="50">
        <v>1</v>
      </c>
    </row>
    <row r="7" spans="1:6" x14ac:dyDescent="0.3">
      <c r="A7">
        <v>6</v>
      </c>
      <c r="B7" s="50">
        <v>0</v>
      </c>
      <c r="C7" s="50">
        <v>1</v>
      </c>
      <c r="D7" s="50">
        <v>0</v>
      </c>
      <c r="E7" s="50">
        <v>1</v>
      </c>
      <c r="F7" s="50">
        <v>1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1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4" t="s">
        <v>437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3</v>
      </c>
      <c r="D2" s="50">
        <v>2</v>
      </c>
      <c r="E2" s="50">
        <v>1</v>
      </c>
      <c r="F2" s="50">
        <v>3</v>
      </c>
    </row>
    <row r="3" spans="1:6" x14ac:dyDescent="0.3">
      <c r="A3">
        <v>2</v>
      </c>
      <c r="B3" s="50">
        <v>1</v>
      </c>
      <c r="C3" s="50">
        <v>3</v>
      </c>
      <c r="D3" s="50">
        <v>2</v>
      </c>
      <c r="E3" s="50">
        <v>1</v>
      </c>
      <c r="F3" s="50">
        <v>3</v>
      </c>
    </row>
    <row r="4" spans="1:6" x14ac:dyDescent="0.3">
      <c r="A4">
        <v>3</v>
      </c>
      <c r="B4" s="50">
        <v>3</v>
      </c>
      <c r="C4" s="50">
        <v>3</v>
      </c>
      <c r="D4" s="50">
        <v>3</v>
      </c>
      <c r="E4" s="50">
        <v>3</v>
      </c>
      <c r="F4" s="50">
        <v>3</v>
      </c>
    </row>
    <row r="5" spans="1:6" x14ac:dyDescent="0.3">
      <c r="A5">
        <v>4</v>
      </c>
      <c r="B5" s="50">
        <v>3</v>
      </c>
      <c r="C5" s="50">
        <v>3</v>
      </c>
      <c r="D5" s="50">
        <v>3</v>
      </c>
      <c r="E5" s="50">
        <v>3</v>
      </c>
      <c r="F5" s="50">
        <v>3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11" sqref="F11"/>
    </sheetView>
  </sheetViews>
  <sheetFormatPr baseColWidth="10" defaultRowHeight="14.4" x14ac:dyDescent="0.3"/>
  <sheetData>
    <row r="1" spans="1:6" x14ac:dyDescent="0.3">
      <c r="A1" s="54" t="s">
        <v>118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0</v>
      </c>
      <c r="D2" s="50">
        <v>1</v>
      </c>
      <c r="E2" s="50">
        <v>0</v>
      </c>
      <c r="F2" s="50">
        <v>1</v>
      </c>
    </row>
    <row r="3" spans="1:6" x14ac:dyDescent="0.3">
      <c r="A3">
        <v>2</v>
      </c>
      <c r="B3" s="50">
        <v>1</v>
      </c>
      <c r="C3" s="50">
        <v>0</v>
      </c>
      <c r="D3" s="50">
        <v>1</v>
      </c>
      <c r="E3" s="50">
        <v>0</v>
      </c>
      <c r="F3" s="50">
        <v>1</v>
      </c>
    </row>
    <row r="4" spans="1:6" x14ac:dyDescent="0.3">
      <c r="A4">
        <v>3</v>
      </c>
      <c r="B4" s="50">
        <v>1</v>
      </c>
      <c r="C4" s="50">
        <v>0</v>
      </c>
      <c r="D4" s="50">
        <v>1</v>
      </c>
      <c r="E4" s="50">
        <v>0</v>
      </c>
      <c r="F4" s="50">
        <v>1</v>
      </c>
    </row>
    <row r="5" spans="1:6" x14ac:dyDescent="0.3">
      <c r="A5">
        <v>4</v>
      </c>
      <c r="B5" s="50">
        <v>1</v>
      </c>
      <c r="C5" s="50">
        <v>0</v>
      </c>
      <c r="D5" s="50">
        <v>1</v>
      </c>
      <c r="E5" s="50">
        <v>0</v>
      </c>
      <c r="F5" s="50">
        <v>1</v>
      </c>
    </row>
    <row r="6" spans="1:6" x14ac:dyDescent="0.3">
      <c r="A6">
        <v>5</v>
      </c>
      <c r="B6" s="50">
        <v>1</v>
      </c>
      <c r="C6" s="50">
        <v>0</v>
      </c>
      <c r="D6" s="50">
        <v>1</v>
      </c>
      <c r="E6" s="50">
        <v>0</v>
      </c>
      <c r="F6" s="50">
        <v>1</v>
      </c>
    </row>
    <row r="7" spans="1:6" x14ac:dyDescent="0.3">
      <c r="A7">
        <v>6</v>
      </c>
      <c r="B7" s="50">
        <v>1</v>
      </c>
      <c r="C7" s="50">
        <v>0</v>
      </c>
      <c r="D7" s="50">
        <v>1</v>
      </c>
      <c r="E7" s="50">
        <v>0</v>
      </c>
      <c r="F7" s="50">
        <v>1</v>
      </c>
    </row>
    <row r="8" spans="1:6" x14ac:dyDescent="0.3">
      <c r="A8">
        <v>7</v>
      </c>
      <c r="B8" s="51">
        <v>2</v>
      </c>
      <c r="C8" s="51">
        <v>3</v>
      </c>
      <c r="D8" s="51">
        <v>2</v>
      </c>
      <c r="E8" s="51">
        <v>3</v>
      </c>
      <c r="F8" s="51">
        <v>2</v>
      </c>
    </row>
    <row r="9" spans="1:6" x14ac:dyDescent="0.3">
      <c r="A9">
        <v>8</v>
      </c>
      <c r="B9" s="51">
        <v>2</v>
      </c>
      <c r="C9" s="51">
        <v>3</v>
      </c>
      <c r="D9" s="51">
        <v>2</v>
      </c>
      <c r="E9" s="51">
        <v>3</v>
      </c>
      <c r="F9" s="51">
        <v>2</v>
      </c>
    </row>
    <row r="10" spans="1:6" x14ac:dyDescent="0.3">
      <c r="A10">
        <v>9</v>
      </c>
      <c r="B10" s="51">
        <v>3</v>
      </c>
      <c r="C10" s="51">
        <v>3</v>
      </c>
      <c r="D10" s="51">
        <v>3</v>
      </c>
      <c r="E10" s="51">
        <v>3</v>
      </c>
      <c r="F10" s="51">
        <v>3</v>
      </c>
    </row>
    <row r="11" spans="1:6" x14ac:dyDescent="0.3">
      <c r="A11">
        <v>10</v>
      </c>
      <c r="B11" s="51">
        <v>3</v>
      </c>
      <c r="C11" s="51">
        <v>3</v>
      </c>
      <c r="D11" s="51">
        <v>3</v>
      </c>
      <c r="E11" s="51">
        <v>3</v>
      </c>
      <c r="F11" s="51">
        <v>3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4" t="s">
        <v>267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0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0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0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0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0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0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0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0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0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0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0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0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B11" sqref="B11:E14"/>
    </sheetView>
  </sheetViews>
  <sheetFormatPr baseColWidth="10" defaultRowHeight="14.4" x14ac:dyDescent="0.3"/>
  <sheetData>
    <row r="1" spans="1:6" x14ac:dyDescent="0.3">
      <c r="A1" s="54" t="s">
        <v>468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0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54" t="s">
        <v>476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1</v>
      </c>
      <c r="C12" s="52">
        <v>2</v>
      </c>
      <c r="D12" s="52">
        <v>1</v>
      </c>
      <c r="E12" s="52">
        <v>2</v>
      </c>
      <c r="F12" s="52">
        <v>1</v>
      </c>
    </row>
    <row r="13" spans="1:6" x14ac:dyDescent="0.3">
      <c r="A13">
        <v>12</v>
      </c>
      <c r="B13" s="52">
        <v>2</v>
      </c>
      <c r="C13" s="52">
        <v>2</v>
      </c>
      <c r="D13" s="52">
        <v>2</v>
      </c>
      <c r="E13" s="52">
        <v>2</v>
      </c>
      <c r="F13" s="52">
        <v>2</v>
      </c>
    </row>
    <row r="14" spans="1:6" x14ac:dyDescent="0.3">
      <c r="A14">
        <v>13</v>
      </c>
      <c r="B14" s="52">
        <v>2</v>
      </c>
      <c r="C14" s="52">
        <v>2</v>
      </c>
      <c r="D14" s="52">
        <v>2</v>
      </c>
      <c r="E14" s="52">
        <v>2</v>
      </c>
      <c r="F14" s="52">
        <v>2</v>
      </c>
    </row>
    <row r="15" spans="1:6" x14ac:dyDescent="0.3">
      <c r="A15">
        <v>14</v>
      </c>
      <c r="B15" s="52">
        <v>3</v>
      </c>
      <c r="C15" s="52">
        <v>3</v>
      </c>
      <c r="D15" s="52">
        <v>3</v>
      </c>
      <c r="E15" s="52">
        <v>3</v>
      </c>
      <c r="F15" s="52">
        <v>3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54" t="s">
        <v>145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2</v>
      </c>
      <c r="C13" s="52">
        <v>2</v>
      </c>
      <c r="D13" s="52">
        <v>2</v>
      </c>
      <c r="E13" s="52">
        <v>2</v>
      </c>
      <c r="F13" s="52">
        <v>2</v>
      </c>
    </row>
    <row r="14" spans="1:6" x14ac:dyDescent="0.3">
      <c r="A14">
        <v>13</v>
      </c>
      <c r="B14" s="52">
        <v>3</v>
      </c>
      <c r="C14" s="52">
        <v>3</v>
      </c>
      <c r="D14" s="52">
        <v>3</v>
      </c>
      <c r="E14" s="52">
        <v>3</v>
      </c>
      <c r="F14" s="52">
        <v>3</v>
      </c>
    </row>
    <row r="15" spans="1:6" x14ac:dyDescent="0.3">
      <c r="A15">
        <v>14</v>
      </c>
      <c r="B15" s="52">
        <v>3</v>
      </c>
      <c r="C15" s="52">
        <v>3</v>
      </c>
      <c r="D15" s="52">
        <v>3</v>
      </c>
      <c r="E15" s="52">
        <v>3</v>
      </c>
      <c r="F15" s="52">
        <v>3</v>
      </c>
    </row>
    <row r="16" spans="1:6" x14ac:dyDescent="0.3">
      <c r="A16">
        <v>15</v>
      </c>
      <c r="B16" s="52">
        <v>3</v>
      </c>
      <c r="C16" s="52">
        <v>3</v>
      </c>
      <c r="D16" s="52">
        <v>3</v>
      </c>
      <c r="E16" s="52">
        <v>3</v>
      </c>
      <c r="F16" s="52">
        <v>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J9" sqref="J9"/>
    </sheetView>
  </sheetViews>
  <sheetFormatPr baseColWidth="10" defaultRowHeight="14.4" x14ac:dyDescent="0.3"/>
  <sheetData>
    <row r="1" spans="1:6" x14ac:dyDescent="0.3">
      <c r="A1" s="54" t="s">
        <v>135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1</v>
      </c>
      <c r="C12" s="52">
        <v>0</v>
      </c>
      <c r="D12" s="52">
        <v>0</v>
      </c>
      <c r="E12" s="52">
        <v>1</v>
      </c>
      <c r="F12" s="52">
        <v>3</v>
      </c>
    </row>
    <row r="13" spans="1:6" x14ac:dyDescent="0.3">
      <c r="A13">
        <v>12</v>
      </c>
      <c r="B13" s="52">
        <v>1</v>
      </c>
      <c r="C13" s="52">
        <v>0</v>
      </c>
      <c r="D13" s="52">
        <v>0</v>
      </c>
      <c r="E13" s="52">
        <v>1</v>
      </c>
      <c r="F13" s="52">
        <v>3</v>
      </c>
    </row>
    <row r="14" spans="1:6" x14ac:dyDescent="0.3">
      <c r="A14">
        <v>13</v>
      </c>
      <c r="B14" s="52">
        <v>1</v>
      </c>
      <c r="C14" s="52">
        <v>0</v>
      </c>
      <c r="D14" s="52">
        <v>0</v>
      </c>
      <c r="E14" s="52">
        <v>1</v>
      </c>
      <c r="F14" s="52">
        <v>0</v>
      </c>
    </row>
    <row r="15" spans="1:6" x14ac:dyDescent="0.3">
      <c r="A15">
        <v>14</v>
      </c>
      <c r="B15" s="52">
        <v>1</v>
      </c>
      <c r="C15" s="52">
        <v>0</v>
      </c>
      <c r="D15" s="52">
        <v>0</v>
      </c>
      <c r="E15" s="52">
        <v>1</v>
      </c>
      <c r="F15" s="52">
        <v>0</v>
      </c>
    </row>
    <row r="16" spans="1:6" x14ac:dyDescent="0.3">
      <c r="A16">
        <v>15</v>
      </c>
      <c r="B16" s="52">
        <v>1</v>
      </c>
      <c r="C16" s="52">
        <v>0</v>
      </c>
      <c r="D16" s="52">
        <v>0</v>
      </c>
      <c r="E16" s="52">
        <v>1</v>
      </c>
      <c r="F16" s="52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54" t="s">
        <v>111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3</v>
      </c>
      <c r="C3" s="50">
        <v>3</v>
      </c>
      <c r="D3" s="50">
        <v>3</v>
      </c>
      <c r="E3" s="50">
        <v>3</v>
      </c>
      <c r="F3" s="50">
        <v>3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1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1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62">
        <v>3</v>
      </c>
      <c r="C12" s="62">
        <v>3</v>
      </c>
      <c r="D12" s="62">
        <v>3</v>
      </c>
      <c r="E12" s="62">
        <v>3</v>
      </c>
      <c r="F12" s="62">
        <v>3</v>
      </c>
    </row>
    <row r="13" spans="1:6" x14ac:dyDescent="0.3">
      <c r="A13">
        <v>12</v>
      </c>
      <c r="B13" s="62">
        <v>3</v>
      </c>
      <c r="C13" s="62">
        <v>3</v>
      </c>
      <c r="D13" s="62">
        <v>3</v>
      </c>
      <c r="E13" s="62">
        <v>3</v>
      </c>
      <c r="F13" s="62">
        <v>3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B11" sqref="B11:F14"/>
    </sheetView>
  </sheetViews>
  <sheetFormatPr baseColWidth="10" defaultRowHeight="14.4" x14ac:dyDescent="0.3"/>
  <sheetData>
    <row r="1" spans="1:6" x14ac:dyDescent="0.3">
      <c r="A1" s="54" t="s">
        <v>482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2</v>
      </c>
      <c r="C11" s="51">
        <v>0</v>
      </c>
      <c r="D11" s="51">
        <v>0</v>
      </c>
      <c r="E11" s="51">
        <v>2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0</v>
      </c>
    </row>
    <row r="14" spans="1:6" x14ac:dyDescent="0.3">
      <c r="A14">
        <v>13</v>
      </c>
      <c r="B14" s="52">
        <v>3</v>
      </c>
      <c r="C14" s="52">
        <v>3</v>
      </c>
      <c r="D14" s="52">
        <v>3</v>
      </c>
      <c r="E14" s="52">
        <v>3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4" t="s">
        <v>315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3</v>
      </c>
      <c r="C2" s="50">
        <v>3</v>
      </c>
      <c r="D2" s="50">
        <v>2</v>
      </c>
      <c r="E2" s="50">
        <v>2</v>
      </c>
      <c r="F2" s="50">
        <v>3</v>
      </c>
    </row>
    <row r="3" spans="1:6" x14ac:dyDescent="0.3">
      <c r="A3">
        <v>2</v>
      </c>
      <c r="B3" s="50">
        <v>2</v>
      </c>
      <c r="C3" s="50">
        <v>3</v>
      </c>
      <c r="D3" s="50">
        <v>1</v>
      </c>
      <c r="E3" s="50">
        <v>1</v>
      </c>
      <c r="F3" s="50">
        <v>2</v>
      </c>
    </row>
    <row r="4" spans="1:6" x14ac:dyDescent="0.3">
      <c r="A4">
        <v>3</v>
      </c>
      <c r="B4" s="50">
        <v>2</v>
      </c>
      <c r="C4" s="50">
        <v>3</v>
      </c>
      <c r="D4" s="50">
        <v>1</v>
      </c>
      <c r="E4" s="50">
        <v>1</v>
      </c>
      <c r="F4" s="50">
        <v>2</v>
      </c>
    </row>
    <row r="5" spans="1:6" x14ac:dyDescent="0.3">
      <c r="A5">
        <v>4</v>
      </c>
      <c r="B5" s="50">
        <v>2</v>
      </c>
      <c r="C5" s="50">
        <v>3</v>
      </c>
      <c r="D5" s="50">
        <v>1</v>
      </c>
      <c r="E5" s="50">
        <v>1</v>
      </c>
      <c r="F5" s="50">
        <v>2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>
      <selection activeCell="H7" sqref="H7"/>
    </sheetView>
  </sheetViews>
  <sheetFormatPr baseColWidth="10" defaultRowHeight="14.4" x14ac:dyDescent="0.3"/>
  <sheetData>
    <row r="1" spans="1:6" x14ac:dyDescent="0.3">
      <c r="A1" s="54" t="s">
        <v>247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2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2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1</v>
      </c>
      <c r="D14" s="52">
        <v>2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1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J21" sqref="J21"/>
    </sheetView>
  </sheetViews>
  <sheetFormatPr baseColWidth="10" defaultRowHeight="14.4" x14ac:dyDescent="0.3"/>
  <sheetData>
    <row r="1" spans="1:6" x14ac:dyDescent="0.3">
      <c r="A1" s="54" t="s">
        <v>107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3</v>
      </c>
      <c r="D2" s="50">
        <v>3</v>
      </c>
      <c r="E2" s="50">
        <v>3</v>
      </c>
      <c r="F2" s="50">
        <v>3</v>
      </c>
    </row>
    <row r="3" spans="1:6" x14ac:dyDescent="0.3">
      <c r="A3">
        <v>2</v>
      </c>
      <c r="B3" s="50">
        <v>0</v>
      </c>
      <c r="C3" s="50">
        <v>3</v>
      </c>
      <c r="D3" s="50">
        <v>3</v>
      </c>
      <c r="E3" s="50">
        <v>3</v>
      </c>
      <c r="F3" s="50">
        <v>3</v>
      </c>
    </row>
    <row r="4" spans="1:6" x14ac:dyDescent="0.3">
      <c r="A4">
        <v>3</v>
      </c>
      <c r="B4" s="50">
        <v>3</v>
      </c>
      <c r="C4" s="50">
        <v>2</v>
      </c>
      <c r="D4" s="50">
        <v>2</v>
      </c>
      <c r="E4" s="50">
        <v>2</v>
      </c>
      <c r="F4" s="50">
        <v>2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1</v>
      </c>
    </row>
    <row r="8" spans="1:6" x14ac:dyDescent="0.3">
      <c r="A8">
        <v>7</v>
      </c>
      <c r="B8" s="51">
        <v>3</v>
      </c>
      <c r="C8" s="51">
        <v>3</v>
      </c>
      <c r="D8" s="51">
        <v>3</v>
      </c>
      <c r="E8" s="51">
        <v>3</v>
      </c>
      <c r="F8" s="51">
        <v>3</v>
      </c>
    </row>
    <row r="9" spans="1:6" x14ac:dyDescent="0.3">
      <c r="A9">
        <v>8</v>
      </c>
      <c r="B9" s="51">
        <v>3</v>
      </c>
      <c r="C9" s="51">
        <v>3</v>
      </c>
      <c r="D9" s="51">
        <v>3</v>
      </c>
      <c r="E9" s="51">
        <v>3</v>
      </c>
      <c r="F9" s="51">
        <v>3</v>
      </c>
    </row>
    <row r="10" spans="1:6" x14ac:dyDescent="0.3">
      <c r="A10">
        <v>9</v>
      </c>
      <c r="B10" s="51">
        <v>3</v>
      </c>
      <c r="C10" s="51">
        <v>3</v>
      </c>
      <c r="D10" s="51">
        <v>3</v>
      </c>
      <c r="E10" s="51">
        <v>3</v>
      </c>
      <c r="F10" s="51">
        <v>3</v>
      </c>
    </row>
    <row r="11" spans="1:6" x14ac:dyDescent="0.3">
      <c r="A11">
        <v>10</v>
      </c>
      <c r="B11" s="51">
        <v>3</v>
      </c>
      <c r="C11" s="51">
        <v>3</v>
      </c>
      <c r="D11" s="51">
        <v>3</v>
      </c>
      <c r="E11" s="51">
        <v>3</v>
      </c>
      <c r="F11" s="51">
        <v>3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>
      <selection activeCell="H13" sqref="H13"/>
    </sheetView>
  </sheetViews>
  <sheetFormatPr baseColWidth="10" defaultRowHeight="14.4" x14ac:dyDescent="0.3"/>
  <sheetData>
    <row r="1" spans="1:6" x14ac:dyDescent="0.3">
      <c r="A1" s="54" t="s">
        <v>396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1</v>
      </c>
      <c r="C9" s="51">
        <v>3</v>
      </c>
      <c r="D9" s="51">
        <v>1</v>
      </c>
      <c r="E9" s="51">
        <v>3</v>
      </c>
      <c r="F9" s="51">
        <v>1</v>
      </c>
    </row>
    <row r="10" spans="1:6" x14ac:dyDescent="0.3">
      <c r="A10">
        <v>9</v>
      </c>
      <c r="B10" s="51">
        <v>1</v>
      </c>
      <c r="C10" s="51">
        <v>3</v>
      </c>
      <c r="D10" s="51">
        <v>1</v>
      </c>
      <c r="E10" s="51">
        <v>3</v>
      </c>
      <c r="F10" s="51">
        <v>1</v>
      </c>
    </row>
    <row r="11" spans="1:6" x14ac:dyDescent="0.3">
      <c r="A11">
        <v>10</v>
      </c>
      <c r="B11" s="51">
        <v>1</v>
      </c>
      <c r="C11" s="51">
        <v>0</v>
      </c>
      <c r="D11" s="51">
        <v>1</v>
      </c>
      <c r="E11" s="51">
        <v>0</v>
      </c>
      <c r="F11" s="51">
        <v>1</v>
      </c>
    </row>
    <row r="12" spans="1:6" x14ac:dyDescent="0.3">
      <c r="A12">
        <v>11</v>
      </c>
      <c r="B12" s="52">
        <v>2</v>
      </c>
      <c r="C12" s="52">
        <v>0</v>
      </c>
      <c r="D12" s="52">
        <v>2</v>
      </c>
      <c r="E12" s="52">
        <v>0</v>
      </c>
      <c r="F12" s="52">
        <v>2</v>
      </c>
    </row>
    <row r="13" spans="1:6" x14ac:dyDescent="0.3">
      <c r="A13">
        <v>12</v>
      </c>
      <c r="B13" s="52">
        <v>3</v>
      </c>
      <c r="C13" s="52">
        <v>0</v>
      </c>
      <c r="D13" s="52">
        <v>0</v>
      </c>
      <c r="E13" s="52">
        <v>0</v>
      </c>
      <c r="F13" s="52">
        <v>3</v>
      </c>
    </row>
    <row r="14" spans="1:6" x14ac:dyDescent="0.3">
      <c r="A14">
        <v>13</v>
      </c>
      <c r="B14" s="52">
        <v>3</v>
      </c>
      <c r="C14" s="52">
        <v>0</v>
      </c>
      <c r="D14" s="52">
        <v>0</v>
      </c>
      <c r="E14" s="52">
        <v>0</v>
      </c>
      <c r="F14" s="52">
        <v>3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D12" sqref="D12:F14"/>
    </sheetView>
  </sheetViews>
  <sheetFormatPr baseColWidth="10" defaultRowHeight="14.4" x14ac:dyDescent="0.3"/>
  <sheetData>
    <row r="1" spans="1:6" x14ac:dyDescent="0.3">
      <c r="A1" s="54" t="s">
        <v>429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2</v>
      </c>
      <c r="E12" s="52">
        <v>1</v>
      </c>
      <c r="F12" s="52">
        <v>2</v>
      </c>
    </row>
    <row r="13" spans="1:6" x14ac:dyDescent="0.3">
      <c r="A13">
        <v>12</v>
      </c>
      <c r="B13" s="52">
        <v>0</v>
      </c>
      <c r="C13" s="52">
        <v>0</v>
      </c>
      <c r="D13" s="52">
        <v>2</v>
      </c>
      <c r="E13" s="52">
        <v>1</v>
      </c>
      <c r="F13" s="52">
        <v>2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3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4" t="s">
        <v>478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1</v>
      </c>
      <c r="C10" s="51">
        <v>1</v>
      </c>
      <c r="D10" s="51">
        <v>0</v>
      </c>
      <c r="E10" s="51">
        <v>1</v>
      </c>
      <c r="F10" s="51">
        <v>0</v>
      </c>
    </row>
    <row r="11" spans="1:6" x14ac:dyDescent="0.3">
      <c r="A11">
        <v>10</v>
      </c>
      <c r="B11" s="51">
        <v>1</v>
      </c>
      <c r="C11" s="51">
        <v>1</v>
      </c>
      <c r="D11" s="51">
        <v>0</v>
      </c>
      <c r="E11" s="51">
        <v>1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0</v>
      </c>
      <c r="E12" s="52">
        <v>1</v>
      </c>
      <c r="F12" s="52">
        <v>0</v>
      </c>
    </row>
    <row r="13" spans="1:6" x14ac:dyDescent="0.3">
      <c r="A13">
        <v>12</v>
      </c>
      <c r="B13" s="52">
        <v>2</v>
      </c>
      <c r="C13" s="52">
        <v>2</v>
      </c>
      <c r="D13" s="52">
        <v>0</v>
      </c>
      <c r="E13" s="52">
        <v>2</v>
      </c>
      <c r="F13" s="52">
        <v>0</v>
      </c>
    </row>
    <row r="14" spans="1:6" x14ac:dyDescent="0.3">
      <c r="A14">
        <v>13</v>
      </c>
      <c r="B14" s="52">
        <v>2</v>
      </c>
      <c r="C14" s="52">
        <v>2</v>
      </c>
      <c r="D14" s="52">
        <v>0</v>
      </c>
      <c r="E14" s="52">
        <v>2</v>
      </c>
      <c r="F14" s="52">
        <v>0</v>
      </c>
    </row>
    <row r="15" spans="1:6" x14ac:dyDescent="0.3">
      <c r="A15">
        <v>14</v>
      </c>
      <c r="B15" s="52">
        <v>3</v>
      </c>
      <c r="C15" s="52">
        <v>3</v>
      </c>
      <c r="D15" s="52">
        <v>0</v>
      </c>
      <c r="E15" s="52">
        <v>3</v>
      </c>
      <c r="F15" s="52">
        <v>0</v>
      </c>
    </row>
    <row r="16" spans="1:6" x14ac:dyDescent="0.3">
      <c r="A16">
        <v>15</v>
      </c>
      <c r="B16" s="52">
        <v>3</v>
      </c>
      <c r="C16" s="52">
        <v>3</v>
      </c>
      <c r="D16" s="52">
        <v>0</v>
      </c>
      <c r="E16" s="52">
        <v>3</v>
      </c>
      <c r="F16" s="52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B9" sqref="B9:F11"/>
    </sheetView>
  </sheetViews>
  <sheetFormatPr baseColWidth="10" defaultRowHeight="14.4" x14ac:dyDescent="0.3"/>
  <sheetData>
    <row r="1" spans="1:6" x14ac:dyDescent="0.3">
      <c r="A1" t="s">
        <v>472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1</v>
      </c>
      <c r="C9" s="51">
        <v>2</v>
      </c>
      <c r="D9" s="51">
        <v>0</v>
      </c>
      <c r="E9" s="51">
        <v>3</v>
      </c>
      <c r="F9" s="51">
        <v>0</v>
      </c>
    </row>
    <row r="10" spans="1:6" x14ac:dyDescent="0.3">
      <c r="A10">
        <v>9</v>
      </c>
      <c r="B10" s="51">
        <v>1</v>
      </c>
      <c r="C10" s="51">
        <v>2</v>
      </c>
      <c r="D10" s="51">
        <v>3</v>
      </c>
      <c r="E10" s="51">
        <v>3</v>
      </c>
      <c r="F10" s="51">
        <v>0</v>
      </c>
    </row>
    <row r="11" spans="1:6" x14ac:dyDescent="0.3">
      <c r="A11">
        <v>10</v>
      </c>
      <c r="B11" s="51">
        <v>1</v>
      </c>
      <c r="C11" s="51">
        <v>2</v>
      </c>
      <c r="D11" s="51">
        <v>3</v>
      </c>
      <c r="E11" s="51">
        <v>3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RowHeight="14.4" x14ac:dyDescent="0.3"/>
  <sheetData>
    <row r="1" spans="1:6" x14ac:dyDescent="0.3">
      <c r="A1" s="54" t="s">
        <v>497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2</v>
      </c>
      <c r="C4" s="50">
        <v>2</v>
      </c>
      <c r="D4" s="50">
        <v>2</v>
      </c>
      <c r="E4" s="50">
        <v>2</v>
      </c>
      <c r="F4" s="50">
        <v>2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4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2</v>
      </c>
      <c r="C2" s="50">
        <v>1</v>
      </c>
      <c r="D2" s="50">
        <v>2</v>
      </c>
      <c r="E2" s="50">
        <v>1</v>
      </c>
      <c r="F2" s="50">
        <v>1</v>
      </c>
    </row>
    <row r="3" spans="1:6" x14ac:dyDescent="0.3">
      <c r="A3">
        <v>2</v>
      </c>
      <c r="B3" s="50">
        <v>2</v>
      </c>
      <c r="C3" s="50">
        <v>1</v>
      </c>
      <c r="D3" s="50">
        <v>2</v>
      </c>
      <c r="E3" s="50">
        <v>1</v>
      </c>
      <c r="F3" s="50">
        <v>1</v>
      </c>
    </row>
    <row r="4" spans="1:6" x14ac:dyDescent="0.3">
      <c r="A4">
        <v>3</v>
      </c>
      <c r="B4" s="50">
        <v>0</v>
      </c>
      <c r="C4" s="50">
        <v>3</v>
      </c>
      <c r="D4" s="50">
        <v>3</v>
      </c>
      <c r="E4" s="50">
        <v>2</v>
      </c>
      <c r="F4" s="50">
        <v>2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3</v>
      </c>
      <c r="C12" s="52">
        <v>0</v>
      </c>
      <c r="D12" s="52">
        <v>3</v>
      </c>
      <c r="E12" s="52">
        <v>0</v>
      </c>
      <c r="F12" s="52">
        <v>0</v>
      </c>
    </row>
    <row r="13" spans="1:6" x14ac:dyDescent="0.3">
      <c r="A13">
        <v>12</v>
      </c>
      <c r="B13" s="52">
        <v>1</v>
      </c>
      <c r="C13" s="52">
        <v>0</v>
      </c>
      <c r="D13" s="52">
        <v>1</v>
      </c>
      <c r="E13" s="52">
        <v>0</v>
      </c>
      <c r="F13" s="52">
        <v>0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54" t="s">
        <v>106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0</v>
      </c>
      <c r="D2" s="50">
        <v>1</v>
      </c>
      <c r="E2" s="50">
        <v>0</v>
      </c>
      <c r="F2" s="50">
        <v>1</v>
      </c>
    </row>
    <row r="3" spans="1:6" x14ac:dyDescent="0.3">
      <c r="A3">
        <v>2</v>
      </c>
      <c r="B3" s="50">
        <v>1</v>
      </c>
      <c r="C3" s="50">
        <v>0</v>
      </c>
      <c r="D3" s="50">
        <v>1</v>
      </c>
      <c r="E3" s="50">
        <v>0</v>
      </c>
      <c r="F3" s="50">
        <v>1</v>
      </c>
    </row>
    <row r="4" spans="1:6" x14ac:dyDescent="0.3">
      <c r="A4">
        <v>3</v>
      </c>
      <c r="B4" s="50">
        <v>1</v>
      </c>
      <c r="C4" s="50">
        <v>0</v>
      </c>
      <c r="D4" s="50">
        <v>1</v>
      </c>
      <c r="E4" s="50">
        <v>0</v>
      </c>
      <c r="F4" s="50">
        <v>1</v>
      </c>
    </row>
    <row r="5" spans="1:6" x14ac:dyDescent="0.3">
      <c r="A5">
        <v>4</v>
      </c>
      <c r="B5" s="50">
        <v>2</v>
      </c>
      <c r="C5" s="50">
        <v>0</v>
      </c>
      <c r="D5" s="50">
        <v>2</v>
      </c>
      <c r="E5" s="50">
        <v>0</v>
      </c>
      <c r="F5" s="50">
        <v>2</v>
      </c>
    </row>
    <row r="6" spans="1:6" x14ac:dyDescent="0.3">
      <c r="A6">
        <v>5</v>
      </c>
      <c r="B6" s="50">
        <v>2</v>
      </c>
      <c r="C6" s="50">
        <v>0</v>
      </c>
      <c r="D6" s="50">
        <v>2</v>
      </c>
      <c r="E6" s="50">
        <v>0</v>
      </c>
      <c r="F6" s="50">
        <v>2</v>
      </c>
    </row>
    <row r="7" spans="1:6" x14ac:dyDescent="0.3">
      <c r="A7">
        <v>6</v>
      </c>
      <c r="B7" s="50">
        <v>3</v>
      </c>
      <c r="C7" s="50">
        <v>0</v>
      </c>
      <c r="D7" s="50">
        <v>3</v>
      </c>
      <c r="E7" s="50">
        <v>0</v>
      </c>
      <c r="F7" s="50">
        <v>3</v>
      </c>
    </row>
    <row r="8" spans="1:6" x14ac:dyDescent="0.3">
      <c r="A8">
        <v>7</v>
      </c>
      <c r="B8" s="51">
        <v>3</v>
      </c>
      <c r="C8" s="51">
        <v>0</v>
      </c>
      <c r="D8" s="51">
        <v>3</v>
      </c>
      <c r="E8" s="51">
        <v>0</v>
      </c>
      <c r="F8" s="51">
        <v>3</v>
      </c>
    </row>
    <row r="9" spans="1:6" x14ac:dyDescent="0.3">
      <c r="A9">
        <v>8</v>
      </c>
      <c r="B9" s="51">
        <v>3</v>
      </c>
      <c r="C9" s="51">
        <v>0</v>
      </c>
      <c r="D9" s="51">
        <v>3</v>
      </c>
      <c r="E9" s="51">
        <v>0</v>
      </c>
      <c r="F9" s="51">
        <v>3</v>
      </c>
    </row>
    <row r="10" spans="1:6" x14ac:dyDescent="0.3">
      <c r="A10">
        <v>9</v>
      </c>
      <c r="B10" s="51">
        <v>3</v>
      </c>
      <c r="C10" s="51">
        <v>0</v>
      </c>
      <c r="D10" s="51">
        <v>3</v>
      </c>
      <c r="E10" s="51">
        <v>0</v>
      </c>
      <c r="F10" s="51">
        <v>3</v>
      </c>
    </row>
    <row r="11" spans="1:6" x14ac:dyDescent="0.3">
      <c r="A11">
        <v>10</v>
      </c>
      <c r="B11" s="51">
        <v>3</v>
      </c>
      <c r="C11" s="51">
        <v>0</v>
      </c>
      <c r="D11" s="51">
        <v>3</v>
      </c>
      <c r="E11" s="51">
        <v>0</v>
      </c>
      <c r="F11" s="51">
        <v>3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4" t="s">
        <v>143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3</v>
      </c>
      <c r="C2" s="50">
        <v>3</v>
      </c>
      <c r="D2" s="50">
        <v>3</v>
      </c>
      <c r="E2" s="50">
        <v>3</v>
      </c>
      <c r="F2" s="50">
        <v>3</v>
      </c>
    </row>
    <row r="3" spans="1:6" x14ac:dyDescent="0.3">
      <c r="A3">
        <v>2</v>
      </c>
      <c r="B3" s="50">
        <v>3</v>
      </c>
      <c r="C3" s="50">
        <v>3</v>
      </c>
      <c r="D3" s="50">
        <v>3</v>
      </c>
      <c r="E3" s="50">
        <v>3</v>
      </c>
      <c r="F3" s="50">
        <v>3</v>
      </c>
    </row>
    <row r="4" spans="1:6" x14ac:dyDescent="0.3">
      <c r="A4">
        <v>3</v>
      </c>
      <c r="B4" s="50">
        <v>2</v>
      </c>
      <c r="C4" s="50">
        <v>3</v>
      </c>
      <c r="D4" s="50">
        <v>2</v>
      </c>
      <c r="E4" s="50">
        <v>3</v>
      </c>
      <c r="F4" s="50">
        <v>2</v>
      </c>
    </row>
    <row r="5" spans="1:6" x14ac:dyDescent="0.3">
      <c r="A5">
        <v>4</v>
      </c>
      <c r="B5" s="50">
        <v>1</v>
      </c>
      <c r="C5" s="50">
        <v>2</v>
      </c>
      <c r="D5" s="50">
        <v>1</v>
      </c>
      <c r="E5" s="50">
        <v>2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>
      <selection activeCell="F17" sqref="F17"/>
    </sheetView>
  </sheetViews>
  <sheetFormatPr baseColWidth="10" defaultRowHeight="14.4" x14ac:dyDescent="0.3"/>
  <sheetData>
    <row r="1" spans="1:6" x14ac:dyDescent="0.3">
      <c r="A1" s="54" t="s">
        <v>146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5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54" t="s">
        <v>151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2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2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2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B15" sqref="B13:B15"/>
    </sheetView>
  </sheetViews>
  <sheetFormatPr baseColWidth="10" defaultRowHeight="14.4" x14ac:dyDescent="0.3"/>
  <sheetData>
    <row r="1" spans="1:6" x14ac:dyDescent="0.3">
      <c r="A1" s="62" t="s">
        <v>470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1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1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1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RowHeight="14.4" x14ac:dyDescent="0.3"/>
  <sheetData>
    <row r="1" spans="1:6" x14ac:dyDescent="0.3">
      <c r="A1" s="54" t="s">
        <v>329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3</v>
      </c>
      <c r="C2" s="50">
        <v>3</v>
      </c>
      <c r="D2" s="50">
        <v>3</v>
      </c>
      <c r="E2" s="50">
        <v>3</v>
      </c>
      <c r="F2" s="50">
        <v>3</v>
      </c>
    </row>
    <row r="3" spans="1:6" x14ac:dyDescent="0.3">
      <c r="A3">
        <v>2</v>
      </c>
      <c r="B3" s="50">
        <v>3</v>
      </c>
      <c r="C3" s="50">
        <v>3</v>
      </c>
      <c r="D3" s="50">
        <v>3</v>
      </c>
      <c r="E3" s="50">
        <v>3</v>
      </c>
      <c r="F3" s="50">
        <v>3</v>
      </c>
    </row>
    <row r="4" spans="1:6" x14ac:dyDescent="0.3">
      <c r="A4">
        <v>3</v>
      </c>
      <c r="B4" s="50">
        <v>2</v>
      </c>
      <c r="C4" s="50">
        <v>2</v>
      </c>
      <c r="D4" s="50">
        <v>2</v>
      </c>
      <c r="E4" s="50">
        <v>2</v>
      </c>
      <c r="F4" s="50">
        <v>2</v>
      </c>
    </row>
    <row r="5" spans="1:6" x14ac:dyDescent="0.3">
      <c r="A5">
        <v>4</v>
      </c>
      <c r="B5" s="50">
        <v>2</v>
      </c>
      <c r="C5" s="50">
        <v>2</v>
      </c>
      <c r="D5" s="50">
        <v>2</v>
      </c>
      <c r="E5" s="50">
        <v>2</v>
      </c>
      <c r="F5" s="50">
        <v>2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1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J16" sqref="J16"/>
    </sheetView>
  </sheetViews>
  <sheetFormatPr baseColWidth="10" defaultRowHeight="14.4" x14ac:dyDescent="0.3"/>
  <sheetData>
    <row r="1" spans="1:6" x14ac:dyDescent="0.3">
      <c r="A1" s="54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2</v>
      </c>
      <c r="C4" s="50">
        <v>2</v>
      </c>
      <c r="D4" s="50">
        <v>2</v>
      </c>
      <c r="E4" s="50">
        <v>2</v>
      </c>
      <c r="F4" s="50">
        <v>2</v>
      </c>
    </row>
    <row r="5" spans="1:6" x14ac:dyDescent="0.3">
      <c r="A5">
        <v>4</v>
      </c>
      <c r="B5" s="50">
        <v>2</v>
      </c>
      <c r="C5" s="50">
        <v>2</v>
      </c>
      <c r="D5" s="50">
        <v>2</v>
      </c>
      <c r="E5" s="50">
        <v>2</v>
      </c>
      <c r="F5" s="50">
        <v>2</v>
      </c>
    </row>
    <row r="6" spans="1:6" x14ac:dyDescent="0.3">
      <c r="A6">
        <v>5</v>
      </c>
      <c r="B6" s="50">
        <v>3</v>
      </c>
      <c r="C6" s="50">
        <v>3</v>
      </c>
      <c r="D6" s="50">
        <v>3</v>
      </c>
      <c r="E6" s="50">
        <v>3</v>
      </c>
      <c r="F6" s="50">
        <v>3</v>
      </c>
    </row>
    <row r="7" spans="1:6" x14ac:dyDescent="0.3">
      <c r="A7">
        <v>6</v>
      </c>
      <c r="B7" s="50">
        <v>3</v>
      </c>
      <c r="C7" s="50">
        <v>3</v>
      </c>
      <c r="D7" s="50">
        <v>3</v>
      </c>
      <c r="E7" s="50">
        <v>3</v>
      </c>
      <c r="F7" s="50">
        <v>3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4" t="s">
        <v>433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0</v>
      </c>
      <c r="D2" s="50">
        <v>0</v>
      </c>
      <c r="E2" s="50">
        <v>0</v>
      </c>
      <c r="F2" s="50">
        <v>1</v>
      </c>
    </row>
    <row r="3" spans="1:6" x14ac:dyDescent="0.3">
      <c r="A3">
        <v>2</v>
      </c>
      <c r="B3" s="50">
        <v>1</v>
      </c>
      <c r="C3" s="50">
        <v>0</v>
      </c>
      <c r="D3" s="50">
        <v>0</v>
      </c>
      <c r="E3" s="50">
        <v>0</v>
      </c>
      <c r="F3" s="50">
        <v>1</v>
      </c>
    </row>
    <row r="4" spans="1:6" x14ac:dyDescent="0.3">
      <c r="A4">
        <v>3</v>
      </c>
      <c r="B4" s="50">
        <v>1</v>
      </c>
      <c r="C4" s="50">
        <v>0</v>
      </c>
      <c r="D4" s="50">
        <v>0</v>
      </c>
      <c r="E4" s="50">
        <v>0</v>
      </c>
      <c r="F4" s="50">
        <v>1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1</v>
      </c>
      <c r="C12" s="52">
        <v>0</v>
      </c>
      <c r="D12" s="52">
        <v>0</v>
      </c>
      <c r="E12" s="52">
        <v>0</v>
      </c>
      <c r="F12" s="52">
        <v>1</v>
      </c>
    </row>
    <row r="13" spans="1:6" x14ac:dyDescent="0.3">
      <c r="A13">
        <v>12</v>
      </c>
      <c r="B13" s="52">
        <v>1</v>
      </c>
      <c r="C13" s="52">
        <v>0</v>
      </c>
      <c r="D13" s="52">
        <v>0</v>
      </c>
      <c r="E13" s="52">
        <v>0</v>
      </c>
      <c r="F13" s="52">
        <v>1</v>
      </c>
    </row>
    <row r="14" spans="1:6" x14ac:dyDescent="0.3">
      <c r="A14">
        <v>13</v>
      </c>
      <c r="B14" s="52">
        <v>1</v>
      </c>
      <c r="C14" s="52">
        <v>0</v>
      </c>
      <c r="D14" s="52">
        <v>0</v>
      </c>
      <c r="E14" s="52">
        <v>0</v>
      </c>
      <c r="F14" s="52">
        <v>1</v>
      </c>
    </row>
    <row r="15" spans="1:6" x14ac:dyDescent="0.3">
      <c r="A15">
        <v>14</v>
      </c>
      <c r="B15" s="52">
        <v>2</v>
      </c>
      <c r="C15" s="52">
        <v>0</v>
      </c>
      <c r="D15" s="52">
        <v>0</v>
      </c>
      <c r="E15" s="52">
        <v>0</v>
      </c>
      <c r="F15" s="52">
        <v>2</v>
      </c>
    </row>
    <row r="16" spans="1:6" x14ac:dyDescent="0.3">
      <c r="A16">
        <v>15</v>
      </c>
      <c r="B16" s="52">
        <v>2</v>
      </c>
      <c r="C16" s="52">
        <v>0</v>
      </c>
      <c r="D16" s="52">
        <v>0</v>
      </c>
      <c r="E16" s="52">
        <v>0</v>
      </c>
      <c r="F16" s="52">
        <v>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>
      <selection activeCell="H16" sqref="H16"/>
    </sheetView>
  </sheetViews>
  <sheetFormatPr baseColWidth="10" defaultRowHeight="14.4" x14ac:dyDescent="0.3"/>
  <sheetData>
    <row r="1" spans="1:6" x14ac:dyDescent="0.3">
      <c r="A1" s="54" t="s">
        <v>413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1</v>
      </c>
      <c r="D9" s="51">
        <v>0</v>
      </c>
      <c r="E9" s="51">
        <v>1</v>
      </c>
      <c r="F9" s="51">
        <v>0</v>
      </c>
    </row>
    <row r="10" spans="1:6" x14ac:dyDescent="0.3">
      <c r="A10">
        <v>9</v>
      </c>
      <c r="B10" s="51">
        <v>0</v>
      </c>
      <c r="C10" s="51">
        <v>1</v>
      </c>
      <c r="D10" s="51">
        <v>0</v>
      </c>
      <c r="E10" s="51">
        <v>1</v>
      </c>
      <c r="F10" s="51">
        <v>0</v>
      </c>
    </row>
    <row r="11" spans="1:6" x14ac:dyDescent="0.3">
      <c r="A11">
        <v>10</v>
      </c>
      <c r="B11" s="51">
        <v>0</v>
      </c>
      <c r="C11" s="51">
        <v>1</v>
      </c>
      <c r="D11" s="51">
        <v>0</v>
      </c>
      <c r="E11" s="51">
        <v>1</v>
      </c>
      <c r="F11" s="51">
        <v>0</v>
      </c>
    </row>
    <row r="12" spans="1:6" x14ac:dyDescent="0.3">
      <c r="A12">
        <v>11</v>
      </c>
      <c r="B12" s="52">
        <v>0</v>
      </c>
      <c r="C12" s="52">
        <v>1</v>
      </c>
      <c r="D12" s="52">
        <v>0</v>
      </c>
      <c r="E12" s="52">
        <v>1</v>
      </c>
      <c r="F12" s="52">
        <v>0</v>
      </c>
    </row>
    <row r="13" spans="1:6" x14ac:dyDescent="0.3">
      <c r="A13">
        <v>12</v>
      </c>
      <c r="B13" s="52">
        <v>0</v>
      </c>
      <c r="C13" s="52">
        <v>1</v>
      </c>
      <c r="D13" s="52">
        <v>0</v>
      </c>
      <c r="E13" s="52">
        <v>1</v>
      </c>
      <c r="F13" s="52">
        <v>0</v>
      </c>
    </row>
    <row r="14" spans="1:6" x14ac:dyDescent="0.3">
      <c r="A14">
        <v>13</v>
      </c>
      <c r="B14" s="52">
        <v>0</v>
      </c>
      <c r="C14" s="52">
        <v>1</v>
      </c>
      <c r="D14" s="52">
        <v>0</v>
      </c>
      <c r="E14" s="52">
        <v>1</v>
      </c>
      <c r="F14" s="52">
        <v>0</v>
      </c>
    </row>
    <row r="15" spans="1:6" x14ac:dyDescent="0.3">
      <c r="A15">
        <v>14</v>
      </c>
      <c r="B15" s="52">
        <v>0</v>
      </c>
      <c r="C15" s="52">
        <v>1</v>
      </c>
      <c r="D15" s="52">
        <v>0</v>
      </c>
      <c r="E15" s="52">
        <v>1</v>
      </c>
      <c r="F15" s="52">
        <v>0</v>
      </c>
    </row>
    <row r="16" spans="1:6" x14ac:dyDescent="0.3">
      <c r="A16">
        <v>15</v>
      </c>
      <c r="B16" s="52">
        <v>0</v>
      </c>
      <c r="C16" s="52">
        <v>1</v>
      </c>
      <c r="D16" s="52">
        <v>0</v>
      </c>
      <c r="E16" s="52">
        <v>1</v>
      </c>
      <c r="F16" s="52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4" t="s">
        <v>480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1</v>
      </c>
      <c r="C9" s="51">
        <v>0</v>
      </c>
      <c r="D9" s="51">
        <v>1</v>
      </c>
      <c r="E9" s="51">
        <v>0</v>
      </c>
      <c r="F9" s="51">
        <v>1</v>
      </c>
    </row>
    <row r="10" spans="1:6" x14ac:dyDescent="0.3">
      <c r="A10">
        <v>9</v>
      </c>
      <c r="B10" s="51">
        <v>1</v>
      </c>
      <c r="C10" s="51">
        <v>0</v>
      </c>
      <c r="D10" s="51">
        <v>1</v>
      </c>
      <c r="E10" s="51">
        <v>0</v>
      </c>
      <c r="F10" s="51">
        <v>1</v>
      </c>
    </row>
    <row r="11" spans="1:6" x14ac:dyDescent="0.3">
      <c r="A11">
        <v>10</v>
      </c>
      <c r="B11" s="51">
        <v>1</v>
      </c>
      <c r="C11" s="51">
        <v>0</v>
      </c>
      <c r="D11" s="51">
        <v>1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1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4" t="s">
        <v>251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2</v>
      </c>
      <c r="C12" s="52">
        <v>2</v>
      </c>
      <c r="D12" s="52">
        <v>2</v>
      </c>
      <c r="E12" s="52">
        <v>2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0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0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0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5" t="s">
        <v>348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5">
        <v>1</v>
      </c>
      <c r="F3" s="55">
        <v>2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5">
        <v>1</v>
      </c>
      <c r="F4" s="55">
        <v>2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5">
        <v>2</v>
      </c>
      <c r="F5" s="55">
        <v>2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5">
        <v>2</v>
      </c>
      <c r="F6" s="55">
        <v>2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5">
        <v>2</v>
      </c>
      <c r="F7" s="55">
        <v>1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5">
        <v>2</v>
      </c>
      <c r="F8" s="55">
        <v>1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0</v>
      </c>
      <c r="F10" s="51">
        <v>0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F8" sqref="F8"/>
    </sheetView>
  </sheetViews>
  <sheetFormatPr baseColWidth="10" defaultRowHeight="14.4" x14ac:dyDescent="0.3"/>
  <sheetData>
    <row r="1" spans="1:6" x14ac:dyDescent="0.3">
      <c r="A1" s="54" t="s">
        <v>117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2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2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1</v>
      </c>
      <c r="F6" s="50">
        <v>1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1</v>
      </c>
      <c r="F7" s="50">
        <v>1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2</v>
      </c>
      <c r="F8" s="51">
        <v>1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2</v>
      </c>
      <c r="F9" s="51">
        <v>1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2</v>
      </c>
      <c r="F10" s="51">
        <v>1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2</v>
      </c>
      <c r="F11" s="51">
        <v>1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workbookViewId="0">
      <selection activeCell="I14" sqref="I14"/>
    </sheetView>
  </sheetViews>
  <sheetFormatPr baseColWidth="10" defaultRowHeight="14.4" x14ac:dyDescent="0.3"/>
  <sheetData>
    <row r="1" spans="1:6" x14ac:dyDescent="0.3">
      <c r="A1" s="55" t="s">
        <v>253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1</v>
      </c>
      <c r="D12" s="52">
        <v>0</v>
      </c>
      <c r="E12" s="52">
        <v>1</v>
      </c>
      <c r="F12" s="52">
        <v>0</v>
      </c>
    </row>
    <row r="13" spans="1:6" x14ac:dyDescent="0.3">
      <c r="A13">
        <v>12</v>
      </c>
      <c r="B13" s="52">
        <v>0</v>
      </c>
      <c r="C13" s="52">
        <v>1</v>
      </c>
      <c r="D13" s="52">
        <v>0</v>
      </c>
      <c r="E13" s="52">
        <v>1</v>
      </c>
      <c r="F13" s="52">
        <v>0</v>
      </c>
    </row>
    <row r="14" spans="1:6" x14ac:dyDescent="0.3">
      <c r="A14">
        <v>13</v>
      </c>
      <c r="B14" s="52">
        <v>0</v>
      </c>
      <c r="C14" s="53">
        <v>3</v>
      </c>
      <c r="D14" s="52">
        <v>0</v>
      </c>
      <c r="E14" s="53">
        <v>3</v>
      </c>
      <c r="F14" s="52">
        <v>0</v>
      </c>
    </row>
    <row r="15" spans="1:6" x14ac:dyDescent="0.3">
      <c r="A15">
        <v>14</v>
      </c>
      <c r="B15" s="52">
        <v>0</v>
      </c>
      <c r="C15" s="53">
        <v>3</v>
      </c>
      <c r="D15" s="52">
        <v>0</v>
      </c>
      <c r="E15" s="53">
        <v>3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>
      <selection activeCell="I10" sqref="I10"/>
    </sheetView>
  </sheetViews>
  <sheetFormatPr baseColWidth="10" defaultRowHeight="14.4" x14ac:dyDescent="0.3"/>
  <sheetData>
    <row r="1" spans="1:6" x14ac:dyDescent="0.3">
      <c r="A1" s="54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2</v>
      </c>
      <c r="C4" s="50">
        <v>2</v>
      </c>
      <c r="D4" s="50">
        <v>2</v>
      </c>
      <c r="E4" s="50">
        <v>2</v>
      </c>
      <c r="F4" s="50">
        <v>2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54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2</v>
      </c>
      <c r="C2" s="50">
        <v>2</v>
      </c>
      <c r="D2" s="50">
        <v>2</v>
      </c>
      <c r="E2" s="50">
        <v>2</v>
      </c>
      <c r="F2" s="50">
        <v>2</v>
      </c>
    </row>
    <row r="3" spans="1:6" x14ac:dyDescent="0.3">
      <c r="A3">
        <v>2</v>
      </c>
      <c r="B3" s="50">
        <v>2</v>
      </c>
      <c r="C3" s="50">
        <v>2</v>
      </c>
      <c r="D3" s="50">
        <v>2</v>
      </c>
      <c r="E3" s="50">
        <v>2</v>
      </c>
      <c r="F3" s="50">
        <v>2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3</v>
      </c>
      <c r="C6" s="50">
        <v>3</v>
      </c>
      <c r="D6" s="50">
        <v>3</v>
      </c>
      <c r="E6" s="50">
        <v>3</v>
      </c>
      <c r="F6" s="50">
        <v>3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4" t="s">
        <v>399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1</v>
      </c>
      <c r="C10" s="51">
        <v>3</v>
      </c>
      <c r="D10" s="51">
        <v>3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3</v>
      </c>
      <c r="D11" s="51">
        <v>3</v>
      </c>
      <c r="E11" s="51">
        <v>1</v>
      </c>
      <c r="F11" s="51">
        <v>1</v>
      </c>
    </row>
    <row r="12" spans="1:6" x14ac:dyDescent="0.3">
      <c r="A12">
        <v>11</v>
      </c>
      <c r="B12" s="52">
        <v>1</v>
      </c>
      <c r="C12" s="52">
        <v>3</v>
      </c>
      <c r="D12" s="52">
        <v>3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3</v>
      </c>
      <c r="D13" s="52">
        <v>3</v>
      </c>
      <c r="E13" s="52">
        <v>1</v>
      </c>
      <c r="F13" s="52">
        <v>1</v>
      </c>
    </row>
    <row r="14" spans="1:6" x14ac:dyDescent="0.3">
      <c r="A14">
        <v>13</v>
      </c>
      <c r="B14" s="52">
        <v>1</v>
      </c>
      <c r="C14" s="52">
        <v>3</v>
      </c>
      <c r="D14" s="52">
        <v>3</v>
      </c>
      <c r="E14" s="52">
        <v>1</v>
      </c>
      <c r="F14" s="52">
        <v>1</v>
      </c>
    </row>
    <row r="15" spans="1:6" x14ac:dyDescent="0.3">
      <c r="A15">
        <v>14</v>
      </c>
      <c r="B15" s="52">
        <v>1</v>
      </c>
      <c r="C15" s="52">
        <v>3</v>
      </c>
      <c r="D15" s="52">
        <v>3</v>
      </c>
      <c r="E15" s="52">
        <v>1</v>
      </c>
      <c r="F15" s="52">
        <v>1</v>
      </c>
    </row>
    <row r="16" spans="1:6" x14ac:dyDescent="0.3">
      <c r="A16">
        <v>15</v>
      </c>
      <c r="B16" s="52">
        <v>1</v>
      </c>
      <c r="C16" s="52">
        <v>3</v>
      </c>
      <c r="D16" s="52">
        <v>3</v>
      </c>
      <c r="E16" s="52">
        <v>1</v>
      </c>
      <c r="F16" s="52">
        <v>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>
      <selection activeCell="I9" sqref="I9"/>
    </sheetView>
  </sheetViews>
  <sheetFormatPr baseColWidth="10" defaultRowHeight="14.4" x14ac:dyDescent="0.3"/>
  <sheetData>
    <row r="1" spans="1:6" x14ac:dyDescent="0.3">
      <c r="A1" s="54" t="s">
        <v>393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3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3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3</v>
      </c>
    </row>
    <row r="12" spans="1:6" x14ac:dyDescent="0.3">
      <c r="A12">
        <v>11</v>
      </c>
      <c r="B12" s="52">
        <v>3</v>
      </c>
      <c r="C12" s="52">
        <v>3</v>
      </c>
      <c r="D12" s="52">
        <v>3</v>
      </c>
      <c r="E12" s="52">
        <v>3</v>
      </c>
      <c r="F12" s="52">
        <v>3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RowHeight="14.4" x14ac:dyDescent="0.3"/>
  <sheetData>
    <row r="1" spans="1:6" x14ac:dyDescent="0.3">
      <c r="A1" s="54" t="s">
        <v>124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2</v>
      </c>
      <c r="C2" s="50">
        <v>1</v>
      </c>
      <c r="D2" s="50">
        <v>2</v>
      </c>
      <c r="E2" s="50">
        <v>1</v>
      </c>
      <c r="F2" s="50">
        <v>1</v>
      </c>
    </row>
    <row r="3" spans="1:6" x14ac:dyDescent="0.3">
      <c r="A3">
        <v>2</v>
      </c>
      <c r="B3" s="50">
        <v>2</v>
      </c>
      <c r="C3" s="50">
        <v>1</v>
      </c>
      <c r="D3" s="50">
        <v>2</v>
      </c>
      <c r="E3" s="50">
        <v>1</v>
      </c>
      <c r="F3" s="50">
        <v>1</v>
      </c>
    </row>
    <row r="4" spans="1:6" x14ac:dyDescent="0.3">
      <c r="A4">
        <v>3</v>
      </c>
      <c r="B4" s="50">
        <v>0</v>
      </c>
      <c r="C4" s="50">
        <v>3</v>
      </c>
      <c r="D4" s="50">
        <v>3</v>
      </c>
      <c r="E4" s="50">
        <v>2</v>
      </c>
      <c r="F4" s="50">
        <v>2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3</v>
      </c>
      <c r="C12" s="52">
        <v>0</v>
      </c>
      <c r="D12" s="52">
        <v>3</v>
      </c>
      <c r="E12" s="52">
        <v>0</v>
      </c>
      <c r="F12" s="52">
        <v>0</v>
      </c>
    </row>
    <row r="13" spans="1:6" x14ac:dyDescent="0.3">
      <c r="A13">
        <v>12</v>
      </c>
      <c r="B13" s="52">
        <v>1</v>
      </c>
      <c r="C13" s="52">
        <v>0</v>
      </c>
      <c r="D13" s="52">
        <v>1</v>
      </c>
      <c r="E13" s="52">
        <v>0</v>
      </c>
      <c r="F13" s="52">
        <v>0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topLeftCell="C1" workbookViewId="0">
      <selection activeCell="I10" sqref="I10"/>
    </sheetView>
  </sheetViews>
  <sheetFormatPr baseColWidth="10" defaultRowHeight="14.4" x14ac:dyDescent="0.3"/>
  <sheetData>
    <row r="1" spans="1:6" x14ac:dyDescent="0.3">
      <c r="A1" s="54" t="s">
        <v>435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2</v>
      </c>
      <c r="C2" s="50">
        <v>1</v>
      </c>
      <c r="D2" s="50">
        <v>2</v>
      </c>
      <c r="E2" s="50">
        <v>1</v>
      </c>
      <c r="F2" s="50">
        <v>3</v>
      </c>
    </row>
    <row r="3" spans="1:6" x14ac:dyDescent="0.3">
      <c r="A3">
        <v>2</v>
      </c>
      <c r="B3" s="50">
        <v>2</v>
      </c>
      <c r="C3" s="50">
        <v>1</v>
      </c>
      <c r="D3" s="50">
        <v>2</v>
      </c>
      <c r="E3" s="50">
        <v>1</v>
      </c>
      <c r="F3" s="50">
        <v>3</v>
      </c>
    </row>
    <row r="4" spans="1:6" x14ac:dyDescent="0.3">
      <c r="A4">
        <v>3</v>
      </c>
      <c r="B4" s="50">
        <v>2</v>
      </c>
      <c r="C4" s="50">
        <v>2</v>
      </c>
      <c r="D4" s="50">
        <v>2</v>
      </c>
      <c r="E4" s="50">
        <v>2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0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0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0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B11" sqref="B11:F16"/>
    </sheetView>
  </sheetViews>
  <sheetFormatPr baseColWidth="10" defaultRowHeight="14.4" x14ac:dyDescent="0.3"/>
  <sheetData>
    <row r="1" spans="1:6" x14ac:dyDescent="0.3">
      <c r="A1" s="54" t="s">
        <v>144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3</v>
      </c>
      <c r="C2" s="50">
        <v>3</v>
      </c>
      <c r="D2" s="50">
        <v>3</v>
      </c>
      <c r="E2" s="50">
        <v>3</v>
      </c>
      <c r="F2" s="50">
        <v>3</v>
      </c>
    </row>
    <row r="3" spans="1:6" x14ac:dyDescent="0.3">
      <c r="A3">
        <v>2</v>
      </c>
      <c r="B3" s="50">
        <v>3</v>
      </c>
      <c r="C3" s="50">
        <v>3</v>
      </c>
      <c r="D3" s="50">
        <v>3</v>
      </c>
      <c r="E3" s="50">
        <v>3</v>
      </c>
      <c r="F3" s="50">
        <v>3</v>
      </c>
    </row>
    <row r="4" spans="1:6" x14ac:dyDescent="0.3">
      <c r="A4">
        <v>3</v>
      </c>
      <c r="B4" s="50">
        <v>2</v>
      </c>
      <c r="C4" s="50">
        <v>3</v>
      </c>
      <c r="D4" s="50">
        <v>2</v>
      </c>
      <c r="E4" s="50">
        <v>3</v>
      </c>
      <c r="F4" s="50">
        <v>2</v>
      </c>
    </row>
    <row r="5" spans="1:6" x14ac:dyDescent="0.3">
      <c r="A5">
        <v>4</v>
      </c>
      <c r="B5" s="50">
        <v>1</v>
      </c>
      <c r="C5" s="50">
        <v>2</v>
      </c>
      <c r="D5" s="50">
        <v>1</v>
      </c>
      <c r="E5" s="50">
        <v>2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1</v>
      </c>
      <c r="C11" s="51">
        <v>1</v>
      </c>
      <c r="D11" s="51">
        <v>0</v>
      </c>
      <c r="E11" s="51">
        <v>1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0</v>
      </c>
      <c r="E12" s="52">
        <v>1</v>
      </c>
      <c r="F12" s="52">
        <v>0</v>
      </c>
    </row>
    <row r="13" spans="1:6" x14ac:dyDescent="0.3">
      <c r="A13">
        <v>12</v>
      </c>
      <c r="B13" s="52">
        <v>2</v>
      </c>
      <c r="C13" s="52">
        <v>2</v>
      </c>
      <c r="D13" s="52">
        <v>0</v>
      </c>
      <c r="E13" s="52">
        <v>2</v>
      </c>
      <c r="F13" s="52">
        <v>0</v>
      </c>
    </row>
    <row r="14" spans="1:6" x14ac:dyDescent="0.3">
      <c r="A14">
        <v>13</v>
      </c>
      <c r="B14" s="52">
        <v>2</v>
      </c>
      <c r="C14" s="52">
        <v>2</v>
      </c>
      <c r="D14" s="52">
        <v>0</v>
      </c>
      <c r="E14" s="52">
        <v>2</v>
      </c>
      <c r="F14" s="52">
        <v>0</v>
      </c>
    </row>
    <row r="15" spans="1:6" x14ac:dyDescent="0.3">
      <c r="A15">
        <v>14</v>
      </c>
      <c r="B15" s="52">
        <v>3</v>
      </c>
      <c r="C15" s="52">
        <v>3</v>
      </c>
      <c r="D15" s="52">
        <v>0</v>
      </c>
      <c r="E15" s="52">
        <v>3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54" t="s">
        <v>273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0</v>
      </c>
      <c r="E13" s="52">
        <v>1</v>
      </c>
      <c r="F13" s="52">
        <v>1</v>
      </c>
    </row>
    <row r="14" spans="1:6" x14ac:dyDescent="0.3">
      <c r="A14">
        <v>13</v>
      </c>
      <c r="B14" s="52">
        <v>1</v>
      </c>
      <c r="C14" s="52">
        <v>1</v>
      </c>
      <c r="D14" s="52">
        <v>0</v>
      </c>
      <c r="E14" s="52">
        <v>1</v>
      </c>
      <c r="F14" s="52">
        <v>1</v>
      </c>
    </row>
    <row r="15" spans="1:6" x14ac:dyDescent="0.3">
      <c r="A15">
        <v>14</v>
      </c>
      <c r="B15" s="52">
        <v>2</v>
      </c>
      <c r="C15" s="52">
        <v>2</v>
      </c>
      <c r="D15" s="52">
        <v>0</v>
      </c>
      <c r="E15" s="52">
        <v>2</v>
      </c>
      <c r="F15" s="52">
        <v>3</v>
      </c>
    </row>
    <row r="16" spans="1:6" x14ac:dyDescent="0.3">
      <c r="A16">
        <v>15</v>
      </c>
      <c r="B16" s="52">
        <v>2</v>
      </c>
      <c r="C16" s="52">
        <v>2</v>
      </c>
      <c r="D16" s="52">
        <v>0</v>
      </c>
      <c r="E16" s="52">
        <v>2</v>
      </c>
      <c r="F16" s="52">
        <v>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54" t="s">
        <v>108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3</v>
      </c>
      <c r="C7" s="50">
        <v>3</v>
      </c>
      <c r="D7" s="50">
        <v>3</v>
      </c>
      <c r="E7" s="50">
        <v>3</v>
      </c>
      <c r="F7" s="50">
        <v>3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1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4" t="s">
        <v>416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</row>
    <row r="14" spans="1:6" x14ac:dyDescent="0.3">
      <c r="A14">
        <v>13</v>
      </c>
      <c r="B14" s="52">
        <v>2</v>
      </c>
      <c r="C14" s="52">
        <v>2</v>
      </c>
      <c r="D14" s="52">
        <v>2</v>
      </c>
      <c r="E14" s="52">
        <v>2</v>
      </c>
      <c r="F14" s="52">
        <v>2</v>
      </c>
    </row>
    <row r="15" spans="1:6" x14ac:dyDescent="0.3">
      <c r="A15">
        <v>14</v>
      </c>
      <c r="B15" s="52">
        <v>3</v>
      </c>
      <c r="C15" s="52">
        <v>3</v>
      </c>
      <c r="D15" s="52">
        <v>3</v>
      </c>
      <c r="E15" s="52">
        <v>3</v>
      </c>
      <c r="F15" s="52">
        <v>3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4" t="s">
        <v>314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4" t="s">
        <v>490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1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1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H20" sqref="H20"/>
    </sheetView>
  </sheetViews>
  <sheetFormatPr baseColWidth="10" defaultRowHeight="14.4" x14ac:dyDescent="0.3"/>
  <sheetData>
    <row r="1" spans="1:6" x14ac:dyDescent="0.3">
      <c r="A1" s="54" t="s">
        <v>493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6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1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1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1</v>
      </c>
    </row>
    <row r="15" spans="1:6" x14ac:dyDescent="0.3">
      <c r="A15">
        <v>14</v>
      </c>
      <c r="B15" s="52">
        <v>1</v>
      </c>
      <c r="C15" s="52">
        <v>1</v>
      </c>
      <c r="D15" s="52">
        <v>1</v>
      </c>
      <c r="E15" s="52">
        <v>1</v>
      </c>
      <c r="F15" s="52">
        <v>1</v>
      </c>
    </row>
    <row r="16" spans="1:6" x14ac:dyDescent="0.3">
      <c r="A16">
        <v>15</v>
      </c>
      <c r="B16" s="52">
        <v>1</v>
      </c>
      <c r="C16" s="52">
        <v>1</v>
      </c>
      <c r="D16" s="52">
        <v>1</v>
      </c>
      <c r="E16" s="52">
        <v>1</v>
      </c>
      <c r="F16" s="52">
        <v>1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54" t="s">
        <v>500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2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0</v>
      </c>
      <c r="C12" s="52">
        <v>1</v>
      </c>
      <c r="D12" s="52">
        <v>1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2</v>
      </c>
      <c r="D13" s="52">
        <v>2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3</v>
      </c>
      <c r="D14" s="52">
        <v>3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J16" sqref="J16"/>
    </sheetView>
  </sheetViews>
  <sheetFormatPr baseColWidth="10" defaultRowHeight="14.4" x14ac:dyDescent="0.3"/>
  <sheetData>
    <row r="1" spans="1:6" x14ac:dyDescent="0.3">
      <c r="A1" s="55" t="s">
        <v>502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1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1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1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1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1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7" sqref="I17"/>
    </sheetView>
  </sheetViews>
  <sheetFormatPr baseColWidth="10" defaultRowHeight="14.4" x14ac:dyDescent="0.3"/>
  <sheetData>
    <row r="1" spans="1:6" x14ac:dyDescent="0.3">
      <c r="A1" s="54" t="s">
        <v>506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2</v>
      </c>
      <c r="C4" s="50">
        <v>2</v>
      </c>
      <c r="D4" s="50">
        <v>2</v>
      </c>
      <c r="E4" s="50">
        <v>2</v>
      </c>
      <c r="F4" s="50">
        <v>2</v>
      </c>
    </row>
    <row r="5" spans="1:6" x14ac:dyDescent="0.3">
      <c r="A5">
        <v>4</v>
      </c>
      <c r="B5" s="50">
        <v>2</v>
      </c>
      <c r="C5" s="50">
        <v>2</v>
      </c>
      <c r="D5" s="50">
        <v>2</v>
      </c>
      <c r="E5" s="50">
        <v>2</v>
      </c>
      <c r="F5" s="50">
        <v>2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54" t="s">
        <v>509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1</v>
      </c>
      <c r="C2" s="50">
        <v>1</v>
      </c>
      <c r="D2" s="50">
        <v>1</v>
      </c>
      <c r="E2" s="50">
        <v>1</v>
      </c>
      <c r="F2" s="50">
        <v>1</v>
      </c>
    </row>
    <row r="3" spans="1:6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6" x14ac:dyDescent="0.3">
      <c r="A4">
        <v>3</v>
      </c>
      <c r="B4" s="50">
        <v>2</v>
      </c>
      <c r="C4" s="50">
        <v>2</v>
      </c>
      <c r="D4" s="50">
        <v>2</v>
      </c>
      <c r="E4" s="50">
        <v>2</v>
      </c>
      <c r="F4" s="50">
        <v>2</v>
      </c>
    </row>
    <row r="5" spans="1:6" x14ac:dyDescent="0.3">
      <c r="A5">
        <v>4</v>
      </c>
      <c r="B5" s="50">
        <v>2</v>
      </c>
      <c r="C5" s="50">
        <v>2</v>
      </c>
      <c r="D5" s="50">
        <v>2</v>
      </c>
      <c r="E5" s="50">
        <v>2</v>
      </c>
      <c r="F5" s="50">
        <v>2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1</v>
      </c>
      <c r="C8" s="51">
        <v>1</v>
      </c>
      <c r="D8" s="51">
        <v>1</v>
      </c>
      <c r="E8" s="51">
        <v>1</v>
      </c>
      <c r="F8" s="51">
        <v>1</v>
      </c>
    </row>
    <row r="9" spans="1:6" x14ac:dyDescent="0.3">
      <c r="A9">
        <v>8</v>
      </c>
      <c r="B9" s="51">
        <v>1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BC56-355C-4170-9782-C228C969F147}">
  <dimension ref="A1:F16"/>
  <sheetViews>
    <sheetView workbookViewId="0">
      <selection activeCell="J20" sqref="J20"/>
    </sheetView>
  </sheetViews>
  <sheetFormatPr baseColWidth="10" defaultRowHeight="14.4" x14ac:dyDescent="0.3"/>
  <sheetData>
    <row r="1" spans="1:6" x14ac:dyDescent="0.3">
      <c r="A1" s="54" t="s">
        <v>680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3</v>
      </c>
      <c r="C4" s="50">
        <v>3</v>
      </c>
      <c r="D4" s="50">
        <v>3</v>
      </c>
      <c r="E4" s="50">
        <v>3</v>
      </c>
      <c r="F4" s="50">
        <v>3</v>
      </c>
    </row>
    <row r="5" spans="1:6" x14ac:dyDescent="0.3">
      <c r="A5">
        <v>4</v>
      </c>
      <c r="B5" s="50">
        <v>2</v>
      </c>
      <c r="C5" s="50">
        <v>2</v>
      </c>
      <c r="D5" s="50">
        <v>2</v>
      </c>
      <c r="E5" s="50">
        <v>2</v>
      </c>
      <c r="F5" s="50">
        <v>2</v>
      </c>
    </row>
    <row r="6" spans="1:6" x14ac:dyDescent="0.3">
      <c r="A6">
        <v>5</v>
      </c>
      <c r="B6" s="50">
        <v>1</v>
      </c>
      <c r="C6" s="50">
        <v>1</v>
      </c>
      <c r="D6" s="50">
        <v>1</v>
      </c>
      <c r="E6" s="50">
        <v>1</v>
      </c>
      <c r="F6" s="50">
        <v>1</v>
      </c>
    </row>
    <row r="7" spans="1:6" x14ac:dyDescent="0.3">
      <c r="A7">
        <v>6</v>
      </c>
      <c r="B7" s="50">
        <v>1</v>
      </c>
      <c r="C7" s="50">
        <v>1</v>
      </c>
      <c r="D7" s="50">
        <v>1</v>
      </c>
      <c r="E7" s="50">
        <v>1</v>
      </c>
      <c r="F7" s="50">
        <v>1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0</v>
      </c>
      <c r="C13" s="52">
        <v>0</v>
      </c>
      <c r="D13" s="52">
        <v>0</v>
      </c>
      <c r="E13" s="52">
        <v>0</v>
      </c>
      <c r="F13" s="52">
        <v>0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>
      <selection activeCell="I15" sqref="I15"/>
    </sheetView>
  </sheetViews>
  <sheetFormatPr baseColWidth="10" defaultRowHeight="14.4" x14ac:dyDescent="0.3"/>
  <sheetData>
    <row r="1" spans="1:6" x14ac:dyDescent="0.3">
      <c r="A1" s="54" t="s">
        <v>134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1</v>
      </c>
      <c r="D12" s="52">
        <v>0</v>
      </c>
      <c r="E12" s="52">
        <v>1</v>
      </c>
      <c r="F12" s="52">
        <v>3</v>
      </c>
    </row>
    <row r="13" spans="1:6" x14ac:dyDescent="0.3">
      <c r="A13">
        <v>12</v>
      </c>
      <c r="B13" s="52">
        <v>0</v>
      </c>
      <c r="C13" s="52">
        <v>1</v>
      </c>
      <c r="D13" s="52">
        <v>0</v>
      </c>
      <c r="E13" s="52">
        <v>1</v>
      </c>
      <c r="F13" s="52">
        <v>3</v>
      </c>
    </row>
    <row r="14" spans="1:6" x14ac:dyDescent="0.3">
      <c r="A14">
        <v>13</v>
      </c>
      <c r="B14" s="52">
        <v>0</v>
      </c>
      <c r="C14" s="52">
        <v>1</v>
      </c>
      <c r="D14" s="52">
        <v>0</v>
      </c>
      <c r="E14" s="52">
        <v>1</v>
      </c>
      <c r="F14" s="52">
        <v>3</v>
      </c>
    </row>
    <row r="15" spans="1:6" x14ac:dyDescent="0.3">
      <c r="A15">
        <v>14</v>
      </c>
      <c r="B15" s="52">
        <v>0</v>
      </c>
      <c r="C15" s="52">
        <v>1</v>
      </c>
      <c r="D15" s="52">
        <v>0</v>
      </c>
      <c r="E15" s="52">
        <v>1</v>
      </c>
      <c r="F15" s="52">
        <v>3</v>
      </c>
    </row>
    <row r="16" spans="1:6" x14ac:dyDescent="0.3">
      <c r="A16">
        <v>15</v>
      </c>
      <c r="B16" s="52">
        <v>0</v>
      </c>
      <c r="C16" s="52">
        <v>1</v>
      </c>
      <c r="D16" s="52">
        <v>0</v>
      </c>
      <c r="E16" s="52">
        <v>1</v>
      </c>
      <c r="F16" s="52">
        <v>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E18" sqref="E18"/>
    </sheetView>
  </sheetViews>
  <sheetFormatPr baseColWidth="10" defaultRowHeight="14.4" x14ac:dyDescent="0.3"/>
  <sheetData>
    <row r="1" spans="1:6" x14ac:dyDescent="0.3">
      <c r="A1" s="54" t="s">
        <v>515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1</v>
      </c>
      <c r="C10" s="51">
        <v>0</v>
      </c>
      <c r="D10" s="51">
        <v>1</v>
      </c>
      <c r="E10" s="51">
        <v>0</v>
      </c>
      <c r="F10" s="51">
        <v>0</v>
      </c>
    </row>
    <row r="11" spans="1:6" x14ac:dyDescent="0.3">
      <c r="A11">
        <v>10</v>
      </c>
      <c r="B11" s="51">
        <v>1</v>
      </c>
      <c r="C11" s="51">
        <v>0</v>
      </c>
      <c r="D11" s="51">
        <v>1</v>
      </c>
      <c r="E11" s="51">
        <v>0</v>
      </c>
      <c r="F11" s="51">
        <v>0</v>
      </c>
    </row>
    <row r="12" spans="1:6" x14ac:dyDescent="0.3">
      <c r="A12">
        <v>11</v>
      </c>
      <c r="B12" s="52">
        <v>2</v>
      </c>
      <c r="C12" s="52">
        <v>2</v>
      </c>
      <c r="D12" s="52">
        <v>2</v>
      </c>
      <c r="E12" s="52">
        <v>2</v>
      </c>
      <c r="F12" s="52">
        <v>0</v>
      </c>
    </row>
    <row r="13" spans="1:6" x14ac:dyDescent="0.3">
      <c r="A13">
        <v>12</v>
      </c>
      <c r="B13" s="52">
        <v>2</v>
      </c>
      <c r="C13" s="52">
        <v>2</v>
      </c>
      <c r="D13" s="52">
        <v>2</v>
      </c>
      <c r="E13" s="52">
        <v>2</v>
      </c>
      <c r="F13" s="52">
        <v>0</v>
      </c>
    </row>
    <row r="14" spans="1:6" x14ac:dyDescent="0.3">
      <c r="A14">
        <v>13</v>
      </c>
      <c r="B14" s="52">
        <v>0</v>
      </c>
      <c r="C14" s="52">
        <v>3</v>
      </c>
      <c r="D14" s="52">
        <v>3</v>
      </c>
      <c r="E14" s="52">
        <v>3</v>
      </c>
      <c r="F14" s="52">
        <v>0</v>
      </c>
    </row>
    <row r="15" spans="1:6" x14ac:dyDescent="0.3">
      <c r="A15">
        <v>14</v>
      </c>
      <c r="B15" s="52">
        <v>0</v>
      </c>
      <c r="C15" s="52">
        <v>3</v>
      </c>
      <c r="D15" s="52">
        <v>0</v>
      </c>
      <c r="E15" s="52">
        <v>3</v>
      </c>
      <c r="F15" s="52">
        <v>0</v>
      </c>
    </row>
    <row r="16" spans="1:6" x14ac:dyDescent="0.3">
      <c r="A16">
        <v>15</v>
      </c>
      <c r="B16" s="52">
        <v>0</v>
      </c>
      <c r="C16" s="52">
        <v>3</v>
      </c>
      <c r="D16" s="52">
        <v>0</v>
      </c>
      <c r="E16" s="52">
        <v>3</v>
      </c>
      <c r="F16" s="52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G20" sqref="G20"/>
    </sheetView>
  </sheetViews>
  <sheetFormatPr baseColWidth="10" defaultRowHeight="14.4" x14ac:dyDescent="0.3"/>
  <sheetData>
    <row r="1" spans="1:6" x14ac:dyDescent="0.3">
      <c r="A1" s="54" t="s">
        <v>518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1</v>
      </c>
      <c r="C10" s="51">
        <v>1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2</v>
      </c>
      <c r="C12" s="52">
        <v>2</v>
      </c>
      <c r="D12" s="52">
        <v>2</v>
      </c>
      <c r="E12" s="52">
        <v>2</v>
      </c>
      <c r="F12" s="52">
        <v>2</v>
      </c>
    </row>
    <row r="13" spans="1:6" x14ac:dyDescent="0.3">
      <c r="A13">
        <v>12</v>
      </c>
      <c r="B13" s="52">
        <v>2</v>
      </c>
      <c r="C13" s="52">
        <v>2</v>
      </c>
      <c r="D13" s="52">
        <v>2</v>
      </c>
      <c r="E13" s="52">
        <v>2</v>
      </c>
      <c r="F13" s="52">
        <v>2</v>
      </c>
    </row>
    <row r="14" spans="1:6" x14ac:dyDescent="0.3">
      <c r="A14">
        <v>13</v>
      </c>
      <c r="B14" s="52">
        <v>3</v>
      </c>
      <c r="C14" s="52">
        <v>3</v>
      </c>
      <c r="D14" s="52">
        <v>3</v>
      </c>
      <c r="E14" s="52">
        <v>3</v>
      </c>
      <c r="F14" s="52">
        <v>3</v>
      </c>
    </row>
    <row r="15" spans="1:6" x14ac:dyDescent="0.3">
      <c r="A15">
        <v>14</v>
      </c>
      <c r="B15" s="52">
        <v>3</v>
      </c>
      <c r="C15" s="52">
        <v>3</v>
      </c>
      <c r="D15" s="52">
        <v>3</v>
      </c>
      <c r="E15" s="52">
        <v>3</v>
      </c>
      <c r="F15" s="52">
        <v>3</v>
      </c>
    </row>
    <row r="16" spans="1:6" x14ac:dyDescent="0.3">
      <c r="A16">
        <v>15</v>
      </c>
      <c r="B16" s="52">
        <v>3</v>
      </c>
      <c r="C16" s="52">
        <v>3</v>
      </c>
      <c r="D16" s="52">
        <v>3</v>
      </c>
      <c r="E16" s="52">
        <v>3</v>
      </c>
      <c r="F16" s="52">
        <v>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4" t="s">
        <v>520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1</v>
      </c>
      <c r="D12" s="52">
        <v>0</v>
      </c>
      <c r="E12" s="52">
        <v>1</v>
      </c>
      <c r="F12" s="52">
        <v>0</v>
      </c>
    </row>
    <row r="13" spans="1:6" x14ac:dyDescent="0.3">
      <c r="A13">
        <v>12</v>
      </c>
      <c r="B13" s="52">
        <v>0</v>
      </c>
      <c r="C13" s="52">
        <v>1</v>
      </c>
      <c r="D13" s="52">
        <v>0</v>
      </c>
      <c r="E13" s="52">
        <v>1</v>
      </c>
      <c r="F13" s="52">
        <v>0</v>
      </c>
    </row>
    <row r="14" spans="1:6" x14ac:dyDescent="0.3">
      <c r="A14">
        <v>13</v>
      </c>
      <c r="B14" s="52">
        <v>0</v>
      </c>
      <c r="C14" s="52">
        <v>1</v>
      </c>
      <c r="D14" s="52">
        <v>0</v>
      </c>
      <c r="E14" s="52">
        <v>1</v>
      </c>
      <c r="F14" s="52">
        <v>0</v>
      </c>
    </row>
    <row r="15" spans="1:6" x14ac:dyDescent="0.3">
      <c r="A15">
        <v>14</v>
      </c>
      <c r="B15" s="52">
        <v>0</v>
      </c>
      <c r="C15" s="52">
        <v>1</v>
      </c>
      <c r="D15" s="52">
        <v>0</v>
      </c>
      <c r="E15" s="52">
        <v>1</v>
      </c>
      <c r="F15" s="52">
        <v>0</v>
      </c>
    </row>
    <row r="16" spans="1:6" x14ac:dyDescent="0.3">
      <c r="A16">
        <v>15</v>
      </c>
      <c r="B16" s="52">
        <v>0</v>
      </c>
      <c r="C16" s="52">
        <v>1</v>
      </c>
      <c r="D16" s="52">
        <v>0</v>
      </c>
      <c r="E16" s="52">
        <v>1</v>
      </c>
      <c r="F16" s="52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4" t="s">
        <v>522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3</v>
      </c>
      <c r="C10" s="51">
        <v>3</v>
      </c>
      <c r="D10" s="51">
        <v>3</v>
      </c>
      <c r="E10" s="51">
        <v>3</v>
      </c>
      <c r="F10" s="51">
        <v>3</v>
      </c>
    </row>
    <row r="11" spans="1:6" x14ac:dyDescent="0.3">
      <c r="A11">
        <v>10</v>
      </c>
      <c r="B11" s="51">
        <v>2</v>
      </c>
      <c r="C11" s="51">
        <v>2</v>
      </c>
      <c r="D11" s="51">
        <v>2</v>
      </c>
      <c r="E11" s="51">
        <v>2</v>
      </c>
      <c r="F11" s="51">
        <v>2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1</v>
      </c>
    </row>
    <row r="14" spans="1:6" x14ac:dyDescent="0.3">
      <c r="A14">
        <v>13</v>
      </c>
      <c r="B14" s="52">
        <v>3</v>
      </c>
      <c r="C14" s="52">
        <v>3</v>
      </c>
      <c r="D14" s="52">
        <v>3</v>
      </c>
      <c r="E14" s="52">
        <v>3</v>
      </c>
      <c r="F14" s="52">
        <v>3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H16"/>
  <sheetViews>
    <sheetView workbookViewId="0">
      <selection activeCell="B10" sqref="B10:F16"/>
    </sheetView>
  </sheetViews>
  <sheetFormatPr baseColWidth="10" defaultRowHeight="14.4" x14ac:dyDescent="0.3"/>
  <sheetData>
    <row r="1" spans="1:8" x14ac:dyDescent="0.3">
      <c r="A1" s="54" t="s">
        <v>524</v>
      </c>
      <c r="B1">
        <v>1</v>
      </c>
      <c r="C1">
        <v>2</v>
      </c>
      <c r="D1">
        <v>3</v>
      </c>
      <c r="E1">
        <v>4</v>
      </c>
      <c r="F1">
        <v>5</v>
      </c>
    </row>
    <row r="2" spans="1:8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8" x14ac:dyDescent="0.3">
      <c r="A3">
        <v>2</v>
      </c>
      <c r="B3" s="50">
        <v>1</v>
      </c>
      <c r="C3" s="50">
        <v>1</v>
      </c>
      <c r="D3" s="50">
        <v>1</v>
      </c>
      <c r="E3" s="50">
        <v>1</v>
      </c>
      <c r="F3" s="50">
        <v>1</v>
      </c>
    </row>
    <row r="4" spans="1:8" x14ac:dyDescent="0.3">
      <c r="A4">
        <v>3</v>
      </c>
      <c r="B4" s="50">
        <v>1</v>
      </c>
      <c r="C4" s="50">
        <v>1</v>
      </c>
      <c r="D4" s="50">
        <v>1</v>
      </c>
      <c r="E4" s="50">
        <v>1</v>
      </c>
      <c r="F4" s="50">
        <v>1</v>
      </c>
    </row>
    <row r="5" spans="1:8" x14ac:dyDescent="0.3">
      <c r="A5">
        <v>4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</row>
    <row r="6" spans="1:8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8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8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8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  <c r="H9" s="90"/>
    </row>
    <row r="10" spans="1:8" x14ac:dyDescent="0.3">
      <c r="A10">
        <v>9</v>
      </c>
      <c r="B10" s="51">
        <v>3</v>
      </c>
      <c r="C10" s="51">
        <v>3</v>
      </c>
      <c r="D10" s="51">
        <v>0</v>
      </c>
      <c r="E10" s="51">
        <v>3</v>
      </c>
      <c r="F10" s="51">
        <v>3</v>
      </c>
    </row>
    <row r="11" spans="1:8" x14ac:dyDescent="0.3">
      <c r="A11">
        <v>10</v>
      </c>
      <c r="B11" s="51">
        <v>1</v>
      </c>
      <c r="C11" s="51">
        <v>1</v>
      </c>
      <c r="D11" s="51">
        <v>0</v>
      </c>
      <c r="E11" s="51">
        <v>1</v>
      </c>
      <c r="F11" s="51">
        <v>1</v>
      </c>
    </row>
    <row r="12" spans="1:8" x14ac:dyDescent="0.3">
      <c r="A12">
        <v>11</v>
      </c>
      <c r="B12" s="52">
        <v>1</v>
      </c>
      <c r="C12" s="52">
        <v>1</v>
      </c>
      <c r="D12" s="52">
        <v>0</v>
      </c>
      <c r="E12" s="52">
        <v>1</v>
      </c>
      <c r="F12" s="52">
        <v>1</v>
      </c>
    </row>
    <row r="13" spans="1:8" x14ac:dyDescent="0.3">
      <c r="A13">
        <v>12</v>
      </c>
      <c r="B13" s="62">
        <v>2</v>
      </c>
      <c r="C13" s="62">
        <v>2</v>
      </c>
      <c r="D13" s="52">
        <v>0</v>
      </c>
      <c r="E13" s="62">
        <v>2</v>
      </c>
      <c r="F13" s="62">
        <v>2</v>
      </c>
    </row>
    <row r="14" spans="1:8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0</v>
      </c>
    </row>
    <row r="15" spans="1:8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8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B11" sqref="B11:F16"/>
    </sheetView>
  </sheetViews>
  <sheetFormatPr baseColWidth="10" defaultRowHeight="14.4" x14ac:dyDescent="0.3"/>
  <sheetData>
    <row r="1" spans="1:6" x14ac:dyDescent="0.3">
      <c r="A1" s="54" t="s">
        <v>534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5">
        <v>3</v>
      </c>
      <c r="C11" s="51">
        <v>0</v>
      </c>
      <c r="D11" s="55">
        <v>3</v>
      </c>
      <c r="E11" s="51">
        <v>0</v>
      </c>
      <c r="F11" s="55">
        <v>3</v>
      </c>
    </row>
    <row r="12" spans="1:6" x14ac:dyDescent="0.3">
      <c r="A12">
        <v>11</v>
      </c>
      <c r="B12" s="52">
        <v>1</v>
      </c>
      <c r="C12" s="52">
        <v>0</v>
      </c>
      <c r="D12" s="52">
        <v>1</v>
      </c>
      <c r="E12" s="52">
        <v>0</v>
      </c>
      <c r="F12" s="52">
        <v>2</v>
      </c>
    </row>
    <row r="13" spans="1:6" x14ac:dyDescent="0.3">
      <c r="A13">
        <v>12</v>
      </c>
      <c r="B13" s="52">
        <v>1</v>
      </c>
      <c r="C13" s="52">
        <v>0</v>
      </c>
      <c r="D13" s="52">
        <v>1</v>
      </c>
      <c r="E13" s="52">
        <v>0</v>
      </c>
      <c r="F13" s="52">
        <v>2</v>
      </c>
    </row>
    <row r="14" spans="1:6" x14ac:dyDescent="0.3">
      <c r="A14">
        <v>13</v>
      </c>
      <c r="B14" s="52">
        <v>2</v>
      </c>
      <c r="C14" s="52">
        <v>0</v>
      </c>
      <c r="D14" s="52">
        <v>2</v>
      </c>
      <c r="E14" s="52">
        <v>0</v>
      </c>
      <c r="F14" s="52">
        <v>2</v>
      </c>
    </row>
    <row r="15" spans="1:6" x14ac:dyDescent="0.3">
      <c r="A15">
        <v>14</v>
      </c>
      <c r="B15" s="52">
        <v>3</v>
      </c>
      <c r="C15" s="52">
        <v>0</v>
      </c>
      <c r="D15" s="52">
        <v>3</v>
      </c>
      <c r="E15" s="52">
        <v>0</v>
      </c>
      <c r="F15" s="52">
        <v>3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E00A-2A3F-499F-8910-D08730BCA2DA}">
  <dimension ref="A1:F16"/>
  <sheetViews>
    <sheetView workbookViewId="0">
      <selection activeCell="C24" sqref="C24"/>
    </sheetView>
  </sheetViews>
  <sheetFormatPr baseColWidth="10" defaultRowHeight="14.4" x14ac:dyDescent="0.3"/>
  <sheetData>
    <row r="1" spans="1:6" x14ac:dyDescent="0.3">
      <c r="A1" s="54" t="s">
        <v>652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3</v>
      </c>
      <c r="C9" s="51">
        <v>2</v>
      </c>
      <c r="D9" s="51">
        <v>2</v>
      </c>
      <c r="E9" s="51">
        <v>2</v>
      </c>
      <c r="F9" s="51">
        <v>3</v>
      </c>
    </row>
    <row r="10" spans="1:6" x14ac:dyDescent="0.3">
      <c r="A10">
        <v>9</v>
      </c>
      <c r="B10" s="51">
        <v>3</v>
      </c>
      <c r="C10" s="51">
        <v>2</v>
      </c>
      <c r="D10" s="51">
        <v>2</v>
      </c>
      <c r="E10" s="51">
        <v>2</v>
      </c>
      <c r="F10" s="51">
        <v>3</v>
      </c>
    </row>
    <row r="11" spans="1:6" x14ac:dyDescent="0.3">
      <c r="A11">
        <v>10</v>
      </c>
      <c r="B11" s="51">
        <v>3</v>
      </c>
      <c r="C11" s="51">
        <v>2</v>
      </c>
      <c r="D11" s="51">
        <v>2</v>
      </c>
      <c r="E11" s="51">
        <v>2</v>
      </c>
      <c r="F11" s="51">
        <v>3</v>
      </c>
    </row>
    <row r="12" spans="1:6" x14ac:dyDescent="0.3">
      <c r="A12">
        <v>11</v>
      </c>
      <c r="B12" s="52">
        <v>3</v>
      </c>
      <c r="C12" s="52">
        <v>2</v>
      </c>
      <c r="D12" s="52">
        <v>2</v>
      </c>
      <c r="E12" s="52">
        <v>2</v>
      </c>
      <c r="F12" s="52">
        <v>3</v>
      </c>
    </row>
    <row r="13" spans="1:6" x14ac:dyDescent="0.3">
      <c r="A13">
        <v>12</v>
      </c>
      <c r="B13" s="52">
        <v>3</v>
      </c>
      <c r="C13" s="52">
        <v>2</v>
      </c>
      <c r="D13" s="52">
        <v>2</v>
      </c>
      <c r="E13" s="52">
        <v>2</v>
      </c>
      <c r="F13" s="52">
        <v>3</v>
      </c>
    </row>
    <row r="14" spans="1:6" x14ac:dyDescent="0.3">
      <c r="A14">
        <v>13</v>
      </c>
      <c r="B14" s="52">
        <v>3</v>
      </c>
      <c r="C14" s="52">
        <v>2</v>
      </c>
      <c r="D14" s="52">
        <v>2</v>
      </c>
      <c r="E14" s="52">
        <v>2</v>
      </c>
      <c r="F14" s="52">
        <v>3</v>
      </c>
    </row>
    <row r="15" spans="1:6" x14ac:dyDescent="0.3">
      <c r="A15">
        <v>14</v>
      </c>
      <c r="B15" s="52">
        <v>3</v>
      </c>
      <c r="C15" s="52">
        <v>3</v>
      </c>
      <c r="D15" s="52">
        <v>3</v>
      </c>
      <c r="E15" s="52">
        <v>3</v>
      </c>
      <c r="F15" s="52">
        <v>3</v>
      </c>
    </row>
    <row r="16" spans="1:6" x14ac:dyDescent="0.3">
      <c r="A16">
        <v>15</v>
      </c>
      <c r="B16" s="52">
        <v>3</v>
      </c>
      <c r="C16" s="52">
        <v>3</v>
      </c>
      <c r="D16" s="52">
        <v>3</v>
      </c>
      <c r="E16" s="52">
        <v>3</v>
      </c>
      <c r="F16" s="52">
        <v>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F51F-43A4-4196-A4D5-9732C8619718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4" t="s">
        <v>659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1</v>
      </c>
      <c r="D12" s="52">
        <v>1</v>
      </c>
      <c r="E12" s="52">
        <v>1</v>
      </c>
      <c r="F12" s="52">
        <v>0</v>
      </c>
    </row>
    <row r="13" spans="1:6" x14ac:dyDescent="0.3">
      <c r="A13">
        <v>12</v>
      </c>
      <c r="B13" s="52">
        <v>0</v>
      </c>
      <c r="C13" s="52">
        <v>1</v>
      </c>
      <c r="D13" s="52">
        <v>1</v>
      </c>
      <c r="E13" s="52">
        <v>1</v>
      </c>
      <c r="F13" s="52">
        <v>0</v>
      </c>
    </row>
    <row r="14" spans="1:6" x14ac:dyDescent="0.3">
      <c r="A14">
        <v>13</v>
      </c>
      <c r="B14" s="52">
        <v>0</v>
      </c>
      <c r="C14" s="52">
        <v>1</v>
      </c>
      <c r="D14" s="52">
        <v>1</v>
      </c>
      <c r="E14" s="52">
        <v>1</v>
      </c>
      <c r="F14" s="52">
        <v>0</v>
      </c>
    </row>
    <row r="15" spans="1:6" x14ac:dyDescent="0.3">
      <c r="A15">
        <v>14</v>
      </c>
      <c r="B15" s="52">
        <v>0</v>
      </c>
      <c r="C15" s="52">
        <v>1</v>
      </c>
      <c r="D15" s="52">
        <v>1</v>
      </c>
      <c r="E15" s="52">
        <v>1</v>
      </c>
      <c r="F15" s="52">
        <v>0</v>
      </c>
    </row>
    <row r="16" spans="1:6" x14ac:dyDescent="0.3">
      <c r="A16">
        <v>15</v>
      </c>
      <c r="B16" s="52">
        <v>0</v>
      </c>
      <c r="C16" s="52">
        <v>1</v>
      </c>
      <c r="D16" s="52">
        <v>1</v>
      </c>
      <c r="E16" s="52">
        <v>1</v>
      </c>
      <c r="F16" s="52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FDB0-DCED-445E-BF35-55B307E92CD5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54" t="s">
        <v>665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1</v>
      </c>
      <c r="D11" s="51">
        <v>0</v>
      </c>
      <c r="E11" s="51">
        <v>1</v>
      </c>
      <c r="F11" s="51">
        <v>1</v>
      </c>
    </row>
    <row r="12" spans="1:6" x14ac:dyDescent="0.3">
      <c r="A12">
        <v>11</v>
      </c>
      <c r="B12" s="52">
        <v>0</v>
      </c>
      <c r="C12" s="52">
        <v>1</v>
      </c>
      <c r="D12" s="52">
        <v>0</v>
      </c>
      <c r="E12" s="52">
        <v>1</v>
      </c>
      <c r="F12" s="52">
        <v>1</v>
      </c>
    </row>
    <row r="13" spans="1:6" x14ac:dyDescent="0.3">
      <c r="A13">
        <v>12</v>
      </c>
      <c r="B13" s="52">
        <v>0</v>
      </c>
      <c r="C13" s="52">
        <v>1</v>
      </c>
      <c r="D13" s="52">
        <v>0</v>
      </c>
      <c r="E13" s="52">
        <v>1</v>
      </c>
      <c r="F13" s="52">
        <v>1</v>
      </c>
    </row>
    <row r="14" spans="1:6" x14ac:dyDescent="0.3">
      <c r="A14">
        <v>13</v>
      </c>
      <c r="B14" s="52">
        <v>0</v>
      </c>
      <c r="C14" s="52">
        <v>1</v>
      </c>
      <c r="D14" s="52">
        <v>0</v>
      </c>
      <c r="E14" s="52">
        <v>1</v>
      </c>
      <c r="F14" s="52">
        <v>1</v>
      </c>
    </row>
    <row r="15" spans="1:6" x14ac:dyDescent="0.3">
      <c r="A15">
        <v>14</v>
      </c>
      <c r="B15" s="52">
        <v>0</v>
      </c>
      <c r="C15" s="52">
        <v>1</v>
      </c>
      <c r="D15" s="52">
        <v>0</v>
      </c>
      <c r="E15" s="52">
        <v>1</v>
      </c>
      <c r="F15" s="52">
        <v>1</v>
      </c>
    </row>
    <row r="16" spans="1:6" x14ac:dyDescent="0.3">
      <c r="A16">
        <v>15</v>
      </c>
      <c r="B16" s="52">
        <v>0</v>
      </c>
      <c r="C16" s="52">
        <v>3</v>
      </c>
      <c r="D16" s="52">
        <v>0</v>
      </c>
      <c r="E16" s="52">
        <v>3</v>
      </c>
      <c r="F16" s="52">
        <v>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7DA3-8A7D-4079-8113-3CEB5B8E7062}">
  <dimension ref="A1:F16"/>
  <sheetViews>
    <sheetView workbookViewId="0">
      <selection activeCell="D18" sqref="D18"/>
    </sheetView>
  </sheetViews>
  <sheetFormatPr baseColWidth="10" defaultRowHeight="14.4" x14ac:dyDescent="0.3"/>
  <sheetData>
    <row r="1" spans="1:6" x14ac:dyDescent="0.3">
      <c r="A1" s="54" t="s">
        <v>125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0</v>
      </c>
      <c r="C11" s="51">
        <v>0</v>
      </c>
      <c r="D11" s="51">
        <v>0</v>
      </c>
      <c r="E11" s="51">
        <v>0</v>
      </c>
      <c r="F11" s="51">
        <v>0</v>
      </c>
    </row>
    <row r="12" spans="1:6" x14ac:dyDescent="0.3">
      <c r="A12">
        <v>11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3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3</v>
      </c>
    </row>
    <row r="15" spans="1:6" x14ac:dyDescent="0.3">
      <c r="A15">
        <v>14</v>
      </c>
      <c r="B15" s="52">
        <v>2</v>
      </c>
      <c r="C15" s="52">
        <v>2</v>
      </c>
      <c r="D15" s="52">
        <v>2</v>
      </c>
      <c r="E15" s="52">
        <v>2</v>
      </c>
      <c r="F15" s="52">
        <v>3</v>
      </c>
    </row>
    <row r="16" spans="1:6" x14ac:dyDescent="0.3">
      <c r="A16">
        <v>15</v>
      </c>
      <c r="B16" s="52">
        <v>3</v>
      </c>
      <c r="C16" s="52">
        <v>3</v>
      </c>
      <c r="D16" s="52">
        <v>3</v>
      </c>
      <c r="E16" s="52">
        <v>3</v>
      </c>
      <c r="F16" s="52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BAE9-9EED-4ECF-92C5-46D66A506A6B}">
  <dimension ref="A1:F16"/>
  <sheetViews>
    <sheetView workbookViewId="0">
      <selection activeCell="K16" sqref="K16"/>
    </sheetView>
  </sheetViews>
  <sheetFormatPr baseColWidth="10" defaultRowHeight="14.4" x14ac:dyDescent="0.3"/>
  <sheetData>
    <row r="1" spans="1:6" x14ac:dyDescent="0.3">
      <c r="A1" s="54" t="s">
        <v>674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3</v>
      </c>
      <c r="C11" s="51">
        <v>3</v>
      </c>
      <c r="D11" s="51">
        <v>3</v>
      </c>
      <c r="E11" s="51">
        <v>3</v>
      </c>
      <c r="F11" s="51">
        <v>3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1</v>
      </c>
    </row>
    <row r="13" spans="1:6" x14ac:dyDescent="0.3">
      <c r="A13">
        <v>12</v>
      </c>
      <c r="B13" s="52">
        <v>1</v>
      </c>
      <c r="C13" s="52">
        <v>2</v>
      </c>
      <c r="D13" s="52">
        <v>1</v>
      </c>
      <c r="E13" s="52">
        <v>2</v>
      </c>
      <c r="F13" s="52">
        <v>1</v>
      </c>
    </row>
    <row r="14" spans="1:6" x14ac:dyDescent="0.3">
      <c r="A14">
        <v>13</v>
      </c>
      <c r="B14" s="52">
        <v>0</v>
      </c>
      <c r="C14" s="52">
        <v>0</v>
      </c>
      <c r="D14" s="52">
        <v>0</v>
      </c>
      <c r="E14" s="52">
        <v>0</v>
      </c>
      <c r="F14" s="52">
        <v>2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2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F230-F6AE-433E-9CE5-2359EFFCFDAB}">
  <dimension ref="A1:F16"/>
  <sheetViews>
    <sheetView workbookViewId="0">
      <selection activeCell="B12" sqref="B12"/>
    </sheetView>
  </sheetViews>
  <sheetFormatPr baseColWidth="10" defaultRowHeight="14.4" x14ac:dyDescent="0.3"/>
  <sheetData>
    <row r="1" spans="1:6" x14ac:dyDescent="0.3">
      <c r="A1" s="54" t="s">
        <v>668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1</v>
      </c>
      <c r="C11" s="51">
        <v>0</v>
      </c>
      <c r="D11" s="51">
        <v>1</v>
      </c>
      <c r="E11" s="51">
        <v>0</v>
      </c>
      <c r="F11" s="51">
        <v>0</v>
      </c>
    </row>
    <row r="12" spans="1:6" x14ac:dyDescent="0.3">
      <c r="A12">
        <v>11</v>
      </c>
      <c r="B12" s="52">
        <v>1</v>
      </c>
      <c r="C12" s="52">
        <v>3</v>
      </c>
      <c r="D12" s="52">
        <v>1</v>
      </c>
      <c r="E12" s="52">
        <v>3</v>
      </c>
      <c r="F12" s="52">
        <v>0</v>
      </c>
    </row>
    <row r="13" spans="1:6" x14ac:dyDescent="0.3">
      <c r="A13">
        <v>12</v>
      </c>
      <c r="B13" s="52">
        <v>2</v>
      </c>
      <c r="C13" s="52">
        <v>0</v>
      </c>
      <c r="D13" s="52">
        <v>2</v>
      </c>
      <c r="E13" s="52">
        <v>0</v>
      </c>
      <c r="F13" s="52">
        <v>0</v>
      </c>
    </row>
    <row r="14" spans="1:6" x14ac:dyDescent="0.3">
      <c r="A14">
        <v>13</v>
      </c>
      <c r="B14" s="52">
        <v>3</v>
      </c>
      <c r="C14" s="52">
        <v>0</v>
      </c>
      <c r="D14" s="52">
        <v>3</v>
      </c>
      <c r="E14" s="52">
        <v>0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D50C-0B97-4A83-A770-D3BC28C9B836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54" t="s">
        <v>682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0</v>
      </c>
    </row>
    <row r="13" spans="1:6" x14ac:dyDescent="0.3">
      <c r="A13">
        <v>12</v>
      </c>
      <c r="B13" s="52">
        <v>2</v>
      </c>
      <c r="C13" s="52">
        <v>2</v>
      </c>
      <c r="D13" s="52">
        <v>2</v>
      </c>
      <c r="E13" s="52">
        <v>2</v>
      </c>
      <c r="F13" s="52">
        <v>0</v>
      </c>
    </row>
    <row r="14" spans="1:6" x14ac:dyDescent="0.3">
      <c r="A14">
        <v>13</v>
      </c>
      <c r="B14" s="52">
        <v>2</v>
      </c>
      <c r="C14" s="52">
        <v>2</v>
      </c>
      <c r="D14" s="52">
        <v>2</v>
      </c>
      <c r="E14" s="52">
        <v>2</v>
      </c>
      <c r="F14" s="52">
        <v>0</v>
      </c>
    </row>
    <row r="15" spans="1:6" x14ac:dyDescent="0.3">
      <c r="A15">
        <v>14</v>
      </c>
      <c r="B15" s="52">
        <v>3</v>
      </c>
      <c r="C15" s="52">
        <v>3</v>
      </c>
      <c r="D15" s="52">
        <v>3</v>
      </c>
      <c r="E15" s="52">
        <v>3</v>
      </c>
      <c r="F15" s="52">
        <v>0</v>
      </c>
    </row>
    <row r="16" spans="1:6" x14ac:dyDescent="0.3">
      <c r="A16">
        <v>15</v>
      </c>
      <c r="B16" s="52">
        <v>3</v>
      </c>
      <c r="C16" s="52">
        <v>3</v>
      </c>
      <c r="D16" s="52">
        <v>3</v>
      </c>
      <c r="E16" s="52">
        <v>3</v>
      </c>
      <c r="F16" s="52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45F5-B928-490E-BCC8-DDCE09E48226}">
  <dimension ref="A1:F16"/>
  <sheetViews>
    <sheetView workbookViewId="0">
      <selection activeCell="C13" sqref="C13"/>
    </sheetView>
  </sheetViews>
  <sheetFormatPr baseColWidth="10" defaultRowHeight="14.4" x14ac:dyDescent="0.3"/>
  <sheetData>
    <row r="1" spans="1:6" x14ac:dyDescent="0.3">
      <c r="A1" s="54" t="s">
        <v>684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2</v>
      </c>
      <c r="C9" s="51">
        <v>1</v>
      </c>
      <c r="D9" s="51">
        <v>1</v>
      </c>
      <c r="E9" s="51">
        <v>1</v>
      </c>
      <c r="F9" s="51">
        <v>1</v>
      </c>
    </row>
    <row r="10" spans="1:6" x14ac:dyDescent="0.3">
      <c r="A10">
        <v>9</v>
      </c>
      <c r="B10" s="51">
        <v>2</v>
      </c>
      <c r="C10" s="51">
        <v>0</v>
      </c>
      <c r="D10" s="51">
        <v>1</v>
      </c>
      <c r="E10" s="51">
        <v>1</v>
      </c>
      <c r="F10" s="51">
        <v>1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1</v>
      </c>
    </row>
    <row r="12" spans="1:6" x14ac:dyDescent="0.3">
      <c r="A12">
        <v>11</v>
      </c>
      <c r="B12" s="52">
        <v>3</v>
      </c>
      <c r="C12" s="52">
        <v>3</v>
      </c>
      <c r="D12" s="52">
        <v>3</v>
      </c>
      <c r="E12" s="52">
        <v>3</v>
      </c>
      <c r="F12" s="52">
        <v>3</v>
      </c>
    </row>
    <row r="13" spans="1:6" x14ac:dyDescent="0.3">
      <c r="A13">
        <v>12</v>
      </c>
      <c r="B13" s="52">
        <v>3</v>
      </c>
      <c r="C13" s="52">
        <v>3</v>
      </c>
      <c r="D13" s="52">
        <v>3</v>
      </c>
      <c r="E13" s="52">
        <v>3</v>
      </c>
      <c r="F13" s="52">
        <v>3</v>
      </c>
    </row>
    <row r="14" spans="1:6" x14ac:dyDescent="0.3">
      <c r="A14">
        <v>13</v>
      </c>
      <c r="B14" s="52">
        <v>3</v>
      </c>
      <c r="C14" s="52">
        <v>3</v>
      </c>
      <c r="D14" s="52">
        <v>3</v>
      </c>
      <c r="E14" s="52">
        <v>3</v>
      </c>
      <c r="F14" s="52">
        <v>3</v>
      </c>
    </row>
    <row r="15" spans="1:6" x14ac:dyDescent="0.3">
      <c r="A15">
        <v>14</v>
      </c>
      <c r="B15" s="52">
        <v>3</v>
      </c>
      <c r="C15" s="52">
        <v>3</v>
      </c>
      <c r="D15" s="52">
        <v>3</v>
      </c>
      <c r="E15" s="52">
        <v>3</v>
      </c>
      <c r="F15" s="52">
        <v>3</v>
      </c>
    </row>
    <row r="16" spans="1:6" x14ac:dyDescent="0.3">
      <c r="A16">
        <v>15</v>
      </c>
      <c r="B16" s="52">
        <v>3</v>
      </c>
      <c r="C16" s="52">
        <v>3</v>
      </c>
      <c r="D16" s="52">
        <v>3</v>
      </c>
      <c r="E16" s="52">
        <v>3</v>
      </c>
      <c r="F16" s="52">
        <v>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A70A7-323D-4EF6-B612-DC4C3F7AD871}">
  <dimension ref="A1:F16"/>
  <sheetViews>
    <sheetView workbookViewId="0">
      <selection activeCell="H16" sqref="H16"/>
    </sheetView>
  </sheetViews>
  <sheetFormatPr baseColWidth="10" defaultRowHeight="14.4" x14ac:dyDescent="0.3"/>
  <sheetData>
    <row r="1" spans="1:6" x14ac:dyDescent="0.3">
      <c r="A1" s="55" t="s">
        <v>686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0">
        <v>0</v>
      </c>
      <c r="C2" s="50">
        <v>0</v>
      </c>
      <c r="D2" s="50">
        <v>0</v>
      </c>
      <c r="E2" s="50">
        <v>0</v>
      </c>
      <c r="F2" s="50">
        <v>0</v>
      </c>
    </row>
    <row r="3" spans="1:6" x14ac:dyDescent="0.3">
      <c r="A3">
        <v>2</v>
      </c>
      <c r="B3" s="50">
        <v>0</v>
      </c>
      <c r="C3" s="50">
        <v>0</v>
      </c>
      <c r="D3" s="50">
        <v>0</v>
      </c>
      <c r="E3" s="50">
        <v>0</v>
      </c>
      <c r="F3" s="50">
        <v>0</v>
      </c>
    </row>
    <row r="4" spans="1:6" x14ac:dyDescent="0.3">
      <c r="A4">
        <v>3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</row>
    <row r="5" spans="1:6" x14ac:dyDescent="0.3">
      <c r="A5">
        <v>4</v>
      </c>
      <c r="B5" s="50">
        <v>0</v>
      </c>
      <c r="C5" s="50">
        <v>0</v>
      </c>
      <c r="D5" s="50">
        <v>0</v>
      </c>
      <c r="E5" s="50">
        <v>0</v>
      </c>
      <c r="F5" s="50">
        <v>0</v>
      </c>
    </row>
    <row r="6" spans="1:6" x14ac:dyDescent="0.3">
      <c r="A6">
        <v>5</v>
      </c>
      <c r="B6" s="50">
        <v>0</v>
      </c>
      <c r="C6" s="50">
        <v>0</v>
      </c>
      <c r="D6" s="50">
        <v>0</v>
      </c>
      <c r="E6" s="50">
        <v>0</v>
      </c>
      <c r="F6" s="50">
        <v>0</v>
      </c>
    </row>
    <row r="7" spans="1:6" x14ac:dyDescent="0.3">
      <c r="A7">
        <v>6</v>
      </c>
      <c r="B7" s="50">
        <v>0</v>
      </c>
      <c r="C7" s="50">
        <v>0</v>
      </c>
      <c r="D7" s="50">
        <v>0</v>
      </c>
      <c r="E7" s="50">
        <v>0</v>
      </c>
      <c r="F7" s="50">
        <v>0</v>
      </c>
    </row>
    <row r="8" spans="1:6" x14ac:dyDescent="0.3">
      <c r="A8">
        <v>7</v>
      </c>
      <c r="B8" s="51">
        <v>0</v>
      </c>
      <c r="C8" s="51">
        <v>0</v>
      </c>
      <c r="D8" s="51">
        <v>0</v>
      </c>
      <c r="E8" s="51">
        <v>0</v>
      </c>
      <c r="F8" s="51">
        <v>0</v>
      </c>
    </row>
    <row r="9" spans="1:6" x14ac:dyDescent="0.3">
      <c r="A9">
        <v>8</v>
      </c>
      <c r="B9" s="51">
        <v>0</v>
      </c>
      <c r="C9" s="51">
        <v>0</v>
      </c>
      <c r="D9" s="51">
        <v>0</v>
      </c>
      <c r="E9" s="51">
        <v>0</v>
      </c>
      <c r="F9" s="51">
        <v>0</v>
      </c>
    </row>
    <row r="10" spans="1:6" x14ac:dyDescent="0.3">
      <c r="A10">
        <v>9</v>
      </c>
      <c r="B10" s="51">
        <v>0</v>
      </c>
      <c r="C10" s="51">
        <v>0</v>
      </c>
      <c r="D10" s="51">
        <v>0</v>
      </c>
      <c r="E10" s="51">
        <v>0</v>
      </c>
      <c r="F10" s="51">
        <v>0</v>
      </c>
    </row>
    <row r="11" spans="1:6" x14ac:dyDescent="0.3">
      <c r="A11">
        <v>10</v>
      </c>
      <c r="B11" s="51">
        <v>1</v>
      </c>
      <c r="C11" s="51">
        <v>1</v>
      </c>
      <c r="D11" s="51">
        <v>1</v>
      </c>
      <c r="E11" s="51">
        <v>1</v>
      </c>
      <c r="F11" s="51">
        <v>0</v>
      </c>
    </row>
    <row r="12" spans="1:6" x14ac:dyDescent="0.3">
      <c r="A12">
        <v>11</v>
      </c>
      <c r="B12" s="52">
        <v>1</v>
      </c>
      <c r="C12" s="52">
        <v>1</v>
      </c>
      <c r="D12" s="52">
        <v>1</v>
      </c>
      <c r="E12" s="52">
        <v>1</v>
      </c>
      <c r="F12" s="52">
        <v>0</v>
      </c>
    </row>
    <row r="13" spans="1:6" x14ac:dyDescent="0.3">
      <c r="A13">
        <v>12</v>
      </c>
      <c r="B13" s="52">
        <v>1</v>
      </c>
      <c r="C13" s="52">
        <v>1</v>
      </c>
      <c r="D13" s="52">
        <v>1</v>
      </c>
      <c r="E13" s="52">
        <v>1</v>
      </c>
      <c r="F13" s="52">
        <v>0</v>
      </c>
    </row>
    <row r="14" spans="1:6" x14ac:dyDescent="0.3">
      <c r="A14">
        <v>13</v>
      </c>
      <c r="B14" s="52">
        <v>1</v>
      </c>
      <c r="C14" s="52">
        <v>1</v>
      </c>
      <c r="D14" s="52">
        <v>1</v>
      </c>
      <c r="E14" s="52">
        <v>1</v>
      </c>
      <c r="F14" s="52">
        <v>0</v>
      </c>
    </row>
    <row r="15" spans="1:6" x14ac:dyDescent="0.3">
      <c r="A15">
        <v>14</v>
      </c>
      <c r="B15" s="52">
        <v>0</v>
      </c>
      <c r="C15" s="52">
        <v>0</v>
      </c>
      <c r="D15" s="52">
        <v>0</v>
      </c>
      <c r="E15" s="52">
        <v>0</v>
      </c>
      <c r="F15" s="52">
        <v>0</v>
      </c>
    </row>
    <row r="16" spans="1:6" x14ac:dyDescent="0.3">
      <c r="A16">
        <v>15</v>
      </c>
      <c r="B16" s="52">
        <v>0</v>
      </c>
      <c r="C16" s="52">
        <v>0</v>
      </c>
      <c r="D16" s="52">
        <v>0</v>
      </c>
      <c r="E16" s="52">
        <v>0</v>
      </c>
      <c r="F16" s="5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2006/documentManagement/types"/>
    <ds:schemaRef ds:uri="8512ed3e-d662-40dc-9ae4-a019b6da24fb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b8c8cf-9d0b-4e5a-a8f8-f4694f07456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113</vt:i4>
      </vt:variant>
    </vt:vector>
  </HeadingPairs>
  <TitlesOfParts>
    <vt:vector size="113" baseType="lpstr">
      <vt:lpstr>materias</vt:lpstr>
      <vt:lpstr>electivas</vt:lpstr>
      <vt:lpstr>profesores</vt:lpstr>
      <vt:lpstr>grupos</vt:lpstr>
      <vt:lpstr>turnos</vt:lpstr>
      <vt:lpstr>resultados</vt:lpstr>
      <vt:lpstr>salones</vt:lpstr>
      <vt:lpstr>borrador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rl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xm</vt:lpstr>
      <vt:lpstr>icc3</vt:lpstr>
      <vt:lpstr>p1a</vt:lpstr>
      <vt:lpstr>p1b</vt:lpstr>
      <vt:lpstr>p1c</vt:lpstr>
      <vt:lpstr>jg</vt:lpstr>
      <vt:lpstr>ms</vt:lpstr>
      <vt:lpstr>fr</vt:lpstr>
      <vt:lpstr>adc</vt:lpstr>
      <vt:lpstr>mk</vt:lpstr>
      <vt:lpstr>ar</vt:lpstr>
      <vt:lpstr>df</vt:lpstr>
      <vt:lpstr>ht</vt:lpstr>
      <vt:lpstr>gg</vt:lpstr>
      <vt:lpstr>cm</vt:lpstr>
      <vt:lpstr>ma</vt:lpstr>
      <vt:lpstr>mg</vt:lpstr>
      <vt:lpstr>anp</vt:lpstr>
      <vt:lpstr>er</vt:lpstr>
      <vt:lpstr>pp</vt:lpstr>
      <vt:lpstr>gca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cp:lastPrinted>2024-06-12T15:04:20Z</cp:lastPrinted>
  <dcterms:created xsi:type="dcterms:W3CDTF">2015-06-05T18:17:20Z</dcterms:created>
  <dcterms:modified xsi:type="dcterms:W3CDTF">2024-11-21T02:11:52Z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