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horarios/superposicion/"/>
    </mc:Choice>
  </mc:AlternateContent>
  <xr:revisionPtr revIDLastSave="7417" documentId="8_{19F24791-D67F-430B-96E4-4E905ECB02BB}" xr6:coauthVersionLast="47" xr6:coauthVersionMax="47" xr10:uidLastSave="{CAE90AF4-C88A-4D0B-9CC9-BCA7C827B853}"/>
  <bookViews>
    <workbookView xWindow="-108" yWindow="-108" windowWidth="23256" windowHeight="12456" activeTab="1" xr2:uid="{00000000-000D-0000-FFFF-FFFF00000000}"/>
  </bookViews>
  <sheets>
    <sheet name="materias" sheetId="84" r:id="rId1"/>
    <sheet name="profesores" sheetId="1" r:id="rId2"/>
    <sheet name="grupos" sheetId="119" r:id="rId3"/>
    <sheet name="borrador" sheetId="118" r:id="rId4"/>
    <sheet name="svv" sheetId="100" r:id="rId5"/>
    <sheet name="mp" sheetId="101" r:id="rId6"/>
    <sheet name="ap" sheetId="102" r:id="rId7"/>
    <sheet name="am" sheetId="103" r:id="rId8"/>
    <sheet name="gc" sheetId="104" r:id="rId9"/>
    <sheet name="kb" sheetId="106" r:id="rId10"/>
    <sheet name="vt" sheetId="107" r:id="rId11"/>
    <sheet name="jc" sheetId="108" r:id="rId12"/>
    <sheet name="ad" sheetId="109" r:id="rId13"/>
    <sheet name="as" sheetId="110" r:id="rId14"/>
    <sheet name="jf" sheetId="111" r:id="rId15"/>
    <sheet name="fm" sheetId="112" r:id="rId16"/>
    <sheet name="ds" sheetId="113" r:id="rId17"/>
    <sheet name="lg" sheetId="114" r:id="rId18"/>
    <sheet name="jd" sheetId="115" r:id="rId19"/>
    <sheet name="jk" sheetId="116" r:id="rId20"/>
    <sheet name="jpf" sheetId="117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" i="1" l="1" a="1"/>
  <c r="P10" i="1" s="1"/>
  <c r="J3" i="118"/>
  <c r="J4" i="118"/>
  <c r="J5" i="118"/>
  <c r="J6" i="118"/>
  <c r="J7" i="118"/>
  <c r="J8" i="118"/>
  <c r="J9" i="118"/>
  <c r="J10" i="118"/>
  <c r="J11" i="118"/>
  <c r="J12" i="118"/>
  <c r="J13" i="118"/>
  <c r="J14" i="118"/>
  <c r="J15" i="118"/>
  <c r="J16" i="118"/>
  <c r="J17" i="118"/>
  <c r="J18" i="118"/>
  <c r="J19" i="118"/>
  <c r="J20" i="118"/>
  <c r="K29" i="1"/>
  <c r="K30" i="1"/>
  <c r="K31" i="1"/>
  <c r="K32" i="1"/>
  <c r="K33" i="1"/>
  <c r="K34" i="1"/>
  <c r="K35" i="1"/>
  <c r="K36" i="1"/>
  <c r="K37" i="1"/>
  <c r="K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" i="1"/>
  <c r="A3" i="119"/>
  <c r="A4" i="119"/>
  <c r="A5" i="119"/>
  <c r="A6" i="119"/>
  <c r="A2" i="1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Zunino</author>
  </authors>
  <commentList>
    <comment ref="A1" authorId="0" shapeId="0" xr:uid="{15466055-446E-4ED5-A2C1-7DD9603747E4}">
      <text>
        <r>
          <rPr>
            <b/>
            <sz val="9"/>
            <color indexed="81"/>
            <rFont val="Tahoma"/>
            <family val="2"/>
          </rPr>
          <t>hora libre entre bloques
solo 3 dias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Zunino</author>
  </authors>
  <commentList>
    <comment ref="A1" authorId="0" shapeId="0" xr:uid="{0C5BA6D5-1079-48BF-9784-B9D204CABE01}">
      <text>
        <r>
          <rPr>
            <b/>
            <sz val="9"/>
            <color indexed="81"/>
            <rFont val="Tahoma"/>
            <family val="2"/>
          </rPr>
          <t>1 solo dia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<sst xmlns="http://schemas.openxmlformats.org/spreadsheetml/2006/main" count="449" uniqueCount="112">
  <si>
    <t>Profesor</t>
  </si>
  <si>
    <t>Carga Horaria</t>
  </si>
  <si>
    <t>ap</t>
  </si>
  <si>
    <t>Año</t>
  </si>
  <si>
    <t>Materia</t>
  </si>
  <si>
    <t>Días por semana</t>
  </si>
  <si>
    <t>Profesores</t>
  </si>
  <si>
    <t>Grupos</t>
  </si>
  <si>
    <t>AL</t>
  </si>
  <si>
    <t>ALp</t>
  </si>
  <si>
    <t>PROG</t>
  </si>
  <si>
    <t>PROGp</t>
  </si>
  <si>
    <t>AM1</t>
  </si>
  <si>
    <t>AM1p</t>
  </si>
  <si>
    <t>tING</t>
  </si>
  <si>
    <t>tINGb</t>
  </si>
  <si>
    <t>Turno</t>
  </si>
  <si>
    <t>m</t>
  </si>
  <si>
    <t>t</t>
  </si>
  <si>
    <t>sv, mp, ap</t>
  </si>
  <si>
    <t>jf</t>
  </si>
  <si>
    <t>am, gc, jd</t>
  </si>
  <si>
    <t>gc</t>
  </si>
  <si>
    <t>kb, vt, jc</t>
  </si>
  <si>
    <t>ad</t>
  </si>
  <si>
    <t>as</t>
  </si>
  <si>
    <t>fm, vt</t>
  </si>
  <si>
    <t>ds</t>
  </si>
  <si>
    <t>lg</t>
  </si>
  <si>
    <t>jc</t>
  </si>
  <si>
    <t>mp</t>
  </si>
  <si>
    <t>am</t>
  </si>
  <si>
    <t>jd</t>
  </si>
  <si>
    <t>kb</t>
  </si>
  <si>
    <t>vt</t>
  </si>
  <si>
    <t>fm</t>
  </si>
  <si>
    <t>1, 2, 3</t>
  </si>
  <si>
    <t>Rec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</si>
  <si>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</si>
  <si>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</si>
  <si>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</si>
  <si>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</si>
  <si>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</si>
  <si>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</si>
  <si>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</si>
  <si>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</si>
  <si>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</si>
  <si>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</si>
  <si>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</si>
  <si>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</si>
  <si>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</si>
  <si>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</si>
  <si>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</si>
  <si>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</si>
  <si>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</si>
  <si>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</si>
  <si>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</si>
  <si>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</si>
  <si>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</si>
  <si>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</si>
  <si>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REC</t>
  </si>
  <si>
    <t>AM3</t>
  </si>
  <si>
    <t>AM3p</t>
  </si>
  <si>
    <t>MEC1</t>
  </si>
  <si>
    <t>TERM</t>
  </si>
  <si>
    <t>CAD</t>
  </si>
  <si>
    <t>PdO</t>
  </si>
  <si>
    <t>ECO</t>
  </si>
  <si>
    <t>iIngInd</t>
  </si>
  <si>
    <t>MD</t>
  </si>
  <si>
    <t>MDp</t>
  </si>
  <si>
    <t>LOG</t>
  </si>
  <si>
    <t>SDig</t>
  </si>
  <si>
    <t>BD2</t>
  </si>
  <si>
    <t>PROG2</t>
  </si>
  <si>
    <t>MIElec</t>
  </si>
  <si>
    <t>2CIVm</t>
  </si>
  <si>
    <t>2INDm</t>
  </si>
  <si>
    <t>2TELm</t>
  </si>
  <si>
    <t>2INF1m</t>
  </si>
  <si>
    <t>2INF2m</t>
  </si>
  <si>
    <t>.</t>
  </si>
  <si>
    <t>gb</t>
  </si>
  <si>
    <t>db</t>
  </si>
  <si>
    <t>es</t>
  </si>
  <si>
    <t>hf</t>
  </si>
  <si>
    <t>rc</t>
  </si>
  <si>
    <t>po</t>
  </si>
  <si>
    <t>rs</t>
  </si>
  <si>
    <t>ame</t>
  </si>
  <si>
    <t>ga</t>
  </si>
  <si>
    <t>dl</t>
  </si>
  <si>
    <t>ac</t>
  </si>
  <si>
    <t>sgp</t>
  </si>
  <si>
    <t>svv</t>
  </si>
  <si>
    <t>rl</t>
  </si>
  <si>
    <t>Electiva</t>
  </si>
  <si>
    <t>m1</t>
  </si>
  <si>
    <t>t1</t>
  </si>
  <si>
    <t>11m1</t>
  </si>
  <si>
    <t>12m1</t>
  </si>
  <si>
    <t>13m1</t>
  </si>
  <si>
    <t>14t1</t>
  </si>
  <si>
    <t>1RECt1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</si>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</sst>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0" xfId="0" applyFont="1"/>
    <xf numFmtId="0" fontId="1" fillId="0" borderId="6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49" fontId="1" fillId="0" borderId="7" xfId="0" applyNumberFormat="1" applyFont="1" applyBorder="1" applyAlignment="1">
      <alignment vertical="center" wrapText="1"/>
    </xf>
    <xf numFmtId="49" fontId="1" fillId="0" borderId="5" xfId="0" applyNumberFormat="1" applyFont="1" applyBorder="1" applyAlignment="1">
      <alignment vertical="center" wrapText="1"/>
    </xf>
    <xf numFmtId="49" fontId="1" fillId="0" borderId="6" xfId="0" applyNumberFormat="1" applyFont="1" applyBorder="1" applyAlignment="1">
      <alignment vertical="center" wrapText="1"/>
    </xf>
    <xf numFmtId="49" fontId="1" fillId="0" borderId="6" xfId="0" applyNumberFormat="1" applyFont="1" applyBorder="1" applyAlignment="1">
      <alignment vertical="top" wrapText="1"/>
    </xf>
    <xf numFmtId="49" fontId="1" fillId="0" borderId="3" xfId="0" applyNumberFormat="1" applyFont="1" applyBorder="1" applyAlignment="1">
      <alignment vertical="top" wrapText="1"/>
    </xf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0" fillId="2" borderId="0" xfId="0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64" fontId="0" fillId="0" borderId="0" xfId="0" applyNumberFormat="1"/>
    <xf numFmtId="0" fontId="1" fillId="0" borderId="8" xfId="0" applyFont="1" applyBorder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10" xfId="0" applyFont="1" applyBorder="1" applyAlignment="1">
      <alignment vertical="center" wrapText="1"/>
    </xf>
    <xf numFmtId="0" fontId="1" fillId="0" borderId="11" xfId="0" applyFont="1" applyBorder="1"/>
    <xf numFmtId="0" fontId="1" fillId="0" borderId="7" xfId="0" applyFont="1" applyBorder="1"/>
    <xf numFmtId="0" fontId="1" fillId="0" borderId="9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B162"/>
  <sheetViews>
    <sheetView workbookViewId="0">
      <selection activeCell="O14" sqref="O14"/>
    </sheetView>
  </sheetViews>
  <sheetFormatPr baseColWidth="10" defaultColWidth="11.88671875" defaultRowHeight="14.4" x14ac:dyDescent="0.3"/>
  <cols>
    <col min="1" max="1" width="11.88671875" style="16"/>
    <col min="2" max="4" width="11.88671875" style="8"/>
    <col min="5" max="5" width="11.88671875" style="27"/>
    <col min="6" max="6" width="11.88671875" style="17"/>
    <col min="7" max="7" width="11.88671875" style="8"/>
    <col min="8" max="8" width="11.88671875" style="28"/>
    <col min="9" max="9" width="11.88671875" style="17" customWidth="1"/>
    <col min="10" max="12" width="11.88671875" style="8" customWidth="1"/>
    <col min="13" max="13" width="11.88671875" style="28" customWidth="1"/>
    <col min="14" max="14" width="11.88671875" style="8"/>
    <col min="15" max="15" width="25.88671875" style="8" customWidth="1"/>
    <col min="16" max="16384" width="11.88671875" style="8"/>
  </cols>
  <sheetData>
    <row r="1" spans="1:13" ht="29.4" thickBot="1" x14ac:dyDescent="0.35">
      <c r="A1" s="2" t="s">
        <v>4</v>
      </c>
      <c r="B1" s="2" t="s">
        <v>1</v>
      </c>
      <c r="C1" s="23" t="s">
        <v>5</v>
      </c>
      <c r="D1" s="26" t="s">
        <v>96</v>
      </c>
      <c r="E1" s="26" t="s">
        <v>53</v>
      </c>
      <c r="F1" s="23" t="s">
        <v>54</v>
      </c>
      <c r="G1" s="23" t="s">
        <v>55</v>
      </c>
      <c r="H1" s="2" t="s">
        <v>56</v>
      </c>
      <c r="I1" s="26" t="s">
        <v>57</v>
      </c>
      <c r="J1" s="23" t="s">
        <v>58</v>
      </c>
      <c r="K1" s="23" t="s">
        <v>59</v>
      </c>
      <c r="L1" s="23"/>
      <c r="M1" s="2"/>
    </row>
    <row r="2" spans="1:13" ht="15" thickBot="1" x14ac:dyDescent="0.35">
      <c r="A2" s="2" t="s">
        <v>8</v>
      </c>
      <c r="B2" s="2">
        <v>5</v>
      </c>
      <c r="C2" s="23">
        <v>2</v>
      </c>
      <c r="D2" s="26"/>
      <c r="E2" s="26" t="s">
        <v>94</v>
      </c>
      <c r="F2" s="23" t="s">
        <v>30</v>
      </c>
      <c r="G2" s="23"/>
      <c r="H2" s="2"/>
      <c r="I2" s="23" t="s">
        <v>99</v>
      </c>
      <c r="J2" s="23"/>
      <c r="K2" s="23"/>
      <c r="L2" s="23"/>
      <c r="M2" s="2"/>
    </row>
    <row r="3" spans="1:13" ht="15" thickBot="1" x14ac:dyDescent="0.35">
      <c r="A3" s="2" t="s">
        <v>8</v>
      </c>
      <c r="B3" s="2">
        <v>5</v>
      </c>
      <c r="C3" s="23">
        <v>2</v>
      </c>
      <c r="D3" s="26"/>
      <c r="E3" s="26" t="s">
        <v>94</v>
      </c>
      <c r="F3" s="23" t="s">
        <v>30</v>
      </c>
      <c r="G3" s="23"/>
      <c r="H3" s="2"/>
      <c r="I3" s="23" t="s">
        <v>100</v>
      </c>
      <c r="J3" s="23"/>
      <c r="K3" s="23"/>
      <c r="L3" s="23"/>
      <c r="M3" s="2"/>
    </row>
    <row r="4" spans="1:13" ht="15" thickBot="1" x14ac:dyDescent="0.35">
      <c r="A4" s="2" t="s">
        <v>8</v>
      </c>
      <c r="B4" s="2">
        <v>4</v>
      </c>
      <c r="C4" s="23">
        <v>2</v>
      </c>
      <c r="D4" s="26"/>
      <c r="E4" s="26" t="s">
        <v>2</v>
      </c>
      <c r="F4" s="23"/>
      <c r="G4" s="23"/>
      <c r="H4" s="2"/>
      <c r="I4" s="23" t="s">
        <v>101</v>
      </c>
      <c r="J4" s="23"/>
      <c r="K4" s="23"/>
      <c r="L4" s="23"/>
      <c r="M4" s="2"/>
    </row>
    <row r="5" spans="1:13" ht="15" thickBot="1" x14ac:dyDescent="0.35">
      <c r="A5" s="4" t="s">
        <v>12</v>
      </c>
      <c r="B5" s="4">
        <v>5</v>
      </c>
      <c r="C5" s="23">
        <v>2</v>
      </c>
      <c r="D5" s="26"/>
      <c r="E5" s="26" t="s">
        <v>31</v>
      </c>
      <c r="F5" s="23" t="s">
        <v>22</v>
      </c>
      <c r="G5" s="23" t="s">
        <v>32</v>
      </c>
      <c r="H5" s="2"/>
      <c r="I5" s="23" t="s">
        <v>99</v>
      </c>
      <c r="J5" s="23"/>
      <c r="K5" s="23"/>
      <c r="L5" s="23"/>
      <c r="M5" s="2"/>
    </row>
    <row r="6" spans="1:13" ht="15" thickBot="1" x14ac:dyDescent="0.35">
      <c r="A6" s="4" t="s">
        <v>12</v>
      </c>
      <c r="B6" s="4">
        <v>5</v>
      </c>
      <c r="C6" s="23">
        <v>2</v>
      </c>
      <c r="D6" s="26"/>
      <c r="E6" s="26" t="s">
        <v>31</v>
      </c>
      <c r="F6" s="23" t="s">
        <v>22</v>
      </c>
      <c r="G6" s="23" t="s">
        <v>32</v>
      </c>
      <c r="H6" s="2"/>
      <c r="I6" s="23" t="s">
        <v>100</v>
      </c>
      <c r="J6" s="23"/>
      <c r="K6" s="23"/>
      <c r="L6" s="23"/>
      <c r="M6" s="2"/>
    </row>
    <row r="7" spans="1:13" ht="15" thickBot="1" x14ac:dyDescent="0.35">
      <c r="A7" s="4" t="s">
        <v>12</v>
      </c>
      <c r="B7" s="4">
        <v>5</v>
      </c>
      <c r="C7" s="23">
        <v>2</v>
      </c>
      <c r="D7" s="26"/>
      <c r="E7" s="26" t="s">
        <v>31</v>
      </c>
      <c r="F7" s="23" t="s">
        <v>22</v>
      </c>
      <c r="G7" s="23" t="s">
        <v>32</v>
      </c>
      <c r="H7" s="2"/>
      <c r="I7" s="23" t="s">
        <v>101</v>
      </c>
      <c r="J7" s="23"/>
      <c r="K7" s="23"/>
      <c r="L7" s="23"/>
      <c r="M7" s="2"/>
    </row>
    <row r="8" spans="1:13" ht="15" thickBot="1" x14ac:dyDescent="0.35">
      <c r="A8" s="4" t="s">
        <v>10</v>
      </c>
      <c r="B8" s="4">
        <v>3</v>
      </c>
      <c r="C8" s="24">
        <v>1</v>
      </c>
      <c r="D8" s="26"/>
      <c r="E8" s="26" t="s">
        <v>33</v>
      </c>
      <c r="F8" s="23" t="s">
        <v>34</v>
      </c>
      <c r="G8" s="23" t="s">
        <v>29</v>
      </c>
      <c r="H8" s="2"/>
      <c r="I8" s="23" t="s">
        <v>99</v>
      </c>
      <c r="J8" s="23"/>
      <c r="K8" s="23"/>
      <c r="L8" s="23"/>
      <c r="M8" s="2"/>
    </row>
    <row r="9" spans="1:13" ht="15" thickBot="1" x14ac:dyDescent="0.35">
      <c r="A9" s="4" t="s">
        <v>10</v>
      </c>
      <c r="B9" s="4">
        <v>3</v>
      </c>
      <c r="C9" s="24">
        <v>1</v>
      </c>
      <c r="D9" s="26"/>
      <c r="E9" s="26" t="s">
        <v>33</v>
      </c>
      <c r="F9" s="23" t="s">
        <v>34</v>
      </c>
      <c r="G9" s="23" t="s">
        <v>29</v>
      </c>
      <c r="H9" s="2"/>
      <c r="I9" s="23" t="s">
        <v>100</v>
      </c>
      <c r="J9" s="23"/>
      <c r="K9" s="23"/>
      <c r="L9" s="23"/>
      <c r="M9" s="2"/>
    </row>
    <row r="10" spans="1:13" ht="15" thickBot="1" x14ac:dyDescent="0.35">
      <c r="A10" s="4" t="s">
        <v>10</v>
      </c>
      <c r="B10" s="4">
        <v>3</v>
      </c>
      <c r="C10" s="24">
        <v>1</v>
      </c>
      <c r="D10" s="26"/>
      <c r="E10" s="26" t="s">
        <v>33</v>
      </c>
      <c r="F10" s="23" t="s">
        <v>34</v>
      </c>
      <c r="G10" s="23" t="s">
        <v>29</v>
      </c>
      <c r="H10" s="2"/>
      <c r="I10" s="23" t="s">
        <v>101</v>
      </c>
      <c r="J10" s="23"/>
      <c r="K10" s="23"/>
      <c r="L10" s="23"/>
      <c r="M10" s="2"/>
    </row>
    <row r="11" spans="1:13" ht="15" thickBot="1" x14ac:dyDescent="0.35">
      <c r="A11" s="4" t="s">
        <v>14</v>
      </c>
      <c r="B11" s="4">
        <v>3</v>
      </c>
      <c r="C11" s="24">
        <v>1</v>
      </c>
      <c r="D11" s="26"/>
      <c r="E11" s="26" t="s">
        <v>24</v>
      </c>
      <c r="F11" s="23"/>
      <c r="G11" s="23"/>
      <c r="H11" s="2"/>
      <c r="I11" s="23" t="s">
        <v>99</v>
      </c>
      <c r="J11" s="23"/>
      <c r="K11" s="23"/>
      <c r="L11" s="23"/>
      <c r="M11" s="2"/>
    </row>
    <row r="12" spans="1:13" ht="15" thickBot="1" x14ac:dyDescent="0.35">
      <c r="A12" s="4" t="s">
        <v>14</v>
      </c>
      <c r="B12" s="4">
        <v>3</v>
      </c>
      <c r="C12" s="24">
        <v>1</v>
      </c>
      <c r="D12" s="26"/>
      <c r="E12" s="26" t="s">
        <v>24</v>
      </c>
      <c r="F12" s="23"/>
      <c r="G12" s="23"/>
      <c r="H12" s="2"/>
      <c r="I12" s="23" t="s">
        <v>100</v>
      </c>
      <c r="J12" s="23"/>
      <c r="K12" s="23"/>
      <c r="L12" s="23"/>
      <c r="M12" s="2"/>
    </row>
    <row r="13" spans="1:13" ht="15" thickBot="1" x14ac:dyDescent="0.35">
      <c r="A13" s="4" t="s">
        <v>14</v>
      </c>
      <c r="B13" s="4">
        <v>3</v>
      </c>
      <c r="C13" s="24">
        <v>1</v>
      </c>
      <c r="D13" s="26"/>
      <c r="E13" s="26" t="s">
        <v>24</v>
      </c>
      <c r="F13" s="23"/>
      <c r="G13" s="23"/>
      <c r="H13" s="2"/>
      <c r="I13" s="23" t="s">
        <v>101</v>
      </c>
      <c r="J13" s="23"/>
      <c r="K13" s="23"/>
      <c r="L13" s="23"/>
      <c r="M13" s="2"/>
    </row>
    <row r="14" spans="1:13" ht="15" thickBot="1" x14ac:dyDescent="0.35">
      <c r="A14" s="4" t="s">
        <v>15</v>
      </c>
      <c r="B14" s="4">
        <v>2</v>
      </c>
      <c r="C14" s="24">
        <v>1</v>
      </c>
      <c r="D14" s="26"/>
      <c r="E14" s="26" t="s">
        <v>25</v>
      </c>
      <c r="F14" s="23"/>
      <c r="G14" s="23"/>
      <c r="H14" s="2"/>
      <c r="I14" s="23" t="s">
        <v>99</v>
      </c>
      <c r="J14" s="23"/>
      <c r="K14" s="23"/>
      <c r="L14" s="23"/>
      <c r="M14" s="2"/>
    </row>
    <row r="15" spans="1:13" ht="15" thickBot="1" x14ac:dyDescent="0.35">
      <c r="A15" s="4" t="s">
        <v>15</v>
      </c>
      <c r="B15" s="4">
        <v>2</v>
      </c>
      <c r="C15" s="24">
        <v>1</v>
      </c>
      <c r="D15" s="26"/>
      <c r="E15" s="26" t="s">
        <v>25</v>
      </c>
      <c r="F15" s="23"/>
      <c r="G15" s="23"/>
      <c r="H15" s="2"/>
      <c r="I15" s="23" t="s">
        <v>100</v>
      </c>
      <c r="J15" s="23"/>
      <c r="K15" s="23"/>
      <c r="L15" s="23"/>
      <c r="M15" s="2"/>
    </row>
    <row r="16" spans="1:13" ht="15" thickBot="1" x14ac:dyDescent="0.35">
      <c r="A16" s="4" t="s">
        <v>15</v>
      </c>
      <c r="B16" s="4">
        <v>2</v>
      </c>
      <c r="C16" s="24">
        <v>1</v>
      </c>
      <c r="D16" s="26"/>
      <c r="E16" s="26" t="s">
        <v>25</v>
      </c>
      <c r="F16" s="25"/>
      <c r="G16" s="23"/>
      <c r="H16" s="2"/>
      <c r="I16" s="23" t="s">
        <v>101</v>
      </c>
      <c r="J16" s="23"/>
      <c r="K16" s="23"/>
      <c r="L16" s="23"/>
      <c r="M16" s="2"/>
    </row>
    <row r="17" spans="1:13" ht="15" thickBot="1" x14ac:dyDescent="0.35">
      <c r="A17" s="4" t="s">
        <v>9</v>
      </c>
      <c r="B17" s="4">
        <v>2</v>
      </c>
      <c r="C17" s="24">
        <v>1</v>
      </c>
      <c r="D17" s="26"/>
      <c r="E17" s="26" t="s">
        <v>20</v>
      </c>
      <c r="F17" s="23"/>
      <c r="G17" s="23"/>
      <c r="H17" s="2"/>
      <c r="I17" s="23" t="s">
        <v>99</v>
      </c>
      <c r="J17" s="23"/>
      <c r="K17" s="23"/>
      <c r="L17" s="23"/>
      <c r="M17" s="2"/>
    </row>
    <row r="18" spans="1:13" ht="15" thickBot="1" x14ac:dyDescent="0.35">
      <c r="A18" s="4" t="s">
        <v>9</v>
      </c>
      <c r="B18" s="4">
        <v>2</v>
      </c>
      <c r="C18" s="24">
        <v>1</v>
      </c>
      <c r="D18" s="26"/>
      <c r="E18" s="26" t="s">
        <v>20</v>
      </c>
      <c r="F18" s="23"/>
      <c r="G18" s="23"/>
      <c r="H18" s="2"/>
      <c r="I18" s="23" t="s">
        <v>100</v>
      </c>
      <c r="J18" s="23"/>
      <c r="K18" s="23"/>
      <c r="L18" s="23"/>
      <c r="M18" s="2"/>
    </row>
    <row r="19" spans="1:13" ht="15" thickBot="1" x14ac:dyDescent="0.35">
      <c r="A19" s="4" t="s">
        <v>9</v>
      </c>
      <c r="B19" s="4">
        <v>2</v>
      </c>
      <c r="C19" s="24">
        <v>1</v>
      </c>
      <c r="D19" s="26"/>
      <c r="E19" s="26" t="s">
        <v>20</v>
      </c>
      <c r="F19" s="23"/>
      <c r="G19" s="23"/>
      <c r="H19" s="2"/>
      <c r="I19" s="23" t="s">
        <v>101</v>
      </c>
      <c r="J19" s="23"/>
      <c r="K19" s="23"/>
      <c r="L19" s="23"/>
      <c r="M19" s="2"/>
    </row>
    <row r="20" spans="1:13" ht="15" thickBot="1" x14ac:dyDescent="0.35">
      <c r="A20" s="4" t="s">
        <v>13</v>
      </c>
      <c r="B20" s="4">
        <v>2</v>
      </c>
      <c r="C20" s="24">
        <v>1</v>
      </c>
      <c r="D20" s="26"/>
      <c r="E20" s="26" t="s">
        <v>22</v>
      </c>
      <c r="F20" s="23"/>
      <c r="G20" s="23"/>
      <c r="H20" s="2"/>
      <c r="I20" s="23" t="s">
        <v>99</v>
      </c>
      <c r="J20" s="23"/>
      <c r="K20" s="23"/>
      <c r="L20" s="23"/>
      <c r="M20" s="2"/>
    </row>
    <row r="21" spans="1:13" ht="15" thickBot="1" x14ac:dyDescent="0.35">
      <c r="A21" s="4" t="s">
        <v>13</v>
      </c>
      <c r="B21" s="4">
        <v>2</v>
      </c>
      <c r="C21" s="24">
        <v>1</v>
      </c>
      <c r="D21" s="26"/>
      <c r="E21" s="26" t="s">
        <v>22</v>
      </c>
      <c r="F21" s="23"/>
      <c r="G21" s="23"/>
      <c r="H21" s="2"/>
      <c r="I21" s="23" t="s">
        <v>100</v>
      </c>
      <c r="J21" s="23"/>
      <c r="K21" s="23"/>
      <c r="L21" s="23"/>
      <c r="M21" s="2"/>
    </row>
    <row r="22" spans="1:13" ht="15" thickBot="1" x14ac:dyDescent="0.35">
      <c r="A22" s="4" t="s">
        <v>13</v>
      </c>
      <c r="B22" s="4">
        <v>2</v>
      </c>
      <c r="C22" s="24">
        <v>1</v>
      </c>
      <c r="D22" s="26"/>
      <c r="E22" s="26" t="s">
        <v>22</v>
      </c>
      <c r="F22" s="23"/>
      <c r="G22" s="23"/>
      <c r="H22" s="2"/>
      <c r="I22" s="23" t="s">
        <v>101</v>
      </c>
      <c r="J22" s="23"/>
      <c r="K22" s="23"/>
      <c r="L22" s="23"/>
      <c r="M22" s="2"/>
    </row>
    <row r="23" spans="1:13" ht="15" thickBot="1" x14ac:dyDescent="0.35">
      <c r="A23" s="4" t="s">
        <v>11</v>
      </c>
      <c r="B23" s="4">
        <v>2</v>
      </c>
      <c r="C23" s="24">
        <v>1</v>
      </c>
      <c r="D23" s="26"/>
      <c r="E23" s="26" t="s">
        <v>35</v>
      </c>
      <c r="F23" s="23" t="s">
        <v>34</v>
      </c>
      <c r="G23" s="23"/>
      <c r="H23" s="2"/>
      <c r="I23" s="23" t="s">
        <v>99</v>
      </c>
      <c r="J23" s="23"/>
      <c r="K23" s="23"/>
      <c r="L23" s="23"/>
      <c r="M23" s="2"/>
    </row>
    <row r="24" spans="1:13" ht="15" thickBot="1" x14ac:dyDescent="0.35">
      <c r="A24" s="4" t="s">
        <v>11</v>
      </c>
      <c r="B24" s="4">
        <v>2</v>
      </c>
      <c r="C24" s="24">
        <v>1</v>
      </c>
      <c r="D24" s="26"/>
      <c r="E24" s="26" t="s">
        <v>35</v>
      </c>
      <c r="F24" s="23" t="s">
        <v>34</v>
      </c>
      <c r="G24" s="23"/>
      <c r="H24" s="2"/>
      <c r="I24" s="23" t="s">
        <v>100</v>
      </c>
      <c r="J24" s="23"/>
      <c r="K24" s="23"/>
      <c r="L24" s="23"/>
      <c r="M24" s="2"/>
    </row>
    <row r="25" spans="1:13" ht="15" thickBot="1" x14ac:dyDescent="0.35">
      <c r="A25" s="4" t="s">
        <v>11</v>
      </c>
      <c r="B25" s="4">
        <v>2</v>
      </c>
      <c r="C25" s="24">
        <v>1</v>
      </c>
      <c r="D25" s="26"/>
      <c r="E25" s="26" t="s">
        <v>35</v>
      </c>
      <c r="F25" s="23" t="s">
        <v>34</v>
      </c>
      <c r="G25" s="23"/>
      <c r="H25" s="2"/>
      <c r="I25" s="23" t="s">
        <v>101</v>
      </c>
      <c r="J25" s="23"/>
      <c r="K25" s="23"/>
      <c r="L25" s="23"/>
      <c r="M25" s="2"/>
    </row>
    <row r="26" spans="1:13" ht="15" thickBot="1" x14ac:dyDescent="0.35">
      <c r="A26" s="2" t="s">
        <v>8</v>
      </c>
      <c r="B26" s="2">
        <v>5</v>
      </c>
      <c r="C26" s="23">
        <v>2</v>
      </c>
      <c r="D26" s="26"/>
      <c r="E26" s="26" t="s">
        <v>27</v>
      </c>
      <c r="F26" s="23"/>
      <c r="G26" s="23"/>
      <c r="H26" s="2"/>
      <c r="I26" s="23" t="s">
        <v>102</v>
      </c>
      <c r="J26" s="23"/>
      <c r="K26" s="23"/>
      <c r="L26" s="23"/>
      <c r="M26" s="2"/>
    </row>
    <row r="27" spans="1:13" ht="15" thickBot="1" x14ac:dyDescent="0.35">
      <c r="A27" s="4" t="s">
        <v>12</v>
      </c>
      <c r="B27" s="4">
        <v>5</v>
      </c>
      <c r="C27" s="24">
        <v>2</v>
      </c>
      <c r="D27" s="26"/>
      <c r="E27" s="26" t="s">
        <v>28</v>
      </c>
      <c r="F27" s="23"/>
      <c r="G27" s="23"/>
      <c r="H27" s="2"/>
      <c r="I27" s="23" t="s">
        <v>102</v>
      </c>
      <c r="J27" s="23"/>
      <c r="K27" s="23"/>
      <c r="L27" s="23"/>
      <c r="M27" s="2"/>
    </row>
    <row r="28" spans="1:13" ht="15" thickBot="1" x14ac:dyDescent="0.35">
      <c r="A28" s="4" t="s">
        <v>10</v>
      </c>
      <c r="B28" s="4">
        <v>3</v>
      </c>
      <c r="C28" s="24">
        <v>1</v>
      </c>
      <c r="D28" s="26"/>
      <c r="E28" s="26" t="s">
        <v>29</v>
      </c>
      <c r="F28" s="23"/>
      <c r="G28" s="23"/>
      <c r="H28" s="2"/>
      <c r="I28" s="23" t="s">
        <v>102</v>
      </c>
      <c r="J28" s="23"/>
      <c r="K28" s="23"/>
      <c r="L28" s="23"/>
      <c r="M28" s="2"/>
    </row>
    <row r="29" spans="1:13" ht="15" thickBot="1" x14ac:dyDescent="0.35">
      <c r="A29" s="4" t="s">
        <v>14</v>
      </c>
      <c r="B29" s="4">
        <v>3</v>
      </c>
      <c r="C29" s="24">
        <v>1</v>
      </c>
      <c r="D29" s="26"/>
      <c r="E29" s="26" t="s">
        <v>24</v>
      </c>
      <c r="F29" s="23"/>
      <c r="G29" s="23"/>
      <c r="H29" s="2"/>
      <c r="I29" s="23" t="s">
        <v>102</v>
      </c>
      <c r="J29" s="23"/>
      <c r="K29" s="23"/>
      <c r="L29" s="23"/>
      <c r="M29" s="2"/>
    </row>
    <row r="30" spans="1:13" ht="15" thickBot="1" x14ac:dyDescent="0.35">
      <c r="A30" s="4" t="s">
        <v>15</v>
      </c>
      <c r="B30" s="4">
        <v>2</v>
      </c>
      <c r="C30" s="24">
        <v>1</v>
      </c>
      <c r="D30" s="26"/>
      <c r="E30" s="26" t="s">
        <v>25</v>
      </c>
      <c r="F30" s="23"/>
      <c r="G30" s="23"/>
      <c r="H30" s="2"/>
      <c r="I30" s="23" t="s">
        <v>102</v>
      </c>
      <c r="J30" s="23"/>
      <c r="K30" s="23"/>
      <c r="L30" s="23"/>
      <c r="M30" s="2"/>
    </row>
    <row r="31" spans="1:13" ht="15" thickBot="1" x14ac:dyDescent="0.35">
      <c r="A31" s="4" t="s">
        <v>9</v>
      </c>
      <c r="B31" s="4">
        <v>2</v>
      </c>
      <c r="C31" s="24">
        <v>1</v>
      </c>
      <c r="D31" s="26"/>
      <c r="E31" s="26" t="s">
        <v>20</v>
      </c>
      <c r="F31" s="23"/>
      <c r="G31" s="23"/>
      <c r="H31" s="2"/>
      <c r="I31" s="23" t="s">
        <v>102</v>
      </c>
      <c r="J31" s="23"/>
      <c r="K31" s="23"/>
      <c r="L31" s="23"/>
      <c r="M31" s="2"/>
    </row>
    <row r="32" spans="1:13" ht="15" thickBot="1" x14ac:dyDescent="0.35">
      <c r="A32" s="4" t="s">
        <v>13</v>
      </c>
      <c r="B32" s="4">
        <v>2</v>
      </c>
      <c r="C32" s="24">
        <v>1</v>
      </c>
      <c r="D32" s="26"/>
      <c r="E32" s="26" t="s">
        <v>20</v>
      </c>
      <c r="F32" s="23"/>
      <c r="G32" s="23"/>
      <c r="H32" s="2"/>
      <c r="I32" s="23" t="s">
        <v>102</v>
      </c>
      <c r="J32" s="23"/>
      <c r="K32" s="23"/>
      <c r="L32" s="23"/>
      <c r="M32" s="2"/>
    </row>
    <row r="33" spans="1:28" ht="15" thickBot="1" x14ac:dyDescent="0.35">
      <c r="A33" s="4" t="s">
        <v>11</v>
      </c>
      <c r="B33" s="4">
        <v>2</v>
      </c>
      <c r="C33" s="24">
        <v>1</v>
      </c>
      <c r="D33" s="26"/>
      <c r="E33" s="26" t="s">
        <v>29</v>
      </c>
      <c r="F33" s="23"/>
      <c r="G33" s="23"/>
      <c r="H33" s="2"/>
      <c r="I33" s="23" t="s">
        <v>102</v>
      </c>
      <c r="J33" s="23"/>
      <c r="K33" s="23"/>
      <c r="L33" s="23"/>
      <c r="M33" s="2"/>
    </row>
    <row r="34" spans="1:28" ht="15" thickBot="1" x14ac:dyDescent="0.35">
      <c r="A34" s="4" t="s">
        <v>38</v>
      </c>
      <c r="B34" s="4">
        <v>5</v>
      </c>
      <c r="C34" s="24">
        <v>2</v>
      </c>
      <c r="D34" s="26"/>
      <c r="E34" s="26" t="s">
        <v>43</v>
      </c>
      <c r="F34" s="23"/>
      <c r="G34" s="23"/>
      <c r="H34" s="2"/>
      <c r="I34" s="23" t="s">
        <v>103</v>
      </c>
      <c r="J34" s="23"/>
      <c r="K34" s="23"/>
      <c r="L34" s="23"/>
      <c r="M34" s="2"/>
    </row>
    <row r="35" spans="1:28" ht="15" thickBot="1" x14ac:dyDescent="0.35">
      <c r="A35" s="4" t="s">
        <v>39</v>
      </c>
      <c r="B35" s="4">
        <v>2</v>
      </c>
      <c r="C35" s="24">
        <v>1</v>
      </c>
      <c r="D35" s="26"/>
      <c r="E35" s="26" t="s">
        <v>43</v>
      </c>
      <c r="F35" s="23"/>
      <c r="G35" s="23"/>
      <c r="H35" s="2"/>
      <c r="I35" s="23" t="s">
        <v>103</v>
      </c>
      <c r="J35" s="23"/>
      <c r="K35" s="23"/>
      <c r="L35" s="23"/>
      <c r="M35" s="2"/>
    </row>
    <row r="36" spans="1:28" ht="15" thickBot="1" x14ac:dyDescent="0.35">
      <c r="A36" s="4" t="s">
        <v>40</v>
      </c>
      <c r="B36" s="4">
        <v>5</v>
      </c>
      <c r="C36" s="24">
        <v>2</v>
      </c>
      <c r="D36" s="26"/>
      <c r="E36" s="26" t="s">
        <v>22</v>
      </c>
      <c r="F36" s="23"/>
      <c r="G36" s="23"/>
      <c r="H36" s="2"/>
      <c r="I36" s="23" t="s">
        <v>103</v>
      </c>
      <c r="J36" s="23"/>
      <c r="K36" s="23"/>
      <c r="L36" s="23"/>
      <c r="M36" s="2"/>
    </row>
    <row r="37" spans="1:28" ht="15" thickBot="1" x14ac:dyDescent="0.35">
      <c r="A37" s="4" t="s">
        <v>41</v>
      </c>
      <c r="B37" s="4">
        <v>2</v>
      </c>
      <c r="C37" s="24">
        <v>1</v>
      </c>
      <c r="D37" s="26"/>
      <c r="E37" s="26" t="s">
        <v>22</v>
      </c>
      <c r="F37" s="23"/>
      <c r="G37" s="23"/>
      <c r="H37" s="2"/>
      <c r="I37" s="23" t="s">
        <v>103</v>
      </c>
      <c r="J37" s="23"/>
      <c r="K37" s="23"/>
      <c r="L37" s="23"/>
      <c r="M37" s="2"/>
    </row>
    <row r="38" spans="1:28" ht="15" thickBot="1" x14ac:dyDescent="0.35">
      <c r="A38" s="4" t="s">
        <v>42</v>
      </c>
      <c r="B38" s="4">
        <v>5</v>
      </c>
      <c r="C38" s="24">
        <v>2</v>
      </c>
      <c r="D38" s="26"/>
      <c r="E38" s="26" t="s">
        <v>44</v>
      </c>
      <c r="F38" s="23"/>
      <c r="G38" s="23"/>
      <c r="H38" s="2"/>
      <c r="I38" s="23" t="s">
        <v>103</v>
      </c>
      <c r="J38" s="23"/>
      <c r="K38" s="23"/>
      <c r="L38" s="23"/>
      <c r="M38" s="2"/>
    </row>
    <row r="39" spans="1:28" ht="15" thickBot="1" x14ac:dyDescent="0.35">
      <c r="O39"/>
      <c r="P39" s="4" t="s">
        <v>61</v>
      </c>
      <c r="Q39" s="4">
        <v>5</v>
      </c>
      <c r="R39" s="24">
        <v>2</v>
      </c>
      <c r="S39" s="26"/>
      <c r="T39" s="26" t="s">
        <v>32</v>
      </c>
      <c r="U39" s="23"/>
      <c r="V39" s="23"/>
      <c r="W39" s="2"/>
      <c r="X39" s="23" t="s">
        <v>76</v>
      </c>
      <c r="Y39" s="23" t="s">
        <v>77</v>
      </c>
      <c r="Z39" s="23" t="s">
        <v>78</v>
      </c>
      <c r="AA39" s="23"/>
      <c r="AB39" s="2"/>
    </row>
    <row r="40" spans="1:28" ht="15" thickBot="1" x14ac:dyDescent="0.35">
      <c r="O40"/>
      <c r="P40" s="4" t="s">
        <v>62</v>
      </c>
      <c r="Q40" s="4">
        <v>2</v>
      </c>
      <c r="R40" s="24">
        <v>1</v>
      </c>
      <c r="S40" s="26"/>
      <c r="T40" s="26" t="s">
        <v>94</v>
      </c>
      <c r="U40" s="23"/>
      <c r="V40" s="23"/>
      <c r="W40" s="2"/>
      <c r="X40" s="23" t="s">
        <v>76</v>
      </c>
      <c r="Y40" s="23" t="s">
        <v>77</v>
      </c>
      <c r="Z40" s="23"/>
      <c r="AA40" s="23"/>
      <c r="AB40" s="2"/>
    </row>
    <row r="41" spans="1:28" ht="15" thickBot="1" x14ac:dyDescent="0.35">
      <c r="O41"/>
      <c r="P41" s="4" t="s">
        <v>62</v>
      </c>
      <c r="Q41" s="4">
        <v>2</v>
      </c>
      <c r="R41" s="24">
        <v>1</v>
      </c>
      <c r="S41" s="26"/>
      <c r="T41" s="26" t="s">
        <v>94</v>
      </c>
      <c r="U41" s="23"/>
      <c r="V41" s="23"/>
      <c r="W41" s="2"/>
      <c r="X41" s="23" t="s">
        <v>78</v>
      </c>
      <c r="Y41" s="23"/>
      <c r="Z41" s="23"/>
      <c r="AA41" s="23"/>
      <c r="AB41" s="2"/>
    </row>
    <row r="42" spans="1:28" ht="15" thickBot="1" x14ac:dyDescent="0.35">
      <c r="O42"/>
      <c r="P42" s="4" t="s">
        <v>64</v>
      </c>
      <c r="Q42" s="4">
        <v>5</v>
      </c>
      <c r="R42" s="24">
        <v>2</v>
      </c>
      <c r="S42" s="26"/>
      <c r="T42" s="26" t="s">
        <v>82</v>
      </c>
      <c r="U42" s="23"/>
      <c r="V42" s="23"/>
      <c r="W42" s="2"/>
      <c r="X42" s="23" t="s">
        <v>76</v>
      </c>
      <c r="Y42" s="23" t="s">
        <v>77</v>
      </c>
      <c r="Z42" s="23"/>
      <c r="AA42" s="23"/>
      <c r="AB42" s="2"/>
    </row>
    <row r="43" spans="1:28" ht="15" thickBot="1" x14ac:dyDescent="0.35">
      <c r="O43"/>
      <c r="P43" s="4" t="s">
        <v>63</v>
      </c>
      <c r="Q43" s="4">
        <v>5</v>
      </c>
      <c r="R43" s="24">
        <v>2</v>
      </c>
      <c r="S43" s="26"/>
      <c r="T43" s="26" t="s">
        <v>44</v>
      </c>
      <c r="U43" s="23"/>
      <c r="V43" s="23"/>
      <c r="W43" s="2"/>
      <c r="X43" s="23" t="s">
        <v>76</v>
      </c>
      <c r="Y43" s="23" t="s">
        <v>77</v>
      </c>
      <c r="Z43" s="23"/>
      <c r="AA43" s="23"/>
      <c r="AB43" s="2"/>
    </row>
    <row r="44" spans="1:28" ht="15" thickBot="1" x14ac:dyDescent="0.35">
      <c r="O44"/>
      <c r="P44" s="4" t="s">
        <v>65</v>
      </c>
      <c r="Q44" s="4">
        <v>5</v>
      </c>
      <c r="R44" s="24">
        <v>2</v>
      </c>
      <c r="S44" s="26"/>
      <c r="T44" s="26" t="s">
        <v>83</v>
      </c>
      <c r="U44" s="23"/>
      <c r="V44" s="23"/>
      <c r="W44" s="2"/>
      <c r="X44" s="23" t="s">
        <v>76</v>
      </c>
      <c r="Y44" s="23"/>
      <c r="Z44" s="23"/>
      <c r="AA44" s="23"/>
      <c r="AB44" s="2"/>
    </row>
    <row r="45" spans="1:28" ht="15" thickBot="1" x14ac:dyDescent="0.35">
      <c r="O45"/>
      <c r="P45" s="4" t="s">
        <v>65</v>
      </c>
      <c r="Q45" s="4">
        <v>5</v>
      </c>
      <c r="R45" s="24">
        <v>2</v>
      </c>
      <c r="S45" s="26"/>
      <c r="T45" s="26" t="s">
        <v>83</v>
      </c>
      <c r="U45" s="23"/>
      <c r="V45" s="23"/>
      <c r="W45" s="2"/>
      <c r="X45" s="23" t="s">
        <v>77</v>
      </c>
      <c r="Y45" s="23"/>
      <c r="Z45" s="23"/>
      <c r="AA45" s="23"/>
      <c r="AB45" s="2"/>
    </row>
    <row r="46" spans="1:28" ht="15" thickBot="1" x14ac:dyDescent="0.35">
      <c r="O46"/>
      <c r="P46" s="4" t="s">
        <v>66</v>
      </c>
      <c r="Q46" s="4">
        <v>3</v>
      </c>
      <c r="R46" s="24">
        <v>1</v>
      </c>
      <c r="S46" s="26"/>
      <c r="T46" s="26" t="s">
        <v>84</v>
      </c>
      <c r="U46" s="23"/>
      <c r="V46" s="23"/>
      <c r="W46" s="2"/>
      <c r="X46" s="23" t="s">
        <v>76</v>
      </c>
      <c r="Y46" s="23"/>
      <c r="Z46" s="23"/>
      <c r="AA46" s="23"/>
      <c r="AB46" s="2"/>
    </row>
    <row r="47" spans="1:28" ht="15" thickBot="1" x14ac:dyDescent="0.35">
      <c r="O47"/>
      <c r="P47" s="4" t="s">
        <v>67</v>
      </c>
      <c r="Q47" s="4">
        <v>4</v>
      </c>
      <c r="R47" s="24">
        <v>2</v>
      </c>
      <c r="S47" s="26"/>
      <c r="T47" s="26" t="s">
        <v>85</v>
      </c>
      <c r="U47" s="23"/>
      <c r="V47" s="23"/>
      <c r="W47" s="2"/>
      <c r="X47" s="23" t="s">
        <v>79</v>
      </c>
      <c r="Y47" s="23"/>
      <c r="Z47" s="23"/>
      <c r="AA47" s="23"/>
      <c r="AB47" s="2"/>
    </row>
    <row r="48" spans="1:28" ht="15" thickBot="1" x14ac:dyDescent="0.35">
      <c r="O48"/>
      <c r="P48" s="4" t="s">
        <v>67</v>
      </c>
      <c r="Q48" s="4">
        <v>4</v>
      </c>
      <c r="R48" s="24">
        <v>2</v>
      </c>
      <c r="S48" s="26"/>
      <c r="T48" s="26" t="s">
        <v>85</v>
      </c>
      <c r="U48" s="23"/>
      <c r="V48" s="23"/>
      <c r="W48" s="2"/>
      <c r="X48" s="23" t="s">
        <v>80</v>
      </c>
      <c r="Y48" s="23" t="s">
        <v>78</v>
      </c>
      <c r="Z48" s="23"/>
      <c r="AA48" s="23"/>
      <c r="AB48" s="2"/>
    </row>
    <row r="49" spans="1:28" ht="15" thickBot="1" x14ac:dyDescent="0.35">
      <c r="O49"/>
      <c r="P49" s="4" t="s">
        <v>67</v>
      </c>
      <c r="Q49" s="4">
        <v>4</v>
      </c>
      <c r="R49" s="24">
        <v>2</v>
      </c>
      <c r="S49" s="26"/>
      <c r="T49" s="26" t="s">
        <v>85</v>
      </c>
      <c r="U49" s="23"/>
      <c r="V49" s="23"/>
      <c r="W49" s="2"/>
      <c r="X49" s="23" t="s">
        <v>76</v>
      </c>
      <c r="Y49" s="23" t="s">
        <v>77</v>
      </c>
      <c r="Z49" s="23"/>
      <c r="AA49" s="23"/>
      <c r="AB49" s="2"/>
    </row>
    <row r="50" spans="1:28" ht="15" thickBot="1" x14ac:dyDescent="0.35">
      <c r="O50"/>
      <c r="P50" s="4" t="s">
        <v>68</v>
      </c>
      <c r="Q50" s="4">
        <v>3</v>
      </c>
      <c r="R50" s="24">
        <v>1</v>
      </c>
      <c r="S50" s="26"/>
      <c r="T50" s="26" t="s">
        <v>86</v>
      </c>
      <c r="U50" s="23"/>
      <c r="V50" s="23"/>
      <c r="W50" s="2"/>
      <c r="X50" s="23" t="s">
        <v>77</v>
      </c>
      <c r="Y50" s="23"/>
      <c r="Z50" s="23"/>
      <c r="AA50" s="23"/>
      <c r="AB50" s="2"/>
    </row>
    <row r="51" spans="1:28" ht="15" thickBot="1" x14ac:dyDescent="0.35">
      <c r="O51"/>
      <c r="P51" s="4" t="s">
        <v>69</v>
      </c>
      <c r="Q51" s="4">
        <v>5</v>
      </c>
      <c r="R51" s="24">
        <v>2</v>
      </c>
      <c r="S51" s="26"/>
      <c r="T51" s="26" t="s">
        <v>30</v>
      </c>
      <c r="U51" s="23" t="s">
        <v>43</v>
      </c>
      <c r="V51" s="23"/>
      <c r="W51" s="2"/>
      <c r="X51" s="23" t="s">
        <v>79</v>
      </c>
      <c r="Y51" s="23"/>
      <c r="Z51" s="23"/>
      <c r="AA51" s="23"/>
      <c r="AB51" s="2"/>
    </row>
    <row r="52" spans="1:28" ht="15" thickBot="1" x14ac:dyDescent="0.35">
      <c r="O52"/>
      <c r="P52" s="4" t="s">
        <v>69</v>
      </c>
      <c r="Q52" s="4">
        <v>5</v>
      </c>
      <c r="R52" s="24">
        <v>2</v>
      </c>
      <c r="S52" s="26"/>
      <c r="T52" s="26" t="s">
        <v>30</v>
      </c>
      <c r="U52" s="23" t="s">
        <v>43</v>
      </c>
      <c r="V52" s="23"/>
      <c r="W52" s="2"/>
      <c r="X52" s="23" t="s">
        <v>80</v>
      </c>
      <c r="Y52" s="23"/>
      <c r="Z52" s="23"/>
      <c r="AA52" s="23"/>
      <c r="AB52" s="2"/>
    </row>
    <row r="53" spans="1:28" ht="15" thickBot="1" x14ac:dyDescent="0.35">
      <c r="O53"/>
      <c r="P53" s="4" t="s">
        <v>70</v>
      </c>
      <c r="Q53" s="4">
        <v>2</v>
      </c>
      <c r="R53" s="24">
        <v>1</v>
      </c>
      <c r="S53" s="26"/>
      <c r="T53" s="26" t="s">
        <v>43</v>
      </c>
      <c r="U53" s="23"/>
      <c r="V53" s="23"/>
      <c r="W53" s="2"/>
      <c r="X53" s="23" t="s">
        <v>79</v>
      </c>
      <c r="Y53" s="23"/>
      <c r="Z53" s="23"/>
      <c r="AA53" s="23"/>
      <c r="AB53" s="2"/>
    </row>
    <row r="54" spans="1:28" ht="15" thickBot="1" x14ac:dyDescent="0.35">
      <c r="O54"/>
      <c r="P54" s="4" t="s">
        <v>70</v>
      </c>
      <c r="Q54" s="4">
        <v>2</v>
      </c>
      <c r="R54" s="24">
        <v>1</v>
      </c>
      <c r="S54" s="26"/>
      <c r="T54" s="26" t="s">
        <v>43</v>
      </c>
      <c r="U54" s="23"/>
      <c r="V54" s="23"/>
      <c r="W54" s="2"/>
      <c r="X54" s="23" t="s">
        <v>80</v>
      </c>
      <c r="Y54" s="23"/>
      <c r="Z54" s="23"/>
      <c r="AA54" s="23"/>
      <c r="AB54" s="2"/>
    </row>
    <row r="55" spans="1:28" ht="15" thickBot="1" x14ac:dyDescent="0.35">
      <c r="O55"/>
      <c r="P55" s="4" t="s">
        <v>71</v>
      </c>
      <c r="Q55" s="4">
        <v>4</v>
      </c>
      <c r="R55" s="24">
        <v>2</v>
      </c>
      <c r="S55" s="26"/>
      <c r="T55" s="26" t="s">
        <v>87</v>
      </c>
      <c r="U55" s="23" t="s">
        <v>88</v>
      </c>
      <c r="V55" s="23"/>
      <c r="W55" s="2"/>
      <c r="X55" s="23" t="s">
        <v>79</v>
      </c>
      <c r="Y55" s="23"/>
      <c r="Z55" s="23"/>
      <c r="AA55" s="23"/>
      <c r="AB55" s="2"/>
    </row>
    <row r="56" spans="1:28" ht="15" thickBot="1" x14ac:dyDescent="0.35">
      <c r="O56"/>
      <c r="P56" s="4" t="s">
        <v>71</v>
      </c>
      <c r="Q56" s="4">
        <v>4</v>
      </c>
      <c r="R56" s="24">
        <v>2</v>
      </c>
      <c r="S56" s="26"/>
      <c r="T56" s="26" t="s">
        <v>87</v>
      </c>
      <c r="U56" s="23" t="s">
        <v>88</v>
      </c>
      <c r="V56" s="23"/>
      <c r="W56" s="2"/>
      <c r="X56" s="23" t="s">
        <v>80</v>
      </c>
      <c r="Y56" s="23"/>
      <c r="Z56" s="23"/>
      <c r="AA56" s="23"/>
      <c r="AB56" s="2"/>
    </row>
    <row r="57" spans="1:28" ht="15" thickBot="1" x14ac:dyDescent="0.35">
      <c r="O57"/>
      <c r="P57" s="4" t="s">
        <v>72</v>
      </c>
      <c r="Q57" s="4">
        <v>6</v>
      </c>
      <c r="R57" s="24">
        <v>2</v>
      </c>
      <c r="S57" s="26"/>
      <c r="T57" s="26" t="s">
        <v>89</v>
      </c>
      <c r="U57" s="23" t="s">
        <v>90</v>
      </c>
      <c r="V57" s="23"/>
      <c r="W57" s="2"/>
      <c r="X57" s="23" t="s">
        <v>79</v>
      </c>
      <c r="Y57" s="23"/>
      <c r="Z57" s="23"/>
      <c r="AA57" s="23"/>
      <c r="AB57" s="2"/>
    </row>
    <row r="58" spans="1:28" ht="15" thickBot="1" x14ac:dyDescent="0.35">
      <c r="O58"/>
      <c r="P58" s="4" t="s">
        <v>72</v>
      </c>
      <c r="Q58" s="4">
        <v>6</v>
      </c>
      <c r="R58" s="24">
        <v>2</v>
      </c>
      <c r="S58" s="26"/>
      <c r="T58" s="26" t="s">
        <v>89</v>
      </c>
      <c r="U58" s="23" t="s">
        <v>90</v>
      </c>
      <c r="V58" s="23"/>
      <c r="W58" s="2"/>
      <c r="X58" s="23" t="s">
        <v>80</v>
      </c>
      <c r="Y58" s="23" t="s">
        <v>78</v>
      </c>
      <c r="Z58" s="23"/>
      <c r="AA58" s="23"/>
      <c r="AB58" s="2"/>
    </row>
    <row r="59" spans="1:28" ht="15" thickBot="1" x14ac:dyDescent="0.35">
      <c r="O59"/>
      <c r="P59" s="4" t="s">
        <v>73</v>
      </c>
      <c r="Q59" s="4">
        <v>5</v>
      </c>
      <c r="R59" s="24">
        <v>2</v>
      </c>
      <c r="S59" s="26"/>
      <c r="T59" s="26" t="s">
        <v>91</v>
      </c>
      <c r="U59" s="23" t="s">
        <v>93</v>
      </c>
      <c r="V59" s="23"/>
      <c r="W59" s="2"/>
      <c r="X59" s="23" t="s">
        <v>79</v>
      </c>
      <c r="Y59" s="23"/>
      <c r="Z59" s="23"/>
      <c r="AA59" s="23"/>
      <c r="AB59" s="2"/>
    </row>
    <row r="60" spans="1:28" ht="15" thickBot="1" x14ac:dyDescent="0.35">
      <c r="O60"/>
      <c r="P60" s="4" t="s">
        <v>73</v>
      </c>
      <c r="Q60" s="4">
        <v>5</v>
      </c>
      <c r="R60" s="24">
        <v>2</v>
      </c>
      <c r="S60" s="26"/>
      <c r="T60" s="26" t="s">
        <v>91</v>
      </c>
      <c r="U60" s="23" t="s">
        <v>93</v>
      </c>
      <c r="V60" s="23"/>
      <c r="W60" s="2"/>
      <c r="X60" s="23" t="s">
        <v>80</v>
      </c>
      <c r="Y60" s="23" t="s">
        <v>78</v>
      </c>
      <c r="Z60" s="23"/>
      <c r="AA60" s="23"/>
      <c r="AB60" s="2"/>
    </row>
    <row r="61" spans="1:28" ht="15" thickBot="1" x14ac:dyDescent="0.35">
      <c r="O61"/>
      <c r="P61" s="4" t="s">
        <v>74</v>
      </c>
      <c r="Q61" s="4">
        <v>5</v>
      </c>
      <c r="R61" s="24">
        <v>2</v>
      </c>
      <c r="S61" s="26"/>
      <c r="T61" s="26" t="s">
        <v>95</v>
      </c>
      <c r="U61" s="23" t="s">
        <v>29</v>
      </c>
      <c r="V61" s="23"/>
      <c r="W61" s="2"/>
      <c r="X61" s="23" t="s">
        <v>79</v>
      </c>
      <c r="Y61" s="23"/>
      <c r="Z61" s="23"/>
      <c r="AA61" s="23"/>
      <c r="AB61" s="2"/>
    </row>
    <row r="62" spans="1:28" ht="15" thickBot="1" x14ac:dyDescent="0.35">
      <c r="O62"/>
      <c r="P62" s="4" t="s">
        <v>74</v>
      </c>
      <c r="Q62" s="4">
        <v>5</v>
      </c>
      <c r="R62" s="24">
        <v>2</v>
      </c>
      <c r="S62" s="26"/>
      <c r="T62" s="26" t="s">
        <v>95</v>
      </c>
      <c r="U62" s="23" t="s">
        <v>29</v>
      </c>
      <c r="V62" s="23"/>
      <c r="W62" s="2"/>
      <c r="X62" s="23" t="s">
        <v>80</v>
      </c>
      <c r="Y62" s="23" t="s">
        <v>78</v>
      </c>
      <c r="Z62" s="23"/>
      <c r="AA62" s="23"/>
      <c r="AB62" s="2"/>
    </row>
    <row r="63" spans="1:28" ht="15" thickBot="1" x14ac:dyDescent="0.35">
      <c r="O63"/>
      <c r="P63" s="4" t="s">
        <v>75</v>
      </c>
      <c r="Q63" s="4">
        <v>3</v>
      </c>
      <c r="R63" s="24">
        <v>1</v>
      </c>
      <c r="S63" s="26"/>
      <c r="T63" s="26" t="s">
        <v>92</v>
      </c>
      <c r="U63" s="23"/>
      <c r="V63" s="23"/>
      <c r="W63" s="2"/>
      <c r="X63" s="23" t="s">
        <v>78</v>
      </c>
      <c r="Y63" s="23"/>
      <c r="Z63" s="23"/>
      <c r="AA63" s="23"/>
      <c r="AB63" s="2"/>
    </row>
    <row r="64" spans="1:28" ht="15" thickBot="1" x14ac:dyDescent="0.35">
      <c r="A64" s="4"/>
      <c r="B64" s="4"/>
      <c r="C64" s="24"/>
      <c r="D64" s="24"/>
      <c r="E64" s="26"/>
      <c r="F64" s="23"/>
      <c r="G64" s="23"/>
      <c r="H64" s="2"/>
      <c r="I64" s="23"/>
      <c r="J64" s="23"/>
      <c r="K64" s="23"/>
      <c r="L64" s="23"/>
      <c r="M64" s="2"/>
    </row>
    <row r="65" spans="1:13" ht="15" thickBot="1" x14ac:dyDescent="0.35">
      <c r="A65" s="4"/>
      <c r="B65" s="4"/>
      <c r="C65" s="24"/>
      <c r="D65" s="24"/>
      <c r="E65" s="26"/>
      <c r="F65" s="23"/>
      <c r="G65" s="23"/>
      <c r="H65" s="2"/>
      <c r="I65" s="23"/>
      <c r="J65" s="23"/>
      <c r="K65" s="23"/>
      <c r="L65" s="23"/>
      <c r="M65" s="2"/>
    </row>
    <row r="66" spans="1:13" ht="15" thickBot="1" x14ac:dyDescent="0.35">
      <c r="A66" s="4"/>
      <c r="B66" s="4"/>
      <c r="C66" s="24"/>
      <c r="D66" s="24"/>
      <c r="E66" s="26"/>
      <c r="F66" s="23"/>
      <c r="G66" s="23"/>
      <c r="H66" s="2"/>
      <c r="I66" s="23"/>
      <c r="J66" s="23"/>
      <c r="K66" s="23"/>
      <c r="L66" s="23"/>
      <c r="M66" s="2"/>
    </row>
    <row r="67" spans="1:13" ht="15" thickBot="1" x14ac:dyDescent="0.35">
      <c r="A67" s="4"/>
      <c r="B67" s="4"/>
      <c r="C67" s="24"/>
      <c r="D67" s="24"/>
      <c r="E67" s="26"/>
      <c r="F67" s="23"/>
      <c r="G67" s="23"/>
      <c r="H67" s="2"/>
      <c r="I67" s="23"/>
      <c r="J67" s="23"/>
      <c r="K67" s="23"/>
      <c r="L67" s="23"/>
      <c r="M67" s="2"/>
    </row>
    <row r="68" spans="1:13" ht="15" thickBot="1" x14ac:dyDescent="0.35">
      <c r="A68" s="4"/>
      <c r="B68" s="4"/>
      <c r="C68" s="24"/>
      <c r="D68" s="24"/>
      <c r="E68" s="26"/>
      <c r="F68" s="23"/>
      <c r="G68" s="23"/>
      <c r="H68" s="2"/>
      <c r="I68" s="23"/>
      <c r="J68" s="23"/>
      <c r="K68" s="23"/>
      <c r="L68" s="23"/>
      <c r="M68" s="2"/>
    </row>
    <row r="69" spans="1:13" ht="15" thickBot="1" x14ac:dyDescent="0.35">
      <c r="A69" s="4"/>
      <c r="B69" s="4"/>
      <c r="C69" s="24"/>
      <c r="D69" s="24"/>
      <c r="E69" s="26"/>
      <c r="F69" s="23"/>
      <c r="G69" s="23"/>
      <c r="H69" s="2"/>
      <c r="I69" s="23"/>
      <c r="J69" s="23"/>
      <c r="K69" s="23"/>
      <c r="L69" s="23"/>
      <c r="M69" s="2"/>
    </row>
    <row r="70" spans="1:13" ht="15" thickBot="1" x14ac:dyDescent="0.35">
      <c r="A70" s="4"/>
      <c r="B70" s="4"/>
      <c r="C70" s="24"/>
      <c r="D70" s="24"/>
      <c r="E70" s="26"/>
      <c r="F70" s="23"/>
      <c r="G70" s="23"/>
      <c r="H70" s="2"/>
      <c r="I70" s="23"/>
      <c r="J70" s="23"/>
      <c r="K70" s="23"/>
      <c r="L70" s="23"/>
      <c r="M70" s="2"/>
    </row>
    <row r="71" spans="1:13" ht="15" thickBot="1" x14ac:dyDescent="0.35">
      <c r="A71" s="4"/>
      <c r="B71" s="4"/>
      <c r="C71" s="24"/>
      <c r="D71" s="24"/>
      <c r="E71" s="26"/>
      <c r="F71" s="23"/>
      <c r="G71" s="23"/>
      <c r="H71" s="2"/>
      <c r="I71" s="23"/>
      <c r="J71" s="23"/>
      <c r="K71" s="23"/>
      <c r="L71" s="23"/>
      <c r="M71" s="2"/>
    </row>
    <row r="72" spans="1:13" ht="15" thickBot="1" x14ac:dyDescent="0.35">
      <c r="A72" s="4"/>
      <c r="B72" s="4"/>
      <c r="C72" s="24"/>
      <c r="D72" s="24"/>
      <c r="E72" s="26"/>
      <c r="F72" s="23"/>
      <c r="G72" s="23"/>
      <c r="H72" s="2"/>
      <c r="I72" s="23"/>
      <c r="J72" s="23"/>
      <c r="K72" s="23"/>
      <c r="L72" s="23"/>
      <c r="M72" s="2"/>
    </row>
    <row r="73" spans="1:13" ht="15" thickBot="1" x14ac:dyDescent="0.35">
      <c r="A73" s="4"/>
      <c r="B73" s="4"/>
      <c r="C73" s="24"/>
      <c r="D73" s="24"/>
      <c r="E73" s="26"/>
      <c r="F73" s="23"/>
      <c r="G73" s="23"/>
      <c r="H73" s="2"/>
      <c r="I73" s="23"/>
      <c r="J73" s="23"/>
      <c r="K73" s="23"/>
      <c r="L73" s="23"/>
      <c r="M73" s="2"/>
    </row>
    <row r="74" spans="1:13" ht="15" thickBot="1" x14ac:dyDescent="0.35">
      <c r="A74" s="4"/>
      <c r="B74" s="4"/>
      <c r="C74" s="24"/>
      <c r="D74" s="24"/>
      <c r="E74" s="26"/>
      <c r="F74" s="23"/>
      <c r="G74" s="23"/>
      <c r="H74" s="2"/>
      <c r="I74" s="23"/>
      <c r="J74" s="23"/>
      <c r="K74" s="23"/>
      <c r="L74" s="23"/>
      <c r="M74" s="2"/>
    </row>
    <row r="75" spans="1:13" ht="15" thickBot="1" x14ac:dyDescent="0.35">
      <c r="A75" s="4"/>
      <c r="B75" s="4"/>
      <c r="C75" s="24"/>
      <c r="D75" s="24"/>
      <c r="E75" s="26"/>
      <c r="F75" s="23"/>
      <c r="G75" s="23"/>
      <c r="H75" s="2"/>
      <c r="I75" s="23"/>
      <c r="J75" s="23"/>
      <c r="K75" s="23"/>
      <c r="L75" s="23"/>
      <c r="M75" s="2"/>
    </row>
    <row r="76" spans="1:13" ht="15" thickBot="1" x14ac:dyDescent="0.35">
      <c r="A76" s="4"/>
      <c r="B76" s="4"/>
      <c r="C76" s="24"/>
      <c r="D76" s="24"/>
      <c r="E76" s="26"/>
      <c r="F76" s="23"/>
      <c r="G76" s="23"/>
      <c r="H76" s="2"/>
      <c r="I76" s="23"/>
      <c r="J76" s="23"/>
      <c r="K76" s="23"/>
      <c r="L76" s="23"/>
      <c r="M76" s="2"/>
    </row>
    <row r="77" spans="1:13" ht="15" thickBot="1" x14ac:dyDescent="0.35">
      <c r="A77" s="4"/>
      <c r="B77" s="4"/>
      <c r="C77" s="24"/>
      <c r="D77" s="24"/>
      <c r="E77" s="26"/>
      <c r="F77" s="23"/>
      <c r="G77" s="23"/>
      <c r="H77" s="2"/>
      <c r="I77" s="23"/>
      <c r="J77" s="23"/>
      <c r="K77" s="23"/>
      <c r="L77" s="23"/>
      <c r="M77" s="2"/>
    </row>
    <row r="78" spans="1:13" ht="15" thickBot="1" x14ac:dyDescent="0.35">
      <c r="A78" s="4"/>
      <c r="B78" s="4"/>
      <c r="C78" s="24"/>
      <c r="D78" s="24"/>
      <c r="E78" s="26"/>
      <c r="F78" s="23"/>
      <c r="G78" s="23"/>
      <c r="H78" s="2"/>
      <c r="I78" s="23"/>
      <c r="J78" s="23"/>
      <c r="K78" s="23"/>
      <c r="L78" s="23"/>
      <c r="M78" s="2"/>
    </row>
    <row r="79" spans="1:13" ht="15" thickBot="1" x14ac:dyDescent="0.35">
      <c r="A79" s="4"/>
      <c r="B79" s="4"/>
      <c r="C79" s="24"/>
      <c r="D79" s="24"/>
      <c r="E79" s="26"/>
      <c r="F79" s="23"/>
      <c r="G79" s="23"/>
      <c r="H79" s="2"/>
      <c r="I79" s="23"/>
      <c r="J79" s="23"/>
      <c r="K79" s="23"/>
      <c r="L79" s="23"/>
      <c r="M79" s="2"/>
    </row>
    <row r="80" spans="1:13" ht="15" thickBot="1" x14ac:dyDescent="0.35">
      <c r="A80" s="4"/>
      <c r="B80" s="4"/>
      <c r="C80" s="24"/>
      <c r="D80" s="24"/>
      <c r="E80" s="26"/>
      <c r="F80" s="23"/>
      <c r="G80" s="23"/>
      <c r="H80" s="2"/>
      <c r="I80" s="23"/>
      <c r="J80" s="23"/>
      <c r="K80" s="23"/>
      <c r="L80" s="23"/>
      <c r="M80" s="2"/>
    </row>
    <row r="81" spans="1:13" ht="15" thickBot="1" x14ac:dyDescent="0.35">
      <c r="A81" s="4"/>
      <c r="B81" s="4"/>
      <c r="C81" s="24"/>
      <c r="D81" s="24"/>
      <c r="E81" s="26"/>
      <c r="F81" s="23"/>
      <c r="G81" s="23"/>
      <c r="H81" s="2"/>
      <c r="I81" s="23"/>
      <c r="J81" s="23"/>
      <c r="K81" s="23"/>
      <c r="L81" s="23"/>
      <c r="M81" s="2"/>
    </row>
    <row r="82" spans="1:13" ht="15" thickBot="1" x14ac:dyDescent="0.35">
      <c r="A82" s="4"/>
      <c r="B82" s="4"/>
      <c r="C82" s="24"/>
      <c r="D82" s="24"/>
      <c r="E82" s="26"/>
      <c r="F82" s="23"/>
      <c r="G82" s="23"/>
      <c r="H82" s="2"/>
      <c r="I82" s="23"/>
      <c r="J82" s="23"/>
      <c r="K82" s="23"/>
      <c r="L82" s="23"/>
      <c r="M82" s="2"/>
    </row>
    <row r="83" spans="1:13" ht="15" thickBot="1" x14ac:dyDescent="0.35">
      <c r="A83" s="4"/>
      <c r="B83" s="4"/>
      <c r="C83" s="24"/>
      <c r="D83" s="24"/>
      <c r="E83" s="26"/>
      <c r="F83" s="23"/>
      <c r="G83" s="23"/>
      <c r="H83" s="2"/>
      <c r="I83" s="23"/>
      <c r="J83" s="23"/>
      <c r="K83" s="23"/>
      <c r="L83" s="23"/>
      <c r="M83" s="2"/>
    </row>
    <row r="84" spans="1:13" ht="15" thickBot="1" x14ac:dyDescent="0.35">
      <c r="A84" s="4"/>
      <c r="B84" s="4"/>
      <c r="C84" s="24"/>
      <c r="D84" s="24"/>
      <c r="E84" s="26"/>
      <c r="F84" s="23"/>
      <c r="G84" s="23"/>
      <c r="H84" s="2"/>
      <c r="I84" s="23"/>
      <c r="J84" s="23"/>
      <c r="K84" s="23"/>
      <c r="L84" s="23"/>
      <c r="M84" s="2"/>
    </row>
    <row r="85" spans="1:13" ht="15" thickBot="1" x14ac:dyDescent="0.35">
      <c r="A85" s="4"/>
      <c r="B85" s="4"/>
      <c r="C85" s="24"/>
      <c r="D85" s="24"/>
      <c r="E85" s="26"/>
      <c r="F85" s="23"/>
      <c r="G85" s="23"/>
      <c r="H85" s="2"/>
      <c r="I85" s="23"/>
      <c r="J85" s="23"/>
      <c r="K85" s="23"/>
      <c r="L85" s="23"/>
      <c r="M85" s="2"/>
    </row>
    <row r="86" spans="1:13" ht="15" thickBot="1" x14ac:dyDescent="0.35">
      <c r="A86" s="4"/>
      <c r="B86" s="4"/>
      <c r="C86" s="24"/>
      <c r="D86" s="24"/>
      <c r="E86" s="26"/>
      <c r="F86" s="23"/>
      <c r="G86" s="23"/>
      <c r="H86" s="2"/>
      <c r="I86" s="23"/>
      <c r="J86" s="23"/>
      <c r="K86" s="23"/>
      <c r="L86" s="23"/>
      <c r="M86" s="2"/>
    </row>
    <row r="87" spans="1:13" ht="15" thickBot="1" x14ac:dyDescent="0.35">
      <c r="A87" s="4"/>
      <c r="B87" s="4"/>
      <c r="C87" s="24"/>
      <c r="D87" s="24"/>
      <c r="E87" s="26"/>
      <c r="F87" s="23"/>
      <c r="G87" s="23"/>
      <c r="H87" s="2"/>
      <c r="I87" s="23"/>
      <c r="J87" s="23"/>
      <c r="K87" s="23"/>
      <c r="L87" s="23"/>
      <c r="M87" s="2"/>
    </row>
    <row r="88" spans="1:13" ht="15" thickBot="1" x14ac:dyDescent="0.35">
      <c r="A88" s="4"/>
      <c r="B88" s="4"/>
      <c r="C88" s="24"/>
      <c r="D88" s="24"/>
      <c r="E88" s="26"/>
      <c r="F88" s="23"/>
      <c r="G88" s="23"/>
      <c r="H88" s="2"/>
      <c r="I88" s="23"/>
      <c r="J88" s="23"/>
      <c r="K88" s="23"/>
      <c r="L88" s="23"/>
      <c r="M88" s="2"/>
    </row>
    <row r="89" spans="1:13" ht="15" thickBot="1" x14ac:dyDescent="0.35">
      <c r="A89" s="4"/>
      <c r="B89" s="4"/>
      <c r="C89" s="24"/>
      <c r="D89" s="24"/>
      <c r="E89" s="26"/>
      <c r="F89" s="23"/>
      <c r="G89" s="23"/>
      <c r="H89" s="2"/>
      <c r="I89" s="23"/>
      <c r="J89" s="23"/>
      <c r="K89" s="23"/>
      <c r="L89" s="23"/>
      <c r="M89" s="2"/>
    </row>
    <row r="90" spans="1:13" ht="15" thickBot="1" x14ac:dyDescent="0.35">
      <c r="A90" s="4"/>
      <c r="B90" s="4"/>
      <c r="C90" s="24"/>
      <c r="D90" s="24"/>
      <c r="E90" s="26"/>
      <c r="F90" s="23"/>
      <c r="G90" s="23"/>
      <c r="H90" s="2"/>
      <c r="I90" s="23"/>
      <c r="J90" s="23"/>
      <c r="K90" s="23"/>
      <c r="L90" s="23"/>
      <c r="M90" s="2"/>
    </row>
    <row r="91" spans="1:13" ht="15" thickBot="1" x14ac:dyDescent="0.35">
      <c r="A91" s="4"/>
      <c r="B91" s="4"/>
      <c r="C91" s="24"/>
      <c r="D91" s="24"/>
      <c r="E91" s="26"/>
      <c r="F91" s="23"/>
      <c r="G91" s="23"/>
      <c r="H91" s="2"/>
      <c r="I91" s="23"/>
      <c r="J91" s="23"/>
      <c r="K91" s="23"/>
      <c r="L91" s="23"/>
      <c r="M91" s="2"/>
    </row>
    <row r="92" spans="1:13" ht="15" thickBot="1" x14ac:dyDescent="0.35">
      <c r="A92" s="4"/>
      <c r="B92" s="4"/>
      <c r="C92" s="24"/>
      <c r="D92" s="24"/>
      <c r="E92" s="26"/>
      <c r="F92" s="23"/>
      <c r="G92" s="23"/>
      <c r="H92" s="2"/>
      <c r="I92" s="23"/>
      <c r="J92" s="23"/>
      <c r="K92" s="23"/>
      <c r="L92" s="23"/>
      <c r="M92" s="2"/>
    </row>
    <row r="93" spans="1:13" ht="15" thickBot="1" x14ac:dyDescent="0.35">
      <c r="A93" s="4"/>
      <c r="B93" s="4"/>
      <c r="C93" s="24"/>
      <c r="D93" s="24"/>
      <c r="E93" s="26"/>
      <c r="F93" s="23"/>
      <c r="G93" s="23"/>
      <c r="H93" s="2"/>
      <c r="I93" s="23"/>
      <c r="J93" s="23"/>
      <c r="K93" s="23"/>
      <c r="L93" s="23"/>
      <c r="M93" s="2"/>
    </row>
    <row r="94" spans="1:13" ht="15" thickBot="1" x14ac:dyDescent="0.35">
      <c r="A94" s="4"/>
      <c r="B94" s="4"/>
      <c r="C94" s="24"/>
      <c r="D94" s="24"/>
      <c r="E94" s="26"/>
      <c r="F94" s="23"/>
      <c r="G94" s="23"/>
      <c r="H94" s="2"/>
      <c r="I94" s="23"/>
      <c r="J94" s="23"/>
      <c r="K94" s="23"/>
      <c r="L94" s="23"/>
      <c r="M94" s="2"/>
    </row>
    <row r="95" spans="1:13" ht="15" thickBot="1" x14ac:dyDescent="0.35">
      <c r="A95" s="4"/>
      <c r="B95" s="4"/>
      <c r="C95" s="24"/>
      <c r="D95" s="24"/>
      <c r="E95" s="26"/>
      <c r="F95" s="23"/>
      <c r="G95" s="23"/>
      <c r="H95" s="2"/>
      <c r="I95" s="23"/>
      <c r="J95" s="23"/>
      <c r="K95" s="23"/>
      <c r="L95" s="23"/>
      <c r="M95" s="2"/>
    </row>
    <row r="96" spans="1:13" ht="15" thickBot="1" x14ac:dyDescent="0.35">
      <c r="A96" s="4"/>
      <c r="B96" s="4"/>
      <c r="C96" s="24"/>
      <c r="D96" s="24"/>
      <c r="E96" s="26"/>
      <c r="F96" s="23"/>
      <c r="G96" s="23"/>
      <c r="H96" s="2"/>
      <c r="I96" s="23"/>
      <c r="J96" s="23"/>
      <c r="K96" s="23"/>
      <c r="L96" s="23"/>
      <c r="M96" s="2"/>
    </row>
    <row r="97" spans="1:13" ht="15" thickBot="1" x14ac:dyDescent="0.35">
      <c r="A97" s="4"/>
      <c r="B97" s="4"/>
      <c r="C97" s="24"/>
      <c r="D97" s="24"/>
      <c r="E97" s="26"/>
      <c r="F97" s="23"/>
      <c r="G97" s="23"/>
      <c r="H97" s="2"/>
      <c r="I97" s="23"/>
      <c r="J97" s="23"/>
      <c r="K97" s="23"/>
      <c r="L97" s="23"/>
      <c r="M97" s="2"/>
    </row>
    <row r="98" spans="1:13" ht="15" thickBot="1" x14ac:dyDescent="0.35">
      <c r="A98" s="4"/>
      <c r="B98" s="4"/>
      <c r="C98" s="24"/>
      <c r="D98" s="24"/>
      <c r="E98" s="26"/>
      <c r="F98" s="23"/>
      <c r="G98" s="23"/>
      <c r="H98" s="2"/>
      <c r="I98" s="23"/>
      <c r="J98" s="23"/>
      <c r="K98" s="23"/>
      <c r="L98" s="23"/>
      <c r="M98" s="2"/>
    </row>
    <row r="99" spans="1:13" ht="15" thickBot="1" x14ac:dyDescent="0.35">
      <c r="A99" s="4"/>
      <c r="B99" s="4"/>
      <c r="C99" s="24"/>
      <c r="D99" s="24"/>
      <c r="E99" s="26"/>
      <c r="F99" s="23"/>
      <c r="G99" s="23"/>
      <c r="H99" s="2"/>
      <c r="I99" s="23"/>
      <c r="J99" s="23"/>
      <c r="K99" s="23"/>
      <c r="L99" s="23"/>
      <c r="M99" s="2"/>
    </row>
    <row r="100" spans="1:13" ht="15" thickBot="1" x14ac:dyDescent="0.35">
      <c r="A100" s="4"/>
      <c r="B100" s="4"/>
      <c r="C100" s="24"/>
      <c r="D100" s="24"/>
      <c r="E100" s="26"/>
      <c r="F100" s="23"/>
      <c r="G100" s="23"/>
      <c r="H100" s="2"/>
      <c r="I100" s="23"/>
      <c r="J100" s="23"/>
      <c r="K100" s="23"/>
      <c r="L100" s="23"/>
      <c r="M100" s="2"/>
    </row>
    <row r="101" spans="1:13" ht="15" thickBot="1" x14ac:dyDescent="0.35">
      <c r="A101" s="4"/>
      <c r="B101" s="4"/>
      <c r="C101" s="24"/>
      <c r="D101" s="24"/>
      <c r="E101" s="26"/>
      <c r="F101" s="23"/>
      <c r="G101" s="23"/>
      <c r="H101" s="2"/>
      <c r="I101" s="23"/>
      <c r="J101" s="23"/>
      <c r="K101" s="23"/>
      <c r="L101" s="23"/>
      <c r="M101" s="2"/>
    </row>
    <row r="102" spans="1:13" ht="15" thickBot="1" x14ac:dyDescent="0.35">
      <c r="A102" s="4"/>
      <c r="B102" s="4"/>
      <c r="C102" s="24"/>
      <c r="D102" s="24"/>
      <c r="E102" s="26"/>
      <c r="F102" s="23"/>
      <c r="G102" s="23"/>
      <c r="H102" s="2"/>
      <c r="I102" s="23"/>
      <c r="J102" s="23"/>
      <c r="K102" s="23"/>
      <c r="L102" s="23"/>
      <c r="M102" s="2"/>
    </row>
    <row r="103" spans="1:13" ht="15" thickBot="1" x14ac:dyDescent="0.35">
      <c r="A103" s="4"/>
      <c r="B103" s="4"/>
      <c r="C103" s="24"/>
      <c r="D103" s="24"/>
      <c r="E103" s="26"/>
      <c r="F103" s="23"/>
      <c r="G103" s="23"/>
      <c r="H103" s="2"/>
      <c r="I103" s="23"/>
      <c r="J103" s="23"/>
      <c r="K103" s="23"/>
      <c r="L103" s="23"/>
      <c r="M103" s="2"/>
    </row>
    <row r="104" spans="1:13" ht="15" thickBot="1" x14ac:dyDescent="0.35">
      <c r="A104" s="4"/>
      <c r="B104" s="4"/>
      <c r="C104" s="24"/>
      <c r="D104" s="24"/>
      <c r="E104" s="26"/>
      <c r="F104" s="23"/>
      <c r="G104" s="23"/>
      <c r="H104" s="2"/>
      <c r="I104" s="23"/>
      <c r="J104" s="23"/>
      <c r="K104" s="23"/>
      <c r="L104" s="23"/>
      <c r="M104" s="2"/>
    </row>
    <row r="105" spans="1:13" ht="15" thickBot="1" x14ac:dyDescent="0.35">
      <c r="A105" s="4"/>
      <c r="B105" s="4"/>
      <c r="C105" s="24"/>
      <c r="D105" s="24"/>
      <c r="E105" s="26"/>
      <c r="F105" s="23"/>
      <c r="G105" s="23"/>
      <c r="H105" s="2"/>
      <c r="I105" s="23"/>
      <c r="J105" s="23"/>
      <c r="K105" s="23"/>
      <c r="L105" s="23"/>
      <c r="M105" s="2"/>
    </row>
    <row r="106" spans="1:13" ht="15" thickBot="1" x14ac:dyDescent="0.35">
      <c r="A106" s="4"/>
      <c r="B106" s="4"/>
      <c r="C106" s="24"/>
      <c r="D106" s="24"/>
      <c r="E106" s="26"/>
      <c r="F106" s="23"/>
      <c r="G106" s="23"/>
      <c r="H106" s="2"/>
      <c r="I106" s="23"/>
      <c r="J106" s="23"/>
      <c r="K106" s="23"/>
      <c r="L106" s="23"/>
      <c r="M106" s="2"/>
    </row>
    <row r="107" spans="1:13" ht="15" thickBot="1" x14ac:dyDescent="0.35">
      <c r="A107" s="4"/>
      <c r="B107" s="4"/>
      <c r="C107" s="24"/>
      <c r="D107" s="24"/>
      <c r="E107" s="26"/>
      <c r="F107" s="23"/>
      <c r="G107" s="23"/>
      <c r="H107" s="2"/>
      <c r="I107" s="23"/>
      <c r="J107" s="23"/>
      <c r="K107" s="23"/>
      <c r="L107" s="23"/>
      <c r="M107" s="2"/>
    </row>
    <row r="108" spans="1:13" ht="15" thickBot="1" x14ac:dyDescent="0.35">
      <c r="A108" s="4"/>
      <c r="B108" s="4"/>
      <c r="C108" s="24"/>
      <c r="D108" s="24"/>
      <c r="E108" s="26"/>
      <c r="F108" s="23"/>
      <c r="G108" s="23"/>
      <c r="H108" s="2"/>
      <c r="I108" s="23"/>
      <c r="J108" s="23"/>
      <c r="K108" s="23"/>
      <c r="L108" s="23"/>
      <c r="M108" s="2"/>
    </row>
    <row r="109" spans="1:13" ht="15" thickBot="1" x14ac:dyDescent="0.35">
      <c r="A109" s="4"/>
      <c r="B109" s="4"/>
      <c r="C109" s="24"/>
      <c r="D109" s="24"/>
      <c r="E109" s="26"/>
      <c r="F109" s="23"/>
      <c r="G109" s="23"/>
      <c r="H109" s="2"/>
      <c r="I109" s="23"/>
      <c r="J109" s="23"/>
      <c r="K109" s="23"/>
      <c r="L109" s="23"/>
      <c r="M109" s="2"/>
    </row>
    <row r="110" spans="1:13" ht="15" thickBot="1" x14ac:dyDescent="0.35">
      <c r="A110" s="4"/>
      <c r="B110" s="4"/>
      <c r="C110" s="24"/>
      <c r="D110" s="24"/>
      <c r="E110" s="26"/>
      <c r="F110" s="23"/>
      <c r="G110" s="23"/>
      <c r="H110" s="2"/>
      <c r="I110" s="23"/>
      <c r="J110" s="23"/>
      <c r="K110" s="23"/>
      <c r="L110" s="23"/>
      <c r="M110" s="2"/>
    </row>
    <row r="111" spans="1:13" ht="15" thickBot="1" x14ac:dyDescent="0.35">
      <c r="A111" s="4"/>
      <c r="B111" s="4"/>
      <c r="C111" s="24"/>
      <c r="D111" s="24"/>
      <c r="E111" s="26"/>
      <c r="F111" s="23"/>
      <c r="G111" s="23"/>
      <c r="H111" s="2"/>
      <c r="I111" s="23"/>
      <c r="J111" s="23"/>
      <c r="K111" s="23"/>
      <c r="L111" s="23"/>
      <c r="M111" s="2"/>
    </row>
    <row r="112" spans="1:13" ht="15" thickBot="1" x14ac:dyDescent="0.35">
      <c r="A112" s="4"/>
      <c r="B112" s="4"/>
      <c r="C112" s="24"/>
      <c r="D112" s="24"/>
      <c r="E112" s="26"/>
      <c r="F112" s="23"/>
      <c r="G112" s="23"/>
      <c r="H112" s="2"/>
      <c r="I112" s="23"/>
      <c r="J112" s="23"/>
      <c r="K112" s="23"/>
      <c r="L112" s="23"/>
      <c r="M112" s="2"/>
    </row>
    <row r="113" spans="1:13" ht="15" thickBot="1" x14ac:dyDescent="0.35">
      <c r="A113" s="4"/>
      <c r="B113" s="4"/>
      <c r="C113" s="24"/>
      <c r="D113" s="24"/>
      <c r="E113" s="26"/>
      <c r="F113" s="23"/>
      <c r="G113" s="23"/>
      <c r="H113" s="2"/>
      <c r="I113" s="23"/>
      <c r="J113" s="23"/>
      <c r="K113" s="23"/>
      <c r="L113" s="23"/>
      <c r="M113" s="2"/>
    </row>
    <row r="114" spans="1:13" ht="15" thickBot="1" x14ac:dyDescent="0.35">
      <c r="A114" s="4"/>
      <c r="B114" s="4"/>
      <c r="C114" s="24"/>
      <c r="D114" s="24"/>
      <c r="E114" s="26"/>
      <c r="F114" s="23"/>
      <c r="G114" s="23"/>
      <c r="H114" s="2"/>
      <c r="I114" s="23"/>
      <c r="J114" s="23"/>
      <c r="K114" s="23"/>
      <c r="L114" s="23"/>
      <c r="M114" s="2"/>
    </row>
    <row r="115" spans="1:13" ht="15" thickBot="1" x14ac:dyDescent="0.35">
      <c r="A115" s="4"/>
      <c r="B115" s="4"/>
      <c r="C115" s="24"/>
      <c r="D115" s="24"/>
      <c r="E115" s="26"/>
      <c r="F115" s="23"/>
      <c r="G115" s="23"/>
      <c r="H115" s="2"/>
      <c r="I115" s="23"/>
      <c r="J115" s="23"/>
      <c r="K115" s="23"/>
      <c r="L115" s="23"/>
      <c r="M115" s="2"/>
    </row>
    <row r="116" spans="1:13" ht="15" thickBot="1" x14ac:dyDescent="0.35">
      <c r="A116" s="4"/>
      <c r="B116" s="4"/>
      <c r="C116" s="24"/>
      <c r="D116" s="24"/>
      <c r="E116" s="26"/>
      <c r="F116" s="23"/>
      <c r="G116" s="23"/>
      <c r="H116" s="2"/>
      <c r="I116" s="23"/>
      <c r="J116" s="23"/>
      <c r="K116" s="23"/>
      <c r="L116" s="23"/>
      <c r="M116" s="2"/>
    </row>
    <row r="117" spans="1:13" ht="15" thickBot="1" x14ac:dyDescent="0.35">
      <c r="A117" s="4"/>
      <c r="B117" s="4"/>
      <c r="C117" s="24"/>
      <c r="D117" s="24"/>
      <c r="E117" s="26"/>
      <c r="F117" s="23"/>
      <c r="G117" s="23"/>
      <c r="H117" s="2"/>
      <c r="I117" s="23"/>
      <c r="J117" s="23"/>
      <c r="K117" s="23"/>
      <c r="L117" s="23"/>
      <c r="M117" s="2"/>
    </row>
    <row r="118" spans="1:13" ht="15" thickBot="1" x14ac:dyDescent="0.35">
      <c r="A118" s="4"/>
      <c r="B118" s="4"/>
      <c r="C118" s="24"/>
      <c r="D118" s="24"/>
      <c r="E118" s="26"/>
      <c r="F118" s="23"/>
      <c r="G118" s="23"/>
      <c r="H118" s="2"/>
      <c r="I118" s="23"/>
      <c r="J118" s="23"/>
      <c r="K118" s="23"/>
      <c r="L118" s="23"/>
      <c r="M118" s="2"/>
    </row>
    <row r="119" spans="1:13" ht="15" thickBot="1" x14ac:dyDescent="0.35">
      <c r="A119" s="4"/>
      <c r="B119" s="4"/>
      <c r="C119" s="24"/>
      <c r="D119" s="24"/>
      <c r="E119" s="26"/>
      <c r="F119" s="23"/>
      <c r="G119" s="23"/>
      <c r="H119" s="2"/>
      <c r="I119" s="23"/>
      <c r="J119" s="23"/>
      <c r="K119" s="23"/>
      <c r="L119" s="23"/>
      <c r="M119" s="2"/>
    </row>
    <row r="120" spans="1:13" ht="15" thickBot="1" x14ac:dyDescent="0.35">
      <c r="A120" s="4"/>
      <c r="B120" s="4"/>
      <c r="C120" s="24"/>
      <c r="D120" s="24"/>
      <c r="E120" s="26"/>
      <c r="F120" s="23"/>
      <c r="G120" s="23"/>
      <c r="H120" s="2"/>
      <c r="I120" s="23"/>
      <c r="J120" s="23"/>
      <c r="K120" s="23"/>
      <c r="L120" s="23"/>
      <c r="M120" s="2"/>
    </row>
    <row r="121" spans="1:13" ht="15" thickBot="1" x14ac:dyDescent="0.35">
      <c r="A121" s="4"/>
      <c r="B121" s="4"/>
      <c r="C121" s="24"/>
      <c r="D121" s="24"/>
      <c r="E121" s="26"/>
      <c r="F121" s="23"/>
      <c r="G121" s="23"/>
      <c r="H121" s="2"/>
      <c r="I121" s="23"/>
      <c r="J121" s="23"/>
      <c r="K121" s="23"/>
      <c r="L121" s="23"/>
      <c r="M121" s="2"/>
    </row>
    <row r="122" spans="1:13" ht="15" thickBot="1" x14ac:dyDescent="0.35">
      <c r="A122" s="4"/>
      <c r="B122" s="4"/>
      <c r="C122" s="24"/>
      <c r="D122" s="24"/>
      <c r="E122" s="26"/>
      <c r="F122" s="23"/>
      <c r="G122" s="23"/>
      <c r="H122" s="2"/>
      <c r="I122" s="23"/>
      <c r="J122" s="23"/>
      <c r="K122" s="23"/>
      <c r="L122" s="23"/>
      <c r="M122" s="2"/>
    </row>
    <row r="123" spans="1:13" ht="15" thickBot="1" x14ac:dyDescent="0.35">
      <c r="A123" s="4"/>
      <c r="B123" s="4"/>
      <c r="C123" s="24"/>
      <c r="D123" s="24"/>
      <c r="E123" s="26"/>
      <c r="F123" s="23"/>
      <c r="G123" s="23"/>
      <c r="H123" s="2"/>
      <c r="I123" s="23"/>
      <c r="J123" s="23"/>
      <c r="K123" s="23"/>
      <c r="L123" s="23"/>
      <c r="M123" s="2"/>
    </row>
    <row r="124" spans="1:13" ht="15" thickBot="1" x14ac:dyDescent="0.35">
      <c r="A124" s="4"/>
      <c r="B124" s="4"/>
      <c r="C124" s="24"/>
      <c r="D124" s="24"/>
      <c r="E124" s="26"/>
      <c r="F124" s="23"/>
      <c r="G124" s="23"/>
      <c r="H124" s="2"/>
      <c r="I124" s="23"/>
      <c r="J124" s="23"/>
      <c r="K124" s="23"/>
      <c r="L124" s="23"/>
      <c r="M124" s="2"/>
    </row>
    <row r="125" spans="1:13" ht="15" thickBot="1" x14ac:dyDescent="0.35">
      <c r="A125" s="4"/>
      <c r="B125" s="4"/>
      <c r="C125" s="24"/>
      <c r="D125" s="24"/>
      <c r="E125" s="26"/>
      <c r="F125" s="23"/>
      <c r="G125" s="23"/>
      <c r="H125" s="2"/>
      <c r="I125" s="23"/>
      <c r="J125" s="23"/>
      <c r="K125" s="23"/>
      <c r="L125" s="23"/>
      <c r="M125" s="2"/>
    </row>
    <row r="126" spans="1:13" ht="15" thickBot="1" x14ac:dyDescent="0.35">
      <c r="A126" s="4"/>
      <c r="B126" s="4"/>
      <c r="C126" s="24"/>
      <c r="D126" s="24"/>
      <c r="E126" s="26"/>
      <c r="F126" s="23"/>
      <c r="G126" s="23"/>
      <c r="H126" s="2"/>
      <c r="I126" s="23"/>
      <c r="J126" s="23"/>
      <c r="K126" s="23"/>
      <c r="L126" s="23"/>
      <c r="M126" s="2"/>
    </row>
    <row r="127" spans="1:13" ht="15" thickBot="1" x14ac:dyDescent="0.35">
      <c r="A127" s="4"/>
      <c r="B127" s="4"/>
      <c r="C127" s="24"/>
      <c r="D127" s="24"/>
      <c r="E127" s="26"/>
      <c r="F127" s="23"/>
      <c r="G127" s="23"/>
      <c r="H127" s="2"/>
      <c r="I127" s="23"/>
      <c r="J127" s="23"/>
      <c r="K127" s="23"/>
      <c r="L127" s="23"/>
      <c r="M127" s="2"/>
    </row>
    <row r="128" spans="1:13" ht="15" thickBot="1" x14ac:dyDescent="0.35">
      <c r="A128" s="4"/>
      <c r="B128" s="4"/>
      <c r="C128" s="24"/>
      <c r="D128" s="24"/>
      <c r="E128" s="26"/>
      <c r="F128" s="23"/>
      <c r="G128" s="23"/>
      <c r="H128" s="2"/>
      <c r="I128" s="23"/>
      <c r="J128" s="23"/>
      <c r="K128" s="23"/>
      <c r="L128" s="23"/>
      <c r="M128" s="2"/>
    </row>
    <row r="129" spans="1:13" ht="15" thickBot="1" x14ac:dyDescent="0.35">
      <c r="A129" s="4"/>
      <c r="B129" s="4"/>
      <c r="C129" s="24"/>
      <c r="D129" s="24"/>
      <c r="E129" s="26"/>
      <c r="F129" s="23"/>
      <c r="G129" s="23"/>
      <c r="H129" s="2"/>
      <c r="I129" s="23"/>
      <c r="J129" s="23"/>
      <c r="K129" s="23"/>
      <c r="L129" s="23"/>
      <c r="M129" s="2"/>
    </row>
    <row r="130" spans="1:13" ht="15" thickBot="1" x14ac:dyDescent="0.35">
      <c r="A130" s="4"/>
      <c r="B130" s="4"/>
      <c r="C130" s="24"/>
      <c r="D130" s="24"/>
      <c r="E130" s="26"/>
      <c r="F130" s="23"/>
      <c r="G130" s="23"/>
      <c r="H130" s="2"/>
      <c r="I130" s="23"/>
      <c r="J130" s="23"/>
      <c r="K130" s="23"/>
      <c r="L130" s="23"/>
      <c r="M130" s="2"/>
    </row>
    <row r="131" spans="1:13" ht="15" thickBot="1" x14ac:dyDescent="0.35">
      <c r="A131" s="4"/>
      <c r="B131" s="4"/>
      <c r="C131" s="24"/>
      <c r="D131" s="24"/>
      <c r="E131" s="26"/>
      <c r="F131" s="23"/>
      <c r="G131" s="23"/>
      <c r="H131" s="2"/>
      <c r="I131" s="23"/>
      <c r="J131" s="23"/>
      <c r="K131" s="23"/>
      <c r="L131" s="23"/>
      <c r="M131" s="2"/>
    </row>
    <row r="132" spans="1:13" ht="15" thickBot="1" x14ac:dyDescent="0.35">
      <c r="A132" s="4"/>
      <c r="B132" s="4"/>
      <c r="C132" s="24"/>
      <c r="D132" s="24"/>
      <c r="E132" s="26"/>
      <c r="F132" s="23"/>
      <c r="G132" s="23"/>
      <c r="H132" s="2"/>
      <c r="I132" s="23"/>
      <c r="J132" s="23"/>
      <c r="K132" s="23"/>
      <c r="L132" s="23"/>
      <c r="M132" s="2"/>
    </row>
    <row r="133" spans="1:13" ht="15" thickBot="1" x14ac:dyDescent="0.35">
      <c r="A133" s="4"/>
      <c r="B133" s="4"/>
      <c r="C133" s="24"/>
      <c r="D133" s="24"/>
      <c r="E133" s="26"/>
      <c r="F133" s="23"/>
      <c r="G133" s="23"/>
      <c r="H133" s="2"/>
      <c r="I133" s="23"/>
      <c r="J133" s="23"/>
      <c r="K133" s="23"/>
      <c r="L133" s="23"/>
      <c r="M133" s="2"/>
    </row>
    <row r="134" spans="1:13" ht="15" thickBot="1" x14ac:dyDescent="0.35">
      <c r="A134" s="4"/>
      <c r="B134" s="4"/>
      <c r="C134" s="24"/>
      <c r="D134" s="24"/>
      <c r="E134" s="26"/>
      <c r="F134" s="23"/>
      <c r="G134" s="23"/>
      <c r="H134" s="2"/>
      <c r="I134" s="23"/>
      <c r="J134" s="23"/>
      <c r="K134" s="23"/>
      <c r="L134" s="23"/>
      <c r="M134" s="2"/>
    </row>
    <row r="135" spans="1:13" ht="15" thickBot="1" x14ac:dyDescent="0.35">
      <c r="A135" s="4"/>
      <c r="B135" s="4"/>
      <c r="C135" s="24"/>
      <c r="D135" s="24"/>
      <c r="E135" s="26"/>
      <c r="F135" s="23"/>
      <c r="G135" s="23"/>
      <c r="H135" s="2"/>
      <c r="I135" s="23"/>
      <c r="J135" s="23"/>
      <c r="K135" s="23"/>
      <c r="L135" s="23"/>
      <c r="M135" s="2"/>
    </row>
    <row r="136" spans="1:13" ht="15" thickBot="1" x14ac:dyDescent="0.35">
      <c r="A136" s="4"/>
      <c r="B136" s="4"/>
      <c r="C136" s="24"/>
      <c r="D136" s="24"/>
      <c r="E136" s="26"/>
      <c r="F136" s="23"/>
      <c r="G136" s="23"/>
      <c r="H136" s="2"/>
      <c r="I136" s="23"/>
      <c r="J136" s="23"/>
      <c r="K136" s="23"/>
      <c r="L136" s="23"/>
      <c r="M136" s="2"/>
    </row>
    <row r="137" spans="1:13" ht="15" thickBot="1" x14ac:dyDescent="0.35">
      <c r="A137" s="4"/>
      <c r="B137" s="4"/>
      <c r="C137" s="24"/>
      <c r="D137" s="24"/>
      <c r="E137" s="26"/>
      <c r="F137" s="23"/>
      <c r="G137" s="23"/>
      <c r="H137" s="2"/>
      <c r="I137" s="23"/>
      <c r="J137" s="23"/>
      <c r="K137" s="23"/>
      <c r="L137" s="23"/>
      <c r="M137" s="2"/>
    </row>
    <row r="138" spans="1:13" ht="15" thickBot="1" x14ac:dyDescent="0.35">
      <c r="A138" s="4"/>
      <c r="B138" s="4"/>
      <c r="C138" s="24"/>
      <c r="D138" s="24"/>
      <c r="E138" s="26"/>
      <c r="F138" s="23"/>
      <c r="G138" s="23"/>
      <c r="H138" s="2"/>
      <c r="I138" s="23"/>
      <c r="J138" s="23"/>
      <c r="K138" s="23"/>
      <c r="L138" s="23"/>
      <c r="M138" s="2"/>
    </row>
    <row r="139" spans="1:13" ht="15" thickBot="1" x14ac:dyDescent="0.35">
      <c r="A139" s="4"/>
      <c r="B139" s="4"/>
      <c r="C139" s="24"/>
      <c r="D139" s="24"/>
      <c r="E139" s="26"/>
      <c r="F139" s="23"/>
      <c r="G139" s="23"/>
      <c r="H139" s="2"/>
      <c r="I139" s="23"/>
      <c r="J139" s="23"/>
      <c r="K139" s="23"/>
      <c r="L139" s="23"/>
      <c r="M139" s="2"/>
    </row>
    <row r="140" spans="1:13" ht="15" thickBot="1" x14ac:dyDescent="0.35">
      <c r="A140" s="4"/>
      <c r="B140" s="4"/>
      <c r="C140" s="24"/>
      <c r="D140" s="24"/>
      <c r="E140" s="26"/>
      <c r="F140" s="23"/>
      <c r="G140" s="23"/>
      <c r="H140" s="2"/>
      <c r="I140" s="23"/>
      <c r="J140" s="23"/>
      <c r="K140" s="23"/>
      <c r="L140" s="23"/>
      <c r="M140" s="2"/>
    </row>
    <row r="141" spans="1:13" ht="15" thickBot="1" x14ac:dyDescent="0.35">
      <c r="A141" s="4"/>
      <c r="B141" s="4"/>
      <c r="C141" s="24"/>
      <c r="D141" s="24"/>
      <c r="E141" s="26"/>
      <c r="F141" s="23"/>
      <c r="G141" s="23"/>
      <c r="H141" s="2"/>
      <c r="I141" s="23"/>
      <c r="J141" s="23"/>
      <c r="K141" s="23"/>
      <c r="L141" s="23"/>
      <c r="M141" s="2"/>
    </row>
    <row r="142" spans="1:13" ht="15" thickBot="1" x14ac:dyDescent="0.35">
      <c r="A142" s="4"/>
      <c r="B142" s="4"/>
      <c r="C142" s="24"/>
      <c r="D142" s="24"/>
      <c r="E142" s="26"/>
      <c r="F142" s="23"/>
      <c r="G142" s="23"/>
      <c r="H142" s="2"/>
      <c r="I142" s="23"/>
      <c r="J142" s="23"/>
      <c r="K142" s="23"/>
      <c r="L142" s="23"/>
      <c r="M142" s="2"/>
    </row>
    <row r="143" spans="1:13" ht="15" thickBot="1" x14ac:dyDescent="0.35">
      <c r="A143" s="4"/>
      <c r="B143" s="4"/>
      <c r="C143" s="24"/>
      <c r="D143" s="24"/>
      <c r="E143" s="26"/>
      <c r="F143" s="23"/>
      <c r="G143" s="23"/>
      <c r="H143" s="2"/>
      <c r="I143" s="23"/>
      <c r="J143" s="23"/>
      <c r="K143" s="23"/>
      <c r="L143" s="23"/>
      <c r="M143" s="2"/>
    </row>
    <row r="144" spans="1:13" ht="15" thickBot="1" x14ac:dyDescent="0.35">
      <c r="A144" s="4"/>
      <c r="B144" s="4"/>
      <c r="C144" s="24"/>
      <c r="D144" s="24"/>
      <c r="E144" s="26"/>
      <c r="F144" s="23"/>
      <c r="G144" s="23"/>
      <c r="H144" s="2"/>
      <c r="I144" s="23"/>
      <c r="J144" s="23"/>
      <c r="K144" s="23"/>
      <c r="L144" s="23"/>
      <c r="M144" s="2"/>
    </row>
    <row r="145" spans="1:13" ht="15" thickBot="1" x14ac:dyDescent="0.35">
      <c r="A145" s="4"/>
      <c r="B145" s="4"/>
      <c r="C145" s="24"/>
      <c r="D145" s="24"/>
      <c r="E145" s="26"/>
      <c r="F145" s="23"/>
      <c r="G145" s="23"/>
      <c r="H145" s="2"/>
      <c r="I145" s="23"/>
      <c r="J145" s="23"/>
      <c r="K145" s="23"/>
      <c r="L145" s="23"/>
      <c r="M145" s="2"/>
    </row>
    <row r="146" spans="1:13" ht="15" thickBot="1" x14ac:dyDescent="0.35">
      <c r="A146" s="4"/>
      <c r="B146" s="4"/>
      <c r="C146" s="24"/>
      <c r="D146" s="24"/>
      <c r="E146" s="26"/>
      <c r="F146" s="23"/>
      <c r="G146" s="23"/>
      <c r="H146" s="2"/>
      <c r="I146" s="23"/>
      <c r="J146" s="23"/>
      <c r="K146" s="23"/>
      <c r="L146" s="23"/>
      <c r="M146" s="2"/>
    </row>
    <row r="147" spans="1:13" ht="15" thickBot="1" x14ac:dyDescent="0.35">
      <c r="A147" s="4"/>
      <c r="B147" s="4"/>
      <c r="C147" s="24"/>
      <c r="D147" s="24"/>
      <c r="E147" s="26"/>
      <c r="F147" s="23"/>
      <c r="G147" s="23"/>
      <c r="H147" s="2"/>
      <c r="I147" s="23"/>
      <c r="J147" s="23"/>
      <c r="K147" s="23"/>
      <c r="L147" s="23"/>
      <c r="M147" s="2"/>
    </row>
    <row r="148" spans="1:13" ht="15" thickBot="1" x14ac:dyDescent="0.35">
      <c r="A148" s="4"/>
      <c r="B148" s="4"/>
      <c r="C148" s="24"/>
      <c r="D148" s="24"/>
      <c r="E148" s="26"/>
      <c r="F148" s="23"/>
      <c r="G148" s="23"/>
      <c r="H148" s="2"/>
      <c r="I148" s="23"/>
      <c r="J148" s="23"/>
      <c r="K148" s="23"/>
      <c r="L148" s="23"/>
      <c r="M148" s="2"/>
    </row>
    <row r="149" spans="1:13" ht="15" thickBot="1" x14ac:dyDescent="0.35">
      <c r="A149" s="4"/>
      <c r="B149" s="4"/>
      <c r="C149" s="24"/>
      <c r="D149" s="24"/>
      <c r="E149" s="26"/>
      <c r="F149" s="23"/>
      <c r="G149" s="23"/>
      <c r="H149" s="2"/>
      <c r="I149" s="23"/>
      <c r="J149" s="23"/>
      <c r="K149" s="23"/>
      <c r="L149" s="23"/>
      <c r="M149" s="2"/>
    </row>
    <row r="150" spans="1:13" ht="15" thickBot="1" x14ac:dyDescent="0.35">
      <c r="A150" s="4"/>
      <c r="B150" s="4"/>
      <c r="C150" s="24"/>
      <c r="D150" s="24"/>
      <c r="E150" s="26"/>
      <c r="F150" s="23"/>
      <c r="G150" s="23"/>
      <c r="H150" s="2"/>
      <c r="I150" s="23"/>
      <c r="J150" s="23"/>
      <c r="K150" s="23"/>
      <c r="L150" s="23"/>
      <c r="M150" s="2"/>
    </row>
    <row r="151" spans="1:13" ht="15" thickBot="1" x14ac:dyDescent="0.35">
      <c r="A151" s="4"/>
      <c r="B151" s="4"/>
      <c r="C151" s="24"/>
      <c r="D151" s="24"/>
      <c r="E151" s="26"/>
      <c r="F151" s="23"/>
      <c r="G151" s="23"/>
      <c r="H151" s="2"/>
      <c r="I151" s="23"/>
      <c r="J151" s="23"/>
      <c r="K151" s="23"/>
      <c r="L151" s="23"/>
      <c r="M151" s="2"/>
    </row>
    <row r="152" spans="1:13" ht="15" thickBot="1" x14ac:dyDescent="0.35">
      <c r="A152" s="4"/>
      <c r="B152" s="4"/>
      <c r="C152" s="24"/>
      <c r="D152" s="24"/>
      <c r="E152" s="26"/>
      <c r="F152" s="23"/>
      <c r="G152" s="23"/>
      <c r="H152" s="2"/>
      <c r="I152" s="23"/>
      <c r="J152" s="23"/>
      <c r="K152" s="23"/>
      <c r="L152" s="23"/>
      <c r="M152" s="2"/>
    </row>
    <row r="153" spans="1:13" ht="15" thickBot="1" x14ac:dyDescent="0.35">
      <c r="A153" s="4"/>
      <c r="B153" s="4"/>
      <c r="C153" s="24"/>
      <c r="D153" s="24"/>
      <c r="E153" s="26"/>
      <c r="F153" s="23"/>
      <c r="G153" s="23"/>
      <c r="H153" s="2"/>
      <c r="I153" s="23"/>
      <c r="J153" s="23"/>
      <c r="K153" s="23"/>
      <c r="L153" s="23"/>
      <c r="M153" s="2"/>
    </row>
    <row r="154" spans="1:13" ht="15" thickBot="1" x14ac:dyDescent="0.35">
      <c r="A154" s="4"/>
      <c r="B154" s="4"/>
      <c r="C154" s="24"/>
      <c r="D154" s="24"/>
      <c r="E154" s="26"/>
      <c r="F154" s="23"/>
      <c r="G154" s="23"/>
      <c r="H154" s="2"/>
      <c r="I154" s="23"/>
      <c r="J154" s="23"/>
      <c r="K154" s="23"/>
      <c r="L154" s="23"/>
      <c r="M154" s="2"/>
    </row>
    <row r="155" spans="1:13" ht="15" thickBot="1" x14ac:dyDescent="0.35">
      <c r="A155" s="4"/>
      <c r="B155" s="4"/>
      <c r="C155" s="24"/>
      <c r="D155" s="24"/>
      <c r="E155" s="26"/>
      <c r="F155" s="23"/>
      <c r="G155" s="23"/>
      <c r="H155" s="2"/>
      <c r="I155" s="23"/>
      <c r="J155" s="23"/>
      <c r="K155" s="23"/>
      <c r="L155" s="23"/>
      <c r="M155" s="2"/>
    </row>
    <row r="156" spans="1:13" ht="15" thickBot="1" x14ac:dyDescent="0.35">
      <c r="A156" s="4"/>
      <c r="B156" s="4"/>
      <c r="C156" s="24"/>
      <c r="D156" s="24"/>
      <c r="E156" s="26"/>
      <c r="F156" s="23"/>
      <c r="G156" s="23"/>
      <c r="H156" s="2"/>
      <c r="I156" s="23"/>
      <c r="J156" s="23"/>
      <c r="K156" s="23"/>
      <c r="L156" s="23"/>
      <c r="M156" s="2"/>
    </row>
    <row r="157" spans="1:13" ht="15" thickBot="1" x14ac:dyDescent="0.35">
      <c r="A157" s="4"/>
      <c r="B157" s="4"/>
      <c r="C157" s="24"/>
      <c r="D157" s="24"/>
      <c r="E157" s="26"/>
      <c r="F157" s="23"/>
      <c r="G157" s="23"/>
      <c r="H157" s="2"/>
      <c r="I157" s="23"/>
      <c r="J157" s="23"/>
      <c r="K157" s="23"/>
      <c r="L157" s="23"/>
      <c r="M157" s="2"/>
    </row>
    <row r="158" spans="1:13" ht="15" thickBot="1" x14ac:dyDescent="0.35">
      <c r="A158" s="4"/>
      <c r="B158" s="4"/>
      <c r="C158" s="24"/>
      <c r="D158" s="24"/>
      <c r="E158" s="26"/>
      <c r="F158" s="23"/>
      <c r="G158" s="23"/>
      <c r="H158" s="2"/>
      <c r="I158" s="23"/>
      <c r="J158" s="23"/>
      <c r="K158" s="23"/>
      <c r="L158" s="23"/>
      <c r="M158" s="2"/>
    </row>
    <row r="159" spans="1:13" ht="15" thickBot="1" x14ac:dyDescent="0.35">
      <c r="A159" s="4"/>
      <c r="B159" s="4"/>
      <c r="C159" s="24"/>
      <c r="D159" s="24"/>
      <c r="E159" s="26"/>
      <c r="F159" s="23"/>
      <c r="G159" s="23"/>
      <c r="H159" s="2"/>
      <c r="I159" s="23"/>
      <c r="J159" s="23"/>
      <c r="K159" s="23"/>
      <c r="L159" s="23"/>
      <c r="M159" s="2"/>
    </row>
    <row r="160" spans="1:13" ht="15" thickBot="1" x14ac:dyDescent="0.35">
      <c r="A160" s="4"/>
      <c r="B160" s="4"/>
      <c r="C160" s="24"/>
      <c r="D160" s="24"/>
      <c r="E160" s="26"/>
      <c r="F160" s="23"/>
      <c r="G160" s="23"/>
      <c r="H160" s="2"/>
      <c r="I160" s="23"/>
      <c r="J160" s="23"/>
      <c r="K160" s="23"/>
      <c r="L160" s="23"/>
      <c r="M160" s="2"/>
    </row>
    <row r="161" spans="1:13" ht="15" thickBot="1" x14ac:dyDescent="0.35">
      <c r="A161" s="4"/>
      <c r="B161" s="4"/>
      <c r="C161" s="24"/>
      <c r="D161" s="24"/>
      <c r="E161" s="26"/>
      <c r="F161" s="23"/>
      <c r="G161" s="23"/>
      <c r="H161" s="2"/>
      <c r="I161" s="26"/>
      <c r="J161" s="23"/>
      <c r="K161" s="23"/>
      <c r="L161" s="23"/>
      <c r="M161" s="2"/>
    </row>
    <row r="162" spans="1:13" x14ac:dyDescent="0.3">
      <c r="K162" s="8" t="s">
        <v>81</v>
      </c>
      <c r="L162" s="8" t="s">
        <v>81</v>
      </c>
      <c r="M162" s="28" t="s">
        <v>81</v>
      </c>
    </row>
  </sheetData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6305A9-7A68-4456-B25E-5BB901A26CEE}">
          <x14:formula1>
            <xm:f>profesores!$A$2:$A$31</xm:f>
          </x14:formula1>
          <xm:sqref>E2:H38 E64:H161 T39:W63</xm:sqref>
        </x14:dataValidation>
        <x14:dataValidation type="list" allowBlank="1" showInputMessage="1" showErrorMessage="1" xr:uid="{CCFA5F0A-CB43-4017-B465-279E81909176}">
          <x14:formula1>
            <xm:f>grupos!$A$2:$A$24</xm:f>
          </x14:formula1>
          <xm:sqref>I64:M161 X39:AB63 I2:M38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P38"/>
  <sheetViews>
    <sheetView tabSelected="1" workbookViewId="0">
      <selection activeCell="O3" sqref="O3:O7"/>
    </sheetView>
  </sheetViews>
  <sheetFormatPr baseColWidth="10" defaultColWidth="8.88671875" defaultRowHeight="16.2" customHeight="1" x14ac:dyDescent="0.3"/>
  <cols>
    <col min="2" max="2" width="11.33203125" hidden="1" customWidth="1"/>
    <col min="3" max="3" width="10.5546875" customWidth="1"/>
    <col min="4" max="4" width="12" customWidth="1"/>
    <col min="5" max="5" width="10.5546875" customWidth="1"/>
    <col min="6" max="6" width="12" customWidth="1"/>
    <col min="7" max="7" width="10.5546875" customWidth="1"/>
    <col min="8" max="8" width="12" customWidth="1"/>
    <col min="9" max="9" width="10.5546875" customWidth="1"/>
    <col min="10" max="10" width="12" customWidth="1"/>
  </cols>
  <sheetData>
    <row r="1" spans="1:16" ht="29.4" thickBot="1" x14ac:dyDescent="0.35">
      <c r="A1" s="1" t="s">
        <v>0</v>
      </c>
      <c r="B1" s="2" t="s">
        <v>1</v>
      </c>
      <c r="C1" s="23" t="s">
        <v>104</v>
      </c>
      <c r="D1" s="2" t="s">
        <v>105</v>
      </c>
      <c r="E1" s="23" t="s">
        <v>106</v>
      </c>
      <c r="F1" s="2" t="s">
        <v>107</v>
      </c>
      <c r="G1" s="23" t="s">
        <v>108</v>
      </c>
      <c r="H1" s="2" t="s">
        <v>109</v>
      </c>
      <c r="I1" s="23" t="s">
        <v>110</v>
      </c>
      <c r="J1" s="2" t="s">
        <v>111</v>
      </c>
    </row>
    <row r="2" spans="1:16" ht="16.2" customHeight="1" thickBot="1" x14ac:dyDescent="0.35">
      <c r="A2" s="3" t="s">
        <v>94</v>
      </c>
      <c r="B2" s="4">
        <v>5</v>
      </c>
      <c r="C2" s="29" t="s">
        <v>8</v>
      </c>
      <c r="D2" s="30">
        <v>1</v>
      </c>
      <c r="E2" s="29"/>
      <c r="F2" s="30"/>
      <c r="G2" s="29"/>
      <c r="H2" s="30"/>
      <c r="I2" s="29"/>
      <c r="J2" s="30"/>
      <c r="K2">
        <f>COUNTIF($A$2:$A$66,A2)</f>
        <v>1</v>
      </c>
      <c r="M2">
        <v>1</v>
      </c>
      <c r="O2">
        <v>9</v>
      </c>
      <c r="P2">
        <v>1</v>
      </c>
    </row>
    <row r="3" spans="1:16" ht="16.2" customHeight="1" thickBot="1" x14ac:dyDescent="0.35">
      <c r="A3" s="3" t="s">
        <v>30</v>
      </c>
      <c r="B3" s="4">
        <v>5</v>
      </c>
      <c r="C3" s="29" t="s">
        <v>8</v>
      </c>
      <c r="D3" s="30">
        <v>1</v>
      </c>
      <c r="E3" s="29"/>
      <c r="F3" s="30"/>
      <c r="G3" s="29"/>
      <c r="H3" s="30"/>
      <c r="I3" s="29"/>
      <c r="J3" s="30"/>
      <c r="K3">
        <f t="shared" ref="K3:K18" si="0">COUNTIF($A$2:$A$66,A3)</f>
        <v>1</v>
      </c>
      <c r="M3">
        <v>1</v>
      </c>
      <c r="O3">
        <v>3</v>
      </c>
      <c r="P3">
        <v>2</v>
      </c>
    </row>
    <row r="4" spans="1:16" ht="16.2" customHeight="1" thickBot="1" x14ac:dyDescent="0.35">
      <c r="A4" s="3" t="s">
        <v>2</v>
      </c>
      <c r="B4" s="4">
        <v>5</v>
      </c>
      <c r="C4" s="29" t="s">
        <v>8</v>
      </c>
      <c r="D4" s="30">
        <v>1</v>
      </c>
      <c r="E4" s="29"/>
      <c r="F4" s="30"/>
      <c r="G4" s="29"/>
      <c r="H4" s="30"/>
      <c r="I4" s="29"/>
      <c r="J4" s="30"/>
      <c r="K4">
        <f t="shared" si="0"/>
        <v>1</v>
      </c>
      <c r="M4">
        <v>1</v>
      </c>
      <c r="O4">
        <v>1</v>
      </c>
      <c r="P4">
        <v>3</v>
      </c>
    </row>
    <row r="5" spans="1:16" ht="16.2" customHeight="1" thickBot="1" x14ac:dyDescent="0.35">
      <c r="A5" s="3" t="s">
        <v>31</v>
      </c>
      <c r="B5" s="4">
        <v>5</v>
      </c>
      <c r="C5" s="29" t="s">
        <v>12</v>
      </c>
      <c r="D5" s="30">
        <v>1</v>
      </c>
      <c r="E5" s="29"/>
      <c r="F5" s="30"/>
      <c r="G5" s="29"/>
      <c r="H5" s="30"/>
      <c r="I5" s="29"/>
      <c r="J5" s="30"/>
      <c r="K5">
        <f t="shared" si="0"/>
        <v>1</v>
      </c>
      <c r="M5">
        <v>1</v>
      </c>
      <c r="O5">
        <v>2</v>
      </c>
      <c r="P5">
        <v>4</v>
      </c>
    </row>
    <row r="6" spans="1:16" ht="16.2" customHeight="1" thickBot="1" x14ac:dyDescent="0.35">
      <c r="A6" s="3" t="s">
        <v>22</v>
      </c>
      <c r="B6" s="4">
        <v>18</v>
      </c>
      <c r="C6" s="29" t="s">
        <v>12</v>
      </c>
      <c r="D6" s="30">
        <v>1</v>
      </c>
      <c r="E6" s="29" t="s">
        <v>13</v>
      </c>
      <c r="F6" s="30">
        <v>3</v>
      </c>
      <c r="G6" s="29" t="s">
        <v>40</v>
      </c>
      <c r="H6" s="30">
        <v>1</v>
      </c>
      <c r="I6" s="29" t="s">
        <v>41</v>
      </c>
      <c r="J6" s="30">
        <v>1</v>
      </c>
      <c r="K6">
        <f t="shared" si="0"/>
        <v>1</v>
      </c>
      <c r="M6">
        <v>6</v>
      </c>
      <c r="O6">
        <v>1</v>
      </c>
      <c r="P6">
        <v>5</v>
      </c>
    </row>
    <row r="7" spans="1:16" ht="16.2" customHeight="1" thickBot="1" x14ac:dyDescent="0.35">
      <c r="A7" s="3" t="s">
        <v>32</v>
      </c>
      <c r="B7" s="4">
        <v>5</v>
      </c>
      <c r="C7" s="29" t="s">
        <v>12</v>
      </c>
      <c r="D7" s="30">
        <v>1</v>
      </c>
      <c r="E7" s="29"/>
      <c r="F7" s="30"/>
      <c r="G7" s="29"/>
      <c r="H7" s="30"/>
      <c r="I7" s="29"/>
      <c r="J7" s="30"/>
      <c r="K7">
        <f t="shared" si="0"/>
        <v>1</v>
      </c>
      <c r="M7">
        <v>1</v>
      </c>
      <c r="O7">
        <v>1</v>
      </c>
      <c r="P7">
        <v>6</v>
      </c>
    </row>
    <row r="8" spans="1:16" ht="16.2" customHeight="1" thickBot="1" x14ac:dyDescent="0.35">
      <c r="A8" s="3" t="s">
        <v>33</v>
      </c>
      <c r="B8" s="4">
        <v>3</v>
      </c>
      <c r="C8" s="29" t="s">
        <v>10</v>
      </c>
      <c r="D8" s="30">
        <v>1</v>
      </c>
      <c r="E8" s="29"/>
      <c r="F8" s="30"/>
      <c r="G8" s="29"/>
      <c r="H8" s="30"/>
      <c r="I8" s="29"/>
      <c r="J8" s="30"/>
      <c r="K8">
        <f t="shared" si="0"/>
        <v>1</v>
      </c>
      <c r="M8">
        <v>1</v>
      </c>
    </row>
    <row r="9" spans="1:16" ht="16.2" customHeight="1" thickBot="1" x14ac:dyDescent="0.35">
      <c r="A9" s="3" t="s">
        <v>34</v>
      </c>
      <c r="B9" s="4">
        <v>5</v>
      </c>
      <c r="C9" s="29" t="s">
        <v>10</v>
      </c>
      <c r="D9" s="30">
        <v>1</v>
      </c>
      <c r="E9" s="29" t="s">
        <v>11</v>
      </c>
      <c r="F9" s="30">
        <v>1</v>
      </c>
      <c r="G9" s="29"/>
      <c r="H9" s="30"/>
      <c r="I9" s="29"/>
      <c r="J9" s="30"/>
      <c r="K9">
        <f t="shared" si="0"/>
        <v>1</v>
      </c>
      <c r="M9">
        <v>2</v>
      </c>
    </row>
    <row r="10" spans="1:16" ht="16.2" customHeight="1" thickBot="1" x14ac:dyDescent="0.35">
      <c r="A10" s="3" t="s">
        <v>29</v>
      </c>
      <c r="B10" s="4">
        <v>8</v>
      </c>
      <c r="C10" s="29" t="s">
        <v>10</v>
      </c>
      <c r="D10" s="30">
        <v>2</v>
      </c>
      <c r="E10" s="29" t="s">
        <v>11</v>
      </c>
      <c r="F10" s="30">
        <v>1</v>
      </c>
      <c r="G10" s="29"/>
      <c r="H10" s="30"/>
      <c r="I10" s="29"/>
      <c r="J10" s="30"/>
      <c r="K10">
        <f t="shared" si="0"/>
        <v>1</v>
      </c>
      <c r="M10">
        <v>3</v>
      </c>
      <c r="P10" cm="1">
        <f t="array" ref="P10">SUM(P2:P7*O2:O7)</f>
        <v>37</v>
      </c>
    </row>
    <row r="11" spans="1:16" ht="16.2" customHeight="1" thickBot="1" x14ac:dyDescent="0.35">
      <c r="A11" s="3" t="s">
        <v>24</v>
      </c>
      <c r="B11" s="4">
        <v>12</v>
      </c>
      <c r="C11" s="29" t="s">
        <v>14</v>
      </c>
      <c r="D11" s="30">
        <v>4</v>
      </c>
      <c r="E11" s="29"/>
      <c r="F11" s="30"/>
      <c r="G11" s="29"/>
      <c r="H11" s="30"/>
      <c r="I11" s="29"/>
      <c r="J11" s="30"/>
      <c r="K11">
        <f t="shared" si="0"/>
        <v>1</v>
      </c>
      <c r="M11">
        <v>4</v>
      </c>
    </row>
    <row r="12" spans="1:16" ht="16.2" customHeight="1" thickBot="1" x14ac:dyDescent="0.35">
      <c r="A12" s="3" t="s">
        <v>25</v>
      </c>
      <c r="B12" s="4">
        <v>8</v>
      </c>
      <c r="C12" s="29" t="s">
        <v>15</v>
      </c>
      <c r="D12" s="30">
        <v>4</v>
      </c>
      <c r="E12" s="29"/>
      <c r="F12" s="30"/>
      <c r="G12" s="29"/>
      <c r="H12" s="30"/>
      <c r="I12" s="29"/>
      <c r="J12" s="30"/>
      <c r="K12">
        <f t="shared" si="0"/>
        <v>1</v>
      </c>
      <c r="M12">
        <v>4</v>
      </c>
    </row>
    <row r="13" spans="1:16" ht="16.2" customHeight="1" thickBot="1" x14ac:dyDescent="0.35">
      <c r="A13" s="3" t="s">
        <v>20</v>
      </c>
      <c r="B13" s="4">
        <v>10</v>
      </c>
      <c r="C13" s="29" t="s">
        <v>9</v>
      </c>
      <c r="D13" s="30">
        <v>4</v>
      </c>
      <c r="E13" s="29" t="s">
        <v>13</v>
      </c>
      <c r="F13" s="30">
        <v>1</v>
      </c>
      <c r="G13" s="29"/>
      <c r="H13" s="30"/>
      <c r="I13" s="29"/>
      <c r="J13" s="30"/>
      <c r="K13">
        <f t="shared" si="0"/>
        <v>1</v>
      </c>
      <c r="M13">
        <v>5</v>
      </c>
    </row>
    <row r="14" spans="1:16" ht="16.2" customHeight="1" thickBot="1" x14ac:dyDescent="0.35">
      <c r="A14" s="3" t="s">
        <v>35</v>
      </c>
      <c r="B14" s="4">
        <v>4</v>
      </c>
      <c r="C14" s="29" t="s">
        <v>11</v>
      </c>
      <c r="D14" s="30">
        <v>2</v>
      </c>
      <c r="E14" s="29"/>
      <c r="F14" s="30"/>
      <c r="G14" s="29"/>
      <c r="H14" s="30"/>
      <c r="I14" s="29"/>
      <c r="J14" s="30"/>
      <c r="K14">
        <f t="shared" si="0"/>
        <v>1</v>
      </c>
      <c r="M14">
        <v>2</v>
      </c>
    </row>
    <row r="15" spans="1:16" ht="16.2" customHeight="1" thickBot="1" x14ac:dyDescent="0.35">
      <c r="A15" s="3" t="s">
        <v>27</v>
      </c>
      <c r="B15" s="4">
        <v>5</v>
      </c>
      <c r="C15" s="29" t="s">
        <v>8</v>
      </c>
      <c r="D15" s="30">
        <v>1</v>
      </c>
      <c r="E15" s="29"/>
      <c r="F15" s="30"/>
      <c r="G15" s="29"/>
      <c r="H15" s="30"/>
      <c r="I15" s="29"/>
      <c r="J15" s="30"/>
      <c r="K15">
        <f t="shared" si="0"/>
        <v>1</v>
      </c>
      <c r="M15">
        <v>1</v>
      </c>
    </row>
    <row r="16" spans="1:16" ht="16.2" customHeight="1" thickBot="1" x14ac:dyDescent="0.35">
      <c r="A16" s="1" t="s">
        <v>28</v>
      </c>
      <c r="B16" s="4">
        <v>5</v>
      </c>
      <c r="C16" s="29" t="s">
        <v>12</v>
      </c>
      <c r="D16" s="30">
        <v>1</v>
      </c>
      <c r="E16" s="29"/>
      <c r="F16" s="30"/>
      <c r="G16" s="29"/>
      <c r="H16" s="30"/>
      <c r="I16" s="29"/>
      <c r="J16" s="30"/>
      <c r="K16">
        <f t="shared" si="0"/>
        <v>1</v>
      </c>
      <c r="M16">
        <v>1</v>
      </c>
    </row>
    <row r="17" spans="1:14" ht="16.2" customHeight="1" thickBot="1" x14ac:dyDescent="0.35">
      <c r="A17" s="1" t="s">
        <v>43</v>
      </c>
      <c r="B17" s="4">
        <v>7</v>
      </c>
      <c r="C17" s="29" t="s">
        <v>38</v>
      </c>
      <c r="D17" s="30">
        <v>1</v>
      </c>
      <c r="E17" s="29" t="s">
        <v>39</v>
      </c>
      <c r="F17" s="30">
        <v>1</v>
      </c>
      <c r="G17" s="29"/>
      <c r="H17" s="30"/>
      <c r="I17" s="29"/>
      <c r="J17" s="30"/>
      <c r="K17">
        <f t="shared" si="0"/>
        <v>1</v>
      </c>
      <c r="M17">
        <v>2</v>
      </c>
    </row>
    <row r="18" spans="1:14" ht="16.2" customHeight="1" thickBot="1" x14ac:dyDescent="0.35">
      <c r="A18" s="1" t="s">
        <v>44</v>
      </c>
      <c r="B18" s="4">
        <v>5</v>
      </c>
      <c r="C18" s="29" t="s">
        <v>42</v>
      </c>
      <c r="D18" s="30">
        <v>1</v>
      </c>
      <c r="E18" s="29"/>
      <c r="F18" s="30"/>
      <c r="G18" s="29"/>
      <c r="H18" s="30"/>
      <c r="I18" s="29"/>
      <c r="J18" s="30"/>
      <c r="K18">
        <f t="shared" si="0"/>
        <v>1</v>
      </c>
      <c r="M18">
        <v>1</v>
      </c>
    </row>
    <row r="19" spans="1:14" ht="16.2" customHeight="1" thickBot="1" x14ac:dyDescent="0.35">
      <c r="B19" s="4"/>
      <c r="C19" s="24"/>
      <c r="D19" s="4"/>
      <c r="E19" s="24"/>
      <c r="F19" s="4"/>
      <c r="G19" s="24"/>
      <c r="H19" s="4"/>
      <c r="I19" s="24"/>
      <c r="J19" s="4"/>
      <c r="K19">
        <f t="shared" ref="K19:K31" si="1">COUNTIF($A$2:$A$66,N19)</f>
        <v>0</v>
      </c>
      <c r="N19" s="1" t="s">
        <v>82</v>
      </c>
    </row>
    <row r="20" spans="1:14" ht="16.2" customHeight="1" thickBot="1" x14ac:dyDescent="0.35">
      <c r="B20" s="4"/>
      <c r="C20" s="24"/>
      <c r="D20" s="4"/>
      <c r="E20" s="24"/>
      <c r="F20" s="4"/>
      <c r="G20" s="24"/>
      <c r="H20" s="4"/>
      <c r="I20" s="24"/>
      <c r="J20" s="4"/>
      <c r="K20">
        <f t="shared" si="1"/>
        <v>0</v>
      </c>
      <c r="N20" s="1" t="s">
        <v>83</v>
      </c>
    </row>
    <row r="21" spans="1:14" ht="16.2" customHeight="1" thickBot="1" x14ac:dyDescent="0.35">
      <c r="B21" s="4"/>
      <c r="C21" s="24"/>
      <c r="D21" s="4"/>
      <c r="E21" s="24"/>
      <c r="F21" s="4"/>
      <c r="G21" s="24"/>
      <c r="H21" s="4"/>
      <c r="I21" s="24"/>
      <c r="J21" s="4"/>
      <c r="K21">
        <f t="shared" si="1"/>
        <v>0</v>
      </c>
      <c r="N21" s="1" t="s">
        <v>84</v>
      </c>
    </row>
    <row r="22" spans="1:14" ht="16.2" customHeight="1" thickBot="1" x14ac:dyDescent="0.35">
      <c r="B22" s="4"/>
      <c r="C22" s="24"/>
      <c r="D22" s="4"/>
      <c r="E22" s="24"/>
      <c r="F22" s="4"/>
      <c r="G22" s="24"/>
      <c r="H22" s="4"/>
      <c r="I22" s="24"/>
      <c r="J22" s="4"/>
      <c r="K22">
        <f t="shared" si="1"/>
        <v>0</v>
      </c>
      <c r="N22" s="1" t="s">
        <v>85</v>
      </c>
    </row>
    <row r="23" spans="1:14" ht="16.2" customHeight="1" thickBot="1" x14ac:dyDescent="0.35">
      <c r="B23" s="4"/>
      <c r="C23" s="24"/>
      <c r="D23" s="4"/>
      <c r="E23" s="24"/>
      <c r="F23" s="4"/>
      <c r="G23" s="24"/>
      <c r="H23" s="4"/>
      <c r="I23" s="24"/>
      <c r="J23" s="4"/>
      <c r="K23">
        <f t="shared" si="1"/>
        <v>0</v>
      </c>
      <c r="N23" s="1" t="s">
        <v>86</v>
      </c>
    </row>
    <row r="24" spans="1:14" ht="16.2" customHeight="1" thickBot="1" x14ac:dyDescent="0.35">
      <c r="B24" s="4"/>
      <c r="C24" s="24"/>
      <c r="D24" s="4"/>
      <c r="E24" s="24"/>
      <c r="F24" s="4"/>
      <c r="G24" s="24"/>
      <c r="H24" s="4"/>
      <c r="I24" s="24"/>
      <c r="J24" s="4"/>
      <c r="K24">
        <f t="shared" si="1"/>
        <v>0</v>
      </c>
      <c r="N24" s="1" t="s">
        <v>87</v>
      </c>
    </row>
    <row r="25" spans="1:14" ht="16.2" customHeight="1" thickBot="1" x14ac:dyDescent="0.35">
      <c r="B25" s="4"/>
      <c r="C25" s="24"/>
      <c r="D25" s="4"/>
      <c r="E25" s="24"/>
      <c r="F25" s="4"/>
      <c r="G25" s="24"/>
      <c r="H25" s="4"/>
      <c r="I25" s="24"/>
      <c r="J25" s="4"/>
      <c r="K25">
        <f t="shared" si="1"/>
        <v>0</v>
      </c>
      <c r="N25" s="1" t="s">
        <v>88</v>
      </c>
    </row>
    <row r="26" spans="1:14" ht="16.2" customHeight="1" thickBot="1" x14ac:dyDescent="0.35">
      <c r="B26" s="4"/>
      <c r="C26" s="24"/>
      <c r="D26" s="4"/>
      <c r="E26" s="24"/>
      <c r="F26" s="4"/>
      <c r="G26" s="24"/>
      <c r="H26" s="4"/>
      <c r="I26" s="24"/>
      <c r="J26" s="4"/>
      <c r="K26">
        <f t="shared" si="1"/>
        <v>0</v>
      </c>
      <c r="N26" s="1" t="s">
        <v>89</v>
      </c>
    </row>
    <row r="27" spans="1:14" ht="16.2" customHeight="1" thickBot="1" x14ac:dyDescent="0.35">
      <c r="B27" s="4"/>
      <c r="C27" s="24"/>
      <c r="D27" s="4"/>
      <c r="E27" s="24"/>
      <c r="F27" s="4"/>
      <c r="G27" s="24"/>
      <c r="H27" s="4"/>
      <c r="I27" s="24"/>
      <c r="J27" s="4"/>
      <c r="K27">
        <f t="shared" si="1"/>
        <v>0</v>
      </c>
      <c r="N27" s="1" t="s">
        <v>90</v>
      </c>
    </row>
    <row r="28" spans="1:14" ht="16.2" customHeight="1" thickBot="1" x14ac:dyDescent="0.35">
      <c r="B28" s="4"/>
      <c r="C28" s="24"/>
      <c r="D28" s="4"/>
      <c r="E28" s="24"/>
      <c r="F28" s="4"/>
      <c r="G28" s="24"/>
      <c r="H28" s="4"/>
      <c r="I28" s="24"/>
      <c r="J28" s="4"/>
      <c r="K28">
        <f t="shared" si="1"/>
        <v>0</v>
      </c>
      <c r="N28" s="1" t="s">
        <v>91</v>
      </c>
    </row>
    <row r="29" spans="1:14" ht="16.2" customHeight="1" thickBot="1" x14ac:dyDescent="0.35">
      <c r="B29" s="4"/>
      <c r="C29" s="24"/>
      <c r="D29" s="4"/>
      <c r="E29" s="24"/>
      <c r="F29" s="4"/>
      <c r="G29" s="24"/>
      <c r="H29" s="4"/>
      <c r="I29" s="24"/>
      <c r="J29" s="4"/>
      <c r="K29">
        <f t="shared" si="1"/>
        <v>0</v>
      </c>
      <c r="N29" s="1" t="s">
        <v>93</v>
      </c>
    </row>
    <row r="30" spans="1:14" ht="16.2" customHeight="1" thickBot="1" x14ac:dyDescent="0.35">
      <c r="B30" s="4"/>
      <c r="C30" s="24"/>
      <c r="D30" s="4"/>
      <c r="E30" s="24"/>
      <c r="F30" s="4"/>
      <c r="G30" s="24"/>
      <c r="H30" s="4"/>
      <c r="I30" s="24"/>
      <c r="J30" s="4"/>
      <c r="K30">
        <f t="shared" si="1"/>
        <v>0</v>
      </c>
      <c r="N30" s="1" t="s">
        <v>95</v>
      </c>
    </row>
    <row r="31" spans="1:14" ht="16.2" customHeight="1" thickBot="1" x14ac:dyDescent="0.35">
      <c r="B31" s="4"/>
      <c r="C31" s="24"/>
      <c r="D31" s="4"/>
      <c r="E31" s="24"/>
      <c r="F31" s="4"/>
      <c r="G31" s="24"/>
      <c r="H31" s="4"/>
      <c r="I31" s="24"/>
      <c r="J31" s="4"/>
      <c r="K31">
        <f t="shared" si="1"/>
        <v>0</v>
      </c>
      <c r="N31" s="1" t="s">
        <v>92</v>
      </c>
    </row>
    <row r="32" spans="1:14" ht="16.2" customHeight="1" thickBot="1" x14ac:dyDescent="0.35">
      <c r="A32" s="1"/>
      <c r="B32" s="4"/>
      <c r="C32" s="24"/>
      <c r="D32" s="4"/>
      <c r="E32" s="24"/>
      <c r="F32" s="4"/>
      <c r="G32" s="24"/>
      <c r="H32" s="4"/>
      <c r="I32" s="24"/>
      <c r="J32" s="4"/>
      <c r="K32">
        <f t="shared" ref="K32:K38" si="2">COUNTIF($A$2:$A$66,A32)</f>
        <v>0</v>
      </c>
    </row>
    <row r="33" spans="1:11" ht="16.2" customHeight="1" thickBot="1" x14ac:dyDescent="0.35">
      <c r="A33" s="1"/>
      <c r="B33" s="4"/>
      <c r="C33" s="24"/>
      <c r="D33" s="4"/>
      <c r="E33" s="24"/>
      <c r="F33" s="4"/>
      <c r="G33" s="24"/>
      <c r="H33" s="4"/>
      <c r="I33" s="24"/>
      <c r="J33" s="4"/>
      <c r="K33">
        <f t="shared" si="2"/>
        <v>0</v>
      </c>
    </row>
    <row r="34" spans="1:11" ht="16.2" customHeight="1" thickBot="1" x14ac:dyDescent="0.35">
      <c r="A34" s="1"/>
      <c r="B34" s="4"/>
      <c r="C34" s="24"/>
      <c r="D34" s="4"/>
      <c r="E34" s="24"/>
      <c r="F34" s="4"/>
      <c r="G34" s="24"/>
      <c r="H34" s="4"/>
      <c r="I34" s="24"/>
      <c r="J34" s="4"/>
      <c r="K34">
        <f t="shared" si="2"/>
        <v>0</v>
      </c>
    </row>
    <row r="35" spans="1:11" ht="16.2" customHeight="1" thickBot="1" x14ac:dyDescent="0.35">
      <c r="A35" s="1"/>
      <c r="B35" s="4"/>
      <c r="C35" s="24"/>
      <c r="D35" s="4"/>
      <c r="E35" s="24"/>
      <c r="F35" s="4"/>
      <c r="G35" s="24"/>
      <c r="H35" s="4"/>
      <c r="I35" s="24"/>
      <c r="J35" s="4"/>
      <c r="K35">
        <f t="shared" si="2"/>
        <v>0</v>
      </c>
    </row>
    <row r="36" spans="1:11" ht="16.2" customHeight="1" thickBot="1" x14ac:dyDescent="0.35">
      <c r="A36" s="1"/>
      <c r="B36" s="4"/>
      <c r="C36" s="24"/>
      <c r="D36" s="4"/>
      <c r="E36" s="24"/>
      <c r="F36" s="4"/>
      <c r="G36" s="24"/>
      <c r="H36" s="4"/>
      <c r="I36" s="24"/>
      <c r="J36" s="4"/>
      <c r="K36">
        <f t="shared" si="2"/>
        <v>0</v>
      </c>
    </row>
    <row r="37" spans="1:11" ht="16.2" customHeight="1" thickBot="1" x14ac:dyDescent="0.35">
      <c r="A37" s="1"/>
      <c r="B37" s="4"/>
      <c r="C37" s="24"/>
      <c r="D37" s="4"/>
      <c r="E37" s="24"/>
      <c r="F37" s="4"/>
      <c r="G37" s="24"/>
      <c r="H37" s="4"/>
      <c r="I37" s="24"/>
      <c r="J37" s="4"/>
      <c r="K37">
        <f t="shared" si="2"/>
        <v>0</v>
      </c>
    </row>
    <row r="38" spans="1:11" ht="16.2" customHeight="1" thickBot="1" x14ac:dyDescent="0.35">
      <c r="A38" s="1"/>
      <c r="B38" s="4"/>
      <c r="C38" s="24"/>
      <c r="D38" s="4"/>
      <c r="E38" s="24"/>
      <c r="F38" s="4"/>
      <c r="G38" s="24"/>
      <c r="H38" s="4"/>
      <c r="I38" s="24"/>
      <c r="J38" s="4"/>
      <c r="K38">
        <f t="shared" si="2"/>
        <v>0</v>
      </c>
    </row>
  </sheetData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C1332D-3951-4010-92C4-F3AF6E38FD71}">
          <x14:formula1>
            <xm:f>materias!$A$2:$A$38</xm:f>
          </x14:formula1>
          <xm:sqref>C2:C18 E2:E18 G2:G18 I2:I18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F6"/>
  <sheetViews>
    <sheetView workbookViewId="0">
      <selection activeCell="H7" sqref="H7"/>
    </sheetView>
  </sheetViews>
  <sheetFormatPr baseColWidth="10" defaultRowHeight="14.4" x14ac:dyDescent="0.3"/>
  <sheetData>
    <row r="1" spans="1:6" ht="15" thickBot="1" x14ac:dyDescent="0.35">
      <c r="A1" s="2" t="s">
        <v>45</v>
      </c>
      <c r="B1" s="2" t="s">
        <v>3</v>
      </c>
      <c r="C1" s="2" t="s">
        <v>46</v>
      </c>
      <c r="D1" s="2" t="s">
        <v>48</v>
      </c>
      <c r="E1" s="2" t="s">
        <v>47</v>
      </c>
      <c r="F1" s="2" t="s">
        <v>16</v>
      </c>
    </row>
    <row r="2" spans="1:6" ht="15" thickBot="1" x14ac:dyDescent="0.35">
      <c r="A2" s="2" t="str">
        <f>_xlfn.CONCAT(B2:F2)</f>
        <v>11m1</v>
      </c>
      <c r="B2" s="2">
        <v>1</v>
      </c>
      <c r="C2" s="2"/>
      <c r="D2" s="2"/>
      <c r="E2" s="2">
        <v>1</v>
      </c>
      <c r="F2" s="2" t="s">
        <v>97</v>
      </c>
    </row>
    <row r="3" spans="1:6" ht="15" thickBot="1" x14ac:dyDescent="0.35">
      <c r="A3" s="2" t="str">
        <f t="shared" ref="A3:A6" si="0">_xlfn.CONCAT(B3:F3)</f>
        <v>12m1</v>
      </c>
      <c r="B3" s="2">
        <v>1</v>
      </c>
      <c r="C3" s="2"/>
      <c r="D3" s="2"/>
      <c r="E3" s="2">
        <v>2</v>
      </c>
      <c r="F3" s="2" t="s">
        <v>97</v>
      </c>
    </row>
    <row r="4" spans="1:6" ht="15" thickBot="1" x14ac:dyDescent="0.35">
      <c r="A4" s="2" t="str">
        <f t="shared" si="0"/>
        <v>13m1</v>
      </c>
      <c r="B4" s="2">
        <v>1</v>
      </c>
      <c r="C4" s="2"/>
      <c r="D4" s="2"/>
      <c r="E4" s="2">
        <v>3</v>
      </c>
      <c r="F4" s="2" t="s">
        <v>97</v>
      </c>
    </row>
    <row r="5" spans="1:6" ht="15" thickBot="1" x14ac:dyDescent="0.35">
      <c r="A5" s="2" t="str">
        <f t="shared" si="0"/>
        <v>14t1</v>
      </c>
      <c r="B5" s="2">
        <v>1</v>
      </c>
      <c r="C5" s="2"/>
      <c r="D5" s="2"/>
      <c r="E5" s="2">
        <v>4</v>
      </c>
      <c r="F5" s="2" t="s">
        <v>98</v>
      </c>
    </row>
    <row r="6" spans="1:6" ht="15" thickBot="1" x14ac:dyDescent="0.35">
      <c r="A6" s="2" t="str">
        <f t="shared" si="0"/>
        <v>1RECt1</v>
      </c>
      <c r="B6" s="2">
        <v>1</v>
      </c>
      <c r="C6" s="2"/>
      <c r="D6" s="2" t="s">
        <v>60</v>
      </c>
      <c r="E6" s="2"/>
      <c r="F6" s="2" t="s">
        <v>98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DF702-3207-4043-B4C1-44970C62F7B9}">
  <sheetPr codeName="Hoja20"/>
  <dimension ref="A1:O33"/>
  <sheetViews>
    <sheetView workbookViewId="0">
      <selection activeCell="R4" sqref="R4"/>
    </sheetView>
  </sheetViews>
  <sheetFormatPr baseColWidth="10" defaultRowHeight="14.4" x14ac:dyDescent="0.3"/>
  <sheetData>
    <row r="1" spans="1:15" ht="29.4" thickBot="1" x14ac:dyDescent="0.35">
      <c r="A1" s="1" t="s">
        <v>3</v>
      </c>
      <c r="B1" s="2" t="s">
        <v>4</v>
      </c>
      <c r="C1" s="7" t="s">
        <v>16</v>
      </c>
      <c r="D1" s="11" t="s">
        <v>7</v>
      </c>
      <c r="E1" s="2" t="s">
        <v>6</v>
      </c>
      <c r="F1" s="2" t="s">
        <v>1</v>
      </c>
      <c r="G1" s="2" t="s">
        <v>5</v>
      </c>
    </row>
    <row r="2" spans="1:15" ht="15" thickBot="1" x14ac:dyDescent="0.35">
      <c r="A2" s="5">
        <v>1</v>
      </c>
      <c r="B2" s="2" t="s">
        <v>8</v>
      </c>
      <c r="C2" s="5" t="s">
        <v>17</v>
      </c>
      <c r="D2" s="12" t="s">
        <v>36</v>
      </c>
      <c r="E2" s="2" t="s">
        <v>19</v>
      </c>
      <c r="F2" s="2">
        <v>5</v>
      </c>
      <c r="G2" s="2">
        <v>2</v>
      </c>
    </row>
    <row r="3" spans="1:15" ht="15" thickBot="1" x14ac:dyDescent="0.35">
      <c r="A3" s="6">
        <v>1</v>
      </c>
      <c r="B3" s="4" t="s">
        <v>12</v>
      </c>
      <c r="C3" s="6" t="s">
        <v>17</v>
      </c>
      <c r="D3" s="13" t="s">
        <v>36</v>
      </c>
      <c r="E3" s="4" t="s">
        <v>21</v>
      </c>
      <c r="F3" s="4">
        <v>5</v>
      </c>
      <c r="G3" s="4">
        <v>2</v>
      </c>
      <c r="J3" s="2" t="str">
        <f t="shared" ref="J3:J20" si="0">_xlfn.CONCAT(K3:O3)</f>
        <v>2CIVm</v>
      </c>
      <c r="K3" s="2">
        <v>2</v>
      </c>
      <c r="L3" s="2" t="s">
        <v>49</v>
      </c>
      <c r="M3" s="2"/>
      <c r="N3" s="2"/>
      <c r="O3" s="2" t="s">
        <v>17</v>
      </c>
    </row>
    <row r="4" spans="1:15" ht="15" thickBot="1" x14ac:dyDescent="0.35">
      <c r="A4" s="6">
        <v>1</v>
      </c>
      <c r="B4" s="4" t="s">
        <v>10</v>
      </c>
      <c r="C4" s="9" t="s">
        <v>17</v>
      </c>
      <c r="D4" s="14" t="s">
        <v>36</v>
      </c>
      <c r="E4" s="4" t="s">
        <v>23</v>
      </c>
      <c r="F4" s="4">
        <v>3</v>
      </c>
      <c r="G4" s="4">
        <v>1</v>
      </c>
      <c r="J4" s="2" t="str">
        <f t="shared" si="0"/>
        <v>2INDm</v>
      </c>
      <c r="K4" s="2">
        <v>2</v>
      </c>
      <c r="L4" s="2" t="s">
        <v>50</v>
      </c>
      <c r="M4" s="2"/>
      <c r="N4" s="2"/>
      <c r="O4" s="2" t="s">
        <v>17</v>
      </c>
    </row>
    <row r="5" spans="1:15" ht="15" thickBot="1" x14ac:dyDescent="0.35">
      <c r="A5" s="6">
        <v>1</v>
      </c>
      <c r="B5" s="4" t="s">
        <v>14</v>
      </c>
      <c r="C5" s="9" t="s">
        <v>17</v>
      </c>
      <c r="D5" s="14" t="s">
        <v>36</v>
      </c>
      <c r="E5" s="4" t="s">
        <v>24</v>
      </c>
      <c r="F5" s="4">
        <v>3</v>
      </c>
      <c r="G5" s="4">
        <v>1</v>
      </c>
      <c r="J5" s="2" t="str">
        <f t="shared" si="0"/>
        <v>2TELm</v>
      </c>
      <c r="K5" s="2">
        <v>2</v>
      </c>
      <c r="L5" s="2" t="s">
        <v>51</v>
      </c>
      <c r="M5" s="2"/>
      <c r="N5" s="2"/>
      <c r="O5" s="2" t="s">
        <v>17</v>
      </c>
    </row>
    <row r="6" spans="1:15" ht="15" thickBot="1" x14ac:dyDescent="0.35">
      <c r="A6" s="6">
        <v>1</v>
      </c>
      <c r="B6" s="4" t="s">
        <v>15</v>
      </c>
      <c r="C6" s="9" t="s">
        <v>17</v>
      </c>
      <c r="D6" s="14" t="s">
        <v>36</v>
      </c>
      <c r="E6" s="4" t="s">
        <v>25</v>
      </c>
      <c r="F6" s="4">
        <v>2</v>
      </c>
      <c r="G6" s="4">
        <v>1</v>
      </c>
      <c r="J6" s="2" t="str">
        <f t="shared" si="0"/>
        <v>2INF1m</v>
      </c>
      <c r="K6" s="2">
        <v>2</v>
      </c>
      <c r="L6" s="2" t="s">
        <v>52</v>
      </c>
      <c r="M6" s="2"/>
      <c r="N6" s="2">
        <v>1</v>
      </c>
      <c r="O6" s="2" t="s">
        <v>17</v>
      </c>
    </row>
    <row r="7" spans="1:15" ht="15" thickBot="1" x14ac:dyDescent="0.35">
      <c r="A7" s="6">
        <v>1</v>
      </c>
      <c r="B7" s="4" t="s">
        <v>9</v>
      </c>
      <c r="C7" s="9" t="s">
        <v>17</v>
      </c>
      <c r="D7" s="14" t="s">
        <v>36</v>
      </c>
      <c r="E7" s="4" t="s">
        <v>20</v>
      </c>
      <c r="F7" s="4">
        <v>2</v>
      </c>
      <c r="G7" s="4">
        <v>1</v>
      </c>
      <c r="J7" s="2" t="str">
        <f t="shared" si="0"/>
        <v>2INF2m</v>
      </c>
      <c r="K7" s="2">
        <v>2</v>
      </c>
      <c r="L7" s="2" t="s">
        <v>52</v>
      </c>
      <c r="M7" s="2"/>
      <c r="N7" s="2">
        <v>2</v>
      </c>
      <c r="O7" s="2" t="s">
        <v>17</v>
      </c>
    </row>
    <row r="8" spans="1:15" ht="15" thickBot="1" x14ac:dyDescent="0.35">
      <c r="A8" s="6">
        <v>1</v>
      </c>
      <c r="B8" s="4" t="s">
        <v>13</v>
      </c>
      <c r="C8" s="9" t="s">
        <v>17</v>
      </c>
      <c r="D8" s="14" t="s">
        <v>36</v>
      </c>
      <c r="E8" s="4" t="s">
        <v>22</v>
      </c>
      <c r="F8" s="4">
        <v>2</v>
      </c>
      <c r="G8" s="4">
        <v>1</v>
      </c>
      <c r="J8" s="2" t="str">
        <f t="shared" si="0"/>
        <v>3CIVm</v>
      </c>
      <c r="K8" s="2">
        <v>3</v>
      </c>
      <c r="L8" s="2" t="s">
        <v>49</v>
      </c>
      <c r="M8" s="2"/>
      <c r="N8" s="2"/>
      <c r="O8" s="2" t="s">
        <v>17</v>
      </c>
    </row>
    <row r="9" spans="1:15" ht="15" thickBot="1" x14ac:dyDescent="0.35">
      <c r="A9" s="6">
        <v>1</v>
      </c>
      <c r="B9" s="4" t="s">
        <v>11</v>
      </c>
      <c r="C9" s="10" t="s">
        <v>17</v>
      </c>
      <c r="D9" s="15" t="s">
        <v>36</v>
      </c>
      <c r="E9" s="4" t="s">
        <v>26</v>
      </c>
      <c r="F9" s="4">
        <v>2</v>
      </c>
      <c r="G9" s="4">
        <v>1</v>
      </c>
      <c r="J9" s="2" t="str">
        <f t="shared" si="0"/>
        <v>3INDm</v>
      </c>
      <c r="K9" s="2">
        <v>3</v>
      </c>
      <c r="L9" s="2" t="s">
        <v>50</v>
      </c>
      <c r="M9" s="2"/>
      <c r="N9" s="2"/>
      <c r="O9" s="2" t="s">
        <v>17</v>
      </c>
    </row>
    <row r="10" spans="1:15" ht="15" thickBot="1" x14ac:dyDescent="0.35">
      <c r="A10" s="6">
        <v>1</v>
      </c>
      <c r="B10" s="2" t="s">
        <v>8</v>
      </c>
      <c r="C10" s="6" t="s">
        <v>18</v>
      </c>
      <c r="D10" s="13">
        <v>4</v>
      </c>
      <c r="E10" s="4" t="s">
        <v>27</v>
      </c>
      <c r="F10" s="2">
        <v>5</v>
      </c>
      <c r="G10" s="2">
        <v>2</v>
      </c>
      <c r="J10" s="2" t="str">
        <f t="shared" si="0"/>
        <v>3TELm</v>
      </c>
      <c r="K10" s="2">
        <v>3</v>
      </c>
      <c r="L10" s="2" t="s">
        <v>51</v>
      </c>
      <c r="M10" s="2"/>
      <c r="N10" s="2"/>
      <c r="O10" s="2" t="s">
        <v>17</v>
      </c>
    </row>
    <row r="11" spans="1:15" ht="15" thickBot="1" x14ac:dyDescent="0.35">
      <c r="A11" s="6">
        <v>1</v>
      </c>
      <c r="B11" s="4" t="s">
        <v>12</v>
      </c>
      <c r="C11" s="6" t="s">
        <v>18</v>
      </c>
      <c r="D11" s="13">
        <v>4</v>
      </c>
      <c r="E11" s="4" t="s">
        <v>28</v>
      </c>
      <c r="F11" s="4">
        <v>5</v>
      </c>
      <c r="G11" s="4">
        <v>2</v>
      </c>
      <c r="J11" s="2" t="str">
        <f t="shared" si="0"/>
        <v>3INF1m</v>
      </c>
      <c r="K11" s="2">
        <v>3</v>
      </c>
      <c r="L11" s="2" t="s">
        <v>52</v>
      </c>
      <c r="M11" s="2"/>
      <c r="N11" s="2">
        <v>1</v>
      </c>
      <c r="O11" s="2" t="s">
        <v>17</v>
      </c>
    </row>
    <row r="12" spans="1:15" ht="15" thickBot="1" x14ac:dyDescent="0.35">
      <c r="A12" s="6">
        <v>1</v>
      </c>
      <c r="B12" s="4" t="s">
        <v>10</v>
      </c>
      <c r="C12" s="9" t="s">
        <v>18</v>
      </c>
      <c r="D12" s="14">
        <v>4</v>
      </c>
      <c r="E12" s="4" t="s">
        <v>29</v>
      </c>
      <c r="F12" s="4">
        <v>3</v>
      </c>
      <c r="G12" s="4">
        <v>1</v>
      </c>
      <c r="J12" s="2" t="str">
        <f t="shared" si="0"/>
        <v>3INF2m</v>
      </c>
      <c r="K12" s="2">
        <v>3</v>
      </c>
      <c r="L12" s="2" t="s">
        <v>52</v>
      </c>
      <c r="M12" s="2"/>
      <c r="N12" s="2">
        <v>2</v>
      </c>
      <c r="O12" s="2" t="s">
        <v>17</v>
      </c>
    </row>
    <row r="13" spans="1:15" ht="15" thickBot="1" x14ac:dyDescent="0.35">
      <c r="A13" s="6">
        <v>1</v>
      </c>
      <c r="B13" s="4" t="s">
        <v>14</v>
      </c>
      <c r="C13" s="9" t="s">
        <v>18</v>
      </c>
      <c r="D13" s="14">
        <v>4</v>
      </c>
      <c r="E13" s="4" t="s">
        <v>24</v>
      </c>
      <c r="F13" s="4">
        <v>3</v>
      </c>
      <c r="G13" s="4">
        <v>1</v>
      </c>
      <c r="J13" s="2" t="str">
        <f t="shared" si="0"/>
        <v>4CIVt</v>
      </c>
      <c r="K13" s="2">
        <v>4</v>
      </c>
      <c r="L13" s="2" t="s">
        <v>49</v>
      </c>
      <c r="M13" s="2"/>
      <c r="N13" s="2"/>
      <c r="O13" s="2" t="s">
        <v>18</v>
      </c>
    </row>
    <row r="14" spans="1:15" ht="15" thickBot="1" x14ac:dyDescent="0.35">
      <c r="A14" s="6">
        <v>1</v>
      </c>
      <c r="B14" s="4" t="s">
        <v>15</v>
      </c>
      <c r="C14" s="9" t="s">
        <v>18</v>
      </c>
      <c r="D14" s="14">
        <v>4</v>
      </c>
      <c r="E14" s="4" t="s">
        <v>25</v>
      </c>
      <c r="F14" s="4">
        <v>2</v>
      </c>
      <c r="G14" s="4">
        <v>1</v>
      </c>
      <c r="J14" s="2" t="str">
        <f t="shared" si="0"/>
        <v>4INDt</v>
      </c>
      <c r="K14" s="2">
        <v>4</v>
      </c>
      <c r="L14" s="2" t="s">
        <v>50</v>
      </c>
      <c r="M14" s="2"/>
      <c r="N14" s="2"/>
      <c r="O14" s="2" t="s">
        <v>18</v>
      </c>
    </row>
    <row r="15" spans="1:15" ht="15" thickBot="1" x14ac:dyDescent="0.35">
      <c r="A15" s="6">
        <v>1</v>
      </c>
      <c r="B15" s="4" t="s">
        <v>9</v>
      </c>
      <c r="C15" s="9" t="s">
        <v>18</v>
      </c>
      <c r="D15" s="14">
        <v>4</v>
      </c>
      <c r="E15" s="4" t="s">
        <v>20</v>
      </c>
      <c r="F15" s="4">
        <v>2</v>
      </c>
      <c r="G15" s="4">
        <v>1</v>
      </c>
      <c r="J15" s="2" t="str">
        <f t="shared" si="0"/>
        <v>4TELt</v>
      </c>
      <c r="K15" s="2">
        <v>4</v>
      </c>
      <c r="L15" s="2" t="s">
        <v>51</v>
      </c>
      <c r="M15" s="2"/>
      <c r="N15" s="2"/>
      <c r="O15" s="2" t="s">
        <v>18</v>
      </c>
    </row>
    <row r="16" spans="1:15" ht="15" thickBot="1" x14ac:dyDescent="0.35">
      <c r="A16" s="6">
        <v>1</v>
      </c>
      <c r="B16" s="4" t="s">
        <v>13</v>
      </c>
      <c r="C16" s="9" t="s">
        <v>18</v>
      </c>
      <c r="D16" s="14">
        <v>4</v>
      </c>
      <c r="E16" s="4" t="s">
        <v>20</v>
      </c>
      <c r="F16" s="4">
        <v>2</v>
      </c>
      <c r="G16" s="4">
        <v>1</v>
      </c>
      <c r="J16" s="2" t="str">
        <f t="shared" si="0"/>
        <v>4INFt</v>
      </c>
      <c r="K16" s="2">
        <v>4</v>
      </c>
      <c r="L16" s="2" t="s">
        <v>52</v>
      </c>
      <c r="M16" s="2"/>
      <c r="N16" s="2"/>
      <c r="O16" s="2" t="s">
        <v>18</v>
      </c>
    </row>
    <row r="17" spans="1:15" ht="15" thickBot="1" x14ac:dyDescent="0.35">
      <c r="A17" s="3">
        <v>1</v>
      </c>
      <c r="B17" s="4" t="s">
        <v>11</v>
      </c>
      <c r="C17" s="10" t="s">
        <v>18</v>
      </c>
      <c r="D17" s="15">
        <v>4</v>
      </c>
      <c r="E17" s="4" t="s">
        <v>29</v>
      </c>
      <c r="F17" s="4">
        <v>2</v>
      </c>
      <c r="G17" s="4">
        <v>1</v>
      </c>
      <c r="J17" s="2" t="str">
        <f t="shared" si="0"/>
        <v>5CIVt</v>
      </c>
      <c r="K17" s="2">
        <v>5</v>
      </c>
      <c r="L17" s="2" t="s">
        <v>49</v>
      </c>
      <c r="M17" s="2"/>
      <c r="N17" s="2"/>
      <c r="O17" s="2" t="s">
        <v>18</v>
      </c>
    </row>
    <row r="18" spans="1:15" ht="15" thickBot="1" x14ac:dyDescent="0.35">
      <c r="A18" s="6">
        <v>2</v>
      </c>
      <c r="B18" s="4" t="s">
        <v>38</v>
      </c>
      <c r="C18" s="9" t="s">
        <v>18</v>
      </c>
      <c r="D18" s="9" t="s">
        <v>37</v>
      </c>
      <c r="E18" s="4" t="s">
        <v>43</v>
      </c>
      <c r="F18" s="4">
        <v>5</v>
      </c>
      <c r="G18" s="4">
        <v>2</v>
      </c>
      <c r="J18" s="2" t="str">
        <f t="shared" si="0"/>
        <v>5INDt</v>
      </c>
      <c r="K18" s="2">
        <v>5</v>
      </c>
      <c r="L18" s="2" t="s">
        <v>50</v>
      </c>
      <c r="M18" s="2"/>
      <c r="N18" s="2"/>
      <c r="O18" s="2" t="s">
        <v>18</v>
      </c>
    </row>
    <row r="19" spans="1:15" ht="15" thickBot="1" x14ac:dyDescent="0.35">
      <c r="A19" s="6">
        <v>2</v>
      </c>
      <c r="B19" s="4" t="s">
        <v>39</v>
      </c>
      <c r="C19" s="9" t="s">
        <v>18</v>
      </c>
      <c r="D19" s="9" t="s">
        <v>37</v>
      </c>
      <c r="E19" s="4" t="s">
        <v>43</v>
      </c>
      <c r="F19" s="4">
        <v>2</v>
      </c>
      <c r="G19" s="4">
        <v>1</v>
      </c>
      <c r="J19" s="2" t="str">
        <f t="shared" si="0"/>
        <v>5TELt</v>
      </c>
      <c r="K19" s="2">
        <v>5</v>
      </c>
      <c r="L19" s="2" t="s">
        <v>51</v>
      </c>
      <c r="M19" s="2"/>
      <c r="N19" s="2"/>
      <c r="O19" s="2" t="s">
        <v>18</v>
      </c>
    </row>
    <row r="20" spans="1:15" ht="15" thickBot="1" x14ac:dyDescent="0.35">
      <c r="A20" s="6">
        <v>2</v>
      </c>
      <c r="B20" s="4" t="s">
        <v>40</v>
      </c>
      <c r="C20" s="9" t="s">
        <v>18</v>
      </c>
      <c r="D20" s="9" t="s">
        <v>37</v>
      </c>
      <c r="E20" s="4" t="s">
        <v>22</v>
      </c>
      <c r="F20" s="4">
        <v>5</v>
      </c>
      <c r="G20" s="4">
        <v>2</v>
      </c>
      <c r="J20" s="2" t="str">
        <f t="shared" si="0"/>
        <v>5INFt</v>
      </c>
      <c r="K20" s="2">
        <v>5</v>
      </c>
      <c r="L20" s="2" t="s">
        <v>52</v>
      </c>
      <c r="M20" s="2"/>
      <c r="N20" s="2"/>
      <c r="O20" s="2" t="s">
        <v>18</v>
      </c>
    </row>
    <row r="21" spans="1:15" ht="15" thickBot="1" x14ac:dyDescent="0.35">
      <c r="A21" s="6">
        <v>2</v>
      </c>
      <c r="B21" s="4" t="s">
        <v>41</v>
      </c>
      <c r="C21" s="9" t="s">
        <v>18</v>
      </c>
      <c r="D21" s="9" t="s">
        <v>37</v>
      </c>
      <c r="E21" s="4" t="s">
        <v>22</v>
      </c>
      <c r="F21" s="4">
        <v>2</v>
      </c>
      <c r="G21" s="4">
        <v>1</v>
      </c>
      <c r="M21" s="22"/>
      <c r="N21" s="21"/>
      <c r="O21" s="21"/>
    </row>
    <row r="22" spans="1:15" ht="15" thickBot="1" x14ac:dyDescent="0.35">
      <c r="A22" s="3">
        <v>2</v>
      </c>
      <c r="B22" s="4" t="s">
        <v>42</v>
      </c>
      <c r="C22" s="10" t="s">
        <v>18</v>
      </c>
      <c r="D22" s="10" t="s">
        <v>37</v>
      </c>
      <c r="E22" s="4" t="s">
        <v>44</v>
      </c>
      <c r="F22" s="4">
        <v>5</v>
      </c>
      <c r="G22" s="4">
        <v>2</v>
      </c>
      <c r="M22" s="22"/>
      <c r="N22" s="21"/>
      <c r="O22" s="21"/>
    </row>
    <row r="23" spans="1:15" x14ac:dyDescent="0.3">
      <c r="M23" s="22"/>
      <c r="N23" s="21"/>
      <c r="O23" s="21"/>
    </row>
    <row r="24" spans="1:15" x14ac:dyDescent="0.3">
      <c r="M24" s="22"/>
      <c r="N24" s="21"/>
      <c r="O24" s="21"/>
    </row>
    <row r="25" spans="1:15" x14ac:dyDescent="0.3">
      <c r="M25" s="22"/>
      <c r="N25" s="21"/>
      <c r="O25" s="21"/>
    </row>
    <row r="26" spans="1:15" x14ac:dyDescent="0.3">
      <c r="M26" s="22"/>
      <c r="N26" s="21"/>
      <c r="O26" s="21"/>
    </row>
    <row r="27" spans="1:15" x14ac:dyDescent="0.3">
      <c r="M27" s="22"/>
      <c r="N27" s="21"/>
      <c r="O27" s="21"/>
    </row>
    <row r="28" spans="1:15" x14ac:dyDescent="0.3">
      <c r="M28" s="22"/>
      <c r="N28" s="21"/>
      <c r="O28" s="21"/>
    </row>
    <row r="29" spans="1:15" x14ac:dyDescent="0.3">
      <c r="M29" s="22"/>
    </row>
    <row r="30" spans="1:15" x14ac:dyDescent="0.3">
      <c r="M30" s="22"/>
    </row>
    <row r="31" spans="1:15" x14ac:dyDescent="0.3">
      <c r="M31" s="22"/>
    </row>
    <row r="32" spans="1:15" x14ac:dyDescent="0.3">
      <c r="M32" s="22"/>
    </row>
    <row r="33" spans="13:13" x14ac:dyDescent="0.3">
      <c r="M33" s="2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00947-4F46-43A9-B896-2A8F72821822}">
  <sheetPr codeName="Hoja1"/>
  <dimension ref="A1:F15"/>
  <sheetViews>
    <sheetView workbookViewId="0">
      <selection activeCell="I23" sqref="I23"/>
    </sheetView>
  </sheetViews>
  <sheetFormatPr baseColWidth="10" defaultRowHeight="14.4" x14ac:dyDescent="0.3"/>
  <sheetData>
    <row r="1" spans="1:6" x14ac:dyDescent="0.3">
      <c r="A1" s="19" t="s">
        <v>94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1</v>
      </c>
      <c r="D2">
        <v>1</v>
      </c>
      <c r="E2">
        <v>1</v>
      </c>
      <c r="F2">
        <v>3</v>
      </c>
    </row>
    <row r="3" spans="1:6" x14ac:dyDescent="0.3">
      <c r="A3">
        <v>2</v>
      </c>
      <c r="B3">
        <v>3</v>
      </c>
      <c r="C3">
        <v>1</v>
      </c>
      <c r="D3">
        <v>1</v>
      </c>
      <c r="E3">
        <v>1</v>
      </c>
      <c r="F3">
        <v>3</v>
      </c>
    </row>
    <row r="4" spans="1:6" x14ac:dyDescent="0.3">
      <c r="A4">
        <v>3</v>
      </c>
      <c r="B4">
        <v>3</v>
      </c>
      <c r="C4">
        <v>1</v>
      </c>
      <c r="D4">
        <v>1</v>
      </c>
      <c r="E4">
        <v>1</v>
      </c>
      <c r="F4">
        <v>3</v>
      </c>
    </row>
    <row r="5" spans="1:6" x14ac:dyDescent="0.3">
      <c r="A5">
        <v>4</v>
      </c>
      <c r="B5">
        <v>3</v>
      </c>
      <c r="C5">
        <v>1</v>
      </c>
      <c r="D5">
        <v>1</v>
      </c>
      <c r="E5">
        <v>1</v>
      </c>
      <c r="F5">
        <v>3</v>
      </c>
    </row>
    <row r="6" spans="1:6" x14ac:dyDescent="0.3">
      <c r="A6">
        <v>5</v>
      </c>
      <c r="B6">
        <v>3</v>
      </c>
      <c r="C6">
        <v>1</v>
      </c>
      <c r="D6">
        <v>1</v>
      </c>
      <c r="E6">
        <v>1</v>
      </c>
      <c r="F6">
        <v>3</v>
      </c>
    </row>
    <row r="7" spans="1:6" x14ac:dyDescent="0.3">
      <c r="A7">
        <v>6</v>
      </c>
      <c r="B7">
        <v>3</v>
      </c>
      <c r="C7">
        <v>1</v>
      </c>
      <c r="D7">
        <v>1</v>
      </c>
      <c r="E7">
        <v>1</v>
      </c>
      <c r="F7">
        <v>3</v>
      </c>
    </row>
    <row r="8" spans="1:6" x14ac:dyDescent="0.3">
      <c r="A8">
        <v>7</v>
      </c>
      <c r="B8">
        <v>3</v>
      </c>
      <c r="C8">
        <v>1</v>
      </c>
      <c r="D8">
        <v>1</v>
      </c>
      <c r="E8">
        <v>1</v>
      </c>
      <c r="F8">
        <v>3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3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3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D231-9315-45D4-BFC7-3B7ED03188B5}">
  <sheetPr codeName="Hoja3"/>
  <dimension ref="A1:F15"/>
  <sheetViews>
    <sheetView workbookViewId="0">
      <selection activeCell="H13" sqref="H13"/>
    </sheetView>
  </sheetViews>
  <sheetFormatPr baseColWidth="10" defaultRowHeight="14.4" x14ac:dyDescent="0.3"/>
  <sheetData>
    <row r="1" spans="1:6" x14ac:dyDescent="0.3">
      <c r="A1" s="20" t="s">
        <v>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  <row r="12" spans="1:6" x14ac:dyDescent="0.3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</row>
    <row r="13" spans="1:6" x14ac:dyDescent="0.3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</row>
    <row r="14" spans="1:6" x14ac:dyDescent="0.3">
      <c r="A14">
        <v>13</v>
      </c>
      <c r="B14">
        <v>1</v>
      </c>
      <c r="C14">
        <v>1</v>
      </c>
      <c r="D14">
        <v>1</v>
      </c>
      <c r="E14">
        <v>1</v>
      </c>
      <c r="F14">
        <v>1</v>
      </c>
    </row>
    <row r="15" spans="1:6" x14ac:dyDescent="0.3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D4DF4-3826-4BF0-A50C-95C90F9A889A}">
  <sheetPr codeName="Hoja5"/>
  <dimension ref="A1:F15"/>
  <sheetViews>
    <sheetView workbookViewId="0">
      <selection activeCell="G16" sqref="G16"/>
    </sheetView>
  </sheetViews>
  <sheetFormatPr baseColWidth="10" defaultRowHeight="14.4" x14ac:dyDescent="0.3"/>
  <sheetData>
    <row r="1" spans="1:6" x14ac:dyDescent="0.3">
      <c r="A1" s="18" t="s">
        <v>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3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3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D1464-D440-4ED1-9166-443C6A769DD1}">
  <sheetPr codeName="Hoja6"/>
  <dimension ref="A1:F15"/>
  <sheetViews>
    <sheetView workbookViewId="0">
      <selection activeCell="H8" sqref="H8"/>
    </sheetView>
  </sheetViews>
  <sheetFormatPr baseColWidth="10" defaultRowHeight="14.4" x14ac:dyDescent="0.3"/>
  <sheetData>
    <row r="1" spans="1:6" x14ac:dyDescent="0.3">
      <c r="A1" s="20" t="s">
        <v>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  <row r="12" spans="1:6" x14ac:dyDescent="0.3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</row>
    <row r="13" spans="1:6" x14ac:dyDescent="0.3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3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3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FBB7E-12A7-4BF3-8878-342A9BC0FC22}">
  <sheetPr codeName="Hoja7"/>
  <dimension ref="A1:F15"/>
  <sheetViews>
    <sheetView workbookViewId="0">
      <selection activeCell="H8" sqref="H8"/>
    </sheetView>
  </sheetViews>
  <sheetFormatPr baseColWidth="10" defaultRowHeight="14.4" x14ac:dyDescent="0.3"/>
  <sheetData>
    <row r="1" spans="1:6" x14ac:dyDescent="0.3">
      <c r="A1" s="19" t="s">
        <v>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1</v>
      </c>
      <c r="D2">
        <v>0</v>
      </c>
      <c r="E2">
        <v>0</v>
      </c>
      <c r="F2">
        <v>1</v>
      </c>
    </row>
    <row r="3" spans="1:6" x14ac:dyDescent="0.3">
      <c r="A3">
        <v>2</v>
      </c>
      <c r="B3">
        <v>0</v>
      </c>
      <c r="C3">
        <v>1</v>
      </c>
      <c r="D3">
        <v>0</v>
      </c>
      <c r="E3">
        <v>0</v>
      </c>
      <c r="F3">
        <v>1</v>
      </c>
    </row>
    <row r="4" spans="1:6" x14ac:dyDescent="0.3">
      <c r="A4">
        <v>3</v>
      </c>
      <c r="B4">
        <v>0</v>
      </c>
      <c r="C4">
        <v>1</v>
      </c>
      <c r="D4">
        <v>0</v>
      </c>
      <c r="E4">
        <v>0</v>
      </c>
      <c r="F4">
        <v>1</v>
      </c>
    </row>
    <row r="5" spans="1:6" x14ac:dyDescent="0.3">
      <c r="A5">
        <v>4</v>
      </c>
      <c r="B5">
        <v>0</v>
      </c>
      <c r="C5">
        <v>1</v>
      </c>
      <c r="D5">
        <v>0</v>
      </c>
      <c r="E5">
        <v>0</v>
      </c>
      <c r="F5">
        <v>1</v>
      </c>
    </row>
    <row r="6" spans="1:6" x14ac:dyDescent="0.3">
      <c r="A6">
        <v>5</v>
      </c>
      <c r="B6">
        <v>0</v>
      </c>
      <c r="C6">
        <v>1</v>
      </c>
      <c r="D6">
        <v>0</v>
      </c>
      <c r="E6">
        <v>0</v>
      </c>
      <c r="F6">
        <v>1</v>
      </c>
    </row>
    <row r="7" spans="1:6" x14ac:dyDescent="0.3">
      <c r="A7">
        <v>6</v>
      </c>
      <c r="B7">
        <v>0</v>
      </c>
      <c r="C7">
        <v>1</v>
      </c>
      <c r="D7">
        <v>0</v>
      </c>
      <c r="E7">
        <v>0</v>
      </c>
      <c r="F7">
        <v>1</v>
      </c>
    </row>
    <row r="8" spans="1:6" x14ac:dyDescent="0.3">
      <c r="A8">
        <v>7</v>
      </c>
      <c r="B8">
        <v>0</v>
      </c>
      <c r="C8">
        <v>1</v>
      </c>
      <c r="D8">
        <v>0</v>
      </c>
      <c r="E8">
        <v>0</v>
      </c>
      <c r="F8">
        <v>1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1</v>
      </c>
      <c r="D10">
        <v>0</v>
      </c>
      <c r="E10">
        <v>1</v>
      </c>
      <c r="F10">
        <v>0</v>
      </c>
    </row>
    <row r="11" spans="1:6" x14ac:dyDescent="0.3">
      <c r="A11">
        <v>10</v>
      </c>
      <c r="B11">
        <v>0</v>
      </c>
      <c r="C11">
        <v>1</v>
      </c>
      <c r="D11">
        <v>0</v>
      </c>
      <c r="E11">
        <v>1</v>
      </c>
      <c r="F11">
        <v>0</v>
      </c>
    </row>
    <row r="12" spans="1:6" x14ac:dyDescent="0.3">
      <c r="A12">
        <v>11</v>
      </c>
      <c r="B12">
        <v>0</v>
      </c>
      <c r="C12">
        <v>1</v>
      </c>
      <c r="D12">
        <v>0</v>
      </c>
      <c r="E12">
        <v>1</v>
      </c>
      <c r="F12">
        <v>0</v>
      </c>
    </row>
    <row r="13" spans="1:6" x14ac:dyDescent="0.3">
      <c r="A13">
        <v>12</v>
      </c>
      <c r="B13">
        <v>0</v>
      </c>
      <c r="C13">
        <v>1</v>
      </c>
      <c r="D13">
        <v>0</v>
      </c>
      <c r="E13">
        <v>1</v>
      </c>
      <c r="F13">
        <v>0</v>
      </c>
    </row>
    <row r="14" spans="1:6" x14ac:dyDescent="0.3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3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9444-9C87-4869-BC3D-D3AA9A00152C}">
  <sheetPr codeName="Hoja8"/>
  <dimension ref="A1:F15"/>
  <sheetViews>
    <sheetView workbookViewId="0">
      <selection activeCell="G16" sqref="G16"/>
    </sheetView>
  </sheetViews>
  <sheetFormatPr baseColWidth="10" defaultRowHeight="14.4" x14ac:dyDescent="0.3"/>
  <sheetData>
    <row r="1" spans="1:6" x14ac:dyDescent="0.3">
      <c r="A1" s="19" t="s">
        <v>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3</v>
      </c>
      <c r="C5">
        <v>3</v>
      </c>
      <c r="D5">
        <v>3</v>
      </c>
      <c r="E5">
        <v>3</v>
      </c>
      <c r="F5">
        <v>3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3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3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FB7ED-C838-4A61-846F-32CF67750D5E}">
  <sheetPr codeName="Hoja9"/>
  <dimension ref="A1:F15"/>
  <sheetViews>
    <sheetView workbookViewId="0">
      <selection activeCell="G16" sqref="G16"/>
    </sheetView>
  </sheetViews>
  <sheetFormatPr baseColWidth="10" defaultRowHeight="14.4" x14ac:dyDescent="0.3"/>
  <sheetData>
    <row r="1" spans="1:6" x14ac:dyDescent="0.3">
      <c r="A1" s="19" t="s">
        <v>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3</v>
      </c>
      <c r="F4">
        <v>3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3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3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AEEA2-0126-44BA-A273-A1E3597FA2E6}">
  <sheetPr codeName="Hoja10"/>
  <dimension ref="A1:F15"/>
  <sheetViews>
    <sheetView workbookViewId="0">
      <selection activeCell="H17" sqref="H17"/>
    </sheetView>
  </sheetViews>
  <sheetFormatPr baseColWidth="10" defaultRowHeight="14.4" x14ac:dyDescent="0.3"/>
  <sheetData>
    <row r="1" spans="1:6" x14ac:dyDescent="0.3">
      <c r="A1" s="19" t="s">
        <v>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3">
      <c r="A4">
        <v>3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  <row r="12" spans="1:6" x14ac:dyDescent="0.3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</row>
    <row r="13" spans="1:6" x14ac:dyDescent="0.3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</row>
    <row r="14" spans="1:6" x14ac:dyDescent="0.3">
      <c r="A14">
        <v>13</v>
      </c>
      <c r="B14">
        <v>1</v>
      </c>
      <c r="C14">
        <v>1</v>
      </c>
      <c r="D14">
        <v>1</v>
      </c>
      <c r="E14">
        <v>1</v>
      </c>
      <c r="F14">
        <v>1</v>
      </c>
    </row>
    <row r="15" spans="1:6" x14ac:dyDescent="0.3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6B91C-87F5-4734-B8B6-85E677C3CEB4}">
  <sheetPr codeName="Hoja11"/>
  <dimension ref="A1:F15"/>
  <sheetViews>
    <sheetView workbookViewId="0">
      <selection activeCell="G16" sqref="G16"/>
    </sheetView>
  </sheetViews>
  <sheetFormatPr baseColWidth="10" defaultRowHeight="14.4" x14ac:dyDescent="0.3"/>
  <sheetData>
    <row r="1" spans="1:6" x14ac:dyDescent="0.3">
      <c r="A1" s="20" t="s">
        <v>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  <row r="12" spans="1:6" x14ac:dyDescent="0.3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</row>
    <row r="13" spans="1:6" x14ac:dyDescent="0.3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</row>
    <row r="14" spans="1:6" x14ac:dyDescent="0.3">
      <c r="A14">
        <v>13</v>
      </c>
      <c r="B14">
        <v>1</v>
      </c>
      <c r="C14">
        <v>1</v>
      </c>
      <c r="D14">
        <v>1</v>
      </c>
      <c r="E14">
        <v>1</v>
      </c>
      <c r="F14">
        <v>1</v>
      </c>
    </row>
    <row r="15" spans="1:6" x14ac:dyDescent="0.3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95C22-D5F9-4335-B66B-0FDA06AA6B2A}">
  <sheetPr codeName="Hoja12"/>
  <dimension ref="A1:F15"/>
  <sheetViews>
    <sheetView workbookViewId="0">
      <selection activeCell="G16" sqref="G16"/>
    </sheetView>
  </sheetViews>
  <sheetFormatPr baseColWidth="10" defaultRowHeight="14.4" x14ac:dyDescent="0.3"/>
  <sheetData>
    <row r="1" spans="1:6" x14ac:dyDescent="0.3">
      <c r="A1" s="18" t="s">
        <v>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2</v>
      </c>
      <c r="C3">
        <v>2</v>
      </c>
      <c r="D3">
        <v>2</v>
      </c>
      <c r="E3">
        <v>2</v>
      </c>
      <c r="F3">
        <v>2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  <row r="12" spans="1:6" x14ac:dyDescent="0.3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</row>
    <row r="13" spans="1:6" x14ac:dyDescent="0.3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</row>
    <row r="14" spans="1:6" x14ac:dyDescent="0.3">
      <c r="A14">
        <v>13</v>
      </c>
      <c r="B14">
        <v>1</v>
      </c>
      <c r="C14">
        <v>1</v>
      </c>
      <c r="D14">
        <v>1</v>
      </c>
      <c r="E14">
        <v>1</v>
      </c>
      <c r="F14">
        <v>1</v>
      </c>
    </row>
    <row r="15" spans="1:6" x14ac:dyDescent="0.3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00939-E96D-405D-B22D-551C48B0ABD7}">
  <sheetPr codeName="Hoja13"/>
  <dimension ref="A1:F15"/>
  <sheetViews>
    <sheetView workbookViewId="0">
      <selection activeCell="G16" sqref="G16"/>
    </sheetView>
  </sheetViews>
  <sheetFormatPr baseColWidth="10" defaultRowHeight="14.4" x14ac:dyDescent="0.3"/>
  <sheetData>
    <row r="1" spans="1:6" x14ac:dyDescent="0.3">
      <c r="A1" s="20" t="s">
        <v>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  <row r="12" spans="1:6" x14ac:dyDescent="0.3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</row>
    <row r="13" spans="1:6" x14ac:dyDescent="0.3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</row>
    <row r="14" spans="1:6" x14ac:dyDescent="0.3">
      <c r="A14">
        <v>13</v>
      </c>
      <c r="B14">
        <v>1</v>
      </c>
      <c r="C14">
        <v>1</v>
      </c>
      <c r="D14">
        <v>1</v>
      </c>
      <c r="E14">
        <v>1</v>
      </c>
      <c r="F14">
        <v>1</v>
      </c>
    </row>
    <row r="15" spans="1:6" x14ac:dyDescent="0.3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F629F-1974-4B63-8605-669CB6BAB068}">
  <sheetPr codeName="Hoja14"/>
  <dimension ref="A1:F15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20" t="s">
        <v>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3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3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BD3EC-4511-40E2-A5CE-99DE1B409392}">
  <sheetPr codeName="Hoja15"/>
  <dimension ref="A1:F15"/>
  <sheetViews>
    <sheetView workbookViewId="0">
      <selection activeCell="G8" sqref="G8"/>
    </sheetView>
  </sheetViews>
  <sheetFormatPr baseColWidth="10" defaultRowHeight="14.4" x14ac:dyDescent="0.3"/>
  <sheetData>
    <row r="1" spans="1:6" x14ac:dyDescent="0.3">
      <c r="A1" s="20" t="s">
        <v>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0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0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0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  <row r="12" spans="1:6" x14ac:dyDescent="0.3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</row>
    <row r="13" spans="1:6" x14ac:dyDescent="0.3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</row>
    <row r="14" spans="1:6" x14ac:dyDescent="0.3">
      <c r="A14">
        <v>13</v>
      </c>
      <c r="B14">
        <v>1</v>
      </c>
      <c r="C14">
        <v>1</v>
      </c>
      <c r="D14">
        <v>1</v>
      </c>
      <c r="E14">
        <v>1</v>
      </c>
      <c r="F14">
        <v>1</v>
      </c>
    </row>
    <row r="15" spans="1:6" x14ac:dyDescent="0.3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EAD5B-C0BE-4832-A396-A907413D501C}">
  <sheetPr codeName="Hoja16"/>
  <dimension ref="A1:F15"/>
  <sheetViews>
    <sheetView workbookViewId="0">
      <selection activeCell="G17" sqref="G17"/>
    </sheetView>
  </sheetViews>
  <sheetFormatPr baseColWidth="10" defaultRowHeight="14.4" x14ac:dyDescent="0.3"/>
  <sheetData>
    <row r="1" spans="1:6" x14ac:dyDescent="0.3">
      <c r="A1" s="19" t="s">
        <v>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  <row r="12" spans="1:6" x14ac:dyDescent="0.3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</row>
    <row r="13" spans="1:6" x14ac:dyDescent="0.3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</row>
    <row r="14" spans="1:6" x14ac:dyDescent="0.3">
      <c r="A14">
        <v>13</v>
      </c>
      <c r="B14">
        <v>1</v>
      </c>
      <c r="C14">
        <v>1</v>
      </c>
      <c r="D14">
        <v>1</v>
      </c>
      <c r="E14">
        <v>1</v>
      </c>
      <c r="F14">
        <v>1</v>
      </c>
    </row>
    <row r="15" spans="1:6" x14ac:dyDescent="0.3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F9631-48F5-402D-A5D0-A33BF71575BB}">
  <sheetPr codeName="Hoja17"/>
  <dimension ref="A1:F15"/>
  <sheetViews>
    <sheetView workbookViewId="0">
      <selection activeCell="H16" sqref="H16"/>
    </sheetView>
  </sheetViews>
  <sheetFormatPr baseColWidth="10" defaultRowHeight="14.4" x14ac:dyDescent="0.3"/>
  <sheetData>
    <row r="1" spans="1:6" x14ac:dyDescent="0.3">
      <c r="A1" s="18" t="s">
        <v>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2</v>
      </c>
      <c r="C3">
        <v>2</v>
      </c>
      <c r="D3">
        <v>2</v>
      </c>
      <c r="E3">
        <v>2</v>
      </c>
      <c r="F3">
        <v>2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  <row r="12" spans="1:6" x14ac:dyDescent="0.3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</row>
    <row r="13" spans="1:6" x14ac:dyDescent="0.3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</row>
    <row r="14" spans="1:6" x14ac:dyDescent="0.3">
      <c r="A14">
        <v>13</v>
      </c>
      <c r="B14">
        <v>1</v>
      </c>
      <c r="C14">
        <v>1</v>
      </c>
      <c r="D14">
        <v>1</v>
      </c>
      <c r="E14">
        <v>1</v>
      </c>
      <c r="F14">
        <v>1</v>
      </c>
    </row>
    <row r="15" spans="1:6" x14ac:dyDescent="0.3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4356B-058A-464F-AFC0-3B7DA1FBB9B8}">
  <sheetPr codeName="Hoja18"/>
  <dimension ref="A1:F15"/>
  <sheetViews>
    <sheetView workbookViewId="0">
      <selection activeCell="G17" sqref="G17"/>
    </sheetView>
  </sheetViews>
  <sheetFormatPr baseColWidth="10" defaultRowHeight="14.4" x14ac:dyDescent="0.3"/>
  <sheetData>
    <row r="1" spans="1:6" x14ac:dyDescent="0.3">
      <c r="A1" s="19" t="s">
        <v>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0</v>
      </c>
      <c r="D2">
        <v>1</v>
      </c>
      <c r="E2">
        <v>0</v>
      </c>
      <c r="F2">
        <v>1</v>
      </c>
    </row>
    <row r="3" spans="1:6" x14ac:dyDescent="0.3">
      <c r="A3">
        <v>2</v>
      </c>
      <c r="B3">
        <v>1</v>
      </c>
      <c r="C3">
        <v>0</v>
      </c>
      <c r="D3">
        <v>1</v>
      </c>
      <c r="E3">
        <v>0</v>
      </c>
      <c r="F3">
        <v>1</v>
      </c>
    </row>
    <row r="4" spans="1:6" x14ac:dyDescent="0.3">
      <c r="A4">
        <v>3</v>
      </c>
      <c r="B4">
        <v>1</v>
      </c>
      <c r="C4">
        <v>0</v>
      </c>
      <c r="D4">
        <v>1</v>
      </c>
      <c r="E4">
        <v>0</v>
      </c>
      <c r="F4">
        <v>1</v>
      </c>
    </row>
    <row r="5" spans="1:6" x14ac:dyDescent="0.3">
      <c r="A5">
        <v>4</v>
      </c>
      <c r="B5">
        <v>1</v>
      </c>
      <c r="C5">
        <v>0</v>
      </c>
      <c r="D5">
        <v>1</v>
      </c>
      <c r="E5">
        <v>0</v>
      </c>
      <c r="F5">
        <v>1</v>
      </c>
    </row>
    <row r="6" spans="1:6" x14ac:dyDescent="0.3">
      <c r="A6">
        <v>5</v>
      </c>
      <c r="B6">
        <v>1</v>
      </c>
      <c r="C6">
        <v>0</v>
      </c>
      <c r="D6">
        <v>1</v>
      </c>
      <c r="E6">
        <v>0</v>
      </c>
      <c r="F6">
        <v>1</v>
      </c>
    </row>
    <row r="7" spans="1:6" x14ac:dyDescent="0.3">
      <c r="A7">
        <v>6</v>
      </c>
      <c r="B7">
        <v>1</v>
      </c>
      <c r="C7">
        <v>0</v>
      </c>
      <c r="D7">
        <v>1</v>
      </c>
      <c r="E7">
        <v>0</v>
      </c>
      <c r="F7">
        <v>1</v>
      </c>
    </row>
    <row r="8" spans="1:6" x14ac:dyDescent="0.3">
      <c r="A8">
        <v>7</v>
      </c>
      <c r="B8">
        <v>1</v>
      </c>
      <c r="C8">
        <v>0</v>
      </c>
      <c r="D8">
        <v>1</v>
      </c>
      <c r="E8">
        <v>0</v>
      </c>
      <c r="F8">
        <v>1</v>
      </c>
    </row>
    <row r="9" spans="1:6" x14ac:dyDescent="0.3">
      <c r="A9">
        <v>8</v>
      </c>
      <c r="B9">
        <v>1</v>
      </c>
      <c r="C9">
        <v>0</v>
      </c>
      <c r="D9">
        <v>1</v>
      </c>
      <c r="E9">
        <v>0</v>
      </c>
      <c r="F9">
        <v>1</v>
      </c>
    </row>
    <row r="10" spans="1:6" x14ac:dyDescent="0.3">
      <c r="A10">
        <v>9</v>
      </c>
      <c r="B10">
        <v>1</v>
      </c>
      <c r="C10">
        <v>0</v>
      </c>
      <c r="D10">
        <v>1</v>
      </c>
      <c r="E10">
        <v>0</v>
      </c>
      <c r="F10">
        <v>1</v>
      </c>
    </row>
    <row r="11" spans="1:6" x14ac:dyDescent="0.3">
      <c r="A11">
        <v>10</v>
      </c>
      <c r="B11">
        <v>1</v>
      </c>
      <c r="C11">
        <v>0</v>
      </c>
      <c r="D11">
        <v>1</v>
      </c>
      <c r="E11">
        <v>0</v>
      </c>
      <c r="F11">
        <v>1</v>
      </c>
    </row>
    <row r="12" spans="1:6" x14ac:dyDescent="0.3">
      <c r="A12">
        <v>11</v>
      </c>
      <c r="B12">
        <v>1</v>
      </c>
      <c r="C12">
        <v>0</v>
      </c>
      <c r="D12">
        <v>1</v>
      </c>
      <c r="E12">
        <v>0</v>
      </c>
      <c r="F12">
        <v>1</v>
      </c>
    </row>
    <row r="13" spans="1:6" x14ac:dyDescent="0.3">
      <c r="A13">
        <v>12</v>
      </c>
      <c r="B13">
        <v>1</v>
      </c>
      <c r="C13">
        <v>0</v>
      </c>
      <c r="D13">
        <v>1</v>
      </c>
      <c r="E13">
        <v>0</v>
      </c>
      <c r="F13">
        <v>1</v>
      </c>
    </row>
    <row r="14" spans="1:6" x14ac:dyDescent="0.3">
      <c r="A14">
        <v>13</v>
      </c>
      <c r="B14">
        <v>1</v>
      </c>
      <c r="C14">
        <v>0</v>
      </c>
      <c r="D14">
        <v>1</v>
      </c>
      <c r="E14">
        <v>0</v>
      </c>
      <c r="F14">
        <v>1</v>
      </c>
    </row>
    <row r="15" spans="1:6" x14ac:dyDescent="0.3">
      <c r="A15">
        <v>14</v>
      </c>
      <c r="B15">
        <v>1</v>
      </c>
      <c r="C15">
        <v>0</v>
      </c>
      <c r="D15">
        <v>1</v>
      </c>
      <c r="E15">
        <v>0</v>
      </c>
      <c r="F15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D9BF-6139-462F-9DE8-51D8525ECAB9}">
  <sheetPr codeName="Hoja19"/>
  <dimension ref="A1:F15"/>
  <sheetViews>
    <sheetView workbookViewId="0">
      <selection activeCell="G17" sqref="G17"/>
    </sheetView>
  </sheetViews>
  <sheetFormatPr baseColWidth="10" defaultRowHeight="14.4" x14ac:dyDescent="0.3"/>
  <sheetData>
    <row r="1" spans="1:6" x14ac:dyDescent="0.3">
      <c r="A1" s="19" t="s">
        <v>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  <row r="12" spans="1:6" x14ac:dyDescent="0.3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</row>
    <row r="13" spans="1:6" x14ac:dyDescent="0.3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</row>
    <row r="14" spans="1:6" x14ac:dyDescent="0.3">
      <c r="A14">
        <v>13</v>
      </c>
      <c r="B14">
        <v>1</v>
      </c>
      <c r="C14">
        <v>1</v>
      </c>
      <c r="D14">
        <v>1</v>
      </c>
      <c r="E14">
        <v>1</v>
      </c>
      <c r="F14">
        <v>1</v>
      </c>
    </row>
    <row r="15" spans="1:6" x14ac:dyDescent="0.3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materias</vt:lpstr>
      <vt:lpstr>profesores</vt:lpstr>
      <vt:lpstr>grupos</vt:lpstr>
      <vt:lpstr>borrador</vt:lpstr>
      <vt:lpstr>svv</vt:lpstr>
      <vt:lpstr>mp</vt:lpstr>
      <vt:lpstr>ap</vt:lpstr>
      <vt:lpstr>am</vt:lpstr>
      <vt:lpstr>gc</vt:lpstr>
      <vt:lpstr>kb</vt:lpstr>
      <vt:lpstr>vt</vt:lpstr>
      <vt:lpstr>jc</vt:lpstr>
      <vt:lpstr>ad</vt:lpstr>
      <vt:lpstr>as</vt:lpstr>
      <vt:lpstr>jf</vt:lpstr>
      <vt:lpstr>fm</vt:lpstr>
      <vt:lpstr>ds</vt:lpstr>
      <vt:lpstr>lg</vt:lpstr>
      <vt:lpstr>jd</vt:lpstr>
      <vt:lpstr>jk</vt:lpstr>
      <vt:lpstr>jpf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dcterms:created xsi:type="dcterms:W3CDTF">2015-06-05T18:17:20Z</dcterms:created>
  <dcterms:modified xsi:type="dcterms:W3CDTF">2024-04-21T05:18:12Z</dcterms:modified>
</cp:coreProperties>
</file>